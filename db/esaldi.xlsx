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https://upvehueus-my.sharepoint.com/personal/daniel_losada_ehu_eus/Documents/PERSONAL/Antigravity/jsEjemplos/sententia/db/"/>
    </mc:Choice>
  </mc:AlternateContent>
  <xr:revisionPtr revIDLastSave="35" documentId="11_69A0524976854B4F90978ED7692B1DBF80B34356" xr6:coauthVersionLast="47" xr6:coauthVersionMax="47" xr10:uidLastSave="{BBAEB4B2-E3C2-DF47-842A-922766E8725A}"/>
  <bookViews>
    <workbookView xWindow="4180" yWindow="500" windowWidth="29420" windowHeight="18800" tabRatio="500" xr2:uid="{00000000-000D-0000-FFFF-FFFF00000000}"/>
  </bookViews>
  <sheets>
    <sheet name="frases" sheetId="1" r:id="rId1"/>
    <sheet name="autores" sheetId="2" r:id="rId2"/>
    <sheet name="idiomas" sheetId="3" r:id="rId3"/>
    <sheet name="naciones" sheetId="4" r:id="rId4"/>
    <sheet name="epocas" sheetId="5" r:id="rId5"/>
    <sheet name="info"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R1502" i="1" l="1"/>
  <c r="Q1502" i="1"/>
  <c r="P1502" i="1"/>
  <c r="O1502" i="1"/>
  <c r="N1502" i="1"/>
  <c r="M1502" i="1"/>
  <c r="L1502" i="1"/>
  <c r="K1502" i="1"/>
  <c r="J1502" i="1"/>
  <c r="I1502" i="1"/>
  <c r="H1502" i="1"/>
  <c r="G1502" i="1"/>
  <c r="H1501" i="1"/>
  <c r="I1501" i="1"/>
  <c r="J1501" i="1"/>
  <c r="K1501" i="1"/>
  <c r="L1501" i="1"/>
  <c r="M1501" i="1"/>
  <c r="N1501" i="1"/>
  <c r="O1501" i="1"/>
  <c r="P1501" i="1"/>
  <c r="Q1501" i="1"/>
  <c r="R1501" i="1"/>
  <c r="J125" i="2"/>
  <c r="G1501" i="1"/>
  <c r="H1500" i="1"/>
  <c r="I1500" i="1"/>
  <c r="K1500" i="1"/>
  <c r="M1500" i="1"/>
  <c r="Q1500" i="1"/>
  <c r="R1500" i="1"/>
  <c r="M125" i="2"/>
  <c r="N125" i="2"/>
  <c r="O125" i="2" a="1"/>
  <c r="O125" i="2" s="1"/>
  <c r="P125" i="2" s="1"/>
  <c r="B2" i="6"/>
  <c r="B1" i="6"/>
  <c r="O124" i="2" a="1"/>
  <c r="O124" i="2" s="1"/>
  <c r="P124" i="2" s="1"/>
  <c r="P1500" i="1" s="1"/>
  <c r="N124" i="2"/>
  <c r="N1500" i="1" s="1"/>
  <c r="M124" i="2"/>
  <c r="J1500" i="1" s="1"/>
  <c r="J124" i="2"/>
  <c r="L1500" i="1" s="1"/>
  <c r="O123" i="2" a="1"/>
  <c r="O123" i="2" s="1"/>
  <c r="P123" i="2" s="1"/>
  <c r="N123" i="2"/>
  <c r="M123" i="2"/>
  <c r="J123" i="2"/>
  <c r="O122" i="2" a="1"/>
  <c r="O122" i="2" s="1"/>
  <c r="P122" i="2" s="1"/>
  <c r="N122" i="2"/>
  <c r="M122" i="2"/>
  <c r="O121" i="2" a="1"/>
  <c r="O121" i="2" s="1"/>
  <c r="P121" i="2" s="1"/>
  <c r="N121" i="2"/>
  <c r="M121" i="2"/>
  <c r="J121" i="2"/>
  <c r="O120" i="2" a="1"/>
  <c r="O120" i="2" s="1"/>
  <c r="P120" i="2" s="1"/>
  <c r="N120" i="2"/>
  <c r="M120" i="2"/>
  <c r="J120" i="2"/>
  <c r="O119" i="2" a="1"/>
  <c r="O119" i="2" s="1"/>
  <c r="P119" i="2" s="1"/>
  <c r="N119" i="2"/>
  <c r="M119" i="2"/>
  <c r="J119" i="2"/>
  <c r="O118" i="2" a="1"/>
  <c r="O118" i="2" s="1"/>
  <c r="P118" i="2" s="1"/>
  <c r="N118" i="2"/>
  <c r="M118" i="2"/>
  <c r="J118" i="2"/>
  <c r="O117" i="2" a="1"/>
  <c r="O117" i="2" s="1"/>
  <c r="P117" i="2" s="1"/>
  <c r="N117" i="2"/>
  <c r="M117" i="2"/>
  <c r="J117" i="2"/>
  <c r="O116" i="2" a="1"/>
  <c r="O116" i="2" s="1"/>
  <c r="P116" i="2" s="1"/>
  <c r="N116" i="2"/>
  <c r="M116" i="2"/>
  <c r="J116" i="2"/>
  <c r="O115" i="2" a="1"/>
  <c r="O115" i="2" s="1"/>
  <c r="P115" i="2" s="1"/>
  <c r="N115" i="2"/>
  <c r="M115" i="2"/>
  <c r="J115" i="2"/>
  <c r="O114" i="2" a="1"/>
  <c r="O114" i="2" s="1"/>
  <c r="P114" i="2" s="1"/>
  <c r="N114" i="2"/>
  <c r="M114" i="2"/>
  <c r="J114" i="2"/>
  <c r="O113" i="2" a="1"/>
  <c r="O113" i="2" s="1"/>
  <c r="P113" i="2" s="1"/>
  <c r="N113" i="2"/>
  <c r="M113" i="2"/>
  <c r="J113" i="2"/>
  <c r="O112" i="2" a="1"/>
  <c r="O112" i="2" s="1"/>
  <c r="P112" i="2" s="1"/>
  <c r="N112" i="2"/>
  <c r="M112" i="2"/>
  <c r="J112" i="2"/>
  <c r="O111" i="2" a="1"/>
  <c r="O111" i="2" s="1"/>
  <c r="P111" i="2" s="1"/>
  <c r="N111" i="2"/>
  <c r="M111" i="2"/>
  <c r="J111" i="2"/>
  <c r="O110" i="2" a="1"/>
  <c r="O110" i="2" s="1"/>
  <c r="P110" i="2" s="1"/>
  <c r="N110" i="2"/>
  <c r="M110" i="2"/>
  <c r="J110" i="2"/>
  <c r="O109" i="2" a="1"/>
  <c r="O109" i="2" s="1"/>
  <c r="P109" i="2" s="1"/>
  <c r="N109" i="2"/>
  <c r="M109" i="2"/>
  <c r="J109" i="2"/>
  <c r="O108" i="2" a="1"/>
  <c r="O108" i="2" s="1"/>
  <c r="P108" i="2" s="1"/>
  <c r="N108" i="2"/>
  <c r="M108" i="2"/>
  <c r="J108" i="2"/>
  <c r="O107" i="2" a="1"/>
  <c r="O107" i="2" s="1"/>
  <c r="P107" i="2" s="1"/>
  <c r="N107" i="2"/>
  <c r="M107" i="2"/>
  <c r="J107" i="2"/>
  <c r="O106" i="2" a="1"/>
  <c r="O106" i="2" s="1"/>
  <c r="P106" i="2" s="1"/>
  <c r="N106" i="2"/>
  <c r="M106" i="2"/>
  <c r="J106" i="2"/>
  <c r="O105" i="2" a="1"/>
  <c r="O105" i="2" s="1"/>
  <c r="P105" i="2" s="1"/>
  <c r="N105" i="2"/>
  <c r="M105" i="2"/>
  <c r="J105" i="2"/>
  <c r="O104" i="2" a="1"/>
  <c r="O104" i="2" s="1"/>
  <c r="P104" i="2" s="1"/>
  <c r="N104" i="2"/>
  <c r="M104" i="2"/>
  <c r="J104" i="2"/>
  <c r="O103" i="2" a="1"/>
  <c r="O103" i="2" s="1"/>
  <c r="P103" i="2" s="1"/>
  <c r="N103" i="2"/>
  <c r="M103" i="2"/>
  <c r="J103" i="2"/>
  <c r="O102" i="2" a="1"/>
  <c r="O102" i="2" s="1"/>
  <c r="P102" i="2" s="1"/>
  <c r="N102" i="2"/>
  <c r="M102" i="2"/>
  <c r="J102" i="2"/>
  <c r="O101" i="2" a="1"/>
  <c r="O101" i="2" s="1"/>
  <c r="P101" i="2" s="1"/>
  <c r="N101" i="2"/>
  <c r="M101" i="2"/>
  <c r="J101" i="2"/>
  <c r="O100" i="2" a="1"/>
  <c r="O100" i="2" s="1"/>
  <c r="P100" i="2" s="1"/>
  <c r="N100" i="2"/>
  <c r="M100" i="2"/>
  <c r="J100" i="2"/>
  <c r="O99" i="2" a="1"/>
  <c r="O99" i="2" s="1"/>
  <c r="P99" i="2" s="1"/>
  <c r="N99" i="2"/>
  <c r="M99" i="2"/>
  <c r="J99" i="2"/>
  <c r="O98" i="2" a="1"/>
  <c r="O98" i="2" s="1"/>
  <c r="P98" i="2" s="1"/>
  <c r="N98" i="2"/>
  <c r="M98" i="2"/>
  <c r="J98" i="2"/>
  <c r="O97" i="2" a="1"/>
  <c r="O97" i="2" s="1"/>
  <c r="P97" i="2" s="1"/>
  <c r="N97" i="2"/>
  <c r="M97" i="2"/>
  <c r="J97" i="2"/>
  <c r="O96" i="2" a="1"/>
  <c r="O96" i="2" s="1"/>
  <c r="P96" i="2" s="1"/>
  <c r="N96" i="2"/>
  <c r="M96" i="2"/>
  <c r="J96" i="2"/>
  <c r="O95" i="2" a="1"/>
  <c r="O95" i="2" s="1"/>
  <c r="P95" i="2" s="1"/>
  <c r="N95" i="2"/>
  <c r="M95" i="2"/>
  <c r="J95" i="2"/>
  <c r="O94" i="2" a="1"/>
  <c r="O94" i="2" s="1"/>
  <c r="P94" i="2" s="1"/>
  <c r="N94" i="2"/>
  <c r="M94" i="2"/>
  <c r="J94" i="2"/>
  <c r="O93" i="2" a="1"/>
  <c r="O93" i="2" s="1"/>
  <c r="P93" i="2" s="1"/>
  <c r="N93" i="2"/>
  <c r="M93" i="2"/>
  <c r="J93" i="2"/>
  <c r="O92" i="2" a="1"/>
  <c r="O92" i="2" s="1"/>
  <c r="P92" i="2" s="1"/>
  <c r="N92" i="2"/>
  <c r="M92" i="2"/>
  <c r="J92" i="2"/>
  <c r="O91" i="2" a="1"/>
  <c r="O91" i="2" s="1"/>
  <c r="P91" i="2" s="1"/>
  <c r="N91" i="2"/>
  <c r="M91" i="2"/>
  <c r="J91" i="2"/>
  <c r="O90" i="2" a="1"/>
  <c r="O90" i="2" s="1"/>
  <c r="P90" i="2" s="1"/>
  <c r="N90" i="2"/>
  <c r="M90" i="2"/>
  <c r="J90" i="2"/>
  <c r="O89" i="2" a="1"/>
  <c r="O89" i="2" s="1"/>
  <c r="P89" i="2" s="1"/>
  <c r="N89" i="2"/>
  <c r="M89" i="2"/>
  <c r="J89" i="2"/>
  <c r="O88" i="2" a="1"/>
  <c r="O88" i="2" s="1"/>
  <c r="P88" i="2" s="1"/>
  <c r="N88" i="2"/>
  <c r="M88" i="2"/>
  <c r="J88" i="2"/>
  <c r="O87" i="2" a="1"/>
  <c r="O87" i="2" s="1"/>
  <c r="P87" i="2" s="1"/>
  <c r="N87" i="2"/>
  <c r="M87" i="2"/>
  <c r="J87" i="2"/>
  <c r="O86" i="2" a="1"/>
  <c r="O86" i="2" s="1"/>
  <c r="P86" i="2" s="1"/>
  <c r="N86" i="2"/>
  <c r="M86" i="2"/>
  <c r="J86" i="2"/>
  <c r="O85" i="2" a="1"/>
  <c r="O85" i="2" s="1"/>
  <c r="P85" i="2" s="1"/>
  <c r="N85" i="2"/>
  <c r="M85" i="2"/>
  <c r="J85" i="2"/>
  <c r="O84" i="2" a="1"/>
  <c r="O84" i="2" s="1"/>
  <c r="P84" i="2" s="1"/>
  <c r="N84" i="2"/>
  <c r="M84" i="2"/>
  <c r="J84" i="2"/>
  <c r="O83" i="2" a="1"/>
  <c r="O83" i="2" s="1"/>
  <c r="P83" i="2" s="1"/>
  <c r="N83" i="2"/>
  <c r="M83" i="2"/>
  <c r="J83" i="2"/>
  <c r="O82" i="2" a="1"/>
  <c r="O82" i="2" s="1"/>
  <c r="P82" i="2" s="1"/>
  <c r="N82" i="2"/>
  <c r="M82" i="2"/>
  <c r="J82" i="2"/>
  <c r="O81" i="2" a="1"/>
  <c r="O81" i="2" s="1"/>
  <c r="P81" i="2" s="1"/>
  <c r="N81" i="2"/>
  <c r="M81" i="2"/>
  <c r="J81" i="2"/>
  <c r="O80" i="2" a="1"/>
  <c r="O80" i="2" s="1"/>
  <c r="P80" i="2" s="1"/>
  <c r="N80" i="2"/>
  <c r="M80" i="2"/>
  <c r="J80" i="2"/>
  <c r="O79" i="2" a="1"/>
  <c r="O79" i="2" s="1"/>
  <c r="P79" i="2" s="1"/>
  <c r="N79" i="2"/>
  <c r="M79" i="2"/>
  <c r="J79" i="2"/>
  <c r="O78" i="2" a="1"/>
  <c r="O78" i="2" s="1"/>
  <c r="P78" i="2" s="1"/>
  <c r="N78" i="2"/>
  <c r="M78" i="2"/>
  <c r="J78" i="2"/>
  <c r="O77" i="2" a="1"/>
  <c r="O77" i="2" s="1"/>
  <c r="P77" i="2" s="1"/>
  <c r="N77" i="2"/>
  <c r="M77" i="2"/>
  <c r="J77" i="2"/>
  <c r="O76" i="2" a="1"/>
  <c r="O76" i="2" s="1"/>
  <c r="P76" i="2" s="1"/>
  <c r="N76" i="2"/>
  <c r="M76" i="2"/>
  <c r="J76" i="2"/>
  <c r="O75" i="2" a="1"/>
  <c r="O75" i="2" s="1"/>
  <c r="P75" i="2" s="1"/>
  <c r="N75" i="2"/>
  <c r="M75" i="2"/>
  <c r="J75" i="2"/>
  <c r="O74" i="2" a="1"/>
  <c r="O74" i="2" s="1"/>
  <c r="P74" i="2" s="1"/>
  <c r="N74" i="2"/>
  <c r="M74" i="2"/>
  <c r="J74" i="2"/>
  <c r="O73" i="2" a="1"/>
  <c r="O73" i="2" s="1"/>
  <c r="P73" i="2" s="1"/>
  <c r="N73" i="2"/>
  <c r="M73" i="2"/>
  <c r="J73" i="2"/>
  <c r="O72" i="2" a="1"/>
  <c r="O72" i="2" s="1"/>
  <c r="P72" i="2" s="1"/>
  <c r="N72" i="2"/>
  <c r="M72" i="2"/>
  <c r="J72" i="2"/>
  <c r="O71" i="2" a="1"/>
  <c r="O71" i="2" s="1"/>
  <c r="P71" i="2" s="1"/>
  <c r="N71" i="2"/>
  <c r="M71" i="2"/>
  <c r="J71" i="2"/>
  <c r="O70" i="2" a="1"/>
  <c r="O70" i="2" s="1"/>
  <c r="P70" i="2" s="1"/>
  <c r="N70" i="2"/>
  <c r="M70" i="2"/>
  <c r="J70" i="2"/>
  <c r="O69" i="2" a="1"/>
  <c r="O69" i="2" s="1"/>
  <c r="P69" i="2" s="1"/>
  <c r="N69" i="2"/>
  <c r="M69" i="2"/>
  <c r="J69" i="2"/>
  <c r="O68" i="2" a="1"/>
  <c r="O68" i="2" s="1"/>
  <c r="P68" i="2" s="1"/>
  <c r="N68" i="2"/>
  <c r="M68" i="2"/>
  <c r="J68" i="2"/>
  <c r="O67" i="2" a="1"/>
  <c r="O67" i="2" s="1"/>
  <c r="P67" i="2" s="1"/>
  <c r="N67" i="2"/>
  <c r="M67" i="2"/>
  <c r="J67" i="2"/>
  <c r="O66" i="2" a="1"/>
  <c r="O66" i="2" s="1"/>
  <c r="P66" i="2" s="1"/>
  <c r="N66" i="2"/>
  <c r="M66" i="2"/>
  <c r="J66" i="2"/>
  <c r="O65" i="2" a="1"/>
  <c r="O65" i="2" s="1"/>
  <c r="P65" i="2" s="1"/>
  <c r="N65" i="2"/>
  <c r="M65" i="2"/>
  <c r="J65" i="2"/>
  <c r="O64" i="2" a="1"/>
  <c r="O64" i="2" s="1"/>
  <c r="P64" i="2" s="1"/>
  <c r="N64" i="2"/>
  <c r="M64" i="2"/>
  <c r="J64" i="2"/>
  <c r="O63" i="2" a="1"/>
  <c r="O63" i="2" s="1"/>
  <c r="P63" i="2" s="1"/>
  <c r="N63" i="2"/>
  <c r="M63" i="2"/>
  <c r="J63" i="2"/>
  <c r="O62" i="2" a="1"/>
  <c r="O62" i="2" s="1"/>
  <c r="P62" i="2" s="1"/>
  <c r="N62" i="2"/>
  <c r="M62" i="2"/>
  <c r="J62" i="2"/>
  <c r="O61" i="2" a="1"/>
  <c r="O61" i="2" s="1"/>
  <c r="P61" i="2" s="1"/>
  <c r="N61" i="2"/>
  <c r="M61" i="2"/>
  <c r="J61" i="2"/>
  <c r="O60" i="2" a="1"/>
  <c r="O60" i="2" s="1"/>
  <c r="P60" i="2" s="1"/>
  <c r="N60" i="2"/>
  <c r="M60" i="2"/>
  <c r="J60" i="2"/>
  <c r="O59" i="2" a="1"/>
  <c r="O59" i="2" s="1"/>
  <c r="P59" i="2" s="1"/>
  <c r="N59" i="2"/>
  <c r="M59" i="2"/>
  <c r="J59" i="2"/>
  <c r="O58" i="2" a="1"/>
  <c r="O58" i="2" s="1"/>
  <c r="P58" i="2" s="1"/>
  <c r="N58" i="2"/>
  <c r="M58" i="2"/>
  <c r="J58" i="2"/>
  <c r="O57" i="2" a="1"/>
  <c r="O57" i="2" s="1"/>
  <c r="P57" i="2" s="1"/>
  <c r="N57" i="2"/>
  <c r="M57" i="2"/>
  <c r="J57" i="2"/>
  <c r="O56" i="2" a="1"/>
  <c r="O56" i="2" s="1"/>
  <c r="P56" i="2" s="1"/>
  <c r="N56" i="2"/>
  <c r="M56" i="2"/>
  <c r="J56" i="2"/>
  <c r="O55" i="2" a="1"/>
  <c r="O55" i="2" s="1"/>
  <c r="P55" i="2" s="1"/>
  <c r="N55" i="2"/>
  <c r="M55" i="2"/>
  <c r="J55" i="2"/>
  <c r="O54" i="2" a="1"/>
  <c r="O54" i="2" s="1"/>
  <c r="P54" i="2" s="1"/>
  <c r="N54" i="2"/>
  <c r="M54" i="2"/>
  <c r="J54" i="2"/>
  <c r="O53" i="2" a="1"/>
  <c r="O53" i="2" s="1"/>
  <c r="P53" i="2" s="1"/>
  <c r="N53" i="2"/>
  <c r="M53" i="2"/>
  <c r="J53" i="2"/>
  <c r="O52" i="2" a="1"/>
  <c r="O52" i="2" s="1"/>
  <c r="P52" i="2" s="1"/>
  <c r="N52" i="2"/>
  <c r="M52" i="2"/>
  <c r="J52" i="2"/>
  <c r="O51" i="2" a="1"/>
  <c r="O51" i="2" s="1"/>
  <c r="P51" i="2" s="1"/>
  <c r="N51" i="2"/>
  <c r="M51" i="2"/>
  <c r="J51" i="2"/>
  <c r="O50" i="2" a="1"/>
  <c r="O50" i="2" s="1"/>
  <c r="P50" i="2" s="1"/>
  <c r="N50" i="2"/>
  <c r="M50" i="2"/>
  <c r="J50" i="2"/>
  <c r="O49" i="2" a="1"/>
  <c r="O49" i="2" s="1"/>
  <c r="P49" i="2" s="1"/>
  <c r="N49" i="2"/>
  <c r="M49" i="2"/>
  <c r="J49" i="2"/>
  <c r="O48" i="2" a="1"/>
  <c r="O48" i="2" s="1"/>
  <c r="P48" i="2" s="1"/>
  <c r="N48" i="2"/>
  <c r="M48" i="2"/>
  <c r="J48" i="2"/>
  <c r="O47" i="2" a="1"/>
  <c r="O47" i="2" s="1"/>
  <c r="P47" i="2" s="1"/>
  <c r="N47" i="2"/>
  <c r="M47" i="2"/>
  <c r="J47" i="2"/>
  <c r="O46" i="2" a="1"/>
  <c r="O46" i="2" s="1"/>
  <c r="P46" i="2" s="1"/>
  <c r="N46" i="2"/>
  <c r="M46" i="2"/>
  <c r="J46" i="2"/>
  <c r="O45" i="2" a="1"/>
  <c r="O45" i="2" s="1"/>
  <c r="P45" i="2" s="1"/>
  <c r="N45" i="2"/>
  <c r="M45" i="2"/>
  <c r="J45" i="2"/>
  <c r="O44" i="2" a="1"/>
  <c r="O44" i="2" s="1"/>
  <c r="P44" i="2" s="1"/>
  <c r="N44" i="2"/>
  <c r="M44" i="2"/>
  <c r="J44" i="2"/>
  <c r="O43" i="2" a="1"/>
  <c r="O43" i="2" s="1"/>
  <c r="P43" i="2" s="1"/>
  <c r="N43" i="2"/>
  <c r="M43" i="2"/>
  <c r="J43" i="2"/>
  <c r="O42" i="2" a="1"/>
  <c r="O42" i="2" s="1"/>
  <c r="P42" i="2" s="1"/>
  <c r="N42" i="2"/>
  <c r="M42" i="2"/>
  <c r="J42" i="2"/>
  <c r="O41" i="2" a="1"/>
  <c r="O41" i="2" s="1"/>
  <c r="P41" i="2" s="1"/>
  <c r="N41" i="2"/>
  <c r="M41" i="2"/>
  <c r="J41" i="2"/>
  <c r="O40" i="2" a="1"/>
  <c r="O40" i="2" s="1"/>
  <c r="P40" i="2" s="1"/>
  <c r="N40" i="2"/>
  <c r="M40" i="2"/>
  <c r="J40" i="2"/>
  <c r="O39" i="2" a="1"/>
  <c r="O39" i="2" s="1"/>
  <c r="P39" i="2" s="1"/>
  <c r="N39" i="2"/>
  <c r="M39" i="2"/>
  <c r="J39" i="2"/>
  <c r="O38" i="2" a="1"/>
  <c r="O38" i="2" s="1"/>
  <c r="P38" i="2" s="1"/>
  <c r="N38" i="2"/>
  <c r="M38" i="2"/>
  <c r="J38" i="2"/>
  <c r="O37" i="2" a="1"/>
  <c r="O37" i="2" s="1"/>
  <c r="P37" i="2" s="1"/>
  <c r="N37" i="2"/>
  <c r="M37" i="2"/>
  <c r="J37" i="2"/>
  <c r="O36" i="2" a="1"/>
  <c r="O36" i="2" s="1"/>
  <c r="P36" i="2" s="1"/>
  <c r="N36" i="2"/>
  <c r="M36" i="2"/>
  <c r="J36" i="2"/>
  <c r="O35" i="2" a="1"/>
  <c r="O35" i="2" s="1"/>
  <c r="P35" i="2" s="1"/>
  <c r="N35" i="2"/>
  <c r="M35" i="2"/>
  <c r="J35" i="2"/>
  <c r="O34" i="2" a="1"/>
  <c r="O34" i="2" s="1"/>
  <c r="P34" i="2" s="1"/>
  <c r="N34" i="2"/>
  <c r="M34" i="2"/>
  <c r="J34" i="2"/>
  <c r="O33" i="2" a="1"/>
  <c r="O33" i="2" s="1"/>
  <c r="N33" i="2"/>
  <c r="M33" i="2"/>
  <c r="J33" i="2"/>
  <c r="O32" i="2" a="1"/>
  <c r="O32" i="2" s="1"/>
  <c r="P32" i="2" s="1"/>
  <c r="N32" i="2"/>
  <c r="M32" i="2"/>
  <c r="J32" i="2"/>
  <c r="O31" i="2" a="1"/>
  <c r="O31" i="2" s="1"/>
  <c r="P31" i="2" s="1"/>
  <c r="N31" i="2"/>
  <c r="M31" i="2"/>
  <c r="J31" i="2"/>
  <c r="O30" i="2" a="1"/>
  <c r="O30" i="2" s="1"/>
  <c r="P30" i="2" s="1"/>
  <c r="N30" i="2"/>
  <c r="M30" i="2"/>
  <c r="J30" i="2"/>
  <c r="O29" i="2" a="1"/>
  <c r="O29" i="2" s="1"/>
  <c r="N29" i="2"/>
  <c r="M29" i="2"/>
  <c r="J29" i="2"/>
  <c r="O28" i="2" a="1"/>
  <c r="O28" i="2" s="1"/>
  <c r="N28" i="2"/>
  <c r="M28" i="2"/>
  <c r="J28" i="2"/>
  <c r="O27" i="2" a="1"/>
  <c r="O27" i="2" s="1"/>
  <c r="P27" i="2" s="1"/>
  <c r="N27" i="2"/>
  <c r="M27" i="2"/>
  <c r="J27" i="2"/>
  <c r="O26" i="2" a="1"/>
  <c r="O26" i="2" s="1"/>
  <c r="P26" i="2" s="1"/>
  <c r="N26" i="2"/>
  <c r="M26" i="2"/>
  <c r="J26" i="2"/>
  <c r="O25" i="2" a="1"/>
  <c r="O25" i="2" s="1"/>
  <c r="P25" i="2" s="1"/>
  <c r="N25" i="2"/>
  <c r="M25" i="2"/>
  <c r="J25" i="2"/>
  <c r="O24" i="2" a="1"/>
  <c r="O24" i="2" s="1"/>
  <c r="P24" i="2" s="1"/>
  <c r="N24" i="2"/>
  <c r="M24" i="2"/>
  <c r="J24" i="2"/>
  <c r="O23" i="2" a="1"/>
  <c r="O23" i="2" s="1"/>
  <c r="P23" i="2" s="1"/>
  <c r="N23" i="2"/>
  <c r="M23" i="2"/>
  <c r="J23" i="2"/>
  <c r="O22" i="2" a="1"/>
  <c r="O22" i="2" s="1"/>
  <c r="P22" i="2" s="1"/>
  <c r="N22" i="2"/>
  <c r="M22" i="2"/>
  <c r="J22" i="2"/>
  <c r="O21" i="2" a="1"/>
  <c r="O21" i="2" s="1"/>
  <c r="N21" i="2"/>
  <c r="M21" i="2"/>
  <c r="J21" i="2"/>
  <c r="O20" i="2" a="1"/>
  <c r="O20" i="2" s="1"/>
  <c r="P20" i="2" s="1"/>
  <c r="N20" i="2"/>
  <c r="M20" i="2"/>
  <c r="J20" i="2"/>
  <c r="O19" i="2" a="1"/>
  <c r="O19" i="2" s="1"/>
  <c r="N19" i="2"/>
  <c r="M19" i="2"/>
  <c r="J19" i="2"/>
  <c r="O18" i="2" a="1"/>
  <c r="O18" i="2" s="1"/>
  <c r="P18" i="2" s="1"/>
  <c r="N18" i="2"/>
  <c r="M18" i="2"/>
  <c r="J18" i="2"/>
  <c r="O17" i="2" a="1"/>
  <c r="O17" i="2" s="1"/>
  <c r="N17" i="2"/>
  <c r="M17" i="2"/>
  <c r="J17" i="2"/>
  <c r="O16" i="2" a="1"/>
  <c r="O16" i="2" s="1"/>
  <c r="P16" i="2" s="1"/>
  <c r="N16" i="2"/>
  <c r="M16" i="2"/>
  <c r="J16" i="2"/>
  <c r="O15" i="2" a="1"/>
  <c r="O15" i="2" s="1"/>
  <c r="P15" i="2" s="1"/>
  <c r="N15" i="2"/>
  <c r="M15" i="2"/>
  <c r="J15" i="2"/>
  <c r="O14" i="2" a="1"/>
  <c r="O14" i="2" s="1"/>
  <c r="N14" i="2"/>
  <c r="M14" i="2"/>
  <c r="J14" i="2"/>
  <c r="O13" i="2" a="1"/>
  <c r="O13" i="2" s="1"/>
  <c r="P13" i="2" s="1"/>
  <c r="N13" i="2"/>
  <c r="M13" i="2"/>
  <c r="J13" i="2"/>
  <c r="O12" i="2" a="1"/>
  <c r="O12" i="2" s="1"/>
  <c r="P12" i="2" s="1"/>
  <c r="N12" i="2"/>
  <c r="M12" i="2"/>
  <c r="J12" i="2"/>
  <c r="O11" i="2" a="1"/>
  <c r="O11" i="2" s="1"/>
  <c r="P11" i="2" s="1"/>
  <c r="N11" i="2"/>
  <c r="M11" i="2"/>
  <c r="J11" i="2"/>
  <c r="O10" i="2" a="1"/>
  <c r="O10" i="2" s="1"/>
  <c r="N10" i="2"/>
  <c r="M10" i="2"/>
  <c r="J10" i="2"/>
  <c r="O9" i="2" a="1"/>
  <c r="O9" i="2" s="1"/>
  <c r="O1338" i="1" s="1"/>
  <c r="N9" i="2"/>
  <c r="M9" i="2"/>
  <c r="J9" i="2"/>
  <c r="O8" i="2" a="1"/>
  <c r="O8" i="2" s="1"/>
  <c r="P8" i="2" s="1"/>
  <c r="N8" i="2"/>
  <c r="M8" i="2"/>
  <c r="J8" i="2"/>
  <c r="O7" i="2" a="1"/>
  <c r="O7" i="2" s="1"/>
  <c r="P7" i="2" s="1"/>
  <c r="N7" i="2"/>
  <c r="M7" i="2"/>
  <c r="J7" i="2"/>
  <c r="O6" i="2" a="1"/>
  <c r="O6" i="2" s="1"/>
  <c r="P6" i="2" s="1"/>
  <c r="N6" i="2"/>
  <c r="M6" i="2"/>
  <c r="J6" i="2"/>
  <c r="O5" i="2" a="1"/>
  <c r="O5" i="2" s="1"/>
  <c r="P5" i="2" s="1"/>
  <c r="N5" i="2"/>
  <c r="M5" i="2"/>
  <c r="J5" i="2"/>
  <c r="O4" i="2" a="1"/>
  <c r="O4" i="2" s="1"/>
  <c r="P4" i="2" s="1"/>
  <c r="N4" i="2"/>
  <c r="M4" i="2"/>
  <c r="J4" i="2"/>
  <c r="O3" i="2" a="1"/>
  <c r="O3" i="2" s="1"/>
  <c r="N3" i="2"/>
  <c r="M3" i="2"/>
  <c r="J3" i="2"/>
  <c r="O2" i="2" a="1"/>
  <c r="O2" i="2" s="1"/>
  <c r="N2" i="2"/>
  <c r="M2" i="2"/>
  <c r="J1493" i="1" s="1"/>
  <c r="J2" i="2"/>
  <c r="G1500" i="1"/>
  <c r="R1499" i="1"/>
  <c r="Q1499" i="1"/>
  <c r="P1499" i="1"/>
  <c r="O1499" i="1"/>
  <c r="N1499" i="1"/>
  <c r="M1499" i="1"/>
  <c r="L1499" i="1"/>
  <c r="K1499" i="1"/>
  <c r="J1499" i="1"/>
  <c r="I1499" i="1"/>
  <c r="H1499" i="1"/>
  <c r="G1499" i="1"/>
  <c r="R1498" i="1"/>
  <c r="Q1498" i="1"/>
  <c r="P1498" i="1"/>
  <c r="O1498" i="1"/>
  <c r="N1498" i="1"/>
  <c r="M1498" i="1"/>
  <c r="L1498" i="1"/>
  <c r="K1498" i="1"/>
  <c r="J1498" i="1"/>
  <c r="I1498" i="1"/>
  <c r="H1498" i="1"/>
  <c r="G1498" i="1"/>
  <c r="R1497" i="1"/>
  <c r="Q1497" i="1"/>
  <c r="P1497" i="1"/>
  <c r="O1497" i="1"/>
  <c r="N1497" i="1"/>
  <c r="M1497" i="1"/>
  <c r="L1497" i="1"/>
  <c r="K1497" i="1"/>
  <c r="J1497" i="1"/>
  <c r="I1497" i="1"/>
  <c r="H1497" i="1"/>
  <c r="G1497" i="1"/>
  <c r="R1496" i="1"/>
  <c r="Q1496" i="1"/>
  <c r="P1496" i="1"/>
  <c r="O1496" i="1"/>
  <c r="N1496" i="1"/>
  <c r="M1496" i="1"/>
  <c r="L1496" i="1"/>
  <c r="K1496" i="1"/>
  <c r="J1496" i="1"/>
  <c r="I1496" i="1"/>
  <c r="H1496" i="1"/>
  <c r="G1496" i="1"/>
  <c r="R1495" i="1"/>
  <c r="Q1495" i="1"/>
  <c r="N1495" i="1"/>
  <c r="M1495" i="1"/>
  <c r="L1495" i="1"/>
  <c r="K1495" i="1"/>
  <c r="I1495" i="1"/>
  <c r="H1495" i="1"/>
  <c r="G1495" i="1"/>
  <c r="R1494" i="1"/>
  <c r="Q1494" i="1"/>
  <c r="N1494" i="1"/>
  <c r="M1494" i="1"/>
  <c r="L1494" i="1"/>
  <c r="K1494" i="1"/>
  <c r="I1494" i="1"/>
  <c r="H1494" i="1"/>
  <c r="G1494" i="1"/>
  <c r="R1493" i="1"/>
  <c r="Q1493" i="1"/>
  <c r="N1493" i="1"/>
  <c r="M1493" i="1"/>
  <c r="L1493" i="1"/>
  <c r="K1493" i="1"/>
  <c r="I1493" i="1"/>
  <c r="H1493" i="1"/>
  <c r="G1493" i="1"/>
  <c r="R1492" i="1"/>
  <c r="Q1492" i="1"/>
  <c r="N1492" i="1"/>
  <c r="M1492" i="1"/>
  <c r="L1492" i="1"/>
  <c r="K1492" i="1"/>
  <c r="I1492" i="1"/>
  <c r="H1492" i="1"/>
  <c r="G1492" i="1"/>
  <c r="R1491" i="1"/>
  <c r="Q1491" i="1"/>
  <c r="N1491" i="1"/>
  <c r="M1491" i="1"/>
  <c r="L1491" i="1"/>
  <c r="K1491" i="1"/>
  <c r="I1491" i="1"/>
  <c r="H1491" i="1"/>
  <c r="G1491" i="1"/>
  <c r="R1490" i="1"/>
  <c r="Q1490" i="1"/>
  <c r="N1490" i="1"/>
  <c r="M1490" i="1"/>
  <c r="L1490" i="1"/>
  <c r="K1490" i="1"/>
  <c r="I1490" i="1"/>
  <c r="H1490" i="1"/>
  <c r="G1490" i="1"/>
  <c r="R1489" i="1"/>
  <c r="Q1489" i="1"/>
  <c r="N1489" i="1"/>
  <c r="M1489" i="1"/>
  <c r="L1489" i="1"/>
  <c r="K1489" i="1"/>
  <c r="I1489" i="1"/>
  <c r="H1489" i="1"/>
  <c r="G1489" i="1"/>
  <c r="R1488" i="1"/>
  <c r="Q1488" i="1"/>
  <c r="P1488" i="1"/>
  <c r="O1488" i="1"/>
  <c r="N1488" i="1"/>
  <c r="M1488" i="1"/>
  <c r="L1488" i="1"/>
  <c r="K1488" i="1"/>
  <c r="J1488" i="1"/>
  <c r="I1488" i="1"/>
  <c r="H1488" i="1"/>
  <c r="G1488" i="1"/>
  <c r="R1487" i="1"/>
  <c r="Q1487" i="1"/>
  <c r="P1487" i="1"/>
  <c r="O1487" i="1"/>
  <c r="N1487" i="1"/>
  <c r="M1487" i="1"/>
  <c r="L1487" i="1"/>
  <c r="K1487" i="1"/>
  <c r="J1487" i="1"/>
  <c r="I1487" i="1"/>
  <c r="H1487" i="1"/>
  <c r="G1487" i="1"/>
  <c r="R1486" i="1"/>
  <c r="Q1486" i="1"/>
  <c r="P1486" i="1"/>
  <c r="O1486" i="1"/>
  <c r="N1486" i="1"/>
  <c r="M1486" i="1"/>
  <c r="L1486" i="1"/>
  <c r="K1486" i="1"/>
  <c r="J1486" i="1"/>
  <c r="I1486" i="1"/>
  <c r="H1486" i="1"/>
  <c r="G1486" i="1"/>
  <c r="R1485" i="1"/>
  <c r="Q1485" i="1"/>
  <c r="P1485" i="1"/>
  <c r="O1485" i="1"/>
  <c r="N1485" i="1"/>
  <c r="M1485" i="1"/>
  <c r="L1485" i="1"/>
  <c r="K1485" i="1"/>
  <c r="J1485" i="1"/>
  <c r="I1485" i="1"/>
  <c r="H1485" i="1"/>
  <c r="G1485" i="1"/>
  <c r="R1484" i="1"/>
  <c r="Q1484" i="1"/>
  <c r="P1484" i="1"/>
  <c r="O1484" i="1"/>
  <c r="N1484" i="1"/>
  <c r="M1484" i="1"/>
  <c r="L1484" i="1"/>
  <c r="K1484" i="1"/>
  <c r="J1484" i="1"/>
  <c r="I1484" i="1"/>
  <c r="H1484" i="1"/>
  <c r="G1484" i="1"/>
  <c r="R1483" i="1"/>
  <c r="Q1483" i="1"/>
  <c r="P1483" i="1"/>
  <c r="O1483" i="1"/>
  <c r="N1483" i="1"/>
  <c r="M1483" i="1"/>
  <c r="L1483" i="1"/>
  <c r="K1483" i="1"/>
  <c r="J1483" i="1"/>
  <c r="I1483" i="1"/>
  <c r="H1483" i="1"/>
  <c r="G1483" i="1"/>
  <c r="R1482" i="1"/>
  <c r="Q1482" i="1"/>
  <c r="P1482" i="1"/>
  <c r="O1482" i="1"/>
  <c r="N1482" i="1"/>
  <c r="M1482" i="1"/>
  <c r="L1482" i="1"/>
  <c r="K1482" i="1"/>
  <c r="J1482" i="1"/>
  <c r="I1482" i="1"/>
  <c r="H1482" i="1"/>
  <c r="G1482" i="1"/>
  <c r="R1481" i="1"/>
  <c r="Q1481" i="1"/>
  <c r="P1481" i="1"/>
  <c r="O1481" i="1"/>
  <c r="N1481" i="1"/>
  <c r="M1481" i="1"/>
  <c r="L1481" i="1"/>
  <c r="K1481" i="1"/>
  <c r="J1481" i="1"/>
  <c r="I1481" i="1"/>
  <c r="H1481" i="1"/>
  <c r="G1481" i="1"/>
  <c r="R1480" i="1"/>
  <c r="Q1480" i="1"/>
  <c r="P1480" i="1"/>
  <c r="O1480" i="1"/>
  <c r="N1480" i="1"/>
  <c r="M1480" i="1"/>
  <c r="L1480" i="1"/>
  <c r="K1480" i="1"/>
  <c r="J1480" i="1"/>
  <c r="I1480" i="1"/>
  <c r="H1480" i="1"/>
  <c r="G1480" i="1"/>
  <c r="R1479" i="1"/>
  <c r="Q1479" i="1"/>
  <c r="P1479" i="1"/>
  <c r="O1479" i="1"/>
  <c r="N1479" i="1"/>
  <c r="M1479" i="1"/>
  <c r="L1479" i="1"/>
  <c r="K1479" i="1"/>
  <c r="J1479" i="1"/>
  <c r="I1479" i="1"/>
  <c r="H1479" i="1"/>
  <c r="G1479" i="1"/>
  <c r="R1478" i="1"/>
  <c r="Q1478" i="1"/>
  <c r="P1478" i="1"/>
  <c r="O1478" i="1"/>
  <c r="N1478" i="1"/>
  <c r="M1478" i="1"/>
  <c r="L1478" i="1"/>
  <c r="K1478" i="1"/>
  <c r="J1478" i="1"/>
  <c r="I1478" i="1"/>
  <c r="H1478" i="1"/>
  <c r="G1478" i="1"/>
  <c r="R1477" i="1"/>
  <c r="Q1477" i="1"/>
  <c r="P1477" i="1"/>
  <c r="O1477" i="1"/>
  <c r="N1477" i="1"/>
  <c r="M1477" i="1"/>
  <c r="L1477" i="1"/>
  <c r="K1477" i="1"/>
  <c r="J1477" i="1"/>
  <c r="I1477" i="1"/>
  <c r="H1477" i="1"/>
  <c r="G1477" i="1"/>
  <c r="R1476" i="1"/>
  <c r="Q1476" i="1"/>
  <c r="P1476" i="1"/>
  <c r="O1476" i="1"/>
  <c r="N1476" i="1"/>
  <c r="M1476" i="1"/>
  <c r="L1476" i="1"/>
  <c r="K1476" i="1"/>
  <c r="J1476" i="1"/>
  <c r="I1476" i="1"/>
  <c r="H1476" i="1"/>
  <c r="G1476" i="1"/>
  <c r="R1475" i="1"/>
  <c r="Q1475" i="1"/>
  <c r="P1475" i="1"/>
  <c r="O1475" i="1"/>
  <c r="N1475" i="1"/>
  <c r="M1475" i="1"/>
  <c r="L1475" i="1"/>
  <c r="K1475" i="1"/>
  <c r="J1475" i="1"/>
  <c r="I1475" i="1"/>
  <c r="H1475" i="1"/>
  <c r="G1475" i="1"/>
  <c r="R1474" i="1"/>
  <c r="Q1474" i="1"/>
  <c r="P1474" i="1"/>
  <c r="O1474" i="1"/>
  <c r="N1474" i="1"/>
  <c r="M1474" i="1"/>
  <c r="L1474" i="1"/>
  <c r="K1474" i="1"/>
  <c r="J1474" i="1"/>
  <c r="I1474" i="1"/>
  <c r="H1474" i="1"/>
  <c r="G1474" i="1"/>
  <c r="R1473" i="1"/>
  <c r="Q1473" i="1"/>
  <c r="P1473" i="1"/>
  <c r="O1473" i="1"/>
  <c r="N1473" i="1"/>
  <c r="M1473" i="1"/>
  <c r="L1473" i="1"/>
  <c r="K1473" i="1"/>
  <c r="J1473" i="1"/>
  <c r="I1473" i="1"/>
  <c r="H1473" i="1"/>
  <c r="G1473" i="1"/>
  <c r="R1472" i="1"/>
  <c r="Q1472" i="1"/>
  <c r="P1472" i="1"/>
  <c r="O1472" i="1"/>
  <c r="N1472" i="1"/>
  <c r="M1472" i="1"/>
  <c r="L1472" i="1"/>
  <c r="K1472" i="1"/>
  <c r="J1472" i="1"/>
  <c r="I1472" i="1"/>
  <c r="H1472" i="1"/>
  <c r="G1472" i="1"/>
  <c r="R1471" i="1"/>
  <c r="Q1471" i="1"/>
  <c r="P1471" i="1"/>
  <c r="O1471" i="1"/>
  <c r="N1471" i="1"/>
  <c r="M1471" i="1"/>
  <c r="L1471" i="1"/>
  <c r="K1471" i="1"/>
  <c r="J1471" i="1"/>
  <c r="I1471" i="1"/>
  <c r="H1471" i="1"/>
  <c r="G1471" i="1"/>
  <c r="R1470" i="1"/>
  <c r="Q1470" i="1"/>
  <c r="P1470" i="1"/>
  <c r="O1470" i="1"/>
  <c r="N1470" i="1"/>
  <c r="M1470" i="1"/>
  <c r="L1470" i="1"/>
  <c r="K1470" i="1"/>
  <c r="J1470" i="1"/>
  <c r="I1470" i="1"/>
  <c r="H1470" i="1"/>
  <c r="G1470" i="1"/>
  <c r="R1469" i="1"/>
  <c r="Q1469" i="1"/>
  <c r="P1469" i="1"/>
  <c r="O1469" i="1"/>
  <c r="N1469" i="1"/>
  <c r="M1469" i="1"/>
  <c r="L1469" i="1"/>
  <c r="K1469" i="1"/>
  <c r="J1469" i="1"/>
  <c r="I1469" i="1"/>
  <c r="H1469" i="1"/>
  <c r="G1469" i="1"/>
  <c r="R1468" i="1"/>
  <c r="Q1468" i="1"/>
  <c r="P1468" i="1"/>
  <c r="O1468" i="1"/>
  <c r="N1468" i="1"/>
  <c r="M1468" i="1"/>
  <c r="L1468" i="1"/>
  <c r="K1468" i="1"/>
  <c r="J1468" i="1"/>
  <c r="I1468" i="1"/>
  <c r="H1468" i="1"/>
  <c r="G1468" i="1"/>
  <c r="R1467" i="1"/>
  <c r="Q1467" i="1"/>
  <c r="P1467" i="1"/>
  <c r="O1467" i="1"/>
  <c r="N1467" i="1"/>
  <c r="M1467" i="1"/>
  <c r="L1467" i="1"/>
  <c r="K1467" i="1"/>
  <c r="J1467" i="1"/>
  <c r="I1467" i="1"/>
  <c r="H1467" i="1"/>
  <c r="G1467" i="1"/>
  <c r="R1466" i="1"/>
  <c r="Q1466" i="1"/>
  <c r="P1466" i="1"/>
  <c r="O1466" i="1"/>
  <c r="N1466" i="1"/>
  <c r="M1466" i="1"/>
  <c r="L1466" i="1"/>
  <c r="K1466" i="1"/>
  <c r="J1466" i="1"/>
  <c r="I1466" i="1"/>
  <c r="H1466" i="1"/>
  <c r="G1466" i="1"/>
  <c r="R1465" i="1"/>
  <c r="Q1465" i="1"/>
  <c r="P1465" i="1"/>
  <c r="O1465" i="1"/>
  <c r="N1465" i="1"/>
  <c r="M1465" i="1"/>
  <c r="L1465" i="1"/>
  <c r="K1465" i="1"/>
  <c r="J1465" i="1"/>
  <c r="I1465" i="1"/>
  <c r="H1465" i="1"/>
  <c r="G1465" i="1"/>
  <c r="R1464" i="1"/>
  <c r="Q1464" i="1"/>
  <c r="P1464" i="1"/>
  <c r="O1464" i="1"/>
  <c r="N1464" i="1"/>
  <c r="M1464" i="1"/>
  <c r="L1464" i="1"/>
  <c r="K1464" i="1"/>
  <c r="J1464" i="1"/>
  <c r="I1464" i="1"/>
  <c r="H1464" i="1"/>
  <c r="G1464" i="1"/>
  <c r="R1463" i="1"/>
  <c r="Q1463" i="1"/>
  <c r="P1463" i="1"/>
  <c r="O1463" i="1"/>
  <c r="N1463" i="1"/>
  <c r="M1463" i="1"/>
  <c r="L1463" i="1"/>
  <c r="K1463" i="1"/>
  <c r="J1463" i="1"/>
  <c r="I1463" i="1"/>
  <c r="H1463" i="1"/>
  <c r="G1463" i="1"/>
  <c r="R1462" i="1"/>
  <c r="Q1462" i="1"/>
  <c r="P1462" i="1"/>
  <c r="O1462" i="1"/>
  <c r="N1462" i="1"/>
  <c r="M1462" i="1"/>
  <c r="L1462" i="1"/>
  <c r="K1462" i="1"/>
  <c r="J1462" i="1"/>
  <c r="I1462" i="1"/>
  <c r="H1462" i="1"/>
  <c r="G1462" i="1"/>
  <c r="R1461" i="1"/>
  <c r="Q1461" i="1"/>
  <c r="P1461" i="1"/>
  <c r="O1461" i="1"/>
  <c r="N1461" i="1"/>
  <c r="M1461" i="1"/>
  <c r="L1461" i="1"/>
  <c r="K1461" i="1"/>
  <c r="J1461" i="1"/>
  <c r="I1461" i="1"/>
  <c r="H1461" i="1"/>
  <c r="G1461" i="1"/>
  <c r="R1460" i="1"/>
  <c r="Q1460" i="1"/>
  <c r="P1460" i="1"/>
  <c r="O1460" i="1"/>
  <c r="N1460" i="1"/>
  <c r="M1460" i="1"/>
  <c r="L1460" i="1"/>
  <c r="K1460" i="1"/>
  <c r="J1460" i="1"/>
  <c r="I1460" i="1"/>
  <c r="H1460" i="1"/>
  <c r="G1460" i="1"/>
  <c r="R1459" i="1"/>
  <c r="Q1459" i="1"/>
  <c r="P1459" i="1"/>
  <c r="O1459" i="1"/>
  <c r="N1459" i="1"/>
  <c r="M1459" i="1"/>
  <c r="L1459" i="1"/>
  <c r="K1459" i="1"/>
  <c r="J1459" i="1"/>
  <c r="I1459" i="1"/>
  <c r="H1459" i="1"/>
  <c r="G1459" i="1"/>
  <c r="R1458" i="1"/>
  <c r="Q1458" i="1"/>
  <c r="P1458" i="1"/>
  <c r="O1458" i="1"/>
  <c r="N1458" i="1"/>
  <c r="M1458" i="1"/>
  <c r="L1458" i="1"/>
  <c r="K1458" i="1"/>
  <c r="J1458" i="1"/>
  <c r="I1458" i="1"/>
  <c r="H1458" i="1"/>
  <c r="G1458" i="1"/>
  <c r="R1457" i="1"/>
  <c r="Q1457" i="1"/>
  <c r="P1457" i="1"/>
  <c r="O1457" i="1"/>
  <c r="N1457" i="1"/>
  <c r="M1457" i="1"/>
  <c r="L1457" i="1"/>
  <c r="K1457" i="1"/>
  <c r="J1457" i="1"/>
  <c r="I1457" i="1"/>
  <c r="H1457" i="1"/>
  <c r="G1457" i="1"/>
  <c r="R1456" i="1"/>
  <c r="Q1456" i="1"/>
  <c r="P1456" i="1"/>
  <c r="O1456" i="1"/>
  <c r="N1456" i="1"/>
  <c r="M1456" i="1"/>
  <c r="L1456" i="1"/>
  <c r="K1456" i="1"/>
  <c r="J1456" i="1"/>
  <c r="I1456" i="1"/>
  <c r="H1456" i="1"/>
  <c r="G1456" i="1"/>
  <c r="R1455" i="1"/>
  <c r="Q1455" i="1"/>
  <c r="P1455" i="1"/>
  <c r="O1455" i="1"/>
  <c r="N1455" i="1"/>
  <c r="M1455" i="1"/>
  <c r="L1455" i="1"/>
  <c r="K1455" i="1"/>
  <c r="J1455" i="1"/>
  <c r="I1455" i="1"/>
  <c r="H1455" i="1"/>
  <c r="G1455" i="1"/>
  <c r="R1454" i="1"/>
  <c r="Q1454" i="1"/>
  <c r="P1454" i="1"/>
  <c r="O1454" i="1"/>
  <c r="N1454" i="1"/>
  <c r="M1454" i="1"/>
  <c r="L1454" i="1"/>
  <c r="K1454" i="1"/>
  <c r="J1454" i="1"/>
  <c r="I1454" i="1"/>
  <c r="H1454" i="1"/>
  <c r="G1454" i="1"/>
  <c r="R1453" i="1"/>
  <c r="Q1453" i="1"/>
  <c r="P1453" i="1"/>
  <c r="O1453" i="1"/>
  <c r="N1453" i="1"/>
  <c r="M1453" i="1"/>
  <c r="L1453" i="1"/>
  <c r="K1453" i="1"/>
  <c r="J1453" i="1"/>
  <c r="I1453" i="1"/>
  <c r="H1453" i="1"/>
  <c r="G1453" i="1"/>
  <c r="R1452" i="1"/>
  <c r="Q1452" i="1"/>
  <c r="P1452" i="1"/>
  <c r="O1452" i="1"/>
  <c r="N1452" i="1"/>
  <c r="M1452" i="1"/>
  <c r="L1452" i="1"/>
  <c r="K1452" i="1"/>
  <c r="J1452" i="1"/>
  <c r="I1452" i="1"/>
  <c r="H1452" i="1"/>
  <c r="G1452" i="1"/>
  <c r="R1451" i="1"/>
  <c r="Q1451" i="1"/>
  <c r="P1451" i="1"/>
  <c r="O1451" i="1"/>
  <c r="N1451" i="1"/>
  <c r="M1451" i="1"/>
  <c r="L1451" i="1"/>
  <c r="K1451" i="1"/>
  <c r="J1451" i="1"/>
  <c r="I1451" i="1"/>
  <c r="H1451" i="1"/>
  <c r="G1451" i="1"/>
  <c r="R1450" i="1"/>
  <c r="Q1450" i="1"/>
  <c r="P1450" i="1"/>
  <c r="O1450" i="1"/>
  <c r="N1450" i="1"/>
  <c r="M1450" i="1"/>
  <c r="L1450" i="1"/>
  <c r="K1450" i="1"/>
  <c r="J1450" i="1"/>
  <c r="I1450" i="1"/>
  <c r="H1450" i="1"/>
  <c r="G1450" i="1"/>
  <c r="R1449" i="1"/>
  <c r="Q1449" i="1"/>
  <c r="P1449" i="1"/>
  <c r="O1449" i="1"/>
  <c r="N1449" i="1"/>
  <c r="M1449" i="1"/>
  <c r="L1449" i="1"/>
  <c r="K1449" i="1"/>
  <c r="J1449" i="1"/>
  <c r="I1449" i="1"/>
  <c r="H1449" i="1"/>
  <c r="G1449" i="1"/>
  <c r="R1448" i="1"/>
  <c r="Q1448" i="1"/>
  <c r="P1448" i="1"/>
  <c r="O1448" i="1"/>
  <c r="N1448" i="1"/>
  <c r="M1448" i="1"/>
  <c r="L1448" i="1"/>
  <c r="K1448" i="1"/>
  <c r="J1448" i="1"/>
  <c r="I1448" i="1"/>
  <c r="H1448" i="1"/>
  <c r="G1448" i="1"/>
  <c r="R1447" i="1"/>
  <c r="Q1447" i="1"/>
  <c r="P1447" i="1"/>
  <c r="O1447" i="1"/>
  <c r="N1447" i="1"/>
  <c r="M1447" i="1"/>
  <c r="L1447" i="1"/>
  <c r="K1447" i="1"/>
  <c r="J1447" i="1"/>
  <c r="I1447" i="1"/>
  <c r="H1447" i="1"/>
  <c r="G1447" i="1"/>
  <c r="R1446" i="1"/>
  <c r="Q1446" i="1"/>
  <c r="P1446" i="1"/>
  <c r="O1446" i="1"/>
  <c r="N1446" i="1"/>
  <c r="M1446" i="1"/>
  <c r="L1446" i="1"/>
  <c r="K1446" i="1"/>
  <c r="J1446" i="1"/>
  <c r="I1446" i="1"/>
  <c r="H1446" i="1"/>
  <c r="G1446" i="1"/>
  <c r="R1445" i="1"/>
  <c r="Q1445" i="1"/>
  <c r="P1445" i="1"/>
  <c r="O1445" i="1"/>
  <c r="N1445" i="1"/>
  <c r="M1445" i="1"/>
  <c r="L1445" i="1"/>
  <c r="K1445" i="1"/>
  <c r="J1445" i="1"/>
  <c r="I1445" i="1"/>
  <c r="H1445" i="1"/>
  <c r="G1445" i="1"/>
  <c r="R1444" i="1"/>
  <c r="Q1444" i="1"/>
  <c r="P1444" i="1"/>
  <c r="O1444" i="1"/>
  <c r="N1444" i="1"/>
  <c r="M1444" i="1"/>
  <c r="L1444" i="1"/>
  <c r="K1444" i="1"/>
  <c r="J1444" i="1"/>
  <c r="I1444" i="1"/>
  <c r="H1444" i="1"/>
  <c r="G1444" i="1"/>
  <c r="R1443" i="1"/>
  <c r="Q1443" i="1"/>
  <c r="P1443" i="1"/>
  <c r="O1443" i="1"/>
  <c r="N1443" i="1"/>
  <c r="M1443" i="1"/>
  <c r="L1443" i="1"/>
  <c r="K1443" i="1"/>
  <c r="J1443" i="1"/>
  <c r="I1443" i="1"/>
  <c r="H1443" i="1"/>
  <c r="G1443" i="1"/>
  <c r="R1442" i="1"/>
  <c r="Q1442" i="1"/>
  <c r="P1442" i="1"/>
  <c r="O1442" i="1"/>
  <c r="N1442" i="1"/>
  <c r="M1442" i="1"/>
  <c r="L1442" i="1"/>
  <c r="K1442" i="1"/>
  <c r="J1442" i="1"/>
  <c r="I1442" i="1"/>
  <c r="H1442" i="1"/>
  <c r="G1442" i="1"/>
  <c r="R1441" i="1"/>
  <c r="Q1441" i="1"/>
  <c r="P1441" i="1"/>
  <c r="O1441" i="1"/>
  <c r="N1441" i="1"/>
  <c r="M1441" i="1"/>
  <c r="L1441" i="1"/>
  <c r="K1441" i="1"/>
  <c r="J1441" i="1"/>
  <c r="I1441" i="1"/>
  <c r="H1441" i="1"/>
  <c r="G1441" i="1"/>
  <c r="R1440" i="1"/>
  <c r="Q1440" i="1"/>
  <c r="P1440" i="1"/>
  <c r="O1440" i="1"/>
  <c r="N1440" i="1"/>
  <c r="M1440" i="1"/>
  <c r="L1440" i="1"/>
  <c r="K1440" i="1"/>
  <c r="J1440" i="1"/>
  <c r="I1440" i="1"/>
  <c r="H1440" i="1"/>
  <c r="G1440" i="1"/>
  <c r="R1439" i="1"/>
  <c r="Q1439" i="1"/>
  <c r="P1439" i="1"/>
  <c r="O1439" i="1"/>
  <c r="N1439" i="1"/>
  <c r="M1439" i="1"/>
  <c r="L1439" i="1"/>
  <c r="K1439" i="1"/>
  <c r="J1439" i="1"/>
  <c r="I1439" i="1"/>
  <c r="H1439" i="1"/>
  <c r="G1439" i="1"/>
  <c r="R1438" i="1"/>
  <c r="Q1438" i="1"/>
  <c r="P1438" i="1"/>
  <c r="O1438" i="1"/>
  <c r="N1438" i="1"/>
  <c r="M1438" i="1"/>
  <c r="L1438" i="1"/>
  <c r="K1438" i="1"/>
  <c r="J1438" i="1"/>
  <c r="I1438" i="1"/>
  <c r="H1438" i="1"/>
  <c r="G1438" i="1"/>
  <c r="R1437" i="1"/>
  <c r="Q1437" i="1"/>
  <c r="P1437" i="1"/>
  <c r="O1437" i="1"/>
  <c r="N1437" i="1"/>
  <c r="M1437" i="1"/>
  <c r="L1437" i="1"/>
  <c r="K1437" i="1"/>
  <c r="J1437" i="1"/>
  <c r="I1437" i="1"/>
  <c r="H1437" i="1"/>
  <c r="G1437" i="1"/>
  <c r="R1436" i="1"/>
  <c r="Q1436" i="1"/>
  <c r="P1436" i="1"/>
  <c r="O1436" i="1"/>
  <c r="N1436" i="1"/>
  <c r="M1436" i="1"/>
  <c r="L1436" i="1"/>
  <c r="K1436" i="1"/>
  <c r="J1436" i="1"/>
  <c r="I1436" i="1"/>
  <c r="H1436" i="1"/>
  <c r="G1436" i="1"/>
  <c r="R1435" i="1"/>
  <c r="Q1435" i="1"/>
  <c r="P1435" i="1"/>
  <c r="O1435" i="1"/>
  <c r="N1435" i="1"/>
  <c r="M1435" i="1"/>
  <c r="L1435" i="1"/>
  <c r="K1435" i="1"/>
  <c r="J1435" i="1"/>
  <c r="I1435" i="1"/>
  <c r="H1435" i="1"/>
  <c r="G1435" i="1"/>
  <c r="R1434" i="1"/>
  <c r="Q1434" i="1"/>
  <c r="P1434" i="1"/>
  <c r="O1434" i="1"/>
  <c r="N1434" i="1"/>
  <c r="M1434" i="1"/>
  <c r="L1434" i="1"/>
  <c r="K1434" i="1"/>
  <c r="J1434" i="1"/>
  <c r="I1434" i="1"/>
  <c r="H1434" i="1"/>
  <c r="G1434" i="1"/>
  <c r="R1433" i="1"/>
  <c r="Q1433" i="1"/>
  <c r="P1433" i="1"/>
  <c r="O1433" i="1"/>
  <c r="N1433" i="1"/>
  <c r="M1433" i="1"/>
  <c r="L1433" i="1"/>
  <c r="K1433" i="1"/>
  <c r="J1433" i="1"/>
  <c r="I1433" i="1"/>
  <c r="H1433" i="1"/>
  <c r="G1433" i="1"/>
  <c r="R1432" i="1"/>
  <c r="Q1432" i="1"/>
  <c r="P1432" i="1"/>
  <c r="O1432" i="1"/>
  <c r="N1432" i="1"/>
  <c r="M1432" i="1"/>
  <c r="L1432" i="1"/>
  <c r="K1432" i="1"/>
  <c r="J1432" i="1"/>
  <c r="I1432" i="1"/>
  <c r="H1432" i="1"/>
  <c r="G1432" i="1"/>
  <c r="R1431" i="1"/>
  <c r="Q1431" i="1"/>
  <c r="P1431" i="1"/>
  <c r="O1431" i="1"/>
  <c r="N1431" i="1"/>
  <c r="M1431" i="1"/>
  <c r="L1431" i="1"/>
  <c r="K1431" i="1"/>
  <c r="J1431" i="1"/>
  <c r="I1431" i="1"/>
  <c r="H1431" i="1"/>
  <c r="G1431" i="1"/>
  <c r="R1430" i="1"/>
  <c r="Q1430" i="1"/>
  <c r="P1430" i="1"/>
  <c r="O1430" i="1"/>
  <c r="N1430" i="1"/>
  <c r="M1430" i="1"/>
  <c r="L1430" i="1"/>
  <c r="K1430" i="1"/>
  <c r="J1430" i="1"/>
  <c r="I1430" i="1"/>
  <c r="H1430" i="1"/>
  <c r="G1430" i="1"/>
  <c r="R1429" i="1"/>
  <c r="Q1429" i="1"/>
  <c r="P1429" i="1"/>
  <c r="O1429" i="1"/>
  <c r="N1429" i="1"/>
  <c r="M1429" i="1"/>
  <c r="L1429" i="1"/>
  <c r="K1429" i="1"/>
  <c r="J1429" i="1"/>
  <c r="I1429" i="1"/>
  <c r="H1429" i="1"/>
  <c r="G1429" i="1"/>
  <c r="R1428" i="1"/>
  <c r="Q1428" i="1"/>
  <c r="P1428" i="1"/>
  <c r="O1428" i="1"/>
  <c r="N1428" i="1"/>
  <c r="M1428" i="1"/>
  <c r="L1428" i="1"/>
  <c r="K1428" i="1"/>
  <c r="J1428" i="1"/>
  <c r="I1428" i="1"/>
  <c r="H1428" i="1"/>
  <c r="G1428" i="1"/>
  <c r="R1427" i="1"/>
  <c r="Q1427" i="1"/>
  <c r="P1427" i="1"/>
  <c r="O1427" i="1"/>
  <c r="N1427" i="1"/>
  <c r="M1427" i="1"/>
  <c r="L1427" i="1"/>
  <c r="K1427" i="1"/>
  <c r="J1427" i="1"/>
  <c r="I1427" i="1"/>
  <c r="H1427" i="1"/>
  <c r="G1427" i="1"/>
  <c r="R1426" i="1"/>
  <c r="Q1426" i="1"/>
  <c r="P1426" i="1"/>
  <c r="O1426" i="1"/>
  <c r="N1426" i="1"/>
  <c r="M1426" i="1"/>
  <c r="L1426" i="1"/>
  <c r="K1426" i="1"/>
  <c r="J1426" i="1"/>
  <c r="I1426" i="1"/>
  <c r="H1426" i="1"/>
  <c r="G1426" i="1"/>
  <c r="R1425" i="1"/>
  <c r="Q1425" i="1"/>
  <c r="P1425" i="1"/>
  <c r="O1425" i="1"/>
  <c r="N1425" i="1"/>
  <c r="M1425" i="1"/>
  <c r="L1425" i="1"/>
  <c r="K1425" i="1"/>
  <c r="J1425" i="1"/>
  <c r="I1425" i="1"/>
  <c r="H1425" i="1"/>
  <c r="G1425" i="1"/>
  <c r="R1424" i="1"/>
  <c r="Q1424" i="1"/>
  <c r="P1424" i="1"/>
  <c r="O1424" i="1"/>
  <c r="N1424" i="1"/>
  <c r="M1424" i="1"/>
  <c r="L1424" i="1"/>
  <c r="K1424" i="1"/>
  <c r="J1424" i="1"/>
  <c r="I1424" i="1"/>
  <c r="H1424" i="1"/>
  <c r="G1424" i="1"/>
  <c r="R1423" i="1"/>
  <c r="Q1423" i="1"/>
  <c r="P1423" i="1"/>
  <c r="O1423" i="1"/>
  <c r="N1423" i="1"/>
  <c r="M1423" i="1"/>
  <c r="L1423" i="1"/>
  <c r="K1423" i="1"/>
  <c r="J1423" i="1"/>
  <c r="I1423" i="1"/>
  <c r="H1423" i="1"/>
  <c r="G1423" i="1"/>
  <c r="R1422" i="1"/>
  <c r="Q1422" i="1"/>
  <c r="P1422" i="1"/>
  <c r="O1422" i="1"/>
  <c r="N1422" i="1"/>
  <c r="M1422" i="1"/>
  <c r="L1422" i="1"/>
  <c r="K1422" i="1"/>
  <c r="J1422" i="1"/>
  <c r="I1422" i="1"/>
  <c r="H1422" i="1"/>
  <c r="G1422" i="1"/>
  <c r="R1421" i="1"/>
  <c r="Q1421" i="1"/>
  <c r="P1421" i="1"/>
  <c r="O1421" i="1"/>
  <c r="N1421" i="1"/>
  <c r="M1421" i="1"/>
  <c r="L1421" i="1"/>
  <c r="K1421" i="1"/>
  <c r="J1421" i="1"/>
  <c r="I1421" i="1"/>
  <c r="H1421" i="1"/>
  <c r="G1421" i="1"/>
  <c r="R1420" i="1"/>
  <c r="Q1420" i="1"/>
  <c r="P1420" i="1"/>
  <c r="O1420" i="1"/>
  <c r="N1420" i="1"/>
  <c r="M1420" i="1"/>
  <c r="L1420" i="1"/>
  <c r="K1420" i="1"/>
  <c r="J1420" i="1"/>
  <c r="I1420" i="1"/>
  <c r="H1420" i="1"/>
  <c r="G1420" i="1"/>
  <c r="R1419" i="1"/>
  <c r="Q1419" i="1"/>
  <c r="P1419" i="1"/>
  <c r="O1419" i="1"/>
  <c r="N1419" i="1"/>
  <c r="M1419" i="1"/>
  <c r="L1419" i="1"/>
  <c r="K1419" i="1"/>
  <c r="J1419" i="1"/>
  <c r="I1419" i="1"/>
  <c r="H1419" i="1"/>
  <c r="G1419" i="1"/>
  <c r="R1418" i="1"/>
  <c r="Q1418" i="1"/>
  <c r="P1418" i="1"/>
  <c r="O1418" i="1"/>
  <c r="N1418" i="1"/>
  <c r="M1418" i="1"/>
  <c r="L1418" i="1"/>
  <c r="K1418" i="1"/>
  <c r="J1418" i="1"/>
  <c r="I1418" i="1"/>
  <c r="H1418" i="1"/>
  <c r="G1418" i="1"/>
  <c r="R1417" i="1"/>
  <c r="Q1417" i="1"/>
  <c r="P1417" i="1"/>
  <c r="O1417" i="1"/>
  <c r="N1417" i="1"/>
  <c r="M1417" i="1"/>
  <c r="L1417" i="1"/>
  <c r="K1417" i="1"/>
  <c r="J1417" i="1"/>
  <c r="I1417" i="1"/>
  <c r="H1417" i="1"/>
  <c r="G1417" i="1"/>
  <c r="R1416" i="1"/>
  <c r="Q1416" i="1"/>
  <c r="P1416" i="1"/>
  <c r="O1416" i="1"/>
  <c r="N1416" i="1"/>
  <c r="M1416" i="1"/>
  <c r="L1416" i="1"/>
  <c r="K1416" i="1"/>
  <c r="J1416" i="1"/>
  <c r="I1416" i="1"/>
  <c r="H1416" i="1"/>
  <c r="G1416" i="1"/>
  <c r="R1415" i="1"/>
  <c r="Q1415" i="1"/>
  <c r="P1415" i="1"/>
  <c r="O1415" i="1"/>
  <c r="N1415" i="1"/>
  <c r="M1415" i="1"/>
  <c r="L1415" i="1"/>
  <c r="K1415" i="1"/>
  <c r="J1415" i="1"/>
  <c r="I1415" i="1"/>
  <c r="H1415" i="1"/>
  <c r="G1415" i="1"/>
  <c r="R1414" i="1"/>
  <c r="Q1414" i="1"/>
  <c r="P1414" i="1"/>
  <c r="O1414" i="1"/>
  <c r="N1414" i="1"/>
  <c r="M1414" i="1"/>
  <c r="L1414" i="1"/>
  <c r="K1414" i="1"/>
  <c r="J1414" i="1"/>
  <c r="I1414" i="1"/>
  <c r="H1414" i="1"/>
  <c r="G1414" i="1"/>
  <c r="R1413" i="1"/>
  <c r="Q1413" i="1"/>
  <c r="P1413" i="1"/>
  <c r="O1413" i="1"/>
  <c r="N1413" i="1"/>
  <c r="M1413" i="1"/>
  <c r="L1413" i="1"/>
  <c r="K1413" i="1"/>
  <c r="J1413" i="1"/>
  <c r="I1413" i="1"/>
  <c r="H1413" i="1"/>
  <c r="G1413" i="1"/>
  <c r="R1412" i="1"/>
  <c r="Q1412" i="1"/>
  <c r="P1412" i="1"/>
  <c r="O1412" i="1"/>
  <c r="N1412" i="1"/>
  <c r="M1412" i="1"/>
  <c r="L1412" i="1"/>
  <c r="K1412" i="1"/>
  <c r="J1412" i="1"/>
  <c r="I1412" i="1"/>
  <c r="H1412" i="1"/>
  <c r="G1412" i="1"/>
  <c r="R1411" i="1"/>
  <c r="Q1411" i="1"/>
  <c r="P1411" i="1"/>
  <c r="O1411" i="1"/>
  <c r="N1411" i="1"/>
  <c r="M1411" i="1"/>
  <c r="L1411" i="1"/>
  <c r="K1411" i="1"/>
  <c r="J1411" i="1"/>
  <c r="I1411" i="1"/>
  <c r="H1411" i="1"/>
  <c r="G1411" i="1"/>
  <c r="R1410" i="1"/>
  <c r="Q1410" i="1"/>
  <c r="P1410" i="1"/>
  <c r="O1410" i="1"/>
  <c r="N1410" i="1"/>
  <c r="M1410" i="1"/>
  <c r="L1410" i="1"/>
  <c r="K1410" i="1"/>
  <c r="J1410" i="1"/>
  <c r="I1410" i="1"/>
  <c r="H1410" i="1"/>
  <c r="G1410" i="1"/>
  <c r="R1409" i="1"/>
  <c r="Q1409" i="1"/>
  <c r="P1409" i="1"/>
  <c r="O1409" i="1"/>
  <c r="N1409" i="1"/>
  <c r="M1409" i="1"/>
  <c r="L1409" i="1"/>
  <c r="K1409" i="1"/>
  <c r="J1409" i="1"/>
  <c r="I1409" i="1"/>
  <c r="H1409" i="1"/>
  <c r="G1409" i="1"/>
  <c r="R1408" i="1"/>
  <c r="Q1408" i="1"/>
  <c r="P1408" i="1"/>
  <c r="O1408" i="1"/>
  <c r="N1408" i="1"/>
  <c r="M1408" i="1"/>
  <c r="L1408" i="1"/>
  <c r="K1408" i="1"/>
  <c r="J1408" i="1"/>
  <c r="I1408" i="1"/>
  <c r="H1408" i="1"/>
  <c r="G1408" i="1"/>
  <c r="R1407" i="1"/>
  <c r="Q1407" i="1"/>
  <c r="P1407" i="1"/>
  <c r="O1407" i="1"/>
  <c r="N1407" i="1"/>
  <c r="M1407" i="1"/>
  <c r="L1407" i="1"/>
  <c r="K1407" i="1"/>
  <c r="J1407" i="1"/>
  <c r="I1407" i="1"/>
  <c r="H1407" i="1"/>
  <c r="G1407" i="1"/>
  <c r="R1406" i="1"/>
  <c r="Q1406" i="1"/>
  <c r="P1406" i="1"/>
  <c r="O1406" i="1"/>
  <c r="N1406" i="1"/>
  <c r="M1406" i="1"/>
  <c r="L1406" i="1"/>
  <c r="K1406" i="1"/>
  <c r="J1406" i="1"/>
  <c r="I1406" i="1"/>
  <c r="H1406" i="1"/>
  <c r="G1406" i="1"/>
  <c r="R1405" i="1"/>
  <c r="Q1405" i="1"/>
  <c r="P1405" i="1"/>
  <c r="O1405" i="1"/>
  <c r="N1405" i="1"/>
  <c r="M1405" i="1"/>
  <c r="L1405" i="1"/>
  <c r="K1405" i="1"/>
  <c r="J1405" i="1"/>
  <c r="I1405" i="1"/>
  <c r="H1405" i="1"/>
  <c r="G1405" i="1"/>
  <c r="R1404" i="1"/>
  <c r="Q1404" i="1"/>
  <c r="P1404" i="1"/>
  <c r="O1404" i="1"/>
  <c r="N1404" i="1"/>
  <c r="M1404" i="1"/>
  <c r="L1404" i="1"/>
  <c r="K1404" i="1"/>
  <c r="J1404" i="1"/>
  <c r="I1404" i="1"/>
  <c r="H1404" i="1"/>
  <c r="G1404" i="1"/>
  <c r="R1403" i="1"/>
  <c r="Q1403" i="1"/>
  <c r="P1403" i="1"/>
  <c r="O1403" i="1"/>
  <c r="N1403" i="1"/>
  <c r="M1403" i="1"/>
  <c r="L1403" i="1"/>
  <c r="K1403" i="1"/>
  <c r="J1403" i="1"/>
  <c r="I1403" i="1"/>
  <c r="H1403" i="1"/>
  <c r="G1403" i="1"/>
  <c r="R1402" i="1"/>
  <c r="Q1402" i="1"/>
  <c r="P1402" i="1"/>
  <c r="O1402" i="1"/>
  <c r="N1402" i="1"/>
  <c r="M1402" i="1"/>
  <c r="L1402" i="1"/>
  <c r="K1402" i="1"/>
  <c r="J1402" i="1"/>
  <c r="I1402" i="1"/>
  <c r="H1402" i="1"/>
  <c r="G1402" i="1"/>
  <c r="R1401" i="1"/>
  <c r="Q1401" i="1"/>
  <c r="P1401" i="1"/>
  <c r="O1401" i="1"/>
  <c r="N1401" i="1"/>
  <c r="M1401" i="1"/>
  <c r="L1401" i="1"/>
  <c r="K1401" i="1"/>
  <c r="J1401" i="1"/>
  <c r="I1401" i="1"/>
  <c r="H1401" i="1"/>
  <c r="G1401" i="1"/>
  <c r="R1400" i="1"/>
  <c r="Q1400" i="1"/>
  <c r="P1400" i="1"/>
  <c r="O1400" i="1"/>
  <c r="N1400" i="1"/>
  <c r="M1400" i="1"/>
  <c r="L1400" i="1"/>
  <c r="K1400" i="1"/>
  <c r="J1400" i="1"/>
  <c r="I1400" i="1"/>
  <c r="H1400" i="1"/>
  <c r="G1400" i="1"/>
  <c r="R1399" i="1"/>
  <c r="Q1399" i="1"/>
  <c r="P1399" i="1"/>
  <c r="O1399" i="1"/>
  <c r="N1399" i="1"/>
  <c r="M1399" i="1"/>
  <c r="L1399" i="1"/>
  <c r="K1399" i="1"/>
  <c r="J1399" i="1"/>
  <c r="I1399" i="1"/>
  <c r="H1399" i="1"/>
  <c r="G1399" i="1"/>
  <c r="R1398" i="1"/>
  <c r="Q1398" i="1"/>
  <c r="P1398" i="1"/>
  <c r="O1398" i="1"/>
  <c r="N1398" i="1"/>
  <c r="M1398" i="1"/>
  <c r="L1398" i="1"/>
  <c r="K1398" i="1"/>
  <c r="J1398" i="1"/>
  <c r="I1398" i="1"/>
  <c r="H1398" i="1"/>
  <c r="G1398" i="1"/>
  <c r="R1397" i="1"/>
  <c r="Q1397" i="1"/>
  <c r="P1397" i="1"/>
  <c r="O1397" i="1"/>
  <c r="N1397" i="1"/>
  <c r="M1397" i="1"/>
  <c r="L1397" i="1"/>
  <c r="K1397" i="1"/>
  <c r="J1397" i="1"/>
  <c r="I1397" i="1"/>
  <c r="H1397" i="1"/>
  <c r="G1397" i="1"/>
  <c r="R1396" i="1"/>
  <c r="Q1396" i="1"/>
  <c r="P1396" i="1"/>
  <c r="O1396" i="1"/>
  <c r="N1396" i="1"/>
  <c r="M1396" i="1"/>
  <c r="L1396" i="1"/>
  <c r="K1396" i="1"/>
  <c r="J1396" i="1"/>
  <c r="I1396" i="1"/>
  <c r="H1396" i="1"/>
  <c r="G1396" i="1"/>
  <c r="R1395" i="1"/>
  <c r="Q1395" i="1"/>
  <c r="P1395" i="1"/>
  <c r="O1395" i="1"/>
  <c r="N1395" i="1"/>
  <c r="M1395" i="1"/>
  <c r="L1395" i="1"/>
  <c r="K1395" i="1"/>
  <c r="J1395" i="1"/>
  <c r="I1395" i="1"/>
  <c r="H1395" i="1"/>
  <c r="G1395" i="1"/>
  <c r="R1394" i="1"/>
  <c r="Q1394" i="1"/>
  <c r="P1394" i="1"/>
  <c r="O1394" i="1"/>
  <c r="N1394" i="1"/>
  <c r="M1394" i="1"/>
  <c r="L1394" i="1"/>
  <c r="K1394" i="1"/>
  <c r="J1394" i="1"/>
  <c r="I1394" i="1"/>
  <c r="H1394" i="1"/>
  <c r="G1394" i="1"/>
  <c r="R1393" i="1"/>
  <c r="Q1393" i="1"/>
  <c r="P1393" i="1"/>
  <c r="O1393" i="1"/>
  <c r="N1393" i="1"/>
  <c r="M1393" i="1"/>
  <c r="L1393" i="1"/>
  <c r="K1393" i="1"/>
  <c r="J1393" i="1"/>
  <c r="I1393" i="1"/>
  <c r="H1393" i="1"/>
  <c r="G1393" i="1"/>
  <c r="R1392" i="1"/>
  <c r="Q1392" i="1"/>
  <c r="P1392" i="1"/>
  <c r="O1392" i="1"/>
  <c r="N1392" i="1"/>
  <c r="M1392" i="1"/>
  <c r="L1392" i="1"/>
  <c r="K1392" i="1"/>
  <c r="J1392" i="1"/>
  <c r="I1392" i="1"/>
  <c r="H1392" i="1"/>
  <c r="G1392" i="1"/>
  <c r="R1391" i="1"/>
  <c r="Q1391" i="1"/>
  <c r="P1391" i="1"/>
  <c r="O1391" i="1"/>
  <c r="N1391" i="1"/>
  <c r="M1391" i="1"/>
  <c r="L1391" i="1"/>
  <c r="K1391" i="1"/>
  <c r="J1391" i="1"/>
  <c r="I1391" i="1"/>
  <c r="H1391" i="1"/>
  <c r="G1391" i="1"/>
  <c r="R1390" i="1"/>
  <c r="Q1390" i="1"/>
  <c r="P1390" i="1"/>
  <c r="O1390" i="1"/>
  <c r="N1390" i="1"/>
  <c r="M1390" i="1"/>
  <c r="L1390" i="1"/>
  <c r="K1390" i="1"/>
  <c r="J1390" i="1"/>
  <c r="I1390" i="1"/>
  <c r="H1390" i="1"/>
  <c r="G1390" i="1"/>
  <c r="R1389" i="1"/>
  <c r="Q1389" i="1"/>
  <c r="P1389" i="1"/>
  <c r="O1389" i="1"/>
  <c r="N1389" i="1"/>
  <c r="M1389" i="1"/>
  <c r="L1389" i="1"/>
  <c r="K1389" i="1"/>
  <c r="J1389" i="1"/>
  <c r="I1389" i="1"/>
  <c r="H1389" i="1"/>
  <c r="G1389" i="1"/>
  <c r="R1388" i="1"/>
  <c r="Q1388" i="1"/>
  <c r="P1388" i="1"/>
  <c r="O1388" i="1"/>
  <c r="N1388" i="1"/>
  <c r="M1388" i="1"/>
  <c r="L1388" i="1"/>
  <c r="K1388" i="1"/>
  <c r="J1388" i="1"/>
  <c r="I1388" i="1"/>
  <c r="H1388" i="1"/>
  <c r="G1388" i="1"/>
  <c r="R1387" i="1"/>
  <c r="Q1387" i="1"/>
  <c r="P1387" i="1"/>
  <c r="O1387" i="1"/>
  <c r="N1387" i="1"/>
  <c r="M1387" i="1"/>
  <c r="L1387" i="1"/>
  <c r="K1387" i="1"/>
  <c r="J1387" i="1"/>
  <c r="I1387" i="1"/>
  <c r="H1387" i="1"/>
  <c r="G1387" i="1"/>
  <c r="R1386" i="1"/>
  <c r="Q1386" i="1"/>
  <c r="P1386" i="1"/>
  <c r="O1386" i="1"/>
  <c r="N1386" i="1"/>
  <c r="M1386" i="1"/>
  <c r="L1386" i="1"/>
  <c r="K1386" i="1"/>
  <c r="J1386" i="1"/>
  <c r="I1386" i="1"/>
  <c r="H1386" i="1"/>
  <c r="G1386" i="1"/>
  <c r="R1385" i="1"/>
  <c r="Q1385" i="1"/>
  <c r="P1385" i="1"/>
  <c r="O1385" i="1"/>
  <c r="N1385" i="1"/>
  <c r="M1385" i="1"/>
  <c r="L1385" i="1"/>
  <c r="K1385" i="1"/>
  <c r="J1385" i="1"/>
  <c r="I1385" i="1"/>
  <c r="H1385" i="1"/>
  <c r="G1385" i="1"/>
  <c r="R1384" i="1"/>
  <c r="Q1384" i="1"/>
  <c r="P1384" i="1"/>
  <c r="O1384" i="1"/>
  <c r="N1384" i="1"/>
  <c r="M1384" i="1"/>
  <c r="L1384" i="1"/>
  <c r="K1384" i="1"/>
  <c r="J1384" i="1"/>
  <c r="I1384" i="1"/>
  <c r="H1384" i="1"/>
  <c r="G1384" i="1"/>
  <c r="R1383" i="1"/>
  <c r="Q1383" i="1"/>
  <c r="P1383" i="1"/>
  <c r="O1383" i="1"/>
  <c r="N1383" i="1"/>
  <c r="M1383" i="1"/>
  <c r="L1383" i="1"/>
  <c r="K1383" i="1"/>
  <c r="J1383" i="1"/>
  <c r="I1383" i="1"/>
  <c r="H1383" i="1"/>
  <c r="G1383" i="1"/>
  <c r="R1382" i="1"/>
  <c r="Q1382" i="1"/>
  <c r="P1382" i="1"/>
  <c r="O1382" i="1"/>
  <c r="N1382" i="1"/>
  <c r="M1382" i="1"/>
  <c r="L1382" i="1"/>
  <c r="K1382" i="1"/>
  <c r="J1382" i="1"/>
  <c r="I1382" i="1"/>
  <c r="H1382" i="1"/>
  <c r="G1382" i="1"/>
  <c r="R1381" i="1"/>
  <c r="Q1381" i="1"/>
  <c r="P1381" i="1"/>
  <c r="O1381" i="1"/>
  <c r="N1381" i="1"/>
  <c r="M1381" i="1"/>
  <c r="L1381" i="1"/>
  <c r="K1381" i="1"/>
  <c r="J1381" i="1"/>
  <c r="I1381" i="1"/>
  <c r="H1381" i="1"/>
  <c r="G1381" i="1"/>
  <c r="R1380" i="1"/>
  <c r="Q1380" i="1"/>
  <c r="P1380" i="1"/>
  <c r="O1380" i="1"/>
  <c r="N1380" i="1"/>
  <c r="M1380" i="1"/>
  <c r="L1380" i="1"/>
  <c r="K1380" i="1"/>
  <c r="J1380" i="1"/>
  <c r="I1380" i="1"/>
  <c r="H1380" i="1"/>
  <c r="G1380" i="1"/>
  <c r="R1379" i="1"/>
  <c r="Q1379" i="1"/>
  <c r="P1379" i="1"/>
  <c r="O1379" i="1"/>
  <c r="N1379" i="1"/>
  <c r="M1379" i="1"/>
  <c r="L1379" i="1"/>
  <c r="K1379" i="1"/>
  <c r="J1379" i="1"/>
  <c r="I1379" i="1"/>
  <c r="H1379" i="1"/>
  <c r="G1379" i="1"/>
  <c r="R1378" i="1"/>
  <c r="Q1378" i="1"/>
  <c r="P1378" i="1"/>
  <c r="O1378" i="1"/>
  <c r="N1378" i="1"/>
  <c r="M1378" i="1"/>
  <c r="L1378" i="1"/>
  <c r="K1378" i="1"/>
  <c r="J1378" i="1"/>
  <c r="I1378" i="1"/>
  <c r="H1378" i="1"/>
  <c r="G1378" i="1"/>
  <c r="R1377" i="1"/>
  <c r="Q1377" i="1"/>
  <c r="P1377" i="1"/>
  <c r="O1377" i="1"/>
  <c r="N1377" i="1"/>
  <c r="M1377" i="1"/>
  <c r="L1377" i="1"/>
  <c r="K1377" i="1"/>
  <c r="J1377" i="1"/>
  <c r="I1377" i="1"/>
  <c r="H1377" i="1"/>
  <c r="G1377" i="1"/>
  <c r="R1376" i="1"/>
  <c r="Q1376" i="1"/>
  <c r="P1376" i="1"/>
  <c r="O1376" i="1"/>
  <c r="N1376" i="1"/>
  <c r="M1376" i="1"/>
  <c r="L1376" i="1"/>
  <c r="K1376" i="1"/>
  <c r="J1376" i="1"/>
  <c r="I1376" i="1"/>
  <c r="H1376" i="1"/>
  <c r="G1376" i="1"/>
  <c r="R1375" i="1"/>
  <c r="Q1375" i="1"/>
  <c r="P1375" i="1"/>
  <c r="O1375" i="1"/>
  <c r="N1375" i="1"/>
  <c r="M1375" i="1"/>
  <c r="L1375" i="1"/>
  <c r="K1375" i="1"/>
  <c r="J1375" i="1"/>
  <c r="I1375" i="1"/>
  <c r="H1375" i="1"/>
  <c r="G1375" i="1"/>
  <c r="R1374" i="1"/>
  <c r="Q1374" i="1"/>
  <c r="P1374" i="1"/>
  <c r="O1374" i="1"/>
  <c r="N1374" i="1"/>
  <c r="M1374" i="1"/>
  <c r="L1374" i="1"/>
  <c r="K1374" i="1"/>
  <c r="J1374" i="1"/>
  <c r="I1374" i="1"/>
  <c r="H1374" i="1"/>
  <c r="G1374" i="1"/>
  <c r="R1373" i="1"/>
  <c r="Q1373" i="1"/>
  <c r="P1373" i="1"/>
  <c r="O1373" i="1"/>
  <c r="N1373" i="1"/>
  <c r="M1373" i="1"/>
  <c r="L1373" i="1"/>
  <c r="K1373" i="1"/>
  <c r="J1373" i="1"/>
  <c r="I1373" i="1"/>
  <c r="H1373" i="1"/>
  <c r="G1373" i="1"/>
  <c r="R1372" i="1"/>
  <c r="Q1372" i="1"/>
  <c r="P1372" i="1"/>
  <c r="O1372" i="1"/>
  <c r="N1372" i="1"/>
  <c r="M1372" i="1"/>
  <c r="L1372" i="1"/>
  <c r="K1372" i="1"/>
  <c r="J1372" i="1"/>
  <c r="I1372" i="1"/>
  <c r="H1372" i="1"/>
  <c r="G1372" i="1"/>
  <c r="R1371" i="1"/>
  <c r="Q1371" i="1"/>
  <c r="P1371" i="1"/>
  <c r="O1371" i="1"/>
  <c r="N1371" i="1"/>
  <c r="M1371" i="1"/>
  <c r="L1371" i="1"/>
  <c r="K1371" i="1"/>
  <c r="J1371" i="1"/>
  <c r="I1371" i="1"/>
  <c r="H1371" i="1"/>
  <c r="G1371" i="1"/>
  <c r="R1370" i="1"/>
  <c r="Q1370" i="1"/>
  <c r="P1370" i="1"/>
  <c r="O1370" i="1"/>
  <c r="N1370" i="1"/>
  <c r="M1370" i="1"/>
  <c r="L1370" i="1"/>
  <c r="K1370" i="1"/>
  <c r="J1370" i="1"/>
  <c r="I1370" i="1"/>
  <c r="H1370" i="1"/>
  <c r="G1370" i="1"/>
  <c r="R1369" i="1"/>
  <c r="Q1369" i="1"/>
  <c r="P1369" i="1"/>
  <c r="O1369" i="1"/>
  <c r="N1369" i="1"/>
  <c r="M1369" i="1"/>
  <c r="L1369" i="1"/>
  <c r="K1369" i="1"/>
  <c r="J1369" i="1"/>
  <c r="I1369" i="1"/>
  <c r="H1369" i="1"/>
  <c r="G1369" i="1"/>
  <c r="R1368" i="1"/>
  <c r="Q1368" i="1"/>
  <c r="P1368" i="1"/>
  <c r="O1368" i="1"/>
  <c r="N1368" i="1"/>
  <c r="M1368" i="1"/>
  <c r="L1368" i="1"/>
  <c r="K1368" i="1"/>
  <c r="J1368" i="1"/>
  <c r="I1368" i="1"/>
  <c r="H1368" i="1"/>
  <c r="G1368" i="1"/>
  <c r="R1367" i="1"/>
  <c r="Q1367" i="1"/>
  <c r="P1367" i="1"/>
  <c r="O1367" i="1"/>
  <c r="N1367" i="1"/>
  <c r="M1367" i="1"/>
  <c r="L1367" i="1"/>
  <c r="K1367" i="1"/>
  <c r="J1367" i="1"/>
  <c r="I1367" i="1"/>
  <c r="H1367" i="1"/>
  <c r="G1367" i="1"/>
  <c r="R1366" i="1"/>
  <c r="Q1366" i="1"/>
  <c r="P1366" i="1"/>
  <c r="O1366" i="1"/>
  <c r="N1366" i="1"/>
  <c r="M1366" i="1"/>
  <c r="L1366" i="1"/>
  <c r="K1366" i="1"/>
  <c r="J1366" i="1"/>
  <c r="I1366" i="1"/>
  <c r="H1366" i="1"/>
  <c r="G1366" i="1"/>
  <c r="R1365" i="1"/>
  <c r="Q1365" i="1"/>
  <c r="P1365" i="1"/>
  <c r="O1365" i="1"/>
  <c r="N1365" i="1"/>
  <c r="M1365" i="1"/>
  <c r="L1365" i="1"/>
  <c r="K1365" i="1"/>
  <c r="J1365" i="1"/>
  <c r="I1365" i="1"/>
  <c r="H1365" i="1"/>
  <c r="G1365" i="1"/>
  <c r="R1364" i="1"/>
  <c r="Q1364" i="1"/>
  <c r="P1364" i="1"/>
  <c r="O1364" i="1"/>
  <c r="N1364" i="1"/>
  <c r="M1364" i="1"/>
  <c r="L1364" i="1"/>
  <c r="K1364" i="1"/>
  <c r="J1364" i="1"/>
  <c r="I1364" i="1"/>
  <c r="H1364" i="1"/>
  <c r="G1364" i="1"/>
  <c r="R1363" i="1"/>
  <c r="Q1363" i="1"/>
  <c r="P1363" i="1"/>
  <c r="O1363" i="1"/>
  <c r="N1363" i="1"/>
  <c r="M1363" i="1"/>
  <c r="L1363" i="1"/>
  <c r="K1363" i="1"/>
  <c r="J1363" i="1"/>
  <c r="I1363" i="1"/>
  <c r="H1363" i="1"/>
  <c r="G1363" i="1"/>
  <c r="R1362" i="1"/>
  <c r="Q1362" i="1"/>
  <c r="P1362" i="1"/>
  <c r="O1362" i="1"/>
  <c r="N1362" i="1"/>
  <c r="M1362" i="1"/>
  <c r="L1362" i="1"/>
  <c r="K1362" i="1"/>
  <c r="J1362" i="1"/>
  <c r="I1362" i="1"/>
  <c r="H1362" i="1"/>
  <c r="G1362" i="1"/>
  <c r="R1361" i="1"/>
  <c r="Q1361" i="1"/>
  <c r="P1361" i="1"/>
  <c r="O1361" i="1"/>
  <c r="N1361" i="1"/>
  <c r="M1361" i="1"/>
  <c r="L1361" i="1"/>
  <c r="K1361" i="1"/>
  <c r="J1361" i="1"/>
  <c r="I1361" i="1"/>
  <c r="H1361" i="1"/>
  <c r="G1361" i="1"/>
  <c r="R1360" i="1"/>
  <c r="Q1360" i="1"/>
  <c r="P1360" i="1"/>
  <c r="O1360" i="1"/>
  <c r="N1360" i="1"/>
  <c r="M1360" i="1"/>
  <c r="L1360" i="1"/>
  <c r="K1360" i="1"/>
  <c r="J1360" i="1"/>
  <c r="I1360" i="1"/>
  <c r="H1360" i="1"/>
  <c r="G1360" i="1"/>
  <c r="R1359" i="1"/>
  <c r="Q1359" i="1"/>
  <c r="P1359" i="1"/>
  <c r="O1359" i="1"/>
  <c r="N1359" i="1"/>
  <c r="M1359" i="1"/>
  <c r="L1359" i="1"/>
  <c r="K1359" i="1"/>
  <c r="J1359" i="1"/>
  <c r="I1359" i="1"/>
  <c r="H1359" i="1"/>
  <c r="G1359" i="1"/>
  <c r="R1358" i="1"/>
  <c r="Q1358" i="1"/>
  <c r="P1358" i="1"/>
  <c r="O1358" i="1"/>
  <c r="N1358" i="1"/>
  <c r="M1358" i="1"/>
  <c r="L1358" i="1"/>
  <c r="K1358" i="1"/>
  <c r="J1358" i="1"/>
  <c r="I1358" i="1"/>
  <c r="H1358" i="1"/>
  <c r="G1358" i="1"/>
  <c r="R1357" i="1"/>
  <c r="Q1357" i="1"/>
  <c r="P1357" i="1"/>
  <c r="O1357" i="1"/>
  <c r="N1357" i="1"/>
  <c r="M1357" i="1"/>
  <c r="L1357" i="1"/>
  <c r="K1357" i="1"/>
  <c r="J1357" i="1"/>
  <c r="I1357" i="1"/>
  <c r="H1357" i="1"/>
  <c r="G1357" i="1"/>
  <c r="R1356" i="1"/>
  <c r="Q1356" i="1"/>
  <c r="P1356" i="1"/>
  <c r="O1356" i="1"/>
  <c r="N1356" i="1"/>
  <c r="M1356" i="1"/>
  <c r="L1356" i="1"/>
  <c r="K1356" i="1"/>
  <c r="J1356" i="1"/>
  <c r="I1356" i="1"/>
  <c r="H1356" i="1"/>
  <c r="G1356" i="1"/>
  <c r="R1355" i="1"/>
  <c r="Q1355" i="1"/>
  <c r="P1355" i="1"/>
  <c r="O1355" i="1"/>
  <c r="N1355" i="1"/>
  <c r="M1355" i="1"/>
  <c r="L1355" i="1"/>
  <c r="K1355" i="1"/>
  <c r="J1355" i="1"/>
  <c r="I1355" i="1"/>
  <c r="H1355" i="1"/>
  <c r="G1355" i="1"/>
  <c r="R1354" i="1"/>
  <c r="Q1354" i="1"/>
  <c r="P1354" i="1"/>
  <c r="O1354" i="1"/>
  <c r="N1354" i="1"/>
  <c r="M1354" i="1"/>
  <c r="L1354" i="1"/>
  <c r="K1354" i="1"/>
  <c r="J1354" i="1"/>
  <c r="I1354" i="1"/>
  <c r="H1354" i="1"/>
  <c r="G1354" i="1"/>
  <c r="R1353" i="1"/>
  <c r="Q1353" i="1"/>
  <c r="P1353" i="1"/>
  <c r="O1353" i="1"/>
  <c r="N1353" i="1"/>
  <c r="M1353" i="1"/>
  <c r="L1353" i="1"/>
  <c r="K1353" i="1"/>
  <c r="J1353" i="1"/>
  <c r="I1353" i="1"/>
  <c r="H1353" i="1"/>
  <c r="G1353" i="1"/>
  <c r="R1352" i="1"/>
  <c r="Q1352" i="1"/>
  <c r="P1352" i="1"/>
  <c r="O1352" i="1"/>
  <c r="N1352" i="1"/>
  <c r="M1352" i="1"/>
  <c r="L1352" i="1"/>
  <c r="K1352" i="1"/>
  <c r="J1352" i="1"/>
  <c r="I1352" i="1"/>
  <c r="H1352" i="1"/>
  <c r="G1352" i="1"/>
  <c r="R1351" i="1"/>
  <c r="Q1351" i="1"/>
  <c r="P1351" i="1"/>
  <c r="O1351" i="1"/>
  <c r="N1351" i="1"/>
  <c r="M1351" i="1"/>
  <c r="L1351" i="1"/>
  <c r="K1351" i="1"/>
  <c r="J1351" i="1"/>
  <c r="I1351" i="1"/>
  <c r="H1351" i="1"/>
  <c r="G1351" i="1"/>
  <c r="R1350" i="1"/>
  <c r="Q1350" i="1"/>
  <c r="P1350" i="1"/>
  <c r="O1350" i="1"/>
  <c r="N1350" i="1"/>
  <c r="M1350" i="1"/>
  <c r="L1350" i="1"/>
  <c r="K1350" i="1"/>
  <c r="J1350" i="1"/>
  <c r="I1350" i="1"/>
  <c r="H1350" i="1"/>
  <c r="G1350" i="1"/>
  <c r="R1349" i="1"/>
  <c r="Q1349" i="1"/>
  <c r="N1349" i="1"/>
  <c r="M1349" i="1"/>
  <c r="L1349" i="1"/>
  <c r="K1349" i="1"/>
  <c r="J1349" i="1"/>
  <c r="I1349" i="1"/>
  <c r="H1349" i="1"/>
  <c r="G1349" i="1"/>
  <c r="R1348" i="1"/>
  <c r="Q1348" i="1"/>
  <c r="N1348" i="1"/>
  <c r="M1348" i="1"/>
  <c r="L1348" i="1"/>
  <c r="K1348" i="1"/>
  <c r="J1348" i="1"/>
  <c r="I1348" i="1"/>
  <c r="H1348" i="1"/>
  <c r="G1348" i="1"/>
  <c r="R1347" i="1"/>
  <c r="Q1347" i="1"/>
  <c r="N1347" i="1"/>
  <c r="M1347" i="1"/>
  <c r="L1347" i="1"/>
  <c r="K1347" i="1"/>
  <c r="J1347" i="1"/>
  <c r="I1347" i="1"/>
  <c r="H1347" i="1"/>
  <c r="G1347" i="1"/>
  <c r="R1346" i="1"/>
  <c r="Q1346" i="1"/>
  <c r="N1346" i="1"/>
  <c r="M1346" i="1"/>
  <c r="L1346" i="1"/>
  <c r="K1346" i="1"/>
  <c r="J1346" i="1"/>
  <c r="I1346" i="1"/>
  <c r="H1346" i="1"/>
  <c r="G1346" i="1"/>
  <c r="R1345" i="1"/>
  <c r="Q1345" i="1"/>
  <c r="N1345" i="1"/>
  <c r="M1345" i="1"/>
  <c r="L1345" i="1"/>
  <c r="K1345" i="1"/>
  <c r="J1345" i="1"/>
  <c r="I1345" i="1"/>
  <c r="H1345" i="1"/>
  <c r="G1345" i="1"/>
  <c r="R1344" i="1"/>
  <c r="Q1344" i="1"/>
  <c r="O1344" i="1"/>
  <c r="N1344" i="1"/>
  <c r="M1344" i="1"/>
  <c r="L1344" i="1"/>
  <c r="K1344" i="1"/>
  <c r="J1344" i="1"/>
  <c r="I1344" i="1"/>
  <c r="H1344" i="1"/>
  <c r="G1344" i="1"/>
  <c r="R1343" i="1"/>
  <c r="Q1343" i="1"/>
  <c r="N1343" i="1"/>
  <c r="M1343" i="1"/>
  <c r="L1343" i="1"/>
  <c r="K1343" i="1"/>
  <c r="J1343" i="1"/>
  <c r="I1343" i="1"/>
  <c r="H1343" i="1"/>
  <c r="G1343" i="1"/>
  <c r="R1342" i="1"/>
  <c r="Q1342" i="1"/>
  <c r="N1342" i="1"/>
  <c r="M1342" i="1"/>
  <c r="L1342" i="1"/>
  <c r="K1342" i="1"/>
  <c r="J1342" i="1"/>
  <c r="I1342" i="1"/>
  <c r="H1342" i="1"/>
  <c r="G1342" i="1"/>
  <c r="R1341" i="1"/>
  <c r="Q1341" i="1"/>
  <c r="N1341" i="1"/>
  <c r="M1341" i="1"/>
  <c r="L1341" i="1"/>
  <c r="K1341" i="1"/>
  <c r="J1341" i="1"/>
  <c r="I1341" i="1"/>
  <c r="H1341" i="1"/>
  <c r="G1341" i="1"/>
  <c r="R1340" i="1"/>
  <c r="Q1340" i="1"/>
  <c r="N1340" i="1"/>
  <c r="M1340" i="1"/>
  <c r="L1340" i="1"/>
  <c r="K1340" i="1"/>
  <c r="J1340" i="1"/>
  <c r="I1340" i="1"/>
  <c r="H1340" i="1"/>
  <c r="G1340" i="1"/>
  <c r="R1339" i="1"/>
  <c r="Q1339" i="1"/>
  <c r="N1339" i="1"/>
  <c r="M1339" i="1"/>
  <c r="L1339" i="1"/>
  <c r="K1339" i="1"/>
  <c r="J1339" i="1"/>
  <c r="I1339" i="1"/>
  <c r="H1339" i="1"/>
  <c r="G1339" i="1"/>
  <c r="R1338" i="1"/>
  <c r="Q1338" i="1"/>
  <c r="N1338" i="1"/>
  <c r="M1338" i="1"/>
  <c r="L1338" i="1"/>
  <c r="K1338" i="1"/>
  <c r="J1338" i="1"/>
  <c r="I1338" i="1"/>
  <c r="H1338" i="1"/>
  <c r="G1338" i="1"/>
  <c r="R1337" i="1"/>
  <c r="Q1337" i="1"/>
  <c r="N1337" i="1"/>
  <c r="M1337" i="1"/>
  <c r="L1337" i="1"/>
  <c r="K1337" i="1"/>
  <c r="J1337" i="1"/>
  <c r="I1337" i="1"/>
  <c r="H1337" i="1"/>
  <c r="G1337" i="1"/>
  <c r="R1336" i="1"/>
  <c r="Q1336" i="1"/>
  <c r="N1336" i="1"/>
  <c r="M1336" i="1"/>
  <c r="L1336" i="1"/>
  <c r="K1336" i="1"/>
  <c r="J1336" i="1"/>
  <c r="I1336" i="1"/>
  <c r="H1336" i="1"/>
  <c r="G1336" i="1"/>
  <c r="R1335" i="1"/>
  <c r="Q1335" i="1"/>
  <c r="N1335" i="1"/>
  <c r="M1335" i="1"/>
  <c r="L1335" i="1"/>
  <c r="K1335" i="1"/>
  <c r="J1335" i="1"/>
  <c r="I1335" i="1"/>
  <c r="H1335" i="1"/>
  <c r="G1335" i="1"/>
  <c r="R1334" i="1"/>
  <c r="Q1334" i="1"/>
  <c r="N1334" i="1"/>
  <c r="M1334" i="1"/>
  <c r="L1334" i="1"/>
  <c r="K1334" i="1"/>
  <c r="J1334" i="1"/>
  <c r="I1334" i="1"/>
  <c r="H1334" i="1"/>
  <c r="G1334" i="1"/>
  <c r="R1333" i="1"/>
  <c r="Q1333" i="1"/>
  <c r="N1333" i="1"/>
  <c r="M1333" i="1"/>
  <c r="L1333" i="1"/>
  <c r="K1333" i="1"/>
  <c r="J1333" i="1"/>
  <c r="I1333" i="1"/>
  <c r="H1333" i="1"/>
  <c r="G1333" i="1"/>
  <c r="R1332" i="1"/>
  <c r="Q1332" i="1"/>
  <c r="N1332" i="1"/>
  <c r="M1332" i="1"/>
  <c r="L1332" i="1"/>
  <c r="K1332" i="1"/>
  <c r="J1332" i="1"/>
  <c r="I1332" i="1"/>
  <c r="H1332" i="1"/>
  <c r="G1332" i="1"/>
  <c r="R1331" i="1"/>
  <c r="Q1331" i="1"/>
  <c r="N1331" i="1"/>
  <c r="M1331" i="1"/>
  <c r="L1331" i="1"/>
  <c r="K1331" i="1"/>
  <c r="J1331" i="1"/>
  <c r="I1331" i="1"/>
  <c r="H1331" i="1"/>
  <c r="G1331" i="1"/>
  <c r="R1330" i="1"/>
  <c r="Q1330" i="1"/>
  <c r="N1330" i="1"/>
  <c r="M1330" i="1"/>
  <c r="L1330" i="1"/>
  <c r="K1330" i="1"/>
  <c r="J1330" i="1"/>
  <c r="I1330" i="1"/>
  <c r="H1330" i="1"/>
  <c r="G1330" i="1"/>
  <c r="R1329" i="1"/>
  <c r="Q1329" i="1"/>
  <c r="N1329" i="1"/>
  <c r="M1329" i="1"/>
  <c r="L1329" i="1"/>
  <c r="K1329" i="1"/>
  <c r="J1329" i="1"/>
  <c r="I1329" i="1"/>
  <c r="H1329" i="1"/>
  <c r="G1329" i="1"/>
  <c r="R1328" i="1"/>
  <c r="Q1328" i="1"/>
  <c r="N1328" i="1"/>
  <c r="M1328" i="1"/>
  <c r="L1328" i="1"/>
  <c r="K1328" i="1"/>
  <c r="J1328" i="1"/>
  <c r="I1328" i="1"/>
  <c r="H1328" i="1"/>
  <c r="G1328" i="1"/>
  <c r="R1327" i="1"/>
  <c r="Q1327" i="1"/>
  <c r="N1327" i="1"/>
  <c r="M1327" i="1"/>
  <c r="L1327" i="1"/>
  <c r="K1327" i="1"/>
  <c r="J1327" i="1"/>
  <c r="I1327" i="1"/>
  <c r="H1327" i="1"/>
  <c r="G1327" i="1"/>
  <c r="R1326" i="1"/>
  <c r="Q1326" i="1"/>
  <c r="N1326" i="1"/>
  <c r="M1326" i="1"/>
  <c r="L1326" i="1"/>
  <c r="K1326" i="1"/>
  <c r="J1326" i="1"/>
  <c r="I1326" i="1"/>
  <c r="H1326" i="1"/>
  <c r="G1326" i="1"/>
  <c r="R1325" i="1"/>
  <c r="Q1325" i="1"/>
  <c r="N1325" i="1"/>
  <c r="M1325" i="1"/>
  <c r="L1325" i="1"/>
  <c r="K1325" i="1"/>
  <c r="J1325" i="1"/>
  <c r="I1325" i="1"/>
  <c r="H1325" i="1"/>
  <c r="G1325" i="1"/>
  <c r="R1324" i="1"/>
  <c r="Q1324" i="1"/>
  <c r="N1324" i="1"/>
  <c r="M1324" i="1"/>
  <c r="L1324" i="1"/>
  <c r="K1324" i="1"/>
  <c r="J1324" i="1"/>
  <c r="I1324" i="1"/>
  <c r="H1324" i="1"/>
  <c r="G1324" i="1"/>
  <c r="R1323" i="1"/>
  <c r="Q1323" i="1"/>
  <c r="N1323" i="1"/>
  <c r="M1323" i="1"/>
  <c r="L1323" i="1"/>
  <c r="K1323" i="1"/>
  <c r="J1323" i="1"/>
  <c r="I1323" i="1"/>
  <c r="H1323" i="1"/>
  <c r="G1323" i="1"/>
  <c r="R1322" i="1"/>
  <c r="Q1322" i="1"/>
  <c r="N1322" i="1"/>
  <c r="M1322" i="1"/>
  <c r="L1322" i="1"/>
  <c r="K1322" i="1"/>
  <c r="J1322" i="1"/>
  <c r="I1322" i="1"/>
  <c r="H1322" i="1"/>
  <c r="G1322" i="1"/>
  <c r="R1321" i="1"/>
  <c r="Q1321" i="1"/>
  <c r="N1321" i="1"/>
  <c r="M1321" i="1"/>
  <c r="L1321" i="1"/>
  <c r="K1321" i="1"/>
  <c r="J1321" i="1"/>
  <c r="I1321" i="1"/>
  <c r="H1321" i="1"/>
  <c r="G1321" i="1"/>
  <c r="R1320" i="1"/>
  <c r="Q1320" i="1"/>
  <c r="N1320" i="1"/>
  <c r="M1320" i="1"/>
  <c r="L1320" i="1"/>
  <c r="K1320" i="1"/>
  <c r="J1320" i="1"/>
  <c r="I1320" i="1"/>
  <c r="H1320" i="1"/>
  <c r="G1320" i="1"/>
  <c r="R1319" i="1"/>
  <c r="Q1319" i="1"/>
  <c r="N1319" i="1"/>
  <c r="M1319" i="1"/>
  <c r="L1319" i="1"/>
  <c r="K1319" i="1"/>
  <c r="J1319" i="1"/>
  <c r="I1319" i="1"/>
  <c r="H1319" i="1"/>
  <c r="G1319" i="1"/>
  <c r="R1318" i="1"/>
  <c r="Q1318" i="1"/>
  <c r="N1318" i="1"/>
  <c r="M1318" i="1"/>
  <c r="L1318" i="1"/>
  <c r="K1318" i="1"/>
  <c r="J1318" i="1"/>
  <c r="I1318" i="1"/>
  <c r="H1318" i="1"/>
  <c r="G1318" i="1"/>
  <c r="R1317" i="1"/>
  <c r="Q1317" i="1"/>
  <c r="N1317" i="1"/>
  <c r="M1317" i="1"/>
  <c r="L1317" i="1"/>
  <c r="K1317" i="1"/>
  <c r="J1317" i="1"/>
  <c r="I1317" i="1"/>
  <c r="H1317" i="1"/>
  <c r="G1317" i="1"/>
  <c r="R1316" i="1"/>
  <c r="Q1316" i="1"/>
  <c r="N1316" i="1"/>
  <c r="M1316" i="1"/>
  <c r="L1316" i="1"/>
  <c r="K1316" i="1"/>
  <c r="J1316" i="1"/>
  <c r="I1316" i="1"/>
  <c r="H1316" i="1"/>
  <c r="G1316" i="1"/>
  <c r="R1315" i="1"/>
  <c r="Q1315" i="1"/>
  <c r="N1315" i="1"/>
  <c r="M1315" i="1"/>
  <c r="L1315" i="1"/>
  <c r="K1315" i="1"/>
  <c r="J1315" i="1"/>
  <c r="I1315" i="1"/>
  <c r="H1315" i="1"/>
  <c r="G1315" i="1"/>
  <c r="R1314" i="1"/>
  <c r="Q1314" i="1"/>
  <c r="O1314" i="1"/>
  <c r="N1314" i="1"/>
  <c r="M1314" i="1"/>
  <c r="L1314" i="1"/>
  <c r="K1314" i="1"/>
  <c r="J1314" i="1"/>
  <c r="I1314" i="1"/>
  <c r="H1314" i="1"/>
  <c r="G1314" i="1"/>
  <c r="R1313" i="1"/>
  <c r="Q1313" i="1"/>
  <c r="N1313" i="1"/>
  <c r="M1313" i="1"/>
  <c r="L1313" i="1"/>
  <c r="K1313" i="1"/>
  <c r="J1313" i="1"/>
  <c r="I1313" i="1"/>
  <c r="H1313" i="1"/>
  <c r="G1313" i="1"/>
  <c r="R1312" i="1"/>
  <c r="Q1312" i="1"/>
  <c r="N1312" i="1"/>
  <c r="M1312" i="1"/>
  <c r="L1312" i="1"/>
  <c r="K1312" i="1"/>
  <c r="J1312" i="1"/>
  <c r="I1312" i="1"/>
  <c r="H1312" i="1"/>
  <c r="G1312" i="1"/>
  <c r="R1311" i="1"/>
  <c r="Q1311" i="1"/>
  <c r="N1311" i="1"/>
  <c r="M1311" i="1"/>
  <c r="L1311" i="1"/>
  <c r="K1311" i="1"/>
  <c r="J1311" i="1"/>
  <c r="I1311" i="1"/>
  <c r="H1311" i="1"/>
  <c r="G1311" i="1"/>
  <c r="R1310" i="1"/>
  <c r="Q1310" i="1"/>
  <c r="N1310" i="1"/>
  <c r="M1310" i="1"/>
  <c r="L1310" i="1"/>
  <c r="K1310" i="1"/>
  <c r="J1310" i="1"/>
  <c r="I1310" i="1"/>
  <c r="H1310" i="1"/>
  <c r="G1310" i="1"/>
  <c r="R1309" i="1"/>
  <c r="Q1309" i="1"/>
  <c r="N1309" i="1"/>
  <c r="M1309" i="1"/>
  <c r="L1309" i="1"/>
  <c r="K1309" i="1"/>
  <c r="J1309" i="1"/>
  <c r="I1309" i="1"/>
  <c r="H1309" i="1"/>
  <c r="G1309" i="1"/>
  <c r="R1308" i="1"/>
  <c r="Q1308" i="1"/>
  <c r="O1308" i="1"/>
  <c r="N1308" i="1"/>
  <c r="M1308" i="1"/>
  <c r="L1308" i="1"/>
  <c r="K1308" i="1"/>
  <c r="J1308" i="1"/>
  <c r="I1308" i="1"/>
  <c r="H1308" i="1"/>
  <c r="G1308" i="1"/>
  <c r="R1307" i="1"/>
  <c r="Q1307" i="1"/>
  <c r="N1307" i="1"/>
  <c r="M1307" i="1"/>
  <c r="L1307" i="1"/>
  <c r="K1307" i="1"/>
  <c r="J1307" i="1"/>
  <c r="I1307" i="1"/>
  <c r="H1307" i="1"/>
  <c r="G1307" i="1"/>
  <c r="R1306" i="1"/>
  <c r="Q1306" i="1"/>
  <c r="N1306" i="1"/>
  <c r="M1306" i="1"/>
  <c r="L1306" i="1"/>
  <c r="K1306" i="1"/>
  <c r="J1306" i="1"/>
  <c r="I1306" i="1"/>
  <c r="H1306" i="1"/>
  <c r="G1306" i="1"/>
  <c r="R1305" i="1"/>
  <c r="Q1305" i="1"/>
  <c r="N1305" i="1"/>
  <c r="M1305" i="1"/>
  <c r="L1305" i="1"/>
  <c r="K1305" i="1"/>
  <c r="J1305" i="1"/>
  <c r="I1305" i="1"/>
  <c r="H1305" i="1"/>
  <c r="G1305" i="1"/>
  <c r="R1304" i="1"/>
  <c r="Q1304" i="1"/>
  <c r="N1304" i="1"/>
  <c r="M1304" i="1"/>
  <c r="L1304" i="1"/>
  <c r="K1304" i="1"/>
  <c r="J1304" i="1"/>
  <c r="I1304" i="1"/>
  <c r="H1304" i="1"/>
  <c r="G1304" i="1"/>
  <c r="R1303" i="1"/>
  <c r="Q1303" i="1"/>
  <c r="N1303" i="1"/>
  <c r="M1303" i="1"/>
  <c r="L1303" i="1"/>
  <c r="K1303" i="1"/>
  <c r="J1303" i="1"/>
  <c r="I1303" i="1"/>
  <c r="H1303" i="1"/>
  <c r="G1303" i="1"/>
  <c r="R1302" i="1"/>
  <c r="Q1302" i="1"/>
  <c r="N1302" i="1"/>
  <c r="M1302" i="1"/>
  <c r="L1302" i="1"/>
  <c r="K1302" i="1"/>
  <c r="J1302" i="1"/>
  <c r="I1302" i="1"/>
  <c r="H1302" i="1"/>
  <c r="G1302" i="1"/>
  <c r="R1301" i="1"/>
  <c r="Q1301" i="1"/>
  <c r="N1301" i="1"/>
  <c r="M1301" i="1"/>
  <c r="L1301" i="1"/>
  <c r="K1301" i="1"/>
  <c r="J1301" i="1"/>
  <c r="I1301" i="1"/>
  <c r="H1301" i="1"/>
  <c r="G1301" i="1"/>
  <c r="R1300" i="1"/>
  <c r="Q1300" i="1"/>
  <c r="N1300" i="1"/>
  <c r="M1300" i="1"/>
  <c r="L1300" i="1"/>
  <c r="K1300" i="1"/>
  <c r="J1300" i="1"/>
  <c r="I1300" i="1"/>
  <c r="H1300" i="1"/>
  <c r="G1300" i="1"/>
  <c r="R1299" i="1"/>
  <c r="Q1299" i="1"/>
  <c r="N1299" i="1"/>
  <c r="M1299" i="1"/>
  <c r="L1299" i="1"/>
  <c r="K1299" i="1"/>
  <c r="J1299" i="1"/>
  <c r="I1299" i="1"/>
  <c r="H1299" i="1"/>
  <c r="G1299" i="1"/>
  <c r="R1298" i="1"/>
  <c r="Q1298" i="1"/>
  <c r="N1298" i="1"/>
  <c r="M1298" i="1"/>
  <c r="L1298" i="1"/>
  <c r="K1298" i="1"/>
  <c r="J1298" i="1"/>
  <c r="I1298" i="1"/>
  <c r="H1298" i="1"/>
  <c r="G1298" i="1"/>
  <c r="R1297" i="1"/>
  <c r="Q1297" i="1"/>
  <c r="N1297" i="1"/>
  <c r="M1297" i="1"/>
  <c r="L1297" i="1"/>
  <c r="K1297" i="1"/>
  <c r="J1297" i="1"/>
  <c r="I1297" i="1"/>
  <c r="H1297" i="1"/>
  <c r="G1297" i="1"/>
  <c r="R1296" i="1"/>
  <c r="Q1296" i="1"/>
  <c r="O1296" i="1"/>
  <c r="N1296" i="1"/>
  <c r="M1296" i="1"/>
  <c r="L1296" i="1"/>
  <c r="K1296" i="1"/>
  <c r="J1296" i="1"/>
  <c r="I1296" i="1"/>
  <c r="H1296" i="1"/>
  <c r="G1296" i="1"/>
  <c r="R1295" i="1"/>
  <c r="Q1295" i="1"/>
  <c r="N1295" i="1"/>
  <c r="M1295" i="1"/>
  <c r="L1295" i="1"/>
  <c r="K1295" i="1"/>
  <c r="J1295" i="1"/>
  <c r="I1295" i="1"/>
  <c r="H1295" i="1"/>
  <c r="G1295" i="1"/>
  <c r="R1294" i="1"/>
  <c r="Q1294" i="1"/>
  <c r="N1294" i="1"/>
  <c r="M1294" i="1"/>
  <c r="L1294" i="1"/>
  <c r="K1294" i="1"/>
  <c r="J1294" i="1"/>
  <c r="I1294" i="1"/>
  <c r="H1294" i="1"/>
  <c r="G1294" i="1"/>
  <c r="R1293" i="1"/>
  <c r="Q1293" i="1"/>
  <c r="N1293" i="1"/>
  <c r="M1293" i="1"/>
  <c r="L1293" i="1"/>
  <c r="K1293" i="1"/>
  <c r="J1293" i="1"/>
  <c r="I1293" i="1"/>
  <c r="H1293" i="1"/>
  <c r="G1293" i="1"/>
  <c r="R1292" i="1"/>
  <c r="Q1292" i="1"/>
  <c r="N1292" i="1"/>
  <c r="M1292" i="1"/>
  <c r="L1292" i="1"/>
  <c r="K1292" i="1"/>
  <c r="J1292" i="1"/>
  <c r="I1292" i="1"/>
  <c r="H1292" i="1"/>
  <c r="G1292" i="1"/>
  <c r="R1291" i="1"/>
  <c r="Q1291" i="1"/>
  <c r="N1291" i="1"/>
  <c r="M1291" i="1"/>
  <c r="L1291" i="1"/>
  <c r="K1291" i="1"/>
  <c r="J1291" i="1"/>
  <c r="I1291" i="1"/>
  <c r="H1291" i="1"/>
  <c r="G1291" i="1"/>
  <c r="R1290" i="1"/>
  <c r="Q1290" i="1"/>
  <c r="O1290" i="1"/>
  <c r="N1290" i="1"/>
  <c r="M1290" i="1"/>
  <c r="L1290" i="1"/>
  <c r="K1290" i="1"/>
  <c r="J1290" i="1"/>
  <c r="I1290" i="1"/>
  <c r="H1290" i="1"/>
  <c r="G1290" i="1"/>
  <c r="R1289" i="1"/>
  <c r="Q1289" i="1"/>
  <c r="N1289" i="1"/>
  <c r="M1289" i="1"/>
  <c r="L1289" i="1"/>
  <c r="K1289" i="1"/>
  <c r="J1289" i="1"/>
  <c r="I1289" i="1"/>
  <c r="H1289" i="1"/>
  <c r="G1289" i="1"/>
  <c r="R1288" i="1"/>
  <c r="Q1288" i="1"/>
  <c r="N1288" i="1"/>
  <c r="M1288" i="1"/>
  <c r="L1288" i="1"/>
  <c r="K1288" i="1"/>
  <c r="J1288" i="1"/>
  <c r="I1288" i="1"/>
  <c r="H1288" i="1"/>
  <c r="G1288" i="1"/>
  <c r="R1287" i="1"/>
  <c r="Q1287" i="1"/>
  <c r="N1287" i="1"/>
  <c r="M1287" i="1"/>
  <c r="L1287" i="1"/>
  <c r="K1287" i="1"/>
  <c r="J1287" i="1"/>
  <c r="I1287" i="1"/>
  <c r="H1287" i="1"/>
  <c r="G1287" i="1"/>
  <c r="R1286" i="1"/>
  <c r="Q1286" i="1"/>
  <c r="N1286" i="1"/>
  <c r="M1286" i="1"/>
  <c r="L1286" i="1"/>
  <c r="K1286" i="1"/>
  <c r="J1286" i="1"/>
  <c r="I1286" i="1"/>
  <c r="H1286" i="1"/>
  <c r="G1286" i="1"/>
  <c r="R1285" i="1"/>
  <c r="Q1285" i="1"/>
  <c r="N1285" i="1"/>
  <c r="M1285" i="1"/>
  <c r="L1285" i="1"/>
  <c r="K1285" i="1"/>
  <c r="J1285" i="1"/>
  <c r="I1285" i="1"/>
  <c r="H1285" i="1"/>
  <c r="G1285" i="1"/>
  <c r="R1284" i="1"/>
  <c r="Q1284" i="1"/>
  <c r="O1284" i="1"/>
  <c r="N1284" i="1"/>
  <c r="M1284" i="1"/>
  <c r="L1284" i="1"/>
  <c r="K1284" i="1"/>
  <c r="J1284" i="1"/>
  <c r="I1284" i="1"/>
  <c r="H1284" i="1"/>
  <c r="G1284" i="1"/>
  <c r="R1283" i="1"/>
  <c r="Q1283" i="1"/>
  <c r="N1283" i="1"/>
  <c r="M1283" i="1"/>
  <c r="L1283" i="1"/>
  <c r="K1283" i="1"/>
  <c r="J1283" i="1"/>
  <c r="I1283" i="1"/>
  <c r="H1283" i="1"/>
  <c r="G1283" i="1"/>
  <c r="R1282" i="1"/>
  <c r="Q1282" i="1"/>
  <c r="N1282" i="1"/>
  <c r="M1282" i="1"/>
  <c r="L1282" i="1"/>
  <c r="K1282" i="1"/>
  <c r="J1282" i="1"/>
  <c r="I1282" i="1"/>
  <c r="H1282" i="1"/>
  <c r="G1282" i="1"/>
  <c r="R1281" i="1"/>
  <c r="Q1281" i="1"/>
  <c r="N1281" i="1"/>
  <c r="M1281" i="1"/>
  <c r="L1281" i="1"/>
  <c r="K1281" i="1"/>
  <c r="J1281" i="1"/>
  <c r="I1281" i="1"/>
  <c r="H1281" i="1"/>
  <c r="G1281" i="1"/>
  <c r="R1280" i="1"/>
  <c r="Q1280" i="1"/>
  <c r="N1280" i="1"/>
  <c r="M1280" i="1"/>
  <c r="L1280" i="1"/>
  <c r="K1280" i="1"/>
  <c r="J1280" i="1"/>
  <c r="I1280" i="1"/>
  <c r="H1280" i="1"/>
  <c r="G1280" i="1"/>
  <c r="R1279" i="1"/>
  <c r="Q1279" i="1"/>
  <c r="N1279" i="1"/>
  <c r="M1279" i="1"/>
  <c r="L1279" i="1"/>
  <c r="K1279" i="1"/>
  <c r="J1279" i="1"/>
  <c r="I1279" i="1"/>
  <c r="H1279" i="1"/>
  <c r="G1279" i="1"/>
  <c r="R1278" i="1"/>
  <c r="Q1278" i="1"/>
  <c r="O1278" i="1"/>
  <c r="N1278" i="1"/>
  <c r="M1278" i="1"/>
  <c r="L1278" i="1"/>
  <c r="K1278" i="1"/>
  <c r="J1278" i="1"/>
  <c r="I1278" i="1"/>
  <c r="H1278" i="1"/>
  <c r="G1278" i="1"/>
  <c r="R1277" i="1"/>
  <c r="Q1277" i="1"/>
  <c r="N1277" i="1"/>
  <c r="M1277" i="1"/>
  <c r="L1277" i="1"/>
  <c r="K1277" i="1"/>
  <c r="J1277" i="1"/>
  <c r="I1277" i="1"/>
  <c r="H1277" i="1"/>
  <c r="G1277" i="1"/>
  <c r="R1276" i="1"/>
  <c r="Q1276" i="1"/>
  <c r="N1276" i="1"/>
  <c r="M1276" i="1"/>
  <c r="L1276" i="1"/>
  <c r="K1276" i="1"/>
  <c r="J1276" i="1"/>
  <c r="I1276" i="1"/>
  <c r="H1276" i="1"/>
  <c r="G1276" i="1"/>
  <c r="R1275" i="1"/>
  <c r="Q1275" i="1"/>
  <c r="N1275" i="1"/>
  <c r="M1275" i="1"/>
  <c r="L1275" i="1"/>
  <c r="K1275" i="1"/>
  <c r="J1275" i="1"/>
  <c r="I1275" i="1"/>
  <c r="H1275" i="1"/>
  <c r="G1275" i="1"/>
  <c r="R1274" i="1"/>
  <c r="Q1274" i="1"/>
  <c r="N1274" i="1"/>
  <c r="M1274" i="1"/>
  <c r="L1274" i="1"/>
  <c r="K1274" i="1"/>
  <c r="J1274" i="1"/>
  <c r="I1274" i="1"/>
  <c r="H1274" i="1"/>
  <c r="G1274" i="1"/>
  <c r="R1273" i="1"/>
  <c r="Q1273" i="1"/>
  <c r="N1273" i="1"/>
  <c r="M1273" i="1"/>
  <c r="L1273" i="1"/>
  <c r="K1273" i="1"/>
  <c r="J1273" i="1"/>
  <c r="I1273" i="1"/>
  <c r="H1273" i="1"/>
  <c r="G1273" i="1"/>
  <c r="R1272" i="1"/>
  <c r="Q1272" i="1"/>
  <c r="O1272" i="1"/>
  <c r="N1272" i="1"/>
  <c r="M1272" i="1"/>
  <c r="L1272" i="1"/>
  <c r="K1272" i="1"/>
  <c r="J1272" i="1"/>
  <c r="I1272" i="1"/>
  <c r="H1272" i="1"/>
  <c r="G1272" i="1"/>
  <c r="R1271" i="1"/>
  <c r="Q1271" i="1"/>
  <c r="O1271" i="1"/>
  <c r="N1271" i="1"/>
  <c r="M1271" i="1"/>
  <c r="L1271" i="1"/>
  <c r="K1271" i="1"/>
  <c r="J1271" i="1"/>
  <c r="I1271" i="1"/>
  <c r="H1271" i="1"/>
  <c r="G1271" i="1"/>
  <c r="R1270" i="1"/>
  <c r="Q1270" i="1"/>
  <c r="O1270" i="1"/>
  <c r="N1270" i="1"/>
  <c r="M1270" i="1"/>
  <c r="L1270" i="1"/>
  <c r="K1270" i="1"/>
  <c r="J1270" i="1"/>
  <c r="I1270" i="1"/>
  <c r="H1270" i="1"/>
  <c r="G1270" i="1"/>
  <c r="R1269" i="1"/>
  <c r="Q1269" i="1"/>
  <c r="O1269" i="1"/>
  <c r="N1269" i="1"/>
  <c r="M1269" i="1"/>
  <c r="L1269" i="1"/>
  <c r="K1269" i="1"/>
  <c r="J1269" i="1"/>
  <c r="I1269" i="1"/>
  <c r="H1269" i="1"/>
  <c r="G1269" i="1"/>
  <c r="R1268" i="1"/>
  <c r="Q1268" i="1"/>
  <c r="O1268" i="1"/>
  <c r="N1268" i="1"/>
  <c r="M1268" i="1"/>
  <c r="L1268" i="1"/>
  <c r="K1268" i="1"/>
  <c r="J1268" i="1"/>
  <c r="I1268" i="1"/>
  <c r="H1268" i="1"/>
  <c r="G1268" i="1"/>
  <c r="R1267" i="1"/>
  <c r="Q1267" i="1"/>
  <c r="O1267" i="1"/>
  <c r="N1267" i="1"/>
  <c r="M1267" i="1"/>
  <c r="L1267" i="1"/>
  <c r="K1267" i="1"/>
  <c r="J1267" i="1"/>
  <c r="I1267" i="1"/>
  <c r="H1267" i="1"/>
  <c r="G1267" i="1"/>
  <c r="R1266" i="1"/>
  <c r="Q1266" i="1"/>
  <c r="O1266" i="1"/>
  <c r="N1266" i="1"/>
  <c r="M1266" i="1"/>
  <c r="L1266" i="1"/>
  <c r="K1266" i="1"/>
  <c r="J1266" i="1"/>
  <c r="I1266" i="1"/>
  <c r="H1266" i="1"/>
  <c r="G1266" i="1"/>
  <c r="R1265" i="1"/>
  <c r="Q1265" i="1"/>
  <c r="O1265" i="1"/>
  <c r="N1265" i="1"/>
  <c r="M1265" i="1"/>
  <c r="L1265" i="1"/>
  <c r="K1265" i="1"/>
  <c r="J1265" i="1"/>
  <c r="I1265" i="1"/>
  <c r="H1265" i="1"/>
  <c r="G1265" i="1"/>
  <c r="R1264" i="1"/>
  <c r="Q1264" i="1"/>
  <c r="O1264" i="1"/>
  <c r="N1264" i="1"/>
  <c r="M1264" i="1"/>
  <c r="L1264" i="1"/>
  <c r="K1264" i="1"/>
  <c r="J1264" i="1"/>
  <c r="I1264" i="1"/>
  <c r="H1264" i="1"/>
  <c r="G1264" i="1"/>
  <c r="R1263" i="1"/>
  <c r="Q1263" i="1"/>
  <c r="O1263" i="1"/>
  <c r="N1263" i="1"/>
  <c r="M1263" i="1"/>
  <c r="L1263" i="1"/>
  <c r="K1263" i="1"/>
  <c r="J1263" i="1"/>
  <c r="I1263" i="1"/>
  <c r="H1263" i="1"/>
  <c r="G1263" i="1"/>
  <c r="R1262" i="1"/>
  <c r="Q1262" i="1"/>
  <c r="O1262" i="1"/>
  <c r="N1262" i="1"/>
  <c r="M1262" i="1"/>
  <c r="L1262" i="1"/>
  <c r="K1262" i="1"/>
  <c r="J1262" i="1"/>
  <c r="I1262" i="1"/>
  <c r="H1262" i="1"/>
  <c r="G1262" i="1"/>
  <c r="R1261" i="1"/>
  <c r="Q1261" i="1"/>
  <c r="O1261" i="1"/>
  <c r="N1261" i="1"/>
  <c r="M1261" i="1"/>
  <c r="L1261" i="1"/>
  <c r="K1261" i="1"/>
  <c r="J1261" i="1"/>
  <c r="I1261" i="1"/>
  <c r="H1261" i="1"/>
  <c r="G1261" i="1"/>
  <c r="R1260" i="1"/>
  <c r="Q1260" i="1"/>
  <c r="O1260" i="1"/>
  <c r="N1260" i="1"/>
  <c r="M1260" i="1"/>
  <c r="L1260" i="1"/>
  <c r="K1260" i="1"/>
  <c r="J1260" i="1"/>
  <c r="I1260" i="1"/>
  <c r="H1260" i="1"/>
  <c r="G1260" i="1"/>
  <c r="R1259" i="1"/>
  <c r="Q1259" i="1"/>
  <c r="O1259" i="1"/>
  <c r="N1259" i="1"/>
  <c r="M1259" i="1"/>
  <c r="L1259" i="1"/>
  <c r="K1259" i="1"/>
  <c r="J1259" i="1"/>
  <c r="I1259" i="1"/>
  <c r="H1259" i="1"/>
  <c r="G1259" i="1"/>
  <c r="R1258" i="1"/>
  <c r="Q1258" i="1"/>
  <c r="O1258" i="1"/>
  <c r="N1258" i="1"/>
  <c r="M1258" i="1"/>
  <c r="L1258" i="1"/>
  <c r="K1258" i="1"/>
  <c r="J1258" i="1"/>
  <c r="I1258" i="1"/>
  <c r="H1258" i="1"/>
  <c r="G1258" i="1"/>
  <c r="R1257" i="1"/>
  <c r="Q1257" i="1"/>
  <c r="O1257" i="1"/>
  <c r="N1257" i="1"/>
  <c r="M1257" i="1"/>
  <c r="L1257" i="1"/>
  <c r="K1257" i="1"/>
  <c r="J1257" i="1"/>
  <c r="I1257" i="1"/>
  <c r="H1257" i="1"/>
  <c r="G1257" i="1"/>
  <c r="R1256" i="1"/>
  <c r="Q1256" i="1"/>
  <c r="O1256" i="1"/>
  <c r="N1256" i="1"/>
  <c r="M1256" i="1"/>
  <c r="L1256" i="1"/>
  <c r="K1256" i="1"/>
  <c r="J1256" i="1"/>
  <c r="I1256" i="1"/>
  <c r="H1256" i="1"/>
  <c r="G1256" i="1"/>
  <c r="R1255" i="1"/>
  <c r="Q1255" i="1"/>
  <c r="O1255" i="1"/>
  <c r="N1255" i="1"/>
  <c r="M1255" i="1"/>
  <c r="L1255" i="1"/>
  <c r="K1255" i="1"/>
  <c r="J1255" i="1"/>
  <c r="I1255" i="1"/>
  <c r="H1255" i="1"/>
  <c r="G1255" i="1"/>
  <c r="R1254" i="1"/>
  <c r="Q1254" i="1"/>
  <c r="O1254" i="1"/>
  <c r="N1254" i="1"/>
  <c r="M1254" i="1"/>
  <c r="L1254" i="1"/>
  <c r="K1254" i="1"/>
  <c r="J1254" i="1"/>
  <c r="I1254" i="1"/>
  <c r="H1254" i="1"/>
  <c r="G1254" i="1"/>
  <c r="R1253" i="1"/>
  <c r="Q1253" i="1"/>
  <c r="O1253" i="1"/>
  <c r="N1253" i="1"/>
  <c r="M1253" i="1"/>
  <c r="L1253" i="1"/>
  <c r="K1253" i="1"/>
  <c r="J1253" i="1"/>
  <c r="I1253" i="1"/>
  <c r="H1253" i="1"/>
  <c r="G1253" i="1"/>
  <c r="R1252" i="1"/>
  <c r="Q1252" i="1"/>
  <c r="O1252" i="1"/>
  <c r="N1252" i="1"/>
  <c r="M1252" i="1"/>
  <c r="L1252" i="1"/>
  <c r="K1252" i="1"/>
  <c r="J1252" i="1"/>
  <c r="I1252" i="1"/>
  <c r="H1252" i="1"/>
  <c r="G1252" i="1"/>
  <c r="R1251" i="1"/>
  <c r="Q1251" i="1"/>
  <c r="O1251" i="1"/>
  <c r="N1251" i="1"/>
  <c r="M1251" i="1"/>
  <c r="L1251" i="1"/>
  <c r="K1251" i="1"/>
  <c r="J1251" i="1"/>
  <c r="I1251" i="1"/>
  <c r="H1251" i="1"/>
  <c r="G1251" i="1"/>
  <c r="R1250" i="1"/>
  <c r="Q1250" i="1"/>
  <c r="O1250" i="1"/>
  <c r="N1250" i="1"/>
  <c r="M1250" i="1"/>
  <c r="L1250" i="1"/>
  <c r="K1250" i="1"/>
  <c r="J1250" i="1"/>
  <c r="I1250" i="1"/>
  <c r="H1250" i="1"/>
  <c r="G1250" i="1"/>
  <c r="R1249" i="1"/>
  <c r="Q1249" i="1"/>
  <c r="O1249" i="1"/>
  <c r="N1249" i="1"/>
  <c r="M1249" i="1"/>
  <c r="L1249" i="1"/>
  <c r="K1249" i="1"/>
  <c r="J1249" i="1"/>
  <c r="I1249" i="1"/>
  <c r="H1249" i="1"/>
  <c r="G1249" i="1"/>
  <c r="R1248" i="1"/>
  <c r="Q1248" i="1"/>
  <c r="O1248" i="1"/>
  <c r="N1248" i="1"/>
  <c r="M1248" i="1"/>
  <c r="L1248" i="1"/>
  <c r="K1248" i="1"/>
  <c r="J1248" i="1"/>
  <c r="I1248" i="1"/>
  <c r="H1248" i="1"/>
  <c r="G1248" i="1"/>
  <c r="R1247" i="1"/>
  <c r="Q1247" i="1"/>
  <c r="O1247" i="1"/>
  <c r="N1247" i="1"/>
  <c r="M1247" i="1"/>
  <c r="L1247" i="1"/>
  <c r="K1247" i="1"/>
  <c r="J1247" i="1"/>
  <c r="I1247" i="1"/>
  <c r="H1247" i="1"/>
  <c r="G1247" i="1"/>
  <c r="R1246" i="1"/>
  <c r="Q1246" i="1"/>
  <c r="O1246" i="1"/>
  <c r="N1246" i="1"/>
  <c r="M1246" i="1"/>
  <c r="L1246" i="1"/>
  <c r="K1246" i="1"/>
  <c r="J1246" i="1"/>
  <c r="I1246" i="1"/>
  <c r="H1246" i="1"/>
  <c r="G1246" i="1"/>
  <c r="R1245" i="1"/>
  <c r="Q1245" i="1"/>
  <c r="O1245" i="1"/>
  <c r="N1245" i="1"/>
  <c r="M1245" i="1"/>
  <c r="L1245" i="1"/>
  <c r="K1245" i="1"/>
  <c r="J1245" i="1"/>
  <c r="I1245" i="1"/>
  <c r="H1245" i="1"/>
  <c r="G1245" i="1"/>
  <c r="R1244" i="1"/>
  <c r="Q1244" i="1"/>
  <c r="O1244" i="1"/>
  <c r="N1244" i="1"/>
  <c r="M1244" i="1"/>
  <c r="L1244" i="1"/>
  <c r="K1244" i="1"/>
  <c r="J1244" i="1"/>
  <c r="I1244" i="1"/>
  <c r="H1244" i="1"/>
  <c r="G1244" i="1"/>
  <c r="R1243" i="1"/>
  <c r="Q1243" i="1"/>
  <c r="O1243" i="1"/>
  <c r="N1243" i="1"/>
  <c r="M1243" i="1"/>
  <c r="L1243" i="1"/>
  <c r="K1243" i="1"/>
  <c r="J1243" i="1"/>
  <c r="I1243" i="1"/>
  <c r="H1243" i="1"/>
  <c r="G1243" i="1"/>
  <c r="R1242" i="1"/>
  <c r="Q1242" i="1"/>
  <c r="O1242" i="1"/>
  <c r="N1242" i="1"/>
  <c r="M1242" i="1"/>
  <c r="L1242" i="1"/>
  <c r="K1242" i="1"/>
  <c r="J1242" i="1"/>
  <c r="I1242" i="1"/>
  <c r="H1242" i="1"/>
  <c r="G1242" i="1"/>
  <c r="R1241" i="1"/>
  <c r="Q1241" i="1"/>
  <c r="O1241" i="1"/>
  <c r="N1241" i="1"/>
  <c r="M1241" i="1"/>
  <c r="L1241" i="1"/>
  <c r="K1241" i="1"/>
  <c r="J1241" i="1"/>
  <c r="I1241" i="1"/>
  <c r="H1241" i="1"/>
  <c r="G1241" i="1"/>
  <c r="R1240" i="1"/>
  <c r="Q1240" i="1"/>
  <c r="O1240" i="1"/>
  <c r="N1240" i="1"/>
  <c r="M1240" i="1"/>
  <c r="L1240" i="1"/>
  <c r="K1240" i="1"/>
  <c r="J1240" i="1"/>
  <c r="I1240" i="1"/>
  <c r="H1240" i="1"/>
  <c r="G1240" i="1"/>
  <c r="R1239" i="1"/>
  <c r="Q1239" i="1"/>
  <c r="O1239" i="1"/>
  <c r="N1239" i="1"/>
  <c r="M1239" i="1"/>
  <c r="L1239" i="1"/>
  <c r="K1239" i="1"/>
  <c r="J1239" i="1"/>
  <c r="I1239" i="1"/>
  <c r="H1239" i="1"/>
  <c r="G1239" i="1"/>
  <c r="R1238" i="1"/>
  <c r="Q1238" i="1"/>
  <c r="O1238" i="1"/>
  <c r="N1238" i="1"/>
  <c r="M1238" i="1"/>
  <c r="L1238" i="1"/>
  <c r="K1238" i="1"/>
  <c r="J1238" i="1"/>
  <c r="I1238" i="1"/>
  <c r="H1238" i="1"/>
  <c r="G1238" i="1"/>
  <c r="R1237" i="1"/>
  <c r="Q1237" i="1"/>
  <c r="O1237" i="1"/>
  <c r="N1237" i="1"/>
  <c r="M1237" i="1"/>
  <c r="L1237" i="1"/>
  <c r="K1237" i="1"/>
  <c r="J1237" i="1"/>
  <c r="I1237" i="1"/>
  <c r="H1237" i="1"/>
  <c r="G1237" i="1"/>
  <c r="R1236" i="1"/>
  <c r="Q1236" i="1"/>
  <c r="O1236" i="1"/>
  <c r="N1236" i="1"/>
  <c r="M1236" i="1"/>
  <c r="L1236" i="1"/>
  <c r="K1236" i="1"/>
  <c r="J1236" i="1"/>
  <c r="I1236" i="1"/>
  <c r="H1236" i="1"/>
  <c r="G1236" i="1"/>
  <c r="R1235" i="1"/>
  <c r="Q1235" i="1"/>
  <c r="O1235" i="1"/>
  <c r="N1235" i="1"/>
  <c r="M1235" i="1"/>
  <c r="L1235" i="1"/>
  <c r="K1235" i="1"/>
  <c r="J1235" i="1"/>
  <c r="I1235" i="1"/>
  <c r="H1235" i="1"/>
  <c r="G1235" i="1"/>
  <c r="R1234" i="1"/>
  <c r="Q1234" i="1"/>
  <c r="O1234" i="1"/>
  <c r="N1234" i="1"/>
  <c r="M1234" i="1"/>
  <c r="L1234" i="1"/>
  <c r="K1234" i="1"/>
  <c r="J1234" i="1"/>
  <c r="I1234" i="1"/>
  <c r="H1234" i="1"/>
  <c r="G1234" i="1"/>
  <c r="R1233" i="1"/>
  <c r="Q1233" i="1"/>
  <c r="O1233" i="1"/>
  <c r="N1233" i="1"/>
  <c r="M1233" i="1"/>
  <c r="L1233" i="1"/>
  <c r="K1233" i="1"/>
  <c r="J1233" i="1"/>
  <c r="I1233" i="1"/>
  <c r="H1233" i="1"/>
  <c r="G1233" i="1"/>
  <c r="R1232" i="1"/>
  <c r="Q1232" i="1"/>
  <c r="O1232" i="1"/>
  <c r="N1232" i="1"/>
  <c r="M1232" i="1"/>
  <c r="L1232" i="1"/>
  <c r="K1232" i="1"/>
  <c r="J1232" i="1"/>
  <c r="I1232" i="1"/>
  <c r="H1232" i="1"/>
  <c r="G1232" i="1"/>
  <c r="R1231" i="1"/>
  <c r="Q1231" i="1"/>
  <c r="O1231" i="1"/>
  <c r="N1231" i="1"/>
  <c r="M1231" i="1"/>
  <c r="L1231" i="1"/>
  <c r="K1231" i="1"/>
  <c r="J1231" i="1"/>
  <c r="I1231" i="1"/>
  <c r="H1231" i="1"/>
  <c r="G1231" i="1"/>
  <c r="R1230" i="1"/>
  <c r="Q1230" i="1"/>
  <c r="O1230" i="1"/>
  <c r="N1230" i="1"/>
  <c r="M1230" i="1"/>
  <c r="L1230" i="1"/>
  <c r="K1230" i="1"/>
  <c r="J1230" i="1"/>
  <c r="I1230" i="1"/>
  <c r="H1230" i="1"/>
  <c r="G1230" i="1"/>
  <c r="R1229" i="1"/>
  <c r="Q1229" i="1"/>
  <c r="O1229" i="1"/>
  <c r="N1229" i="1"/>
  <c r="M1229" i="1"/>
  <c r="L1229" i="1"/>
  <c r="K1229" i="1"/>
  <c r="J1229" i="1"/>
  <c r="I1229" i="1"/>
  <c r="H1229" i="1"/>
  <c r="G1229" i="1"/>
  <c r="R1228" i="1"/>
  <c r="Q1228" i="1"/>
  <c r="O1228" i="1"/>
  <c r="N1228" i="1"/>
  <c r="M1228" i="1"/>
  <c r="L1228" i="1"/>
  <c r="K1228" i="1"/>
  <c r="J1228" i="1"/>
  <c r="I1228" i="1"/>
  <c r="H1228" i="1"/>
  <c r="G1228" i="1"/>
  <c r="R1227" i="1"/>
  <c r="Q1227" i="1"/>
  <c r="O1227" i="1"/>
  <c r="N1227" i="1"/>
  <c r="M1227" i="1"/>
  <c r="L1227" i="1"/>
  <c r="K1227" i="1"/>
  <c r="J1227" i="1"/>
  <c r="I1227" i="1"/>
  <c r="H1227" i="1"/>
  <c r="G1227" i="1"/>
  <c r="R1226" i="1"/>
  <c r="Q1226" i="1"/>
  <c r="O1226" i="1"/>
  <c r="N1226" i="1"/>
  <c r="M1226" i="1"/>
  <c r="L1226" i="1"/>
  <c r="K1226" i="1"/>
  <c r="J1226" i="1"/>
  <c r="I1226" i="1"/>
  <c r="H1226" i="1"/>
  <c r="G1226" i="1"/>
  <c r="R1225" i="1"/>
  <c r="Q1225" i="1"/>
  <c r="O1225" i="1"/>
  <c r="N1225" i="1"/>
  <c r="M1225" i="1"/>
  <c r="L1225" i="1"/>
  <c r="K1225" i="1"/>
  <c r="J1225" i="1"/>
  <c r="I1225" i="1"/>
  <c r="H1225" i="1"/>
  <c r="G1225" i="1"/>
  <c r="R1224" i="1"/>
  <c r="Q1224" i="1"/>
  <c r="O1224" i="1"/>
  <c r="N1224" i="1"/>
  <c r="M1224" i="1"/>
  <c r="L1224" i="1"/>
  <c r="K1224" i="1"/>
  <c r="J1224" i="1"/>
  <c r="I1224" i="1"/>
  <c r="H1224" i="1"/>
  <c r="G1224" i="1"/>
  <c r="R1223" i="1"/>
  <c r="Q1223" i="1"/>
  <c r="O1223" i="1"/>
  <c r="N1223" i="1"/>
  <c r="M1223" i="1"/>
  <c r="L1223" i="1"/>
  <c r="K1223" i="1"/>
  <c r="J1223" i="1"/>
  <c r="I1223" i="1"/>
  <c r="H1223" i="1"/>
  <c r="G1223" i="1"/>
  <c r="R1222" i="1"/>
  <c r="Q1222" i="1"/>
  <c r="O1222" i="1"/>
  <c r="N1222" i="1"/>
  <c r="M1222" i="1"/>
  <c r="L1222" i="1"/>
  <c r="K1222" i="1"/>
  <c r="J1222" i="1"/>
  <c r="I1222" i="1"/>
  <c r="H1222" i="1"/>
  <c r="G1222" i="1"/>
  <c r="R1221" i="1"/>
  <c r="Q1221" i="1"/>
  <c r="O1221" i="1"/>
  <c r="N1221" i="1"/>
  <c r="M1221" i="1"/>
  <c r="L1221" i="1"/>
  <c r="K1221" i="1"/>
  <c r="J1221" i="1"/>
  <c r="I1221" i="1"/>
  <c r="H1221" i="1"/>
  <c r="G1221" i="1"/>
  <c r="R1220" i="1"/>
  <c r="Q1220" i="1"/>
  <c r="O1220" i="1"/>
  <c r="N1220" i="1"/>
  <c r="M1220" i="1"/>
  <c r="L1220" i="1"/>
  <c r="K1220" i="1"/>
  <c r="J1220" i="1"/>
  <c r="I1220" i="1"/>
  <c r="H1220" i="1"/>
  <c r="G1220" i="1"/>
  <c r="R1219" i="1"/>
  <c r="Q1219" i="1"/>
  <c r="O1219" i="1"/>
  <c r="N1219" i="1"/>
  <c r="M1219" i="1"/>
  <c r="L1219" i="1"/>
  <c r="K1219" i="1"/>
  <c r="J1219" i="1"/>
  <c r="I1219" i="1"/>
  <c r="H1219" i="1"/>
  <c r="G1219" i="1"/>
  <c r="R1218" i="1"/>
  <c r="Q1218" i="1"/>
  <c r="O1218" i="1"/>
  <c r="N1218" i="1"/>
  <c r="M1218" i="1"/>
  <c r="L1218" i="1"/>
  <c r="K1218" i="1"/>
  <c r="J1218" i="1"/>
  <c r="I1218" i="1"/>
  <c r="H1218" i="1"/>
  <c r="G1218" i="1"/>
  <c r="R1217" i="1"/>
  <c r="Q1217" i="1"/>
  <c r="O1217" i="1"/>
  <c r="N1217" i="1"/>
  <c r="M1217" i="1"/>
  <c r="L1217" i="1"/>
  <c r="K1217" i="1"/>
  <c r="J1217" i="1"/>
  <c r="I1217" i="1"/>
  <c r="H1217" i="1"/>
  <c r="G1217" i="1"/>
  <c r="R1216" i="1"/>
  <c r="Q1216" i="1"/>
  <c r="O1216" i="1"/>
  <c r="N1216" i="1"/>
  <c r="M1216" i="1"/>
  <c r="L1216" i="1"/>
  <c r="K1216" i="1"/>
  <c r="J1216" i="1"/>
  <c r="I1216" i="1"/>
  <c r="H1216" i="1"/>
  <c r="G1216" i="1"/>
  <c r="R1215" i="1"/>
  <c r="Q1215" i="1"/>
  <c r="O1215" i="1"/>
  <c r="N1215" i="1"/>
  <c r="M1215" i="1"/>
  <c r="L1215" i="1"/>
  <c r="K1215" i="1"/>
  <c r="J1215" i="1"/>
  <c r="I1215" i="1"/>
  <c r="H1215" i="1"/>
  <c r="G1215" i="1"/>
  <c r="R1214" i="1"/>
  <c r="Q1214" i="1"/>
  <c r="O1214" i="1"/>
  <c r="N1214" i="1"/>
  <c r="M1214" i="1"/>
  <c r="L1214" i="1"/>
  <c r="K1214" i="1"/>
  <c r="J1214" i="1"/>
  <c r="I1214" i="1"/>
  <c r="H1214" i="1"/>
  <c r="G1214" i="1"/>
  <c r="R1213" i="1"/>
  <c r="Q1213" i="1"/>
  <c r="O1213" i="1"/>
  <c r="N1213" i="1"/>
  <c r="M1213" i="1"/>
  <c r="L1213" i="1"/>
  <c r="K1213" i="1"/>
  <c r="J1213" i="1"/>
  <c r="I1213" i="1"/>
  <c r="H1213" i="1"/>
  <c r="G1213" i="1"/>
  <c r="R1212" i="1"/>
  <c r="Q1212" i="1"/>
  <c r="O1212" i="1"/>
  <c r="N1212" i="1"/>
  <c r="M1212" i="1"/>
  <c r="L1212" i="1"/>
  <c r="K1212" i="1"/>
  <c r="J1212" i="1"/>
  <c r="I1212" i="1"/>
  <c r="H1212" i="1"/>
  <c r="G1212" i="1"/>
  <c r="R1211" i="1"/>
  <c r="Q1211" i="1"/>
  <c r="O1211" i="1"/>
  <c r="N1211" i="1"/>
  <c r="M1211" i="1"/>
  <c r="L1211" i="1"/>
  <c r="K1211" i="1"/>
  <c r="J1211" i="1"/>
  <c r="I1211" i="1"/>
  <c r="H1211" i="1"/>
  <c r="G1211" i="1"/>
  <c r="R1210" i="1"/>
  <c r="Q1210" i="1"/>
  <c r="O1210" i="1"/>
  <c r="N1210" i="1"/>
  <c r="M1210" i="1"/>
  <c r="L1210" i="1"/>
  <c r="K1210" i="1"/>
  <c r="J1210" i="1"/>
  <c r="I1210" i="1"/>
  <c r="H1210" i="1"/>
  <c r="G1210" i="1"/>
  <c r="R1209" i="1"/>
  <c r="Q1209" i="1"/>
  <c r="O1209" i="1"/>
  <c r="N1209" i="1"/>
  <c r="M1209" i="1"/>
  <c r="L1209" i="1"/>
  <c r="K1209" i="1"/>
  <c r="J1209" i="1"/>
  <c r="I1209" i="1"/>
  <c r="H1209" i="1"/>
  <c r="G1209" i="1"/>
  <c r="R1208" i="1"/>
  <c r="Q1208" i="1"/>
  <c r="O1208" i="1"/>
  <c r="N1208" i="1"/>
  <c r="M1208" i="1"/>
  <c r="L1208" i="1"/>
  <c r="K1208" i="1"/>
  <c r="J1208" i="1"/>
  <c r="I1208" i="1"/>
  <c r="H1208" i="1"/>
  <c r="G1208" i="1"/>
  <c r="R1207" i="1"/>
  <c r="Q1207" i="1"/>
  <c r="O1207" i="1"/>
  <c r="N1207" i="1"/>
  <c r="M1207" i="1"/>
  <c r="L1207" i="1"/>
  <c r="K1207" i="1"/>
  <c r="J1207" i="1"/>
  <c r="I1207" i="1"/>
  <c r="H1207" i="1"/>
  <c r="G1207" i="1"/>
  <c r="R1206" i="1"/>
  <c r="Q1206" i="1"/>
  <c r="O1206" i="1"/>
  <c r="N1206" i="1"/>
  <c r="M1206" i="1"/>
  <c r="L1206" i="1"/>
  <c r="K1206" i="1"/>
  <c r="J1206" i="1"/>
  <c r="I1206" i="1"/>
  <c r="H1206" i="1"/>
  <c r="G1206" i="1"/>
  <c r="R1205" i="1"/>
  <c r="Q1205" i="1"/>
  <c r="O1205" i="1"/>
  <c r="N1205" i="1"/>
  <c r="M1205" i="1"/>
  <c r="L1205" i="1"/>
  <c r="K1205" i="1"/>
  <c r="J1205" i="1"/>
  <c r="I1205" i="1"/>
  <c r="H1205" i="1"/>
  <c r="G1205" i="1"/>
  <c r="R1204" i="1"/>
  <c r="Q1204" i="1"/>
  <c r="O1204" i="1"/>
  <c r="N1204" i="1"/>
  <c r="M1204" i="1"/>
  <c r="L1204" i="1"/>
  <c r="K1204" i="1"/>
  <c r="J1204" i="1"/>
  <c r="I1204" i="1"/>
  <c r="H1204" i="1"/>
  <c r="G1204" i="1"/>
  <c r="R1203" i="1"/>
  <c r="Q1203" i="1"/>
  <c r="O1203" i="1"/>
  <c r="N1203" i="1"/>
  <c r="M1203" i="1"/>
  <c r="L1203" i="1"/>
  <c r="K1203" i="1"/>
  <c r="J1203" i="1"/>
  <c r="I1203" i="1"/>
  <c r="H1203" i="1"/>
  <c r="G1203" i="1"/>
  <c r="R1202" i="1"/>
  <c r="Q1202" i="1"/>
  <c r="O1202" i="1"/>
  <c r="N1202" i="1"/>
  <c r="M1202" i="1"/>
  <c r="L1202" i="1"/>
  <c r="K1202" i="1"/>
  <c r="J1202" i="1"/>
  <c r="I1202" i="1"/>
  <c r="H1202" i="1"/>
  <c r="G1202" i="1"/>
  <c r="R1201" i="1"/>
  <c r="Q1201" i="1"/>
  <c r="O1201" i="1"/>
  <c r="N1201" i="1"/>
  <c r="M1201" i="1"/>
  <c r="L1201" i="1"/>
  <c r="K1201" i="1"/>
  <c r="J1201" i="1"/>
  <c r="I1201" i="1"/>
  <c r="H1201" i="1"/>
  <c r="G1201" i="1"/>
  <c r="R1200" i="1"/>
  <c r="Q1200" i="1"/>
  <c r="O1200" i="1"/>
  <c r="N1200" i="1"/>
  <c r="M1200" i="1"/>
  <c r="L1200" i="1"/>
  <c r="K1200" i="1"/>
  <c r="J1200" i="1"/>
  <c r="I1200" i="1"/>
  <c r="H1200" i="1"/>
  <c r="G1200" i="1"/>
  <c r="R1199" i="1"/>
  <c r="Q1199" i="1"/>
  <c r="O1199" i="1"/>
  <c r="N1199" i="1"/>
  <c r="M1199" i="1"/>
  <c r="L1199" i="1"/>
  <c r="K1199" i="1"/>
  <c r="J1199" i="1"/>
  <c r="I1199" i="1"/>
  <c r="H1199" i="1"/>
  <c r="G1199" i="1"/>
  <c r="R1198" i="1"/>
  <c r="Q1198" i="1"/>
  <c r="O1198" i="1"/>
  <c r="N1198" i="1"/>
  <c r="M1198" i="1"/>
  <c r="L1198" i="1"/>
  <c r="K1198" i="1"/>
  <c r="J1198" i="1"/>
  <c r="I1198" i="1"/>
  <c r="H1198" i="1"/>
  <c r="G1198" i="1"/>
  <c r="R1197" i="1"/>
  <c r="Q1197" i="1"/>
  <c r="O1197" i="1"/>
  <c r="N1197" i="1"/>
  <c r="M1197" i="1"/>
  <c r="L1197" i="1"/>
  <c r="K1197" i="1"/>
  <c r="J1197" i="1"/>
  <c r="I1197" i="1"/>
  <c r="H1197" i="1"/>
  <c r="G1197" i="1"/>
  <c r="R1196" i="1"/>
  <c r="Q1196" i="1"/>
  <c r="O1196" i="1"/>
  <c r="N1196" i="1"/>
  <c r="M1196" i="1"/>
  <c r="L1196" i="1"/>
  <c r="K1196" i="1"/>
  <c r="J1196" i="1"/>
  <c r="I1196" i="1"/>
  <c r="H1196" i="1"/>
  <c r="G1196" i="1"/>
  <c r="R1195" i="1"/>
  <c r="Q1195" i="1"/>
  <c r="O1195" i="1"/>
  <c r="N1195" i="1"/>
  <c r="M1195" i="1"/>
  <c r="L1195" i="1"/>
  <c r="K1195" i="1"/>
  <c r="J1195" i="1"/>
  <c r="I1195" i="1"/>
  <c r="H1195" i="1"/>
  <c r="G1195" i="1"/>
  <c r="R1194" i="1"/>
  <c r="Q1194" i="1"/>
  <c r="O1194" i="1"/>
  <c r="N1194" i="1"/>
  <c r="M1194" i="1"/>
  <c r="L1194" i="1"/>
  <c r="K1194" i="1"/>
  <c r="J1194" i="1"/>
  <c r="I1194" i="1"/>
  <c r="H1194" i="1"/>
  <c r="G1194" i="1"/>
  <c r="R1193" i="1"/>
  <c r="Q1193" i="1"/>
  <c r="O1193" i="1"/>
  <c r="N1193" i="1"/>
  <c r="M1193" i="1"/>
  <c r="L1193" i="1"/>
  <c r="K1193" i="1"/>
  <c r="J1193" i="1"/>
  <c r="I1193" i="1"/>
  <c r="H1193" i="1"/>
  <c r="G1193" i="1"/>
  <c r="R1192" i="1"/>
  <c r="Q1192" i="1"/>
  <c r="O1192" i="1"/>
  <c r="N1192" i="1"/>
  <c r="M1192" i="1"/>
  <c r="L1192" i="1"/>
  <c r="K1192" i="1"/>
  <c r="J1192" i="1"/>
  <c r="I1192" i="1"/>
  <c r="H1192" i="1"/>
  <c r="G1192" i="1"/>
  <c r="R1191" i="1"/>
  <c r="Q1191" i="1"/>
  <c r="O1191" i="1"/>
  <c r="N1191" i="1"/>
  <c r="M1191" i="1"/>
  <c r="L1191" i="1"/>
  <c r="K1191" i="1"/>
  <c r="J1191" i="1"/>
  <c r="I1191" i="1"/>
  <c r="H1191" i="1"/>
  <c r="G1191" i="1"/>
  <c r="R1190" i="1"/>
  <c r="Q1190" i="1"/>
  <c r="O1190" i="1"/>
  <c r="N1190" i="1"/>
  <c r="M1190" i="1"/>
  <c r="L1190" i="1"/>
  <c r="K1190" i="1"/>
  <c r="J1190" i="1"/>
  <c r="I1190" i="1"/>
  <c r="H1190" i="1"/>
  <c r="G1190" i="1"/>
  <c r="R1189" i="1"/>
  <c r="Q1189" i="1"/>
  <c r="O1189" i="1"/>
  <c r="N1189" i="1"/>
  <c r="M1189" i="1"/>
  <c r="L1189" i="1"/>
  <c r="K1189" i="1"/>
  <c r="J1189" i="1"/>
  <c r="I1189" i="1"/>
  <c r="H1189" i="1"/>
  <c r="G1189" i="1"/>
  <c r="R1188" i="1"/>
  <c r="Q1188" i="1"/>
  <c r="O1188" i="1"/>
  <c r="N1188" i="1"/>
  <c r="M1188" i="1"/>
  <c r="L1188" i="1"/>
  <c r="K1188" i="1"/>
  <c r="J1188" i="1"/>
  <c r="I1188" i="1"/>
  <c r="H1188" i="1"/>
  <c r="G1188" i="1"/>
  <c r="R1187" i="1"/>
  <c r="Q1187" i="1"/>
  <c r="O1187" i="1"/>
  <c r="N1187" i="1"/>
  <c r="M1187" i="1"/>
  <c r="L1187" i="1"/>
  <c r="K1187" i="1"/>
  <c r="J1187" i="1"/>
  <c r="I1187" i="1"/>
  <c r="H1187" i="1"/>
  <c r="G1187" i="1"/>
  <c r="R1186" i="1"/>
  <c r="Q1186" i="1"/>
  <c r="O1186" i="1"/>
  <c r="N1186" i="1"/>
  <c r="M1186" i="1"/>
  <c r="L1186" i="1"/>
  <c r="K1186" i="1"/>
  <c r="J1186" i="1"/>
  <c r="I1186" i="1"/>
  <c r="H1186" i="1"/>
  <c r="G1186" i="1"/>
  <c r="R1185" i="1"/>
  <c r="Q1185" i="1"/>
  <c r="O1185" i="1"/>
  <c r="N1185" i="1"/>
  <c r="M1185" i="1"/>
  <c r="L1185" i="1"/>
  <c r="K1185" i="1"/>
  <c r="J1185" i="1"/>
  <c r="I1185" i="1"/>
  <c r="H1185" i="1"/>
  <c r="G1185" i="1"/>
  <c r="R1184" i="1"/>
  <c r="Q1184" i="1"/>
  <c r="O1184" i="1"/>
  <c r="N1184" i="1"/>
  <c r="M1184" i="1"/>
  <c r="L1184" i="1"/>
  <c r="K1184" i="1"/>
  <c r="J1184" i="1"/>
  <c r="I1184" i="1"/>
  <c r="H1184" i="1"/>
  <c r="G1184" i="1"/>
  <c r="R1183" i="1"/>
  <c r="Q1183" i="1"/>
  <c r="O1183" i="1"/>
  <c r="N1183" i="1"/>
  <c r="M1183" i="1"/>
  <c r="L1183" i="1"/>
  <c r="K1183" i="1"/>
  <c r="J1183" i="1"/>
  <c r="I1183" i="1"/>
  <c r="H1183" i="1"/>
  <c r="G1183" i="1"/>
  <c r="R1182" i="1"/>
  <c r="Q1182" i="1"/>
  <c r="O1182" i="1"/>
  <c r="N1182" i="1"/>
  <c r="M1182" i="1"/>
  <c r="L1182" i="1"/>
  <c r="K1182" i="1"/>
  <c r="J1182" i="1"/>
  <c r="I1182" i="1"/>
  <c r="H1182" i="1"/>
  <c r="G1182" i="1"/>
  <c r="R1181" i="1"/>
  <c r="Q1181" i="1"/>
  <c r="O1181" i="1"/>
  <c r="N1181" i="1"/>
  <c r="M1181" i="1"/>
  <c r="L1181" i="1"/>
  <c r="K1181" i="1"/>
  <c r="J1181" i="1"/>
  <c r="I1181" i="1"/>
  <c r="H1181" i="1"/>
  <c r="G1181" i="1"/>
  <c r="R1180" i="1"/>
  <c r="Q1180" i="1"/>
  <c r="O1180" i="1"/>
  <c r="N1180" i="1"/>
  <c r="M1180" i="1"/>
  <c r="L1180" i="1"/>
  <c r="K1180" i="1"/>
  <c r="J1180" i="1"/>
  <c r="I1180" i="1"/>
  <c r="H1180" i="1"/>
  <c r="G1180" i="1"/>
  <c r="R1179" i="1"/>
  <c r="Q1179" i="1"/>
  <c r="O1179" i="1"/>
  <c r="N1179" i="1"/>
  <c r="M1179" i="1"/>
  <c r="L1179" i="1"/>
  <c r="K1179" i="1"/>
  <c r="J1179" i="1"/>
  <c r="I1179" i="1"/>
  <c r="H1179" i="1"/>
  <c r="G1179" i="1"/>
  <c r="R1178" i="1"/>
  <c r="Q1178" i="1"/>
  <c r="O1178" i="1"/>
  <c r="N1178" i="1"/>
  <c r="M1178" i="1"/>
  <c r="L1178" i="1"/>
  <c r="K1178" i="1"/>
  <c r="J1178" i="1"/>
  <c r="I1178" i="1"/>
  <c r="H1178" i="1"/>
  <c r="G1178" i="1"/>
  <c r="R1177" i="1"/>
  <c r="Q1177" i="1"/>
  <c r="O1177" i="1"/>
  <c r="N1177" i="1"/>
  <c r="M1177" i="1"/>
  <c r="L1177" i="1"/>
  <c r="K1177" i="1"/>
  <c r="J1177" i="1"/>
  <c r="I1177" i="1"/>
  <c r="H1177" i="1"/>
  <c r="G1177" i="1"/>
  <c r="R1176" i="1"/>
  <c r="Q1176" i="1"/>
  <c r="O1176" i="1"/>
  <c r="N1176" i="1"/>
  <c r="M1176" i="1"/>
  <c r="L1176" i="1"/>
  <c r="K1176" i="1"/>
  <c r="J1176" i="1"/>
  <c r="I1176" i="1"/>
  <c r="H1176" i="1"/>
  <c r="G1176" i="1"/>
  <c r="R1175" i="1"/>
  <c r="Q1175" i="1"/>
  <c r="O1175" i="1"/>
  <c r="N1175" i="1"/>
  <c r="M1175" i="1"/>
  <c r="L1175" i="1"/>
  <c r="K1175" i="1"/>
  <c r="J1175" i="1"/>
  <c r="I1175" i="1"/>
  <c r="H1175" i="1"/>
  <c r="G1175" i="1"/>
  <c r="R1174" i="1"/>
  <c r="Q1174" i="1"/>
  <c r="O1174" i="1"/>
  <c r="N1174" i="1"/>
  <c r="M1174" i="1"/>
  <c r="L1174" i="1"/>
  <c r="K1174" i="1"/>
  <c r="J1174" i="1"/>
  <c r="I1174" i="1"/>
  <c r="H1174" i="1"/>
  <c r="G1174" i="1"/>
  <c r="R1173" i="1"/>
  <c r="Q1173" i="1"/>
  <c r="O1173" i="1"/>
  <c r="N1173" i="1"/>
  <c r="M1173" i="1"/>
  <c r="L1173" i="1"/>
  <c r="K1173" i="1"/>
  <c r="J1173" i="1"/>
  <c r="I1173" i="1"/>
  <c r="H1173" i="1"/>
  <c r="G1173" i="1"/>
  <c r="R1172" i="1"/>
  <c r="Q1172" i="1"/>
  <c r="O1172" i="1"/>
  <c r="N1172" i="1"/>
  <c r="M1172" i="1"/>
  <c r="L1172" i="1"/>
  <c r="K1172" i="1"/>
  <c r="J1172" i="1"/>
  <c r="I1172" i="1"/>
  <c r="H1172" i="1"/>
  <c r="G1172" i="1"/>
  <c r="R1171" i="1"/>
  <c r="Q1171" i="1"/>
  <c r="O1171" i="1"/>
  <c r="N1171" i="1"/>
  <c r="M1171" i="1"/>
  <c r="L1171" i="1"/>
  <c r="K1171" i="1"/>
  <c r="J1171" i="1"/>
  <c r="I1171" i="1"/>
  <c r="H1171" i="1"/>
  <c r="G1171" i="1"/>
  <c r="R1170" i="1"/>
  <c r="Q1170" i="1"/>
  <c r="O1170" i="1"/>
  <c r="N1170" i="1"/>
  <c r="M1170" i="1"/>
  <c r="L1170" i="1"/>
  <c r="K1170" i="1"/>
  <c r="J1170" i="1"/>
  <c r="I1170" i="1"/>
  <c r="H1170" i="1"/>
  <c r="G1170" i="1"/>
  <c r="R1169" i="1"/>
  <c r="Q1169" i="1"/>
  <c r="O1169" i="1"/>
  <c r="N1169" i="1"/>
  <c r="M1169" i="1"/>
  <c r="L1169" i="1"/>
  <c r="K1169" i="1"/>
  <c r="J1169" i="1"/>
  <c r="I1169" i="1"/>
  <c r="H1169" i="1"/>
  <c r="G1169" i="1"/>
  <c r="R1168" i="1"/>
  <c r="Q1168" i="1"/>
  <c r="O1168" i="1"/>
  <c r="N1168" i="1"/>
  <c r="M1168" i="1"/>
  <c r="L1168" i="1"/>
  <c r="K1168" i="1"/>
  <c r="J1168" i="1"/>
  <c r="I1168" i="1"/>
  <c r="H1168" i="1"/>
  <c r="G1168" i="1"/>
  <c r="R1167" i="1"/>
  <c r="Q1167" i="1"/>
  <c r="O1167" i="1"/>
  <c r="N1167" i="1"/>
  <c r="M1167" i="1"/>
  <c r="L1167" i="1"/>
  <c r="K1167" i="1"/>
  <c r="J1167" i="1"/>
  <c r="I1167" i="1"/>
  <c r="H1167" i="1"/>
  <c r="G1167" i="1"/>
  <c r="R1166" i="1"/>
  <c r="Q1166" i="1"/>
  <c r="O1166" i="1"/>
  <c r="N1166" i="1"/>
  <c r="M1166" i="1"/>
  <c r="L1166" i="1"/>
  <c r="K1166" i="1"/>
  <c r="J1166" i="1"/>
  <c r="I1166" i="1"/>
  <c r="H1166" i="1"/>
  <c r="G1166" i="1"/>
  <c r="R1165" i="1"/>
  <c r="Q1165" i="1"/>
  <c r="O1165" i="1"/>
  <c r="N1165" i="1"/>
  <c r="M1165" i="1"/>
  <c r="L1165" i="1"/>
  <c r="K1165" i="1"/>
  <c r="J1165" i="1"/>
  <c r="I1165" i="1"/>
  <c r="H1165" i="1"/>
  <c r="G1165" i="1"/>
  <c r="R1164" i="1"/>
  <c r="Q1164" i="1"/>
  <c r="O1164" i="1"/>
  <c r="N1164" i="1"/>
  <c r="M1164" i="1"/>
  <c r="L1164" i="1"/>
  <c r="K1164" i="1"/>
  <c r="J1164" i="1"/>
  <c r="I1164" i="1"/>
  <c r="H1164" i="1"/>
  <c r="G1164" i="1"/>
  <c r="R1163" i="1"/>
  <c r="Q1163" i="1"/>
  <c r="O1163" i="1"/>
  <c r="N1163" i="1"/>
  <c r="M1163" i="1"/>
  <c r="L1163" i="1"/>
  <c r="K1163" i="1"/>
  <c r="J1163" i="1"/>
  <c r="I1163" i="1"/>
  <c r="H1163" i="1"/>
  <c r="G1163" i="1"/>
  <c r="R1162" i="1"/>
  <c r="Q1162" i="1"/>
  <c r="O1162" i="1"/>
  <c r="N1162" i="1"/>
  <c r="M1162" i="1"/>
  <c r="L1162" i="1"/>
  <c r="K1162" i="1"/>
  <c r="J1162" i="1"/>
  <c r="I1162" i="1"/>
  <c r="H1162" i="1"/>
  <c r="G1162" i="1"/>
  <c r="R1161" i="1"/>
  <c r="Q1161" i="1"/>
  <c r="O1161" i="1"/>
  <c r="N1161" i="1"/>
  <c r="M1161" i="1"/>
  <c r="L1161" i="1"/>
  <c r="K1161" i="1"/>
  <c r="J1161" i="1"/>
  <c r="I1161" i="1"/>
  <c r="H1161" i="1"/>
  <c r="G1161" i="1"/>
  <c r="R1160" i="1"/>
  <c r="Q1160" i="1"/>
  <c r="O1160" i="1"/>
  <c r="N1160" i="1"/>
  <c r="M1160" i="1"/>
  <c r="L1160" i="1"/>
  <c r="K1160" i="1"/>
  <c r="J1160" i="1"/>
  <c r="I1160" i="1"/>
  <c r="H1160" i="1"/>
  <c r="G1160" i="1"/>
  <c r="R1159" i="1"/>
  <c r="Q1159" i="1"/>
  <c r="O1159" i="1"/>
  <c r="N1159" i="1"/>
  <c r="M1159" i="1"/>
  <c r="L1159" i="1"/>
  <c r="K1159" i="1"/>
  <c r="J1159" i="1"/>
  <c r="I1159" i="1"/>
  <c r="H1159" i="1"/>
  <c r="G1159" i="1"/>
  <c r="R1158" i="1"/>
  <c r="Q1158" i="1"/>
  <c r="O1158" i="1"/>
  <c r="N1158" i="1"/>
  <c r="M1158" i="1"/>
  <c r="L1158" i="1"/>
  <c r="K1158" i="1"/>
  <c r="J1158" i="1"/>
  <c r="I1158" i="1"/>
  <c r="H1158" i="1"/>
  <c r="G1158" i="1"/>
  <c r="R1157" i="1"/>
  <c r="Q1157" i="1"/>
  <c r="O1157" i="1"/>
  <c r="N1157" i="1"/>
  <c r="M1157" i="1"/>
  <c r="L1157" i="1"/>
  <c r="K1157" i="1"/>
  <c r="J1157" i="1"/>
  <c r="I1157" i="1"/>
  <c r="H1157" i="1"/>
  <c r="G1157" i="1"/>
  <c r="R1156" i="1"/>
  <c r="Q1156" i="1"/>
  <c r="O1156" i="1"/>
  <c r="N1156" i="1"/>
  <c r="M1156" i="1"/>
  <c r="L1156" i="1"/>
  <c r="K1156" i="1"/>
  <c r="J1156" i="1"/>
  <c r="I1156" i="1"/>
  <c r="H1156" i="1"/>
  <c r="G1156" i="1"/>
  <c r="R1155" i="1"/>
  <c r="Q1155" i="1"/>
  <c r="O1155" i="1"/>
  <c r="N1155" i="1"/>
  <c r="M1155" i="1"/>
  <c r="L1155" i="1"/>
  <c r="K1155" i="1"/>
  <c r="J1155" i="1"/>
  <c r="I1155" i="1"/>
  <c r="H1155" i="1"/>
  <c r="G1155" i="1"/>
  <c r="R1154" i="1"/>
  <c r="Q1154" i="1"/>
  <c r="O1154" i="1"/>
  <c r="N1154" i="1"/>
  <c r="M1154" i="1"/>
  <c r="L1154" i="1"/>
  <c r="K1154" i="1"/>
  <c r="J1154" i="1"/>
  <c r="I1154" i="1"/>
  <c r="H1154" i="1"/>
  <c r="G1154" i="1"/>
  <c r="R1153" i="1"/>
  <c r="Q1153" i="1"/>
  <c r="O1153" i="1"/>
  <c r="N1153" i="1"/>
  <c r="M1153" i="1"/>
  <c r="L1153" i="1"/>
  <c r="K1153" i="1"/>
  <c r="J1153" i="1"/>
  <c r="I1153" i="1"/>
  <c r="H1153" i="1"/>
  <c r="G1153" i="1"/>
  <c r="R1152" i="1"/>
  <c r="Q1152" i="1"/>
  <c r="O1152" i="1"/>
  <c r="N1152" i="1"/>
  <c r="M1152" i="1"/>
  <c r="L1152" i="1"/>
  <c r="K1152" i="1"/>
  <c r="J1152" i="1"/>
  <c r="I1152" i="1"/>
  <c r="H1152" i="1"/>
  <c r="G1152" i="1"/>
  <c r="R1151" i="1"/>
  <c r="Q1151" i="1"/>
  <c r="O1151" i="1"/>
  <c r="N1151" i="1"/>
  <c r="M1151" i="1"/>
  <c r="L1151" i="1"/>
  <c r="K1151" i="1"/>
  <c r="J1151" i="1"/>
  <c r="I1151" i="1"/>
  <c r="H1151" i="1"/>
  <c r="G1151" i="1"/>
  <c r="R1150" i="1"/>
  <c r="Q1150" i="1"/>
  <c r="O1150" i="1"/>
  <c r="N1150" i="1"/>
  <c r="M1150" i="1"/>
  <c r="L1150" i="1"/>
  <c r="K1150" i="1"/>
  <c r="J1150" i="1"/>
  <c r="I1150" i="1"/>
  <c r="H1150" i="1"/>
  <c r="G1150" i="1"/>
  <c r="R1149" i="1"/>
  <c r="Q1149" i="1"/>
  <c r="O1149" i="1"/>
  <c r="N1149" i="1"/>
  <c r="M1149" i="1"/>
  <c r="L1149" i="1"/>
  <c r="K1149" i="1"/>
  <c r="J1149" i="1"/>
  <c r="I1149" i="1"/>
  <c r="H1149" i="1"/>
  <c r="G1149" i="1"/>
  <c r="R1148" i="1"/>
  <c r="Q1148" i="1"/>
  <c r="O1148" i="1"/>
  <c r="N1148" i="1"/>
  <c r="M1148" i="1"/>
  <c r="L1148" i="1"/>
  <c r="K1148" i="1"/>
  <c r="J1148" i="1"/>
  <c r="I1148" i="1"/>
  <c r="H1148" i="1"/>
  <c r="G1148" i="1"/>
  <c r="R1147" i="1"/>
  <c r="Q1147" i="1"/>
  <c r="O1147" i="1"/>
  <c r="N1147" i="1"/>
  <c r="M1147" i="1"/>
  <c r="L1147" i="1"/>
  <c r="K1147" i="1"/>
  <c r="J1147" i="1"/>
  <c r="I1147" i="1"/>
  <c r="H1147" i="1"/>
  <c r="G1147" i="1"/>
  <c r="R1146" i="1"/>
  <c r="Q1146" i="1"/>
  <c r="O1146" i="1"/>
  <c r="N1146" i="1"/>
  <c r="M1146" i="1"/>
  <c r="L1146" i="1"/>
  <c r="K1146" i="1"/>
  <c r="J1146" i="1"/>
  <c r="I1146" i="1"/>
  <c r="H1146" i="1"/>
  <c r="G1146" i="1"/>
  <c r="R1145" i="1"/>
  <c r="Q1145" i="1"/>
  <c r="O1145" i="1"/>
  <c r="N1145" i="1"/>
  <c r="M1145" i="1"/>
  <c r="L1145" i="1"/>
  <c r="K1145" i="1"/>
  <c r="J1145" i="1"/>
  <c r="I1145" i="1"/>
  <c r="H1145" i="1"/>
  <c r="G1145" i="1"/>
  <c r="R1144" i="1"/>
  <c r="Q1144" i="1"/>
  <c r="O1144" i="1"/>
  <c r="N1144" i="1"/>
  <c r="M1144" i="1"/>
  <c r="L1144" i="1"/>
  <c r="K1144" i="1"/>
  <c r="J1144" i="1"/>
  <c r="I1144" i="1"/>
  <c r="H1144" i="1"/>
  <c r="G1144" i="1"/>
  <c r="R1143" i="1"/>
  <c r="Q1143" i="1"/>
  <c r="O1143" i="1"/>
  <c r="N1143" i="1"/>
  <c r="M1143" i="1"/>
  <c r="L1143" i="1"/>
  <c r="K1143" i="1"/>
  <c r="J1143" i="1"/>
  <c r="I1143" i="1"/>
  <c r="H1143" i="1"/>
  <c r="G1143" i="1"/>
  <c r="R1142" i="1"/>
  <c r="Q1142" i="1"/>
  <c r="O1142" i="1"/>
  <c r="N1142" i="1"/>
  <c r="M1142" i="1"/>
  <c r="L1142" i="1"/>
  <c r="K1142" i="1"/>
  <c r="J1142" i="1"/>
  <c r="I1142" i="1"/>
  <c r="H1142" i="1"/>
  <c r="G1142" i="1"/>
  <c r="R1141" i="1"/>
  <c r="Q1141" i="1"/>
  <c r="O1141" i="1"/>
  <c r="N1141" i="1"/>
  <c r="M1141" i="1"/>
  <c r="L1141" i="1"/>
  <c r="K1141" i="1"/>
  <c r="J1141" i="1"/>
  <c r="I1141" i="1"/>
  <c r="H1141" i="1"/>
  <c r="G1141" i="1"/>
  <c r="R1140" i="1"/>
  <c r="Q1140" i="1"/>
  <c r="O1140" i="1"/>
  <c r="N1140" i="1"/>
  <c r="M1140" i="1"/>
  <c r="L1140" i="1"/>
  <c r="K1140" i="1"/>
  <c r="J1140" i="1"/>
  <c r="I1140" i="1"/>
  <c r="H1140" i="1"/>
  <c r="G1140" i="1"/>
  <c r="R1139" i="1"/>
  <c r="Q1139" i="1"/>
  <c r="O1139" i="1"/>
  <c r="N1139" i="1"/>
  <c r="M1139" i="1"/>
  <c r="L1139" i="1"/>
  <c r="K1139" i="1"/>
  <c r="J1139" i="1"/>
  <c r="I1139" i="1"/>
  <c r="H1139" i="1"/>
  <c r="G1139" i="1"/>
  <c r="R1138" i="1"/>
  <c r="Q1138" i="1"/>
  <c r="O1138" i="1"/>
  <c r="N1138" i="1"/>
  <c r="M1138" i="1"/>
  <c r="L1138" i="1"/>
  <c r="K1138" i="1"/>
  <c r="J1138" i="1"/>
  <c r="I1138" i="1"/>
  <c r="H1138" i="1"/>
  <c r="G1138" i="1"/>
  <c r="R1137" i="1"/>
  <c r="Q1137" i="1"/>
  <c r="O1137" i="1"/>
  <c r="N1137" i="1"/>
  <c r="M1137" i="1"/>
  <c r="L1137" i="1"/>
  <c r="K1137" i="1"/>
  <c r="J1137" i="1"/>
  <c r="I1137" i="1"/>
  <c r="H1137" i="1"/>
  <c r="G1137" i="1"/>
  <c r="R1136" i="1"/>
  <c r="Q1136" i="1"/>
  <c r="O1136" i="1"/>
  <c r="N1136" i="1"/>
  <c r="M1136" i="1"/>
  <c r="L1136" i="1"/>
  <c r="K1136" i="1"/>
  <c r="J1136" i="1"/>
  <c r="I1136" i="1"/>
  <c r="H1136" i="1"/>
  <c r="G1136" i="1"/>
  <c r="R1135" i="1"/>
  <c r="Q1135" i="1"/>
  <c r="O1135" i="1"/>
  <c r="N1135" i="1"/>
  <c r="M1135" i="1"/>
  <c r="L1135" i="1"/>
  <c r="K1135" i="1"/>
  <c r="J1135" i="1"/>
  <c r="I1135" i="1"/>
  <c r="H1135" i="1"/>
  <c r="G1135" i="1"/>
  <c r="R1134" i="1"/>
  <c r="Q1134" i="1"/>
  <c r="O1134" i="1"/>
  <c r="N1134" i="1"/>
  <c r="M1134" i="1"/>
  <c r="L1134" i="1"/>
  <c r="K1134" i="1"/>
  <c r="J1134" i="1"/>
  <c r="I1134" i="1"/>
  <c r="H1134" i="1"/>
  <c r="G1134" i="1"/>
  <c r="R1133" i="1"/>
  <c r="Q1133" i="1"/>
  <c r="O1133" i="1"/>
  <c r="N1133" i="1"/>
  <c r="M1133" i="1"/>
  <c r="L1133" i="1"/>
  <c r="K1133" i="1"/>
  <c r="J1133" i="1"/>
  <c r="I1133" i="1"/>
  <c r="H1133" i="1"/>
  <c r="G1133" i="1"/>
  <c r="R1132" i="1"/>
  <c r="Q1132" i="1"/>
  <c r="O1132" i="1"/>
  <c r="N1132" i="1"/>
  <c r="M1132" i="1"/>
  <c r="L1132" i="1"/>
  <c r="K1132" i="1"/>
  <c r="J1132" i="1"/>
  <c r="I1132" i="1"/>
  <c r="H1132" i="1"/>
  <c r="G1132" i="1"/>
  <c r="R1131" i="1"/>
  <c r="Q1131" i="1"/>
  <c r="O1131" i="1"/>
  <c r="N1131" i="1"/>
  <c r="M1131" i="1"/>
  <c r="L1131" i="1"/>
  <c r="K1131" i="1"/>
  <c r="J1131" i="1"/>
  <c r="I1131" i="1"/>
  <c r="H1131" i="1"/>
  <c r="G1131" i="1"/>
  <c r="R1130" i="1"/>
  <c r="Q1130" i="1"/>
  <c r="O1130" i="1"/>
  <c r="N1130" i="1"/>
  <c r="M1130" i="1"/>
  <c r="L1130" i="1"/>
  <c r="K1130" i="1"/>
  <c r="J1130" i="1"/>
  <c r="I1130" i="1"/>
  <c r="H1130" i="1"/>
  <c r="G1130" i="1"/>
  <c r="R1129" i="1"/>
  <c r="Q1129" i="1"/>
  <c r="O1129" i="1"/>
  <c r="N1129" i="1"/>
  <c r="M1129" i="1"/>
  <c r="L1129" i="1"/>
  <c r="K1129" i="1"/>
  <c r="J1129" i="1"/>
  <c r="I1129" i="1"/>
  <c r="H1129" i="1"/>
  <c r="G1129" i="1"/>
  <c r="R1128" i="1"/>
  <c r="Q1128" i="1"/>
  <c r="O1128" i="1"/>
  <c r="N1128" i="1"/>
  <c r="M1128" i="1"/>
  <c r="L1128" i="1"/>
  <c r="K1128" i="1"/>
  <c r="J1128" i="1"/>
  <c r="I1128" i="1"/>
  <c r="H1128" i="1"/>
  <c r="G1128" i="1"/>
  <c r="R1127" i="1"/>
  <c r="Q1127" i="1"/>
  <c r="O1127" i="1"/>
  <c r="N1127" i="1"/>
  <c r="M1127" i="1"/>
  <c r="L1127" i="1"/>
  <c r="K1127" i="1"/>
  <c r="J1127" i="1"/>
  <c r="I1127" i="1"/>
  <c r="H1127" i="1"/>
  <c r="G1127" i="1"/>
  <c r="R1126" i="1"/>
  <c r="Q1126" i="1"/>
  <c r="O1126" i="1"/>
  <c r="N1126" i="1"/>
  <c r="M1126" i="1"/>
  <c r="L1126" i="1"/>
  <c r="K1126" i="1"/>
  <c r="J1126" i="1"/>
  <c r="I1126" i="1"/>
  <c r="H1126" i="1"/>
  <c r="G1126" i="1"/>
  <c r="R1125" i="1"/>
  <c r="Q1125" i="1"/>
  <c r="O1125" i="1"/>
  <c r="N1125" i="1"/>
  <c r="M1125" i="1"/>
  <c r="L1125" i="1"/>
  <c r="K1125" i="1"/>
  <c r="J1125" i="1"/>
  <c r="I1125" i="1"/>
  <c r="H1125" i="1"/>
  <c r="G1125" i="1"/>
  <c r="R1124" i="1"/>
  <c r="Q1124" i="1"/>
  <c r="O1124" i="1"/>
  <c r="N1124" i="1"/>
  <c r="M1124" i="1"/>
  <c r="L1124" i="1"/>
  <c r="K1124" i="1"/>
  <c r="J1124" i="1"/>
  <c r="I1124" i="1"/>
  <c r="H1124" i="1"/>
  <c r="G1124" i="1"/>
  <c r="R1123" i="1"/>
  <c r="Q1123" i="1"/>
  <c r="O1123" i="1"/>
  <c r="N1123" i="1"/>
  <c r="M1123" i="1"/>
  <c r="L1123" i="1"/>
  <c r="K1123" i="1"/>
  <c r="J1123" i="1"/>
  <c r="I1123" i="1"/>
  <c r="H1123" i="1"/>
  <c r="G1123" i="1"/>
  <c r="R1122" i="1"/>
  <c r="Q1122" i="1"/>
  <c r="O1122" i="1"/>
  <c r="N1122" i="1"/>
  <c r="M1122" i="1"/>
  <c r="L1122" i="1"/>
  <c r="K1122" i="1"/>
  <c r="J1122" i="1"/>
  <c r="I1122" i="1"/>
  <c r="H1122" i="1"/>
  <c r="G1122" i="1"/>
  <c r="R1121" i="1"/>
  <c r="Q1121" i="1"/>
  <c r="O1121" i="1"/>
  <c r="N1121" i="1"/>
  <c r="M1121" i="1"/>
  <c r="L1121" i="1"/>
  <c r="K1121" i="1"/>
  <c r="J1121" i="1"/>
  <c r="I1121" i="1"/>
  <c r="H1121" i="1"/>
  <c r="G1121" i="1"/>
  <c r="R1120" i="1"/>
  <c r="Q1120" i="1"/>
  <c r="O1120" i="1"/>
  <c r="N1120" i="1"/>
  <c r="M1120" i="1"/>
  <c r="L1120" i="1"/>
  <c r="K1120" i="1"/>
  <c r="J1120" i="1"/>
  <c r="I1120" i="1"/>
  <c r="H1120" i="1"/>
  <c r="G1120" i="1"/>
  <c r="R1119" i="1"/>
  <c r="Q1119" i="1"/>
  <c r="O1119" i="1"/>
  <c r="N1119" i="1"/>
  <c r="M1119" i="1"/>
  <c r="L1119" i="1"/>
  <c r="K1119" i="1"/>
  <c r="J1119" i="1"/>
  <c r="I1119" i="1"/>
  <c r="H1119" i="1"/>
  <c r="G1119" i="1"/>
  <c r="R1118" i="1"/>
  <c r="Q1118" i="1"/>
  <c r="O1118" i="1"/>
  <c r="N1118" i="1"/>
  <c r="M1118" i="1"/>
  <c r="L1118" i="1"/>
  <c r="K1118" i="1"/>
  <c r="J1118" i="1"/>
  <c r="I1118" i="1"/>
  <c r="H1118" i="1"/>
  <c r="G1118" i="1"/>
  <c r="R1117" i="1"/>
  <c r="Q1117" i="1"/>
  <c r="O1117" i="1"/>
  <c r="N1117" i="1"/>
  <c r="M1117" i="1"/>
  <c r="L1117" i="1"/>
  <c r="K1117" i="1"/>
  <c r="J1117" i="1"/>
  <c r="I1117" i="1"/>
  <c r="H1117" i="1"/>
  <c r="G1117" i="1"/>
  <c r="R1116" i="1"/>
  <c r="Q1116" i="1"/>
  <c r="O1116" i="1"/>
  <c r="N1116" i="1"/>
  <c r="M1116" i="1"/>
  <c r="L1116" i="1"/>
  <c r="K1116" i="1"/>
  <c r="J1116" i="1"/>
  <c r="I1116" i="1"/>
  <c r="H1116" i="1"/>
  <c r="G1116" i="1"/>
  <c r="R1115" i="1"/>
  <c r="Q1115" i="1"/>
  <c r="O1115" i="1"/>
  <c r="N1115" i="1"/>
  <c r="M1115" i="1"/>
  <c r="L1115" i="1"/>
  <c r="K1115" i="1"/>
  <c r="J1115" i="1"/>
  <c r="I1115" i="1"/>
  <c r="H1115" i="1"/>
  <c r="G1115" i="1"/>
  <c r="R1114" i="1"/>
  <c r="Q1114" i="1"/>
  <c r="O1114" i="1"/>
  <c r="N1114" i="1"/>
  <c r="M1114" i="1"/>
  <c r="L1114" i="1"/>
  <c r="K1114" i="1"/>
  <c r="J1114" i="1"/>
  <c r="I1114" i="1"/>
  <c r="H1114" i="1"/>
  <c r="G1114" i="1"/>
  <c r="R1113" i="1"/>
  <c r="Q1113" i="1"/>
  <c r="O1113" i="1"/>
  <c r="N1113" i="1"/>
  <c r="M1113" i="1"/>
  <c r="L1113" i="1"/>
  <c r="K1113" i="1"/>
  <c r="J1113" i="1"/>
  <c r="I1113" i="1"/>
  <c r="H1113" i="1"/>
  <c r="G1113" i="1"/>
  <c r="R1112" i="1"/>
  <c r="Q1112" i="1"/>
  <c r="O1112" i="1"/>
  <c r="N1112" i="1"/>
  <c r="M1112" i="1"/>
  <c r="L1112" i="1"/>
  <c r="K1112" i="1"/>
  <c r="J1112" i="1"/>
  <c r="I1112" i="1"/>
  <c r="H1112" i="1"/>
  <c r="G1112" i="1"/>
  <c r="R1111" i="1"/>
  <c r="Q1111" i="1"/>
  <c r="O1111" i="1"/>
  <c r="N1111" i="1"/>
  <c r="M1111" i="1"/>
  <c r="L1111" i="1"/>
  <c r="K1111" i="1"/>
  <c r="J1111" i="1"/>
  <c r="I1111" i="1"/>
  <c r="H1111" i="1"/>
  <c r="G1111" i="1"/>
  <c r="R1110" i="1"/>
  <c r="Q1110" i="1"/>
  <c r="O1110" i="1"/>
  <c r="N1110" i="1"/>
  <c r="M1110" i="1"/>
  <c r="L1110" i="1"/>
  <c r="K1110" i="1"/>
  <c r="J1110" i="1"/>
  <c r="I1110" i="1"/>
  <c r="H1110" i="1"/>
  <c r="G1110" i="1"/>
  <c r="R1109" i="1"/>
  <c r="Q1109" i="1"/>
  <c r="O1109" i="1"/>
  <c r="N1109" i="1"/>
  <c r="M1109" i="1"/>
  <c r="L1109" i="1"/>
  <c r="K1109" i="1"/>
  <c r="J1109" i="1"/>
  <c r="I1109" i="1"/>
  <c r="H1109" i="1"/>
  <c r="G1109" i="1"/>
  <c r="R1108" i="1"/>
  <c r="Q1108" i="1"/>
  <c r="O1108" i="1"/>
  <c r="N1108" i="1"/>
  <c r="M1108" i="1"/>
  <c r="L1108" i="1"/>
  <c r="K1108" i="1"/>
  <c r="J1108" i="1"/>
  <c r="I1108" i="1"/>
  <c r="H1108" i="1"/>
  <c r="G1108" i="1"/>
  <c r="R1107" i="1"/>
  <c r="Q1107" i="1"/>
  <c r="O1107" i="1"/>
  <c r="N1107" i="1"/>
  <c r="M1107" i="1"/>
  <c r="L1107" i="1"/>
  <c r="K1107" i="1"/>
  <c r="J1107" i="1"/>
  <c r="I1107" i="1"/>
  <c r="H1107" i="1"/>
  <c r="G1107" i="1"/>
  <c r="R1106" i="1"/>
  <c r="Q1106" i="1"/>
  <c r="O1106" i="1"/>
  <c r="N1106" i="1"/>
  <c r="M1106" i="1"/>
  <c r="L1106" i="1"/>
  <c r="K1106" i="1"/>
  <c r="J1106" i="1"/>
  <c r="I1106" i="1"/>
  <c r="H1106" i="1"/>
  <c r="G1106" i="1"/>
  <c r="R1105" i="1"/>
  <c r="Q1105" i="1"/>
  <c r="O1105" i="1"/>
  <c r="N1105" i="1"/>
  <c r="M1105" i="1"/>
  <c r="L1105" i="1"/>
  <c r="K1105" i="1"/>
  <c r="J1105" i="1"/>
  <c r="I1105" i="1"/>
  <c r="H1105" i="1"/>
  <c r="G1105" i="1"/>
  <c r="R1104" i="1"/>
  <c r="Q1104" i="1"/>
  <c r="O1104" i="1"/>
  <c r="N1104" i="1"/>
  <c r="M1104" i="1"/>
  <c r="L1104" i="1"/>
  <c r="K1104" i="1"/>
  <c r="J1104" i="1"/>
  <c r="I1104" i="1"/>
  <c r="H1104" i="1"/>
  <c r="G1104" i="1"/>
  <c r="R1103" i="1"/>
  <c r="Q1103" i="1"/>
  <c r="O1103" i="1"/>
  <c r="N1103" i="1"/>
  <c r="M1103" i="1"/>
  <c r="L1103" i="1"/>
  <c r="K1103" i="1"/>
  <c r="J1103" i="1"/>
  <c r="I1103" i="1"/>
  <c r="H1103" i="1"/>
  <c r="G1103" i="1"/>
  <c r="R1102" i="1"/>
  <c r="Q1102" i="1"/>
  <c r="O1102" i="1"/>
  <c r="N1102" i="1"/>
  <c r="M1102" i="1"/>
  <c r="L1102" i="1"/>
  <c r="K1102" i="1"/>
  <c r="J1102" i="1"/>
  <c r="I1102" i="1"/>
  <c r="H1102" i="1"/>
  <c r="G1102" i="1"/>
  <c r="R1101" i="1"/>
  <c r="Q1101" i="1"/>
  <c r="O1101" i="1"/>
  <c r="N1101" i="1"/>
  <c r="M1101" i="1"/>
  <c r="L1101" i="1"/>
  <c r="K1101" i="1"/>
  <c r="J1101" i="1"/>
  <c r="I1101" i="1"/>
  <c r="H1101" i="1"/>
  <c r="G1101" i="1"/>
  <c r="R1100" i="1"/>
  <c r="Q1100" i="1"/>
  <c r="O1100" i="1"/>
  <c r="N1100" i="1"/>
  <c r="M1100" i="1"/>
  <c r="L1100" i="1"/>
  <c r="K1100" i="1"/>
  <c r="J1100" i="1"/>
  <c r="I1100" i="1"/>
  <c r="H1100" i="1"/>
  <c r="G1100" i="1"/>
  <c r="R1099" i="1"/>
  <c r="Q1099" i="1"/>
  <c r="O1099" i="1"/>
  <c r="N1099" i="1"/>
  <c r="M1099" i="1"/>
  <c r="L1099" i="1"/>
  <c r="K1099" i="1"/>
  <c r="J1099" i="1"/>
  <c r="I1099" i="1"/>
  <c r="H1099" i="1"/>
  <c r="G1099" i="1"/>
  <c r="R1098" i="1"/>
  <c r="Q1098" i="1"/>
  <c r="O1098" i="1"/>
  <c r="N1098" i="1"/>
  <c r="M1098" i="1"/>
  <c r="L1098" i="1"/>
  <c r="K1098" i="1"/>
  <c r="J1098" i="1"/>
  <c r="I1098" i="1"/>
  <c r="H1098" i="1"/>
  <c r="G1098" i="1"/>
  <c r="R1097" i="1"/>
  <c r="Q1097" i="1"/>
  <c r="O1097" i="1"/>
  <c r="N1097" i="1"/>
  <c r="M1097" i="1"/>
  <c r="L1097" i="1"/>
  <c r="K1097" i="1"/>
  <c r="J1097" i="1"/>
  <c r="I1097" i="1"/>
  <c r="H1097" i="1"/>
  <c r="G1097" i="1"/>
  <c r="R1096" i="1"/>
  <c r="Q1096" i="1"/>
  <c r="O1096" i="1"/>
  <c r="N1096" i="1"/>
  <c r="M1096" i="1"/>
  <c r="L1096" i="1"/>
  <c r="K1096" i="1"/>
  <c r="J1096" i="1"/>
  <c r="I1096" i="1"/>
  <c r="H1096" i="1"/>
  <c r="G1096" i="1"/>
  <c r="R1095" i="1"/>
  <c r="Q1095" i="1"/>
  <c r="O1095" i="1"/>
  <c r="N1095" i="1"/>
  <c r="M1095" i="1"/>
  <c r="L1095" i="1"/>
  <c r="K1095" i="1"/>
  <c r="J1095" i="1"/>
  <c r="I1095" i="1"/>
  <c r="H1095" i="1"/>
  <c r="G1095" i="1"/>
  <c r="R1094" i="1"/>
  <c r="Q1094" i="1"/>
  <c r="O1094" i="1"/>
  <c r="N1094" i="1"/>
  <c r="M1094" i="1"/>
  <c r="L1094" i="1"/>
  <c r="K1094" i="1"/>
  <c r="J1094" i="1"/>
  <c r="I1094" i="1"/>
  <c r="H1094" i="1"/>
  <c r="G1094" i="1"/>
  <c r="R1093" i="1"/>
  <c r="Q1093" i="1"/>
  <c r="O1093" i="1"/>
  <c r="N1093" i="1"/>
  <c r="M1093" i="1"/>
  <c r="L1093" i="1"/>
  <c r="K1093" i="1"/>
  <c r="J1093" i="1"/>
  <c r="I1093" i="1"/>
  <c r="H1093" i="1"/>
  <c r="G1093" i="1"/>
  <c r="R1092" i="1"/>
  <c r="Q1092" i="1"/>
  <c r="O1092" i="1"/>
  <c r="N1092" i="1"/>
  <c r="M1092" i="1"/>
  <c r="L1092" i="1"/>
  <c r="K1092" i="1"/>
  <c r="J1092" i="1"/>
  <c r="I1092" i="1"/>
  <c r="H1092" i="1"/>
  <c r="G1092" i="1"/>
  <c r="R1091" i="1"/>
  <c r="Q1091" i="1"/>
  <c r="O1091" i="1"/>
  <c r="N1091" i="1"/>
  <c r="M1091" i="1"/>
  <c r="L1091" i="1"/>
  <c r="K1091" i="1"/>
  <c r="J1091" i="1"/>
  <c r="I1091" i="1"/>
  <c r="H1091" i="1"/>
  <c r="G1091" i="1"/>
  <c r="R1090" i="1"/>
  <c r="Q1090" i="1"/>
  <c r="O1090" i="1"/>
  <c r="N1090" i="1"/>
  <c r="M1090" i="1"/>
  <c r="L1090" i="1"/>
  <c r="K1090" i="1"/>
  <c r="J1090" i="1"/>
  <c r="I1090" i="1"/>
  <c r="H1090" i="1"/>
  <c r="G1090" i="1"/>
  <c r="R1089" i="1"/>
  <c r="Q1089" i="1"/>
  <c r="O1089" i="1"/>
  <c r="N1089" i="1"/>
  <c r="M1089" i="1"/>
  <c r="L1089" i="1"/>
  <c r="K1089" i="1"/>
  <c r="J1089" i="1"/>
  <c r="I1089" i="1"/>
  <c r="H1089" i="1"/>
  <c r="G1089" i="1"/>
  <c r="R1088" i="1"/>
  <c r="Q1088" i="1"/>
  <c r="O1088" i="1"/>
  <c r="N1088" i="1"/>
  <c r="M1088" i="1"/>
  <c r="L1088" i="1"/>
  <c r="K1088" i="1"/>
  <c r="J1088" i="1"/>
  <c r="I1088" i="1"/>
  <c r="H1088" i="1"/>
  <c r="G1088" i="1"/>
  <c r="R1087" i="1"/>
  <c r="Q1087" i="1"/>
  <c r="O1087" i="1"/>
  <c r="N1087" i="1"/>
  <c r="M1087" i="1"/>
  <c r="L1087" i="1"/>
  <c r="K1087" i="1"/>
  <c r="J1087" i="1"/>
  <c r="I1087" i="1"/>
  <c r="H1087" i="1"/>
  <c r="G1087" i="1"/>
  <c r="R1086" i="1"/>
  <c r="Q1086" i="1"/>
  <c r="O1086" i="1"/>
  <c r="N1086" i="1"/>
  <c r="M1086" i="1"/>
  <c r="L1086" i="1"/>
  <c r="K1086" i="1"/>
  <c r="J1086" i="1"/>
  <c r="I1086" i="1"/>
  <c r="H1086" i="1"/>
  <c r="G1086" i="1"/>
  <c r="R1085" i="1"/>
  <c r="Q1085" i="1"/>
  <c r="O1085" i="1"/>
  <c r="N1085" i="1"/>
  <c r="M1085" i="1"/>
  <c r="L1085" i="1"/>
  <c r="K1085" i="1"/>
  <c r="J1085" i="1"/>
  <c r="I1085" i="1"/>
  <c r="H1085" i="1"/>
  <c r="G1085" i="1"/>
  <c r="R1084" i="1"/>
  <c r="Q1084" i="1"/>
  <c r="O1084" i="1"/>
  <c r="N1084" i="1"/>
  <c r="M1084" i="1"/>
  <c r="L1084" i="1"/>
  <c r="K1084" i="1"/>
  <c r="J1084" i="1"/>
  <c r="I1084" i="1"/>
  <c r="H1084" i="1"/>
  <c r="G1084" i="1"/>
  <c r="R1083" i="1"/>
  <c r="Q1083" i="1"/>
  <c r="O1083" i="1"/>
  <c r="N1083" i="1"/>
  <c r="M1083" i="1"/>
  <c r="L1083" i="1"/>
  <c r="K1083" i="1"/>
  <c r="J1083" i="1"/>
  <c r="I1083" i="1"/>
  <c r="H1083" i="1"/>
  <c r="G1083" i="1"/>
  <c r="R1082" i="1"/>
  <c r="Q1082" i="1"/>
  <c r="O1082" i="1"/>
  <c r="N1082" i="1"/>
  <c r="M1082" i="1"/>
  <c r="L1082" i="1"/>
  <c r="K1082" i="1"/>
  <c r="J1082" i="1"/>
  <c r="I1082" i="1"/>
  <c r="H1082" i="1"/>
  <c r="G1082" i="1"/>
  <c r="R1081" i="1"/>
  <c r="Q1081" i="1"/>
  <c r="O1081" i="1"/>
  <c r="N1081" i="1"/>
  <c r="M1081" i="1"/>
  <c r="L1081" i="1"/>
  <c r="K1081" i="1"/>
  <c r="J1081" i="1"/>
  <c r="I1081" i="1"/>
  <c r="H1081" i="1"/>
  <c r="G1081" i="1"/>
  <c r="R1080" i="1"/>
  <c r="Q1080" i="1"/>
  <c r="O1080" i="1"/>
  <c r="N1080" i="1"/>
  <c r="M1080" i="1"/>
  <c r="L1080" i="1"/>
  <c r="K1080" i="1"/>
  <c r="J1080" i="1"/>
  <c r="I1080" i="1"/>
  <c r="H1080" i="1"/>
  <c r="G1080" i="1"/>
  <c r="R1079" i="1"/>
  <c r="Q1079" i="1"/>
  <c r="O1079" i="1"/>
  <c r="N1079" i="1"/>
  <c r="M1079" i="1"/>
  <c r="L1079" i="1"/>
  <c r="K1079" i="1"/>
  <c r="J1079" i="1"/>
  <c r="I1079" i="1"/>
  <c r="H1079" i="1"/>
  <c r="G1079" i="1"/>
  <c r="R1078" i="1"/>
  <c r="Q1078" i="1"/>
  <c r="O1078" i="1"/>
  <c r="N1078" i="1"/>
  <c r="M1078" i="1"/>
  <c r="L1078" i="1"/>
  <c r="K1078" i="1"/>
  <c r="J1078" i="1"/>
  <c r="I1078" i="1"/>
  <c r="H1078" i="1"/>
  <c r="G1078" i="1"/>
  <c r="R1077" i="1"/>
  <c r="Q1077" i="1"/>
  <c r="O1077" i="1"/>
  <c r="N1077" i="1"/>
  <c r="M1077" i="1"/>
  <c r="L1077" i="1"/>
  <c r="K1077" i="1"/>
  <c r="J1077" i="1"/>
  <c r="I1077" i="1"/>
  <c r="H1077" i="1"/>
  <c r="G1077" i="1"/>
  <c r="R1076" i="1"/>
  <c r="Q1076" i="1"/>
  <c r="O1076" i="1"/>
  <c r="N1076" i="1"/>
  <c r="M1076" i="1"/>
  <c r="L1076" i="1"/>
  <c r="K1076" i="1"/>
  <c r="J1076" i="1"/>
  <c r="I1076" i="1"/>
  <c r="H1076" i="1"/>
  <c r="G1076" i="1"/>
  <c r="R1075" i="1"/>
  <c r="Q1075" i="1"/>
  <c r="O1075" i="1"/>
  <c r="N1075" i="1"/>
  <c r="M1075" i="1"/>
  <c r="L1075" i="1"/>
  <c r="K1075" i="1"/>
  <c r="J1075" i="1"/>
  <c r="I1075" i="1"/>
  <c r="H1075" i="1"/>
  <c r="G1075" i="1"/>
  <c r="R1074" i="1"/>
  <c r="Q1074" i="1"/>
  <c r="O1074" i="1"/>
  <c r="N1074" i="1"/>
  <c r="M1074" i="1"/>
  <c r="L1074" i="1"/>
  <c r="K1074" i="1"/>
  <c r="J1074" i="1"/>
  <c r="I1074" i="1"/>
  <c r="H1074" i="1"/>
  <c r="G1074" i="1"/>
  <c r="R1073" i="1"/>
  <c r="Q1073" i="1"/>
  <c r="O1073" i="1"/>
  <c r="N1073" i="1"/>
  <c r="M1073" i="1"/>
  <c r="L1073" i="1"/>
  <c r="K1073" i="1"/>
  <c r="J1073" i="1"/>
  <c r="I1073" i="1"/>
  <c r="H1073" i="1"/>
  <c r="G1073" i="1"/>
  <c r="R1072" i="1"/>
  <c r="Q1072" i="1"/>
  <c r="O1072" i="1"/>
  <c r="N1072" i="1"/>
  <c r="M1072" i="1"/>
  <c r="L1072" i="1"/>
  <c r="K1072" i="1"/>
  <c r="J1072" i="1"/>
  <c r="I1072" i="1"/>
  <c r="H1072" i="1"/>
  <c r="G1072" i="1"/>
  <c r="R1071" i="1"/>
  <c r="Q1071" i="1"/>
  <c r="O1071" i="1"/>
  <c r="N1071" i="1"/>
  <c r="M1071" i="1"/>
  <c r="L1071" i="1"/>
  <c r="K1071" i="1"/>
  <c r="J1071" i="1"/>
  <c r="I1071" i="1"/>
  <c r="H1071" i="1"/>
  <c r="G1071" i="1"/>
  <c r="R1070" i="1"/>
  <c r="Q1070" i="1"/>
  <c r="O1070" i="1"/>
  <c r="N1070" i="1"/>
  <c r="M1070" i="1"/>
  <c r="L1070" i="1"/>
  <c r="K1070" i="1"/>
  <c r="J1070" i="1"/>
  <c r="I1070" i="1"/>
  <c r="H1070" i="1"/>
  <c r="G1070" i="1"/>
  <c r="R1069" i="1"/>
  <c r="Q1069" i="1"/>
  <c r="O1069" i="1"/>
  <c r="N1069" i="1"/>
  <c r="M1069" i="1"/>
  <c r="L1069" i="1"/>
  <c r="K1069" i="1"/>
  <c r="J1069" i="1"/>
  <c r="I1069" i="1"/>
  <c r="H1069" i="1"/>
  <c r="G1069" i="1"/>
  <c r="R1068" i="1"/>
  <c r="Q1068" i="1"/>
  <c r="O1068" i="1"/>
  <c r="N1068" i="1"/>
  <c r="M1068" i="1"/>
  <c r="L1068" i="1"/>
  <c r="K1068" i="1"/>
  <c r="J1068" i="1"/>
  <c r="I1068" i="1"/>
  <c r="H1068" i="1"/>
  <c r="G1068" i="1"/>
  <c r="R1067" i="1"/>
  <c r="Q1067" i="1"/>
  <c r="O1067" i="1"/>
  <c r="N1067" i="1"/>
  <c r="M1067" i="1"/>
  <c r="L1067" i="1"/>
  <c r="K1067" i="1"/>
  <c r="J1067" i="1"/>
  <c r="I1067" i="1"/>
  <c r="H1067" i="1"/>
  <c r="G1067" i="1"/>
  <c r="R1066" i="1"/>
  <c r="Q1066" i="1"/>
  <c r="O1066" i="1"/>
  <c r="N1066" i="1"/>
  <c r="M1066" i="1"/>
  <c r="L1066" i="1"/>
  <c r="K1066" i="1"/>
  <c r="J1066" i="1"/>
  <c r="I1066" i="1"/>
  <c r="H1066" i="1"/>
  <c r="G1066" i="1"/>
  <c r="R1065" i="1"/>
  <c r="Q1065" i="1"/>
  <c r="O1065" i="1"/>
  <c r="N1065" i="1"/>
  <c r="M1065" i="1"/>
  <c r="L1065" i="1"/>
  <c r="K1065" i="1"/>
  <c r="J1065" i="1"/>
  <c r="I1065" i="1"/>
  <c r="H1065" i="1"/>
  <c r="G1065" i="1"/>
  <c r="R1064" i="1"/>
  <c r="Q1064" i="1"/>
  <c r="O1064" i="1"/>
  <c r="N1064" i="1"/>
  <c r="M1064" i="1"/>
  <c r="L1064" i="1"/>
  <c r="K1064" i="1"/>
  <c r="J1064" i="1"/>
  <c r="I1064" i="1"/>
  <c r="H1064" i="1"/>
  <c r="G1064" i="1"/>
  <c r="R1063" i="1"/>
  <c r="Q1063" i="1"/>
  <c r="O1063" i="1"/>
  <c r="N1063" i="1"/>
  <c r="M1063" i="1"/>
  <c r="L1063" i="1"/>
  <c r="K1063" i="1"/>
  <c r="J1063" i="1"/>
  <c r="I1063" i="1"/>
  <c r="H1063" i="1"/>
  <c r="G1063" i="1"/>
  <c r="R1062" i="1"/>
  <c r="Q1062" i="1"/>
  <c r="O1062" i="1"/>
  <c r="N1062" i="1"/>
  <c r="M1062" i="1"/>
  <c r="L1062" i="1"/>
  <c r="K1062" i="1"/>
  <c r="J1062" i="1"/>
  <c r="I1062" i="1"/>
  <c r="H1062" i="1"/>
  <c r="G1062" i="1"/>
  <c r="R1061" i="1"/>
  <c r="Q1061" i="1"/>
  <c r="O1061" i="1"/>
  <c r="N1061" i="1"/>
  <c r="M1061" i="1"/>
  <c r="L1061" i="1"/>
  <c r="K1061" i="1"/>
  <c r="J1061" i="1"/>
  <c r="I1061" i="1"/>
  <c r="H1061" i="1"/>
  <c r="G1061" i="1"/>
  <c r="R1060" i="1"/>
  <c r="Q1060" i="1"/>
  <c r="O1060" i="1"/>
  <c r="N1060" i="1"/>
  <c r="M1060" i="1"/>
  <c r="L1060" i="1"/>
  <c r="K1060" i="1"/>
  <c r="J1060" i="1"/>
  <c r="I1060" i="1"/>
  <c r="H1060" i="1"/>
  <c r="G1060" i="1"/>
  <c r="R1059" i="1"/>
  <c r="Q1059" i="1"/>
  <c r="O1059" i="1"/>
  <c r="N1059" i="1"/>
  <c r="M1059" i="1"/>
  <c r="L1059" i="1"/>
  <c r="K1059" i="1"/>
  <c r="J1059" i="1"/>
  <c r="I1059" i="1"/>
  <c r="H1059" i="1"/>
  <c r="G1059" i="1"/>
  <c r="R1058" i="1"/>
  <c r="Q1058" i="1"/>
  <c r="O1058" i="1"/>
  <c r="N1058" i="1"/>
  <c r="M1058" i="1"/>
  <c r="L1058" i="1"/>
  <c r="K1058" i="1"/>
  <c r="J1058" i="1"/>
  <c r="I1058" i="1"/>
  <c r="H1058" i="1"/>
  <c r="G1058" i="1"/>
  <c r="R1057" i="1"/>
  <c r="Q1057" i="1"/>
  <c r="O1057" i="1"/>
  <c r="N1057" i="1"/>
  <c r="M1057" i="1"/>
  <c r="L1057" i="1"/>
  <c r="K1057" i="1"/>
  <c r="J1057" i="1"/>
  <c r="I1057" i="1"/>
  <c r="H1057" i="1"/>
  <c r="G1057" i="1"/>
  <c r="R1056" i="1"/>
  <c r="Q1056" i="1"/>
  <c r="O1056" i="1"/>
  <c r="N1056" i="1"/>
  <c r="M1056" i="1"/>
  <c r="L1056" i="1"/>
  <c r="K1056" i="1"/>
  <c r="J1056" i="1"/>
  <c r="I1056" i="1"/>
  <c r="H1056" i="1"/>
  <c r="G1056" i="1"/>
  <c r="R1055" i="1"/>
  <c r="Q1055" i="1"/>
  <c r="O1055" i="1"/>
  <c r="N1055" i="1"/>
  <c r="M1055" i="1"/>
  <c r="L1055" i="1"/>
  <c r="K1055" i="1"/>
  <c r="J1055" i="1"/>
  <c r="I1055" i="1"/>
  <c r="H1055" i="1"/>
  <c r="G1055" i="1"/>
  <c r="R1054" i="1"/>
  <c r="Q1054" i="1"/>
  <c r="O1054" i="1"/>
  <c r="N1054" i="1"/>
  <c r="M1054" i="1"/>
  <c r="L1054" i="1"/>
  <c r="K1054" i="1"/>
  <c r="J1054" i="1"/>
  <c r="I1054" i="1"/>
  <c r="H1054" i="1"/>
  <c r="G1054" i="1"/>
  <c r="R1053" i="1"/>
  <c r="Q1053" i="1"/>
  <c r="O1053" i="1"/>
  <c r="N1053" i="1"/>
  <c r="M1053" i="1"/>
  <c r="L1053" i="1"/>
  <c r="K1053" i="1"/>
  <c r="J1053" i="1"/>
  <c r="I1053" i="1"/>
  <c r="H1053" i="1"/>
  <c r="G1053" i="1"/>
  <c r="R1052" i="1"/>
  <c r="Q1052" i="1"/>
  <c r="O1052" i="1"/>
  <c r="N1052" i="1"/>
  <c r="M1052" i="1"/>
  <c r="L1052" i="1"/>
  <c r="K1052" i="1"/>
  <c r="J1052" i="1"/>
  <c r="I1052" i="1"/>
  <c r="H1052" i="1"/>
  <c r="G1052" i="1"/>
  <c r="R1051" i="1"/>
  <c r="Q1051" i="1"/>
  <c r="O1051" i="1"/>
  <c r="N1051" i="1"/>
  <c r="M1051" i="1"/>
  <c r="L1051" i="1"/>
  <c r="K1051" i="1"/>
  <c r="J1051" i="1"/>
  <c r="I1051" i="1"/>
  <c r="H1051" i="1"/>
  <c r="G1051" i="1"/>
  <c r="R1050" i="1"/>
  <c r="Q1050" i="1"/>
  <c r="O1050" i="1"/>
  <c r="N1050" i="1"/>
  <c r="M1050" i="1"/>
  <c r="L1050" i="1"/>
  <c r="K1050" i="1"/>
  <c r="J1050" i="1"/>
  <c r="I1050" i="1"/>
  <c r="H1050" i="1"/>
  <c r="G1050" i="1"/>
  <c r="R1049" i="1"/>
  <c r="Q1049" i="1"/>
  <c r="O1049" i="1"/>
  <c r="N1049" i="1"/>
  <c r="M1049" i="1"/>
  <c r="L1049" i="1"/>
  <c r="K1049" i="1"/>
  <c r="J1049" i="1"/>
  <c r="I1049" i="1"/>
  <c r="H1049" i="1"/>
  <c r="G1049" i="1"/>
  <c r="R1048" i="1"/>
  <c r="Q1048" i="1"/>
  <c r="O1048" i="1"/>
  <c r="N1048" i="1"/>
  <c r="M1048" i="1"/>
  <c r="L1048" i="1"/>
  <c r="K1048" i="1"/>
  <c r="J1048" i="1"/>
  <c r="I1048" i="1"/>
  <c r="H1048" i="1"/>
  <c r="G1048" i="1"/>
  <c r="R1047" i="1"/>
  <c r="Q1047" i="1"/>
  <c r="O1047" i="1"/>
  <c r="N1047" i="1"/>
  <c r="M1047" i="1"/>
  <c r="L1047" i="1"/>
  <c r="K1047" i="1"/>
  <c r="J1047" i="1"/>
  <c r="I1047" i="1"/>
  <c r="H1047" i="1"/>
  <c r="G1047" i="1"/>
  <c r="R1046" i="1"/>
  <c r="Q1046" i="1"/>
  <c r="O1046" i="1"/>
  <c r="N1046" i="1"/>
  <c r="M1046" i="1"/>
  <c r="L1046" i="1"/>
  <c r="K1046" i="1"/>
  <c r="J1046" i="1"/>
  <c r="I1046" i="1"/>
  <c r="H1046" i="1"/>
  <c r="G1046" i="1"/>
  <c r="R1045" i="1"/>
  <c r="Q1045" i="1"/>
  <c r="O1045" i="1"/>
  <c r="N1045" i="1"/>
  <c r="M1045" i="1"/>
  <c r="L1045" i="1"/>
  <c r="K1045" i="1"/>
  <c r="J1045" i="1"/>
  <c r="I1045" i="1"/>
  <c r="H1045" i="1"/>
  <c r="G1045" i="1"/>
  <c r="R1044" i="1"/>
  <c r="Q1044" i="1"/>
  <c r="O1044" i="1"/>
  <c r="N1044" i="1"/>
  <c r="M1044" i="1"/>
  <c r="L1044" i="1"/>
  <c r="K1044" i="1"/>
  <c r="J1044" i="1"/>
  <c r="I1044" i="1"/>
  <c r="H1044" i="1"/>
  <c r="G1044" i="1"/>
  <c r="R1043" i="1"/>
  <c r="Q1043" i="1"/>
  <c r="O1043" i="1"/>
  <c r="N1043" i="1"/>
  <c r="M1043" i="1"/>
  <c r="L1043" i="1"/>
  <c r="K1043" i="1"/>
  <c r="J1043" i="1"/>
  <c r="I1043" i="1"/>
  <c r="H1043" i="1"/>
  <c r="G1043" i="1"/>
  <c r="R1042" i="1"/>
  <c r="Q1042" i="1"/>
  <c r="O1042" i="1"/>
  <c r="N1042" i="1"/>
  <c r="M1042" i="1"/>
  <c r="L1042" i="1"/>
  <c r="K1042" i="1"/>
  <c r="J1042" i="1"/>
  <c r="I1042" i="1"/>
  <c r="H1042" i="1"/>
  <c r="G1042" i="1"/>
  <c r="R1041" i="1"/>
  <c r="Q1041" i="1"/>
  <c r="O1041" i="1"/>
  <c r="N1041" i="1"/>
  <c r="M1041" i="1"/>
  <c r="L1041" i="1"/>
  <c r="K1041" i="1"/>
  <c r="J1041" i="1"/>
  <c r="I1041" i="1"/>
  <c r="H1041" i="1"/>
  <c r="G1041" i="1"/>
  <c r="R1040" i="1"/>
  <c r="Q1040" i="1"/>
  <c r="O1040" i="1"/>
  <c r="N1040" i="1"/>
  <c r="M1040" i="1"/>
  <c r="L1040" i="1"/>
  <c r="K1040" i="1"/>
  <c r="J1040" i="1"/>
  <c r="I1040" i="1"/>
  <c r="H1040" i="1"/>
  <c r="G1040" i="1"/>
  <c r="R1039" i="1"/>
  <c r="Q1039" i="1"/>
  <c r="O1039" i="1"/>
  <c r="N1039" i="1"/>
  <c r="M1039" i="1"/>
  <c r="L1039" i="1"/>
  <c r="K1039" i="1"/>
  <c r="J1039" i="1"/>
  <c r="I1039" i="1"/>
  <c r="H1039" i="1"/>
  <c r="G1039" i="1"/>
  <c r="R1038" i="1"/>
  <c r="Q1038" i="1"/>
  <c r="O1038" i="1"/>
  <c r="N1038" i="1"/>
  <c r="M1038" i="1"/>
  <c r="L1038" i="1"/>
  <c r="K1038" i="1"/>
  <c r="J1038" i="1"/>
  <c r="I1038" i="1"/>
  <c r="H1038" i="1"/>
  <c r="G1038" i="1"/>
  <c r="R1037" i="1"/>
  <c r="Q1037" i="1"/>
  <c r="O1037" i="1"/>
  <c r="N1037" i="1"/>
  <c r="M1037" i="1"/>
  <c r="L1037" i="1"/>
  <c r="K1037" i="1"/>
  <c r="J1037" i="1"/>
  <c r="I1037" i="1"/>
  <c r="H1037" i="1"/>
  <c r="G1037" i="1"/>
  <c r="R1036" i="1"/>
  <c r="Q1036" i="1"/>
  <c r="O1036" i="1"/>
  <c r="N1036" i="1"/>
  <c r="M1036" i="1"/>
  <c r="L1036" i="1"/>
  <c r="K1036" i="1"/>
  <c r="J1036" i="1"/>
  <c r="I1036" i="1"/>
  <c r="H1036" i="1"/>
  <c r="G1036" i="1"/>
  <c r="R1035" i="1"/>
  <c r="Q1035" i="1"/>
  <c r="O1035" i="1"/>
  <c r="N1035" i="1"/>
  <c r="M1035" i="1"/>
  <c r="L1035" i="1"/>
  <c r="K1035" i="1"/>
  <c r="J1035" i="1"/>
  <c r="I1035" i="1"/>
  <c r="H1035" i="1"/>
  <c r="G1035" i="1"/>
  <c r="R1034" i="1"/>
  <c r="Q1034" i="1"/>
  <c r="O1034" i="1"/>
  <c r="N1034" i="1"/>
  <c r="M1034" i="1"/>
  <c r="L1034" i="1"/>
  <c r="K1034" i="1"/>
  <c r="J1034" i="1"/>
  <c r="I1034" i="1"/>
  <c r="H1034" i="1"/>
  <c r="G1034" i="1"/>
  <c r="R1033" i="1"/>
  <c r="Q1033" i="1"/>
  <c r="O1033" i="1"/>
  <c r="N1033" i="1"/>
  <c r="M1033" i="1"/>
  <c r="L1033" i="1"/>
  <c r="K1033" i="1"/>
  <c r="J1033" i="1"/>
  <c r="I1033" i="1"/>
  <c r="H1033" i="1"/>
  <c r="G1033" i="1"/>
  <c r="R1032" i="1"/>
  <c r="Q1032" i="1"/>
  <c r="O1032" i="1"/>
  <c r="N1032" i="1"/>
  <c r="M1032" i="1"/>
  <c r="L1032" i="1"/>
  <c r="K1032" i="1"/>
  <c r="J1032" i="1"/>
  <c r="I1032" i="1"/>
  <c r="H1032" i="1"/>
  <c r="G1032" i="1"/>
  <c r="R1031" i="1"/>
  <c r="Q1031" i="1"/>
  <c r="O1031" i="1"/>
  <c r="N1031" i="1"/>
  <c r="M1031" i="1"/>
  <c r="L1031" i="1"/>
  <c r="K1031" i="1"/>
  <c r="J1031" i="1"/>
  <c r="I1031" i="1"/>
  <c r="H1031" i="1"/>
  <c r="G1031" i="1"/>
  <c r="R1030" i="1"/>
  <c r="Q1030" i="1"/>
  <c r="O1030" i="1"/>
  <c r="N1030" i="1"/>
  <c r="M1030" i="1"/>
  <c r="L1030" i="1"/>
  <c r="K1030" i="1"/>
  <c r="J1030" i="1"/>
  <c r="I1030" i="1"/>
  <c r="H1030" i="1"/>
  <c r="G1030" i="1"/>
  <c r="R1029" i="1"/>
  <c r="Q1029" i="1"/>
  <c r="O1029" i="1"/>
  <c r="N1029" i="1"/>
  <c r="M1029" i="1"/>
  <c r="L1029" i="1"/>
  <c r="K1029" i="1"/>
  <c r="J1029" i="1"/>
  <c r="I1029" i="1"/>
  <c r="H1029" i="1"/>
  <c r="G1029" i="1"/>
  <c r="R1028" i="1"/>
  <c r="Q1028" i="1"/>
  <c r="O1028" i="1"/>
  <c r="N1028" i="1"/>
  <c r="M1028" i="1"/>
  <c r="L1028" i="1"/>
  <c r="K1028" i="1"/>
  <c r="J1028" i="1"/>
  <c r="I1028" i="1"/>
  <c r="H1028" i="1"/>
  <c r="G1028" i="1"/>
  <c r="R1027" i="1"/>
  <c r="Q1027" i="1"/>
  <c r="O1027" i="1"/>
  <c r="N1027" i="1"/>
  <c r="M1027" i="1"/>
  <c r="L1027" i="1"/>
  <c r="K1027" i="1"/>
  <c r="J1027" i="1"/>
  <c r="I1027" i="1"/>
  <c r="H1027" i="1"/>
  <c r="G1027" i="1"/>
  <c r="R1026" i="1"/>
  <c r="Q1026" i="1"/>
  <c r="O1026" i="1"/>
  <c r="N1026" i="1"/>
  <c r="M1026" i="1"/>
  <c r="L1026" i="1"/>
  <c r="K1026" i="1"/>
  <c r="J1026" i="1"/>
  <c r="I1026" i="1"/>
  <c r="H1026" i="1"/>
  <c r="G1026" i="1"/>
  <c r="R1025" i="1"/>
  <c r="Q1025" i="1"/>
  <c r="O1025" i="1"/>
  <c r="N1025" i="1"/>
  <c r="M1025" i="1"/>
  <c r="L1025" i="1"/>
  <c r="K1025" i="1"/>
  <c r="J1025" i="1"/>
  <c r="I1025" i="1"/>
  <c r="H1025" i="1"/>
  <c r="G1025" i="1"/>
  <c r="R1024" i="1"/>
  <c r="Q1024" i="1"/>
  <c r="O1024" i="1"/>
  <c r="N1024" i="1"/>
  <c r="M1024" i="1"/>
  <c r="L1024" i="1"/>
  <c r="K1024" i="1"/>
  <c r="J1024" i="1"/>
  <c r="I1024" i="1"/>
  <c r="H1024" i="1"/>
  <c r="G1024" i="1"/>
  <c r="R1023" i="1"/>
  <c r="Q1023" i="1"/>
  <c r="O1023" i="1"/>
  <c r="N1023" i="1"/>
  <c r="M1023" i="1"/>
  <c r="L1023" i="1"/>
  <c r="K1023" i="1"/>
  <c r="J1023" i="1"/>
  <c r="I1023" i="1"/>
  <c r="H1023" i="1"/>
  <c r="G1023" i="1"/>
  <c r="R1022" i="1"/>
  <c r="Q1022" i="1"/>
  <c r="O1022" i="1"/>
  <c r="N1022" i="1"/>
  <c r="M1022" i="1"/>
  <c r="L1022" i="1"/>
  <c r="K1022" i="1"/>
  <c r="J1022" i="1"/>
  <c r="I1022" i="1"/>
  <c r="H1022" i="1"/>
  <c r="G1022" i="1"/>
  <c r="R1021" i="1"/>
  <c r="Q1021" i="1"/>
  <c r="P1021" i="1"/>
  <c r="O1021" i="1"/>
  <c r="N1021" i="1"/>
  <c r="M1021" i="1"/>
  <c r="L1021" i="1"/>
  <c r="K1021" i="1"/>
  <c r="J1021" i="1"/>
  <c r="I1021" i="1"/>
  <c r="H1021" i="1"/>
  <c r="G1021" i="1"/>
  <c r="R1020" i="1"/>
  <c r="Q1020" i="1"/>
  <c r="P1020" i="1"/>
  <c r="O1020" i="1"/>
  <c r="N1020" i="1"/>
  <c r="M1020" i="1"/>
  <c r="L1020" i="1"/>
  <c r="K1020" i="1"/>
  <c r="J1020" i="1"/>
  <c r="I1020" i="1"/>
  <c r="H1020" i="1"/>
  <c r="G1020" i="1"/>
  <c r="R1019" i="1"/>
  <c r="Q1019" i="1"/>
  <c r="P1019" i="1"/>
  <c r="O1019" i="1"/>
  <c r="N1019" i="1"/>
  <c r="M1019" i="1"/>
  <c r="L1019" i="1"/>
  <c r="K1019" i="1"/>
  <c r="J1019" i="1"/>
  <c r="I1019" i="1"/>
  <c r="H1019" i="1"/>
  <c r="G1019" i="1"/>
  <c r="R1018" i="1"/>
  <c r="Q1018" i="1"/>
  <c r="P1018" i="1"/>
  <c r="O1018" i="1"/>
  <c r="N1018" i="1"/>
  <c r="M1018" i="1"/>
  <c r="L1018" i="1"/>
  <c r="K1018" i="1"/>
  <c r="J1018" i="1"/>
  <c r="I1018" i="1"/>
  <c r="H1018" i="1"/>
  <c r="G1018" i="1"/>
  <c r="R1017" i="1"/>
  <c r="Q1017" i="1"/>
  <c r="P1017" i="1"/>
  <c r="O1017" i="1"/>
  <c r="N1017" i="1"/>
  <c r="M1017" i="1"/>
  <c r="L1017" i="1"/>
  <c r="K1017" i="1"/>
  <c r="J1017" i="1"/>
  <c r="I1017" i="1"/>
  <c r="H1017" i="1"/>
  <c r="G1017" i="1"/>
  <c r="R1016" i="1"/>
  <c r="Q1016" i="1"/>
  <c r="P1016" i="1"/>
  <c r="O1016" i="1"/>
  <c r="N1016" i="1"/>
  <c r="M1016" i="1"/>
  <c r="L1016" i="1"/>
  <c r="K1016" i="1"/>
  <c r="J1016" i="1"/>
  <c r="I1016" i="1"/>
  <c r="H1016" i="1"/>
  <c r="G1016" i="1"/>
  <c r="R1015" i="1"/>
  <c r="Q1015" i="1"/>
  <c r="P1015" i="1"/>
  <c r="O1015" i="1"/>
  <c r="N1015" i="1"/>
  <c r="M1015" i="1"/>
  <c r="L1015" i="1"/>
  <c r="K1015" i="1"/>
  <c r="J1015" i="1"/>
  <c r="I1015" i="1"/>
  <c r="H1015" i="1"/>
  <c r="G1015" i="1"/>
  <c r="R1014" i="1"/>
  <c r="Q1014" i="1"/>
  <c r="P1014" i="1"/>
  <c r="O1014" i="1"/>
  <c r="N1014" i="1"/>
  <c r="M1014" i="1"/>
  <c r="L1014" i="1"/>
  <c r="K1014" i="1"/>
  <c r="J1014" i="1"/>
  <c r="I1014" i="1"/>
  <c r="H1014" i="1"/>
  <c r="G1014" i="1"/>
  <c r="R1013" i="1"/>
  <c r="Q1013" i="1"/>
  <c r="P1013" i="1"/>
  <c r="O1013" i="1"/>
  <c r="N1013" i="1"/>
  <c r="M1013" i="1"/>
  <c r="L1013" i="1"/>
  <c r="K1013" i="1"/>
  <c r="J1013" i="1"/>
  <c r="I1013" i="1"/>
  <c r="H1013" i="1"/>
  <c r="G1013" i="1"/>
  <c r="R1012" i="1"/>
  <c r="Q1012" i="1"/>
  <c r="P1012" i="1"/>
  <c r="O1012" i="1"/>
  <c r="N1012" i="1"/>
  <c r="M1012" i="1"/>
  <c r="L1012" i="1"/>
  <c r="K1012" i="1"/>
  <c r="J1012" i="1"/>
  <c r="I1012" i="1"/>
  <c r="H1012" i="1"/>
  <c r="G1012" i="1"/>
  <c r="R1011" i="1"/>
  <c r="Q1011" i="1"/>
  <c r="P1011" i="1"/>
  <c r="O1011" i="1"/>
  <c r="N1011" i="1"/>
  <c r="M1011" i="1"/>
  <c r="L1011" i="1"/>
  <c r="K1011" i="1"/>
  <c r="J1011" i="1"/>
  <c r="I1011" i="1"/>
  <c r="H1011" i="1"/>
  <c r="G1011" i="1"/>
  <c r="R1010" i="1"/>
  <c r="Q1010" i="1"/>
  <c r="P1010" i="1"/>
  <c r="O1010" i="1"/>
  <c r="N1010" i="1"/>
  <c r="M1010" i="1"/>
  <c r="L1010" i="1"/>
  <c r="K1010" i="1"/>
  <c r="J1010" i="1"/>
  <c r="I1010" i="1"/>
  <c r="H1010" i="1"/>
  <c r="G1010" i="1"/>
  <c r="R1009" i="1"/>
  <c r="Q1009" i="1"/>
  <c r="P1009" i="1"/>
  <c r="O1009" i="1"/>
  <c r="N1009" i="1"/>
  <c r="M1009" i="1"/>
  <c r="L1009" i="1"/>
  <c r="K1009" i="1"/>
  <c r="J1009" i="1"/>
  <c r="I1009" i="1"/>
  <c r="H1009" i="1"/>
  <c r="G1009" i="1"/>
  <c r="R1008" i="1"/>
  <c r="Q1008" i="1"/>
  <c r="P1008" i="1"/>
  <c r="O1008" i="1"/>
  <c r="N1008" i="1"/>
  <c r="M1008" i="1"/>
  <c r="L1008" i="1"/>
  <c r="K1008" i="1"/>
  <c r="J1008" i="1"/>
  <c r="I1008" i="1"/>
  <c r="H1008" i="1"/>
  <c r="G1008" i="1"/>
  <c r="R1007" i="1"/>
  <c r="Q1007" i="1"/>
  <c r="P1007" i="1"/>
  <c r="O1007" i="1"/>
  <c r="N1007" i="1"/>
  <c r="M1007" i="1"/>
  <c r="L1007" i="1"/>
  <c r="K1007" i="1"/>
  <c r="J1007" i="1"/>
  <c r="I1007" i="1"/>
  <c r="H1007" i="1"/>
  <c r="G1007" i="1"/>
  <c r="R1006" i="1"/>
  <c r="Q1006" i="1"/>
  <c r="P1006" i="1"/>
  <c r="O1006" i="1"/>
  <c r="N1006" i="1"/>
  <c r="M1006" i="1"/>
  <c r="L1006" i="1"/>
  <c r="K1006" i="1"/>
  <c r="J1006" i="1"/>
  <c r="I1006" i="1"/>
  <c r="H1006" i="1"/>
  <c r="G1006" i="1"/>
  <c r="R1005" i="1"/>
  <c r="Q1005" i="1"/>
  <c r="P1005" i="1"/>
  <c r="O1005" i="1"/>
  <c r="N1005" i="1"/>
  <c r="M1005" i="1"/>
  <c r="L1005" i="1"/>
  <c r="K1005" i="1"/>
  <c r="J1005" i="1"/>
  <c r="I1005" i="1"/>
  <c r="H1005" i="1"/>
  <c r="G1005" i="1"/>
  <c r="R1004" i="1"/>
  <c r="Q1004" i="1"/>
  <c r="P1004" i="1"/>
  <c r="O1004" i="1"/>
  <c r="N1004" i="1"/>
  <c r="M1004" i="1"/>
  <c r="L1004" i="1"/>
  <c r="K1004" i="1"/>
  <c r="J1004" i="1"/>
  <c r="I1004" i="1"/>
  <c r="H1004" i="1"/>
  <c r="G1004" i="1"/>
  <c r="R1003" i="1"/>
  <c r="Q1003" i="1"/>
  <c r="P1003" i="1"/>
  <c r="O1003" i="1"/>
  <c r="N1003" i="1"/>
  <c r="M1003" i="1"/>
  <c r="L1003" i="1"/>
  <c r="K1003" i="1"/>
  <c r="J1003" i="1"/>
  <c r="I1003" i="1"/>
  <c r="H1003" i="1"/>
  <c r="G1003" i="1"/>
  <c r="R1002" i="1"/>
  <c r="Q1002" i="1"/>
  <c r="P1002" i="1"/>
  <c r="O1002" i="1"/>
  <c r="N1002" i="1"/>
  <c r="M1002" i="1"/>
  <c r="L1002" i="1"/>
  <c r="K1002" i="1"/>
  <c r="J1002" i="1"/>
  <c r="I1002" i="1"/>
  <c r="H1002" i="1"/>
  <c r="G1002" i="1"/>
  <c r="R1001" i="1"/>
  <c r="Q1001" i="1"/>
  <c r="P1001" i="1"/>
  <c r="O1001" i="1"/>
  <c r="N1001" i="1"/>
  <c r="M1001" i="1"/>
  <c r="L1001" i="1"/>
  <c r="K1001" i="1"/>
  <c r="J1001" i="1"/>
  <c r="I1001" i="1"/>
  <c r="H1001" i="1"/>
  <c r="G1001" i="1"/>
  <c r="R1000" i="1"/>
  <c r="Q1000" i="1"/>
  <c r="P1000" i="1"/>
  <c r="O1000" i="1"/>
  <c r="N1000" i="1"/>
  <c r="M1000" i="1"/>
  <c r="L1000" i="1"/>
  <c r="K1000" i="1"/>
  <c r="J1000" i="1"/>
  <c r="I1000" i="1"/>
  <c r="H1000" i="1"/>
  <c r="G1000" i="1"/>
  <c r="R999" i="1"/>
  <c r="Q999" i="1"/>
  <c r="P999" i="1"/>
  <c r="O999" i="1"/>
  <c r="N999" i="1"/>
  <c r="M999" i="1"/>
  <c r="L999" i="1"/>
  <c r="K999" i="1"/>
  <c r="J999" i="1"/>
  <c r="I999" i="1"/>
  <c r="H999" i="1"/>
  <c r="G999" i="1"/>
  <c r="R998" i="1"/>
  <c r="Q998" i="1"/>
  <c r="P998" i="1"/>
  <c r="O998" i="1"/>
  <c r="N998" i="1"/>
  <c r="M998" i="1"/>
  <c r="L998" i="1"/>
  <c r="K998" i="1"/>
  <c r="J998" i="1"/>
  <c r="I998" i="1"/>
  <c r="H998" i="1"/>
  <c r="G998" i="1"/>
  <c r="R997" i="1"/>
  <c r="Q997" i="1"/>
  <c r="P997" i="1"/>
  <c r="O997" i="1"/>
  <c r="N997" i="1"/>
  <c r="M997" i="1"/>
  <c r="L997" i="1"/>
  <c r="K997" i="1"/>
  <c r="J997" i="1"/>
  <c r="I997" i="1"/>
  <c r="H997" i="1"/>
  <c r="G997" i="1"/>
  <c r="R996" i="1"/>
  <c r="Q996" i="1"/>
  <c r="P996" i="1"/>
  <c r="O996" i="1"/>
  <c r="N996" i="1"/>
  <c r="M996" i="1"/>
  <c r="L996" i="1"/>
  <c r="K996" i="1"/>
  <c r="J996" i="1"/>
  <c r="I996" i="1"/>
  <c r="H996" i="1"/>
  <c r="G996" i="1"/>
  <c r="R995" i="1"/>
  <c r="Q995" i="1"/>
  <c r="P995" i="1"/>
  <c r="O995" i="1"/>
  <c r="N995" i="1"/>
  <c r="M995" i="1"/>
  <c r="L995" i="1"/>
  <c r="K995" i="1"/>
  <c r="J995" i="1"/>
  <c r="I995" i="1"/>
  <c r="H995" i="1"/>
  <c r="G995" i="1"/>
  <c r="R994" i="1"/>
  <c r="Q994" i="1"/>
  <c r="P994" i="1"/>
  <c r="O994" i="1"/>
  <c r="N994" i="1"/>
  <c r="M994" i="1"/>
  <c r="L994" i="1"/>
  <c r="K994" i="1"/>
  <c r="J994" i="1"/>
  <c r="I994" i="1"/>
  <c r="H994" i="1"/>
  <c r="G994" i="1"/>
  <c r="R993" i="1"/>
  <c r="Q993" i="1"/>
  <c r="P993" i="1"/>
  <c r="O993" i="1"/>
  <c r="N993" i="1"/>
  <c r="M993" i="1"/>
  <c r="L993" i="1"/>
  <c r="K993" i="1"/>
  <c r="J993" i="1"/>
  <c r="I993" i="1"/>
  <c r="H993" i="1"/>
  <c r="G993" i="1"/>
  <c r="R992" i="1"/>
  <c r="Q992" i="1"/>
  <c r="P992" i="1"/>
  <c r="O992" i="1"/>
  <c r="N992" i="1"/>
  <c r="M992" i="1"/>
  <c r="L992" i="1"/>
  <c r="K992" i="1"/>
  <c r="J992" i="1"/>
  <c r="I992" i="1"/>
  <c r="H992" i="1"/>
  <c r="G992" i="1"/>
  <c r="R991" i="1"/>
  <c r="Q991" i="1"/>
  <c r="P991" i="1"/>
  <c r="O991" i="1"/>
  <c r="N991" i="1"/>
  <c r="M991" i="1"/>
  <c r="L991" i="1"/>
  <c r="K991" i="1"/>
  <c r="J991" i="1"/>
  <c r="I991" i="1"/>
  <c r="H991" i="1"/>
  <c r="G991" i="1"/>
  <c r="R990" i="1"/>
  <c r="Q990" i="1"/>
  <c r="P990" i="1"/>
  <c r="O990" i="1"/>
  <c r="N990" i="1"/>
  <c r="M990" i="1"/>
  <c r="L990" i="1"/>
  <c r="K990" i="1"/>
  <c r="J990" i="1"/>
  <c r="I990" i="1"/>
  <c r="H990" i="1"/>
  <c r="G990" i="1"/>
  <c r="R989" i="1"/>
  <c r="Q989" i="1"/>
  <c r="P989" i="1"/>
  <c r="O989" i="1"/>
  <c r="N989" i="1"/>
  <c r="M989" i="1"/>
  <c r="L989" i="1"/>
  <c r="K989" i="1"/>
  <c r="J989" i="1"/>
  <c r="I989" i="1"/>
  <c r="H989" i="1"/>
  <c r="G989" i="1"/>
  <c r="R988" i="1"/>
  <c r="Q988" i="1"/>
  <c r="P988" i="1"/>
  <c r="O988" i="1"/>
  <c r="N988" i="1"/>
  <c r="M988" i="1"/>
  <c r="L988" i="1"/>
  <c r="K988" i="1"/>
  <c r="J988" i="1"/>
  <c r="I988" i="1"/>
  <c r="H988" i="1"/>
  <c r="G988" i="1"/>
  <c r="R987" i="1"/>
  <c r="Q987" i="1"/>
  <c r="P987" i="1"/>
  <c r="O987" i="1"/>
  <c r="N987" i="1"/>
  <c r="M987" i="1"/>
  <c r="L987" i="1"/>
  <c r="K987" i="1"/>
  <c r="J987" i="1"/>
  <c r="I987" i="1"/>
  <c r="H987" i="1"/>
  <c r="G987" i="1"/>
  <c r="R986" i="1"/>
  <c r="Q986" i="1"/>
  <c r="P986" i="1"/>
  <c r="O986" i="1"/>
  <c r="N986" i="1"/>
  <c r="M986" i="1"/>
  <c r="L986" i="1"/>
  <c r="K986" i="1"/>
  <c r="J986" i="1"/>
  <c r="I986" i="1"/>
  <c r="H986" i="1"/>
  <c r="G986" i="1"/>
  <c r="R985" i="1"/>
  <c r="Q985" i="1"/>
  <c r="P985" i="1"/>
  <c r="O985" i="1"/>
  <c r="N985" i="1"/>
  <c r="M985" i="1"/>
  <c r="L985" i="1"/>
  <c r="K985" i="1"/>
  <c r="J985" i="1"/>
  <c r="I985" i="1"/>
  <c r="H985" i="1"/>
  <c r="G985" i="1"/>
  <c r="R984" i="1"/>
  <c r="Q984" i="1"/>
  <c r="P984" i="1"/>
  <c r="O984" i="1"/>
  <c r="N984" i="1"/>
  <c r="M984" i="1"/>
  <c r="L984" i="1"/>
  <c r="K984" i="1"/>
  <c r="J984" i="1"/>
  <c r="I984" i="1"/>
  <c r="H984" i="1"/>
  <c r="G984" i="1"/>
  <c r="R983" i="1"/>
  <c r="Q983" i="1"/>
  <c r="P983" i="1"/>
  <c r="O983" i="1"/>
  <c r="N983" i="1"/>
  <c r="M983" i="1"/>
  <c r="L983" i="1"/>
  <c r="K983" i="1"/>
  <c r="J983" i="1"/>
  <c r="I983" i="1"/>
  <c r="H983" i="1"/>
  <c r="G983" i="1"/>
  <c r="R982" i="1"/>
  <c r="Q982" i="1"/>
  <c r="P982" i="1"/>
  <c r="O982" i="1"/>
  <c r="N982" i="1"/>
  <c r="M982" i="1"/>
  <c r="L982" i="1"/>
  <c r="K982" i="1"/>
  <c r="J982" i="1"/>
  <c r="I982" i="1"/>
  <c r="H982" i="1"/>
  <c r="G982" i="1"/>
  <c r="R981" i="1"/>
  <c r="Q981" i="1"/>
  <c r="P981" i="1"/>
  <c r="O981" i="1"/>
  <c r="N981" i="1"/>
  <c r="M981" i="1"/>
  <c r="L981" i="1"/>
  <c r="K981" i="1"/>
  <c r="J981" i="1"/>
  <c r="I981" i="1"/>
  <c r="H981" i="1"/>
  <c r="G981" i="1"/>
  <c r="R980" i="1"/>
  <c r="Q980" i="1"/>
  <c r="P980" i="1"/>
  <c r="O980" i="1"/>
  <c r="N980" i="1"/>
  <c r="M980" i="1"/>
  <c r="L980" i="1"/>
  <c r="K980" i="1"/>
  <c r="J980" i="1"/>
  <c r="I980" i="1"/>
  <c r="H980" i="1"/>
  <c r="G980" i="1"/>
  <c r="R979" i="1"/>
  <c r="Q979" i="1"/>
  <c r="P979" i="1"/>
  <c r="O979" i="1"/>
  <c r="N979" i="1"/>
  <c r="M979" i="1"/>
  <c r="L979" i="1"/>
  <c r="K979" i="1"/>
  <c r="J979" i="1"/>
  <c r="I979" i="1"/>
  <c r="H979" i="1"/>
  <c r="G979" i="1"/>
  <c r="R978" i="1"/>
  <c r="Q978" i="1"/>
  <c r="P978" i="1"/>
  <c r="O978" i="1"/>
  <c r="N978" i="1"/>
  <c r="M978" i="1"/>
  <c r="L978" i="1"/>
  <c r="K978" i="1"/>
  <c r="J978" i="1"/>
  <c r="I978" i="1"/>
  <c r="H978" i="1"/>
  <c r="G978" i="1"/>
  <c r="R977" i="1"/>
  <c r="Q977" i="1"/>
  <c r="P977" i="1"/>
  <c r="O977" i="1"/>
  <c r="N977" i="1"/>
  <c r="M977" i="1"/>
  <c r="L977" i="1"/>
  <c r="K977" i="1"/>
  <c r="J977" i="1"/>
  <c r="I977" i="1"/>
  <c r="H977" i="1"/>
  <c r="G977" i="1"/>
  <c r="R976" i="1"/>
  <c r="Q976" i="1"/>
  <c r="P976" i="1"/>
  <c r="O976" i="1"/>
  <c r="N976" i="1"/>
  <c r="M976" i="1"/>
  <c r="L976" i="1"/>
  <c r="K976" i="1"/>
  <c r="J976" i="1"/>
  <c r="I976" i="1"/>
  <c r="H976" i="1"/>
  <c r="G976" i="1"/>
  <c r="R975" i="1"/>
  <c r="Q975" i="1"/>
  <c r="P975" i="1"/>
  <c r="O975" i="1"/>
  <c r="N975" i="1"/>
  <c r="M975" i="1"/>
  <c r="L975" i="1"/>
  <c r="K975" i="1"/>
  <c r="J975" i="1"/>
  <c r="I975" i="1"/>
  <c r="H975" i="1"/>
  <c r="G975" i="1"/>
  <c r="R974" i="1"/>
  <c r="Q974" i="1"/>
  <c r="P974" i="1"/>
  <c r="O974" i="1"/>
  <c r="N974" i="1"/>
  <c r="M974" i="1"/>
  <c r="L974" i="1"/>
  <c r="K974" i="1"/>
  <c r="J974" i="1"/>
  <c r="I974" i="1"/>
  <c r="H974" i="1"/>
  <c r="G974" i="1"/>
  <c r="R973" i="1"/>
  <c r="Q973" i="1"/>
  <c r="P973" i="1"/>
  <c r="O973" i="1"/>
  <c r="N973" i="1"/>
  <c r="M973" i="1"/>
  <c r="L973" i="1"/>
  <c r="K973" i="1"/>
  <c r="J973" i="1"/>
  <c r="I973" i="1"/>
  <c r="H973" i="1"/>
  <c r="G973" i="1"/>
  <c r="R972" i="1"/>
  <c r="Q972" i="1"/>
  <c r="P972" i="1"/>
  <c r="O972" i="1"/>
  <c r="N972" i="1"/>
  <c r="M972" i="1"/>
  <c r="L972" i="1"/>
  <c r="K972" i="1"/>
  <c r="J972" i="1"/>
  <c r="I972" i="1"/>
  <c r="H972" i="1"/>
  <c r="G972" i="1"/>
  <c r="R971" i="1"/>
  <c r="Q971" i="1"/>
  <c r="P971" i="1"/>
  <c r="O971" i="1"/>
  <c r="N971" i="1"/>
  <c r="M971" i="1"/>
  <c r="L971" i="1"/>
  <c r="K971" i="1"/>
  <c r="J971" i="1"/>
  <c r="I971" i="1"/>
  <c r="H971" i="1"/>
  <c r="G971" i="1"/>
  <c r="R970" i="1"/>
  <c r="Q970" i="1"/>
  <c r="P970" i="1"/>
  <c r="O970" i="1"/>
  <c r="N970" i="1"/>
  <c r="M970" i="1"/>
  <c r="L970" i="1"/>
  <c r="K970" i="1"/>
  <c r="J970" i="1"/>
  <c r="I970" i="1"/>
  <c r="H970" i="1"/>
  <c r="G970" i="1"/>
  <c r="R969" i="1"/>
  <c r="Q969" i="1"/>
  <c r="P969" i="1"/>
  <c r="O969" i="1"/>
  <c r="N969" i="1"/>
  <c r="M969" i="1"/>
  <c r="L969" i="1"/>
  <c r="K969" i="1"/>
  <c r="J969" i="1"/>
  <c r="I969" i="1"/>
  <c r="H969" i="1"/>
  <c r="G969" i="1"/>
  <c r="R968" i="1"/>
  <c r="Q968" i="1"/>
  <c r="P968" i="1"/>
  <c r="O968" i="1"/>
  <c r="N968" i="1"/>
  <c r="M968" i="1"/>
  <c r="L968" i="1"/>
  <c r="K968" i="1"/>
  <c r="J968" i="1"/>
  <c r="I968" i="1"/>
  <c r="H968" i="1"/>
  <c r="G968" i="1"/>
  <c r="R967" i="1"/>
  <c r="Q967" i="1"/>
  <c r="P967" i="1"/>
  <c r="O967" i="1"/>
  <c r="N967" i="1"/>
  <c r="M967" i="1"/>
  <c r="L967" i="1"/>
  <c r="K967" i="1"/>
  <c r="J967" i="1"/>
  <c r="I967" i="1"/>
  <c r="H967" i="1"/>
  <c r="G967" i="1"/>
  <c r="R966" i="1"/>
  <c r="Q966" i="1"/>
  <c r="P966" i="1"/>
  <c r="O966" i="1"/>
  <c r="N966" i="1"/>
  <c r="M966" i="1"/>
  <c r="L966" i="1"/>
  <c r="K966" i="1"/>
  <c r="J966" i="1"/>
  <c r="I966" i="1"/>
  <c r="H966" i="1"/>
  <c r="G966" i="1"/>
  <c r="R965" i="1"/>
  <c r="Q965" i="1"/>
  <c r="P965" i="1"/>
  <c r="O965" i="1"/>
  <c r="N965" i="1"/>
  <c r="M965" i="1"/>
  <c r="L965" i="1"/>
  <c r="K965" i="1"/>
  <c r="J965" i="1"/>
  <c r="I965" i="1"/>
  <c r="H965" i="1"/>
  <c r="G965" i="1"/>
  <c r="R964" i="1"/>
  <c r="Q964" i="1"/>
  <c r="P964" i="1"/>
  <c r="O964" i="1"/>
  <c r="N964" i="1"/>
  <c r="M964" i="1"/>
  <c r="L964" i="1"/>
  <c r="K964" i="1"/>
  <c r="J964" i="1"/>
  <c r="I964" i="1"/>
  <c r="H964" i="1"/>
  <c r="G964" i="1"/>
  <c r="R963" i="1"/>
  <c r="Q963" i="1"/>
  <c r="P963" i="1"/>
  <c r="O963" i="1"/>
  <c r="N963" i="1"/>
  <c r="M963" i="1"/>
  <c r="L963" i="1"/>
  <c r="K963" i="1"/>
  <c r="J963" i="1"/>
  <c r="I963" i="1"/>
  <c r="H963" i="1"/>
  <c r="G963" i="1"/>
  <c r="R962" i="1"/>
  <c r="Q962" i="1"/>
  <c r="P962" i="1"/>
  <c r="O962" i="1"/>
  <c r="N962" i="1"/>
  <c r="M962" i="1"/>
  <c r="L962" i="1"/>
  <c r="K962" i="1"/>
  <c r="J962" i="1"/>
  <c r="I962" i="1"/>
  <c r="H962" i="1"/>
  <c r="G962" i="1"/>
  <c r="R961" i="1"/>
  <c r="Q961" i="1"/>
  <c r="P961" i="1"/>
  <c r="O961" i="1"/>
  <c r="N961" i="1"/>
  <c r="M961" i="1"/>
  <c r="L961" i="1"/>
  <c r="K961" i="1"/>
  <c r="J961" i="1"/>
  <c r="I961" i="1"/>
  <c r="H961" i="1"/>
  <c r="G961" i="1"/>
  <c r="R960" i="1"/>
  <c r="Q960" i="1"/>
  <c r="P960" i="1"/>
  <c r="O960" i="1"/>
  <c r="N960" i="1"/>
  <c r="M960" i="1"/>
  <c r="L960" i="1"/>
  <c r="K960" i="1"/>
  <c r="J960" i="1"/>
  <c r="I960" i="1"/>
  <c r="H960" i="1"/>
  <c r="G960" i="1"/>
  <c r="R959" i="1"/>
  <c r="Q959" i="1"/>
  <c r="P959" i="1"/>
  <c r="O959" i="1"/>
  <c r="N959" i="1"/>
  <c r="M959" i="1"/>
  <c r="L959" i="1"/>
  <c r="K959" i="1"/>
  <c r="J959" i="1"/>
  <c r="I959" i="1"/>
  <c r="H959" i="1"/>
  <c r="G959" i="1"/>
  <c r="R958" i="1"/>
  <c r="Q958" i="1"/>
  <c r="P958" i="1"/>
  <c r="O958" i="1"/>
  <c r="N958" i="1"/>
  <c r="M958" i="1"/>
  <c r="L958" i="1"/>
  <c r="K958" i="1"/>
  <c r="J958" i="1"/>
  <c r="I958" i="1"/>
  <c r="H958" i="1"/>
  <c r="G958" i="1"/>
  <c r="R957" i="1"/>
  <c r="Q957" i="1"/>
  <c r="P957" i="1"/>
  <c r="O957" i="1"/>
  <c r="N957" i="1"/>
  <c r="M957" i="1"/>
  <c r="L957" i="1"/>
  <c r="K957" i="1"/>
  <c r="J957" i="1"/>
  <c r="I957" i="1"/>
  <c r="H957" i="1"/>
  <c r="G957" i="1"/>
  <c r="R956" i="1"/>
  <c r="Q956" i="1"/>
  <c r="P956" i="1"/>
  <c r="O956" i="1"/>
  <c r="N956" i="1"/>
  <c r="M956" i="1"/>
  <c r="L956" i="1"/>
  <c r="K956" i="1"/>
  <c r="J956" i="1"/>
  <c r="I956" i="1"/>
  <c r="H956" i="1"/>
  <c r="G956" i="1"/>
  <c r="R955" i="1"/>
  <c r="Q955" i="1"/>
  <c r="P955" i="1"/>
  <c r="O955" i="1"/>
  <c r="N955" i="1"/>
  <c r="M955" i="1"/>
  <c r="L955" i="1"/>
  <c r="K955" i="1"/>
  <c r="J955" i="1"/>
  <c r="I955" i="1"/>
  <c r="H955" i="1"/>
  <c r="G955" i="1"/>
  <c r="R954" i="1"/>
  <c r="Q954" i="1"/>
  <c r="P954" i="1"/>
  <c r="O954" i="1"/>
  <c r="N954" i="1"/>
  <c r="M954" i="1"/>
  <c r="L954" i="1"/>
  <c r="K954" i="1"/>
  <c r="J954" i="1"/>
  <c r="I954" i="1"/>
  <c r="H954" i="1"/>
  <c r="G954" i="1"/>
  <c r="R953" i="1"/>
  <c r="Q953" i="1"/>
  <c r="P953" i="1"/>
  <c r="O953" i="1"/>
  <c r="N953" i="1"/>
  <c r="M953" i="1"/>
  <c r="L953" i="1"/>
  <c r="K953" i="1"/>
  <c r="J953" i="1"/>
  <c r="I953" i="1"/>
  <c r="H953" i="1"/>
  <c r="G953" i="1"/>
  <c r="R952" i="1"/>
  <c r="Q952" i="1"/>
  <c r="P952" i="1"/>
  <c r="O952" i="1"/>
  <c r="N952" i="1"/>
  <c r="M952" i="1"/>
  <c r="L952" i="1"/>
  <c r="K952" i="1"/>
  <c r="J952" i="1"/>
  <c r="I952" i="1"/>
  <c r="H952" i="1"/>
  <c r="G952" i="1"/>
  <c r="R951" i="1"/>
  <c r="Q951" i="1"/>
  <c r="P951" i="1"/>
  <c r="O951" i="1"/>
  <c r="N951" i="1"/>
  <c r="M951" i="1"/>
  <c r="L951" i="1"/>
  <c r="K951" i="1"/>
  <c r="J951" i="1"/>
  <c r="I951" i="1"/>
  <c r="H951" i="1"/>
  <c r="G951" i="1"/>
  <c r="R950" i="1"/>
  <c r="Q950" i="1"/>
  <c r="P950" i="1"/>
  <c r="O950" i="1"/>
  <c r="N950" i="1"/>
  <c r="M950" i="1"/>
  <c r="L950" i="1"/>
  <c r="K950" i="1"/>
  <c r="J950" i="1"/>
  <c r="I950" i="1"/>
  <c r="H950" i="1"/>
  <c r="G950" i="1"/>
  <c r="R949" i="1"/>
  <c r="Q949" i="1"/>
  <c r="P949" i="1"/>
  <c r="O949" i="1"/>
  <c r="N949" i="1"/>
  <c r="M949" i="1"/>
  <c r="L949" i="1"/>
  <c r="K949" i="1"/>
  <c r="J949" i="1"/>
  <c r="I949" i="1"/>
  <c r="H949" i="1"/>
  <c r="G949" i="1"/>
  <c r="R948" i="1"/>
  <c r="Q948" i="1"/>
  <c r="P948" i="1"/>
  <c r="O948" i="1"/>
  <c r="N948" i="1"/>
  <c r="M948" i="1"/>
  <c r="L948" i="1"/>
  <c r="K948" i="1"/>
  <c r="J948" i="1"/>
  <c r="I948" i="1"/>
  <c r="H948" i="1"/>
  <c r="G948" i="1"/>
  <c r="R947" i="1"/>
  <c r="Q947" i="1"/>
  <c r="P947" i="1"/>
  <c r="O947" i="1"/>
  <c r="N947" i="1"/>
  <c r="M947" i="1"/>
  <c r="L947" i="1"/>
  <c r="K947" i="1"/>
  <c r="J947" i="1"/>
  <c r="I947" i="1"/>
  <c r="H947" i="1"/>
  <c r="G947" i="1"/>
  <c r="R946" i="1"/>
  <c r="Q946" i="1"/>
  <c r="P946" i="1"/>
  <c r="O946" i="1"/>
  <c r="N946" i="1"/>
  <c r="M946" i="1"/>
  <c r="L946" i="1"/>
  <c r="K946" i="1"/>
  <c r="J946" i="1"/>
  <c r="I946" i="1"/>
  <c r="H946" i="1"/>
  <c r="G946" i="1"/>
  <c r="R945" i="1"/>
  <c r="Q945" i="1"/>
  <c r="P945" i="1"/>
  <c r="O945" i="1"/>
  <c r="N945" i="1"/>
  <c r="M945" i="1"/>
  <c r="L945" i="1"/>
  <c r="K945" i="1"/>
  <c r="J945" i="1"/>
  <c r="I945" i="1"/>
  <c r="H945" i="1"/>
  <c r="G945" i="1"/>
  <c r="R944" i="1"/>
  <c r="Q944" i="1"/>
  <c r="P944" i="1"/>
  <c r="O944" i="1"/>
  <c r="N944" i="1"/>
  <c r="M944" i="1"/>
  <c r="L944" i="1"/>
  <c r="K944" i="1"/>
  <c r="J944" i="1"/>
  <c r="I944" i="1"/>
  <c r="H944" i="1"/>
  <c r="G944" i="1"/>
  <c r="R943" i="1"/>
  <c r="Q943" i="1"/>
  <c r="P943" i="1"/>
  <c r="O943" i="1"/>
  <c r="N943" i="1"/>
  <c r="M943" i="1"/>
  <c r="L943" i="1"/>
  <c r="K943" i="1"/>
  <c r="J943" i="1"/>
  <c r="I943" i="1"/>
  <c r="H943" i="1"/>
  <c r="G943" i="1"/>
  <c r="R942" i="1"/>
  <c r="Q942" i="1"/>
  <c r="P942" i="1"/>
  <c r="O942" i="1"/>
  <c r="N942" i="1"/>
  <c r="M942" i="1"/>
  <c r="L942" i="1"/>
  <c r="K942" i="1"/>
  <c r="J942" i="1"/>
  <c r="I942" i="1"/>
  <c r="H942" i="1"/>
  <c r="G942" i="1"/>
  <c r="R941" i="1"/>
  <c r="Q941" i="1"/>
  <c r="P941" i="1"/>
  <c r="O941" i="1"/>
  <c r="N941" i="1"/>
  <c r="M941" i="1"/>
  <c r="L941" i="1"/>
  <c r="K941" i="1"/>
  <c r="J941" i="1"/>
  <c r="I941" i="1"/>
  <c r="H941" i="1"/>
  <c r="G941" i="1"/>
  <c r="R940" i="1"/>
  <c r="Q940" i="1"/>
  <c r="P940" i="1"/>
  <c r="O940" i="1"/>
  <c r="N940" i="1"/>
  <c r="M940" i="1"/>
  <c r="L940" i="1"/>
  <c r="K940" i="1"/>
  <c r="J940" i="1"/>
  <c r="I940" i="1"/>
  <c r="H940" i="1"/>
  <c r="G940" i="1"/>
  <c r="R939" i="1"/>
  <c r="Q939" i="1"/>
  <c r="P939" i="1"/>
  <c r="O939" i="1"/>
  <c r="N939" i="1"/>
  <c r="M939" i="1"/>
  <c r="L939" i="1"/>
  <c r="K939" i="1"/>
  <c r="J939" i="1"/>
  <c r="I939" i="1"/>
  <c r="H939" i="1"/>
  <c r="G939" i="1"/>
  <c r="R938" i="1"/>
  <c r="Q938" i="1"/>
  <c r="P938" i="1"/>
  <c r="O938" i="1"/>
  <c r="N938" i="1"/>
  <c r="M938" i="1"/>
  <c r="L938" i="1"/>
  <c r="K938" i="1"/>
  <c r="J938" i="1"/>
  <c r="I938" i="1"/>
  <c r="H938" i="1"/>
  <c r="G938" i="1"/>
  <c r="R937" i="1"/>
  <c r="Q937" i="1"/>
  <c r="P937" i="1"/>
  <c r="O937" i="1"/>
  <c r="N937" i="1"/>
  <c r="M937" i="1"/>
  <c r="L937" i="1"/>
  <c r="K937" i="1"/>
  <c r="J937" i="1"/>
  <c r="I937" i="1"/>
  <c r="H937" i="1"/>
  <c r="G937" i="1"/>
  <c r="R936" i="1"/>
  <c r="Q936" i="1"/>
  <c r="P936" i="1"/>
  <c r="O936" i="1"/>
  <c r="N936" i="1"/>
  <c r="M936" i="1"/>
  <c r="L936" i="1"/>
  <c r="K936" i="1"/>
  <c r="J936" i="1"/>
  <c r="I936" i="1"/>
  <c r="H936" i="1"/>
  <c r="G936" i="1"/>
  <c r="R935" i="1"/>
  <c r="Q935" i="1"/>
  <c r="P935" i="1"/>
  <c r="O935" i="1"/>
  <c r="N935" i="1"/>
  <c r="M935" i="1"/>
  <c r="L935" i="1"/>
  <c r="K935" i="1"/>
  <c r="J935" i="1"/>
  <c r="I935" i="1"/>
  <c r="H935" i="1"/>
  <c r="G935" i="1"/>
  <c r="R934" i="1"/>
  <c r="Q934" i="1"/>
  <c r="P934" i="1"/>
  <c r="O934" i="1"/>
  <c r="N934" i="1"/>
  <c r="M934" i="1"/>
  <c r="L934" i="1"/>
  <c r="K934" i="1"/>
  <c r="J934" i="1"/>
  <c r="I934" i="1"/>
  <c r="H934" i="1"/>
  <c r="G934" i="1"/>
  <c r="R933" i="1"/>
  <c r="Q933" i="1"/>
  <c r="P933" i="1"/>
  <c r="O933" i="1"/>
  <c r="N933" i="1"/>
  <c r="M933" i="1"/>
  <c r="L933" i="1"/>
  <c r="K933" i="1"/>
  <c r="J933" i="1"/>
  <c r="I933" i="1"/>
  <c r="H933" i="1"/>
  <c r="G933" i="1"/>
  <c r="R932" i="1"/>
  <c r="Q932" i="1"/>
  <c r="P932" i="1"/>
  <c r="O932" i="1"/>
  <c r="N932" i="1"/>
  <c r="M932" i="1"/>
  <c r="L932" i="1"/>
  <c r="K932" i="1"/>
  <c r="J932" i="1"/>
  <c r="I932" i="1"/>
  <c r="H932" i="1"/>
  <c r="G932" i="1"/>
  <c r="R931" i="1"/>
  <c r="Q931" i="1"/>
  <c r="P931" i="1"/>
  <c r="O931" i="1"/>
  <c r="N931" i="1"/>
  <c r="M931" i="1"/>
  <c r="L931" i="1"/>
  <c r="K931" i="1"/>
  <c r="J931" i="1"/>
  <c r="I931" i="1"/>
  <c r="H931" i="1"/>
  <c r="G931" i="1"/>
  <c r="R930" i="1"/>
  <c r="Q930" i="1"/>
  <c r="P930" i="1"/>
  <c r="O930" i="1"/>
  <c r="N930" i="1"/>
  <c r="M930" i="1"/>
  <c r="L930" i="1"/>
  <c r="K930" i="1"/>
  <c r="J930" i="1"/>
  <c r="I930" i="1"/>
  <c r="H930" i="1"/>
  <c r="G930" i="1"/>
  <c r="R929" i="1"/>
  <c r="Q929" i="1"/>
  <c r="P929" i="1"/>
  <c r="O929" i="1"/>
  <c r="N929" i="1"/>
  <c r="M929" i="1"/>
  <c r="L929" i="1"/>
  <c r="K929" i="1"/>
  <c r="J929" i="1"/>
  <c r="I929" i="1"/>
  <c r="H929" i="1"/>
  <c r="G929" i="1"/>
  <c r="R928" i="1"/>
  <c r="Q928" i="1"/>
  <c r="P928" i="1"/>
  <c r="O928" i="1"/>
  <c r="N928" i="1"/>
  <c r="M928" i="1"/>
  <c r="L928" i="1"/>
  <c r="K928" i="1"/>
  <c r="J928" i="1"/>
  <c r="I928" i="1"/>
  <c r="H928" i="1"/>
  <c r="G928" i="1"/>
  <c r="R927" i="1"/>
  <c r="Q927" i="1"/>
  <c r="P927" i="1"/>
  <c r="O927" i="1"/>
  <c r="N927" i="1"/>
  <c r="M927" i="1"/>
  <c r="L927" i="1"/>
  <c r="K927" i="1"/>
  <c r="J927" i="1"/>
  <c r="I927" i="1"/>
  <c r="H927" i="1"/>
  <c r="G927" i="1"/>
  <c r="R926" i="1"/>
  <c r="Q926" i="1"/>
  <c r="P926" i="1"/>
  <c r="O926" i="1"/>
  <c r="N926" i="1"/>
  <c r="M926" i="1"/>
  <c r="L926" i="1"/>
  <c r="K926" i="1"/>
  <c r="J926" i="1"/>
  <c r="I926" i="1"/>
  <c r="H926" i="1"/>
  <c r="G926" i="1"/>
  <c r="R925" i="1"/>
  <c r="Q925" i="1"/>
  <c r="P925" i="1"/>
  <c r="O925" i="1"/>
  <c r="N925" i="1"/>
  <c r="M925" i="1"/>
  <c r="L925" i="1"/>
  <c r="K925" i="1"/>
  <c r="J925" i="1"/>
  <c r="I925" i="1"/>
  <c r="H925" i="1"/>
  <c r="G925" i="1"/>
  <c r="R924" i="1"/>
  <c r="Q924" i="1"/>
  <c r="P924" i="1"/>
  <c r="O924" i="1"/>
  <c r="N924" i="1"/>
  <c r="M924" i="1"/>
  <c r="L924" i="1"/>
  <c r="K924" i="1"/>
  <c r="J924" i="1"/>
  <c r="I924" i="1"/>
  <c r="H924" i="1"/>
  <c r="G924" i="1"/>
  <c r="R923" i="1"/>
  <c r="Q923" i="1"/>
  <c r="P923" i="1"/>
  <c r="O923" i="1"/>
  <c r="N923" i="1"/>
  <c r="M923" i="1"/>
  <c r="L923" i="1"/>
  <c r="K923" i="1"/>
  <c r="J923" i="1"/>
  <c r="I923" i="1"/>
  <c r="H923" i="1"/>
  <c r="G923" i="1"/>
  <c r="R922" i="1"/>
  <c r="Q922" i="1"/>
  <c r="P922" i="1"/>
  <c r="O922" i="1"/>
  <c r="N922" i="1"/>
  <c r="M922" i="1"/>
  <c r="L922" i="1"/>
  <c r="K922" i="1"/>
  <c r="J922" i="1"/>
  <c r="I922" i="1"/>
  <c r="H922" i="1"/>
  <c r="G922" i="1"/>
  <c r="R921" i="1"/>
  <c r="Q921" i="1"/>
  <c r="P921" i="1"/>
  <c r="O921" i="1"/>
  <c r="N921" i="1"/>
  <c r="M921" i="1"/>
  <c r="L921" i="1"/>
  <c r="K921" i="1"/>
  <c r="J921" i="1"/>
  <c r="I921" i="1"/>
  <c r="H921" i="1"/>
  <c r="G921" i="1"/>
  <c r="R920" i="1"/>
  <c r="Q920" i="1"/>
  <c r="P920" i="1"/>
  <c r="O920" i="1"/>
  <c r="N920" i="1"/>
  <c r="M920" i="1"/>
  <c r="L920" i="1"/>
  <c r="K920" i="1"/>
  <c r="J920" i="1"/>
  <c r="I920" i="1"/>
  <c r="H920" i="1"/>
  <c r="G920" i="1"/>
  <c r="R919" i="1"/>
  <c r="Q919" i="1"/>
  <c r="P919" i="1"/>
  <c r="O919" i="1"/>
  <c r="N919" i="1"/>
  <c r="M919" i="1"/>
  <c r="L919" i="1"/>
  <c r="K919" i="1"/>
  <c r="J919" i="1"/>
  <c r="I919" i="1"/>
  <c r="H919" i="1"/>
  <c r="G919" i="1"/>
  <c r="R918" i="1"/>
  <c r="Q918" i="1"/>
  <c r="P918" i="1"/>
  <c r="O918" i="1"/>
  <c r="N918" i="1"/>
  <c r="M918" i="1"/>
  <c r="L918" i="1"/>
  <c r="K918" i="1"/>
  <c r="J918" i="1"/>
  <c r="I918" i="1"/>
  <c r="H918" i="1"/>
  <c r="G918" i="1"/>
  <c r="R917" i="1"/>
  <c r="Q917" i="1"/>
  <c r="P917" i="1"/>
  <c r="O917" i="1"/>
  <c r="N917" i="1"/>
  <c r="M917" i="1"/>
  <c r="L917" i="1"/>
  <c r="K917" i="1"/>
  <c r="J917" i="1"/>
  <c r="I917" i="1"/>
  <c r="H917" i="1"/>
  <c r="G917" i="1"/>
  <c r="R916" i="1"/>
  <c r="Q916" i="1"/>
  <c r="P916" i="1"/>
  <c r="O916" i="1"/>
  <c r="N916" i="1"/>
  <c r="M916" i="1"/>
  <c r="L916" i="1"/>
  <c r="K916" i="1"/>
  <c r="J916" i="1"/>
  <c r="I916" i="1"/>
  <c r="H916" i="1"/>
  <c r="G916" i="1"/>
  <c r="R915" i="1"/>
  <c r="Q915" i="1"/>
  <c r="P915" i="1"/>
  <c r="O915" i="1"/>
  <c r="N915" i="1"/>
  <c r="M915" i="1"/>
  <c r="L915" i="1"/>
  <c r="K915" i="1"/>
  <c r="J915" i="1"/>
  <c r="I915" i="1"/>
  <c r="H915" i="1"/>
  <c r="G915" i="1"/>
  <c r="R914" i="1"/>
  <c r="Q914" i="1"/>
  <c r="P914" i="1"/>
  <c r="O914" i="1"/>
  <c r="N914" i="1"/>
  <c r="M914" i="1"/>
  <c r="L914" i="1"/>
  <c r="K914" i="1"/>
  <c r="J914" i="1"/>
  <c r="I914" i="1"/>
  <c r="H914" i="1"/>
  <c r="G914" i="1"/>
  <c r="R913" i="1"/>
  <c r="Q913" i="1"/>
  <c r="P913" i="1"/>
  <c r="O913" i="1"/>
  <c r="N913" i="1"/>
  <c r="M913" i="1"/>
  <c r="L913" i="1"/>
  <c r="K913" i="1"/>
  <c r="J913" i="1"/>
  <c r="I913" i="1"/>
  <c r="H913" i="1"/>
  <c r="G913" i="1"/>
  <c r="R912" i="1"/>
  <c r="Q912" i="1"/>
  <c r="P912" i="1"/>
  <c r="O912" i="1"/>
  <c r="N912" i="1"/>
  <c r="M912" i="1"/>
  <c r="L912" i="1"/>
  <c r="K912" i="1"/>
  <c r="J912" i="1"/>
  <c r="I912" i="1"/>
  <c r="H912" i="1"/>
  <c r="G912" i="1"/>
  <c r="R911" i="1"/>
  <c r="Q911" i="1"/>
  <c r="P911" i="1"/>
  <c r="O911" i="1"/>
  <c r="N911" i="1"/>
  <c r="M911" i="1"/>
  <c r="L911" i="1"/>
  <c r="K911" i="1"/>
  <c r="J911" i="1"/>
  <c r="I911" i="1"/>
  <c r="H911" i="1"/>
  <c r="G911" i="1"/>
  <c r="R910" i="1"/>
  <c r="Q910" i="1"/>
  <c r="P910" i="1"/>
  <c r="O910" i="1"/>
  <c r="N910" i="1"/>
  <c r="M910" i="1"/>
  <c r="L910" i="1"/>
  <c r="K910" i="1"/>
  <c r="J910" i="1"/>
  <c r="I910" i="1"/>
  <c r="H910" i="1"/>
  <c r="G910" i="1"/>
  <c r="R909" i="1"/>
  <c r="Q909" i="1"/>
  <c r="P909" i="1"/>
  <c r="O909" i="1"/>
  <c r="N909" i="1"/>
  <c r="M909" i="1"/>
  <c r="L909" i="1"/>
  <c r="K909" i="1"/>
  <c r="J909" i="1"/>
  <c r="I909" i="1"/>
  <c r="H909" i="1"/>
  <c r="G909" i="1"/>
  <c r="R908" i="1"/>
  <c r="Q908" i="1"/>
  <c r="P908" i="1"/>
  <c r="O908" i="1"/>
  <c r="N908" i="1"/>
  <c r="M908" i="1"/>
  <c r="L908" i="1"/>
  <c r="K908" i="1"/>
  <c r="J908" i="1"/>
  <c r="I908" i="1"/>
  <c r="H908" i="1"/>
  <c r="G908" i="1"/>
  <c r="R907" i="1"/>
  <c r="Q907" i="1"/>
  <c r="P907" i="1"/>
  <c r="O907" i="1"/>
  <c r="N907" i="1"/>
  <c r="M907" i="1"/>
  <c r="L907" i="1"/>
  <c r="K907" i="1"/>
  <c r="J907" i="1"/>
  <c r="I907" i="1"/>
  <c r="H907" i="1"/>
  <c r="G907" i="1"/>
  <c r="R906" i="1"/>
  <c r="Q906" i="1"/>
  <c r="P906" i="1"/>
  <c r="O906" i="1"/>
  <c r="N906" i="1"/>
  <c r="M906" i="1"/>
  <c r="L906" i="1"/>
  <c r="K906" i="1"/>
  <c r="J906" i="1"/>
  <c r="I906" i="1"/>
  <c r="H906" i="1"/>
  <c r="G906" i="1"/>
  <c r="R905" i="1"/>
  <c r="Q905" i="1"/>
  <c r="P905" i="1"/>
  <c r="O905" i="1"/>
  <c r="N905" i="1"/>
  <c r="M905" i="1"/>
  <c r="L905" i="1"/>
  <c r="K905" i="1"/>
  <c r="J905" i="1"/>
  <c r="I905" i="1"/>
  <c r="H905" i="1"/>
  <c r="G905" i="1"/>
  <c r="R904" i="1"/>
  <c r="Q904" i="1"/>
  <c r="P904" i="1"/>
  <c r="O904" i="1"/>
  <c r="N904" i="1"/>
  <c r="M904" i="1"/>
  <c r="L904" i="1"/>
  <c r="K904" i="1"/>
  <c r="J904" i="1"/>
  <c r="I904" i="1"/>
  <c r="H904" i="1"/>
  <c r="G904" i="1"/>
  <c r="R903" i="1"/>
  <c r="Q903" i="1"/>
  <c r="P903" i="1"/>
  <c r="O903" i="1"/>
  <c r="N903" i="1"/>
  <c r="M903" i="1"/>
  <c r="L903" i="1"/>
  <c r="K903" i="1"/>
  <c r="J903" i="1"/>
  <c r="I903" i="1"/>
  <c r="H903" i="1"/>
  <c r="G903" i="1"/>
  <c r="R902" i="1"/>
  <c r="Q902" i="1"/>
  <c r="P902" i="1"/>
  <c r="O902" i="1"/>
  <c r="N902" i="1"/>
  <c r="M902" i="1"/>
  <c r="L902" i="1"/>
  <c r="K902" i="1"/>
  <c r="J902" i="1"/>
  <c r="I902" i="1"/>
  <c r="H902" i="1"/>
  <c r="G902" i="1"/>
  <c r="R901" i="1"/>
  <c r="Q901" i="1"/>
  <c r="P901" i="1"/>
  <c r="O901" i="1"/>
  <c r="N901" i="1"/>
  <c r="M901" i="1"/>
  <c r="L901" i="1"/>
  <c r="K901" i="1"/>
  <c r="J901" i="1"/>
  <c r="I901" i="1"/>
  <c r="H901" i="1"/>
  <c r="G901" i="1"/>
  <c r="R900" i="1"/>
  <c r="Q900" i="1"/>
  <c r="P900" i="1"/>
  <c r="O900" i="1"/>
  <c r="N900" i="1"/>
  <c r="M900" i="1"/>
  <c r="L900" i="1"/>
  <c r="K900" i="1"/>
  <c r="J900" i="1"/>
  <c r="I900" i="1"/>
  <c r="H900" i="1"/>
  <c r="G900" i="1"/>
  <c r="R899" i="1"/>
  <c r="Q899" i="1"/>
  <c r="P899" i="1"/>
  <c r="O899" i="1"/>
  <c r="N899" i="1"/>
  <c r="M899" i="1"/>
  <c r="L899" i="1"/>
  <c r="K899" i="1"/>
  <c r="J899" i="1"/>
  <c r="I899" i="1"/>
  <c r="H899" i="1"/>
  <c r="G899" i="1"/>
  <c r="R898" i="1"/>
  <c r="Q898" i="1"/>
  <c r="P898" i="1"/>
  <c r="O898" i="1"/>
  <c r="N898" i="1"/>
  <c r="M898" i="1"/>
  <c r="L898" i="1"/>
  <c r="K898" i="1"/>
  <c r="J898" i="1"/>
  <c r="I898" i="1"/>
  <c r="H898" i="1"/>
  <c r="G898" i="1"/>
  <c r="R897" i="1"/>
  <c r="Q897" i="1"/>
  <c r="P897" i="1"/>
  <c r="O897" i="1"/>
  <c r="N897" i="1"/>
  <c r="M897" i="1"/>
  <c r="L897" i="1"/>
  <c r="K897" i="1"/>
  <c r="J897" i="1"/>
  <c r="I897" i="1"/>
  <c r="H897" i="1"/>
  <c r="G897" i="1"/>
  <c r="R896" i="1"/>
  <c r="Q896" i="1"/>
  <c r="N896" i="1"/>
  <c r="M896" i="1"/>
  <c r="L896" i="1"/>
  <c r="K896" i="1"/>
  <c r="J896" i="1"/>
  <c r="I896" i="1"/>
  <c r="H896" i="1"/>
  <c r="G896" i="1"/>
  <c r="R895" i="1"/>
  <c r="Q895" i="1"/>
  <c r="N895" i="1"/>
  <c r="M895" i="1"/>
  <c r="L895" i="1"/>
  <c r="K895" i="1"/>
  <c r="J895" i="1"/>
  <c r="I895" i="1"/>
  <c r="H895" i="1"/>
  <c r="G895" i="1"/>
  <c r="R894" i="1"/>
  <c r="Q894" i="1"/>
  <c r="N894" i="1"/>
  <c r="M894" i="1"/>
  <c r="L894" i="1"/>
  <c r="K894" i="1"/>
  <c r="J894" i="1"/>
  <c r="I894" i="1"/>
  <c r="H894" i="1"/>
  <c r="G894" i="1"/>
  <c r="R893" i="1"/>
  <c r="Q893" i="1"/>
  <c r="N893" i="1"/>
  <c r="M893" i="1"/>
  <c r="L893" i="1"/>
  <c r="K893" i="1"/>
  <c r="J893" i="1"/>
  <c r="I893" i="1"/>
  <c r="H893" i="1"/>
  <c r="G893" i="1"/>
  <c r="R892" i="1"/>
  <c r="Q892" i="1"/>
  <c r="N892" i="1"/>
  <c r="M892" i="1"/>
  <c r="L892" i="1"/>
  <c r="K892" i="1"/>
  <c r="J892" i="1"/>
  <c r="I892" i="1"/>
  <c r="H892" i="1"/>
  <c r="G892" i="1"/>
  <c r="R891" i="1"/>
  <c r="Q891" i="1"/>
  <c r="N891" i="1"/>
  <c r="M891" i="1"/>
  <c r="L891" i="1"/>
  <c r="K891" i="1"/>
  <c r="J891" i="1"/>
  <c r="I891" i="1"/>
  <c r="H891" i="1"/>
  <c r="G891" i="1"/>
  <c r="R890" i="1"/>
  <c r="Q890" i="1"/>
  <c r="N890" i="1"/>
  <c r="M890" i="1"/>
  <c r="L890" i="1"/>
  <c r="K890" i="1"/>
  <c r="J890" i="1"/>
  <c r="I890" i="1"/>
  <c r="H890" i="1"/>
  <c r="G890" i="1"/>
  <c r="R889" i="1"/>
  <c r="Q889" i="1"/>
  <c r="N889" i="1"/>
  <c r="M889" i="1"/>
  <c r="L889" i="1"/>
  <c r="K889" i="1"/>
  <c r="J889" i="1"/>
  <c r="I889" i="1"/>
  <c r="H889" i="1"/>
  <c r="G889" i="1"/>
  <c r="R888" i="1"/>
  <c r="Q888" i="1"/>
  <c r="N888" i="1"/>
  <c r="M888" i="1"/>
  <c r="L888" i="1"/>
  <c r="K888" i="1"/>
  <c r="J888" i="1"/>
  <c r="I888" i="1"/>
  <c r="H888" i="1"/>
  <c r="G888" i="1"/>
  <c r="R887" i="1"/>
  <c r="Q887" i="1"/>
  <c r="N887" i="1"/>
  <c r="M887" i="1"/>
  <c r="L887" i="1"/>
  <c r="K887" i="1"/>
  <c r="J887" i="1"/>
  <c r="I887" i="1"/>
  <c r="H887" i="1"/>
  <c r="G887" i="1"/>
  <c r="R886" i="1"/>
  <c r="Q886" i="1"/>
  <c r="N886" i="1"/>
  <c r="M886" i="1"/>
  <c r="L886" i="1"/>
  <c r="K886" i="1"/>
  <c r="J886" i="1"/>
  <c r="I886" i="1"/>
  <c r="H886" i="1"/>
  <c r="G886" i="1"/>
  <c r="R885" i="1"/>
  <c r="Q885" i="1"/>
  <c r="N885" i="1"/>
  <c r="M885" i="1"/>
  <c r="L885" i="1"/>
  <c r="K885" i="1"/>
  <c r="J885" i="1"/>
  <c r="I885" i="1"/>
  <c r="H885" i="1"/>
  <c r="G885" i="1"/>
  <c r="R884" i="1"/>
  <c r="Q884" i="1"/>
  <c r="N884" i="1"/>
  <c r="M884" i="1"/>
  <c r="L884" i="1"/>
  <c r="K884" i="1"/>
  <c r="J884" i="1"/>
  <c r="I884" i="1"/>
  <c r="H884" i="1"/>
  <c r="G884" i="1"/>
  <c r="R883" i="1"/>
  <c r="Q883" i="1"/>
  <c r="N883" i="1"/>
  <c r="M883" i="1"/>
  <c r="L883" i="1"/>
  <c r="K883" i="1"/>
  <c r="J883" i="1"/>
  <c r="I883" i="1"/>
  <c r="H883" i="1"/>
  <c r="G883" i="1"/>
  <c r="R882" i="1"/>
  <c r="Q882" i="1"/>
  <c r="N882" i="1"/>
  <c r="M882" i="1"/>
  <c r="L882" i="1"/>
  <c r="K882" i="1"/>
  <c r="J882" i="1"/>
  <c r="I882" i="1"/>
  <c r="H882" i="1"/>
  <c r="G882" i="1"/>
  <c r="R881" i="1"/>
  <c r="Q881" i="1"/>
  <c r="N881" i="1"/>
  <c r="M881" i="1"/>
  <c r="L881" i="1"/>
  <c r="K881" i="1"/>
  <c r="J881" i="1"/>
  <c r="I881" i="1"/>
  <c r="H881" i="1"/>
  <c r="G881" i="1"/>
  <c r="R880" i="1"/>
  <c r="Q880" i="1"/>
  <c r="N880" i="1"/>
  <c r="M880" i="1"/>
  <c r="L880" i="1"/>
  <c r="K880" i="1"/>
  <c r="J880" i="1"/>
  <c r="I880" i="1"/>
  <c r="H880" i="1"/>
  <c r="G880" i="1"/>
  <c r="R879" i="1"/>
  <c r="Q879" i="1"/>
  <c r="N879" i="1"/>
  <c r="M879" i="1"/>
  <c r="L879" i="1"/>
  <c r="K879" i="1"/>
  <c r="J879" i="1"/>
  <c r="I879" i="1"/>
  <c r="H879" i="1"/>
  <c r="G879" i="1"/>
  <c r="R878" i="1"/>
  <c r="Q878" i="1"/>
  <c r="N878" i="1"/>
  <c r="M878" i="1"/>
  <c r="L878" i="1"/>
  <c r="K878" i="1"/>
  <c r="J878" i="1"/>
  <c r="I878" i="1"/>
  <c r="H878" i="1"/>
  <c r="G878" i="1"/>
  <c r="R877" i="1"/>
  <c r="Q877" i="1"/>
  <c r="N877" i="1"/>
  <c r="M877" i="1"/>
  <c r="L877" i="1"/>
  <c r="K877" i="1"/>
  <c r="J877" i="1"/>
  <c r="I877" i="1"/>
  <c r="H877" i="1"/>
  <c r="G877" i="1"/>
  <c r="R876" i="1"/>
  <c r="Q876" i="1"/>
  <c r="N876" i="1"/>
  <c r="M876" i="1"/>
  <c r="L876" i="1"/>
  <c r="K876" i="1"/>
  <c r="J876" i="1"/>
  <c r="I876" i="1"/>
  <c r="H876" i="1"/>
  <c r="G876" i="1"/>
  <c r="R875" i="1"/>
  <c r="Q875" i="1"/>
  <c r="N875" i="1"/>
  <c r="M875" i="1"/>
  <c r="L875" i="1"/>
  <c r="K875" i="1"/>
  <c r="J875" i="1"/>
  <c r="I875" i="1"/>
  <c r="H875" i="1"/>
  <c r="G875" i="1"/>
  <c r="R874" i="1"/>
  <c r="Q874" i="1"/>
  <c r="N874" i="1"/>
  <c r="M874" i="1"/>
  <c r="L874" i="1"/>
  <c r="K874" i="1"/>
  <c r="J874" i="1"/>
  <c r="I874" i="1"/>
  <c r="H874" i="1"/>
  <c r="G874" i="1"/>
  <c r="R873" i="1"/>
  <c r="Q873" i="1"/>
  <c r="N873" i="1"/>
  <c r="M873" i="1"/>
  <c r="L873" i="1"/>
  <c r="K873" i="1"/>
  <c r="J873" i="1"/>
  <c r="I873" i="1"/>
  <c r="H873" i="1"/>
  <c r="G873" i="1"/>
  <c r="R872" i="1"/>
  <c r="Q872" i="1"/>
  <c r="N872" i="1"/>
  <c r="M872" i="1"/>
  <c r="L872" i="1"/>
  <c r="K872" i="1"/>
  <c r="J872" i="1"/>
  <c r="I872" i="1"/>
  <c r="H872" i="1"/>
  <c r="G872" i="1"/>
  <c r="R871" i="1"/>
  <c r="Q871" i="1"/>
  <c r="N871" i="1"/>
  <c r="M871" i="1"/>
  <c r="L871" i="1"/>
  <c r="K871" i="1"/>
  <c r="J871" i="1"/>
  <c r="I871" i="1"/>
  <c r="H871" i="1"/>
  <c r="G871" i="1"/>
  <c r="R870" i="1"/>
  <c r="Q870" i="1"/>
  <c r="N870" i="1"/>
  <c r="M870" i="1"/>
  <c r="L870" i="1"/>
  <c r="K870" i="1"/>
  <c r="J870" i="1"/>
  <c r="I870" i="1"/>
  <c r="H870" i="1"/>
  <c r="G870" i="1"/>
  <c r="R869" i="1"/>
  <c r="Q869" i="1"/>
  <c r="N869" i="1"/>
  <c r="M869" i="1"/>
  <c r="L869" i="1"/>
  <c r="K869" i="1"/>
  <c r="J869" i="1"/>
  <c r="I869" i="1"/>
  <c r="H869" i="1"/>
  <c r="G869" i="1"/>
  <c r="R868" i="1"/>
  <c r="Q868" i="1"/>
  <c r="N868" i="1"/>
  <c r="M868" i="1"/>
  <c r="L868" i="1"/>
  <c r="K868" i="1"/>
  <c r="J868" i="1"/>
  <c r="I868" i="1"/>
  <c r="H868" i="1"/>
  <c r="G868" i="1"/>
  <c r="R867" i="1"/>
  <c r="Q867" i="1"/>
  <c r="N867" i="1"/>
  <c r="M867" i="1"/>
  <c r="L867" i="1"/>
  <c r="K867" i="1"/>
  <c r="J867" i="1"/>
  <c r="I867" i="1"/>
  <c r="H867" i="1"/>
  <c r="G867" i="1"/>
  <c r="R866" i="1"/>
  <c r="Q866" i="1"/>
  <c r="N866" i="1"/>
  <c r="M866" i="1"/>
  <c r="L866" i="1"/>
  <c r="K866" i="1"/>
  <c r="J866" i="1"/>
  <c r="I866" i="1"/>
  <c r="H866" i="1"/>
  <c r="G866" i="1"/>
  <c r="R865" i="1"/>
  <c r="Q865" i="1"/>
  <c r="N865" i="1"/>
  <c r="M865" i="1"/>
  <c r="L865" i="1"/>
  <c r="K865" i="1"/>
  <c r="J865" i="1"/>
  <c r="I865" i="1"/>
  <c r="H865" i="1"/>
  <c r="G865" i="1"/>
  <c r="R864" i="1"/>
  <c r="Q864" i="1"/>
  <c r="N864" i="1"/>
  <c r="M864" i="1"/>
  <c r="L864" i="1"/>
  <c r="K864" i="1"/>
  <c r="J864" i="1"/>
  <c r="I864" i="1"/>
  <c r="H864" i="1"/>
  <c r="G864" i="1"/>
  <c r="R863" i="1"/>
  <c r="Q863" i="1"/>
  <c r="N863" i="1"/>
  <c r="M863" i="1"/>
  <c r="L863" i="1"/>
  <c r="K863" i="1"/>
  <c r="J863" i="1"/>
  <c r="I863" i="1"/>
  <c r="H863" i="1"/>
  <c r="G863" i="1"/>
  <c r="R862" i="1"/>
  <c r="Q862" i="1"/>
  <c r="N862" i="1"/>
  <c r="M862" i="1"/>
  <c r="L862" i="1"/>
  <c r="K862" i="1"/>
  <c r="J862" i="1"/>
  <c r="I862" i="1"/>
  <c r="H862" i="1"/>
  <c r="G862" i="1"/>
  <c r="R861" i="1"/>
  <c r="Q861" i="1"/>
  <c r="N861" i="1"/>
  <c r="M861" i="1"/>
  <c r="L861" i="1"/>
  <c r="K861" i="1"/>
  <c r="J861" i="1"/>
  <c r="I861" i="1"/>
  <c r="H861" i="1"/>
  <c r="G861" i="1"/>
  <c r="R860" i="1"/>
  <c r="Q860" i="1"/>
  <c r="N860" i="1"/>
  <c r="M860" i="1"/>
  <c r="L860" i="1"/>
  <c r="K860" i="1"/>
  <c r="J860" i="1"/>
  <c r="I860" i="1"/>
  <c r="H860" i="1"/>
  <c r="G860" i="1"/>
  <c r="R859" i="1"/>
  <c r="Q859" i="1"/>
  <c r="N859" i="1"/>
  <c r="M859" i="1"/>
  <c r="L859" i="1"/>
  <c r="K859" i="1"/>
  <c r="J859" i="1"/>
  <c r="I859" i="1"/>
  <c r="H859" i="1"/>
  <c r="G859" i="1"/>
  <c r="R858" i="1"/>
  <c r="Q858" i="1"/>
  <c r="N858" i="1"/>
  <c r="M858" i="1"/>
  <c r="L858" i="1"/>
  <c r="K858" i="1"/>
  <c r="J858" i="1"/>
  <c r="I858" i="1"/>
  <c r="H858" i="1"/>
  <c r="G858" i="1"/>
  <c r="R857" i="1"/>
  <c r="Q857" i="1"/>
  <c r="N857" i="1"/>
  <c r="M857" i="1"/>
  <c r="L857" i="1"/>
  <c r="K857" i="1"/>
  <c r="J857" i="1"/>
  <c r="I857" i="1"/>
  <c r="H857" i="1"/>
  <c r="G857" i="1"/>
  <c r="R856" i="1"/>
  <c r="Q856" i="1"/>
  <c r="N856" i="1"/>
  <c r="M856" i="1"/>
  <c r="L856" i="1"/>
  <c r="K856" i="1"/>
  <c r="J856" i="1"/>
  <c r="I856" i="1"/>
  <c r="H856" i="1"/>
  <c r="G856" i="1"/>
  <c r="R855" i="1"/>
  <c r="Q855" i="1"/>
  <c r="N855" i="1"/>
  <c r="M855" i="1"/>
  <c r="L855" i="1"/>
  <c r="K855" i="1"/>
  <c r="J855" i="1"/>
  <c r="I855" i="1"/>
  <c r="H855" i="1"/>
  <c r="G855" i="1"/>
  <c r="R854" i="1"/>
  <c r="Q854" i="1"/>
  <c r="N854" i="1"/>
  <c r="M854" i="1"/>
  <c r="L854" i="1"/>
  <c r="K854" i="1"/>
  <c r="J854" i="1"/>
  <c r="I854" i="1"/>
  <c r="H854" i="1"/>
  <c r="G854" i="1"/>
  <c r="R853" i="1"/>
  <c r="Q853" i="1"/>
  <c r="N853" i="1"/>
  <c r="M853" i="1"/>
  <c r="L853" i="1"/>
  <c r="K853" i="1"/>
  <c r="J853" i="1"/>
  <c r="I853" i="1"/>
  <c r="H853" i="1"/>
  <c r="G853" i="1"/>
  <c r="R852" i="1"/>
  <c r="Q852" i="1"/>
  <c r="N852" i="1"/>
  <c r="M852" i="1"/>
  <c r="L852" i="1"/>
  <c r="K852" i="1"/>
  <c r="J852" i="1"/>
  <c r="I852" i="1"/>
  <c r="H852" i="1"/>
  <c r="G852" i="1"/>
  <c r="R851" i="1"/>
  <c r="Q851" i="1"/>
  <c r="N851" i="1"/>
  <c r="M851" i="1"/>
  <c r="L851" i="1"/>
  <c r="K851" i="1"/>
  <c r="J851" i="1"/>
  <c r="I851" i="1"/>
  <c r="H851" i="1"/>
  <c r="G851" i="1"/>
  <c r="R850" i="1"/>
  <c r="Q850" i="1"/>
  <c r="N850" i="1"/>
  <c r="M850" i="1"/>
  <c r="L850" i="1"/>
  <c r="K850" i="1"/>
  <c r="J850" i="1"/>
  <c r="I850" i="1"/>
  <c r="H850" i="1"/>
  <c r="G850" i="1"/>
  <c r="R849" i="1"/>
  <c r="Q849" i="1"/>
  <c r="N849" i="1"/>
  <c r="M849" i="1"/>
  <c r="L849" i="1"/>
  <c r="K849" i="1"/>
  <c r="J849" i="1"/>
  <c r="I849" i="1"/>
  <c r="H849" i="1"/>
  <c r="G849" i="1"/>
  <c r="R848" i="1"/>
  <c r="Q848" i="1"/>
  <c r="N848" i="1"/>
  <c r="M848" i="1"/>
  <c r="L848" i="1"/>
  <c r="K848" i="1"/>
  <c r="J848" i="1"/>
  <c r="I848" i="1"/>
  <c r="H848" i="1"/>
  <c r="G848" i="1"/>
  <c r="R847" i="1"/>
  <c r="Q847" i="1"/>
  <c r="N847" i="1"/>
  <c r="M847" i="1"/>
  <c r="L847" i="1"/>
  <c r="K847" i="1"/>
  <c r="J847" i="1"/>
  <c r="I847" i="1"/>
  <c r="H847" i="1"/>
  <c r="G847" i="1"/>
  <c r="R846" i="1"/>
  <c r="Q846" i="1"/>
  <c r="N846" i="1"/>
  <c r="M846" i="1"/>
  <c r="L846" i="1"/>
  <c r="K846" i="1"/>
  <c r="J846" i="1"/>
  <c r="I846" i="1"/>
  <c r="H846" i="1"/>
  <c r="G846" i="1"/>
  <c r="R845" i="1"/>
  <c r="Q845" i="1"/>
  <c r="N845" i="1"/>
  <c r="M845" i="1"/>
  <c r="L845" i="1"/>
  <c r="K845" i="1"/>
  <c r="J845" i="1"/>
  <c r="I845" i="1"/>
  <c r="H845" i="1"/>
  <c r="G845" i="1"/>
  <c r="R844" i="1"/>
  <c r="Q844" i="1"/>
  <c r="N844" i="1"/>
  <c r="M844" i="1"/>
  <c r="L844" i="1"/>
  <c r="K844" i="1"/>
  <c r="J844" i="1"/>
  <c r="I844" i="1"/>
  <c r="H844" i="1"/>
  <c r="G844" i="1"/>
  <c r="R843" i="1"/>
  <c r="Q843" i="1"/>
  <c r="N843" i="1"/>
  <c r="M843" i="1"/>
  <c r="L843" i="1"/>
  <c r="K843" i="1"/>
  <c r="J843" i="1"/>
  <c r="I843" i="1"/>
  <c r="H843" i="1"/>
  <c r="G843" i="1"/>
  <c r="R842" i="1"/>
  <c r="Q842" i="1"/>
  <c r="N842" i="1"/>
  <c r="M842" i="1"/>
  <c r="L842" i="1"/>
  <c r="K842" i="1"/>
  <c r="J842" i="1"/>
  <c r="I842" i="1"/>
  <c r="H842" i="1"/>
  <c r="G842" i="1"/>
  <c r="R841" i="1"/>
  <c r="Q841" i="1"/>
  <c r="N841" i="1"/>
  <c r="M841" i="1"/>
  <c r="L841" i="1"/>
  <c r="K841" i="1"/>
  <c r="J841" i="1"/>
  <c r="I841" i="1"/>
  <c r="H841" i="1"/>
  <c r="G841" i="1"/>
  <c r="R840" i="1"/>
  <c r="Q840" i="1"/>
  <c r="N840" i="1"/>
  <c r="M840" i="1"/>
  <c r="L840" i="1"/>
  <c r="K840" i="1"/>
  <c r="J840" i="1"/>
  <c r="I840" i="1"/>
  <c r="H840" i="1"/>
  <c r="G840" i="1"/>
  <c r="R839" i="1"/>
  <c r="Q839" i="1"/>
  <c r="N839" i="1"/>
  <c r="M839" i="1"/>
  <c r="L839" i="1"/>
  <c r="K839" i="1"/>
  <c r="J839" i="1"/>
  <c r="I839" i="1"/>
  <c r="H839" i="1"/>
  <c r="G839" i="1"/>
  <c r="R838" i="1"/>
  <c r="Q838" i="1"/>
  <c r="N838" i="1"/>
  <c r="M838" i="1"/>
  <c r="L838" i="1"/>
  <c r="K838" i="1"/>
  <c r="J838" i="1"/>
  <c r="I838" i="1"/>
  <c r="H838" i="1"/>
  <c r="G838" i="1"/>
  <c r="R837" i="1"/>
  <c r="Q837" i="1"/>
  <c r="N837" i="1"/>
  <c r="M837" i="1"/>
  <c r="L837" i="1"/>
  <c r="K837" i="1"/>
  <c r="J837" i="1"/>
  <c r="I837" i="1"/>
  <c r="H837" i="1"/>
  <c r="G837" i="1"/>
  <c r="R836" i="1"/>
  <c r="Q836" i="1"/>
  <c r="N836" i="1"/>
  <c r="M836" i="1"/>
  <c r="L836" i="1"/>
  <c r="K836" i="1"/>
  <c r="J836" i="1"/>
  <c r="I836" i="1"/>
  <c r="H836" i="1"/>
  <c r="G836" i="1"/>
  <c r="R835" i="1"/>
  <c r="Q835" i="1"/>
  <c r="N835" i="1"/>
  <c r="M835" i="1"/>
  <c r="L835" i="1"/>
  <c r="K835" i="1"/>
  <c r="J835" i="1"/>
  <c r="I835" i="1"/>
  <c r="H835" i="1"/>
  <c r="G835" i="1"/>
  <c r="R834" i="1"/>
  <c r="Q834" i="1"/>
  <c r="N834" i="1"/>
  <c r="M834" i="1"/>
  <c r="L834" i="1"/>
  <c r="K834" i="1"/>
  <c r="J834" i="1"/>
  <c r="I834" i="1"/>
  <c r="H834" i="1"/>
  <c r="G834" i="1"/>
  <c r="R833" i="1"/>
  <c r="Q833" i="1"/>
  <c r="N833" i="1"/>
  <c r="M833" i="1"/>
  <c r="L833" i="1"/>
  <c r="K833" i="1"/>
  <c r="J833" i="1"/>
  <c r="I833" i="1"/>
  <c r="H833" i="1"/>
  <c r="G833" i="1"/>
  <c r="R832" i="1"/>
  <c r="Q832" i="1"/>
  <c r="N832" i="1"/>
  <c r="M832" i="1"/>
  <c r="L832" i="1"/>
  <c r="K832" i="1"/>
  <c r="J832" i="1"/>
  <c r="I832" i="1"/>
  <c r="H832" i="1"/>
  <c r="G832" i="1"/>
  <c r="R831" i="1"/>
  <c r="Q831" i="1"/>
  <c r="O831" i="1"/>
  <c r="N831" i="1"/>
  <c r="M831" i="1"/>
  <c r="L831" i="1"/>
  <c r="K831" i="1"/>
  <c r="J831" i="1"/>
  <c r="I831" i="1"/>
  <c r="H831" i="1"/>
  <c r="G831" i="1"/>
  <c r="R830" i="1"/>
  <c r="Q830" i="1"/>
  <c r="O830" i="1"/>
  <c r="N830" i="1"/>
  <c r="M830" i="1"/>
  <c r="L830" i="1"/>
  <c r="K830" i="1"/>
  <c r="J830" i="1"/>
  <c r="I830" i="1"/>
  <c r="H830" i="1"/>
  <c r="G830" i="1"/>
  <c r="R829" i="1"/>
  <c r="Q829" i="1"/>
  <c r="O829" i="1"/>
  <c r="N829" i="1"/>
  <c r="M829" i="1"/>
  <c r="L829" i="1"/>
  <c r="K829" i="1"/>
  <c r="J829" i="1"/>
  <c r="I829" i="1"/>
  <c r="H829" i="1"/>
  <c r="G829" i="1"/>
  <c r="R828" i="1"/>
  <c r="Q828" i="1"/>
  <c r="O828" i="1"/>
  <c r="N828" i="1"/>
  <c r="M828" i="1"/>
  <c r="L828" i="1"/>
  <c r="K828" i="1"/>
  <c r="J828" i="1"/>
  <c r="I828" i="1"/>
  <c r="H828" i="1"/>
  <c r="G828" i="1"/>
  <c r="R827" i="1"/>
  <c r="Q827" i="1"/>
  <c r="O827" i="1"/>
  <c r="N827" i="1"/>
  <c r="M827" i="1"/>
  <c r="L827" i="1"/>
  <c r="K827" i="1"/>
  <c r="J827" i="1"/>
  <c r="I827" i="1"/>
  <c r="H827" i="1"/>
  <c r="G827" i="1"/>
  <c r="R826" i="1"/>
  <c r="Q826" i="1"/>
  <c r="O826" i="1"/>
  <c r="N826" i="1"/>
  <c r="M826" i="1"/>
  <c r="L826" i="1"/>
  <c r="K826" i="1"/>
  <c r="J826" i="1"/>
  <c r="I826" i="1"/>
  <c r="H826" i="1"/>
  <c r="G826" i="1"/>
  <c r="R825" i="1"/>
  <c r="Q825" i="1"/>
  <c r="O825" i="1"/>
  <c r="N825" i="1"/>
  <c r="M825" i="1"/>
  <c r="L825" i="1"/>
  <c r="K825" i="1"/>
  <c r="J825" i="1"/>
  <c r="I825" i="1"/>
  <c r="H825" i="1"/>
  <c r="G825" i="1"/>
  <c r="R824" i="1"/>
  <c r="Q824" i="1"/>
  <c r="O824" i="1"/>
  <c r="N824" i="1"/>
  <c r="M824" i="1"/>
  <c r="L824" i="1"/>
  <c r="K824" i="1"/>
  <c r="J824" i="1"/>
  <c r="I824" i="1"/>
  <c r="H824" i="1"/>
  <c r="G824" i="1"/>
  <c r="R823" i="1"/>
  <c r="Q823" i="1"/>
  <c r="O823" i="1"/>
  <c r="N823" i="1"/>
  <c r="M823" i="1"/>
  <c r="L823" i="1"/>
  <c r="K823" i="1"/>
  <c r="J823" i="1"/>
  <c r="I823" i="1"/>
  <c r="H823" i="1"/>
  <c r="G823" i="1"/>
  <c r="R822" i="1"/>
  <c r="Q822" i="1"/>
  <c r="O822" i="1"/>
  <c r="N822" i="1"/>
  <c r="M822" i="1"/>
  <c r="L822" i="1"/>
  <c r="K822" i="1"/>
  <c r="J822" i="1"/>
  <c r="I822" i="1"/>
  <c r="H822" i="1"/>
  <c r="G822" i="1"/>
  <c r="R821" i="1"/>
  <c r="Q821" i="1"/>
  <c r="O821" i="1"/>
  <c r="N821" i="1"/>
  <c r="M821" i="1"/>
  <c r="L821" i="1"/>
  <c r="K821" i="1"/>
  <c r="J821" i="1"/>
  <c r="I821" i="1"/>
  <c r="H821" i="1"/>
  <c r="G821" i="1"/>
  <c r="R820" i="1"/>
  <c r="Q820" i="1"/>
  <c r="O820" i="1"/>
  <c r="N820" i="1"/>
  <c r="M820" i="1"/>
  <c r="L820" i="1"/>
  <c r="K820" i="1"/>
  <c r="J820" i="1"/>
  <c r="I820" i="1"/>
  <c r="H820" i="1"/>
  <c r="G820" i="1"/>
  <c r="R819" i="1"/>
  <c r="Q819" i="1"/>
  <c r="O819" i="1"/>
  <c r="N819" i="1"/>
  <c r="M819" i="1"/>
  <c r="L819" i="1"/>
  <c r="K819" i="1"/>
  <c r="J819" i="1"/>
  <c r="I819" i="1"/>
  <c r="H819" i="1"/>
  <c r="G819" i="1"/>
  <c r="R818" i="1"/>
  <c r="Q818" i="1"/>
  <c r="O818" i="1"/>
  <c r="N818" i="1"/>
  <c r="M818" i="1"/>
  <c r="L818" i="1"/>
  <c r="K818" i="1"/>
  <c r="J818" i="1"/>
  <c r="I818" i="1"/>
  <c r="H818" i="1"/>
  <c r="G818" i="1"/>
  <c r="R817" i="1"/>
  <c r="Q817" i="1"/>
  <c r="O817" i="1"/>
  <c r="N817" i="1"/>
  <c r="M817" i="1"/>
  <c r="L817" i="1"/>
  <c r="K817" i="1"/>
  <c r="J817" i="1"/>
  <c r="I817" i="1"/>
  <c r="H817" i="1"/>
  <c r="G817" i="1"/>
  <c r="R816" i="1"/>
  <c r="Q816" i="1"/>
  <c r="O816" i="1"/>
  <c r="N816" i="1"/>
  <c r="M816" i="1"/>
  <c r="L816" i="1"/>
  <c r="K816" i="1"/>
  <c r="J816" i="1"/>
  <c r="I816" i="1"/>
  <c r="H816" i="1"/>
  <c r="G816" i="1"/>
  <c r="R815" i="1"/>
  <c r="Q815" i="1"/>
  <c r="O815" i="1"/>
  <c r="N815" i="1"/>
  <c r="M815" i="1"/>
  <c r="L815" i="1"/>
  <c r="K815" i="1"/>
  <c r="J815" i="1"/>
  <c r="I815" i="1"/>
  <c r="H815" i="1"/>
  <c r="G815" i="1"/>
  <c r="R814" i="1"/>
  <c r="Q814" i="1"/>
  <c r="O814" i="1"/>
  <c r="N814" i="1"/>
  <c r="M814" i="1"/>
  <c r="L814" i="1"/>
  <c r="K814" i="1"/>
  <c r="J814" i="1"/>
  <c r="I814" i="1"/>
  <c r="H814" i="1"/>
  <c r="G814" i="1"/>
  <c r="R813" i="1"/>
  <c r="Q813" i="1"/>
  <c r="O813" i="1"/>
  <c r="N813" i="1"/>
  <c r="M813" i="1"/>
  <c r="L813" i="1"/>
  <c r="K813" i="1"/>
  <c r="J813" i="1"/>
  <c r="I813" i="1"/>
  <c r="H813" i="1"/>
  <c r="G813" i="1"/>
  <c r="R812" i="1"/>
  <c r="Q812" i="1"/>
  <c r="O812" i="1"/>
  <c r="N812" i="1"/>
  <c r="M812" i="1"/>
  <c r="L812" i="1"/>
  <c r="K812" i="1"/>
  <c r="J812" i="1"/>
  <c r="I812" i="1"/>
  <c r="H812" i="1"/>
  <c r="G812" i="1"/>
  <c r="R811" i="1"/>
  <c r="Q811" i="1"/>
  <c r="O811" i="1"/>
  <c r="N811" i="1"/>
  <c r="M811" i="1"/>
  <c r="L811" i="1"/>
  <c r="K811" i="1"/>
  <c r="J811" i="1"/>
  <c r="I811" i="1"/>
  <c r="H811" i="1"/>
  <c r="G811" i="1"/>
  <c r="R810" i="1"/>
  <c r="Q810" i="1"/>
  <c r="O810" i="1"/>
  <c r="N810" i="1"/>
  <c r="M810" i="1"/>
  <c r="L810" i="1"/>
  <c r="K810" i="1"/>
  <c r="J810" i="1"/>
  <c r="I810" i="1"/>
  <c r="H810" i="1"/>
  <c r="G810" i="1"/>
  <c r="R809" i="1"/>
  <c r="Q809" i="1"/>
  <c r="O809" i="1"/>
  <c r="N809" i="1"/>
  <c r="M809" i="1"/>
  <c r="L809" i="1"/>
  <c r="K809" i="1"/>
  <c r="J809" i="1"/>
  <c r="I809" i="1"/>
  <c r="H809" i="1"/>
  <c r="G809" i="1"/>
  <c r="R808" i="1"/>
  <c r="Q808" i="1"/>
  <c r="O808" i="1"/>
  <c r="N808" i="1"/>
  <c r="M808" i="1"/>
  <c r="L808" i="1"/>
  <c r="K808" i="1"/>
  <c r="J808" i="1"/>
  <c r="I808" i="1"/>
  <c r="H808" i="1"/>
  <c r="G808" i="1"/>
  <c r="R807" i="1"/>
  <c r="Q807" i="1"/>
  <c r="O807" i="1"/>
  <c r="N807" i="1"/>
  <c r="M807" i="1"/>
  <c r="L807" i="1"/>
  <c r="K807" i="1"/>
  <c r="J807" i="1"/>
  <c r="I807" i="1"/>
  <c r="H807" i="1"/>
  <c r="G807" i="1"/>
  <c r="R806" i="1"/>
  <c r="Q806" i="1"/>
  <c r="O806" i="1"/>
  <c r="N806" i="1"/>
  <c r="M806" i="1"/>
  <c r="L806" i="1"/>
  <c r="K806" i="1"/>
  <c r="J806" i="1"/>
  <c r="I806" i="1"/>
  <c r="H806" i="1"/>
  <c r="G806" i="1"/>
  <c r="R805" i="1"/>
  <c r="Q805" i="1"/>
  <c r="O805" i="1"/>
  <c r="N805" i="1"/>
  <c r="M805" i="1"/>
  <c r="L805" i="1"/>
  <c r="K805" i="1"/>
  <c r="J805" i="1"/>
  <c r="I805" i="1"/>
  <c r="H805" i="1"/>
  <c r="G805" i="1"/>
  <c r="R804" i="1"/>
  <c r="Q804" i="1"/>
  <c r="O804" i="1"/>
  <c r="N804" i="1"/>
  <c r="M804" i="1"/>
  <c r="L804" i="1"/>
  <c r="K804" i="1"/>
  <c r="J804" i="1"/>
  <c r="I804" i="1"/>
  <c r="H804" i="1"/>
  <c r="G804" i="1"/>
  <c r="R803" i="1"/>
  <c r="Q803" i="1"/>
  <c r="O803" i="1"/>
  <c r="N803" i="1"/>
  <c r="M803" i="1"/>
  <c r="L803" i="1"/>
  <c r="K803" i="1"/>
  <c r="J803" i="1"/>
  <c r="I803" i="1"/>
  <c r="H803" i="1"/>
  <c r="G803" i="1"/>
  <c r="R802" i="1"/>
  <c r="Q802" i="1"/>
  <c r="O802" i="1"/>
  <c r="N802" i="1"/>
  <c r="M802" i="1"/>
  <c r="L802" i="1"/>
  <c r="K802" i="1"/>
  <c r="J802" i="1"/>
  <c r="I802" i="1"/>
  <c r="H802" i="1"/>
  <c r="G802" i="1"/>
  <c r="R801" i="1"/>
  <c r="Q801" i="1"/>
  <c r="O801" i="1"/>
  <c r="N801" i="1"/>
  <c r="M801" i="1"/>
  <c r="L801" i="1"/>
  <c r="K801" i="1"/>
  <c r="J801" i="1"/>
  <c r="I801" i="1"/>
  <c r="H801" i="1"/>
  <c r="G801" i="1"/>
  <c r="R800" i="1"/>
  <c r="Q800" i="1"/>
  <c r="O800" i="1"/>
  <c r="N800" i="1"/>
  <c r="M800" i="1"/>
  <c r="L800" i="1"/>
  <c r="K800" i="1"/>
  <c r="J800" i="1"/>
  <c r="I800" i="1"/>
  <c r="H800" i="1"/>
  <c r="G800" i="1"/>
  <c r="R799" i="1"/>
  <c r="Q799" i="1"/>
  <c r="O799" i="1"/>
  <c r="N799" i="1"/>
  <c r="M799" i="1"/>
  <c r="L799" i="1"/>
  <c r="K799" i="1"/>
  <c r="J799" i="1"/>
  <c r="I799" i="1"/>
  <c r="H799" i="1"/>
  <c r="G799" i="1"/>
  <c r="R798" i="1"/>
  <c r="Q798" i="1"/>
  <c r="O798" i="1"/>
  <c r="N798" i="1"/>
  <c r="M798" i="1"/>
  <c r="L798" i="1"/>
  <c r="K798" i="1"/>
  <c r="J798" i="1"/>
  <c r="I798" i="1"/>
  <c r="H798" i="1"/>
  <c r="G798" i="1"/>
  <c r="R797" i="1"/>
  <c r="Q797" i="1"/>
  <c r="O797" i="1"/>
  <c r="N797" i="1"/>
  <c r="M797" i="1"/>
  <c r="L797" i="1"/>
  <c r="K797" i="1"/>
  <c r="J797" i="1"/>
  <c r="I797" i="1"/>
  <c r="H797" i="1"/>
  <c r="G797" i="1"/>
  <c r="R796" i="1"/>
  <c r="Q796" i="1"/>
  <c r="O796" i="1"/>
  <c r="N796" i="1"/>
  <c r="M796" i="1"/>
  <c r="L796" i="1"/>
  <c r="K796" i="1"/>
  <c r="J796" i="1"/>
  <c r="I796" i="1"/>
  <c r="H796" i="1"/>
  <c r="G796" i="1"/>
  <c r="R795" i="1"/>
  <c r="Q795" i="1"/>
  <c r="O795" i="1"/>
  <c r="N795" i="1"/>
  <c r="M795" i="1"/>
  <c r="L795" i="1"/>
  <c r="K795" i="1"/>
  <c r="J795" i="1"/>
  <c r="I795" i="1"/>
  <c r="H795" i="1"/>
  <c r="G795" i="1"/>
  <c r="R794" i="1"/>
  <c r="Q794" i="1"/>
  <c r="O794" i="1"/>
  <c r="N794" i="1"/>
  <c r="M794" i="1"/>
  <c r="L794" i="1"/>
  <c r="K794" i="1"/>
  <c r="J794" i="1"/>
  <c r="I794" i="1"/>
  <c r="H794" i="1"/>
  <c r="G794" i="1"/>
  <c r="R793" i="1"/>
  <c r="Q793" i="1"/>
  <c r="O793" i="1"/>
  <c r="N793" i="1"/>
  <c r="M793" i="1"/>
  <c r="L793" i="1"/>
  <c r="K793" i="1"/>
  <c r="J793" i="1"/>
  <c r="I793" i="1"/>
  <c r="H793" i="1"/>
  <c r="G793" i="1"/>
  <c r="R792" i="1"/>
  <c r="Q792" i="1"/>
  <c r="O792" i="1"/>
  <c r="N792" i="1"/>
  <c r="M792" i="1"/>
  <c r="L792" i="1"/>
  <c r="K792" i="1"/>
  <c r="J792" i="1"/>
  <c r="I792" i="1"/>
  <c r="H792" i="1"/>
  <c r="G792" i="1"/>
  <c r="R791" i="1"/>
  <c r="Q791" i="1"/>
  <c r="O791" i="1"/>
  <c r="N791" i="1"/>
  <c r="M791" i="1"/>
  <c r="L791" i="1"/>
  <c r="K791" i="1"/>
  <c r="J791" i="1"/>
  <c r="I791" i="1"/>
  <c r="H791" i="1"/>
  <c r="G791" i="1"/>
  <c r="R790" i="1"/>
  <c r="Q790" i="1"/>
  <c r="O790" i="1"/>
  <c r="N790" i="1"/>
  <c r="M790" i="1"/>
  <c r="L790" i="1"/>
  <c r="K790" i="1"/>
  <c r="J790" i="1"/>
  <c r="I790" i="1"/>
  <c r="H790" i="1"/>
  <c r="G790" i="1"/>
  <c r="R789" i="1"/>
  <c r="Q789" i="1"/>
  <c r="O789" i="1"/>
  <c r="N789" i="1"/>
  <c r="M789" i="1"/>
  <c r="L789" i="1"/>
  <c r="K789" i="1"/>
  <c r="J789" i="1"/>
  <c r="I789" i="1"/>
  <c r="H789" i="1"/>
  <c r="G789" i="1"/>
  <c r="R788" i="1"/>
  <c r="Q788" i="1"/>
  <c r="O788" i="1"/>
  <c r="N788" i="1"/>
  <c r="M788" i="1"/>
  <c r="L788" i="1"/>
  <c r="K788" i="1"/>
  <c r="J788" i="1"/>
  <c r="I788" i="1"/>
  <c r="H788" i="1"/>
  <c r="G788" i="1"/>
  <c r="R787" i="1"/>
  <c r="Q787" i="1"/>
  <c r="O787" i="1"/>
  <c r="N787" i="1"/>
  <c r="M787" i="1"/>
  <c r="L787" i="1"/>
  <c r="K787" i="1"/>
  <c r="J787" i="1"/>
  <c r="I787" i="1"/>
  <c r="H787" i="1"/>
  <c r="G787" i="1"/>
  <c r="R786" i="1"/>
  <c r="Q786" i="1"/>
  <c r="O786" i="1"/>
  <c r="N786" i="1"/>
  <c r="M786" i="1"/>
  <c r="L786" i="1"/>
  <c r="K786" i="1"/>
  <c r="J786" i="1"/>
  <c r="I786" i="1"/>
  <c r="H786" i="1"/>
  <c r="G786" i="1"/>
  <c r="R785" i="1"/>
  <c r="Q785" i="1"/>
  <c r="O785" i="1"/>
  <c r="N785" i="1"/>
  <c r="M785" i="1"/>
  <c r="L785" i="1"/>
  <c r="K785" i="1"/>
  <c r="J785" i="1"/>
  <c r="I785" i="1"/>
  <c r="H785" i="1"/>
  <c r="G785" i="1"/>
  <c r="R784" i="1"/>
  <c r="Q784" i="1"/>
  <c r="O784" i="1"/>
  <c r="N784" i="1"/>
  <c r="M784" i="1"/>
  <c r="L784" i="1"/>
  <c r="K784" i="1"/>
  <c r="J784" i="1"/>
  <c r="I784" i="1"/>
  <c r="H784" i="1"/>
  <c r="G784" i="1"/>
  <c r="R783" i="1"/>
  <c r="Q783" i="1"/>
  <c r="O783" i="1"/>
  <c r="N783" i="1"/>
  <c r="M783" i="1"/>
  <c r="L783" i="1"/>
  <c r="K783" i="1"/>
  <c r="J783" i="1"/>
  <c r="I783" i="1"/>
  <c r="H783" i="1"/>
  <c r="G783" i="1"/>
  <c r="R782" i="1"/>
  <c r="Q782" i="1"/>
  <c r="O782" i="1"/>
  <c r="N782" i="1"/>
  <c r="M782" i="1"/>
  <c r="L782" i="1"/>
  <c r="K782" i="1"/>
  <c r="J782" i="1"/>
  <c r="I782" i="1"/>
  <c r="H782" i="1"/>
  <c r="G782" i="1"/>
  <c r="R781" i="1"/>
  <c r="Q781" i="1"/>
  <c r="O781" i="1"/>
  <c r="N781" i="1"/>
  <c r="M781" i="1"/>
  <c r="L781" i="1"/>
  <c r="K781" i="1"/>
  <c r="J781" i="1"/>
  <c r="I781" i="1"/>
  <c r="H781" i="1"/>
  <c r="G781" i="1"/>
  <c r="R780" i="1"/>
  <c r="Q780" i="1"/>
  <c r="O780" i="1"/>
  <c r="N780" i="1"/>
  <c r="M780" i="1"/>
  <c r="L780" i="1"/>
  <c r="K780" i="1"/>
  <c r="J780" i="1"/>
  <c r="I780" i="1"/>
  <c r="H780" i="1"/>
  <c r="G780" i="1"/>
  <c r="R779" i="1"/>
  <c r="Q779" i="1"/>
  <c r="O779" i="1"/>
  <c r="N779" i="1"/>
  <c r="M779" i="1"/>
  <c r="L779" i="1"/>
  <c r="K779" i="1"/>
  <c r="J779" i="1"/>
  <c r="I779" i="1"/>
  <c r="H779" i="1"/>
  <c r="G779" i="1"/>
  <c r="R778" i="1"/>
  <c r="Q778" i="1"/>
  <c r="O778" i="1"/>
  <c r="N778" i="1"/>
  <c r="M778" i="1"/>
  <c r="L778" i="1"/>
  <c r="K778" i="1"/>
  <c r="J778" i="1"/>
  <c r="I778" i="1"/>
  <c r="H778" i="1"/>
  <c r="G778" i="1"/>
  <c r="R777" i="1"/>
  <c r="Q777" i="1"/>
  <c r="O777" i="1"/>
  <c r="N777" i="1"/>
  <c r="M777" i="1"/>
  <c r="L777" i="1"/>
  <c r="K777" i="1"/>
  <c r="J777" i="1"/>
  <c r="I777" i="1"/>
  <c r="H777" i="1"/>
  <c r="G777" i="1"/>
  <c r="R776" i="1"/>
  <c r="Q776" i="1"/>
  <c r="O776" i="1"/>
  <c r="N776" i="1"/>
  <c r="M776" i="1"/>
  <c r="L776" i="1"/>
  <c r="K776" i="1"/>
  <c r="J776" i="1"/>
  <c r="I776" i="1"/>
  <c r="H776" i="1"/>
  <c r="G776" i="1"/>
  <c r="R775" i="1"/>
  <c r="Q775" i="1"/>
  <c r="O775" i="1"/>
  <c r="N775" i="1"/>
  <c r="M775" i="1"/>
  <c r="L775" i="1"/>
  <c r="K775" i="1"/>
  <c r="J775" i="1"/>
  <c r="I775" i="1"/>
  <c r="H775" i="1"/>
  <c r="G775" i="1"/>
  <c r="R774" i="1"/>
  <c r="Q774" i="1"/>
  <c r="O774" i="1"/>
  <c r="N774" i="1"/>
  <c r="M774" i="1"/>
  <c r="L774" i="1"/>
  <c r="K774" i="1"/>
  <c r="J774" i="1"/>
  <c r="I774" i="1"/>
  <c r="H774" i="1"/>
  <c r="G774" i="1"/>
  <c r="R773" i="1"/>
  <c r="Q773" i="1"/>
  <c r="O773" i="1"/>
  <c r="N773" i="1"/>
  <c r="M773" i="1"/>
  <c r="L773" i="1"/>
  <c r="K773" i="1"/>
  <c r="J773" i="1"/>
  <c r="I773" i="1"/>
  <c r="H773" i="1"/>
  <c r="G773" i="1"/>
  <c r="R772" i="1"/>
  <c r="Q772" i="1"/>
  <c r="O772" i="1"/>
  <c r="N772" i="1"/>
  <c r="M772" i="1"/>
  <c r="L772" i="1"/>
  <c r="K772" i="1"/>
  <c r="J772" i="1"/>
  <c r="I772" i="1"/>
  <c r="H772" i="1"/>
  <c r="G772" i="1"/>
  <c r="R771" i="1"/>
  <c r="Q771" i="1"/>
  <c r="O771" i="1"/>
  <c r="N771" i="1"/>
  <c r="M771" i="1"/>
  <c r="L771" i="1"/>
  <c r="K771" i="1"/>
  <c r="J771" i="1"/>
  <c r="I771" i="1"/>
  <c r="H771" i="1"/>
  <c r="G771" i="1"/>
  <c r="R770" i="1"/>
  <c r="Q770" i="1"/>
  <c r="O770" i="1"/>
  <c r="N770" i="1"/>
  <c r="M770" i="1"/>
  <c r="L770" i="1"/>
  <c r="K770" i="1"/>
  <c r="J770" i="1"/>
  <c r="I770" i="1"/>
  <c r="H770" i="1"/>
  <c r="G770" i="1"/>
  <c r="R769" i="1"/>
  <c r="Q769" i="1"/>
  <c r="O769" i="1"/>
  <c r="N769" i="1"/>
  <c r="M769" i="1"/>
  <c r="L769" i="1"/>
  <c r="K769" i="1"/>
  <c r="J769" i="1"/>
  <c r="I769" i="1"/>
  <c r="H769" i="1"/>
  <c r="G769" i="1"/>
  <c r="R768" i="1"/>
  <c r="Q768" i="1"/>
  <c r="O768" i="1"/>
  <c r="N768" i="1"/>
  <c r="M768" i="1"/>
  <c r="L768" i="1"/>
  <c r="K768" i="1"/>
  <c r="J768" i="1"/>
  <c r="I768" i="1"/>
  <c r="H768" i="1"/>
  <c r="G768" i="1"/>
  <c r="R767" i="1"/>
  <c r="Q767" i="1"/>
  <c r="O767" i="1"/>
  <c r="N767" i="1"/>
  <c r="M767" i="1"/>
  <c r="L767" i="1"/>
  <c r="K767" i="1"/>
  <c r="J767" i="1"/>
  <c r="I767" i="1"/>
  <c r="H767" i="1"/>
  <c r="G767" i="1"/>
  <c r="R766" i="1"/>
  <c r="Q766" i="1"/>
  <c r="O766" i="1"/>
  <c r="N766" i="1"/>
  <c r="M766" i="1"/>
  <c r="L766" i="1"/>
  <c r="K766" i="1"/>
  <c r="J766" i="1"/>
  <c r="I766" i="1"/>
  <c r="H766" i="1"/>
  <c r="G766" i="1"/>
  <c r="R765" i="1"/>
  <c r="Q765" i="1"/>
  <c r="O765" i="1"/>
  <c r="N765" i="1"/>
  <c r="M765" i="1"/>
  <c r="L765" i="1"/>
  <c r="K765" i="1"/>
  <c r="J765" i="1"/>
  <c r="I765" i="1"/>
  <c r="H765" i="1"/>
  <c r="G765" i="1"/>
  <c r="R764" i="1"/>
  <c r="Q764" i="1"/>
  <c r="O764" i="1"/>
  <c r="N764" i="1"/>
  <c r="M764" i="1"/>
  <c r="L764" i="1"/>
  <c r="K764" i="1"/>
  <c r="J764" i="1"/>
  <c r="I764" i="1"/>
  <c r="H764" i="1"/>
  <c r="G764" i="1"/>
  <c r="R763" i="1"/>
  <c r="Q763" i="1"/>
  <c r="O763" i="1"/>
  <c r="N763" i="1"/>
  <c r="M763" i="1"/>
  <c r="L763" i="1"/>
  <c r="K763" i="1"/>
  <c r="J763" i="1"/>
  <c r="I763" i="1"/>
  <c r="H763" i="1"/>
  <c r="G763" i="1"/>
  <c r="R762" i="1"/>
  <c r="Q762" i="1"/>
  <c r="O762" i="1"/>
  <c r="N762" i="1"/>
  <c r="M762" i="1"/>
  <c r="L762" i="1"/>
  <c r="K762" i="1"/>
  <c r="J762" i="1"/>
  <c r="I762" i="1"/>
  <c r="H762" i="1"/>
  <c r="G762" i="1"/>
  <c r="R761" i="1"/>
  <c r="Q761" i="1"/>
  <c r="O761" i="1"/>
  <c r="N761" i="1"/>
  <c r="M761" i="1"/>
  <c r="L761" i="1"/>
  <c r="K761" i="1"/>
  <c r="J761" i="1"/>
  <c r="I761" i="1"/>
  <c r="H761" i="1"/>
  <c r="G761" i="1"/>
  <c r="R760" i="1"/>
  <c r="Q760" i="1"/>
  <c r="O760" i="1"/>
  <c r="N760" i="1"/>
  <c r="M760" i="1"/>
  <c r="L760" i="1"/>
  <c r="K760" i="1"/>
  <c r="J760" i="1"/>
  <c r="I760" i="1"/>
  <c r="H760" i="1"/>
  <c r="G760" i="1"/>
  <c r="R759" i="1"/>
  <c r="Q759" i="1"/>
  <c r="O759" i="1"/>
  <c r="N759" i="1"/>
  <c r="M759" i="1"/>
  <c r="L759" i="1"/>
  <c r="K759" i="1"/>
  <c r="J759" i="1"/>
  <c r="I759" i="1"/>
  <c r="H759" i="1"/>
  <c r="G759" i="1"/>
  <c r="R758" i="1"/>
  <c r="Q758" i="1"/>
  <c r="O758" i="1"/>
  <c r="N758" i="1"/>
  <c r="M758" i="1"/>
  <c r="L758" i="1"/>
  <c r="K758" i="1"/>
  <c r="J758" i="1"/>
  <c r="I758" i="1"/>
  <c r="H758" i="1"/>
  <c r="G758" i="1"/>
  <c r="R757" i="1"/>
  <c r="Q757" i="1"/>
  <c r="O757" i="1"/>
  <c r="N757" i="1"/>
  <c r="M757" i="1"/>
  <c r="L757" i="1"/>
  <c r="K757" i="1"/>
  <c r="J757" i="1"/>
  <c r="I757" i="1"/>
  <c r="H757" i="1"/>
  <c r="G757" i="1"/>
  <c r="R756" i="1"/>
  <c r="Q756" i="1"/>
  <c r="O756" i="1"/>
  <c r="N756" i="1"/>
  <c r="M756" i="1"/>
  <c r="L756" i="1"/>
  <c r="K756" i="1"/>
  <c r="J756" i="1"/>
  <c r="I756" i="1"/>
  <c r="H756" i="1"/>
  <c r="G756" i="1"/>
  <c r="R755" i="1"/>
  <c r="Q755" i="1"/>
  <c r="O755" i="1"/>
  <c r="N755" i="1"/>
  <c r="M755" i="1"/>
  <c r="L755" i="1"/>
  <c r="K755" i="1"/>
  <c r="J755" i="1"/>
  <c r="I755" i="1"/>
  <c r="H755" i="1"/>
  <c r="G755" i="1"/>
  <c r="R754" i="1"/>
  <c r="Q754" i="1"/>
  <c r="O754" i="1"/>
  <c r="N754" i="1"/>
  <c r="M754" i="1"/>
  <c r="L754" i="1"/>
  <c r="K754" i="1"/>
  <c r="J754" i="1"/>
  <c r="I754" i="1"/>
  <c r="H754" i="1"/>
  <c r="G754" i="1"/>
  <c r="R753" i="1"/>
  <c r="Q753" i="1"/>
  <c r="O753" i="1"/>
  <c r="N753" i="1"/>
  <c r="M753" i="1"/>
  <c r="L753" i="1"/>
  <c r="K753" i="1"/>
  <c r="J753" i="1"/>
  <c r="I753" i="1"/>
  <c r="H753" i="1"/>
  <c r="G753" i="1"/>
  <c r="R752" i="1"/>
  <c r="Q752" i="1"/>
  <c r="O752" i="1"/>
  <c r="N752" i="1"/>
  <c r="M752" i="1"/>
  <c r="L752" i="1"/>
  <c r="K752" i="1"/>
  <c r="J752" i="1"/>
  <c r="I752" i="1"/>
  <c r="H752" i="1"/>
  <c r="G752" i="1"/>
  <c r="R751" i="1"/>
  <c r="Q751" i="1"/>
  <c r="O751" i="1"/>
  <c r="N751" i="1"/>
  <c r="M751" i="1"/>
  <c r="L751" i="1"/>
  <c r="K751" i="1"/>
  <c r="J751" i="1"/>
  <c r="I751" i="1"/>
  <c r="H751" i="1"/>
  <c r="G751" i="1"/>
  <c r="R750" i="1"/>
  <c r="Q750" i="1"/>
  <c r="O750" i="1"/>
  <c r="N750" i="1"/>
  <c r="M750" i="1"/>
  <c r="L750" i="1"/>
  <c r="K750" i="1"/>
  <c r="J750" i="1"/>
  <c r="I750" i="1"/>
  <c r="H750" i="1"/>
  <c r="G750" i="1"/>
  <c r="R749" i="1"/>
  <c r="Q749" i="1"/>
  <c r="O749" i="1"/>
  <c r="N749" i="1"/>
  <c r="M749" i="1"/>
  <c r="L749" i="1"/>
  <c r="K749" i="1"/>
  <c r="J749" i="1"/>
  <c r="I749" i="1"/>
  <c r="H749" i="1"/>
  <c r="G749" i="1"/>
  <c r="R748" i="1"/>
  <c r="Q748" i="1"/>
  <c r="O748" i="1"/>
  <c r="N748" i="1"/>
  <c r="M748" i="1"/>
  <c r="L748" i="1"/>
  <c r="K748" i="1"/>
  <c r="J748" i="1"/>
  <c r="I748" i="1"/>
  <c r="H748" i="1"/>
  <c r="G748" i="1"/>
  <c r="R747" i="1"/>
  <c r="Q747" i="1"/>
  <c r="O747" i="1"/>
  <c r="N747" i="1"/>
  <c r="M747" i="1"/>
  <c r="L747" i="1"/>
  <c r="K747" i="1"/>
  <c r="J747" i="1"/>
  <c r="I747" i="1"/>
  <c r="H747" i="1"/>
  <c r="G747" i="1"/>
  <c r="R746" i="1"/>
  <c r="Q746" i="1"/>
  <c r="O746" i="1"/>
  <c r="N746" i="1"/>
  <c r="M746" i="1"/>
  <c r="L746" i="1"/>
  <c r="K746" i="1"/>
  <c r="J746" i="1"/>
  <c r="I746" i="1"/>
  <c r="H746" i="1"/>
  <c r="G746" i="1"/>
  <c r="R745" i="1"/>
  <c r="Q745" i="1"/>
  <c r="O745" i="1"/>
  <c r="N745" i="1"/>
  <c r="M745" i="1"/>
  <c r="L745" i="1"/>
  <c r="K745" i="1"/>
  <c r="J745" i="1"/>
  <c r="I745" i="1"/>
  <c r="H745" i="1"/>
  <c r="G745" i="1"/>
  <c r="R744" i="1"/>
  <c r="Q744" i="1"/>
  <c r="O744" i="1"/>
  <c r="N744" i="1"/>
  <c r="M744" i="1"/>
  <c r="L744" i="1"/>
  <c r="K744" i="1"/>
  <c r="J744" i="1"/>
  <c r="I744" i="1"/>
  <c r="H744" i="1"/>
  <c r="G744" i="1"/>
  <c r="R743" i="1"/>
  <c r="Q743" i="1"/>
  <c r="O743" i="1"/>
  <c r="N743" i="1"/>
  <c r="M743" i="1"/>
  <c r="L743" i="1"/>
  <c r="K743" i="1"/>
  <c r="J743" i="1"/>
  <c r="I743" i="1"/>
  <c r="H743" i="1"/>
  <c r="G743" i="1"/>
  <c r="R742" i="1"/>
  <c r="Q742" i="1"/>
  <c r="O742" i="1"/>
  <c r="N742" i="1"/>
  <c r="M742" i="1"/>
  <c r="L742" i="1"/>
  <c r="K742" i="1"/>
  <c r="J742" i="1"/>
  <c r="I742" i="1"/>
  <c r="H742" i="1"/>
  <c r="G742" i="1"/>
  <c r="R741" i="1"/>
  <c r="Q741" i="1"/>
  <c r="O741" i="1"/>
  <c r="N741" i="1"/>
  <c r="M741" i="1"/>
  <c r="L741" i="1"/>
  <c r="K741" i="1"/>
  <c r="J741" i="1"/>
  <c r="I741" i="1"/>
  <c r="H741" i="1"/>
  <c r="G741" i="1"/>
  <c r="R740" i="1"/>
  <c r="Q740" i="1"/>
  <c r="O740" i="1"/>
  <c r="N740" i="1"/>
  <c r="M740" i="1"/>
  <c r="L740" i="1"/>
  <c r="K740" i="1"/>
  <c r="J740" i="1"/>
  <c r="I740" i="1"/>
  <c r="H740" i="1"/>
  <c r="G740" i="1"/>
  <c r="R739" i="1"/>
  <c r="Q739" i="1"/>
  <c r="O739" i="1"/>
  <c r="N739" i="1"/>
  <c r="M739" i="1"/>
  <c r="L739" i="1"/>
  <c r="K739" i="1"/>
  <c r="J739" i="1"/>
  <c r="I739" i="1"/>
  <c r="H739" i="1"/>
  <c r="G739" i="1"/>
  <c r="R738" i="1"/>
  <c r="Q738" i="1"/>
  <c r="O738" i="1"/>
  <c r="N738" i="1"/>
  <c r="M738" i="1"/>
  <c r="L738" i="1"/>
  <c r="K738" i="1"/>
  <c r="J738" i="1"/>
  <c r="I738" i="1"/>
  <c r="H738" i="1"/>
  <c r="G738" i="1"/>
  <c r="R737" i="1"/>
  <c r="Q737" i="1"/>
  <c r="O737" i="1"/>
  <c r="N737" i="1"/>
  <c r="M737" i="1"/>
  <c r="L737" i="1"/>
  <c r="K737" i="1"/>
  <c r="J737" i="1"/>
  <c r="I737" i="1"/>
  <c r="H737" i="1"/>
  <c r="G737" i="1"/>
  <c r="R736" i="1"/>
  <c r="Q736" i="1"/>
  <c r="O736" i="1"/>
  <c r="N736" i="1"/>
  <c r="M736" i="1"/>
  <c r="L736" i="1"/>
  <c r="K736" i="1"/>
  <c r="J736" i="1"/>
  <c r="I736" i="1"/>
  <c r="H736" i="1"/>
  <c r="G736" i="1"/>
  <c r="R735" i="1"/>
  <c r="Q735" i="1"/>
  <c r="O735" i="1"/>
  <c r="N735" i="1"/>
  <c r="M735" i="1"/>
  <c r="L735" i="1"/>
  <c r="K735" i="1"/>
  <c r="J735" i="1"/>
  <c r="I735" i="1"/>
  <c r="H735" i="1"/>
  <c r="G735" i="1"/>
  <c r="R734" i="1"/>
  <c r="Q734" i="1"/>
  <c r="O734" i="1"/>
  <c r="N734" i="1"/>
  <c r="M734" i="1"/>
  <c r="L734" i="1"/>
  <c r="K734" i="1"/>
  <c r="J734" i="1"/>
  <c r="I734" i="1"/>
  <c r="H734" i="1"/>
  <c r="G734" i="1"/>
  <c r="R733" i="1"/>
  <c r="Q733" i="1"/>
  <c r="O733" i="1"/>
  <c r="N733" i="1"/>
  <c r="M733" i="1"/>
  <c r="L733" i="1"/>
  <c r="K733" i="1"/>
  <c r="J733" i="1"/>
  <c r="I733" i="1"/>
  <c r="H733" i="1"/>
  <c r="G733" i="1"/>
  <c r="R732" i="1"/>
  <c r="Q732" i="1"/>
  <c r="O732" i="1"/>
  <c r="N732" i="1"/>
  <c r="M732" i="1"/>
  <c r="L732" i="1"/>
  <c r="K732" i="1"/>
  <c r="J732" i="1"/>
  <c r="I732" i="1"/>
  <c r="H732" i="1"/>
  <c r="G732" i="1"/>
  <c r="R731" i="1"/>
  <c r="Q731" i="1"/>
  <c r="O731" i="1"/>
  <c r="N731" i="1"/>
  <c r="M731" i="1"/>
  <c r="L731" i="1"/>
  <c r="K731" i="1"/>
  <c r="J731" i="1"/>
  <c r="I731" i="1"/>
  <c r="H731" i="1"/>
  <c r="G731" i="1"/>
  <c r="R730" i="1"/>
  <c r="Q730" i="1"/>
  <c r="O730" i="1"/>
  <c r="N730" i="1"/>
  <c r="M730" i="1"/>
  <c r="L730" i="1"/>
  <c r="K730" i="1"/>
  <c r="J730" i="1"/>
  <c r="I730" i="1"/>
  <c r="H730" i="1"/>
  <c r="G730" i="1"/>
  <c r="R729" i="1"/>
  <c r="Q729" i="1"/>
  <c r="O729" i="1"/>
  <c r="N729" i="1"/>
  <c r="M729" i="1"/>
  <c r="L729" i="1"/>
  <c r="K729" i="1"/>
  <c r="J729" i="1"/>
  <c r="I729" i="1"/>
  <c r="H729" i="1"/>
  <c r="G729" i="1"/>
  <c r="R728" i="1"/>
  <c r="Q728" i="1"/>
  <c r="O728" i="1"/>
  <c r="N728" i="1"/>
  <c r="M728" i="1"/>
  <c r="L728" i="1"/>
  <c r="K728" i="1"/>
  <c r="J728" i="1"/>
  <c r="I728" i="1"/>
  <c r="H728" i="1"/>
  <c r="G728" i="1"/>
  <c r="R727" i="1"/>
  <c r="Q727" i="1"/>
  <c r="O727" i="1"/>
  <c r="N727" i="1"/>
  <c r="M727" i="1"/>
  <c r="L727" i="1"/>
  <c r="K727" i="1"/>
  <c r="J727" i="1"/>
  <c r="I727" i="1"/>
  <c r="H727" i="1"/>
  <c r="G727" i="1"/>
  <c r="R726" i="1"/>
  <c r="Q726" i="1"/>
  <c r="O726" i="1"/>
  <c r="N726" i="1"/>
  <c r="M726" i="1"/>
  <c r="L726" i="1"/>
  <c r="K726" i="1"/>
  <c r="J726" i="1"/>
  <c r="I726" i="1"/>
  <c r="H726" i="1"/>
  <c r="G726" i="1"/>
  <c r="R725" i="1"/>
  <c r="Q725" i="1"/>
  <c r="O725" i="1"/>
  <c r="N725" i="1"/>
  <c r="M725" i="1"/>
  <c r="L725" i="1"/>
  <c r="K725" i="1"/>
  <c r="J725" i="1"/>
  <c r="I725" i="1"/>
  <c r="H725" i="1"/>
  <c r="G725" i="1"/>
  <c r="R724" i="1"/>
  <c r="Q724" i="1"/>
  <c r="O724" i="1"/>
  <c r="N724" i="1"/>
  <c r="M724" i="1"/>
  <c r="L724" i="1"/>
  <c r="K724" i="1"/>
  <c r="J724" i="1"/>
  <c r="I724" i="1"/>
  <c r="H724" i="1"/>
  <c r="G724" i="1"/>
  <c r="R723" i="1"/>
  <c r="Q723" i="1"/>
  <c r="O723" i="1"/>
  <c r="N723" i="1"/>
  <c r="M723" i="1"/>
  <c r="L723" i="1"/>
  <c r="K723" i="1"/>
  <c r="J723" i="1"/>
  <c r="I723" i="1"/>
  <c r="H723" i="1"/>
  <c r="G723" i="1"/>
  <c r="R722" i="1"/>
  <c r="Q722" i="1"/>
  <c r="O722" i="1"/>
  <c r="N722" i="1"/>
  <c r="M722" i="1"/>
  <c r="L722" i="1"/>
  <c r="K722" i="1"/>
  <c r="J722" i="1"/>
  <c r="I722" i="1"/>
  <c r="H722" i="1"/>
  <c r="G722" i="1"/>
  <c r="R721" i="1"/>
  <c r="Q721" i="1"/>
  <c r="O721" i="1"/>
  <c r="N721" i="1"/>
  <c r="M721" i="1"/>
  <c r="L721" i="1"/>
  <c r="K721" i="1"/>
  <c r="J721" i="1"/>
  <c r="I721" i="1"/>
  <c r="H721" i="1"/>
  <c r="G721" i="1"/>
  <c r="R720" i="1"/>
  <c r="Q720" i="1"/>
  <c r="O720" i="1"/>
  <c r="N720" i="1"/>
  <c r="M720" i="1"/>
  <c r="L720" i="1"/>
  <c r="K720" i="1"/>
  <c r="J720" i="1"/>
  <c r="I720" i="1"/>
  <c r="H720" i="1"/>
  <c r="G720" i="1"/>
  <c r="R719" i="1"/>
  <c r="Q719" i="1"/>
  <c r="O719" i="1"/>
  <c r="N719" i="1"/>
  <c r="M719" i="1"/>
  <c r="L719" i="1"/>
  <c r="K719" i="1"/>
  <c r="J719" i="1"/>
  <c r="I719" i="1"/>
  <c r="H719" i="1"/>
  <c r="G719" i="1"/>
  <c r="R718" i="1"/>
  <c r="Q718" i="1"/>
  <c r="O718" i="1"/>
  <c r="N718" i="1"/>
  <c r="M718" i="1"/>
  <c r="L718" i="1"/>
  <c r="K718" i="1"/>
  <c r="J718" i="1"/>
  <c r="I718" i="1"/>
  <c r="H718" i="1"/>
  <c r="G718" i="1"/>
  <c r="R717" i="1"/>
  <c r="Q717" i="1"/>
  <c r="O717" i="1"/>
  <c r="N717" i="1"/>
  <c r="M717" i="1"/>
  <c r="L717" i="1"/>
  <c r="K717" i="1"/>
  <c r="J717" i="1"/>
  <c r="I717" i="1"/>
  <c r="H717" i="1"/>
  <c r="G717" i="1"/>
  <c r="R716" i="1"/>
  <c r="Q716" i="1"/>
  <c r="O716" i="1"/>
  <c r="N716" i="1"/>
  <c r="M716" i="1"/>
  <c r="L716" i="1"/>
  <c r="K716" i="1"/>
  <c r="J716" i="1"/>
  <c r="I716" i="1"/>
  <c r="H716" i="1"/>
  <c r="G716" i="1"/>
  <c r="R715" i="1"/>
  <c r="Q715" i="1"/>
  <c r="O715" i="1"/>
  <c r="N715" i="1"/>
  <c r="M715" i="1"/>
  <c r="L715" i="1"/>
  <c r="K715" i="1"/>
  <c r="J715" i="1"/>
  <c r="I715" i="1"/>
  <c r="H715" i="1"/>
  <c r="G715" i="1"/>
  <c r="R714" i="1"/>
  <c r="Q714" i="1"/>
  <c r="O714" i="1"/>
  <c r="N714" i="1"/>
  <c r="M714" i="1"/>
  <c r="L714" i="1"/>
  <c r="K714" i="1"/>
  <c r="J714" i="1"/>
  <c r="I714" i="1"/>
  <c r="H714" i="1"/>
  <c r="G714" i="1"/>
  <c r="R713" i="1"/>
  <c r="Q713" i="1"/>
  <c r="O713" i="1"/>
  <c r="N713" i="1"/>
  <c r="M713" i="1"/>
  <c r="L713" i="1"/>
  <c r="K713" i="1"/>
  <c r="J713" i="1"/>
  <c r="I713" i="1"/>
  <c r="H713" i="1"/>
  <c r="G713" i="1"/>
  <c r="R712" i="1"/>
  <c r="Q712" i="1"/>
  <c r="O712" i="1"/>
  <c r="N712" i="1"/>
  <c r="M712" i="1"/>
  <c r="L712" i="1"/>
  <c r="K712" i="1"/>
  <c r="J712" i="1"/>
  <c r="I712" i="1"/>
  <c r="H712" i="1"/>
  <c r="G712" i="1"/>
  <c r="R711" i="1"/>
  <c r="Q711" i="1"/>
  <c r="O711" i="1"/>
  <c r="N711" i="1"/>
  <c r="M711" i="1"/>
  <c r="L711" i="1"/>
  <c r="K711" i="1"/>
  <c r="J711" i="1"/>
  <c r="I711" i="1"/>
  <c r="H711" i="1"/>
  <c r="G711" i="1"/>
  <c r="R710" i="1"/>
  <c r="Q710" i="1"/>
  <c r="O710" i="1"/>
  <c r="N710" i="1"/>
  <c r="M710" i="1"/>
  <c r="L710" i="1"/>
  <c r="K710" i="1"/>
  <c r="J710" i="1"/>
  <c r="I710" i="1"/>
  <c r="H710" i="1"/>
  <c r="G710" i="1"/>
  <c r="R709" i="1"/>
  <c r="Q709" i="1"/>
  <c r="O709" i="1"/>
  <c r="N709" i="1"/>
  <c r="M709" i="1"/>
  <c r="L709" i="1"/>
  <c r="K709" i="1"/>
  <c r="J709" i="1"/>
  <c r="I709" i="1"/>
  <c r="H709" i="1"/>
  <c r="G709" i="1"/>
  <c r="R708" i="1"/>
  <c r="Q708" i="1"/>
  <c r="O708" i="1"/>
  <c r="N708" i="1"/>
  <c r="M708" i="1"/>
  <c r="L708" i="1"/>
  <c r="K708" i="1"/>
  <c r="J708" i="1"/>
  <c r="I708" i="1"/>
  <c r="H708" i="1"/>
  <c r="G708" i="1"/>
  <c r="R707" i="1"/>
  <c r="Q707" i="1"/>
  <c r="O707" i="1"/>
  <c r="N707" i="1"/>
  <c r="M707" i="1"/>
  <c r="L707" i="1"/>
  <c r="K707" i="1"/>
  <c r="J707" i="1"/>
  <c r="I707" i="1"/>
  <c r="H707" i="1"/>
  <c r="G707" i="1"/>
  <c r="R706" i="1"/>
  <c r="Q706" i="1"/>
  <c r="O706" i="1"/>
  <c r="N706" i="1"/>
  <c r="M706" i="1"/>
  <c r="L706" i="1"/>
  <c r="K706" i="1"/>
  <c r="J706" i="1"/>
  <c r="I706" i="1"/>
  <c r="H706" i="1"/>
  <c r="G706" i="1"/>
  <c r="R705" i="1"/>
  <c r="Q705" i="1"/>
  <c r="O705" i="1"/>
  <c r="N705" i="1"/>
  <c r="M705" i="1"/>
  <c r="L705" i="1"/>
  <c r="K705" i="1"/>
  <c r="J705" i="1"/>
  <c r="I705" i="1"/>
  <c r="H705" i="1"/>
  <c r="G705" i="1"/>
  <c r="R704" i="1"/>
  <c r="Q704" i="1"/>
  <c r="O704" i="1"/>
  <c r="N704" i="1"/>
  <c r="M704" i="1"/>
  <c r="L704" i="1"/>
  <c r="K704" i="1"/>
  <c r="J704" i="1"/>
  <c r="I704" i="1"/>
  <c r="H704" i="1"/>
  <c r="G704" i="1"/>
  <c r="R703" i="1"/>
  <c r="Q703" i="1"/>
  <c r="O703" i="1"/>
  <c r="N703" i="1"/>
  <c r="M703" i="1"/>
  <c r="L703" i="1"/>
  <c r="K703" i="1"/>
  <c r="J703" i="1"/>
  <c r="I703" i="1"/>
  <c r="H703" i="1"/>
  <c r="G703" i="1"/>
  <c r="R702" i="1"/>
  <c r="Q702" i="1"/>
  <c r="O702" i="1"/>
  <c r="N702" i="1"/>
  <c r="M702" i="1"/>
  <c r="L702" i="1"/>
  <c r="K702" i="1"/>
  <c r="J702" i="1"/>
  <c r="I702" i="1"/>
  <c r="H702" i="1"/>
  <c r="G702" i="1"/>
  <c r="R701" i="1"/>
  <c r="Q701" i="1"/>
  <c r="O701" i="1"/>
  <c r="N701" i="1"/>
  <c r="M701" i="1"/>
  <c r="L701" i="1"/>
  <c r="K701" i="1"/>
  <c r="J701" i="1"/>
  <c r="I701" i="1"/>
  <c r="H701" i="1"/>
  <c r="G701" i="1"/>
  <c r="R700" i="1"/>
  <c r="Q700" i="1"/>
  <c r="O700" i="1"/>
  <c r="N700" i="1"/>
  <c r="M700" i="1"/>
  <c r="L700" i="1"/>
  <c r="K700" i="1"/>
  <c r="J700" i="1"/>
  <c r="I700" i="1"/>
  <c r="H700" i="1"/>
  <c r="G700" i="1"/>
  <c r="R699" i="1"/>
  <c r="Q699" i="1"/>
  <c r="O699" i="1"/>
  <c r="N699" i="1"/>
  <c r="M699" i="1"/>
  <c r="L699" i="1"/>
  <c r="K699" i="1"/>
  <c r="J699" i="1"/>
  <c r="I699" i="1"/>
  <c r="H699" i="1"/>
  <c r="G699" i="1"/>
  <c r="R698" i="1"/>
  <c r="Q698" i="1"/>
  <c r="O698" i="1"/>
  <c r="N698" i="1"/>
  <c r="M698" i="1"/>
  <c r="L698" i="1"/>
  <c r="K698" i="1"/>
  <c r="J698" i="1"/>
  <c r="I698" i="1"/>
  <c r="H698" i="1"/>
  <c r="G698" i="1"/>
  <c r="R697" i="1"/>
  <c r="Q697" i="1"/>
  <c r="O697" i="1"/>
  <c r="N697" i="1"/>
  <c r="M697" i="1"/>
  <c r="L697" i="1"/>
  <c r="K697" i="1"/>
  <c r="J697" i="1"/>
  <c r="I697" i="1"/>
  <c r="H697" i="1"/>
  <c r="G697" i="1"/>
  <c r="R696" i="1"/>
  <c r="Q696" i="1"/>
  <c r="O696" i="1"/>
  <c r="N696" i="1"/>
  <c r="M696" i="1"/>
  <c r="L696" i="1"/>
  <c r="K696" i="1"/>
  <c r="J696" i="1"/>
  <c r="I696" i="1"/>
  <c r="H696" i="1"/>
  <c r="G696" i="1"/>
  <c r="R695" i="1"/>
  <c r="Q695" i="1"/>
  <c r="O695" i="1"/>
  <c r="N695" i="1"/>
  <c r="M695" i="1"/>
  <c r="L695" i="1"/>
  <c r="K695" i="1"/>
  <c r="J695" i="1"/>
  <c r="I695" i="1"/>
  <c r="H695" i="1"/>
  <c r="G695" i="1"/>
  <c r="R694" i="1"/>
  <c r="Q694" i="1"/>
  <c r="O694" i="1"/>
  <c r="N694" i="1"/>
  <c r="M694" i="1"/>
  <c r="L694" i="1"/>
  <c r="K694" i="1"/>
  <c r="J694" i="1"/>
  <c r="I694" i="1"/>
  <c r="H694" i="1"/>
  <c r="G694" i="1"/>
  <c r="R693" i="1"/>
  <c r="Q693" i="1"/>
  <c r="O693" i="1"/>
  <c r="N693" i="1"/>
  <c r="M693" i="1"/>
  <c r="L693" i="1"/>
  <c r="K693" i="1"/>
  <c r="J693" i="1"/>
  <c r="I693" i="1"/>
  <c r="H693" i="1"/>
  <c r="G693" i="1"/>
  <c r="R692" i="1"/>
  <c r="Q692" i="1"/>
  <c r="O692" i="1"/>
  <c r="N692" i="1"/>
  <c r="M692" i="1"/>
  <c r="L692" i="1"/>
  <c r="K692" i="1"/>
  <c r="J692" i="1"/>
  <c r="I692" i="1"/>
  <c r="H692" i="1"/>
  <c r="G692" i="1"/>
  <c r="R691" i="1"/>
  <c r="Q691" i="1"/>
  <c r="O691" i="1"/>
  <c r="N691" i="1"/>
  <c r="M691" i="1"/>
  <c r="L691" i="1"/>
  <c r="K691" i="1"/>
  <c r="J691" i="1"/>
  <c r="I691" i="1"/>
  <c r="H691" i="1"/>
  <c r="G691" i="1"/>
  <c r="R690" i="1"/>
  <c r="Q690" i="1"/>
  <c r="O690" i="1"/>
  <c r="N690" i="1"/>
  <c r="M690" i="1"/>
  <c r="L690" i="1"/>
  <c r="K690" i="1"/>
  <c r="J690" i="1"/>
  <c r="I690" i="1"/>
  <c r="H690" i="1"/>
  <c r="G690" i="1"/>
  <c r="R689" i="1"/>
  <c r="Q689" i="1"/>
  <c r="O689" i="1"/>
  <c r="N689" i="1"/>
  <c r="M689" i="1"/>
  <c r="L689" i="1"/>
  <c r="K689" i="1"/>
  <c r="J689" i="1"/>
  <c r="I689" i="1"/>
  <c r="H689" i="1"/>
  <c r="G689" i="1"/>
  <c r="R688" i="1"/>
  <c r="Q688" i="1"/>
  <c r="O688" i="1"/>
  <c r="N688" i="1"/>
  <c r="M688" i="1"/>
  <c r="L688" i="1"/>
  <c r="K688" i="1"/>
  <c r="J688" i="1"/>
  <c r="I688" i="1"/>
  <c r="H688" i="1"/>
  <c r="G688" i="1"/>
  <c r="R687" i="1"/>
  <c r="Q687" i="1"/>
  <c r="O687" i="1"/>
  <c r="N687" i="1"/>
  <c r="M687" i="1"/>
  <c r="L687" i="1"/>
  <c r="K687" i="1"/>
  <c r="J687" i="1"/>
  <c r="I687" i="1"/>
  <c r="H687" i="1"/>
  <c r="G687" i="1"/>
  <c r="R686" i="1"/>
  <c r="Q686" i="1"/>
  <c r="O686" i="1"/>
  <c r="N686" i="1"/>
  <c r="M686" i="1"/>
  <c r="L686" i="1"/>
  <c r="K686" i="1"/>
  <c r="J686" i="1"/>
  <c r="I686" i="1"/>
  <c r="H686" i="1"/>
  <c r="G686" i="1"/>
  <c r="R685" i="1"/>
  <c r="Q685" i="1"/>
  <c r="O685" i="1"/>
  <c r="N685" i="1"/>
  <c r="M685" i="1"/>
  <c r="L685" i="1"/>
  <c r="K685" i="1"/>
  <c r="J685" i="1"/>
  <c r="I685" i="1"/>
  <c r="H685" i="1"/>
  <c r="G685" i="1"/>
  <c r="R684" i="1"/>
  <c r="Q684" i="1"/>
  <c r="O684" i="1"/>
  <c r="N684" i="1"/>
  <c r="M684" i="1"/>
  <c r="L684" i="1"/>
  <c r="K684" i="1"/>
  <c r="J684" i="1"/>
  <c r="I684" i="1"/>
  <c r="H684" i="1"/>
  <c r="G684" i="1"/>
  <c r="R683" i="1"/>
  <c r="Q683" i="1"/>
  <c r="O683" i="1"/>
  <c r="N683" i="1"/>
  <c r="M683" i="1"/>
  <c r="L683" i="1"/>
  <c r="K683" i="1"/>
  <c r="J683" i="1"/>
  <c r="I683" i="1"/>
  <c r="H683" i="1"/>
  <c r="G683" i="1"/>
  <c r="R682" i="1"/>
  <c r="Q682" i="1"/>
  <c r="O682" i="1"/>
  <c r="N682" i="1"/>
  <c r="M682" i="1"/>
  <c r="L682" i="1"/>
  <c r="K682" i="1"/>
  <c r="J682" i="1"/>
  <c r="I682" i="1"/>
  <c r="H682" i="1"/>
  <c r="G682" i="1"/>
  <c r="R681" i="1"/>
  <c r="Q681" i="1"/>
  <c r="O681" i="1"/>
  <c r="N681" i="1"/>
  <c r="M681" i="1"/>
  <c r="L681" i="1"/>
  <c r="K681" i="1"/>
  <c r="J681" i="1"/>
  <c r="I681" i="1"/>
  <c r="H681" i="1"/>
  <c r="G681" i="1"/>
  <c r="R680" i="1"/>
  <c r="Q680" i="1"/>
  <c r="O680" i="1"/>
  <c r="N680" i="1"/>
  <c r="M680" i="1"/>
  <c r="L680" i="1"/>
  <c r="K680" i="1"/>
  <c r="J680" i="1"/>
  <c r="I680" i="1"/>
  <c r="H680" i="1"/>
  <c r="G680" i="1"/>
  <c r="R679" i="1"/>
  <c r="Q679" i="1"/>
  <c r="O679" i="1"/>
  <c r="N679" i="1"/>
  <c r="M679" i="1"/>
  <c r="L679" i="1"/>
  <c r="K679" i="1"/>
  <c r="J679" i="1"/>
  <c r="I679" i="1"/>
  <c r="H679" i="1"/>
  <c r="G679" i="1"/>
  <c r="R678" i="1"/>
  <c r="Q678" i="1"/>
  <c r="O678" i="1"/>
  <c r="N678" i="1"/>
  <c r="M678" i="1"/>
  <c r="L678" i="1"/>
  <c r="K678" i="1"/>
  <c r="J678" i="1"/>
  <c r="I678" i="1"/>
  <c r="H678" i="1"/>
  <c r="G678" i="1"/>
  <c r="R677" i="1"/>
  <c r="Q677" i="1"/>
  <c r="O677" i="1"/>
  <c r="N677" i="1"/>
  <c r="M677" i="1"/>
  <c r="L677" i="1"/>
  <c r="K677" i="1"/>
  <c r="J677" i="1"/>
  <c r="I677" i="1"/>
  <c r="H677" i="1"/>
  <c r="G677" i="1"/>
  <c r="R676" i="1"/>
  <c r="Q676" i="1"/>
  <c r="O676" i="1"/>
  <c r="N676" i="1"/>
  <c r="M676" i="1"/>
  <c r="L676" i="1"/>
  <c r="K676" i="1"/>
  <c r="J676" i="1"/>
  <c r="I676" i="1"/>
  <c r="H676" i="1"/>
  <c r="G676" i="1"/>
  <c r="R675" i="1"/>
  <c r="Q675" i="1"/>
  <c r="O675" i="1"/>
  <c r="N675" i="1"/>
  <c r="M675" i="1"/>
  <c r="L675" i="1"/>
  <c r="K675" i="1"/>
  <c r="J675" i="1"/>
  <c r="I675" i="1"/>
  <c r="H675" i="1"/>
  <c r="G675" i="1"/>
  <c r="R674" i="1"/>
  <c r="Q674" i="1"/>
  <c r="O674" i="1"/>
  <c r="N674" i="1"/>
  <c r="M674" i="1"/>
  <c r="L674" i="1"/>
  <c r="K674" i="1"/>
  <c r="J674" i="1"/>
  <c r="I674" i="1"/>
  <c r="H674" i="1"/>
  <c r="G674" i="1"/>
  <c r="R673" i="1"/>
  <c r="Q673" i="1"/>
  <c r="O673" i="1"/>
  <c r="N673" i="1"/>
  <c r="M673" i="1"/>
  <c r="L673" i="1"/>
  <c r="K673" i="1"/>
  <c r="J673" i="1"/>
  <c r="I673" i="1"/>
  <c r="H673" i="1"/>
  <c r="G673" i="1"/>
  <c r="R672" i="1"/>
  <c r="Q672" i="1"/>
  <c r="O672" i="1"/>
  <c r="N672" i="1"/>
  <c r="M672" i="1"/>
  <c r="L672" i="1"/>
  <c r="K672" i="1"/>
  <c r="J672" i="1"/>
  <c r="I672" i="1"/>
  <c r="H672" i="1"/>
  <c r="G672" i="1"/>
  <c r="R671" i="1"/>
  <c r="Q671" i="1"/>
  <c r="O671" i="1"/>
  <c r="N671" i="1"/>
  <c r="M671" i="1"/>
  <c r="L671" i="1"/>
  <c r="K671" i="1"/>
  <c r="J671" i="1"/>
  <c r="I671" i="1"/>
  <c r="H671" i="1"/>
  <c r="G671" i="1"/>
  <c r="R670" i="1"/>
  <c r="Q670" i="1"/>
  <c r="O670" i="1"/>
  <c r="N670" i="1"/>
  <c r="M670" i="1"/>
  <c r="L670" i="1"/>
  <c r="K670" i="1"/>
  <c r="J670" i="1"/>
  <c r="I670" i="1"/>
  <c r="H670" i="1"/>
  <c r="G670" i="1"/>
  <c r="R669" i="1"/>
  <c r="Q669" i="1"/>
  <c r="O669" i="1"/>
  <c r="N669" i="1"/>
  <c r="M669" i="1"/>
  <c r="L669" i="1"/>
  <c r="K669" i="1"/>
  <c r="J669" i="1"/>
  <c r="I669" i="1"/>
  <c r="H669" i="1"/>
  <c r="G669" i="1"/>
  <c r="R668" i="1"/>
  <c r="Q668" i="1"/>
  <c r="O668" i="1"/>
  <c r="N668" i="1"/>
  <c r="M668" i="1"/>
  <c r="L668" i="1"/>
  <c r="K668" i="1"/>
  <c r="J668" i="1"/>
  <c r="I668" i="1"/>
  <c r="H668" i="1"/>
  <c r="G668" i="1"/>
  <c r="R667" i="1"/>
  <c r="Q667" i="1"/>
  <c r="O667" i="1"/>
  <c r="N667" i="1"/>
  <c r="M667" i="1"/>
  <c r="L667" i="1"/>
  <c r="K667" i="1"/>
  <c r="J667" i="1"/>
  <c r="I667" i="1"/>
  <c r="H667" i="1"/>
  <c r="G667" i="1"/>
  <c r="R666" i="1"/>
  <c r="Q666" i="1"/>
  <c r="O666" i="1"/>
  <c r="N666" i="1"/>
  <c r="M666" i="1"/>
  <c r="L666" i="1"/>
  <c r="K666" i="1"/>
  <c r="J666" i="1"/>
  <c r="I666" i="1"/>
  <c r="H666" i="1"/>
  <c r="G666" i="1"/>
  <c r="R665" i="1"/>
  <c r="Q665" i="1"/>
  <c r="O665" i="1"/>
  <c r="N665" i="1"/>
  <c r="M665" i="1"/>
  <c r="L665" i="1"/>
  <c r="K665" i="1"/>
  <c r="J665" i="1"/>
  <c r="I665" i="1"/>
  <c r="H665" i="1"/>
  <c r="G665" i="1"/>
  <c r="R664" i="1"/>
  <c r="Q664" i="1"/>
  <c r="O664" i="1"/>
  <c r="N664" i="1"/>
  <c r="M664" i="1"/>
  <c r="L664" i="1"/>
  <c r="K664" i="1"/>
  <c r="J664" i="1"/>
  <c r="I664" i="1"/>
  <c r="H664" i="1"/>
  <c r="G664" i="1"/>
  <c r="R663" i="1"/>
  <c r="Q663" i="1"/>
  <c r="O663" i="1"/>
  <c r="N663" i="1"/>
  <c r="M663" i="1"/>
  <c r="L663" i="1"/>
  <c r="K663" i="1"/>
  <c r="J663" i="1"/>
  <c r="I663" i="1"/>
  <c r="H663" i="1"/>
  <c r="G663" i="1"/>
  <c r="R662" i="1"/>
  <c r="Q662" i="1"/>
  <c r="O662" i="1"/>
  <c r="N662" i="1"/>
  <c r="M662" i="1"/>
  <c r="L662" i="1"/>
  <c r="K662" i="1"/>
  <c r="J662" i="1"/>
  <c r="I662" i="1"/>
  <c r="H662" i="1"/>
  <c r="G662" i="1"/>
  <c r="R661" i="1"/>
  <c r="Q661" i="1"/>
  <c r="O661" i="1"/>
  <c r="N661" i="1"/>
  <c r="M661" i="1"/>
  <c r="L661" i="1"/>
  <c r="K661" i="1"/>
  <c r="J661" i="1"/>
  <c r="I661" i="1"/>
  <c r="H661" i="1"/>
  <c r="G661" i="1"/>
  <c r="R660" i="1"/>
  <c r="Q660" i="1"/>
  <c r="O660" i="1"/>
  <c r="N660" i="1"/>
  <c r="M660" i="1"/>
  <c r="L660" i="1"/>
  <c r="K660" i="1"/>
  <c r="J660" i="1"/>
  <c r="I660" i="1"/>
  <c r="H660" i="1"/>
  <c r="G660" i="1"/>
  <c r="R659" i="1"/>
  <c r="Q659" i="1"/>
  <c r="O659" i="1"/>
  <c r="N659" i="1"/>
  <c r="M659" i="1"/>
  <c r="L659" i="1"/>
  <c r="K659" i="1"/>
  <c r="J659" i="1"/>
  <c r="I659" i="1"/>
  <c r="H659" i="1"/>
  <c r="G659" i="1"/>
  <c r="R658" i="1"/>
  <c r="Q658" i="1"/>
  <c r="O658" i="1"/>
  <c r="N658" i="1"/>
  <c r="M658" i="1"/>
  <c r="L658" i="1"/>
  <c r="K658" i="1"/>
  <c r="J658" i="1"/>
  <c r="I658" i="1"/>
  <c r="H658" i="1"/>
  <c r="G658" i="1"/>
  <c r="R657" i="1"/>
  <c r="Q657" i="1"/>
  <c r="O657" i="1"/>
  <c r="N657" i="1"/>
  <c r="M657" i="1"/>
  <c r="L657" i="1"/>
  <c r="K657" i="1"/>
  <c r="J657" i="1"/>
  <c r="I657" i="1"/>
  <c r="H657" i="1"/>
  <c r="G657" i="1"/>
  <c r="R656" i="1"/>
  <c r="Q656" i="1"/>
  <c r="O656" i="1"/>
  <c r="N656" i="1"/>
  <c r="M656" i="1"/>
  <c r="L656" i="1"/>
  <c r="K656" i="1"/>
  <c r="J656" i="1"/>
  <c r="I656" i="1"/>
  <c r="H656" i="1"/>
  <c r="G656" i="1"/>
  <c r="R655" i="1"/>
  <c r="Q655" i="1"/>
  <c r="O655" i="1"/>
  <c r="N655" i="1"/>
  <c r="M655" i="1"/>
  <c r="L655" i="1"/>
  <c r="K655" i="1"/>
  <c r="J655" i="1"/>
  <c r="I655" i="1"/>
  <c r="H655" i="1"/>
  <c r="G655" i="1"/>
  <c r="R654" i="1"/>
  <c r="Q654" i="1"/>
  <c r="O654" i="1"/>
  <c r="N654" i="1"/>
  <c r="M654" i="1"/>
  <c r="L654" i="1"/>
  <c r="K654" i="1"/>
  <c r="J654" i="1"/>
  <c r="I654" i="1"/>
  <c r="H654" i="1"/>
  <c r="G654" i="1"/>
  <c r="R653" i="1"/>
  <c r="Q653" i="1"/>
  <c r="O653" i="1"/>
  <c r="N653" i="1"/>
  <c r="M653" i="1"/>
  <c r="L653" i="1"/>
  <c r="K653" i="1"/>
  <c r="J653" i="1"/>
  <c r="I653" i="1"/>
  <c r="H653" i="1"/>
  <c r="G653" i="1"/>
  <c r="R652" i="1"/>
  <c r="Q652" i="1"/>
  <c r="O652" i="1"/>
  <c r="N652" i="1"/>
  <c r="M652" i="1"/>
  <c r="L652" i="1"/>
  <c r="K652" i="1"/>
  <c r="J652" i="1"/>
  <c r="I652" i="1"/>
  <c r="H652" i="1"/>
  <c r="G652" i="1"/>
  <c r="R651" i="1"/>
  <c r="Q651" i="1"/>
  <c r="O651" i="1"/>
  <c r="N651" i="1"/>
  <c r="M651" i="1"/>
  <c r="L651" i="1"/>
  <c r="K651" i="1"/>
  <c r="J651" i="1"/>
  <c r="I651" i="1"/>
  <c r="H651" i="1"/>
  <c r="G651" i="1"/>
  <c r="R650" i="1"/>
  <c r="Q650" i="1"/>
  <c r="O650" i="1"/>
  <c r="N650" i="1"/>
  <c r="M650" i="1"/>
  <c r="L650" i="1"/>
  <c r="K650" i="1"/>
  <c r="J650" i="1"/>
  <c r="I650" i="1"/>
  <c r="H650" i="1"/>
  <c r="G650" i="1"/>
  <c r="R649" i="1"/>
  <c r="Q649" i="1"/>
  <c r="O649" i="1"/>
  <c r="N649" i="1"/>
  <c r="M649" i="1"/>
  <c r="L649" i="1"/>
  <c r="K649" i="1"/>
  <c r="J649" i="1"/>
  <c r="I649" i="1"/>
  <c r="H649" i="1"/>
  <c r="G649" i="1"/>
  <c r="R648" i="1"/>
  <c r="Q648" i="1"/>
  <c r="O648" i="1"/>
  <c r="N648" i="1"/>
  <c r="M648" i="1"/>
  <c r="L648" i="1"/>
  <c r="K648" i="1"/>
  <c r="J648" i="1"/>
  <c r="I648" i="1"/>
  <c r="H648" i="1"/>
  <c r="G648" i="1"/>
  <c r="R647" i="1"/>
  <c r="Q647" i="1"/>
  <c r="O647" i="1"/>
  <c r="N647" i="1"/>
  <c r="M647" i="1"/>
  <c r="L647" i="1"/>
  <c r="K647" i="1"/>
  <c r="J647" i="1"/>
  <c r="I647" i="1"/>
  <c r="H647" i="1"/>
  <c r="G647" i="1"/>
  <c r="R646" i="1"/>
  <c r="Q646" i="1"/>
  <c r="O646" i="1"/>
  <c r="N646" i="1"/>
  <c r="M646" i="1"/>
  <c r="L646" i="1"/>
  <c r="K646" i="1"/>
  <c r="J646" i="1"/>
  <c r="I646" i="1"/>
  <c r="H646" i="1"/>
  <c r="G646" i="1"/>
  <c r="R645" i="1"/>
  <c r="Q645" i="1"/>
  <c r="P645" i="1"/>
  <c r="O645" i="1"/>
  <c r="N645" i="1"/>
  <c r="M645" i="1"/>
  <c r="L645" i="1"/>
  <c r="K645" i="1"/>
  <c r="J645" i="1"/>
  <c r="I645" i="1"/>
  <c r="H645" i="1"/>
  <c r="G645" i="1"/>
  <c r="R644" i="1"/>
  <c r="Q644" i="1"/>
  <c r="P644" i="1"/>
  <c r="O644" i="1"/>
  <c r="N644" i="1"/>
  <c r="M644" i="1"/>
  <c r="L644" i="1"/>
  <c r="K644" i="1"/>
  <c r="J644" i="1"/>
  <c r="I644" i="1"/>
  <c r="H644" i="1"/>
  <c r="G644" i="1"/>
  <c r="R643" i="1"/>
  <c r="Q643" i="1"/>
  <c r="P643" i="1"/>
  <c r="O643" i="1"/>
  <c r="N643" i="1"/>
  <c r="M643" i="1"/>
  <c r="L643" i="1"/>
  <c r="K643" i="1"/>
  <c r="J643" i="1"/>
  <c r="I643" i="1"/>
  <c r="H643" i="1"/>
  <c r="G643" i="1"/>
  <c r="R642" i="1"/>
  <c r="Q642" i="1"/>
  <c r="P642" i="1"/>
  <c r="O642" i="1"/>
  <c r="N642" i="1"/>
  <c r="M642" i="1"/>
  <c r="L642" i="1"/>
  <c r="K642" i="1"/>
  <c r="J642" i="1"/>
  <c r="I642" i="1"/>
  <c r="H642" i="1"/>
  <c r="G642" i="1"/>
  <c r="R641" i="1"/>
  <c r="Q641" i="1"/>
  <c r="P641" i="1"/>
  <c r="O641" i="1"/>
  <c r="N641" i="1"/>
  <c r="M641" i="1"/>
  <c r="L641" i="1"/>
  <c r="K641" i="1"/>
  <c r="J641" i="1"/>
  <c r="I641" i="1"/>
  <c r="H641" i="1"/>
  <c r="G641" i="1"/>
  <c r="R640" i="1"/>
  <c r="Q640" i="1"/>
  <c r="P640" i="1"/>
  <c r="O640" i="1"/>
  <c r="N640" i="1"/>
  <c r="M640" i="1"/>
  <c r="L640" i="1"/>
  <c r="K640" i="1"/>
  <c r="J640" i="1"/>
  <c r="I640" i="1"/>
  <c r="H640" i="1"/>
  <c r="G640" i="1"/>
  <c r="R639" i="1"/>
  <c r="Q639" i="1"/>
  <c r="P639" i="1"/>
  <c r="O639" i="1"/>
  <c r="N639" i="1"/>
  <c r="M639" i="1"/>
  <c r="L639" i="1"/>
  <c r="K639" i="1"/>
  <c r="J639" i="1"/>
  <c r="I639" i="1"/>
  <c r="H639" i="1"/>
  <c r="G639" i="1"/>
  <c r="R638" i="1"/>
  <c r="Q638" i="1"/>
  <c r="P638" i="1"/>
  <c r="O638" i="1"/>
  <c r="N638" i="1"/>
  <c r="M638" i="1"/>
  <c r="L638" i="1"/>
  <c r="K638" i="1"/>
  <c r="J638" i="1"/>
  <c r="I638" i="1"/>
  <c r="H638" i="1"/>
  <c r="G638" i="1"/>
  <c r="R637" i="1"/>
  <c r="Q637" i="1"/>
  <c r="P637" i="1"/>
  <c r="O637" i="1"/>
  <c r="N637" i="1"/>
  <c r="M637" i="1"/>
  <c r="L637" i="1"/>
  <c r="K637" i="1"/>
  <c r="J637" i="1"/>
  <c r="I637" i="1"/>
  <c r="H637" i="1"/>
  <c r="G637" i="1"/>
  <c r="R636" i="1"/>
  <c r="Q636" i="1"/>
  <c r="P636" i="1"/>
  <c r="O636" i="1"/>
  <c r="N636" i="1"/>
  <c r="M636" i="1"/>
  <c r="L636" i="1"/>
  <c r="K636" i="1"/>
  <c r="J636" i="1"/>
  <c r="I636" i="1"/>
  <c r="H636" i="1"/>
  <c r="G636" i="1"/>
  <c r="R635" i="1"/>
  <c r="Q635" i="1"/>
  <c r="P635" i="1"/>
  <c r="O635" i="1"/>
  <c r="N635" i="1"/>
  <c r="M635" i="1"/>
  <c r="L635" i="1"/>
  <c r="K635" i="1"/>
  <c r="J635" i="1"/>
  <c r="I635" i="1"/>
  <c r="H635" i="1"/>
  <c r="G635" i="1"/>
  <c r="R634" i="1"/>
  <c r="Q634" i="1"/>
  <c r="P634" i="1"/>
  <c r="O634" i="1"/>
  <c r="N634" i="1"/>
  <c r="M634" i="1"/>
  <c r="L634" i="1"/>
  <c r="K634" i="1"/>
  <c r="J634" i="1"/>
  <c r="I634" i="1"/>
  <c r="H634" i="1"/>
  <c r="G634" i="1"/>
  <c r="R633" i="1"/>
  <c r="Q633" i="1"/>
  <c r="P633" i="1"/>
  <c r="O633" i="1"/>
  <c r="N633" i="1"/>
  <c r="M633" i="1"/>
  <c r="L633" i="1"/>
  <c r="K633" i="1"/>
  <c r="J633" i="1"/>
  <c r="I633" i="1"/>
  <c r="H633" i="1"/>
  <c r="G633" i="1"/>
  <c r="R632" i="1"/>
  <c r="Q632" i="1"/>
  <c r="P632" i="1"/>
  <c r="O632" i="1"/>
  <c r="N632" i="1"/>
  <c r="M632" i="1"/>
  <c r="L632" i="1"/>
  <c r="K632" i="1"/>
  <c r="J632" i="1"/>
  <c r="I632" i="1"/>
  <c r="H632" i="1"/>
  <c r="G632" i="1"/>
  <c r="R631" i="1"/>
  <c r="Q631" i="1"/>
  <c r="P631" i="1"/>
  <c r="O631" i="1"/>
  <c r="N631" i="1"/>
  <c r="M631" i="1"/>
  <c r="L631" i="1"/>
  <c r="K631" i="1"/>
  <c r="J631" i="1"/>
  <c r="I631" i="1"/>
  <c r="H631" i="1"/>
  <c r="G631" i="1"/>
  <c r="R630" i="1"/>
  <c r="Q630" i="1"/>
  <c r="P630" i="1"/>
  <c r="O630" i="1"/>
  <c r="N630" i="1"/>
  <c r="M630" i="1"/>
  <c r="L630" i="1"/>
  <c r="K630" i="1"/>
  <c r="J630" i="1"/>
  <c r="I630" i="1"/>
  <c r="H630" i="1"/>
  <c r="G630" i="1"/>
  <c r="R629" i="1"/>
  <c r="Q629" i="1"/>
  <c r="P629" i="1"/>
  <c r="O629" i="1"/>
  <c r="N629" i="1"/>
  <c r="M629" i="1"/>
  <c r="L629" i="1"/>
  <c r="K629" i="1"/>
  <c r="J629" i="1"/>
  <c r="I629" i="1"/>
  <c r="H629" i="1"/>
  <c r="G629" i="1"/>
  <c r="R628" i="1"/>
  <c r="Q628" i="1"/>
  <c r="P628" i="1"/>
  <c r="O628" i="1"/>
  <c r="N628" i="1"/>
  <c r="M628" i="1"/>
  <c r="L628" i="1"/>
  <c r="K628" i="1"/>
  <c r="J628" i="1"/>
  <c r="I628" i="1"/>
  <c r="H628" i="1"/>
  <c r="G628" i="1"/>
  <c r="R627" i="1"/>
  <c r="Q627" i="1"/>
  <c r="P627" i="1"/>
  <c r="O627" i="1"/>
  <c r="N627" i="1"/>
  <c r="M627" i="1"/>
  <c r="L627" i="1"/>
  <c r="K627" i="1"/>
  <c r="J627" i="1"/>
  <c r="I627" i="1"/>
  <c r="H627" i="1"/>
  <c r="G627" i="1"/>
  <c r="R626" i="1"/>
  <c r="Q626" i="1"/>
  <c r="P626" i="1"/>
  <c r="O626" i="1"/>
  <c r="N626" i="1"/>
  <c r="M626" i="1"/>
  <c r="L626" i="1"/>
  <c r="K626" i="1"/>
  <c r="J626" i="1"/>
  <c r="I626" i="1"/>
  <c r="H626" i="1"/>
  <c r="G626" i="1"/>
  <c r="R625" i="1"/>
  <c r="Q625" i="1"/>
  <c r="P625" i="1"/>
  <c r="O625" i="1"/>
  <c r="N625" i="1"/>
  <c r="M625" i="1"/>
  <c r="L625" i="1"/>
  <c r="K625" i="1"/>
  <c r="J625" i="1"/>
  <c r="I625" i="1"/>
  <c r="H625" i="1"/>
  <c r="G625" i="1"/>
  <c r="R624" i="1"/>
  <c r="Q624" i="1"/>
  <c r="P624" i="1"/>
  <c r="O624" i="1"/>
  <c r="N624" i="1"/>
  <c r="M624" i="1"/>
  <c r="L624" i="1"/>
  <c r="K624" i="1"/>
  <c r="J624" i="1"/>
  <c r="I624" i="1"/>
  <c r="H624" i="1"/>
  <c r="G624" i="1"/>
  <c r="R623" i="1"/>
  <c r="Q623" i="1"/>
  <c r="P623" i="1"/>
  <c r="O623" i="1"/>
  <c r="N623" i="1"/>
  <c r="M623" i="1"/>
  <c r="L623" i="1"/>
  <c r="K623" i="1"/>
  <c r="J623" i="1"/>
  <c r="I623" i="1"/>
  <c r="H623" i="1"/>
  <c r="G623" i="1"/>
  <c r="R622" i="1"/>
  <c r="Q622" i="1"/>
  <c r="P622" i="1"/>
  <c r="O622" i="1"/>
  <c r="N622" i="1"/>
  <c r="M622" i="1"/>
  <c r="L622" i="1"/>
  <c r="K622" i="1"/>
  <c r="J622" i="1"/>
  <c r="I622" i="1"/>
  <c r="H622" i="1"/>
  <c r="G622" i="1"/>
  <c r="R621" i="1"/>
  <c r="Q621" i="1"/>
  <c r="P621" i="1"/>
  <c r="O621" i="1"/>
  <c r="N621" i="1"/>
  <c r="M621" i="1"/>
  <c r="L621" i="1"/>
  <c r="K621" i="1"/>
  <c r="J621" i="1"/>
  <c r="I621" i="1"/>
  <c r="H621" i="1"/>
  <c r="G621" i="1"/>
  <c r="R620" i="1"/>
  <c r="Q620" i="1"/>
  <c r="P620" i="1"/>
  <c r="O620" i="1"/>
  <c r="N620" i="1"/>
  <c r="M620" i="1"/>
  <c r="L620" i="1"/>
  <c r="K620" i="1"/>
  <c r="J620" i="1"/>
  <c r="I620" i="1"/>
  <c r="H620" i="1"/>
  <c r="G620" i="1"/>
  <c r="R619" i="1"/>
  <c r="Q619" i="1"/>
  <c r="P619" i="1"/>
  <c r="O619" i="1"/>
  <c r="N619" i="1"/>
  <c r="M619" i="1"/>
  <c r="L619" i="1"/>
  <c r="K619" i="1"/>
  <c r="J619" i="1"/>
  <c r="I619" i="1"/>
  <c r="H619" i="1"/>
  <c r="G619" i="1"/>
  <c r="R618" i="1"/>
  <c r="Q618" i="1"/>
  <c r="P618" i="1"/>
  <c r="O618" i="1"/>
  <c r="N618" i="1"/>
  <c r="M618" i="1"/>
  <c r="L618" i="1"/>
  <c r="K618" i="1"/>
  <c r="J618" i="1"/>
  <c r="I618" i="1"/>
  <c r="H618" i="1"/>
  <c r="G618" i="1"/>
  <c r="R617" i="1"/>
  <c r="Q617" i="1"/>
  <c r="P617" i="1"/>
  <c r="O617" i="1"/>
  <c r="N617" i="1"/>
  <c r="M617" i="1"/>
  <c r="L617" i="1"/>
  <c r="K617" i="1"/>
  <c r="J617" i="1"/>
  <c r="I617" i="1"/>
  <c r="H617" i="1"/>
  <c r="G617" i="1"/>
  <c r="R616" i="1"/>
  <c r="Q616" i="1"/>
  <c r="P616" i="1"/>
  <c r="O616" i="1"/>
  <c r="N616" i="1"/>
  <c r="M616" i="1"/>
  <c r="L616" i="1"/>
  <c r="K616" i="1"/>
  <c r="J616" i="1"/>
  <c r="I616" i="1"/>
  <c r="H616" i="1"/>
  <c r="G616" i="1"/>
  <c r="R615" i="1"/>
  <c r="Q615" i="1"/>
  <c r="P615" i="1"/>
  <c r="O615" i="1"/>
  <c r="N615" i="1"/>
  <c r="M615" i="1"/>
  <c r="L615" i="1"/>
  <c r="K615" i="1"/>
  <c r="J615" i="1"/>
  <c r="I615" i="1"/>
  <c r="H615" i="1"/>
  <c r="G615" i="1"/>
  <c r="R614" i="1"/>
  <c r="Q614" i="1"/>
  <c r="P614" i="1"/>
  <c r="O614" i="1"/>
  <c r="N614" i="1"/>
  <c r="M614" i="1"/>
  <c r="L614" i="1"/>
  <c r="K614" i="1"/>
  <c r="J614" i="1"/>
  <c r="I614" i="1"/>
  <c r="H614" i="1"/>
  <c r="G614" i="1"/>
  <c r="R613" i="1"/>
  <c r="Q613" i="1"/>
  <c r="P613" i="1"/>
  <c r="O613" i="1"/>
  <c r="N613" i="1"/>
  <c r="M613" i="1"/>
  <c r="L613" i="1"/>
  <c r="K613" i="1"/>
  <c r="J613" i="1"/>
  <c r="I613" i="1"/>
  <c r="H613" i="1"/>
  <c r="G613" i="1"/>
  <c r="R612" i="1"/>
  <c r="Q612" i="1"/>
  <c r="P612" i="1"/>
  <c r="O612" i="1"/>
  <c r="N612" i="1"/>
  <c r="M612" i="1"/>
  <c r="L612" i="1"/>
  <c r="K612" i="1"/>
  <c r="J612" i="1"/>
  <c r="I612" i="1"/>
  <c r="H612" i="1"/>
  <c r="G612" i="1"/>
  <c r="R611" i="1"/>
  <c r="Q611" i="1"/>
  <c r="P611" i="1"/>
  <c r="O611" i="1"/>
  <c r="N611" i="1"/>
  <c r="M611" i="1"/>
  <c r="L611" i="1"/>
  <c r="K611" i="1"/>
  <c r="J611" i="1"/>
  <c r="I611" i="1"/>
  <c r="H611" i="1"/>
  <c r="G611" i="1"/>
  <c r="R610" i="1"/>
  <c r="Q610" i="1"/>
  <c r="P610" i="1"/>
  <c r="O610" i="1"/>
  <c r="N610" i="1"/>
  <c r="M610" i="1"/>
  <c r="L610" i="1"/>
  <c r="K610" i="1"/>
  <c r="J610" i="1"/>
  <c r="I610" i="1"/>
  <c r="H610" i="1"/>
  <c r="G610" i="1"/>
  <c r="R609" i="1"/>
  <c r="Q609" i="1"/>
  <c r="P609" i="1"/>
  <c r="O609" i="1"/>
  <c r="N609" i="1"/>
  <c r="M609" i="1"/>
  <c r="L609" i="1"/>
  <c r="K609" i="1"/>
  <c r="J609" i="1"/>
  <c r="I609" i="1"/>
  <c r="H609" i="1"/>
  <c r="G609" i="1"/>
  <c r="R608" i="1"/>
  <c r="Q608" i="1"/>
  <c r="P608" i="1"/>
  <c r="O608" i="1"/>
  <c r="N608" i="1"/>
  <c r="M608" i="1"/>
  <c r="L608" i="1"/>
  <c r="K608" i="1"/>
  <c r="J608" i="1"/>
  <c r="I608" i="1"/>
  <c r="H608" i="1"/>
  <c r="G608" i="1"/>
  <c r="R607" i="1"/>
  <c r="Q607" i="1"/>
  <c r="P607" i="1"/>
  <c r="O607" i="1"/>
  <c r="N607" i="1"/>
  <c r="M607" i="1"/>
  <c r="L607" i="1"/>
  <c r="K607" i="1"/>
  <c r="J607" i="1"/>
  <c r="I607" i="1"/>
  <c r="H607" i="1"/>
  <c r="G607" i="1"/>
  <c r="R606" i="1"/>
  <c r="Q606" i="1"/>
  <c r="P606" i="1"/>
  <c r="O606" i="1"/>
  <c r="N606" i="1"/>
  <c r="M606" i="1"/>
  <c r="L606" i="1"/>
  <c r="K606" i="1"/>
  <c r="J606" i="1"/>
  <c r="I606" i="1"/>
  <c r="H606" i="1"/>
  <c r="G606" i="1"/>
  <c r="R605" i="1"/>
  <c r="Q605" i="1"/>
  <c r="P605" i="1"/>
  <c r="O605" i="1"/>
  <c r="N605" i="1"/>
  <c r="M605" i="1"/>
  <c r="L605" i="1"/>
  <c r="K605" i="1"/>
  <c r="J605" i="1"/>
  <c r="I605" i="1"/>
  <c r="H605" i="1"/>
  <c r="G605" i="1"/>
  <c r="R604" i="1"/>
  <c r="Q604" i="1"/>
  <c r="P604" i="1"/>
  <c r="O604" i="1"/>
  <c r="N604" i="1"/>
  <c r="M604" i="1"/>
  <c r="L604" i="1"/>
  <c r="K604" i="1"/>
  <c r="J604" i="1"/>
  <c r="I604" i="1"/>
  <c r="H604" i="1"/>
  <c r="G604" i="1"/>
  <c r="R603" i="1"/>
  <c r="Q603" i="1"/>
  <c r="P603" i="1"/>
  <c r="O603" i="1"/>
  <c r="N603" i="1"/>
  <c r="M603" i="1"/>
  <c r="L603" i="1"/>
  <c r="K603" i="1"/>
  <c r="J603" i="1"/>
  <c r="I603" i="1"/>
  <c r="H603" i="1"/>
  <c r="G603" i="1"/>
  <c r="R602" i="1"/>
  <c r="Q602" i="1"/>
  <c r="P602" i="1"/>
  <c r="O602" i="1"/>
  <c r="N602" i="1"/>
  <c r="M602" i="1"/>
  <c r="L602" i="1"/>
  <c r="K602" i="1"/>
  <c r="J602" i="1"/>
  <c r="I602" i="1"/>
  <c r="H602" i="1"/>
  <c r="G602" i="1"/>
  <c r="R601" i="1"/>
  <c r="Q601" i="1"/>
  <c r="P601" i="1"/>
  <c r="O601" i="1"/>
  <c r="N601" i="1"/>
  <c r="M601" i="1"/>
  <c r="L601" i="1"/>
  <c r="K601" i="1"/>
  <c r="J601" i="1"/>
  <c r="I601" i="1"/>
  <c r="H601" i="1"/>
  <c r="G601" i="1"/>
  <c r="R600" i="1"/>
  <c r="Q600" i="1"/>
  <c r="P600" i="1"/>
  <c r="O600" i="1"/>
  <c r="N600" i="1"/>
  <c r="M600" i="1"/>
  <c r="L600" i="1"/>
  <c r="K600" i="1"/>
  <c r="J600" i="1"/>
  <c r="I600" i="1"/>
  <c r="H600" i="1"/>
  <c r="G600" i="1"/>
  <c r="R599" i="1"/>
  <c r="Q599" i="1"/>
  <c r="P599" i="1"/>
  <c r="O599" i="1"/>
  <c r="N599" i="1"/>
  <c r="M599" i="1"/>
  <c r="L599" i="1"/>
  <c r="K599" i="1"/>
  <c r="J599" i="1"/>
  <c r="I599" i="1"/>
  <c r="H599" i="1"/>
  <c r="G599" i="1"/>
  <c r="R598" i="1"/>
  <c r="Q598" i="1"/>
  <c r="P598" i="1"/>
  <c r="O598" i="1"/>
  <c r="N598" i="1"/>
  <c r="M598" i="1"/>
  <c r="L598" i="1"/>
  <c r="K598" i="1"/>
  <c r="J598" i="1"/>
  <c r="I598" i="1"/>
  <c r="H598" i="1"/>
  <c r="G598" i="1"/>
  <c r="R597" i="1"/>
  <c r="Q597" i="1"/>
  <c r="P597" i="1"/>
  <c r="O597" i="1"/>
  <c r="N597" i="1"/>
  <c r="M597" i="1"/>
  <c r="L597" i="1"/>
  <c r="K597" i="1"/>
  <c r="J597" i="1"/>
  <c r="I597" i="1"/>
  <c r="H597" i="1"/>
  <c r="G597" i="1"/>
  <c r="R596" i="1"/>
  <c r="Q596" i="1"/>
  <c r="P596" i="1"/>
  <c r="O596" i="1"/>
  <c r="N596" i="1"/>
  <c r="M596" i="1"/>
  <c r="L596" i="1"/>
  <c r="K596" i="1"/>
  <c r="J596" i="1"/>
  <c r="I596" i="1"/>
  <c r="H596" i="1"/>
  <c r="G596" i="1"/>
  <c r="R595" i="1"/>
  <c r="Q595" i="1"/>
  <c r="P595" i="1"/>
  <c r="O595" i="1"/>
  <c r="N595" i="1"/>
  <c r="M595" i="1"/>
  <c r="L595" i="1"/>
  <c r="K595" i="1"/>
  <c r="J595" i="1"/>
  <c r="I595" i="1"/>
  <c r="H595" i="1"/>
  <c r="G595" i="1"/>
  <c r="R594" i="1"/>
  <c r="Q594" i="1"/>
  <c r="P594" i="1"/>
  <c r="O594" i="1"/>
  <c r="N594" i="1"/>
  <c r="M594" i="1"/>
  <c r="L594" i="1"/>
  <c r="K594" i="1"/>
  <c r="J594" i="1"/>
  <c r="I594" i="1"/>
  <c r="H594" i="1"/>
  <c r="G594" i="1"/>
  <c r="R593" i="1"/>
  <c r="Q593" i="1"/>
  <c r="P593" i="1"/>
  <c r="O593" i="1"/>
  <c r="N593" i="1"/>
  <c r="M593" i="1"/>
  <c r="L593" i="1"/>
  <c r="K593" i="1"/>
  <c r="J593" i="1"/>
  <c r="I593" i="1"/>
  <c r="H593" i="1"/>
  <c r="G593" i="1"/>
  <c r="R592" i="1"/>
  <c r="Q592" i="1"/>
  <c r="P592" i="1"/>
  <c r="O592" i="1"/>
  <c r="N592" i="1"/>
  <c r="M592" i="1"/>
  <c r="L592" i="1"/>
  <c r="K592" i="1"/>
  <c r="J592" i="1"/>
  <c r="I592" i="1"/>
  <c r="H592" i="1"/>
  <c r="G592" i="1"/>
  <c r="R591" i="1"/>
  <c r="Q591" i="1"/>
  <c r="P591" i="1"/>
  <c r="O591" i="1"/>
  <c r="N591" i="1"/>
  <c r="M591" i="1"/>
  <c r="L591" i="1"/>
  <c r="K591" i="1"/>
  <c r="J591" i="1"/>
  <c r="I591" i="1"/>
  <c r="H591" i="1"/>
  <c r="G591" i="1"/>
  <c r="R590" i="1"/>
  <c r="Q590" i="1"/>
  <c r="P590" i="1"/>
  <c r="O590" i="1"/>
  <c r="N590" i="1"/>
  <c r="M590" i="1"/>
  <c r="L590" i="1"/>
  <c r="K590" i="1"/>
  <c r="J590" i="1"/>
  <c r="I590" i="1"/>
  <c r="H590" i="1"/>
  <c r="G590" i="1"/>
  <c r="R589" i="1"/>
  <c r="Q589" i="1"/>
  <c r="P589" i="1"/>
  <c r="O589" i="1"/>
  <c r="N589" i="1"/>
  <c r="M589" i="1"/>
  <c r="L589" i="1"/>
  <c r="K589" i="1"/>
  <c r="J589" i="1"/>
  <c r="I589" i="1"/>
  <c r="H589" i="1"/>
  <c r="G589" i="1"/>
  <c r="R588" i="1"/>
  <c r="Q588" i="1"/>
  <c r="P588" i="1"/>
  <c r="O588" i="1"/>
  <c r="N588" i="1"/>
  <c r="M588" i="1"/>
  <c r="L588" i="1"/>
  <c r="K588" i="1"/>
  <c r="J588" i="1"/>
  <c r="I588" i="1"/>
  <c r="H588" i="1"/>
  <c r="G588" i="1"/>
  <c r="R587" i="1"/>
  <c r="Q587" i="1"/>
  <c r="P587" i="1"/>
  <c r="O587" i="1"/>
  <c r="N587" i="1"/>
  <c r="M587" i="1"/>
  <c r="L587" i="1"/>
  <c r="K587" i="1"/>
  <c r="J587" i="1"/>
  <c r="I587" i="1"/>
  <c r="H587" i="1"/>
  <c r="G587" i="1"/>
  <c r="R586" i="1"/>
  <c r="Q586" i="1"/>
  <c r="P586" i="1"/>
  <c r="O586" i="1"/>
  <c r="N586" i="1"/>
  <c r="M586" i="1"/>
  <c r="L586" i="1"/>
  <c r="K586" i="1"/>
  <c r="J586" i="1"/>
  <c r="I586" i="1"/>
  <c r="H586" i="1"/>
  <c r="G586" i="1"/>
  <c r="R585" i="1"/>
  <c r="Q585" i="1"/>
  <c r="P585" i="1"/>
  <c r="O585" i="1"/>
  <c r="N585" i="1"/>
  <c r="M585" i="1"/>
  <c r="L585" i="1"/>
  <c r="K585" i="1"/>
  <c r="J585" i="1"/>
  <c r="I585" i="1"/>
  <c r="H585" i="1"/>
  <c r="G585" i="1"/>
  <c r="R584" i="1"/>
  <c r="Q584" i="1"/>
  <c r="P584" i="1"/>
  <c r="O584" i="1"/>
  <c r="N584" i="1"/>
  <c r="M584" i="1"/>
  <c r="L584" i="1"/>
  <c r="K584" i="1"/>
  <c r="J584" i="1"/>
  <c r="I584" i="1"/>
  <c r="H584" i="1"/>
  <c r="G584" i="1"/>
  <c r="R583" i="1"/>
  <c r="Q583" i="1"/>
  <c r="P583" i="1"/>
  <c r="O583" i="1"/>
  <c r="N583" i="1"/>
  <c r="M583" i="1"/>
  <c r="L583" i="1"/>
  <c r="K583" i="1"/>
  <c r="J583" i="1"/>
  <c r="I583" i="1"/>
  <c r="H583" i="1"/>
  <c r="G583" i="1"/>
  <c r="R582" i="1"/>
  <c r="Q582" i="1"/>
  <c r="P582" i="1"/>
  <c r="O582" i="1"/>
  <c r="N582" i="1"/>
  <c r="M582" i="1"/>
  <c r="L582" i="1"/>
  <c r="K582" i="1"/>
  <c r="J582" i="1"/>
  <c r="I582" i="1"/>
  <c r="H582" i="1"/>
  <c r="G582" i="1"/>
  <c r="R581" i="1"/>
  <c r="Q581" i="1"/>
  <c r="P581" i="1"/>
  <c r="O581" i="1"/>
  <c r="N581" i="1"/>
  <c r="M581" i="1"/>
  <c r="L581" i="1"/>
  <c r="K581" i="1"/>
  <c r="J581" i="1"/>
  <c r="I581" i="1"/>
  <c r="H581" i="1"/>
  <c r="G581" i="1"/>
  <c r="R580" i="1"/>
  <c r="Q580" i="1"/>
  <c r="P580" i="1"/>
  <c r="O580" i="1"/>
  <c r="N580" i="1"/>
  <c r="M580" i="1"/>
  <c r="L580" i="1"/>
  <c r="K580" i="1"/>
  <c r="J580" i="1"/>
  <c r="I580" i="1"/>
  <c r="H580" i="1"/>
  <c r="G580" i="1"/>
  <c r="R579" i="1"/>
  <c r="Q579" i="1"/>
  <c r="P579" i="1"/>
  <c r="O579" i="1"/>
  <c r="N579" i="1"/>
  <c r="M579" i="1"/>
  <c r="L579" i="1"/>
  <c r="K579" i="1"/>
  <c r="J579" i="1"/>
  <c r="I579" i="1"/>
  <c r="H579" i="1"/>
  <c r="G579" i="1"/>
  <c r="R578" i="1"/>
  <c r="Q578" i="1"/>
  <c r="P578" i="1"/>
  <c r="O578" i="1"/>
  <c r="N578" i="1"/>
  <c r="M578" i="1"/>
  <c r="L578" i="1"/>
  <c r="K578" i="1"/>
  <c r="J578" i="1"/>
  <c r="I578" i="1"/>
  <c r="H578" i="1"/>
  <c r="G578" i="1"/>
  <c r="R577" i="1"/>
  <c r="Q577" i="1"/>
  <c r="P577" i="1"/>
  <c r="O577" i="1"/>
  <c r="N577" i="1"/>
  <c r="M577" i="1"/>
  <c r="L577" i="1"/>
  <c r="K577" i="1"/>
  <c r="J577" i="1"/>
  <c r="I577" i="1"/>
  <c r="H577" i="1"/>
  <c r="G577" i="1"/>
  <c r="R576" i="1"/>
  <c r="Q576" i="1"/>
  <c r="P576" i="1"/>
  <c r="O576" i="1"/>
  <c r="N576" i="1"/>
  <c r="M576" i="1"/>
  <c r="L576" i="1"/>
  <c r="K576" i="1"/>
  <c r="J576" i="1"/>
  <c r="I576" i="1"/>
  <c r="H576" i="1"/>
  <c r="G576" i="1"/>
  <c r="R575" i="1"/>
  <c r="Q575" i="1"/>
  <c r="P575" i="1"/>
  <c r="O575" i="1"/>
  <c r="N575" i="1"/>
  <c r="M575" i="1"/>
  <c r="L575" i="1"/>
  <c r="K575" i="1"/>
  <c r="J575" i="1"/>
  <c r="I575" i="1"/>
  <c r="H575" i="1"/>
  <c r="G575" i="1"/>
  <c r="R574" i="1"/>
  <c r="Q574" i="1"/>
  <c r="P574" i="1"/>
  <c r="O574" i="1"/>
  <c r="N574" i="1"/>
  <c r="M574" i="1"/>
  <c r="L574" i="1"/>
  <c r="K574" i="1"/>
  <c r="J574" i="1"/>
  <c r="I574" i="1"/>
  <c r="H574" i="1"/>
  <c r="G574" i="1"/>
  <c r="R573" i="1"/>
  <c r="Q573" i="1"/>
  <c r="P573" i="1"/>
  <c r="O573" i="1"/>
  <c r="N573" i="1"/>
  <c r="M573" i="1"/>
  <c r="L573" i="1"/>
  <c r="K573" i="1"/>
  <c r="J573" i="1"/>
  <c r="I573" i="1"/>
  <c r="H573" i="1"/>
  <c r="G573" i="1"/>
  <c r="R572" i="1"/>
  <c r="Q572" i="1"/>
  <c r="P572" i="1"/>
  <c r="O572" i="1"/>
  <c r="N572" i="1"/>
  <c r="M572" i="1"/>
  <c r="L572" i="1"/>
  <c r="K572" i="1"/>
  <c r="J572" i="1"/>
  <c r="I572" i="1"/>
  <c r="H572" i="1"/>
  <c r="G572" i="1"/>
  <c r="R571" i="1"/>
  <c r="Q571" i="1"/>
  <c r="P571" i="1"/>
  <c r="O571" i="1"/>
  <c r="N571" i="1"/>
  <c r="M571" i="1"/>
  <c r="L571" i="1"/>
  <c r="K571" i="1"/>
  <c r="J571" i="1"/>
  <c r="I571" i="1"/>
  <c r="H571" i="1"/>
  <c r="G571" i="1"/>
  <c r="R570" i="1"/>
  <c r="Q570" i="1"/>
  <c r="P570" i="1"/>
  <c r="O570" i="1"/>
  <c r="N570" i="1"/>
  <c r="M570" i="1"/>
  <c r="L570" i="1"/>
  <c r="K570" i="1"/>
  <c r="J570" i="1"/>
  <c r="I570" i="1"/>
  <c r="H570" i="1"/>
  <c r="G570" i="1"/>
  <c r="R569" i="1"/>
  <c r="Q569" i="1"/>
  <c r="P569" i="1"/>
  <c r="O569" i="1"/>
  <c r="N569" i="1"/>
  <c r="M569" i="1"/>
  <c r="L569" i="1"/>
  <c r="K569" i="1"/>
  <c r="J569" i="1"/>
  <c r="I569" i="1"/>
  <c r="H569" i="1"/>
  <c r="G569" i="1"/>
  <c r="R568" i="1"/>
  <c r="Q568" i="1"/>
  <c r="P568" i="1"/>
  <c r="O568" i="1"/>
  <c r="N568" i="1"/>
  <c r="M568" i="1"/>
  <c r="L568" i="1"/>
  <c r="K568" i="1"/>
  <c r="J568" i="1"/>
  <c r="I568" i="1"/>
  <c r="H568" i="1"/>
  <c r="G568" i="1"/>
  <c r="R567" i="1"/>
  <c r="Q567" i="1"/>
  <c r="P567" i="1"/>
  <c r="O567" i="1"/>
  <c r="N567" i="1"/>
  <c r="M567" i="1"/>
  <c r="L567" i="1"/>
  <c r="K567" i="1"/>
  <c r="J567" i="1"/>
  <c r="I567" i="1"/>
  <c r="H567" i="1"/>
  <c r="G567" i="1"/>
  <c r="R566" i="1"/>
  <c r="Q566" i="1"/>
  <c r="P566" i="1"/>
  <c r="O566" i="1"/>
  <c r="N566" i="1"/>
  <c r="M566" i="1"/>
  <c r="L566" i="1"/>
  <c r="K566" i="1"/>
  <c r="J566" i="1"/>
  <c r="I566" i="1"/>
  <c r="H566" i="1"/>
  <c r="G566" i="1"/>
  <c r="R565" i="1"/>
  <c r="Q565" i="1"/>
  <c r="P565" i="1"/>
  <c r="O565" i="1"/>
  <c r="N565" i="1"/>
  <c r="M565" i="1"/>
  <c r="L565" i="1"/>
  <c r="K565" i="1"/>
  <c r="J565" i="1"/>
  <c r="I565" i="1"/>
  <c r="H565" i="1"/>
  <c r="G565" i="1"/>
  <c r="R564" i="1"/>
  <c r="Q564" i="1"/>
  <c r="P564" i="1"/>
  <c r="O564" i="1"/>
  <c r="N564" i="1"/>
  <c r="M564" i="1"/>
  <c r="L564" i="1"/>
  <c r="K564" i="1"/>
  <c r="J564" i="1"/>
  <c r="I564" i="1"/>
  <c r="H564" i="1"/>
  <c r="G564" i="1"/>
  <c r="R563" i="1"/>
  <c r="Q563" i="1"/>
  <c r="P563" i="1"/>
  <c r="O563" i="1"/>
  <c r="N563" i="1"/>
  <c r="M563" i="1"/>
  <c r="L563" i="1"/>
  <c r="K563" i="1"/>
  <c r="J563" i="1"/>
  <c r="I563" i="1"/>
  <c r="H563" i="1"/>
  <c r="G563" i="1"/>
  <c r="R562" i="1"/>
  <c r="Q562" i="1"/>
  <c r="P562" i="1"/>
  <c r="O562" i="1"/>
  <c r="N562" i="1"/>
  <c r="M562" i="1"/>
  <c r="L562" i="1"/>
  <c r="K562" i="1"/>
  <c r="J562" i="1"/>
  <c r="I562" i="1"/>
  <c r="H562" i="1"/>
  <c r="G562" i="1"/>
  <c r="R561" i="1"/>
  <c r="Q561" i="1"/>
  <c r="P561" i="1"/>
  <c r="O561" i="1"/>
  <c r="N561" i="1"/>
  <c r="M561" i="1"/>
  <c r="L561" i="1"/>
  <c r="K561" i="1"/>
  <c r="J561" i="1"/>
  <c r="I561" i="1"/>
  <c r="H561" i="1"/>
  <c r="G561" i="1"/>
  <c r="R560" i="1"/>
  <c r="Q560" i="1"/>
  <c r="P560" i="1"/>
  <c r="O560" i="1"/>
  <c r="N560" i="1"/>
  <c r="M560" i="1"/>
  <c r="L560" i="1"/>
  <c r="K560" i="1"/>
  <c r="J560" i="1"/>
  <c r="I560" i="1"/>
  <c r="H560" i="1"/>
  <c r="G560" i="1"/>
  <c r="R559" i="1"/>
  <c r="Q559" i="1"/>
  <c r="P559" i="1"/>
  <c r="O559" i="1"/>
  <c r="N559" i="1"/>
  <c r="M559" i="1"/>
  <c r="L559" i="1"/>
  <c r="K559" i="1"/>
  <c r="J559" i="1"/>
  <c r="I559" i="1"/>
  <c r="H559" i="1"/>
  <c r="G559" i="1"/>
  <c r="R558" i="1"/>
  <c r="Q558" i="1"/>
  <c r="P558" i="1"/>
  <c r="O558" i="1"/>
  <c r="N558" i="1"/>
  <c r="M558" i="1"/>
  <c r="L558" i="1"/>
  <c r="K558" i="1"/>
  <c r="J558" i="1"/>
  <c r="I558" i="1"/>
  <c r="H558" i="1"/>
  <c r="G558" i="1"/>
  <c r="R557" i="1"/>
  <c r="Q557" i="1"/>
  <c r="P557" i="1"/>
  <c r="O557" i="1"/>
  <c r="N557" i="1"/>
  <c r="M557" i="1"/>
  <c r="L557" i="1"/>
  <c r="K557" i="1"/>
  <c r="J557" i="1"/>
  <c r="I557" i="1"/>
  <c r="H557" i="1"/>
  <c r="G557" i="1"/>
  <c r="R556" i="1"/>
  <c r="Q556" i="1"/>
  <c r="P556" i="1"/>
  <c r="O556" i="1"/>
  <c r="N556" i="1"/>
  <c r="M556" i="1"/>
  <c r="L556" i="1"/>
  <c r="K556" i="1"/>
  <c r="J556" i="1"/>
  <c r="I556" i="1"/>
  <c r="H556" i="1"/>
  <c r="G556" i="1"/>
  <c r="R555" i="1"/>
  <c r="Q555" i="1"/>
  <c r="P555" i="1"/>
  <c r="O555" i="1"/>
  <c r="N555" i="1"/>
  <c r="M555" i="1"/>
  <c r="L555" i="1"/>
  <c r="K555" i="1"/>
  <c r="J555" i="1"/>
  <c r="I555" i="1"/>
  <c r="H555" i="1"/>
  <c r="G555" i="1"/>
  <c r="R554" i="1"/>
  <c r="Q554" i="1"/>
  <c r="P554" i="1"/>
  <c r="O554" i="1"/>
  <c r="N554" i="1"/>
  <c r="M554" i="1"/>
  <c r="L554" i="1"/>
  <c r="K554" i="1"/>
  <c r="J554" i="1"/>
  <c r="I554" i="1"/>
  <c r="H554" i="1"/>
  <c r="G554" i="1"/>
  <c r="R553" i="1"/>
  <c r="Q553" i="1"/>
  <c r="P553" i="1"/>
  <c r="O553" i="1"/>
  <c r="N553" i="1"/>
  <c r="M553" i="1"/>
  <c r="L553" i="1"/>
  <c r="K553" i="1"/>
  <c r="J553" i="1"/>
  <c r="I553" i="1"/>
  <c r="H553" i="1"/>
  <c r="G553" i="1"/>
  <c r="R552" i="1"/>
  <c r="Q552" i="1"/>
  <c r="P552" i="1"/>
  <c r="O552" i="1"/>
  <c r="N552" i="1"/>
  <c r="M552" i="1"/>
  <c r="L552" i="1"/>
  <c r="K552" i="1"/>
  <c r="J552" i="1"/>
  <c r="I552" i="1"/>
  <c r="H552" i="1"/>
  <c r="G552" i="1"/>
  <c r="R551" i="1"/>
  <c r="Q551" i="1"/>
  <c r="P551" i="1"/>
  <c r="O551" i="1"/>
  <c r="N551" i="1"/>
  <c r="M551" i="1"/>
  <c r="L551" i="1"/>
  <c r="K551" i="1"/>
  <c r="J551" i="1"/>
  <c r="I551" i="1"/>
  <c r="H551" i="1"/>
  <c r="G551" i="1"/>
  <c r="R550" i="1"/>
  <c r="Q550" i="1"/>
  <c r="P550" i="1"/>
  <c r="O550" i="1"/>
  <c r="N550" i="1"/>
  <c r="M550" i="1"/>
  <c r="L550" i="1"/>
  <c r="K550" i="1"/>
  <c r="J550" i="1"/>
  <c r="I550" i="1"/>
  <c r="H550" i="1"/>
  <c r="G550" i="1"/>
  <c r="R549" i="1"/>
  <c r="Q549" i="1"/>
  <c r="P549" i="1"/>
  <c r="O549" i="1"/>
  <c r="N549" i="1"/>
  <c r="M549" i="1"/>
  <c r="L549" i="1"/>
  <c r="K549" i="1"/>
  <c r="J549" i="1"/>
  <c r="I549" i="1"/>
  <c r="H549" i="1"/>
  <c r="G549" i="1"/>
  <c r="R548" i="1"/>
  <c r="Q548" i="1"/>
  <c r="P548" i="1"/>
  <c r="O548" i="1"/>
  <c r="N548" i="1"/>
  <c r="M548" i="1"/>
  <c r="L548" i="1"/>
  <c r="K548" i="1"/>
  <c r="J548" i="1"/>
  <c r="I548" i="1"/>
  <c r="H548" i="1"/>
  <c r="G548" i="1"/>
  <c r="R547" i="1"/>
  <c r="Q547" i="1"/>
  <c r="P547" i="1"/>
  <c r="O547" i="1"/>
  <c r="N547" i="1"/>
  <c r="M547" i="1"/>
  <c r="L547" i="1"/>
  <c r="K547" i="1"/>
  <c r="J547" i="1"/>
  <c r="I547" i="1"/>
  <c r="H547" i="1"/>
  <c r="G547" i="1"/>
  <c r="R546" i="1"/>
  <c r="Q546" i="1"/>
  <c r="P546" i="1"/>
  <c r="O546" i="1"/>
  <c r="N546" i="1"/>
  <c r="M546" i="1"/>
  <c r="L546" i="1"/>
  <c r="K546" i="1"/>
  <c r="J546" i="1"/>
  <c r="I546" i="1"/>
  <c r="H546" i="1"/>
  <c r="G546" i="1"/>
  <c r="R545" i="1"/>
  <c r="Q545" i="1"/>
  <c r="P545" i="1"/>
  <c r="O545" i="1"/>
  <c r="N545" i="1"/>
  <c r="M545" i="1"/>
  <c r="L545" i="1"/>
  <c r="K545" i="1"/>
  <c r="J545" i="1"/>
  <c r="I545" i="1"/>
  <c r="H545" i="1"/>
  <c r="G545" i="1"/>
  <c r="R544" i="1"/>
  <c r="Q544" i="1"/>
  <c r="P544" i="1"/>
  <c r="O544" i="1"/>
  <c r="N544" i="1"/>
  <c r="M544" i="1"/>
  <c r="L544" i="1"/>
  <c r="K544" i="1"/>
  <c r="J544" i="1"/>
  <c r="I544" i="1"/>
  <c r="H544" i="1"/>
  <c r="G544" i="1"/>
  <c r="R543" i="1"/>
  <c r="Q543" i="1"/>
  <c r="P543" i="1"/>
  <c r="O543" i="1"/>
  <c r="N543" i="1"/>
  <c r="M543" i="1"/>
  <c r="L543" i="1"/>
  <c r="K543" i="1"/>
  <c r="J543" i="1"/>
  <c r="I543" i="1"/>
  <c r="H543" i="1"/>
  <c r="G543" i="1"/>
  <c r="R542" i="1"/>
  <c r="Q542" i="1"/>
  <c r="P542" i="1"/>
  <c r="O542" i="1"/>
  <c r="N542" i="1"/>
  <c r="M542" i="1"/>
  <c r="L542" i="1"/>
  <c r="K542" i="1"/>
  <c r="J542" i="1"/>
  <c r="I542" i="1"/>
  <c r="H542" i="1"/>
  <c r="G542" i="1"/>
  <c r="R541" i="1"/>
  <c r="Q541" i="1"/>
  <c r="P541" i="1"/>
  <c r="O541" i="1"/>
  <c r="N541" i="1"/>
  <c r="M541" i="1"/>
  <c r="L541" i="1"/>
  <c r="K541" i="1"/>
  <c r="J541" i="1"/>
  <c r="I541" i="1"/>
  <c r="H541" i="1"/>
  <c r="G541" i="1"/>
  <c r="R540" i="1"/>
  <c r="Q540" i="1"/>
  <c r="P540" i="1"/>
  <c r="O540" i="1"/>
  <c r="N540" i="1"/>
  <c r="M540" i="1"/>
  <c r="L540" i="1"/>
  <c r="K540" i="1"/>
  <c r="J540" i="1"/>
  <c r="I540" i="1"/>
  <c r="H540" i="1"/>
  <c r="G540" i="1"/>
  <c r="R539" i="1"/>
  <c r="Q539" i="1"/>
  <c r="P539" i="1"/>
  <c r="O539" i="1"/>
  <c r="N539" i="1"/>
  <c r="M539" i="1"/>
  <c r="L539" i="1"/>
  <c r="K539" i="1"/>
  <c r="J539" i="1"/>
  <c r="I539" i="1"/>
  <c r="H539" i="1"/>
  <c r="G539" i="1"/>
  <c r="R538" i="1"/>
  <c r="Q538" i="1"/>
  <c r="P538" i="1"/>
  <c r="O538" i="1"/>
  <c r="N538" i="1"/>
  <c r="M538" i="1"/>
  <c r="L538" i="1"/>
  <c r="K538" i="1"/>
  <c r="J538" i="1"/>
  <c r="I538" i="1"/>
  <c r="H538" i="1"/>
  <c r="G538" i="1"/>
  <c r="R537" i="1"/>
  <c r="Q537" i="1"/>
  <c r="P537" i="1"/>
  <c r="O537" i="1"/>
  <c r="N537" i="1"/>
  <c r="M537" i="1"/>
  <c r="L537" i="1"/>
  <c r="K537" i="1"/>
  <c r="J537" i="1"/>
  <c r="I537" i="1"/>
  <c r="H537" i="1"/>
  <c r="G537" i="1"/>
  <c r="R536" i="1"/>
  <c r="Q536" i="1"/>
  <c r="P536" i="1"/>
  <c r="O536" i="1"/>
  <c r="N536" i="1"/>
  <c r="M536" i="1"/>
  <c r="L536" i="1"/>
  <c r="K536" i="1"/>
  <c r="J536" i="1"/>
  <c r="I536" i="1"/>
  <c r="H536" i="1"/>
  <c r="G536" i="1"/>
  <c r="R535" i="1"/>
  <c r="Q535" i="1"/>
  <c r="P535" i="1"/>
  <c r="O535" i="1"/>
  <c r="N535" i="1"/>
  <c r="M535" i="1"/>
  <c r="L535" i="1"/>
  <c r="K535" i="1"/>
  <c r="J535" i="1"/>
  <c r="I535" i="1"/>
  <c r="H535" i="1"/>
  <c r="G535" i="1"/>
  <c r="R534" i="1"/>
  <c r="Q534" i="1"/>
  <c r="P534" i="1"/>
  <c r="O534" i="1"/>
  <c r="N534" i="1"/>
  <c r="M534" i="1"/>
  <c r="L534" i="1"/>
  <c r="K534" i="1"/>
  <c r="J534" i="1"/>
  <c r="I534" i="1"/>
  <c r="H534" i="1"/>
  <c r="G534" i="1"/>
  <c r="R533" i="1"/>
  <c r="Q533" i="1"/>
  <c r="P533" i="1"/>
  <c r="O533" i="1"/>
  <c r="N533" i="1"/>
  <c r="M533" i="1"/>
  <c r="L533" i="1"/>
  <c r="K533" i="1"/>
  <c r="J533" i="1"/>
  <c r="I533" i="1"/>
  <c r="H533" i="1"/>
  <c r="G533" i="1"/>
  <c r="R532" i="1"/>
  <c r="Q532" i="1"/>
  <c r="P532" i="1"/>
  <c r="O532" i="1"/>
  <c r="N532" i="1"/>
  <c r="M532" i="1"/>
  <c r="L532" i="1"/>
  <c r="K532" i="1"/>
  <c r="J532" i="1"/>
  <c r="I532" i="1"/>
  <c r="H532" i="1"/>
  <c r="G532" i="1"/>
  <c r="R531" i="1"/>
  <c r="Q531" i="1"/>
  <c r="P531" i="1"/>
  <c r="O531" i="1"/>
  <c r="N531" i="1"/>
  <c r="M531" i="1"/>
  <c r="L531" i="1"/>
  <c r="K531" i="1"/>
  <c r="J531" i="1"/>
  <c r="I531" i="1"/>
  <c r="H531" i="1"/>
  <c r="G531" i="1"/>
  <c r="R530" i="1"/>
  <c r="Q530" i="1"/>
  <c r="P530" i="1"/>
  <c r="O530" i="1"/>
  <c r="N530" i="1"/>
  <c r="M530" i="1"/>
  <c r="L530" i="1"/>
  <c r="K530" i="1"/>
  <c r="J530" i="1"/>
  <c r="I530" i="1"/>
  <c r="H530" i="1"/>
  <c r="G530" i="1"/>
  <c r="R529" i="1"/>
  <c r="Q529" i="1"/>
  <c r="P529" i="1"/>
  <c r="O529" i="1"/>
  <c r="N529" i="1"/>
  <c r="M529" i="1"/>
  <c r="L529" i="1"/>
  <c r="K529" i="1"/>
  <c r="J529" i="1"/>
  <c r="I529" i="1"/>
  <c r="H529" i="1"/>
  <c r="G529" i="1"/>
  <c r="R528" i="1"/>
  <c r="Q528" i="1"/>
  <c r="P528" i="1"/>
  <c r="O528" i="1"/>
  <c r="N528" i="1"/>
  <c r="M528" i="1"/>
  <c r="L528" i="1"/>
  <c r="K528" i="1"/>
  <c r="J528" i="1"/>
  <c r="I528" i="1"/>
  <c r="H528" i="1"/>
  <c r="G528" i="1"/>
  <c r="R527" i="1"/>
  <c r="Q527" i="1"/>
  <c r="P527" i="1"/>
  <c r="O527" i="1"/>
  <c r="N527" i="1"/>
  <c r="M527" i="1"/>
  <c r="L527" i="1"/>
  <c r="K527" i="1"/>
  <c r="J527" i="1"/>
  <c r="I527" i="1"/>
  <c r="H527" i="1"/>
  <c r="G527" i="1"/>
  <c r="R526" i="1"/>
  <c r="Q526" i="1"/>
  <c r="P526" i="1"/>
  <c r="O526" i="1"/>
  <c r="N526" i="1"/>
  <c r="M526" i="1"/>
  <c r="L526" i="1"/>
  <c r="K526" i="1"/>
  <c r="J526" i="1"/>
  <c r="I526" i="1"/>
  <c r="H526" i="1"/>
  <c r="G526" i="1"/>
  <c r="R525" i="1"/>
  <c r="Q525" i="1"/>
  <c r="P525" i="1"/>
  <c r="O525" i="1"/>
  <c r="N525" i="1"/>
  <c r="M525" i="1"/>
  <c r="L525" i="1"/>
  <c r="K525" i="1"/>
  <c r="J525" i="1"/>
  <c r="I525" i="1"/>
  <c r="H525" i="1"/>
  <c r="G525" i="1"/>
  <c r="R524" i="1"/>
  <c r="Q524" i="1"/>
  <c r="P524" i="1"/>
  <c r="O524" i="1"/>
  <c r="N524" i="1"/>
  <c r="M524" i="1"/>
  <c r="L524" i="1"/>
  <c r="K524" i="1"/>
  <c r="J524" i="1"/>
  <c r="I524" i="1"/>
  <c r="H524" i="1"/>
  <c r="G524" i="1"/>
  <c r="R523" i="1"/>
  <c r="Q523" i="1"/>
  <c r="P523" i="1"/>
  <c r="O523" i="1"/>
  <c r="N523" i="1"/>
  <c r="M523" i="1"/>
  <c r="L523" i="1"/>
  <c r="K523" i="1"/>
  <c r="J523" i="1"/>
  <c r="I523" i="1"/>
  <c r="H523" i="1"/>
  <c r="G523" i="1"/>
  <c r="R522" i="1"/>
  <c r="Q522" i="1"/>
  <c r="P522" i="1"/>
  <c r="O522" i="1"/>
  <c r="N522" i="1"/>
  <c r="M522" i="1"/>
  <c r="L522" i="1"/>
  <c r="K522" i="1"/>
  <c r="J522" i="1"/>
  <c r="I522" i="1"/>
  <c r="H522" i="1"/>
  <c r="G522" i="1"/>
  <c r="R521" i="1"/>
  <c r="Q521" i="1"/>
  <c r="P521" i="1"/>
  <c r="O521" i="1"/>
  <c r="N521" i="1"/>
  <c r="M521" i="1"/>
  <c r="L521" i="1"/>
  <c r="K521" i="1"/>
  <c r="J521" i="1"/>
  <c r="I521" i="1"/>
  <c r="H521" i="1"/>
  <c r="G521" i="1"/>
  <c r="R520" i="1"/>
  <c r="Q520" i="1"/>
  <c r="P520" i="1"/>
  <c r="O520" i="1"/>
  <c r="N520" i="1"/>
  <c r="M520" i="1"/>
  <c r="L520" i="1"/>
  <c r="K520" i="1"/>
  <c r="J520" i="1"/>
  <c r="I520" i="1"/>
  <c r="H520" i="1"/>
  <c r="G520" i="1"/>
  <c r="R519" i="1"/>
  <c r="Q519" i="1"/>
  <c r="P519" i="1"/>
  <c r="O519" i="1"/>
  <c r="N519" i="1"/>
  <c r="M519" i="1"/>
  <c r="L519" i="1"/>
  <c r="K519" i="1"/>
  <c r="J519" i="1"/>
  <c r="I519" i="1"/>
  <c r="H519" i="1"/>
  <c r="G519" i="1"/>
  <c r="R518" i="1"/>
  <c r="Q518" i="1"/>
  <c r="P518" i="1"/>
  <c r="O518" i="1"/>
  <c r="N518" i="1"/>
  <c r="M518" i="1"/>
  <c r="L518" i="1"/>
  <c r="K518" i="1"/>
  <c r="J518" i="1"/>
  <c r="I518" i="1"/>
  <c r="H518" i="1"/>
  <c r="G518" i="1"/>
  <c r="R517" i="1"/>
  <c r="Q517" i="1"/>
  <c r="P517" i="1"/>
  <c r="O517" i="1"/>
  <c r="N517" i="1"/>
  <c r="M517" i="1"/>
  <c r="L517" i="1"/>
  <c r="K517" i="1"/>
  <c r="J517" i="1"/>
  <c r="I517" i="1"/>
  <c r="H517" i="1"/>
  <c r="G517" i="1"/>
  <c r="R516" i="1"/>
  <c r="Q516" i="1"/>
  <c r="P516" i="1"/>
  <c r="O516" i="1"/>
  <c r="N516" i="1"/>
  <c r="M516" i="1"/>
  <c r="L516" i="1"/>
  <c r="K516" i="1"/>
  <c r="J516" i="1"/>
  <c r="I516" i="1"/>
  <c r="H516" i="1"/>
  <c r="G516" i="1"/>
  <c r="R515" i="1"/>
  <c r="Q515" i="1"/>
  <c r="P515" i="1"/>
  <c r="O515" i="1"/>
  <c r="N515" i="1"/>
  <c r="M515" i="1"/>
  <c r="L515" i="1"/>
  <c r="K515" i="1"/>
  <c r="J515" i="1"/>
  <c r="I515" i="1"/>
  <c r="H515" i="1"/>
  <c r="G515" i="1"/>
  <c r="R514" i="1"/>
  <c r="Q514" i="1"/>
  <c r="P514" i="1"/>
  <c r="O514" i="1"/>
  <c r="N514" i="1"/>
  <c r="M514" i="1"/>
  <c r="L514" i="1"/>
  <c r="K514" i="1"/>
  <c r="J514" i="1"/>
  <c r="I514" i="1"/>
  <c r="H514" i="1"/>
  <c r="G514" i="1"/>
  <c r="R513" i="1"/>
  <c r="Q513" i="1"/>
  <c r="P513" i="1"/>
  <c r="O513" i="1"/>
  <c r="N513" i="1"/>
  <c r="M513" i="1"/>
  <c r="L513" i="1"/>
  <c r="K513" i="1"/>
  <c r="J513" i="1"/>
  <c r="I513" i="1"/>
  <c r="H513" i="1"/>
  <c r="G513" i="1"/>
  <c r="R512" i="1"/>
  <c r="Q512" i="1"/>
  <c r="P512" i="1"/>
  <c r="O512" i="1"/>
  <c r="N512" i="1"/>
  <c r="M512" i="1"/>
  <c r="L512" i="1"/>
  <c r="K512" i="1"/>
  <c r="J512" i="1"/>
  <c r="I512" i="1"/>
  <c r="H512" i="1"/>
  <c r="G512" i="1"/>
  <c r="R511" i="1"/>
  <c r="Q511" i="1"/>
  <c r="P511" i="1"/>
  <c r="O511" i="1"/>
  <c r="N511" i="1"/>
  <c r="M511" i="1"/>
  <c r="L511" i="1"/>
  <c r="K511" i="1"/>
  <c r="J511" i="1"/>
  <c r="I511" i="1"/>
  <c r="H511" i="1"/>
  <c r="G511" i="1"/>
  <c r="R510" i="1"/>
  <c r="Q510" i="1"/>
  <c r="P510" i="1"/>
  <c r="O510" i="1"/>
  <c r="N510" i="1"/>
  <c r="M510" i="1"/>
  <c r="L510" i="1"/>
  <c r="K510" i="1"/>
  <c r="J510" i="1"/>
  <c r="I510" i="1"/>
  <c r="H510" i="1"/>
  <c r="G510" i="1"/>
  <c r="R509" i="1"/>
  <c r="Q509" i="1"/>
  <c r="P509" i="1"/>
  <c r="O509" i="1"/>
  <c r="N509" i="1"/>
  <c r="M509" i="1"/>
  <c r="L509" i="1"/>
  <c r="K509" i="1"/>
  <c r="J509" i="1"/>
  <c r="I509" i="1"/>
  <c r="H509" i="1"/>
  <c r="G509" i="1"/>
  <c r="R508" i="1"/>
  <c r="Q508" i="1"/>
  <c r="P508" i="1"/>
  <c r="O508" i="1"/>
  <c r="N508" i="1"/>
  <c r="M508" i="1"/>
  <c r="L508" i="1"/>
  <c r="K508" i="1"/>
  <c r="J508" i="1"/>
  <c r="I508" i="1"/>
  <c r="H508" i="1"/>
  <c r="G508" i="1"/>
  <c r="R507" i="1"/>
  <c r="Q507" i="1"/>
  <c r="P507" i="1"/>
  <c r="O507" i="1"/>
  <c r="N507" i="1"/>
  <c r="M507" i="1"/>
  <c r="L507" i="1"/>
  <c r="K507" i="1"/>
  <c r="J507" i="1"/>
  <c r="I507" i="1"/>
  <c r="H507" i="1"/>
  <c r="G507" i="1"/>
  <c r="R506" i="1"/>
  <c r="Q506" i="1"/>
  <c r="P506" i="1"/>
  <c r="O506" i="1"/>
  <c r="N506" i="1"/>
  <c r="M506" i="1"/>
  <c r="L506" i="1"/>
  <c r="K506" i="1"/>
  <c r="J506" i="1"/>
  <c r="I506" i="1"/>
  <c r="H506" i="1"/>
  <c r="G506" i="1"/>
  <c r="R505" i="1"/>
  <c r="Q505" i="1"/>
  <c r="P505" i="1"/>
  <c r="O505" i="1"/>
  <c r="N505" i="1"/>
  <c r="M505" i="1"/>
  <c r="L505" i="1"/>
  <c r="K505" i="1"/>
  <c r="J505" i="1"/>
  <c r="I505" i="1"/>
  <c r="H505" i="1"/>
  <c r="G505" i="1"/>
  <c r="R504" i="1"/>
  <c r="Q504" i="1"/>
  <c r="P504" i="1"/>
  <c r="O504" i="1"/>
  <c r="N504" i="1"/>
  <c r="M504" i="1"/>
  <c r="L504" i="1"/>
  <c r="K504" i="1"/>
  <c r="J504" i="1"/>
  <c r="I504" i="1"/>
  <c r="H504" i="1"/>
  <c r="G504" i="1"/>
  <c r="R503" i="1"/>
  <c r="Q503" i="1"/>
  <c r="P503" i="1"/>
  <c r="O503" i="1"/>
  <c r="N503" i="1"/>
  <c r="M503" i="1"/>
  <c r="L503" i="1"/>
  <c r="K503" i="1"/>
  <c r="J503" i="1"/>
  <c r="I503" i="1"/>
  <c r="H503" i="1"/>
  <c r="G503" i="1"/>
  <c r="R502" i="1"/>
  <c r="Q502" i="1"/>
  <c r="P502" i="1"/>
  <c r="O502" i="1"/>
  <c r="N502" i="1"/>
  <c r="M502" i="1"/>
  <c r="L502" i="1"/>
  <c r="K502" i="1"/>
  <c r="J502" i="1"/>
  <c r="I502" i="1"/>
  <c r="H502" i="1"/>
  <c r="G502" i="1"/>
  <c r="R501" i="1"/>
  <c r="Q501" i="1"/>
  <c r="P501" i="1"/>
  <c r="O501" i="1"/>
  <c r="N501" i="1"/>
  <c r="M501" i="1"/>
  <c r="L501" i="1"/>
  <c r="K501" i="1"/>
  <c r="J501" i="1"/>
  <c r="I501" i="1"/>
  <c r="H501" i="1"/>
  <c r="G501" i="1"/>
  <c r="R500" i="1"/>
  <c r="Q500" i="1"/>
  <c r="P500" i="1"/>
  <c r="O500" i="1"/>
  <c r="N500" i="1"/>
  <c r="M500" i="1"/>
  <c r="L500" i="1"/>
  <c r="K500" i="1"/>
  <c r="J500" i="1"/>
  <c r="I500" i="1"/>
  <c r="H500" i="1"/>
  <c r="G500" i="1"/>
  <c r="R499" i="1"/>
  <c r="Q499" i="1"/>
  <c r="P499" i="1"/>
  <c r="O499" i="1"/>
  <c r="N499" i="1"/>
  <c r="M499" i="1"/>
  <c r="L499" i="1"/>
  <c r="K499" i="1"/>
  <c r="J499" i="1"/>
  <c r="I499" i="1"/>
  <c r="H499" i="1"/>
  <c r="G499" i="1"/>
  <c r="R498" i="1"/>
  <c r="Q498" i="1"/>
  <c r="P498" i="1"/>
  <c r="O498" i="1"/>
  <c r="N498" i="1"/>
  <c r="M498" i="1"/>
  <c r="L498" i="1"/>
  <c r="K498" i="1"/>
  <c r="J498" i="1"/>
  <c r="I498" i="1"/>
  <c r="H498" i="1"/>
  <c r="G498" i="1"/>
  <c r="R497" i="1"/>
  <c r="Q497" i="1"/>
  <c r="P497" i="1"/>
  <c r="O497" i="1"/>
  <c r="N497" i="1"/>
  <c r="M497" i="1"/>
  <c r="L497" i="1"/>
  <c r="K497" i="1"/>
  <c r="J497" i="1"/>
  <c r="I497" i="1"/>
  <c r="H497" i="1"/>
  <c r="G497" i="1"/>
  <c r="R496" i="1"/>
  <c r="Q496" i="1"/>
  <c r="P496" i="1"/>
  <c r="O496" i="1"/>
  <c r="N496" i="1"/>
  <c r="M496" i="1"/>
  <c r="L496" i="1"/>
  <c r="K496" i="1"/>
  <c r="J496" i="1"/>
  <c r="I496" i="1"/>
  <c r="H496" i="1"/>
  <c r="G496" i="1"/>
  <c r="R495" i="1"/>
  <c r="Q495" i="1"/>
  <c r="P495" i="1"/>
  <c r="O495" i="1"/>
  <c r="N495" i="1"/>
  <c r="M495" i="1"/>
  <c r="L495" i="1"/>
  <c r="K495" i="1"/>
  <c r="J495" i="1"/>
  <c r="I495" i="1"/>
  <c r="H495" i="1"/>
  <c r="G495" i="1"/>
  <c r="R494" i="1"/>
  <c r="Q494" i="1"/>
  <c r="P494" i="1"/>
  <c r="O494" i="1"/>
  <c r="N494" i="1"/>
  <c r="M494" i="1"/>
  <c r="L494" i="1"/>
  <c r="K494" i="1"/>
  <c r="J494" i="1"/>
  <c r="I494" i="1"/>
  <c r="H494" i="1"/>
  <c r="G494" i="1"/>
  <c r="R493" i="1"/>
  <c r="Q493" i="1"/>
  <c r="P493" i="1"/>
  <c r="O493" i="1"/>
  <c r="N493" i="1"/>
  <c r="M493" i="1"/>
  <c r="L493" i="1"/>
  <c r="K493" i="1"/>
  <c r="J493" i="1"/>
  <c r="I493" i="1"/>
  <c r="H493" i="1"/>
  <c r="G493" i="1"/>
  <c r="R492" i="1"/>
  <c r="Q492" i="1"/>
  <c r="P492" i="1"/>
  <c r="O492" i="1"/>
  <c r="N492" i="1"/>
  <c r="M492" i="1"/>
  <c r="L492" i="1"/>
  <c r="K492" i="1"/>
  <c r="J492" i="1"/>
  <c r="I492" i="1"/>
  <c r="H492" i="1"/>
  <c r="G492" i="1"/>
  <c r="R491" i="1"/>
  <c r="Q491" i="1"/>
  <c r="P491" i="1"/>
  <c r="O491" i="1"/>
  <c r="N491" i="1"/>
  <c r="M491" i="1"/>
  <c r="L491" i="1"/>
  <c r="K491" i="1"/>
  <c r="J491" i="1"/>
  <c r="I491" i="1"/>
  <c r="H491" i="1"/>
  <c r="G491" i="1"/>
  <c r="R490" i="1"/>
  <c r="Q490" i="1"/>
  <c r="P490" i="1"/>
  <c r="O490" i="1"/>
  <c r="N490" i="1"/>
  <c r="M490" i="1"/>
  <c r="L490" i="1"/>
  <c r="K490" i="1"/>
  <c r="J490" i="1"/>
  <c r="I490" i="1"/>
  <c r="H490" i="1"/>
  <c r="G490" i="1"/>
  <c r="R489" i="1"/>
  <c r="Q489" i="1"/>
  <c r="P489" i="1"/>
  <c r="O489" i="1"/>
  <c r="N489" i="1"/>
  <c r="M489" i="1"/>
  <c r="L489" i="1"/>
  <c r="K489" i="1"/>
  <c r="J489" i="1"/>
  <c r="I489" i="1"/>
  <c r="H489" i="1"/>
  <c r="G489" i="1"/>
  <c r="R488" i="1"/>
  <c r="Q488" i="1"/>
  <c r="P488" i="1"/>
  <c r="O488" i="1"/>
  <c r="N488" i="1"/>
  <c r="M488" i="1"/>
  <c r="L488" i="1"/>
  <c r="K488" i="1"/>
  <c r="J488" i="1"/>
  <c r="I488" i="1"/>
  <c r="H488" i="1"/>
  <c r="G488" i="1"/>
  <c r="R487" i="1"/>
  <c r="Q487" i="1"/>
  <c r="P487" i="1"/>
  <c r="O487" i="1"/>
  <c r="N487" i="1"/>
  <c r="M487" i="1"/>
  <c r="L487" i="1"/>
  <c r="K487" i="1"/>
  <c r="J487" i="1"/>
  <c r="I487" i="1"/>
  <c r="H487" i="1"/>
  <c r="G487" i="1"/>
  <c r="R486" i="1"/>
  <c r="Q486" i="1"/>
  <c r="P486" i="1"/>
  <c r="O486" i="1"/>
  <c r="N486" i="1"/>
  <c r="M486" i="1"/>
  <c r="L486" i="1"/>
  <c r="K486" i="1"/>
  <c r="J486" i="1"/>
  <c r="I486" i="1"/>
  <c r="H486" i="1"/>
  <c r="G486" i="1"/>
  <c r="R485" i="1"/>
  <c r="Q485" i="1"/>
  <c r="P485" i="1"/>
  <c r="O485" i="1"/>
  <c r="N485" i="1"/>
  <c r="M485" i="1"/>
  <c r="L485" i="1"/>
  <c r="K485" i="1"/>
  <c r="J485" i="1"/>
  <c r="I485" i="1"/>
  <c r="H485" i="1"/>
  <c r="G485" i="1"/>
  <c r="R484" i="1"/>
  <c r="Q484" i="1"/>
  <c r="P484" i="1"/>
  <c r="O484" i="1"/>
  <c r="N484" i="1"/>
  <c r="M484" i="1"/>
  <c r="L484" i="1"/>
  <c r="K484" i="1"/>
  <c r="J484" i="1"/>
  <c r="I484" i="1"/>
  <c r="H484" i="1"/>
  <c r="G484" i="1"/>
  <c r="R483" i="1"/>
  <c r="Q483" i="1"/>
  <c r="P483" i="1"/>
  <c r="O483" i="1"/>
  <c r="N483" i="1"/>
  <c r="M483" i="1"/>
  <c r="L483" i="1"/>
  <c r="K483" i="1"/>
  <c r="J483" i="1"/>
  <c r="I483" i="1"/>
  <c r="H483" i="1"/>
  <c r="G483" i="1"/>
  <c r="R482" i="1"/>
  <c r="Q482" i="1"/>
  <c r="P482" i="1"/>
  <c r="O482" i="1"/>
  <c r="N482" i="1"/>
  <c r="M482" i="1"/>
  <c r="L482" i="1"/>
  <c r="K482" i="1"/>
  <c r="J482" i="1"/>
  <c r="I482" i="1"/>
  <c r="H482" i="1"/>
  <c r="G482" i="1"/>
  <c r="R481" i="1"/>
  <c r="Q481" i="1"/>
  <c r="P481" i="1"/>
  <c r="O481" i="1"/>
  <c r="N481" i="1"/>
  <c r="M481" i="1"/>
  <c r="L481" i="1"/>
  <c r="K481" i="1"/>
  <c r="J481" i="1"/>
  <c r="I481" i="1"/>
  <c r="H481" i="1"/>
  <c r="G481" i="1"/>
  <c r="R480" i="1"/>
  <c r="Q480" i="1"/>
  <c r="P480" i="1"/>
  <c r="O480" i="1"/>
  <c r="N480" i="1"/>
  <c r="M480" i="1"/>
  <c r="L480" i="1"/>
  <c r="K480" i="1"/>
  <c r="J480" i="1"/>
  <c r="I480" i="1"/>
  <c r="H480" i="1"/>
  <c r="G480" i="1"/>
  <c r="R479" i="1"/>
  <c r="Q479" i="1"/>
  <c r="P479" i="1"/>
  <c r="O479" i="1"/>
  <c r="N479" i="1"/>
  <c r="M479" i="1"/>
  <c r="L479" i="1"/>
  <c r="K479" i="1"/>
  <c r="J479" i="1"/>
  <c r="I479" i="1"/>
  <c r="H479" i="1"/>
  <c r="G479" i="1"/>
  <c r="R478" i="1"/>
  <c r="Q478" i="1"/>
  <c r="P478" i="1"/>
  <c r="O478" i="1"/>
  <c r="N478" i="1"/>
  <c r="M478" i="1"/>
  <c r="L478" i="1"/>
  <c r="K478" i="1"/>
  <c r="J478" i="1"/>
  <c r="I478" i="1"/>
  <c r="H478" i="1"/>
  <c r="G478" i="1"/>
  <c r="R477" i="1"/>
  <c r="Q477" i="1"/>
  <c r="P477" i="1"/>
  <c r="O477" i="1"/>
  <c r="N477" i="1"/>
  <c r="M477" i="1"/>
  <c r="L477" i="1"/>
  <c r="K477" i="1"/>
  <c r="J477" i="1"/>
  <c r="I477" i="1"/>
  <c r="H477" i="1"/>
  <c r="G477" i="1"/>
  <c r="R476" i="1"/>
  <c r="Q476" i="1"/>
  <c r="P476" i="1"/>
  <c r="O476" i="1"/>
  <c r="N476" i="1"/>
  <c r="M476" i="1"/>
  <c r="L476" i="1"/>
  <c r="K476" i="1"/>
  <c r="J476" i="1"/>
  <c r="I476" i="1"/>
  <c r="H476" i="1"/>
  <c r="G476" i="1"/>
  <c r="R475" i="1"/>
  <c r="Q475" i="1"/>
  <c r="P475" i="1"/>
  <c r="O475" i="1"/>
  <c r="N475" i="1"/>
  <c r="M475" i="1"/>
  <c r="L475" i="1"/>
  <c r="K475" i="1"/>
  <c r="J475" i="1"/>
  <c r="I475" i="1"/>
  <c r="H475" i="1"/>
  <c r="G475" i="1"/>
  <c r="R474" i="1"/>
  <c r="Q474" i="1"/>
  <c r="P474" i="1"/>
  <c r="O474" i="1"/>
  <c r="N474" i="1"/>
  <c r="M474" i="1"/>
  <c r="L474" i="1"/>
  <c r="K474" i="1"/>
  <c r="J474" i="1"/>
  <c r="I474" i="1"/>
  <c r="H474" i="1"/>
  <c r="G474" i="1"/>
  <c r="R473" i="1"/>
  <c r="Q473" i="1"/>
  <c r="P473" i="1"/>
  <c r="O473" i="1"/>
  <c r="N473" i="1"/>
  <c r="M473" i="1"/>
  <c r="L473" i="1"/>
  <c r="K473" i="1"/>
  <c r="J473" i="1"/>
  <c r="I473" i="1"/>
  <c r="H473" i="1"/>
  <c r="G473" i="1"/>
  <c r="R472" i="1"/>
  <c r="Q472" i="1"/>
  <c r="P472" i="1"/>
  <c r="O472" i="1"/>
  <c r="N472" i="1"/>
  <c r="M472" i="1"/>
  <c r="L472" i="1"/>
  <c r="K472" i="1"/>
  <c r="J472" i="1"/>
  <c r="I472" i="1"/>
  <c r="H472" i="1"/>
  <c r="G472" i="1"/>
  <c r="R471" i="1"/>
  <c r="Q471" i="1"/>
  <c r="P471" i="1"/>
  <c r="O471" i="1"/>
  <c r="N471" i="1"/>
  <c r="M471" i="1"/>
  <c r="L471" i="1"/>
  <c r="K471" i="1"/>
  <c r="J471" i="1"/>
  <c r="I471" i="1"/>
  <c r="H471" i="1"/>
  <c r="G471" i="1"/>
  <c r="R470" i="1"/>
  <c r="Q470" i="1"/>
  <c r="P470" i="1"/>
  <c r="O470" i="1"/>
  <c r="N470" i="1"/>
  <c r="M470" i="1"/>
  <c r="L470" i="1"/>
  <c r="K470" i="1"/>
  <c r="J470" i="1"/>
  <c r="I470" i="1"/>
  <c r="H470" i="1"/>
  <c r="G470" i="1"/>
  <c r="R469" i="1"/>
  <c r="Q469" i="1"/>
  <c r="O469" i="1"/>
  <c r="N469" i="1"/>
  <c r="M469" i="1"/>
  <c r="L469" i="1"/>
  <c r="K469" i="1"/>
  <c r="J469" i="1"/>
  <c r="I469" i="1"/>
  <c r="H469" i="1"/>
  <c r="G469" i="1"/>
  <c r="R468" i="1"/>
  <c r="Q468" i="1"/>
  <c r="O468" i="1"/>
  <c r="N468" i="1"/>
  <c r="M468" i="1"/>
  <c r="L468" i="1"/>
  <c r="K468" i="1"/>
  <c r="J468" i="1"/>
  <c r="I468" i="1"/>
  <c r="H468" i="1"/>
  <c r="G468" i="1"/>
  <c r="R467" i="1"/>
  <c r="Q467" i="1"/>
  <c r="O467" i="1"/>
  <c r="N467" i="1"/>
  <c r="M467" i="1"/>
  <c r="L467" i="1"/>
  <c r="K467" i="1"/>
  <c r="J467" i="1"/>
  <c r="I467" i="1"/>
  <c r="H467" i="1"/>
  <c r="G467" i="1"/>
  <c r="R466" i="1"/>
  <c r="Q466" i="1"/>
  <c r="O466" i="1"/>
  <c r="N466" i="1"/>
  <c r="M466" i="1"/>
  <c r="L466" i="1"/>
  <c r="K466" i="1"/>
  <c r="J466" i="1"/>
  <c r="I466" i="1"/>
  <c r="H466" i="1"/>
  <c r="G466" i="1"/>
  <c r="R465" i="1"/>
  <c r="Q465" i="1"/>
  <c r="O465" i="1"/>
  <c r="N465" i="1"/>
  <c r="M465" i="1"/>
  <c r="L465" i="1"/>
  <c r="K465" i="1"/>
  <c r="J465" i="1"/>
  <c r="I465" i="1"/>
  <c r="H465" i="1"/>
  <c r="G465" i="1"/>
  <c r="R464" i="1"/>
  <c r="Q464" i="1"/>
  <c r="O464" i="1"/>
  <c r="N464" i="1"/>
  <c r="M464" i="1"/>
  <c r="L464" i="1"/>
  <c r="K464" i="1"/>
  <c r="J464" i="1"/>
  <c r="I464" i="1"/>
  <c r="H464" i="1"/>
  <c r="G464" i="1"/>
  <c r="R463" i="1"/>
  <c r="Q463" i="1"/>
  <c r="P463" i="1"/>
  <c r="O463" i="1"/>
  <c r="N463" i="1"/>
  <c r="M463" i="1"/>
  <c r="L463" i="1"/>
  <c r="K463" i="1"/>
  <c r="J463" i="1"/>
  <c r="I463" i="1"/>
  <c r="H463" i="1"/>
  <c r="G463" i="1"/>
  <c r="R462" i="1"/>
  <c r="Q462" i="1"/>
  <c r="P462" i="1"/>
  <c r="O462" i="1"/>
  <c r="N462" i="1"/>
  <c r="M462" i="1"/>
  <c r="L462" i="1"/>
  <c r="K462" i="1"/>
  <c r="J462" i="1"/>
  <c r="I462" i="1"/>
  <c r="H462" i="1"/>
  <c r="G462" i="1"/>
  <c r="R461" i="1"/>
  <c r="Q461" i="1"/>
  <c r="P461" i="1"/>
  <c r="O461" i="1"/>
  <c r="N461" i="1"/>
  <c r="M461" i="1"/>
  <c r="L461" i="1"/>
  <c r="K461" i="1"/>
  <c r="J461" i="1"/>
  <c r="I461" i="1"/>
  <c r="H461" i="1"/>
  <c r="G461" i="1"/>
  <c r="R460" i="1"/>
  <c r="Q460" i="1"/>
  <c r="P460" i="1"/>
  <c r="O460" i="1"/>
  <c r="N460" i="1"/>
  <c r="M460" i="1"/>
  <c r="L460" i="1"/>
  <c r="K460" i="1"/>
  <c r="J460" i="1"/>
  <c r="I460" i="1"/>
  <c r="H460" i="1"/>
  <c r="G460" i="1"/>
  <c r="R459" i="1"/>
  <c r="Q459" i="1"/>
  <c r="P459" i="1"/>
  <c r="O459" i="1"/>
  <c r="N459" i="1"/>
  <c r="M459" i="1"/>
  <c r="L459" i="1"/>
  <c r="K459" i="1"/>
  <c r="J459" i="1"/>
  <c r="I459" i="1"/>
  <c r="H459" i="1"/>
  <c r="G459" i="1"/>
  <c r="R458" i="1"/>
  <c r="Q458" i="1"/>
  <c r="P458" i="1"/>
  <c r="O458" i="1"/>
  <c r="N458" i="1"/>
  <c r="M458" i="1"/>
  <c r="L458" i="1"/>
  <c r="K458" i="1"/>
  <c r="J458" i="1"/>
  <c r="I458" i="1"/>
  <c r="H458" i="1"/>
  <c r="G458" i="1"/>
  <c r="R457" i="1"/>
  <c r="Q457" i="1"/>
  <c r="P457" i="1"/>
  <c r="O457" i="1"/>
  <c r="N457" i="1"/>
  <c r="M457" i="1"/>
  <c r="L457" i="1"/>
  <c r="K457" i="1"/>
  <c r="J457" i="1"/>
  <c r="I457" i="1"/>
  <c r="H457" i="1"/>
  <c r="G457" i="1"/>
  <c r="R456" i="1"/>
  <c r="Q456" i="1"/>
  <c r="P456" i="1"/>
  <c r="O456" i="1"/>
  <c r="N456" i="1"/>
  <c r="M456" i="1"/>
  <c r="L456" i="1"/>
  <c r="K456" i="1"/>
  <c r="J456" i="1"/>
  <c r="I456" i="1"/>
  <c r="H456" i="1"/>
  <c r="G456" i="1"/>
  <c r="R455" i="1"/>
  <c r="Q455" i="1"/>
  <c r="P455" i="1"/>
  <c r="O455" i="1"/>
  <c r="N455" i="1"/>
  <c r="M455" i="1"/>
  <c r="L455" i="1"/>
  <c r="K455" i="1"/>
  <c r="J455" i="1"/>
  <c r="I455" i="1"/>
  <c r="H455" i="1"/>
  <c r="G455" i="1"/>
  <c r="R454" i="1"/>
  <c r="Q454" i="1"/>
  <c r="P454" i="1"/>
  <c r="O454" i="1"/>
  <c r="N454" i="1"/>
  <c r="M454" i="1"/>
  <c r="L454" i="1"/>
  <c r="K454" i="1"/>
  <c r="J454" i="1"/>
  <c r="I454" i="1"/>
  <c r="H454" i="1"/>
  <c r="G454" i="1"/>
  <c r="R453" i="1"/>
  <c r="Q453" i="1"/>
  <c r="P453" i="1"/>
  <c r="O453" i="1"/>
  <c r="N453" i="1"/>
  <c r="M453" i="1"/>
  <c r="L453" i="1"/>
  <c r="K453" i="1"/>
  <c r="J453" i="1"/>
  <c r="I453" i="1"/>
  <c r="H453" i="1"/>
  <c r="G453" i="1"/>
  <c r="R452" i="1"/>
  <c r="Q452" i="1"/>
  <c r="P452" i="1"/>
  <c r="O452" i="1"/>
  <c r="N452" i="1"/>
  <c r="M452" i="1"/>
  <c r="L452" i="1"/>
  <c r="K452" i="1"/>
  <c r="J452" i="1"/>
  <c r="I452" i="1"/>
  <c r="H452" i="1"/>
  <c r="G452" i="1"/>
  <c r="R451" i="1"/>
  <c r="Q451" i="1"/>
  <c r="O451" i="1"/>
  <c r="N451" i="1"/>
  <c r="M451" i="1"/>
  <c r="L451" i="1"/>
  <c r="K451" i="1"/>
  <c r="J451" i="1"/>
  <c r="I451" i="1"/>
  <c r="H451" i="1"/>
  <c r="G451" i="1"/>
  <c r="R450" i="1"/>
  <c r="Q450" i="1"/>
  <c r="O450" i="1"/>
  <c r="N450" i="1"/>
  <c r="M450" i="1"/>
  <c r="L450" i="1"/>
  <c r="K450" i="1"/>
  <c r="J450" i="1"/>
  <c r="I450" i="1"/>
  <c r="H450" i="1"/>
  <c r="G450" i="1"/>
  <c r="R449" i="1"/>
  <c r="Q449" i="1"/>
  <c r="O449" i="1"/>
  <c r="N449" i="1"/>
  <c r="M449" i="1"/>
  <c r="L449" i="1"/>
  <c r="K449" i="1"/>
  <c r="J449" i="1"/>
  <c r="I449" i="1"/>
  <c r="H449" i="1"/>
  <c r="G449" i="1"/>
  <c r="R448" i="1"/>
  <c r="Q448" i="1"/>
  <c r="O448" i="1"/>
  <c r="N448" i="1"/>
  <c r="M448" i="1"/>
  <c r="L448" i="1"/>
  <c r="K448" i="1"/>
  <c r="J448" i="1"/>
  <c r="I448" i="1"/>
  <c r="H448" i="1"/>
  <c r="G448" i="1"/>
  <c r="R447" i="1"/>
  <c r="Q447" i="1"/>
  <c r="O447" i="1"/>
  <c r="N447" i="1"/>
  <c r="M447" i="1"/>
  <c r="L447" i="1"/>
  <c r="K447" i="1"/>
  <c r="J447" i="1"/>
  <c r="I447" i="1"/>
  <c r="H447" i="1"/>
  <c r="G447" i="1"/>
  <c r="R446" i="1"/>
  <c r="Q446" i="1"/>
  <c r="O446" i="1"/>
  <c r="N446" i="1"/>
  <c r="M446" i="1"/>
  <c r="L446" i="1"/>
  <c r="K446" i="1"/>
  <c r="J446" i="1"/>
  <c r="I446" i="1"/>
  <c r="H446" i="1"/>
  <c r="G446" i="1"/>
  <c r="R445" i="1"/>
  <c r="Q445" i="1"/>
  <c r="P445" i="1"/>
  <c r="O445" i="1"/>
  <c r="N445" i="1"/>
  <c r="M445" i="1"/>
  <c r="L445" i="1"/>
  <c r="K445" i="1"/>
  <c r="J445" i="1"/>
  <c r="I445" i="1"/>
  <c r="H445" i="1"/>
  <c r="G445" i="1"/>
  <c r="R444" i="1"/>
  <c r="Q444" i="1"/>
  <c r="P444" i="1"/>
  <c r="O444" i="1"/>
  <c r="N444" i="1"/>
  <c r="M444" i="1"/>
  <c r="L444" i="1"/>
  <c r="K444" i="1"/>
  <c r="J444" i="1"/>
  <c r="I444" i="1"/>
  <c r="H444" i="1"/>
  <c r="G444" i="1"/>
  <c r="R443" i="1"/>
  <c r="Q443" i="1"/>
  <c r="P443" i="1"/>
  <c r="O443" i="1"/>
  <c r="N443" i="1"/>
  <c r="M443" i="1"/>
  <c r="L443" i="1"/>
  <c r="K443" i="1"/>
  <c r="J443" i="1"/>
  <c r="I443" i="1"/>
  <c r="H443" i="1"/>
  <c r="G443" i="1"/>
  <c r="R442" i="1"/>
  <c r="Q442" i="1"/>
  <c r="P442" i="1"/>
  <c r="O442" i="1"/>
  <c r="N442" i="1"/>
  <c r="M442" i="1"/>
  <c r="L442" i="1"/>
  <c r="K442" i="1"/>
  <c r="J442" i="1"/>
  <c r="I442" i="1"/>
  <c r="H442" i="1"/>
  <c r="G442" i="1"/>
  <c r="R441" i="1"/>
  <c r="Q441" i="1"/>
  <c r="P441" i="1"/>
  <c r="O441" i="1"/>
  <c r="N441" i="1"/>
  <c r="M441" i="1"/>
  <c r="L441" i="1"/>
  <c r="K441" i="1"/>
  <c r="J441" i="1"/>
  <c r="I441" i="1"/>
  <c r="H441" i="1"/>
  <c r="G441" i="1"/>
  <c r="R440" i="1"/>
  <c r="Q440" i="1"/>
  <c r="P440" i="1"/>
  <c r="O440" i="1"/>
  <c r="N440" i="1"/>
  <c r="M440" i="1"/>
  <c r="L440" i="1"/>
  <c r="K440" i="1"/>
  <c r="J440" i="1"/>
  <c r="I440" i="1"/>
  <c r="H440" i="1"/>
  <c r="G440" i="1"/>
  <c r="R439" i="1"/>
  <c r="Q439" i="1"/>
  <c r="P439" i="1"/>
  <c r="O439" i="1"/>
  <c r="N439" i="1"/>
  <c r="M439" i="1"/>
  <c r="L439" i="1"/>
  <c r="K439" i="1"/>
  <c r="J439" i="1"/>
  <c r="I439" i="1"/>
  <c r="H439" i="1"/>
  <c r="G439" i="1"/>
  <c r="R438" i="1"/>
  <c r="Q438" i="1"/>
  <c r="P438" i="1"/>
  <c r="O438" i="1"/>
  <c r="N438" i="1"/>
  <c r="M438" i="1"/>
  <c r="L438" i="1"/>
  <c r="K438" i="1"/>
  <c r="J438" i="1"/>
  <c r="I438" i="1"/>
  <c r="H438" i="1"/>
  <c r="G438" i="1"/>
  <c r="R437" i="1"/>
  <c r="Q437" i="1"/>
  <c r="P437" i="1"/>
  <c r="O437" i="1"/>
  <c r="N437" i="1"/>
  <c r="M437" i="1"/>
  <c r="L437" i="1"/>
  <c r="K437" i="1"/>
  <c r="J437" i="1"/>
  <c r="I437" i="1"/>
  <c r="H437" i="1"/>
  <c r="G437" i="1"/>
  <c r="R436" i="1"/>
  <c r="Q436" i="1"/>
  <c r="P436" i="1"/>
  <c r="O436" i="1"/>
  <c r="N436" i="1"/>
  <c r="M436" i="1"/>
  <c r="L436" i="1"/>
  <c r="K436" i="1"/>
  <c r="J436" i="1"/>
  <c r="I436" i="1"/>
  <c r="H436" i="1"/>
  <c r="G436" i="1"/>
  <c r="R435" i="1"/>
  <c r="Q435" i="1"/>
  <c r="P435" i="1"/>
  <c r="O435" i="1"/>
  <c r="N435" i="1"/>
  <c r="M435" i="1"/>
  <c r="L435" i="1"/>
  <c r="K435" i="1"/>
  <c r="J435" i="1"/>
  <c r="I435" i="1"/>
  <c r="H435" i="1"/>
  <c r="G435" i="1"/>
  <c r="R434" i="1"/>
  <c r="Q434" i="1"/>
  <c r="P434" i="1"/>
  <c r="O434" i="1"/>
  <c r="N434" i="1"/>
  <c r="M434" i="1"/>
  <c r="L434" i="1"/>
  <c r="K434" i="1"/>
  <c r="J434" i="1"/>
  <c r="I434" i="1"/>
  <c r="H434" i="1"/>
  <c r="G434" i="1"/>
  <c r="R433" i="1"/>
  <c r="Q433" i="1"/>
  <c r="P433" i="1"/>
  <c r="O433" i="1"/>
  <c r="N433" i="1"/>
  <c r="M433" i="1"/>
  <c r="L433" i="1"/>
  <c r="K433" i="1"/>
  <c r="J433" i="1"/>
  <c r="I433" i="1"/>
  <c r="H433" i="1"/>
  <c r="G433" i="1"/>
  <c r="R432" i="1"/>
  <c r="Q432" i="1"/>
  <c r="P432" i="1"/>
  <c r="O432" i="1"/>
  <c r="N432" i="1"/>
  <c r="M432" i="1"/>
  <c r="L432" i="1"/>
  <c r="K432" i="1"/>
  <c r="J432" i="1"/>
  <c r="I432" i="1"/>
  <c r="H432" i="1"/>
  <c r="G432" i="1"/>
  <c r="R431" i="1"/>
  <c r="Q431" i="1"/>
  <c r="P431" i="1"/>
  <c r="O431" i="1"/>
  <c r="N431" i="1"/>
  <c r="M431" i="1"/>
  <c r="L431" i="1"/>
  <c r="K431" i="1"/>
  <c r="J431" i="1"/>
  <c r="I431" i="1"/>
  <c r="H431" i="1"/>
  <c r="G431" i="1"/>
  <c r="R430" i="1"/>
  <c r="Q430" i="1"/>
  <c r="P430" i="1"/>
  <c r="O430" i="1"/>
  <c r="N430" i="1"/>
  <c r="M430" i="1"/>
  <c r="L430" i="1"/>
  <c r="K430" i="1"/>
  <c r="J430" i="1"/>
  <c r="I430" i="1"/>
  <c r="H430" i="1"/>
  <c r="G430" i="1"/>
  <c r="R429" i="1"/>
  <c r="Q429" i="1"/>
  <c r="P429" i="1"/>
  <c r="O429" i="1"/>
  <c r="N429" i="1"/>
  <c r="M429" i="1"/>
  <c r="L429" i="1"/>
  <c r="K429" i="1"/>
  <c r="J429" i="1"/>
  <c r="I429" i="1"/>
  <c r="H429" i="1"/>
  <c r="G429" i="1"/>
  <c r="R428" i="1"/>
  <c r="Q428" i="1"/>
  <c r="P428" i="1"/>
  <c r="O428" i="1"/>
  <c r="N428" i="1"/>
  <c r="M428" i="1"/>
  <c r="L428" i="1"/>
  <c r="K428" i="1"/>
  <c r="J428" i="1"/>
  <c r="I428" i="1"/>
  <c r="H428" i="1"/>
  <c r="G428" i="1"/>
  <c r="R427" i="1"/>
  <c r="Q427" i="1"/>
  <c r="O427" i="1"/>
  <c r="N427" i="1"/>
  <c r="M427" i="1"/>
  <c r="L427" i="1"/>
  <c r="K427" i="1"/>
  <c r="J427" i="1"/>
  <c r="I427" i="1"/>
  <c r="H427" i="1"/>
  <c r="G427" i="1"/>
  <c r="R426" i="1"/>
  <c r="Q426" i="1"/>
  <c r="O426" i="1"/>
  <c r="N426" i="1"/>
  <c r="M426" i="1"/>
  <c r="L426" i="1"/>
  <c r="K426" i="1"/>
  <c r="J426" i="1"/>
  <c r="I426" i="1"/>
  <c r="H426" i="1"/>
  <c r="G426" i="1"/>
  <c r="R425" i="1"/>
  <c r="Q425" i="1"/>
  <c r="O425" i="1"/>
  <c r="N425" i="1"/>
  <c r="M425" i="1"/>
  <c r="L425" i="1"/>
  <c r="K425" i="1"/>
  <c r="J425" i="1"/>
  <c r="I425" i="1"/>
  <c r="H425" i="1"/>
  <c r="G425" i="1"/>
  <c r="R424" i="1"/>
  <c r="Q424" i="1"/>
  <c r="O424" i="1"/>
  <c r="N424" i="1"/>
  <c r="M424" i="1"/>
  <c r="L424" i="1"/>
  <c r="K424" i="1"/>
  <c r="J424" i="1"/>
  <c r="I424" i="1"/>
  <c r="H424" i="1"/>
  <c r="G424" i="1"/>
  <c r="R423" i="1"/>
  <c r="Q423" i="1"/>
  <c r="O423" i="1"/>
  <c r="N423" i="1"/>
  <c r="M423" i="1"/>
  <c r="L423" i="1"/>
  <c r="K423" i="1"/>
  <c r="J423" i="1"/>
  <c r="I423" i="1"/>
  <c r="H423" i="1"/>
  <c r="G423" i="1"/>
  <c r="R422" i="1"/>
  <c r="Q422" i="1"/>
  <c r="O422" i="1"/>
  <c r="N422" i="1"/>
  <c r="M422" i="1"/>
  <c r="L422" i="1"/>
  <c r="K422" i="1"/>
  <c r="J422" i="1"/>
  <c r="I422" i="1"/>
  <c r="H422" i="1"/>
  <c r="G422" i="1"/>
  <c r="R421" i="1"/>
  <c r="Q421" i="1"/>
  <c r="P421" i="1"/>
  <c r="O421" i="1"/>
  <c r="N421" i="1"/>
  <c r="M421" i="1"/>
  <c r="L421" i="1"/>
  <c r="K421" i="1"/>
  <c r="J421" i="1"/>
  <c r="I421" i="1"/>
  <c r="H421" i="1"/>
  <c r="G421" i="1"/>
  <c r="R420" i="1"/>
  <c r="Q420" i="1"/>
  <c r="P420" i="1"/>
  <c r="O420" i="1"/>
  <c r="N420" i="1"/>
  <c r="M420" i="1"/>
  <c r="L420" i="1"/>
  <c r="K420" i="1"/>
  <c r="J420" i="1"/>
  <c r="I420" i="1"/>
  <c r="H420" i="1"/>
  <c r="G420" i="1"/>
  <c r="R419" i="1"/>
  <c r="Q419" i="1"/>
  <c r="P419" i="1"/>
  <c r="O419" i="1"/>
  <c r="N419" i="1"/>
  <c r="M419" i="1"/>
  <c r="L419" i="1"/>
  <c r="K419" i="1"/>
  <c r="J419" i="1"/>
  <c r="I419" i="1"/>
  <c r="H419" i="1"/>
  <c r="G419" i="1"/>
  <c r="R418" i="1"/>
  <c r="Q418" i="1"/>
  <c r="P418" i="1"/>
  <c r="O418" i="1"/>
  <c r="N418" i="1"/>
  <c r="M418" i="1"/>
  <c r="L418" i="1"/>
  <c r="K418" i="1"/>
  <c r="J418" i="1"/>
  <c r="I418" i="1"/>
  <c r="H418" i="1"/>
  <c r="G418" i="1"/>
  <c r="R417" i="1"/>
  <c r="Q417" i="1"/>
  <c r="P417" i="1"/>
  <c r="O417" i="1"/>
  <c r="N417" i="1"/>
  <c r="M417" i="1"/>
  <c r="L417" i="1"/>
  <c r="K417" i="1"/>
  <c r="J417" i="1"/>
  <c r="I417" i="1"/>
  <c r="H417" i="1"/>
  <c r="G417" i="1"/>
  <c r="R416" i="1"/>
  <c r="Q416" i="1"/>
  <c r="P416" i="1"/>
  <c r="O416" i="1"/>
  <c r="N416" i="1"/>
  <c r="M416" i="1"/>
  <c r="L416" i="1"/>
  <c r="K416" i="1"/>
  <c r="J416" i="1"/>
  <c r="I416" i="1"/>
  <c r="H416" i="1"/>
  <c r="G416" i="1"/>
  <c r="R415" i="1"/>
  <c r="Q415" i="1"/>
  <c r="P415" i="1"/>
  <c r="O415" i="1"/>
  <c r="N415" i="1"/>
  <c r="M415" i="1"/>
  <c r="L415" i="1"/>
  <c r="K415" i="1"/>
  <c r="J415" i="1"/>
  <c r="I415" i="1"/>
  <c r="H415" i="1"/>
  <c r="G415" i="1"/>
  <c r="R414" i="1"/>
  <c r="Q414" i="1"/>
  <c r="P414" i="1"/>
  <c r="O414" i="1"/>
  <c r="N414" i="1"/>
  <c r="M414" i="1"/>
  <c r="L414" i="1"/>
  <c r="K414" i="1"/>
  <c r="J414" i="1"/>
  <c r="I414" i="1"/>
  <c r="H414" i="1"/>
  <c r="G414" i="1"/>
  <c r="R413" i="1"/>
  <c r="Q413" i="1"/>
  <c r="P413" i="1"/>
  <c r="O413" i="1"/>
  <c r="N413" i="1"/>
  <c r="M413" i="1"/>
  <c r="L413" i="1"/>
  <c r="K413" i="1"/>
  <c r="J413" i="1"/>
  <c r="I413" i="1"/>
  <c r="H413" i="1"/>
  <c r="G413" i="1"/>
  <c r="R412" i="1"/>
  <c r="Q412" i="1"/>
  <c r="P412" i="1"/>
  <c r="O412" i="1"/>
  <c r="N412" i="1"/>
  <c r="M412" i="1"/>
  <c r="L412" i="1"/>
  <c r="K412" i="1"/>
  <c r="J412" i="1"/>
  <c r="I412" i="1"/>
  <c r="H412" i="1"/>
  <c r="G412" i="1"/>
  <c r="R411" i="1"/>
  <c r="Q411" i="1"/>
  <c r="P411" i="1"/>
  <c r="O411" i="1"/>
  <c r="N411" i="1"/>
  <c r="M411" i="1"/>
  <c r="L411" i="1"/>
  <c r="K411" i="1"/>
  <c r="J411" i="1"/>
  <c r="I411" i="1"/>
  <c r="H411" i="1"/>
  <c r="G411" i="1"/>
  <c r="R410" i="1"/>
  <c r="Q410" i="1"/>
  <c r="P410" i="1"/>
  <c r="O410" i="1"/>
  <c r="N410" i="1"/>
  <c r="M410" i="1"/>
  <c r="L410" i="1"/>
  <c r="K410" i="1"/>
  <c r="J410" i="1"/>
  <c r="I410" i="1"/>
  <c r="H410" i="1"/>
  <c r="G410" i="1"/>
  <c r="R409" i="1"/>
  <c r="Q409" i="1"/>
  <c r="P409" i="1"/>
  <c r="O409" i="1"/>
  <c r="N409" i="1"/>
  <c r="M409" i="1"/>
  <c r="L409" i="1"/>
  <c r="K409" i="1"/>
  <c r="J409" i="1"/>
  <c r="I409" i="1"/>
  <c r="H409" i="1"/>
  <c r="G409" i="1"/>
  <c r="R408" i="1"/>
  <c r="Q408" i="1"/>
  <c r="P408" i="1"/>
  <c r="O408" i="1"/>
  <c r="N408" i="1"/>
  <c r="M408" i="1"/>
  <c r="L408" i="1"/>
  <c r="K408" i="1"/>
  <c r="J408" i="1"/>
  <c r="I408" i="1"/>
  <c r="H408" i="1"/>
  <c r="G408" i="1"/>
  <c r="R407" i="1"/>
  <c r="Q407" i="1"/>
  <c r="P407" i="1"/>
  <c r="O407" i="1"/>
  <c r="N407" i="1"/>
  <c r="M407" i="1"/>
  <c r="L407" i="1"/>
  <c r="K407" i="1"/>
  <c r="J407" i="1"/>
  <c r="I407" i="1"/>
  <c r="H407" i="1"/>
  <c r="G407" i="1"/>
  <c r="R406" i="1"/>
  <c r="Q406" i="1"/>
  <c r="P406" i="1"/>
  <c r="O406" i="1"/>
  <c r="N406" i="1"/>
  <c r="M406" i="1"/>
  <c r="L406" i="1"/>
  <c r="K406" i="1"/>
  <c r="J406" i="1"/>
  <c r="I406" i="1"/>
  <c r="H406" i="1"/>
  <c r="G406" i="1"/>
  <c r="R405" i="1"/>
  <c r="Q405" i="1"/>
  <c r="P405" i="1"/>
  <c r="O405" i="1"/>
  <c r="N405" i="1"/>
  <c r="M405" i="1"/>
  <c r="L405" i="1"/>
  <c r="K405" i="1"/>
  <c r="J405" i="1"/>
  <c r="I405" i="1"/>
  <c r="H405" i="1"/>
  <c r="G405" i="1"/>
  <c r="R404" i="1"/>
  <c r="Q404" i="1"/>
  <c r="P404" i="1"/>
  <c r="O404" i="1"/>
  <c r="N404" i="1"/>
  <c r="M404" i="1"/>
  <c r="L404" i="1"/>
  <c r="K404" i="1"/>
  <c r="J404" i="1"/>
  <c r="I404" i="1"/>
  <c r="H404" i="1"/>
  <c r="G404" i="1"/>
  <c r="R403" i="1"/>
  <c r="Q403" i="1"/>
  <c r="O403" i="1"/>
  <c r="N403" i="1"/>
  <c r="M403" i="1"/>
  <c r="L403" i="1"/>
  <c r="K403" i="1"/>
  <c r="J403" i="1"/>
  <c r="I403" i="1"/>
  <c r="H403" i="1"/>
  <c r="G403" i="1"/>
  <c r="R402" i="1"/>
  <c r="Q402" i="1"/>
  <c r="O402" i="1"/>
  <c r="N402" i="1"/>
  <c r="M402" i="1"/>
  <c r="L402" i="1"/>
  <c r="K402" i="1"/>
  <c r="J402" i="1"/>
  <c r="I402" i="1"/>
  <c r="H402" i="1"/>
  <c r="G402" i="1"/>
  <c r="R401" i="1"/>
  <c r="Q401" i="1"/>
  <c r="O401" i="1"/>
  <c r="N401" i="1"/>
  <c r="M401" i="1"/>
  <c r="L401" i="1"/>
  <c r="K401" i="1"/>
  <c r="J401" i="1"/>
  <c r="I401" i="1"/>
  <c r="H401" i="1"/>
  <c r="G401" i="1"/>
  <c r="R400" i="1"/>
  <c r="Q400" i="1"/>
  <c r="O400" i="1"/>
  <c r="N400" i="1"/>
  <c r="M400" i="1"/>
  <c r="L400" i="1"/>
  <c r="K400" i="1"/>
  <c r="J400" i="1"/>
  <c r="I400" i="1"/>
  <c r="H400" i="1"/>
  <c r="G400" i="1"/>
  <c r="R399" i="1"/>
  <c r="Q399" i="1"/>
  <c r="O399" i="1"/>
  <c r="N399" i="1"/>
  <c r="M399" i="1"/>
  <c r="L399" i="1"/>
  <c r="K399" i="1"/>
  <c r="J399" i="1"/>
  <c r="I399" i="1"/>
  <c r="H399" i="1"/>
  <c r="G399" i="1"/>
  <c r="R398" i="1"/>
  <c r="Q398" i="1"/>
  <c r="O398" i="1"/>
  <c r="N398" i="1"/>
  <c r="M398" i="1"/>
  <c r="L398" i="1"/>
  <c r="K398" i="1"/>
  <c r="J398" i="1"/>
  <c r="I398" i="1"/>
  <c r="H398" i="1"/>
  <c r="G398" i="1"/>
  <c r="R397" i="1"/>
  <c r="Q397" i="1"/>
  <c r="P397" i="1"/>
  <c r="O397" i="1"/>
  <c r="N397" i="1"/>
  <c r="M397" i="1"/>
  <c r="L397" i="1"/>
  <c r="K397" i="1"/>
  <c r="J397" i="1"/>
  <c r="I397" i="1"/>
  <c r="H397" i="1"/>
  <c r="G397" i="1"/>
  <c r="R396" i="1"/>
  <c r="Q396" i="1"/>
  <c r="P396" i="1"/>
  <c r="O396" i="1"/>
  <c r="N396" i="1"/>
  <c r="M396" i="1"/>
  <c r="L396" i="1"/>
  <c r="K396" i="1"/>
  <c r="J396" i="1"/>
  <c r="I396" i="1"/>
  <c r="H396" i="1"/>
  <c r="G396" i="1"/>
  <c r="R395" i="1"/>
  <c r="Q395" i="1"/>
  <c r="P395" i="1"/>
  <c r="O395" i="1"/>
  <c r="N395" i="1"/>
  <c r="M395" i="1"/>
  <c r="L395" i="1"/>
  <c r="K395" i="1"/>
  <c r="J395" i="1"/>
  <c r="I395" i="1"/>
  <c r="H395" i="1"/>
  <c r="G395" i="1"/>
  <c r="R394" i="1"/>
  <c r="Q394" i="1"/>
  <c r="P394" i="1"/>
  <c r="O394" i="1"/>
  <c r="N394" i="1"/>
  <c r="M394" i="1"/>
  <c r="L394" i="1"/>
  <c r="K394" i="1"/>
  <c r="J394" i="1"/>
  <c r="I394" i="1"/>
  <c r="H394" i="1"/>
  <c r="G394" i="1"/>
  <c r="R393" i="1"/>
  <c r="Q393" i="1"/>
  <c r="P393" i="1"/>
  <c r="O393" i="1"/>
  <c r="N393" i="1"/>
  <c r="M393" i="1"/>
  <c r="L393" i="1"/>
  <c r="K393" i="1"/>
  <c r="J393" i="1"/>
  <c r="I393" i="1"/>
  <c r="H393" i="1"/>
  <c r="G393" i="1"/>
  <c r="R392" i="1"/>
  <c r="Q392" i="1"/>
  <c r="P392" i="1"/>
  <c r="O392" i="1"/>
  <c r="N392" i="1"/>
  <c r="M392" i="1"/>
  <c r="L392" i="1"/>
  <c r="K392" i="1"/>
  <c r="J392" i="1"/>
  <c r="I392" i="1"/>
  <c r="H392" i="1"/>
  <c r="G392" i="1"/>
  <c r="R391" i="1"/>
  <c r="Q391" i="1"/>
  <c r="P391" i="1"/>
  <c r="O391" i="1"/>
  <c r="N391" i="1"/>
  <c r="M391" i="1"/>
  <c r="L391" i="1"/>
  <c r="K391" i="1"/>
  <c r="J391" i="1"/>
  <c r="I391" i="1"/>
  <c r="H391" i="1"/>
  <c r="G391" i="1"/>
  <c r="R390" i="1"/>
  <c r="Q390" i="1"/>
  <c r="P390" i="1"/>
  <c r="O390" i="1"/>
  <c r="N390" i="1"/>
  <c r="M390" i="1"/>
  <c r="L390" i="1"/>
  <c r="K390" i="1"/>
  <c r="J390" i="1"/>
  <c r="I390" i="1"/>
  <c r="H390" i="1"/>
  <c r="G390" i="1"/>
  <c r="R389" i="1"/>
  <c r="Q389" i="1"/>
  <c r="P389" i="1"/>
  <c r="O389" i="1"/>
  <c r="N389" i="1"/>
  <c r="M389" i="1"/>
  <c r="L389" i="1"/>
  <c r="K389" i="1"/>
  <c r="J389" i="1"/>
  <c r="I389" i="1"/>
  <c r="H389" i="1"/>
  <c r="G389" i="1"/>
  <c r="R388" i="1"/>
  <c r="Q388" i="1"/>
  <c r="P388" i="1"/>
  <c r="O388" i="1"/>
  <c r="N388" i="1"/>
  <c r="M388" i="1"/>
  <c r="L388" i="1"/>
  <c r="K388" i="1"/>
  <c r="J388" i="1"/>
  <c r="I388" i="1"/>
  <c r="H388" i="1"/>
  <c r="G388" i="1"/>
  <c r="R387" i="1"/>
  <c r="Q387" i="1"/>
  <c r="P387" i="1"/>
  <c r="O387" i="1"/>
  <c r="N387" i="1"/>
  <c r="M387" i="1"/>
  <c r="L387" i="1"/>
  <c r="K387" i="1"/>
  <c r="J387" i="1"/>
  <c r="I387" i="1"/>
  <c r="H387" i="1"/>
  <c r="G387" i="1"/>
  <c r="R386" i="1"/>
  <c r="Q386" i="1"/>
  <c r="P386" i="1"/>
  <c r="O386" i="1"/>
  <c r="N386" i="1"/>
  <c r="M386" i="1"/>
  <c r="L386" i="1"/>
  <c r="K386" i="1"/>
  <c r="J386" i="1"/>
  <c r="I386" i="1"/>
  <c r="H386" i="1"/>
  <c r="G386" i="1"/>
  <c r="R385" i="1"/>
  <c r="Q385" i="1"/>
  <c r="P385" i="1"/>
  <c r="O385" i="1"/>
  <c r="N385" i="1"/>
  <c r="M385" i="1"/>
  <c r="L385" i="1"/>
  <c r="K385" i="1"/>
  <c r="J385" i="1"/>
  <c r="I385" i="1"/>
  <c r="H385" i="1"/>
  <c r="G385" i="1"/>
  <c r="R384" i="1"/>
  <c r="Q384" i="1"/>
  <c r="P384" i="1"/>
  <c r="O384" i="1"/>
  <c r="N384" i="1"/>
  <c r="M384" i="1"/>
  <c r="L384" i="1"/>
  <c r="K384" i="1"/>
  <c r="J384" i="1"/>
  <c r="I384" i="1"/>
  <c r="H384" i="1"/>
  <c r="G384" i="1"/>
  <c r="R383" i="1"/>
  <c r="Q383" i="1"/>
  <c r="P383" i="1"/>
  <c r="O383" i="1"/>
  <c r="N383" i="1"/>
  <c r="M383" i="1"/>
  <c r="L383" i="1"/>
  <c r="K383" i="1"/>
  <c r="J383" i="1"/>
  <c r="I383" i="1"/>
  <c r="H383" i="1"/>
  <c r="G383" i="1"/>
  <c r="R382" i="1"/>
  <c r="Q382" i="1"/>
  <c r="P382" i="1"/>
  <c r="O382" i="1"/>
  <c r="N382" i="1"/>
  <c r="M382" i="1"/>
  <c r="L382" i="1"/>
  <c r="K382" i="1"/>
  <c r="J382" i="1"/>
  <c r="I382" i="1"/>
  <c r="H382" i="1"/>
  <c r="G382" i="1"/>
  <c r="R381" i="1"/>
  <c r="Q381" i="1"/>
  <c r="P381" i="1"/>
  <c r="O381" i="1"/>
  <c r="N381" i="1"/>
  <c r="M381" i="1"/>
  <c r="L381" i="1"/>
  <c r="K381" i="1"/>
  <c r="J381" i="1"/>
  <c r="I381" i="1"/>
  <c r="H381" i="1"/>
  <c r="G381" i="1"/>
  <c r="R380" i="1"/>
  <c r="Q380" i="1"/>
  <c r="O380" i="1"/>
  <c r="N380" i="1"/>
  <c r="M380" i="1"/>
  <c r="L380" i="1"/>
  <c r="K380" i="1"/>
  <c r="J380" i="1"/>
  <c r="I380" i="1"/>
  <c r="H380" i="1"/>
  <c r="G380" i="1"/>
  <c r="R379" i="1"/>
  <c r="Q379" i="1"/>
  <c r="O379" i="1"/>
  <c r="N379" i="1"/>
  <c r="M379" i="1"/>
  <c r="L379" i="1"/>
  <c r="K379" i="1"/>
  <c r="J379" i="1"/>
  <c r="I379" i="1"/>
  <c r="H379" i="1"/>
  <c r="G379" i="1"/>
  <c r="R378" i="1"/>
  <c r="Q378" i="1"/>
  <c r="O378" i="1"/>
  <c r="N378" i="1"/>
  <c r="M378" i="1"/>
  <c r="L378" i="1"/>
  <c r="K378" i="1"/>
  <c r="J378" i="1"/>
  <c r="I378" i="1"/>
  <c r="H378" i="1"/>
  <c r="G378" i="1"/>
  <c r="R377" i="1"/>
  <c r="Q377" i="1"/>
  <c r="O377" i="1"/>
  <c r="N377" i="1"/>
  <c r="M377" i="1"/>
  <c r="L377" i="1"/>
  <c r="K377" i="1"/>
  <c r="J377" i="1"/>
  <c r="I377" i="1"/>
  <c r="H377" i="1"/>
  <c r="G377" i="1"/>
  <c r="R376" i="1"/>
  <c r="Q376" i="1"/>
  <c r="O376" i="1"/>
  <c r="N376" i="1"/>
  <c r="M376" i="1"/>
  <c r="L376" i="1"/>
  <c r="K376" i="1"/>
  <c r="J376" i="1"/>
  <c r="I376" i="1"/>
  <c r="H376" i="1"/>
  <c r="G376" i="1"/>
  <c r="R375" i="1"/>
  <c r="Q375" i="1"/>
  <c r="O375" i="1"/>
  <c r="N375" i="1"/>
  <c r="M375" i="1"/>
  <c r="L375" i="1"/>
  <c r="K375" i="1"/>
  <c r="J375" i="1"/>
  <c r="I375" i="1"/>
  <c r="H375" i="1"/>
  <c r="G375" i="1"/>
  <c r="R374" i="1"/>
  <c r="Q374" i="1"/>
  <c r="O374" i="1"/>
  <c r="N374" i="1"/>
  <c r="M374" i="1"/>
  <c r="L374" i="1"/>
  <c r="K374" i="1"/>
  <c r="J374" i="1"/>
  <c r="I374" i="1"/>
  <c r="H374" i="1"/>
  <c r="G374" i="1"/>
  <c r="R373" i="1"/>
  <c r="Q373" i="1"/>
  <c r="O373" i="1"/>
  <c r="N373" i="1"/>
  <c r="M373" i="1"/>
  <c r="L373" i="1"/>
  <c r="K373" i="1"/>
  <c r="J373" i="1"/>
  <c r="I373" i="1"/>
  <c r="H373" i="1"/>
  <c r="G373" i="1"/>
  <c r="R372" i="1"/>
  <c r="Q372" i="1"/>
  <c r="P372" i="1"/>
  <c r="O372" i="1"/>
  <c r="N372" i="1"/>
  <c r="M372" i="1"/>
  <c r="L372" i="1"/>
  <c r="K372" i="1"/>
  <c r="J372" i="1"/>
  <c r="I372" i="1"/>
  <c r="H372" i="1"/>
  <c r="G372" i="1"/>
  <c r="R371" i="1"/>
  <c r="Q371" i="1"/>
  <c r="P371" i="1"/>
  <c r="O371" i="1"/>
  <c r="N371" i="1"/>
  <c r="M371" i="1"/>
  <c r="L371" i="1"/>
  <c r="K371" i="1"/>
  <c r="J371" i="1"/>
  <c r="I371" i="1"/>
  <c r="H371" i="1"/>
  <c r="G371" i="1"/>
  <c r="R370" i="1"/>
  <c r="Q370" i="1"/>
  <c r="P370" i="1"/>
  <c r="O370" i="1"/>
  <c r="N370" i="1"/>
  <c r="M370" i="1"/>
  <c r="L370" i="1"/>
  <c r="K370" i="1"/>
  <c r="J370" i="1"/>
  <c r="I370" i="1"/>
  <c r="H370" i="1"/>
  <c r="G370" i="1"/>
  <c r="R369" i="1"/>
  <c r="Q369" i="1"/>
  <c r="P369" i="1"/>
  <c r="O369" i="1"/>
  <c r="N369" i="1"/>
  <c r="M369" i="1"/>
  <c r="L369" i="1"/>
  <c r="K369" i="1"/>
  <c r="J369" i="1"/>
  <c r="I369" i="1"/>
  <c r="H369" i="1"/>
  <c r="G369" i="1"/>
  <c r="R368" i="1"/>
  <c r="Q368" i="1"/>
  <c r="P368" i="1"/>
  <c r="O368" i="1"/>
  <c r="N368" i="1"/>
  <c r="M368" i="1"/>
  <c r="L368" i="1"/>
  <c r="K368" i="1"/>
  <c r="J368" i="1"/>
  <c r="I368" i="1"/>
  <c r="H368" i="1"/>
  <c r="G368" i="1"/>
  <c r="R367" i="1"/>
  <c r="Q367" i="1"/>
  <c r="P367" i="1"/>
  <c r="O367" i="1"/>
  <c r="N367" i="1"/>
  <c r="M367" i="1"/>
  <c r="L367" i="1"/>
  <c r="K367" i="1"/>
  <c r="J367" i="1"/>
  <c r="I367" i="1"/>
  <c r="H367" i="1"/>
  <c r="G367" i="1"/>
  <c r="R366" i="1"/>
  <c r="Q366" i="1"/>
  <c r="P366" i="1"/>
  <c r="O366" i="1"/>
  <c r="N366" i="1"/>
  <c r="M366" i="1"/>
  <c r="L366" i="1"/>
  <c r="K366" i="1"/>
  <c r="J366" i="1"/>
  <c r="I366" i="1"/>
  <c r="H366" i="1"/>
  <c r="G366" i="1"/>
  <c r="R365" i="1"/>
  <c r="Q365" i="1"/>
  <c r="P365" i="1"/>
  <c r="O365" i="1"/>
  <c r="N365" i="1"/>
  <c r="M365" i="1"/>
  <c r="L365" i="1"/>
  <c r="K365" i="1"/>
  <c r="J365" i="1"/>
  <c r="I365" i="1"/>
  <c r="H365" i="1"/>
  <c r="G365" i="1"/>
  <c r="R364" i="1"/>
  <c r="Q364" i="1"/>
  <c r="O364" i="1"/>
  <c r="N364" i="1"/>
  <c r="M364" i="1"/>
  <c r="L364" i="1"/>
  <c r="K364" i="1"/>
  <c r="J364" i="1"/>
  <c r="I364" i="1"/>
  <c r="H364" i="1"/>
  <c r="G364" i="1"/>
  <c r="R363" i="1"/>
  <c r="Q363" i="1"/>
  <c r="P363" i="1"/>
  <c r="O363" i="1"/>
  <c r="N363" i="1"/>
  <c r="M363" i="1"/>
  <c r="L363" i="1"/>
  <c r="K363" i="1"/>
  <c r="J363" i="1"/>
  <c r="I363" i="1"/>
  <c r="H363" i="1"/>
  <c r="G363" i="1"/>
  <c r="R362" i="1"/>
  <c r="Q362" i="1"/>
  <c r="O362" i="1"/>
  <c r="N362" i="1"/>
  <c r="M362" i="1"/>
  <c r="L362" i="1"/>
  <c r="K362" i="1"/>
  <c r="J362" i="1"/>
  <c r="I362" i="1"/>
  <c r="H362" i="1"/>
  <c r="G362" i="1"/>
  <c r="R361" i="1"/>
  <c r="Q361" i="1"/>
  <c r="P361" i="1"/>
  <c r="O361" i="1"/>
  <c r="N361" i="1"/>
  <c r="M361" i="1"/>
  <c r="L361" i="1"/>
  <c r="K361" i="1"/>
  <c r="J361" i="1"/>
  <c r="I361" i="1"/>
  <c r="H361" i="1"/>
  <c r="G361" i="1"/>
  <c r="R360" i="1"/>
  <c r="Q360" i="1"/>
  <c r="P360" i="1"/>
  <c r="O360" i="1"/>
  <c r="N360" i="1"/>
  <c r="M360" i="1"/>
  <c r="L360" i="1"/>
  <c r="K360" i="1"/>
  <c r="J360" i="1"/>
  <c r="I360" i="1"/>
  <c r="H360" i="1"/>
  <c r="G360" i="1"/>
  <c r="R359" i="1"/>
  <c r="Q359" i="1"/>
  <c r="P359" i="1"/>
  <c r="O359" i="1"/>
  <c r="N359" i="1"/>
  <c r="M359" i="1"/>
  <c r="L359" i="1"/>
  <c r="K359" i="1"/>
  <c r="J359" i="1"/>
  <c r="I359" i="1"/>
  <c r="H359" i="1"/>
  <c r="G359" i="1"/>
  <c r="R358" i="1"/>
  <c r="Q358" i="1"/>
  <c r="P358" i="1"/>
  <c r="O358" i="1"/>
  <c r="N358" i="1"/>
  <c r="M358" i="1"/>
  <c r="L358" i="1"/>
  <c r="K358" i="1"/>
  <c r="J358" i="1"/>
  <c r="I358" i="1"/>
  <c r="H358" i="1"/>
  <c r="G358" i="1"/>
  <c r="R357" i="1"/>
  <c r="Q357" i="1"/>
  <c r="P357" i="1"/>
  <c r="O357" i="1"/>
  <c r="N357" i="1"/>
  <c r="M357" i="1"/>
  <c r="L357" i="1"/>
  <c r="K357" i="1"/>
  <c r="J357" i="1"/>
  <c r="I357" i="1"/>
  <c r="H357" i="1"/>
  <c r="G357" i="1"/>
  <c r="R356" i="1"/>
  <c r="Q356" i="1"/>
  <c r="P356" i="1"/>
  <c r="O356" i="1"/>
  <c r="N356" i="1"/>
  <c r="M356" i="1"/>
  <c r="L356" i="1"/>
  <c r="K356" i="1"/>
  <c r="J356" i="1"/>
  <c r="I356" i="1"/>
  <c r="H356" i="1"/>
  <c r="G356" i="1"/>
  <c r="R355" i="1"/>
  <c r="Q355" i="1"/>
  <c r="P355" i="1"/>
  <c r="O355" i="1"/>
  <c r="N355" i="1"/>
  <c r="M355" i="1"/>
  <c r="L355" i="1"/>
  <c r="K355" i="1"/>
  <c r="J355" i="1"/>
  <c r="I355" i="1"/>
  <c r="H355" i="1"/>
  <c r="G355" i="1"/>
  <c r="R354" i="1"/>
  <c r="Q354" i="1"/>
  <c r="P354" i="1"/>
  <c r="O354" i="1"/>
  <c r="N354" i="1"/>
  <c r="M354" i="1"/>
  <c r="L354" i="1"/>
  <c r="K354" i="1"/>
  <c r="J354" i="1"/>
  <c r="I354" i="1"/>
  <c r="H354" i="1"/>
  <c r="G354" i="1"/>
  <c r="R353" i="1"/>
  <c r="Q353" i="1"/>
  <c r="P353" i="1"/>
  <c r="O353" i="1"/>
  <c r="N353" i="1"/>
  <c r="M353" i="1"/>
  <c r="L353" i="1"/>
  <c r="K353" i="1"/>
  <c r="J353" i="1"/>
  <c r="I353" i="1"/>
  <c r="H353" i="1"/>
  <c r="G353" i="1"/>
  <c r="R352" i="1"/>
  <c r="Q352" i="1"/>
  <c r="P352" i="1"/>
  <c r="O352" i="1"/>
  <c r="N352" i="1"/>
  <c r="M352" i="1"/>
  <c r="L352" i="1"/>
  <c r="K352" i="1"/>
  <c r="J352" i="1"/>
  <c r="I352" i="1"/>
  <c r="H352" i="1"/>
  <c r="G352" i="1"/>
  <c r="R351" i="1"/>
  <c r="Q351" i="1"/>
  <c r="P351" i="1"/>
  <c r="O351" i="1"/>
  <c r="N351" i="1"/>
  <c r="M351" i="1"/>
  <c r="L351" i="1"/>
  <c r="K351" i="1"/>
  <c r="J351" i="1"/>
  <c r="I351" i="1"/>
  <c r="H351" i="1"/>
  <c r="G351" i="1"/>
  <c r="R350" i="1"/>
  <c r="Q350" i="1"/>
  <c r="P350" i="1"/>
  <c r="O350" i="1"/>
  <c r="N350" i="1"/>
  <c r="M350" i="1"/>
  <c r="L350" i="1"/>
  <c r="K350" i="1"/>
  <c r="J350" i="1"/>
  <c r="I350" i="1"/>
  <c r="H350" i="1"/>
  <c r="G350" i="1"/>
  <c r="R349" i="1"/>
  <c r="Q349" i="1"/>
  <c r="P349" i="1"/>
  <c r="O349" i="1"/>
  <c r="N349" i="1"/>
  <c r="M349" i="1"/>
  <c r="L349" i="1"/>
  <c r="K349" i="1"/>
  <c r="J349" i="1"/>
  <c r="I349" i="1"/>
  <c r="H349" i="1"/>
  <c r="G349" i="1"/>
  <c r="R348" i="1"/>
  <c r="Q348" i="1"/>
  <c r="P348" i="1"/>
  <c r="O348" i="1"/>
  <c r="N348" i="1"/>
  <c r="M348" i="1"/>
  <c r="L348" i="1"/>
  <c r="K348" i="1"/>
  <c r="J348" i="1"/>
  <c r="I348" i="1"/>
  <c r="H348" i="1"/>
  <c r="G348" i="1"/>
  <c r="R347" i="1"/>
  <c r="Q347" i="1"/>
  <c r="P347" i="1"/>
  <c r="O347" i="1"/>
  <c r="N347" i="1"/>
  <c r="M347" i="1"/>
  <c r="L347" i="1"/>
  <c r="K347" i="1"/>
  <c r="J347" i="1"/>
  <c r="I347" i="1"/>
  <c r="H347" i="1"/>
  <c r="G347" i="1"/>
  <c r="R346" i="1"/>
  <c r="Q346" i="1"/>
  <c r="P346" i="1"/>
  <c r="O346" i="1"/>
  <c r="N346" i="1"/>
  <c r="M346" i="1"/>
  <c r="L346" i="1"/>
  <c r="K346" i="1"/>
  <c r="J346" i="1"/>
  <c r="I346" i="1"/>
  <c r="H346" i="1"/>
  <c r="G346" i="1"/>
  <c r="R345" i="1"/>
  <c r="Q345" i="1"/>
  <c r="P345" i="1"/>
  <c r="O345" i="1"/>
  <c r="N345" i="1"/>
  <c r="M345" i="1"/>
  <c r="L345" i="1"/>
  <c r="K345" i="1"/>
  <c r="J345" i="1"/>
  <c r="I345" i="1"/>
  <c r="H345" i="1"/>
  <c r="G345" i="1"/>
  <c r="R344" i="1"/>
  <c r="Q344" i="1"/>
  <c r="P344" i="1"/>
  <c r="O344" i="1"/>
  <c r="N344" i="1"/>
  <c r="M344" i="1"/>
  <c r="L344" i="1"/>
  <c r="K344" i="1"/>
  <c r="J344" i="1"/>
  <c r="I344" i="1"/>
  <c r="H344" i="1"/>
  <c r="G344" i="1"/>
  <c r="R343" i="1"/>
  <c r="Q343" i="1"/>
  <c r="P343" i="1"/>
  <c r="O343" i="1"/>
  <c r="N343" i="1"/>
  <c r="M343" i="1"/>
  <c r="L343" i="1"/>
  <c r="K343" i="1"/>
  <c r="J343" i="1"/>
  <c r="I343" i="1"/>
  <c r="H343" i="1"/>
  <c r="G343" i="1"/>
  <c r="R342" i="1"/>
  <c r="Q342" i="1"/>
  <c r="P342" i="1"/>
  <c r="O342" i="1"/>
  <c r="N342" i="1"/>
  <c r="M342" i="1"/>
  <c r="L342" i="1"/>
  <c r="K342" i="1"/>
  <c r="J342" i="1"/>
  <c r="I342" i="1"/>
  <c r="H342" i="1"/>
  <c r="G342" i="1"/>
  <c r="R341" i="1"/>
  <c r="Q341" i="1"/>
  <c r="P341" i="1"/>
  <c r="O341" i="1"/>
  <c r="N341" i="1"/>
  <c r="M341" i="1"/>
  <c r="L341" i="1"/>
  <c r="K341" i="1"/>
  <c r="J341" i="1"/>
  <c r="I341" i="1"/>
  <c r="H341" i="1"/>
  <c r="G341" i="1"/>
  <c r="R340" i="1"/>
  <c r="Q340" i="1"/>
  <c r="P340" i="1"/>
  <c r="O340" i="1"/>
  <c r="N340" i="1"/>
  <c r="M340" i="1"/>
  <c r="L340" i="1"/>
  <c r="K340" i="1"/>
  <c r="J340" i="1"/>
  <c r="I340" i="1"/>
  <c r="H340" i="1"/>
  <c r="G340" i="1"/>
  <c r="R339" i="1"/>
  <c r="Q339" i="1"/>
  <c r="P339" i="1"/>
  <c r="O339" i="1"/>
  <c r="N339" i="1"/>
  <c r="M339" i="1"/>
  <c r="L339" i="1"/>
  <c r="K339" i="1"/>
  <c r="J339" i="1"/>
  <c r="I339" i="1"/>
  <c r="H339" i="1"/>
  <c r="G339" i="1"/>
  <c r="R338" i="1"/>
  <c r="Q338" i="1"/>
  <c r="P338" i="1"/>
  <c r="O338" i="1"/>
  <c r="N338" i="1"/>
  <c r="M338" i="1"/>
  <c r="L338" i="1"/>
  <c r="K338" i="1"/>
  <c r="J338" i="1"/>
  <c r="I338" i="1"/>
  <c r="H338" i="1"/>
  <c r="G338" i="1"/>
  <c r="R337" i="1"/>
  <c r="Q337" i="1"/>
  <c r="P337" i="1"/>
  <c r="O337" i="1"/>
  <c r="N337" i="1"/>
  <c r="M337" i="1"/>
  <c r="L337" i="1"/>
  <c r="K337" i="1"/>
  <c r="J337" i="1"/>
  <c r="I337" i="1"/>
  <c r="H337" i="1"/>
  <c r="G337" i="1"/>
  <c r="R336" i="1"/>
  <c r="Q336" i="1"/>
  <c r="P336" i="1"/>
  <c r="O336" i="1"/>
  <c r="N336" i="1"/>
  <c r="M336" i="1"/>
  <c r="L336" i="1"/>
  <c r="K336" i="1"/>
  <c r="J336" i="1"/>
  <c r="I336" i="1"/>
  <c r="H336" i="1"/>
  <c r="G336" i="1"/>
  <c r="R335" i="1"/>
  <c r="Q335" i="1"/>
  <c r="P335" i="1"/>
  <c r="O335" i="1"/>
  <c r="N335" i="1"/>
  <c r="M335" i="1"/>
  <c r="L335" i="1"/>
  <c r="K335" i="1"/>
  <c r="J335" i="1"/>
  <c r="I335" i="1"/>
  <c r="H335" i="1"/>
  <c r="G335" i="1"/>
  <c r="R334" i="1"/>
  <c r="Q334" i="1"/>
  <c r="P334" i="1"/>
  <c r="O334" i="1"/>
  <c r="N334" i="1"/>
  <c r="M334" i="1"/>
  <c r="L334" i="1"/>
  <c r="K334" i="1"/>
  <c r="J334" i="1"/>
  <c r="I334" i="1"/>
  <c r="H334" i="1"/>
  <c r="G334" i="1"/>
  <c r="R333" i="1"/>
  <c r="Q333" i="1"/>
  <c r="P333" i="1"/>
  <c r="O333" i="1"/>
  <c r="N333" i="1"/>
  <c r="M333" i="1"/>
  <c r="L333" i="1"/>
  <c r="K333" i="1"/>
  <c r="J333" i="1"/>
  <c r="I333" i="1"/>
  <c r="H333" i="1"/>
  <c r="G333" i="1"/>
  <c r="R332" i="1"/>
  <c r="Q332" i="1"/>
  <c r="P332" i="1"/>
  <c r="O332" i="1"/>
  <c r="N332" i="1"/>
  <c r="M332" i="1"/>
  <c r="L332" i="1"/>
  <c r="K332" i="1"/>
  <c r="J332" i="1"/>
  <c r="I332" i="1"/>
  <c r="H332" i="1"/>
  <c r="G332" i="1"/>
  <c r="R331" i="1"/>
  <c r="Q331" i="1"/>
  <c r="P331" i="1"/>
  <c r="O331" i="1"/>
  <c r="N331" i="1"/>
  <c r="M331" i="1"/>
  <c r="L331" i="1"/>
  <c r="K331" i="1"/>
  <c r="J331" i="1"/>
  <c r="I331" i="1"/>
  <c r="H331" i="1"/>
  <c r="G331" i="1"/>
  <c r="R330" i="1"/>
  <c r="Q330" i="1"/>
  <c r="P330" i="1"/>
  <c r="O330" i="1"/>
  <c r="N330" i="1"/>
  <c r="M330" i="1"/>
  <c r="L330" i="1"/>
  <c r="K330" i="1"/>
  <c r="J330" i="1"/>
  <c r="I330" i="1"/>
  <c r="H330" i="1"/>
  <c r="G330" i="1"/>
  <c r="R329" i="1"/>
  <c r="Q329" i="1"/>
  <c r="P329" i="1"/>
  <c r="O329" i="1"/>
  <c r="N329" i="1"/>
  <c r="M329" i="1"/>
  <c r="L329" i="1"/>
  <c r="K329" i="1"/>
  <c r="J329" i="1"/>
  <c r="I329" i="1"/>
  <c r="H329" i="1"/>
  <c r="G329" i="1"/>
  <c r="R328" i="1"/>
  <c r="Q328" i="1"/>
  <c r="P328" i="1"/>
  <c r="O328" i="1"/>
  <c r="N328" i="1"/>
  <c r="M328" i="1"/>
  <c r="L328" i="1"/>
  <c r="K328" i="1"/>
  <c r="J328" i="1"/>
  <c r="I328" i="1"/>
  <c r="H328" i="1"/>
  <c r="G328" i="1"/>
  <c r="R327" i="1"/>
  <c r="Q327" i="1"/>
  <c r="P327" i="1"/>
  <c r="O327" i="1"/>
  <c r="N327" i="1"/>
  <c r="M327" i="1"/>
  <c r="L327" i="1"/>
  <c r="K327" i="1"/>
  <c r="J327" i="1"/>
  <c r="I327" i="1"/>
  <c r="H327" i="1"/>
  <c r="G327" i="1"/>
  <c r="R326" i="1"/>
  <c r="Q326" i="1"/>
  <c r="P326" i="1"/>
  <c r="O326" i="1"/>
  <c r="N326" i="1"/>
  <c r="M326" i="1"/>
  <c r="L326" i="1"/>
  <c r="K326" i="1"/>
  <c r="J326" i="1"/>
  <c r="I326" i="1"/>
  <c r="H326" i="1"/>
  <c r="G326" i="1"/>
  <c r="R325" i="1"/>
  <c r="Q325" i="1"/>
  <c r="P325" i="1"/>
  <c r="O325" i="1"/>
  <c r="N325" i="1"/>
  <c r="M325" i="1"/>
  <c r="L325" i="1"/>
  <c r="K325" i="1"/>
  <c r="J325" i="1"/>
  <c r="I325" i="1"/>
  <c r="H325" i="1"/>
  <c r="G325" i="1"/>
  <c r="R324" i="1"/>
  <c r="Q324" i="1"/>
  <c r="P324" i="1"/>
  <c r="O324" i="1"/>
  <c r="N324" i="1"/>
  <c r="M324" i="1"/>
  <c r="L324" i="1"/>
  <c r="K324" i="1"/>
  <c r="J324" i="1"/>
  <c r="I324" i="1"/>
  <c r="H324" i="1"/>
  <c r="G324" i="1"/>
  <c r="R323" i="1"/>
  <c r="Q323" i="1"/>
  <c r="P323" i="1"/>
  <c r="O323" i="1"/>
  <c r="N323" i="1"/>
  <c r="M323" i="1"/>
  <c r="L323" i="1"/>
  <c r="K323" i="1"/>
  <c r="J323" i="1"/>
  <c r="I323" i="1"/>
  <c r="H323" i="1"/>
  <c r="G323" i="1"/>
  <c r="R322" i="1"/>
  <c r="Q322" i="1"/>
  <c r="P322" i="1"/>
  <c r="O322" i="1"/>
  <c r="N322" i="1"/>
  <c r="M322" i="1"/>
  <c r="L322" i="1"/>
  <c r="K322" i="1"/>
  <c r="J322" i="1"/>
  <c r="I322" i="1"/>
  <c r="H322" i="1"/>
  <c r="G322" i="1"/>
  <c r="R321" i="1"/>
  <c r="Q321" i="1"/>
  <c r="P321" i="1"/>
  <c r="O321" i="1"/>
  <c r="N321" i="1"/>
  <c r="M321" i="1"/>
  <c r="L321" i="1"/>
  <c r="K321" i="1"/>
  <c r="J321" i="1"/>
  <c r="I321" i="1"/>
  <c r="H321" i="1"/>
  <c r="G321" i="1"/>
  <c r="R320" i="1"/>
  <c r="Q320" i="1"/>
  <c r="P320" i="1"/>
  <c r="O320" i="1"/>
  <c r="N320" i="1"/>
  <c r="M320" i="1"/>
  <c r="L320" i="1"/>
  <c r="K320" i="1"/>
  <c r="J320" i="1"/>
  <c r="I320" i="1"/>
  <c r="H320" i="1"/>
  <c r="G320" i="1"/>
  <c r="R319" i="1"/>
  <c r="Q319" i="1"/>
  <c r="P319" i="1"/>
  <c r="O319" i="1"/>
  <c r="N319" i="1"/>
  <c r="M319" i="1"/>
  <c r="L319" i="1"/>
  <c r="K319" i="1"/>
  <c r="J319" i="1"/>
  <c r="I319" i="1"/>
  <c r="H319" i="1"/>
  <c r="G319" i="1"/>
  <c r="R318" i="1"/>
  <c r="Q318" i="1"/>
  <c r="P318" i="1"/>
  <c r="O318" i="1"/>
  <c r="N318" i="1"/>
  <c r="M318" i="1"/>
  <c r="L318" i="1"/>
  <c r="K318" i="1"/>
  <c r="J318" i="1"/>
  <c r="I318" i="1"/>
  <c r="H318" i="1"/>
  <c r="G318" i="1"/>
  <c r="R317" i="1"/>
  <c r="Q317" i="1"/>
  <c r="P317" i="1"/>
  <c r="O317" i="1"/>
  <c r="N317" i="1"/>
  <c r="M317" i="1"/>
  <c r="L317" i="1"/>
  <c r="K317" i="1"/>
  <c r="J317" i="1"/>
  <c r="I317" i="1"/>
  <c r="H317" i="1"/>
  <c r="G317" i="1"/>
  <c r="R316" i="1"/>
  <c r="Q316" i="1"/>
  <c r="P316" i="1"/>
  <c r="O316" i="1"/>
  <c r="N316" i="1"/>
  <c r="M316" i="1"/>
  <c r="L316" i="1"/>
  <c r="K316" i="1"/>
  <c r="J316" i="1"/>
  <c r="I316" i="1"/>
  <c r="H316" i="1"/>
  <c r="G316" i="1"/>
  <c r="R315" i="1"/>
  <c r="Q315" i="1"/>
  <c r="P315" i="1"/>
  <c r="O315" i="1"/>
  <c r="N315" i="1"/>
  <c r="M315" i="1"/>
  <c r="L315" i="1"/>
  <c r="K315" i="1"/>
  <c r="J315" i="1"/>
  <c r="I315" i="1"/>
  <c r="H315" i="1"/>
  <c r="G315" i="1"/>
  <c r="R314" i="1"/>
  <c r="Q314" i="1"/>
  <c r="P314" i="1"/>
  <c r="O314" i="1"/>
  <c r="N314" i="1"/>
  <c r="M314" i="1"/>
  <c r="L314" i="1"/>
  <c r="K314" i="1"/>
  <c r="J314" i="1"/>
  <c r="I314" i="1"/>
  <c r="H314" i="1"/>
  <c r="G314" i="1"/>
  <c r="R313" i="1"/>
  <c r="Q313" i="1"/>
  <c r="P313" i="1"/>
  <c r="O313" i="1"/>
  <c r="N313" i="1"/>
  <c r="M313" i="1"/>
  <c r="L313" i="1"/>
  <c r="K313" i="1"/>
  <c r="J313" i="1"/>
  <c r="I313" i="1"/>
  <c r="H313" i="1"/>
  <c r="G313" i="1"/>
  <c r="R312" i="1"/>
  <c r="Q312" i="1"/>
  <c r="P312" i="1"/>
  <c r="O312" i="1"/>
  <c r="N312" i="1"/>
  <c r="M312" i="1"/>
  <c r="L312" i="1"/>
  <c r="K312" i="1"/>
  <c r="J312" i="1"/>
  <c r="I312" i="1"/>
  <c r="H312" i="1"/>
  <c r="G312" i="1"/>
  <c r="R311" i="1"/>
  <c r="Q311" i="1"/>
  <c r="P311" i="1"/>
  <c r="O311" i="1"/>
  <c r="N311" i="1"/>
  <c r="M311" i="1"/>
  <c r="L311" i="1"/>
  <c r="K311" i="1"/>
  <c r="J311" i="1"/>
  <c r="I311" i="1"/>
  <c r="H311" i="1"/>
  <c r="G311" i="1"/>
  <c r="R310" i="1"/>
  <c r="Q310" i="1"/>
  <c r="P310" i="1"/>
  <c r="O310" i="1"/>
  <c r="N310" i="1"/>
  <c r="M310" i="1"/>
  <c r="L310" i="1"/>
  <c r="K310" i="1"/>
  <c r="J310" i="1"/>
  <c r="I310" i="1"/>
  <c r="H310" i="1"/>
  <c r="G310" i="1"/>
  <c r="R309" i="1"/>
  <c r="Q309" i="1"/>
  <c r="P309" i="1"/>
  <c r="O309" i="1"/>
  <c r="N309" i="1"/>
  <c r="M309" i="1"/>
  <c r="L309" i="1"/>
  <c r="K309" i="1"/>
  <c r="J309" i="1"/>
  <c r="I309" i="1"/>
  <c r="H309" i="1"/>
  <c r="G309" i="1"/>
  <c r="R308" i="1"/>
  <c r="Q308" i="1"/>
  <c r="P308" i="1"/>
  <c r="O308" i="1"/>
  <c r="N308" i="1"/>
  <c r="M308" i="1"/>
  <c r="L308" i="1"/>
  <c r="K308" i="1"/>
  <c r="J308" i="1"/>
  <c r="I308" i="1"/>
  <c r="H308" i="1"/>
  <c r="G308" i="1"/>
  <c r="R307" i="1"/>
  <c r="Q307" i="1"/>
  <c r="P307" i="1"/>
  <c r="O307" i="1"/>
  <c r="N307" i="1"/>
  <c r="M307" i="1"/>
  <c r="L307" i="1"/>
  <c r="K307" i="1"/>
  <c r="J307" i="1"/>
  <c r="I307" i="1"/>
  <c r="H307" i="1"/>
  <c r="G307" i="1"/>
  <c r="R306" i="1"/>
  <c r="Q306" i="1"/>
  <c r="P306" i="1"/>
  <c r="O306" i="1"/>
  <c r="N306" i="1"/>
  <c r="M306" i="1"/>
  <c r="L306" i="1"/>
  <c r="K306" i="1"/>
  <c r="J306" i="1"/>
  <c r="I306" i="1"/>
  <c r="H306" i="1"/>
  <c r="G306" i="1"/>
  <c r="R305" i="1"/>
  <c r="Q305" i="1"/>
  <c r="P305" i="1"/>
  <c r="O305" i="1"/>
  <c r="N305" i="1"/>
  <c r="M305" i="1"/>
  <c r="L305" i="1"/>
  <c r="K305" i="1"/>
  <c r="J305" i="1"/>
  <c r="I305" i="1"/>
  <c r="H305" i="1"/>
  <c r="G305" i="1"/>
  <c r="R304" i="1"/>
  <c r="Q304" i="1"/>
  <c r="P304" i="1"/>
  <c r="O304" i="1"/>
  <c r="N304" i="1"/>
  <c r="M304" i="1"/>
  <c r="L304" i="1"/>
  <c r="K304" i="1"/>
  <c r="J304" i="1"/>
  <c r="I304" i="1"/>
  <c r="H304" i="1"/>
  <c r="G304" i="1"/>
  <c r="R303" i="1"/>
  <c r="Q303" i="1"/>
  <c r="P303" i="1"/>
  <c r="O303" i="1"/>
  <c r="N303" i="1"/>
  <c r="M303" i="1"/>
  <c r="L303" i="1"/>
  <c r="K303" i="1"/>
  <c r="J303" i="1"/>
  <c r="I303" i="1"/>
  <c r="H303" i="1"/>
  <c r="G303" i="1"/>
  <c r="R302" i="1"/>
  <c r="Q302" i="1"/>
  <c r="P302" i="1"/>
  <c r="O302" i="1"/>
  <c r="N302" i="1"/>
  <c r="M302" i="1"/>
  <c r="L302" i="1"/>
  <c r="K302" i="1"/>
  <c r="J302" i="1"/>
  <c r="I302" i="1"/>
  <c r="H302" i="1"/>
  <c r="G302" i="1"/>
  <c r="R301" i="1"/>
  <c r="Q301" i="1"/>
  <c r="P301" i="1"/>
  <c r="O301" i="1"/>
  <c r="N301" i="1"/>
  <c r="M301" i="1"/>
  <c r="L301" i="1"/>
  <c r="K301" i="1"/>
  <c r="J301" i="1"/>
  <c r="I301" i="1"/>
  <c r="H301" i="1"/>
  <c r="G301" i="1"/>
  <c r="R300" i="1"/>
  <c r="Q300" i="1"/>
  <c r="P300" i="1"/>
  <c r="O300" i="1"/>
  <c r="N300" i="1"/>
  <c r="M300" i="1"/>
  <c r="L300" i="1"/>
  <c r="K300" i="1"/>
  <c r="J300" i="1"/>
  <c r="I300" i="1"/>
  <c r="H300" i="1"/>
  <c r="G300" i="1"/>
  <c r="R299" i="1"/>
  <c r="Q299" i="1"/>
  <c r="P299" i="1"/>
  <c r="O299" i="1"/>
  <c r="N299" i="1"/>
  <c r="M299" i="1"/>
  <c r="L299" i="1"/>
  <c r="K299" i="1"/>
  <c r="J299" i="1"/>
  <c r="I299" i="1"/>
  <c r="H299" i="1"/>
  <c r="G299" i="1"/>
  <c r="R298" i="1"/>
  <c r="Q298" i="1"/>
  <c r="P298" i="1"/>
  <c r="O298" i="1"/>
  <c r="N298" i="1"/>
  <c r="M298" i="1"/>
  <c r="L298" i="1"/>
  <c r="K298" i="1"/>
  <c r="J298" i="1"/>
  <c r="I298" i="1"/>
  <c r="H298" i="1"/>
  <c r="G298" i="1"/>
  <c r="R297" i="1"/>
  <c r="Q297" i="1"/>
  <c r="P297" i="1"/>
  <c r="O297" i="1"/>
  <c r="N297" i="1"/>
  <c r="M297" i="1"/>
  <c r="L297" i="1"/>
  <c r="K297" i="1"/>
  <c r="J297" i="1"/>
  <c r="I297" i="1"/>
  <c r="H297" i="1"/>
  <c r="G297" i="1"/>
  <c r="R296" i="1"/>
  <c r="Q296" i="1"/>
  <c r="P296" i="1"/>
  <c r="O296" i="1"/>
  <c r="N296" i="1"/>
  <c r="M296" i="1"/>
  <c r="L296" i="1"/>
  <c r="K296" i="1"/>
  <c r="J296" i="1"/>
  <c r="I296" i="1"/>
  <c r="H296" i="1"/>
  <c r="G296" i="1"/>
  <c r="R295" i="1"/>
  <c r="Q295" i="1"/>
  <c r="P295" i="1"/>
  <c r="O295" i="1"/>
  <c r="N295" i="1"/>
  <c r="M295" i="1"/>
  <c r="L295" i="1"/>
  <c r="K295" i="1"/>
  <c r="J295" i="1"/>
  <c r="I295" i="1"/>
  <c r="H295" i="1"/>
  <c r="G295" i="1"/>
  <c r="R294" i="1"/>
  <c r="Q294" i="1"/>
  <c r="P294" i="1"/>
  <c r="O294" i="1"/>
  <c r="N294" i="1"/>
  <c r="M294" i="1"/>
  <c r="L294" i="1"/>
  <c r="K294" i="1"/>
  <c r="J294" i="1"/>
  <c r="I294" i="1"/>
  <c r="H294" i="1"/>
  <c r="G294" i="1"/>
  <c r="R293" i="1"/>
  <c r="Q293" i="1"/>
  <c r="P293" i="1"/>
  <c r="O293" i="1"/>
  <c r="N293" i="1"/>
  <c r="M293" i="1"/>
  <c r="L293" i="1"/>
  <c r="K293" i="1"/>
  <c r="J293" i="1"/>
  <c r="I293" i="1"/>
  <c r="H293" i="1"/>
  <c r="G293" i="1"/>
  <c r="R292" i="1"/>
  <c r="Q292" i="1"/>
  <c r="P292" i="1"/>
  <c r="O292" i="1"/>
  <c r="N292" i="1"/>
  <c r="M292" i="1"/>
  <c r="L292" i="1"/>
  <c r="K292" i="1"/>
  <c r="J292" i="1"/>
  <c r="I292" i="1"/>
  <c r="H292" i="1"/>
  <c r="G292" i="1"/>
  <c r="R291" i="1"/>
  <c r="Q291" i="1"/>
  <c r="P291" i="1"/>
  <c r="O291" i="1"/>
  <c r="N291" i="1"/>
  <c r="M291" i="1"/>
  <c r="L291" i="1"/>
  <c r="K291" i="1"/>
  <c r="J291" i="1"/>
  <c r="I291" i="1"/>
  <c r="H291" i="1"/>
  <c r="G291" i="1"/>
  <c r="R290" i="1"/>
  <c r="Q290" i="1"/>
  <c r="P290" i="1"/>
  <c r="O290" i="1"/>
  <c r="N290" i="1"/>
  <c r="M290" i="1"/>
  <c r="L290" i="1"/>
  <c r="K290" i="1"/>
  <c r="J290" i="1"/>
  <c r="I290" i="1"/>
  <c r="H290" i="1"/>
  <c r="G290" i="1"/>
  <c r="R289" i="1"/>
  <c r="Q289" i="1"/>
  <c r="P289" i="1"/>
  <c r="O289" i="1"/>
  <c r="N289" i="1"/>
  <c r="M289" i="1"/>
  <c r="L289" i="1"/>
  <c r="K289" i="1"/>
  <c r="J289" i="1"/>
  <c r="I289" i="1"/>
  <c r="H289" i="1"/>
  <c r="G289" i="1"/>
  <c r="R288" i="1"/>
  <c r="Q288" i="1"/>
  <c r="P288" i="1"/>
  <c r="O288" i="1"/>
  <c r="N288" i="1"/>
  <c r="M288" i="1"/>
  <c r="L288" i="1"/>
  <c r="K288" i="1"/>
  <c r="J288" i="1"/>
  <c r="I288" i="1"/>
  <c r="H288" i="1"/>
  <c r="G288" i="1"/>
  <c r="R287" i="1"/>
  <c r="Q287" i="1"/>
  <c r="O287" i="1"/>
  <c r="N287" i="1"/>
  <c r="M287" i="1"/>
  <c r="L287" i="1"/>
  <c r="K287" i="1"/>
  <c r="J287" i="1"/>
  <c r="I287" i="1"/>
  <c r="H287" i="1"/>
  <c r="G287" i="1"/>
  <c r="R286" i="1"/>
  <c r="Q286" i="1"/>
  <c r="O286" i="1"/>
  <c r="N286" i="1"/>
  <c r="M286" i="1"/>
  <c r="L286" i="1"/>
  <c r="K286" i="1"/>
  <c r="J286" i="1"/>
  <c r="I286" i="1"/>
  <c r="H286" i="1"/>
  <c r="G286" i="1"/>
  <c r="R285" i="1"/>
  <c r="Q285" i="1"/>
  <c r="O285" i="1"/>
  <c r="N285" i="1"/>
  <c r="M285" i="1"/>
  <c r="L285" i="1"/>
  <c r="K285" i="1"/>
  <c r="J285" i="1"/>
  <c r="I285" i="1"/>
  <c r="H285" i="1"/>
  <c r="G285" i="1"/>
  <c r="R284" i="1"/>
  <c r="Q284" i="1"/>
  <c r="O284" i="1"/>
  <c r="N284" i="1"/>
  <c r="M284" i="1"/>
  <c r="L284" i="1"/>
  <c r="K284" i="1"/>
  <c r="J284" i="1"/>
  <c r="I284" i="1"/>
  <c r="H284" i="1"/>
  <c r="G284" i="1"/>
  <c r="R283" i="1"/>
  <c r="Q283" i="1"/>
  <c r="O283" i="1"/>
  <c r="N283" i="1"/>
  <c r="M283" i="1"/>
  <c r="L283" i="1"/>
  <c r="K283" i="1"/>
  <c r="J283" i="1"/>
  <c r="I283" i="1"/>
  <c r="H283" i="1"/>
  <c r="G283" i="1"/>
  <c r="R282" i="1"/>
  <c r="Q282" i="1"/>
  <c r="O282" i="1"/>
  <c r="N282" i="1"/>
  <c r="M282" i="1"/>
  <c r="L282" i="1"/>
  <c r="K282" i="1"/>
  <c r="J282" i="1"/>
  <c r="I282" i="1"/>
  <c r="H282" i="1"/>
  <c r="G282" i="1"/>
  <c r="R281" i="1"/>
  <c r="Q281" i="1"/>
  <c r="O281" i="1"/>
  <c r="N281" i="1"/>
  <c r="M281" i="1"/>
  <c r="L281" i="1"/>
  <c r="K281" i="1"/>
  <c r="J281" i="1"/>
  <c r="I281" i="1"/>
  <c r="H281" i="1"/>
  <c r="G281" i="1"/>
  <c r="R280" i="1"/>
  <c r="Q280" i="1"/>
  <c r="O280" i="1"/>
  <c r="N280" i="1"/>
  <c r="M280" i="1"/>
  <c r="L280" i="1"/>
  <c r="K280" i="1"/>
  <c r="J280" i="1"/>
  <c r="I280" i="1"/>
  <c r="H280" i="1"/>
  <c r="G280" i="1"/>
  <c r="R279" i="1"/>
  <c r="Q279" i="1"/>
  <c r="O279" i="1"/>
  <c r="N279" i="1"/>
  <c r="M279" i="1"/>
  <c r="L279" i="1"/>
  <c r="K279" i="1"/>
  <c r="J279" i="1"/>
  <c r="I279" i="1"/>
  <c r="H279" i="1"/>
  <c r="G279" i="1"/>
  <c r="R278" i="1"/>
  <c r="Q278" i="1"/>
  <c r="O278" i="1"/>
  <c r="N278" i="1"/>
  <c r="M278" i="1"/>
  <c r="L278" i="1"/>
  <c r="K278" i="1"/>
  <c r="J278" i="1"/>
  <c r="I278" i="1"/>
  <c r="H278" i="1"/>
  <c r="G278" i="1"/>
  <c r="R277" i="1"/>
  <c r="Q277" i="1"/>
  <c r="P277" i="1"/>
  <c r="O277" i="1"/>
  <c r="N277" i="1"/>
  <c r="M277" i="1"/>
  <c r="L277" i="1"/>
  <c r="K277" i="1"/>
  <c r="J277" i="1"/>
  <c r="I277" i="1"/>
  <c r="H277" i="1"/>
  <c r="G277" i="1"/>
  <c r="R276" i="1"/>
  <c r="Q276" i="1"/>
  <c r="P276" i="1"/>
  <c r="O276" i="1"/>
  <c r="N276" i="1"/>
  <c r="M276" i="1"/>
  <c r="L276" i="1"/>
  <c r="K276" i="1"/>
  <c r="J276" i="1"/>
  <c r="I276" i="1"/>
  <c r="H276" i="1"/>
  <c r="G276" i="1"/>
  <c r="R275" i="1"/>
  <c r="Q275" i="1"/>
  <c r="P275" i="1"/>
  <c r="O275" i="1"/>
  <c r="N275" i="1"/>
  <c r="M275" i="1"/>
  <c r="L275" i="1"/>
  <c r="K275" i="1"/>
  <c r="J275" i="1"/>
  <c r="I275" i="1"/>
  <c r="H275" i="1"/>
  <c r="G275" i="1"/>
  <c r="R274" i="1"/>
  <c r="Q274" i="1"/>
  <c r="P274" i="1"/>
  <c r="O274" i="1"/>
  <c r="N274" i="1"/>
  <c r="M274" i="1"/>
  <c r="L274" i="1"/>
  <c r="K274" i="1"/>
  <c r="J274" i="1"/>
  <c r="I274" i="1"/>
  <c r="H274" i="1"/>
  <c r="G274" i="1"/>
  <c r="R273" i="1"/>
  <c r="Q273" i="1"/>
  <c r="P273" i="1"/>
  <c r="O273" i="1"/>
  <c r="N273" i="1"/>
  <c r="M273" i="1"/>
  <c r="L273" i="1"/>
  <c r="K273" i="1"/>
  <c r="J273" i="1"/>
  <c r="I273" i="1"/>
  <c r="H273" i="1"/>
  <c r="G273" i="1"/>
  <c r="R272" i="1"/>
  <c r="Q272" i="1"/>
  <c r="P272" i="1"/>
  <c r="O272" i="1"/>
  <c r="N272" i="1"/>
  <c r="M272" i="1"/>
  <c r="L272" i="1"/>
  <c r="K272" i="1"/>
  <c r="J272" i="1"/>
  <c r="I272" i="1"/>
  <c r="H272" i="1"/>
  <c r="G272" i="1"/>
  <c r="R271" i="1"/>
  <c r="Q271" i="1"/>
  <c r="P271" i="1"/>
  <c r="O271" i="1"/>
  <c r="N271" i="1"/>
  <c r="M271" i="1"/>
  <c r="L271" i="1"/>
  <c r="K271" i="1"/>
  <c r="J271" i="1"/>
  <c r="I271" i="1"/>
  <c r="H271" i="1"/>
  <c r="G271" i="1"/>
  <c r="R270" i="1"/>
  <c r="Q270" i="1"/>
  <c r="P270" i="1"/>
  <c r="O270" i="1"/>
  <c r="N270" i="1"/>
  <c r="M270" i="1"/>
  <c r="L270" i="1"/>
  <c r="K270" i="1"/>
  <c r="J270" i="1"/>
  <c r="I270" i="1"/>
  <c r="H270" i="1"/>
  <c r="G270" i="1"/>
  <c r="R269" i="1"/>
  <c r="Q269" i="1"/>
  <c r="P269" i="1"/>
  <c r="O269" i="1"/>
  <c r="N269" i="1"/>
  <c r="M269" i="1"/>
  <c r="L269" i="1"/>
  <c r="K269" i="1"/>
  <c r="J269" i="1"/>
  <c r="I269" i="1"/>
  <c r="H269" i="1"/>
  <c r="G269" i="1"/>
  <c r="R268" i="1"/>
  <c r="Q268" i="1"/>
  <c r="P268" i="1"/>
  <c r="O268" i="1"/>
  <c r="N268" i="1"/>
  <c r="M268" i="1"/>
  <c r="L268" i="1"/>
  <c r="K268" i="1"/>
  <c r="J268" i="1"/>
  <c r="I268" i="1"/>
  <c r="H268" i="1"/>
  <c r="G268" i="1"/>
  <c r="R267" i="1"/>
  <c r="Q267" i="1"/>
  <c r="P267" i="1"/>
  <c r="O267" i="1"/>
  <c r="N267" i="1"/>
  <c r="M267" i="1"/>
  <c r="L267" i="1"/>
  <c r="K267" i="1"/>
  <c r="J267" i="1"/>
  <c r="I267" i="1"/>
  <c r="H267" i="1"/>
  <c r="G267" i="1"/>
  <c r="R266" i="1"/>
  <c r="Q266" i="1"/>
  <c r="P266" i="1"/>
  <c r="O266" i="1"/>
  <c r="N266" i="1"/>
  <c r="M266" i="1"/>
  <c r="L266" i="1"/>
  <c r="K266" i="1"/>
  <c r="J266" i="1"/>
  <c r="I266" i="1"/>
  <c r="H266" i="1"/>
  <c r="G266" i="1"/>
  <c r="R265" i="1"/>
  <c r="Q265" i="1"/>
  <c r="P265" i="1"/>
  <c r="O265" i="1"/>
  <c r="N265" i="1"/>
  <c r="M265" i="1"/>
  <c r="L265" i="1"/>
  <c r="K265" i="1"/>
  <c r="J265" i="1"/>
  <c r="I265" i="1"/>
  <c r="H265" i="1"/>
  <c r="G265" i="1"/>
  <c r="R264" i="1"/>
  <c r="Q264" i="1"/>
  <c r="P264" i="1"/>
  <c r="O264" i="1"/>
  <c r="N264" i="1"/>
  <c r="M264" i="1"/>
  <c r="L264" i="1"/>
  <c r="K264" i="1"/>
  <c r="J264" i="1"/>
  <c r="I264" i="1"/>
  <c r="H264" i="1"/>
  <c r="G264" i="1"/>
  <c r="R263" i="1"/>
  <c r="Q263" i="1"/>
  <c r="P263" i="1"/>
  <c r="O263" i="1"/>
  <c r="N263" i="1"/>
  <c r="M263" i="1"/>
  <c r="L263" i="1"/>
  <c r="K263" i="1"/>
  <c r="J263" i="1"/>
  <c r="I263" i="1"/>
  <c r="H263" i="1"/>
  <c r="G263" i="1"/>
  <c r="R262" i="1"/>
  <c r="Q262" i="1"/>
  <c r="P262" i="1"/>
  <c r="O262" i="1"/>
  <c r="N262" i="1"/>
  <c r="M262" i="1"/>
  <c r="L262" i="1"/>
  <c r="K262" i="1"/>
  <c r="J262" i="1"/>
  <c r="I262" i="1"/>
  <c r="H262" i="1"/>
  <c r="G262" i="1"/>
  <c r="R261" i="1"/>
  <c r="Q261" i="1"/>
  <c r="P261" i="1"/>
  <c r="O261" i="1"/>
  <c r="N261" i="1"/>
  <c r="M261" i="1"/>
  <c r="L261" i="1"/>
  <c r="K261" i="1"/>
  <c r="J261" i="1"/>
  <c r="I261" i="1"/>
  <c r="H261" i="1"/>
  <c r="G261" i="1"/>
  <c r="R260" i="1"/>
  <c r="Q260" i="1"/>
  <c r="P260" i="1"/>
  <c r="O260" i="1"/>
  <c r="N260" i="1"/>
  <c r="M260" i="1"/>
  <c r="L260" i="1"/>
  <c r="K260" i="1"/>
  <c r="J260" i="1"/>
  <c r="I260" i="1"/>
  <c r="H260" i="1"/>
  <c r="G260" i="1"/>
  <c r="R259" i="1"/>
  <c r="Q259" i="1"/>
  <c r="P259" i="1"/>
  <c r="O259" i="1"/>
  <c r="N259" i="1"/>
  <c r="M259" i="1"/>
  <c r="L259" i="1"/>
  <c r="K259" i="1"/>
  <c r="J259" i="1"/>
  <c r="I259" i="1"/>
  <c r="H259" i="1"/>
  <c r="G259" i="1"/>
  <c r="R258" i="1"/>
  <c r="Q258" i="1"/>
  <c r="P258" i="1"/>
  <c r="O258" i="1"/>
  <c r="N258" i="1"/>
  <c r="M258" i="1"/>
  <c r="L258" i="1"/>
  <c r="K258" i="1"/>
  <c r="J258" i="1"/>
  <c r="I258" i="1"/>
  <c r="H258" i="1"/>
  <c r="G258" i="1"/>
  <c r="R257" i="1"/>
  <c r="Q257" i="1"/>
  <c r="P257" i="1"/>
  <c r="O257" i="1"/>
  <c r="N257" i="1"/>
  <c r="M257" i="1"/>
  <c r="L257" i="1"/>
  <c r="K257" i="1"/>
  <c r="J257" i="1"/>
  <c r="I257" i="1"/>
  <c r="H257" i="1"/>
  <c r="G257" i="1"/>
  <c r="R256" i="1"/>
  <c r="Q256" i="1"/>
  <c r="P256" i="1"/>
  <c r="O256" i="1"/>
  <c r="N256" i="1"/>
  <c r="M256" i="1"/>
  <c r="L256" i="1"/>
  <c r="K256" i="1"/>
  <c r="J256" i="1"/>
  <c r="I256" i="1"/>
  <c r="H256" i="1"/>
  <c r="G256" i="1"/>
  <c r="R255" i="1"/>
  <c r="Q255" i="1"/>
  <c r="P255" i="1"/>
  <c r="O255" i="1"/>
  <c r="N255" i="1"/>
  <c r="M255" i="1"/>
  <c r="L255" i="1"/>
  <c r="K255" i="1"/>
  <c r="J255" i="1"/>
  <c r="I255" i="1"/>
  <c r="H255" i="1"/>
  <c r="G255" i="1"/>
  <c r="R254" i="1"/>
  <c r="Q254" i="1"/>
  <c r="P254" i="1"/>
  <c r="O254" i="1"/>
  <c r="N254" i="1"/>
  <c r="M254" i="1"/>
  <c r="L254" i="1"/>
  <c r="K254" i="1"/>
  <c r="J254" i="1"/>
  <c r="I254" i="1"/>
  <c r="H254" i="1"/>
  <c r="G254" i="1"/>
  <c r="R253" i="1"/>
  <c r="Q253" i="1"/>
  <c r="P253" i="1"/>
  <c r="O253" i="1"/>
  <c r="N253" i="1"/>
  <c r="M253" i="1"/>
  <c r="L253" i="1"/>
  <c r="K253" i="1"/>
  <c r="J253" i="1"/>
  <c r="I253" i="1"/>
  <c r="H253" i="1"/>
  <c r="G253" i="1"/>
  <c r="R252" i="1"/>
  <c r="Q252" i="1"/>
  <c r="P252" i="1"/>
  <c r="O252" i="1"/>
  <c r="N252" i="1"/>
  <c r="M252" i="1"/>
  <c r="L252" i="1"/>
  <c r="K252" i="1"/>
  <c r="J252" i="1"/>
  <c r="I252" i="1"/>
  <c r="H252" i="1"/>
  <c r="G252" i="1"/>
  <c r="R251" i="1"/>
  <c r="Q251" i="1"/>
  <c r="P251" i="1"/>
  <c r="O251" i="1"/>
  <c r="N251" i="1"/>
  <c r="M251" i="1"/>
  <c r="L251" i="1"/>
  <c r="K251" i="1"/>
  <c r="J251" i="1"/>
  <c r="I251" i="1"/>
  <c r="H251" i="1"/>
  <c r="G251" i="1"/>
  <c r="R250" i="1"/>
  <c r="Q250" i="1"/>
  <c r="P250" i="1"/>
  <c r="O250" i="1"/>
  <c r="N250" i="1"/>
  <c r="M250" i="1"/>
  <c r="L250" i="1"/>
  <c r="K250" i="1"/>
  <c r="J250" i="1"/>
  <c r="I250" i="1"/>
  <c r="H250" i="1"/>
  <c r="G250" i="1"/>
  <c r="R249" i="1"/>
  <c r="Q249" i="1"/>
  <c r="P249" i="1"/>
  <c r="O249" i="1"/>
  <c r="N249" i="1"/>
  <c r="M249" i="1"/>
  <c r="L249" i="1"/>
  <c r="K249" i="1"/>
  <c r="J249" i="1"/>
  <c r="I249" i="1"/>
  <c r="H249" i="1"/>
  <c r="G249" i="1"/>
  <c r="R248" i="1"/>
  <c r="Q248" i="1"/>
  <c r="P248" i="1"/>
  <c r="O248" i="1"/>
  <c r="N248" i="1"/>
  <c r="M248" i="1"/>
  <c r="L248" i="1"/>
  <c r="K248" i="1"/>
  <c r="J248" i="1"/>
  <c r="I248" i="1"/>
  <c r="H248" i="1"/>
  <c r="G248" i="1"/>
  <c r="R247" i="1"/>
  <c r="Q247" i="1"/>
  <c r="O247" i="1"/>
  <c r="N247" i="1"/>
  <c r="M247" i="1"/>
  <c r="L247" i="1"/>
  <c r="K247" i="1"/>
  <c r="J247" i="1"/>
  <c r="I247" i="1"/>
  <c r="H247" i="1"/>
  <c r="G247" i="1"/>
  <c r="R246" i="1"/>
  <c r="Q246" i="1"/>
  <c r="O246" i="1"/>
  <c r="N246" i="1"/>
  <c r="M246" i="1"/>
  <c r="L246" i="1"/>
  <c r="K246" i="1"/>
  <c r="J246" i="1"/>
  <c r="I246" i="1"/>
  <c r="H246" i="1"/>
  <c r="G246" i="1"/>
  <c r="R245" i="1"/>
  <c r="Q245" i="1"/>
  <c r="O245" i="1"/>
  <c r="N245" i="1"/>
  <c r="M245" i="1"/>
  <c r="L245" i="1"/>
  <c r="K245" i="1"/>
  <c r="J245" i="1"/>
  <c r="I245" i="1"/>
  <c r="H245" i="1"/>
  <c r="G245" i="1"/>
  <c r="R244" i="1"/>
  <c r="Q244" i="1"/>
  <c r="O244" i="1"/>
  <c r="N244" i="1"/>
  <c r="M244" i="1"/>
  <c r="L244" i="1"/>
  <c r="K244" i="1"/>
  <c r="J244" i="1"/>
  <c r="I244" i="1"/>
  <c r="H244" i="1"/>
  <c r="G244" i="1"/>
  <c r="R243" i="1"/>
  <c r="Q243" i="1"/>
  <c r="O243" i="1"/>
  <c r="N243" i="1"/>
  <c r="M243" i="1"/>
  <c r="L243" i="1"/>
  <c r="K243" i="1"/>
  <c r="J243" i="1"/>
  <c r="I243" i="1"/>
  <c r="H243" i="1"/>
  <c r="G243" i="1"/>
  <c r="R242" i="1"/>
  <c r="Q242" i="1"/>
  <c r="O242" i="1"/>
  <c r="N242" i="1"/>
  <c r="M242" i="1"/>
  <c r="L242" i="1"/>
  <c r="K242" i="1"/>
  <c r="J242" i="1"/>
  <c r="I242" i="1"/>
  <c r="H242" i="1"/>
  <c r="G242" i="1"/>
  <c r="R241" i="1"/>
  <c r="Q241" i="1"/>
  <c r="O241" i="1"/>
  <c r="N241" i="1"/>
  <c r="M241" i="1"/>
  <c r="L241" i="1"/>
  <c r="K241" i="1"/>
  <c r="J241" i="1"/>
  <c r="I241" i="1"/>
  <c r="H241" i="1"/>
  <c r="G241" i="1"/>
  <c r="R240" i="1"/>
  <c r="Q240" i="1"/>
  <c r="O240" i="1"/>
  <c r="N240" i="1"/>
  <c r="M240" i="1"/>
  <c r="L240" i="1"/>
  <c r="K240" i="1"/>
  <c r="J240" i="1"/>
  <c r="I240" i="1"/>
  <c r="H240" i="1"/>
  <c r="G240" i="1"/>
  <c r="R239" i="1"/>
  <c r="Q239" i="1"/>
  <c r="O239" i="1"/>
  <c r="N239" i="1"/>
  <c r="M239" i="1"/>
  <c r="L239" i="1"/>
  <c r="K239" i="1"/>
  <c r="J239" i="1"/>
  <c r="I239" i="1"/>
  <c r="H239" i="1"/>
  <c r="G239" i="1"/>
  <c r="R238" i="1"/>
  <c r="Q238" i="1"/>
  <c r="O238" i="1"/>
  <c r="N238" i="1"/>
  <c r="M238" i="1"/>
  <c r="L238" i="1"/>
  <c r="K238" i="1"/>
  <c r="J238" i="1"/>
  <c r="I238" i="1"/>
  <c r="H238" i="1"/>
  <c r="G238" i="1"/>
  <c r="R237" i="1"/>
  <c r="Q237" i="1"/>
  <c r="P237" i="1"/>
  <c r="O237" i="1"/>
  <c r="N237" i="1"/>
  <c r="M237" i="1"/>
  <c r="L237" i="1"/>
  <c r="K237" i="1"/>
  <c r="J237" i="1"/>
  <c r="I237" i="1"/>
  <c r="H237" i="1"/>
  <c r="G237" i="1"/>
  <c r="R236" i="1"/>
  <c r="Q236" i="1"/>
  <c r="P236" i="1"/>
  <c r="O236" i="1"/>
  <c r="N236" i="1"/>
  <c r="M236" i="1"/>
  <c r="L236" i="1"/>
  <c r="K236" i="1"/>
  <c r="J236" i="1"/>
  <c r="I236" i="1"/>
  <c r="H236" i="1"/>
  <c r="G236" i="1"/>
  <c r="R235" i="1"/>
  <c r="Q235" i="1"/>
  <c r="P235" i="1"/>
  <c r="O235" i="1"/>
  <c r="N235" i="1"/>
  <c r="M235" i="1"/>
  <c r="L235" i="1"/>
  <c r="K235" i="1"/>
  <c r="J235" i="1"/>
  <c r="I235" i="1"/>
  <c r="H235" i="1"/>
  <c r="G235" i="1"/>
  <c r="R234" i="1"/>
  <c r="Q234" i="1"/>
  <c r="P234" i="1"/>
  <c r="O234" i="1"/>
  <c r="N234" i="1"/>
  <c r="M234" i="1"/>
  <c r="L234" i="1"/>
  <c r="K234" i="1"/>
  <c r="J234" i="1"/>
  <c r="I234" i="1"/>
  <c r="H234" i="1"/>
  <c r="G234" i="1"/>
  <c r="R233" i="1"/>
  <c r="Q233" i="1"/>
  <c r="P233" i="1"/>
  <c r="O233" i="1"/>
  <c r="N233" i="1"/>
  <c r="M233" i="1"/>
  <c r="L233" i="1"/>
  <c r="K233" i="1"/>
  <c r="J233" i="1"/>
  <c r="I233" i="1"/>
  <c r="H233" i="1"/>
  <c r="G233" i="1"/>
  <c r="R232" i="1"/>
  <c r="Q232" i="1"/>
  <c r="P232" i="1"/>
  <c r="O232" i="1"/>
  <c r="N232" i="1"/>
  <c r="M232" i="1"/>
  <c r="L232" i="1"/>
  <c r="K232" i="1"/>
  <c r="J232" i="1"/>
  <c r="I232" i="1"/>
  <c r="H232" i="1"/>
  <c r="G232" i="1"/>
  <c r="R231" i="1"/>
  <c r="Q231" i="1"/>
  <c r="P231" i="1"/>
  <c r="O231" i="1"/>
  <c r="N231" i="1"/>
  <c r="M231" i="1"/>
  <c r="L231" i="1"/>
  <c r="K231" i="1"/>
  <c r="J231" i="1"/>
  <c r="I231" i="1"/>
  <c r="H231" i="1"/>
  <c r="G231" i="1"/>
  <c r="R230" i="1"/>
  <c r="Q230" i="1"/>
  <c r="P230" i="1"/>
  <c r="O230" i="1"/>
  <c r="N230" i="1"/>
  <c r="M230" i="1"/>
  <c r="L230" i="1"/>
  <c r="K230" i="1"/>
  <c r="J230" i="1"/>
  <c r="I230" i="1"/>
  <c r="H230" i="1"/>
  <c r="G230" i="1"/>
  <c r="R229" i="1"/>
  <c r="Q229" i="1"/>
  <c r="P229" i="1"/>
  <c r="O229" i="1"/>
  <c r="N229" i="1"/>
  <c r="M229" i="1"/>
  <c r="L229" i="1"/>
  <c r="K229" i="1"/>
  <c r="J229" i="1"/>
  <c r="I229" i="1"/>
  <c r="H229" i="1"/>
  <c r="G229" i="1"/>
  <c r="R228" i="1"/>
  <c r="Q228" i="1"/>
  <c r="P228" i="1"/>
  <c r="O228" i="1"/>
  <c r="N228" i="1"/>
  <c r="M228" i="1"/>
  <c r="L228" i="1"/>
  <c r="K228" i="1"/>
  <c r="J228" i="1"/>
  <c r="I228" i="1"/>
  <c r="H228" i="1"/>
  <c r="G228" i="1"/>
  <c r="R227" i="1"/>
  <c r="Q227" i="1"/>
  <c r="P227" i="1"/>
  <c r="O227" i="1"/>
  <c r="N227" i="1"/>
  <c r="M227" i="1"/>
  <c r="L227" i="1"/>
  <c r="K227" i="1"/>
  <c r="J227" i="1"/>
  <c r="I227" i="1"/>
  <c r="H227" i="1"/>
  <c r="G227" i="1"/>
  <c r="R226" i="1"/>
  <c r="Q226" i="1"/>
  <c r="P226" i="1"/>
  <c r="O226" i="1"/>
  <c r="N226" i="1"/>
  <c r="M226" i="1"/>
  <c r="L226" i="1"/>
  <c r="K226" i="1"/>
  <c r="J226" i="1"/>
  <c r="I226" i="1"/>
  <c r="H226" i="1"/>
  <c r="G226" i="1"/>
  <c r="R225" i="1"/>
  <c r="Q225" i="1"/>
  <c r="P225" i="1"/>
  <c r="O225" i="1"/>
  <c r="N225" i="1"/>
  <c r="M225" i="1"/>
  <c r="L225" i="1"/>
  <c r="K225" i="1"/>
  <c r="J225" i="1"/>
  <c r="I225" i="1"/>
  <c r="H225" i="1"/>
  <c r="G225" i="1"/>
  <c r="R224" i="1"/>
  <c r="Q224" i="1"/>
  <c r="P224" i="1"/>
  <c r="O224" i="1"/>
  <c r="N224" i="1"/>
  <c r="M224" i="1"/>
  <c r="L224" i="1"/>
  <c r="K224" i="1"/>
  <c r="J224" i="1"/>
  <c r="I224" i="1"/>
  <c r="H224" i="1"/>
  <c r="G224" i="1"/>
  <c r="R223" i="1"/>
  <c r="Q223" i="1"/>
  <c r="P223" i="1"/>
  <c r="O223" i="1"/>
  <c r="N223" i="1"/>
  <c r="M223" i="1"/>
  <c r="L223" i="1"/>
  <c r="K223" i="1"/>
  <c r="J223" i="1"/>
  <c r="I223" i="1"/>
  <c r="H223" i="1"/>
  <c r="G223" i="1"/>
  <c r="R222" i="1"/>
  <c r="Q222" i="1"/>
  <c r="P222" i="1"/>
  <c r="O222" i="1"/>
  <c r="N222" i="1"/>
  <c r="M222" i="1"/>
  <c r="L222" i="1"/>
  <c r="K222" i="1"/>
  <c r="J222" i="1"/>
  <c r="I222" i="1"/>
  <c r="H222" i="1"/>
  <c r="G222" i="1"/>
  <c r="R221" i="1"/>
  <c r="Q221" i="1"/>
  <c r="P221" i="1"/>
  <c r="O221" i="1"/>
  <c r="N221" i="1"/>
  <c r="M221" i="1"/>
  <c r="L221" i="1"/>
  <c r="K221" i="1"/>
  <c r="J221" i="1"/>
  <c r="I221" i="1"/>
  <c r="H221" i="1"/>
  <c r="G221" i="1"/>
  <c r="R220" i="1"/>
  <c r="Q220" i="1"/>
  <c r="P220" i="1"/>
  <c r="O220" i="1"/>
  <c r="N220" i="1"/>
  <c r="M220" i="1"/>
  <c r="L220" i="1"/>
  <c r="K220" i="1"/>
  <c r="J220" i="1"/>
  <c r="I220" i="1"/>
  <c r="H220" i="1"/>
  <c r="G220" i="1"/>
  <c r="R219" i="1"/>
  <c r="Q219" i="1"/>
  <c r="P219" i="1"/>
  <c r="O219" i="1"/>
  <c r="N219" i="1"/>
  <c r="M219" i="1"/>
  <c r="L219" i="1"/>
  <c r="K219" i="1"/>
  <c r="J219" i="1"/>
  <c r="I219" i="1"/>
  <c r="H219" i="1"/>
  <c r="G219" i="1"/>
  <c r="R218" i="1"/>
  <c r="Q218" i="1"/>
  <c r="P218" i="1"/>
  <c r="O218" i="1"/>
  <c r="N218" i="1"/>
  <c r="M218" i="1"/>
  <c r="L218" i="1"/>
  <c r="K218" i="1"/>
  <c r="J218" i="1"/>
  <c r="I218" i="1"/>
  <c r="H218" i="1"/>
  <c r="G218" i="1"/>
  <c r="R217" i="1"/>
  <c r="Q217" i="1"/>
  <c r="P217" i="1"/>
  <c r="O217" i="1"/>
  <c r="N217" i="1"/>
  <c r="M217" i="1"/>
  <c r="L217" i="1"/>
  <c r="K217" i="1"/>
  <c r="J217" i="1"/>
  <c r="I217" i="1"/>
  <c r="H217" i="1"/>
  <c r="G217" i="1"/>
  <c r="R216" i="1"/>
  <c r="Q216" i="1"/>
  <c r="P216" i="1"/>
  <c r="O216" i="1"/>
  <c r="N216" i="1"/>
  <c r="M216" i="1"/>
  <c r="L216" i="1"/>
  <c r="K216" i="1"/>
  <c r="J216" i="1"/>
  <c r="I216" i="1"/>
  <c r="H216" i="1"/>
  <c r="G216" i="1"/>
  <c r="R215" i="1"/>
  <c r="Q215" i="1"/>
  <c r="P215" i="1"/>
  <c r="O215" i="1"/>
  <c r="N215" i="1"/>
  <c r="M215" i="1"/>
  <c r="L215" i="1"/>
  <c r="K215" i="1"/>
  <c r="J215" i="1"/>
  <c r="I215" i="1"/>
  <c r="H215" i="1"/>
  <c r="G215" i="1"/>
  <c r="R214" i="1"/>
  <c r="Q214" i="1"/>
  <c r="P214" i="1"/>
  <c r="O214" i="1"/>
  <c r="N214" i="1"/>
  <c r="M214" i="1"/>
  <c r="L214" i="1"/>
  <c r="K214" i="1"/>
  <c r="J214" i="1"/>
  <c r="I214" i="1"/>
  <c r="H214" i="1"/>
  <c r="G214" i="1"/>
  <c r="R213" i="1"/>
  <c r="Q213" i="1"/>
  <c r="P213" i="1"/>
  <c r="O213" i="1"/>
  <c r="N213" i="1"/>
  <c r="M213" i="1"/>
  <c r="L213" i="1"/>
  <c r="K213" i="1"/>
  <c r="J213" i="1"/>
  <c r="I213" i="1"/>
  <c r="H213" i="1"/>
  <c r="G213" i="1"/>
  <c r="R212" i="1"/>
  <c r="Q212" i="1"/>
  <c r="P212" i="1"/>
  <c r="O212" i="1"/>
  <c r="N212" i="1"/>
  <c r="M212" i="1"/>
  <c r="L212" i="1"/>
  <c r="K212" i="1"/>
  <c r="J212" i="1"/>
  <c r="I212" i="1"/>
  <c r="H212" i="1"/>
  <c r="G212" i="1"/>
  <c r="R211" i="1"/>
  <c r="Q211" i="1"/>
  <c r="P211" i="1"/>
  <c r="O211" i="1"/>
  <c r="N211" i="1"/>
  <c r="M211" i="1"/>
  <c r="L211" i="1"/>
  <c r="K211" i="1"/>
  <c r="J211" i="1"/>
  <c r="I211" i="1"/>
  <c r="H211" i="1"/>
  <c r="G211" i="1"/>
  <c r="R210" i="1"/>
  <c r="Q210" i="1"/>
  <c r="P210" i="1"/>
  <c r="O210" i="1"/>
  <c r="N210" i="1"/>
  <c r="M210" i="1"/>
  <c r="L210" i="1"/>
  <c r="K210" i="1"/>
  <c r="J210" i="1"/>
  <c r="I210" i="1"/>
  <c r="H210" i="1"/>
  <c r="G210" i="1"/>
  <c r="R209" i="1"/>
  <c r="Q209" i="1"/>
  <c r="P209" i="1"/>
  <c r="O209" i="1"/>
  <c r="N209" i="1"/>
  <c r="M209" i="1"/>
  <c r="L209" i="1"/>
  <c r="K209" i="1"/>
  <c r="J209" i="1"/>
  <c r="I209" i="1"/>
  <c r="H209" i="1"/>
  <c r="G209" i="1"/>
  <c r="R208" i="1"/>
  <c r="Q208" i="1"/>
  <c r="P208" i="1"/>
  <c r="O208" i="1"/>
  <c r="N208" i="1"/>
  <c r="M208" i="1"/>
  <c r="L208" i="1"/>
  <c r="K208" i="1"/>
  <c r="J208" i="1"/>
  <c r="I208" i="1"/>
  <c r="H208" i="1"/>
  <c r="G208" i="1"/>
  <c r="R207" i="1"/>
  <c r="Q207" i="1"/>
  <c r="P207" i="1"/>
  <c r="O207" i="1"/>
  <c r="N207" i="1"/>
  <c r="M207" i="1"/>
  <c r="L207" i="1"/>
  <c r="K207" i="1"/>
  <c r="J207" i="1"/>
  <c r="I207" i="1"/>
  <c r="H207" i="1"/>
  <c r="G207" i="1"/>
  <c r="R206" i="1"/>
  <c r="Q206" i="1"/>
  <c r="P206" i="1"/>
  <c r="O206" i="1"/>
  <c r="N206" i="1"/>
  <c r="M206" i="1"/>
  <c r="L206" i="1"/>
  <c r="K206" i="1"/>
  <c r="J206" i="1"/>
  <c r="I206" i="1"/>
  <c r="H206" i="1"/>
  <c r="G206" i="1"/>
  <c r="R205" i="1"/>
  <c r="Q205" i="1"/>
  <c r="P205" i="1"/>
  <c r="O205" i="1"/>
  <c r="N205" i="1"/>
  <c r="M205" i="1"/>
  <c r="L205" i="1"/>
  <c r="K205" i="1"/>
  <c r="J205" i="1"/>
  <c r="I205" i="1"/>
  <c r="H205" i="1"/>
  <c r="G205" i="1"/>
  <c r="R204" i="1"/>
  <c r="Q204" i="1"/>
  <c r="P204" i="1"/>
  <c r="O204" i="1"/>
  <c r="N204" i="1"/>
  <c r="M204" i="1"/>
  <c r="L204" i="1"/>
  <c r="K204" i="1"/>
  <c r="J204" i="1"/>
  <c r="I204" i="1"/>
  <c r="H204" i="1"/>
  <c r="G204" i="1"/>
  <c r="R203" i="1"/>
  <c r="Q203" i="1"/>
  <c r="P203" i="1"/>
  <c r="O203" i="1"/>
  <c r="N203" i="1"/>
  <c r="M203" i="1"/>
  <c r="L203" i="1"/>
  <c r="K203" i="1"/>
  <c r="J203" i="1"/>
  <c r="I203" i="1"/>
  <c r="H203" i="1"/>
  <c r="G203" i="1"/>
  <c r="R202" i="1"/>
  <c r="Q202" i="1"/>
  <c r="P202" i="1"/>
  <c r="O202" i="1"/>
  <c r="N202" i="1"/>
  <c r="M202" i="1"/>
  <c r="L202" i="1"/>
  <c r="K202" i="1"/>
  <c r="J202" i="1"/>
  <c r="I202" i="1"/>
  <c r="H202" i="1"/>
  <c r="G202" i="1"/>
  <c r="R201" i="1"/>
  <c r="Q201" i="1"/>
  <c r="P201" i="1"/>
  <c r="O201" i="1"/>
  <c r="N201" i="1"/>
  <c r="M201" i="1"/>
  <c r="L201" i="1"/>
  <c r="K201" i="1"/>
  <c r="J201" i="1"/>
  <c r="I201" i="1"/>
  <c r="H201" i="1"/>
  <c r="G201" i="1"/>
  <c r="R200" i="1"/>
  <c r="Q200" i="1"/>
  <c r="P200" i="1"/>
  <c r="O200" i="1"/>
  <c r="N200" i="1"/>
  <c r="M200" i="1"/>
  <c r="L200" i="1"/>
  <c r="K200" i="1"/>
  <c r="J200" i="1"/>
  <c r="I200" i="1"/>
  <c r="H200" i="1"/>
  <c r="G200" i="1"/>
  <c r="R199" i="1"/>
  <c r="Q199" i="1"/>
  <c r="P199" i="1"/>
  <c r="O199" i="1"/>
  <c r="N199" i="1"/>
  <c r="M199" i="1"/>
  <c r="L199" i="1"/>
  <c r="K199" i="1"/>
  <c r="J199" i="1"/>
  <c r="I199" i="1"/>
  <c r="H199" i="1"/>
  <c r="G199" i="1"/>
  <c r="R198" i="1"/>
  <c r="Q198" i="1"/>
  <c r="P198" i="1"/>
  <c r="O198" i="1"/>
  <c r="N198" i="1"/>
  <c r="M198" i="1"/>
  <c r="L198" i="1"/>
  <c r="K198" i="1"/>
  <c r="J198" i="1"/>
  <c r="I198" i="1"/>
  <c r="H198" i="1"/>
  <c r="G198" i="1"/>
  <c r="R197" i="1"/>
  <c r="Q197" i="1"/>
  <c r="P197" i="1"/>
  <c r="O197" i="1"/>
  <c r="N197" i="1"/>
  <c r="M197" i="1"/>
  <c r="L197" i="1"/>
  <c r="K197" i="1"/>
  <c r="J197" i="1"/>
  <c r="I197" i="1"/>
  <c r="H197" i="1"/>
  <c r="G197" i="1"/>
  <c r="R196" i="1"/>
  <c r="Q196" i="1"/>
  <c r="P196" i="1"/>
  <c r="O196" i="1"/>
  <c r="N196" i="1"/>
  <c r="M196" i="1"/>
  <c r="L196" i="1"/>
  <c r="K196" i="1"/>
  <c r="J196" i="1"/>
  <c r="I196" i="1"/>
  <c r="H196" i="1"/>
  <c r="G196" i="1"/>
  <c r="R195" i="1"/>
  <c r="Q195" i="1"/>
  <c r="P195" i="1"/>
  <c r="O195" i="1"/>
  <c r="N195" i="1"/>
  <c r="M195" i="1"/>
  <c r="L195" i="1"/>
  <c r="K195" i="1"/>
  <c r="J195" i="1"/>
  <c r="I195" i="1"/>
  <c r="H195" i="1"/>
  <c r="G195" i="1"/>
  <c r="R194" i="1"/>
  <c r="Q194" i="1"/>
  <c r="P194" i="1"/>
  <c r="O194" i="1"/>
  <c r="N194" i="1"/>
  <c r="M194" i="1"/>
  <c r="L194" i="1"/>
  <c r="K194" i="1"/>
  <c r="J194" i="1"/>
  <c r="I194" i="1"/>
  <c r="H194" i="1"/>
  <c r="G194" i="1"/>
  <c r="R193" i="1"/>
  <c r="Q193" i="1"/>
  <c r="P193" i="1"/>
  <c r="O193" i="1"/>
  <c r="N193" i="1"/>
  <c r="M193" i="1"/>
  <c r="L193" i="1"/>
  <c r="K193" i="1"/>
  <c r="J193" i="1"/>
  <c r="I193" i="1"/>
  <c r="H193" i="1"/>
  <c r="G193" i="1"/>
  <c r="R192" i="1"/>
  <c r="Q192" i="1"/>
  <c r="P192" i="1"/>
  <c r="O192" i="1"/>
  <c r="N192" i="1"/>
  <c r="M192" i="1"/>
  <c r="L192" i="1"/>
  <c r="K192" i="1"/>
  <c r="J192" i="1"/>
  <c r="I192" i="1"/>
  <c r="H192" i="1"/>
  <c r="G192" i="1"/>
  <c r="R191" i="1"/>
  <c r="Q191" i="1"/>
  <c r="P191" i="1"/>
  <c r="O191" i="1"/>
  <c r="N191" i="1"/>
  <c r="M191" i="1"/>
  <c r="L191" i="1"/>
  <c r="K191" i="1"/>
  <c r="J191" i="1"/>
  <c r="I191" i="1"/>
  <c r="H191" i="1"/>
  <c r="G191" i="1"/>
  <c r="R190" i="1"/>
  <c r="Q190" i="1"/>
  <c r="P190" i="1"/>
  <c r="O190" i="1"/>
  <c r="N190" i="1"/>
  <c r="M190" i="1"/>
  <c r="L190" i="1"/>
  <c r="K190" i="1"/>
  <c r="J190" i="1"/>
  <c r="I190" i="1"/>
  <c r="H190" i="1"/>
  <c r="G190" i="1"/>
  <c r="R189" i="1"/>
  <c r="Q189" i="1"/>
  <c r="P189" i="1"/>
  <c r="O189" i="1"/>
  <c r="N189" i="1"/>
  <c r="M189" i="1"/>
  <c r="L189" i="1"/>
  <c r="K189" i="1"/>
  <c r="J189" i="1"/>
  <c r="I189" i="1"/>
  <c r="H189" i="1"/>
  <c r="G189" i="1"/>
  <c r="R188" i="1"/>
  <c r="Q188" i="1"/>
  <c r="P188" i="1"/>
  <c r="O188" i="1"/>
  <c r="N188" i="1"/>
  <c r="M188" i="1"/>
  <c r="L188" i="1"/>
  <c r="K188" i="1"/>
  <c r="J188" i="1"/>
  <c r="I188" i="1"/>
  <c r="H188" i="1"/>
  <c r="G188" i="1"/>
  <c r="R187" i="1"/>
  <c r="Q187" i="1"/>
  <c r="P187" i="1"/>
  <c r="O187" i="1"/>
  <c r="N187" i="1"/>
  <c r="M187" i="1"/>
  <c r="L187" i="1"/>
  <c r="K187" i="1"/>
  <c r="J187" i="1"/>
  <c r="I187" i="1"/>
  <c r="H187" i="1"/>
  <c r="G187" i="1"/>
  <c r="R186" i="1"/>
  <c r="Q186" i="1"/>
  <c r="P186" i="1"/>
  <c r="O186" i="1"/>
  <c r="N186" i="1"/>
  <c r="M186" i="1"/>
  <c r="L186" i="1"/>
  <c r="K186" i="1"/>
  <c r="J186" i="1"/>
  <c r="I186" i="1"/>
  <c r="H186" i="1"/>
  <c r="G186" i="1"/>
  <c r="R185" i="1"/>
  <c r="Q185" i="1"/>
  <c r="P185" i="1"/>
  <c r="O185" i="1"/>
  <c r="N185" i="1"/>
  <c r="M185" i="1"/>
  <c r="L185" i="1"/>
  <c r="K185" i="1"/>
  <c r="J185" i="1"/>
  <c r="I185" i="1"/>
  <c r="H185" i="1"/>
  <c r="G185" i="1"/>
  <c r="R184" i="1"/>
  <c r="Q184" i="1"/>
  <c r="P184" i="1"/>
  <c r="O184" i="1"/>
  <c r="N184" i="1"/>
  <c r="M184" i="1"/>
  <c r="L184" i="1"/>
  <c r="K184" i="1"/>
  <c r="J184" i="1"/>
  <c r="I184" i="1"/>
  <c r="H184" i="1"/>
  <c r="G184" i="1"/>
  <c r="R183" i="1"/>
  <c r="Q183" i="1"/>
  <c r="P183" i="1"/>
  <c r="O183" i="1"/>
  <c r="N183" i="1"/>
  <c r="M183" i="1"/>
  <c r="L183" i="1"/>
  <c r="K183" i="1"/>
  <c r="J183" i="1"/>
  <c r="I183" i="1"/>
  <c r="H183" i="1"/>
  <c r="G183" i="1"/>
  <c r="R182" i="1"/>
  <c r="Q182" i="1"/>
  <c r="P182" i="1"/>
  <c r="O182" i="1"/>
  <c r="N182" i="1"/>
  <c r="M182" i="1"/>
  <c r="L182" i="1"/>
  <c r="K182" i="1"/>
  <c r="J182" i="1"/>
  <c r="I182" i="1"/>
  <c r="H182" i="1"/>
  <c r="G182" i="1"/>
  <c r="R181" i="1"/>
  <c r="Q181" i="1"/>
  <c r="P181" i="1"/>
  <c r="O181" i="1"/>
  <c r="N181" i="1"/>
  <c r="M181" i="1"/>
  <c r="L181" i="1"/>
  <c r="K181" i="1"/>
  <c r="J181" i="1"/>
  <c r="I181" i="1"/>
  <c r="H181" i="1"/>
  <c r="G181" i="1"/>
  <c r="R180" i="1"/>
  <c r="Q180" i="1"/>
  <c r="P180" i="1"/>
  <c r="O180" i="1"/>
  <c r="N180" i="1"/>
  <c r="M180" i="1"/>
  <c r="L180" i="1"/>
  <c r="K180" i="1"/>
  <c r="J180" i="1"/>
  <c r="I180" i="1"/>
  <c r="H180" i="1"/>
  <c r="G180" i="1"/>
  <c r="R179" i="1"/>
  <c r="Q179" i="1"/>
  <c r="P179" i="1"/>
  <c r="O179" i="1"/>
  <c r="N179" i="1"/>
  <c r="M179" i="1"/>
  <c r="L179" i="1"/>
  <c r="K179" i="1"/>
  <c r="J179" i="1"/>
  <c r="I179" i="1"/>
  <c r="H179" i="1"/>
  <c r="G179" i="1"/>
  <c r="R178" i="1"/>
  <c r="Q178" i="1"/>
  <c r="P178" i="1"/>
  <c r="O178" i="1"/>
  <c r="N178" i="1"/>
  <c r="M178" i="1"/>
  <c r="L178" i="1"/>
  <c r="K178" i="1"/>
  <c r="J178" i="1"/>
  <c r="I178" i="1"/>
  <c r="H178" i="1"/>
  <c r="G178" i="1"/>
  <c r="R177" i="1"/>
  <c r="Q177" i="1"/>
  <c r="P177" i="1"/>
  <c r="O177" i="1"/>
  <c r="N177" i="1"/>
  <c r="M177" i="1"/>
  <c r="L177" i="1"/>
  <c r="K177" i="1"/>
  <c r="J177" i="1"/>
  <c r="I177" i="1"/>
  <c r="H177" i="1"/>
  <c r="G177" i="1"/>
  <c r="R176" i="1"/>
  <c r="Q176" i="1"/>
  <c r="P176" i="1"/>
  <c r="O176" i="1"/>
  <c r="N176" i="1"/>
  <c r="M176" i="1"/>
  <c r="L176" i="1"/>
  <c r="K176" i="1"/>
  <c r="J176" i="1"/>
  <c r="I176" i="1"/>
  <c r="H176" i="1"/>
  <c r="G176" i="1"/>
  <c r="R175" i="1"/>
  <c r="Q175" i="1"/>
  <c r="P175" i="1"/>
  <c r="O175" i="1"/>
  <c r="N175" i="1"/>
  <c r="M175" i="1"/>
  <c r="L175" i="1"/>
  <c r="K175" i="1"/>
  <c r="J175" i="1"/>
  <c r="I175" i="1"/>
  <c r="H175" i="1"/>
  <c r="G175" i="1"/>
  <c r="R174" i="1"/>
  <c r="Q174" i="1"/>
  <c r="P174" i="1"/>
  <c r="O174" i="1"/>
  <c r="N174" i="1"/>
  <c r="M174" i="1"/>
  <c r="L174" i="1"/>
  <c r="K174" i="1"/>
  <c r="J174" i="1"/>
  <c r="I174" i="1"/>
  <c r="H174" i="1"/>
  <c r="G174" i="1"/>
  <c r="R173" i="1"/>
  <c r="Q173" i="1"/>
  <c r="P173" i="1"/>
  <c r="O173" i="1"/>
  <c r="N173" i="1"/>
  <c r="M173" i="1"/>
  <c r="L173" i="1"/>
  <c r="K173" i="1"/>
  <c r="J173" i="1"/>
  <c r="I173" i="1"/>
  <c r="H173" i="1"/>
  <c r="G173" i="1"/>
  <c r="R172" i="1"/>
  <c r="Q172" i="1"/>
  <c r="P172" i="1"/>
  <c r="O172" i="1"/>
  <c r="N172" i="1"/>
  <c r="M172" i="1"/>
  <c r="L172" i="1"/>
  <c r="K172" i="1"/>
  <c r="J172" i="1"/>
  <c r="I172" i="1"/>
  <c r="H172" i="1"/>
  <c r="G172" i="1"/>
  <c r="R171" i="1"/>
  <c r="Q171" i="1"/>
  <c r="P171" i="1"/>
  <c r="O171" i="1"/>
  <c r="N171" i="1"/>
  <c r="M171" i="1"/>
  <c r="L171" i="1"/>
  <c r="K171" i="1"/>
  <c r="J171" i="1"/>
  <c r="I171" i="1"/>
  <c r="H171" i="1"/>
  <c r="G171" i="1"/>
  <c r="R170" i="1"/>
  <c r="Q170" i="1"/>
  <c r="P170" i="1"/>
  <c r="O170" i="1"/>
  <c r="N170" i="1"/>
  <c r="M170" i="1"/>
  <c r="L170" i="1"/>
  <c r="K170" i="1"/>
  <c r="J170" i="1"/>
  <c r="I170" i="1"/>
  <c r="H170" i="1"/>
  <c r="G170" i="1"/>
  <c r="R169" i="1"/>
  <c r="Q169" i="1"/>
  <c r="P169" i="1"/>
  <c r="O169" i="1"/>
  <c r="N169" i="1"/>
  <c r="M169" i="1"/>
  <c r="L169" i="1"/>
  <c r="K169" i="1"/>
  <c r="J169" i="1"/>
  <c r="I169" i="1"/>
  <c r="H169" i="1"/>
  <c r="G169" i="1"/>
  <c r="R168" i="1"/>
  <c r="Q168" i="1"/>
  <c r="P168" i="1"/>
  <c r="O168" i="1"/>
  <c r="N168" i="1"/>
  <c r="M168" i="1"/>
  <c r="L168" i="1"/>
  <c r="K168" i="1"/>
  <c r="J168" i="1"/>
  <c r="I168" i="1"/>
  <c r="H168" i="1"/>
  <c r="G168" i="1"/>
  <c r="R167" i="1"/>
  <c r="Q167" i="1"/>
  <c r="P167" i="1"/>
  <c r="O167" i="1"/>
  <c r="N167" i="1"/>
  <c r="M167" i="1"/>
  <c r="L167" i="1"/>
  <c r="K167" i="1"/>
  <c r="J167" i="1"/>
  <c r="I167" i="1"/>
  <c r="H167" i="1"/>
  <c r="G167" i="1"/>
  <c r="R166" i="1"/>
  <c r="Q166" i="1"/>
  <c r="P166" i="1"/>
  <c r="O166" i="1"/>
  <c r="N166" i="1"/>
  <c r="M166" i="1"/>
  <c r="L166" i="1"/>
  <c r="K166" i="1"/>
  <c r="J166" i="1"/>
  <c r="I166" i="1"/>
  <c r="H166" i="1"/>
  <c r="G166" i="1"/>
  <c r="R165" i="1"/>
  <c r="Q165" i="1"/>
  <c r="P165" i="1"/>
  <c r="O165" i="1"/>
  <c r="N165" i="1"/>
  <c r="M165" i="1"/>
  <c r="L165" i="1"/>
  <c r="K165" i="1"/>
  <c r="J165" i="1"/>
  <c r="I165" i="1"/>
  <c r="H165" i="1"/>
  <c r="G165" i="1"/>
  <c r="R164" i="1"/>
  <c r="Q164" i="1"/>
  <c r="P164" i="1"/>
  <c r="O164" i="1"/>
  <c r="N164" i="1"/>
  <c r="M164" i="1"/>
  <c r="L164" i="1"/>
  <c r="K164" i="1"/>
  <c r="J164" i="1"/>
  <c r="I164" i="1"/>
  <c r="H164" i="1"/>
  <c r="G164" i="1"/>
  <c r="R163" i="1"/>
  <c r="Q163" i="1"/>
  <c r="P163" i="1"/>
  <c r="O163" i="1"/>
  <c r="N163" i="1"/>
  <c r="M163" i="1"/>
  <c r="L163" i="1"/>
  <c r="K163" i="1"/>
  <c r="J163" i="1"/>
  <c r="I163" i="1"/>
  <c r="H163" i="1"/>
  <c r="G163" i="1"/>
  <c r="R162" i="1"/>
  <c r="Q162" i="1"/>
  <c r="P162" i="1"/>
  <c r="O162" i="1"/>
  <c r="N162" i="1"/>
  <c r="M162" i="1"/>
  <c r="L162" i="1"/>
  <c r="K162" i="1"/>
  <c r="J162" i="1"/>
  <c r="I162" i="1"/>
  <c r="H162" i="1"/>
  <c r="G162" i="1"/>
  <c r="R161" i="1"/>
  <c r="Q161" i="1"/>
  <c r="P161" i="1"/>
  <c r="O161" i="1"/>
  <c r="N161" i="1"/>
  <c r="M161" i="1"/>
  <c r="L161" i="1"/>
  <c r="K161" i="1"/>
  <c r="J161" i="1"/>
  <c r="I161" i="1"/>
  <c r="H161" i="1"/>
  <c r="G161" i="1"/>
  <c r="R160" i="1"/>
  <c r="Q160" i="1"/>
  <c r="P160" i="1"/>
  <c r="O160" i="1"/>
  <c r="N160" i="1"/>
  <c r="M160" i="1"/>
  <c r="L160" i="1"/>
  <c r="K160" i="1"/>
  <c r="J160" i="1"/>
  <c r="I160" i="1"/>
  <c r="H160" i="1"/>
  <c r="G160" i="1"/>
  <c r="R159" i="1"/>
  <c r="Q159" i="1"/>
  <c r="P159" i="1"/>
  <c r="O159" i="1"/>
  <c r="N159" i="1"/>
  <c r="M159" i="1"/>
  <c r="L159" i="1"/>
  <c r="K159" i="1"/>
  <c r="J159" i="1"/>
  <c r="I159" i="1"/>
  <c r="H159" i="1"/>
  <c r="G159" i="1"/>
  <c r="R158" i="1"/>
  <c r="Q158" i="1"/>
  <c r="P158" i="1"/>
  <c r="O158" i="1"/>
  <c r="N158" i="1"/>
  <c r="M158" i="1"/>
  <c r="L158" i="1"/>
  <c r="K158" i="1"/>
  <c r="J158" i="1"/>
  <c r="I158" i="1"/>
  <c r="H158" i="1"/>
  <c r="G158" i="1"/>
  <c r="R157" i="1"/>
  <c r="Q157" i="1"/>
  <c r="P157" i="1"/>
  <c r="O157" i="1"/>
  <c r="N157" i="1"/>
  <c r="M157" i="1"/>
  <c r="L157" i="1"/>
  <c r="K157" i="1"/>
  <c r="J157" i="1"/>
  <c r="I157" i="1"/>
  <c r="H157" i="1"/>
  <c r="G157" i="1"/>
  <c r="R156" i="1"/>
  <c r="Q156" i="1"/>
  <c r="P156" i="1"/>
  <c r="O156" i="1"/>
  <c r="N156" i="1"/>
  <c r="M156" i="1"/>
  <c r="L156" i="1"/>
  <c r="K156" i="1"/>
  <c r="J156" i="1"/>
  <c r="I156" i="1"/>
  <c r="H156" i="1"/>
  <c r="G156" i="1"/>
  <c r="R155" i="1"/>
  <c r="Q155" i="1"/>
  <c r="P155" i="1"/>
  <c r="O155" i="1"/>
  <c r="N155" i="1"/>
  <c r="M155" i="1"/>
  <c r="L155" i="1"/>
  <c r="K155" i="1"/>
  <c r="J155" i="1"/>
  <c r="I155" i="1"/>
  <c r="H155" i="1"/>
  <c r="G155" i="1"/>
  <c r="R154" i="1"/>
  <c r="Q154" i="1"/>
  <c r="P154" i="1"/>
  <c r="O154" i="1"/>
  <c r="N154" i="1"/>
  <c r="M154" i="1"/>
  <c r="L154" i="1"/>
  <c r="K154" i="1"/>
  <c r="J154" i="1"/>
  <c r="I154" i="1"/>
  <c r="H154" i="1"/>
  <c r="G154" i="1"/>
  <c r="R153" i="1"/>
  <c r="Q153" i="1"/>
  <c r="P153" i="1"/>
  <c r="O153" i="1"/>
  <c r="N153" i="1"/>
  <c r="M153" i="1"/>
  <c r="L153" i="1"/>
  <c r="K153" i="1"/>
  <c r="J153" i="1"/>
  <c r="I153" i="1"/>
  <c r="H153" i="1"/>
  <c r="G153" i="1"/>
  <c r="R152" i="1"/>
  <c r="Q152" i="1"/>
  <c r="P152" i="1"/>
  <c r="O152" i="1"/>
  <c r="N152" i="1"/>
  <c r="M152" i="1"/>
  <c r="L152" i="1"/>
  <c r="K152" i="1"/>
  <c r="J152" i="1"/>
  <c r="I152" i="1"/>
  <c r="H152" i="1"/>
  <c r="G152" i="1"/>
  <c r="R151" i="1"/>
  <c r="Q151" i="1"/>
  <c r="P151" i="1"/>
  <c r="O151" i="1"/>
  <c r="N151" i="1"/>
  <c r="M151" i="1"/>
  <c r="L151" i="1"/>
  <c r="K151" i="1"/>
  <c r="J151" i="1"/>
  <c r="I151" i="1"/>
  <c r="H151" i="1"/>
  <c r="G151" i="1"/>
  <c r="R150" i="1"/>
  <c r="Q150" i="1"/>
  <c r="P150" i="1"/>
  <c r="O150" i="1"/>
  <c r="N150" i="1"/>
  <c r="M150" i="1"/>
  <c r="L150" i="1"/>
  <c r="K150" i="1"/>
  <c r="J150" i="1"/>
  <c r="I150" i="1"/>
  <c r="H150" i="1"/>
  <c r="G150" i="1"/>
  <c r="R149" i="1"/>
  <c r="Q149" i="1"/>
  <c r="P149" i="1"/>
  <c r="O149" i="1"/>
  <c r="N149" i="1"/>
  <c r="M149" i="1"/>
  <c r="L149" i="1"/>
  <c r="K149" i="1"/>
  <c r="J149" i="1"/>
  <c r="I149" i="1"/>
  <c r="H149" i="1"/>
  <c r="G149" i="1"/>
  <c r="R148" i="1"/>
  <c r="Q148" i="1"/>
  <c r="P148" i="1"/>
  <c r="O148" i="1"/>
  <c r="N148" i="1"/>
  <c r="M148" i="1"/>
  <c r="L148" i="1"/>
  <c r="K148" i="1"/>
  <c r="J148" i="1"/>
  <c r="I148" i="1"/>
  <c r="H148" i="1"/>
  <c r="G148" i="1"/>
  <c r="R147" i="1"/>
  <c r="Q147" i="1"/>
  <c r="P147" i="1"/>
  <c r="O147" i="1"/>
  <c r="N147" i="1"/>
  <c r="M147" i="1"/>
  <c r="L147" i="1"/>
  <c r="K147" i="1"/>
  <c r="J147" i="1"/>
  <c r="I147" i="1"/>
  <c r="H147" i="1"/>
  <c r="G147" i="1"/>
  <c r="R146" i="1"/>
  <c r="Q146" i="1"/>
  <c r="P146" i="1"/>
  <c r="O146" i="1"/>
  <c r="N146" i="1"/>
  <c r="M146" i="1"/>
  <c r="L146" i="1"/>
  <c r="K146" i="1"/>
  <c r="J146" i="1"/>
  <c r="I146" i="1"/>
  <c r="H146" i="1"/>
  <c r="G146" i="1"/>
  <c r="R145" i="1"/>
  <c r="Q145" i="1"/>
  <c r="P145" i="1"/>
  <c r="O145" i="1"/>
  <c r="N145" i="1"/>
  <c r="M145" i="1"/>
  <c r="L145" i="1"/>
  <c r="K145" i="1"/>
  <c r="J145" i="1"/>
  <c r="I145" i="1"/>
  <c r="H145" i="1"/>
  <c r="G145" i="1"/>
  <c r="R144" i="1"/>
  <c r="Q144" i="1"/>
  <c r="P144" i="1"/>
  <c r="O144" i="1"/>
  <c r="N144" i="1"/>
  <c r="M144" i="1"/>
  <c r="L144" i="1"/>
  <c r="K144" i="1"/>
  <c r="J144" i="1"/>
  <c r="I144" i="1"/>
  <c r="H144" i="1"/>
  <c r="G144" i="1"/>
  <c r="R143" i="1"/>
  <c r="Q143" i="1"/>
  <c r="P143" i="1"/>
  <c r="O143" i="1"/>
  <c r="N143" i="1"/>
  <c r="M143" i="1"/>
  <c r="L143" i="1"/>
  <c r="K143" i="1"/>
  <c r="J143" i="1"/>
  <c r="I143" i="1"/>
  <c r="H143" i="1"/>
  <c r="G143" i="1"/>
  <c r="R142" i="1"/>
  <c r="Q142" i="1"/>
  <c r="P142" i="1"/>
  <c r="O142" i="1"/>
  <c r="N142" i="1"/>
  <c r="M142" i="1"/>
  <c r="L142" i="1"/>
  <c r="K142" i="1"/>
  <c r="J142" i="1"/>
  <c r="I142" i="1"/>
  <c r="H142" i="1"/>
  <c r="G142" i="1"/>
  <c r="R141" i="1"/>
  <c r="Q141" i="1"/>
  <c r="P141" i="1"/>
  <c r="O141" i="1"/>
  <c r="N141" i="1"/>
  <c r="M141" i="1"/>
  <c r="L141" i="1"/>
  <c r="K141" i="1"/>
  <c r="J141" i="1"/>
  <c r="I141" i="1"/>
  <c r="H141" i="1"/>
  <c r="G141" i="1"/>
  <c r="R140" i="1"/>
  <c r="Q140" i="1"/>
  <c r="P140" i="1"/>
  <c r="O140" i="1"/>
  <c r="N140" i="1"/>
  <c r="M140" i="1"/>
  <c r="L140" i="1"/>
  <c r="K140" i="1"/>
  <c r="J140" i="1"/>
  <c r="I140" i="1"/>
  <c r="H140" i="1"/>
  <c r="G140" i="1"/>
  <c r="R139" i="1"/>
  <c r="Q139" i="1"/>
  <c r="P139" i="1"/>
  <c r="O139" i="1"/>
  <c r="N139" i="1"/>
  <c r="M139" i="1"/>
  <c r="L139" i="1"/>
  <c r="K139" i="1"/>
  <c r="J139" i="1"/>
  <c r="I139" i="1"/>
  <c r="H139" i="1"/>
  <c r="G139" i="1"/>
  <c r="R138" i="1"/>
  <c r="Q138" i="1"/>
  <c r="P138" i="1"/>
  <c r="O138" i="1"/>
  <c r="N138" i="1"/>
  <c r="M138" i="1"/>
  <c r="L138" i="1"/>
  <c r="K138" i="1"/>
  <c r="J138" i="1"/>
  <c r="I138" i="1"/>
  <c r="H138" i="1"/>
  <c r="G138" i="1"/>
  <c r="R137" i="1"/>
  <c r="Q137" i="1"/>
  <c r="P137" i="1"/>
  <c r="O137" i="1"/>
  <c r="N137" i="1"/>
  <c r="M137" i="1"/>
  <c r="L137" i="1"/>
  <c r="K137" i="1"/>
  <c r="J137" i="1"/>
  <c r="I137" i="1"/>
  <c r="H137" i="1"/>
  <c r="G137" i="1"/>
  <c r="R136" i="1"/>
  <c r="Q136" i="1"/>
  <c r="P136" i="1"/>
  <c r="O136" i="1"/>
  <c r="N136" i="1"/>
  <c r="M136" i="1"/>
  <c r="L136" i="1"/>
  <c r="K136" i="1"/>
  <c r="J136" i="1"/>
  <c r="I136" i="1"/>
  <c r="H136" i="1"/>
  <c r="G136" i="1"/>
  <c r="R135" i="1"/>
  <c r="Q135" i="1"/>
  <c r="P135" i="1"/>
  <c r="O135" i="1"/>
  <c r="N135" i="1"/>
  <c r="M135" i="1"/>
  <c r="L135" i="1"/>
  <c r="K135" i="1"/>
  <c r="J135" i="1"/>
  <c r="I135" i="1"/>
  <c r="H135" i="1"/>
  <c r="G135" i="1"/>
  <c r="R134" i="1"/>
  <c r="Q134" i="1"/>
  <c r="P134" i="1"/>
  <c r="O134" i="1"/>
  <c r="N134" i="1"/>
  <c r="M134" i="1"/>
  <c r="L134" i="1"/>
  <c r="K134" i="1"/>
  <c r="J134" i="1"/>
  <c r="I134" i="1"/>
  <c r="H134" i="1"/>
  <c r="G134" i="1"/>
  <c r="R133" i="1"/>
  <c r="Q133" i="1"/>
  <c r="P133" i="1"/>
  <c r="O133" i="1"/>
  <c r="N133" i="1"/>
  <c r="M133" i="1"/>
  <c r="L133" i="1"/>
  <c r="K133" i="1"/>
  <c r="J133" i="1"/>
  <c r="I133" i="1"/>
  <c r="H133" i="1"/>
  <c r="G133" i="1"/>
  <c r="R132" i="1"/>
  <c r="Q132" i="1"/>
  <c r="P132" i="1"/>
  <c r="O132" i="1"/>
  <c r="N132" i="1"/>
  <c r="M132" i="1"/>
  <c r="L132" i="1"/>
  <c r="K132" i="1"/>
  <c r="J132" i="1"/>
  <c r="I132" i="1"/>
  <c r="H132" i="1"/>
  <c r="G132" i="1"/>
  <c r="R131" i="1"/>
  <c r="Q131" i="1"/>
  <c r="P131" i="1"/>
  <c r="O131" i="1"/>
  <c r="N131" i="1"/>
  <c r="M131" i="1"/>
  <c r="L131" i="1"/>
  <c r="K131" i="1"/>
  <c r="J131" i="1"/>
  <c r="I131" i="1"/>
  <c r="H131" i="1"/>
  <c r="G131" i="1"/>
  <c r="R130" i="1"/>
  <c r="Q130" i="1"/>
  <c r="P130" i="1"/>
  <c r="O130" i="1"/>
  <c r="N130" i="1"/>
  <c r="M130" i="1"/>
  <c r="L130" i="1"/>
  <c r="K130" i="1"/>
  <c r="J130" i="1"/>
  <c r="I130" i="1"/>
  <c r="H130" i="1"/>
  <c r="G130" i="1"/>
  <c r="R129" i="1"/>
  <c r="Q129" i="1"/>
  <c r="P129" i="1"/>
  <c r="O129" i="1"/>
  <c r="N129" i="1"/>
  <c r="M129" i="1"/>
  <c r="L129" i="1"/>
  <c r="K129" i="1"/>
  <c r="J129" i="1"/>
  <c r="I129" i="1"/>
  <c r="H129" i="1"/>
  <c r="G129" i="1"/>
  <c r="R128" i="1"/>
  <c r="Q128" i="1"/>
  <c r="P128" i="1"/>
  <c r="O128" i="1"/>
  <c r="N128" i="1"/>
  <c r="M128" i="1"/>
  <c r="L128" i="1"/>
  <c r="K128" i="1"/>
  <c r="J128" i="1"/>
  <c r="I128" i="1"/>
  <c r="H128" i="1"/>
  <c r="G128" i="1"/>
  <c r="R127" i="1"/>
  <c r="Q127" i="1"/>
  <c r="O127" i="1"/>
  <c r="N127" i="1"/>
  <c r="M127" i="1"/>
  <c r="L127" i="1"/>
  <c r="K127" i="1"/>
  <c r="J127" i="1"/>
  <c r="I127" i="1"/>
  <c r="H127" i="1"/>
  <c r="G127" i="1"/>
  <c r="R126" i="1"/>
  <c r="Q126" i="1"/>
  <c r="O126" i="1"/>
  <c r="N126" i="1"/>
  <c r="M126" i="1"/>
  <c r="L126" i="1"/>
  <c r="K126" i="1"/>
  <c r="J126" i="1"/>
  <c r="I126" i="1"/>
  <c r="H126" i="1"/>
  <c r="G126" i="1"/>
  <c r="R125" i="1"/>
  <c r="Q125" i="1"/>
  <c r="O125" i="1"/>
  <c r="N125" i="1"/>
  <c r="M125" i="1"/>
  <c r="L125" i="1"/>
  <c r="K125" i="1"/>
  <c r="J125" i="1"/>
  <c r="I125" i="1"/>
  <c r="H125" i="1"/>
  <c r="G125" i="1"/>
  <c r="R124" i="1"/>
  <c r="Q124" i="1"/>
  <c r="O124" i="1"/>
  <c r="N124" i="1"/>
  <c r="M124" i="1"/>
  <c r="L124" i="1"/>
  <c r="K124" i="1"/>
  <c r="J124" i="1"/>
  <c r="I124" i="1"/>
  <c r="H124" i="1"/>
  <c r="G124" i="1"/>
  <c r="R123" i="1"/>
  <c r="Q123" i="1"/>
  <c r="O123" i="1"/>
  <c r="N123" i="1"/>
  <c r="M123" i="1"/>
  <c r="L123" i="1"/>
  <c r="K123" i="1"/>
  <c r="J123" i="1"/>
  <c r="I123" i="1"/>
  <c r="H123" i="1"/>
  <c r="G123" i="1"/>
  <c r="R122" i="1"/>
  <c r="Q122" i="1"/>
  <c r="O122" i="1"/>
  <c r="N122" i="1"/>
  <c r="M122" i="1"/>
  <c r="L122" i="1"/>
  <c r="K122" i="1"/>
  <c r="J122" i="1"/>
  <c r="I122" i="1"/>
  <c r="H122" i="1"/>
  <c r="G122" i="1"/>
  <c r="R121" i="1"/>
  <c r="Q121" i="1"/>
  <c r="O121" i="1"/>
  <c r="N121" i="1"/>
  <c r="M121" i="1"/>
  <c r="L121" i="1"/>
  <c r="K121" i="1"/>
  <c r="J121" i="1"/>
  <c r="I121" i="1"/>
  <c r="H121" i="1"/>
  <c r="G121" i="1"/>
  <c r="R120" i="1"/>
  <c r="Q120" i="1"/>
  <c r="O120" i="1"/>
  <c r="N120" i="1"/>
  <c r="M120" i="1"/>
  <c r="L120" i="1"/>
  <c r="K120" i="1"/>
  <c r="J120" i="1"/>
  <c r="I120" i="1"/>
  <c r="H120" i="1"/>
  <c r="G120" i="1"/>
  <c r="R119" i="1"/>
  <c r="Q119" i="1"/>
  <c r="O119" i="1"/>
  <c r="N119" i="1"/>
  <c r="M119" i="1"/>
  <c r="L119" i="1"/>
  <c r="K119" i="1"/>
  <c r="J119" i="1"/>
  <c r="I119" i="1"/>
  <c r="H119" i="1"/>
  <c r="G119" i="1"/>
  <c r="R118" i="1"/>
  <c r="Q118" i="1"/>
  <c r="O118" i="1"/>
  <c r="N118" i="1"/>
  <c r="M118" i="1"/>
  <c r="L118" i="1"/>
  <c r="K118" i="1"/>
  <c r="J118" i="1"/>
  <c r="I118" i="1"/>
  <c r="H118" i="1"/>
  <c r="G118" i="1"/>
  <c r="R117" i="1"/>
  <c r="Q117" i="1"/>
  <c r="P117" i="1"/>
  <c r="O117" i="1"/>
  <c r="N117" i="1"/>
  <c r="M117" i="1"/>
  <c r="L117" i="1"/>
  <c r="K117" i="1"/>
  <c r="J117" i="1"/>
  <c r="I117" i="1"/>
  <c r="H117" i="1"/>
  <c r="G117" i="1"/>
  <c r="R116" i="1"/>
  <c r="Q116" i="1"/>
  <c r="N116" i="1"/>
  <c r="M116" i="1"/>
  <c r="L116" i="1"/>
  <c r="K116" i="1"/>
  <c r="J116" i="1"/>
  <c r="I116" i="1"/>
  <c r="H116" i="1"/>
  <c r="G116" i="1"/>
  <c r="R115" i="1"/>
  <c r="Q115" i="1"/>
  <c r="P115" i="1"/>
  <c r="O115" i="1"/>
  <c r="N115" i="1"/>
  <c r="M115" i="1"/>
  <c r="L115" i="1"/>
  <c r="K115" i="1"/>
  <c r="J115" i="1"/>
  <c r="I115" i="1"/>
  <c r="H115" i="1"/>
  <c r="G115" i="1"/>
  <c r="R114" i="1"/>
  <c r="Q114" i="1"/>
  <c r="P114" i="1"/>
  <c r="O114" i="1"/>
  <c r="N114" i="1"/>
  <c r="M114" i="1"/>
  <c r="L114" i="1"/>
  <c r="K114" i="1"/>
  <c r="J114" i="1"/>
  <c r="I114" i="1"/>
  <c r="H114" i="1"/>
  <c r="G114" i="1"/>
  <c r="R113" i="1"/>
  <c r="Q113" i="1"/>
  <c r="N113" i="1"/>
  <c r="M113" i="1"/>
  <c r="L113" i="1"/>
  <c r="K113" i="1"/>
  <c r="J113" i="1"/>
  <c r="I113" i="1"/>
  <c r="H113" i="1"/>
  <c r="G113" i="1"/>
  <c r="R112" i="1"/>
  <c r="Q112" i="1"/>
  <c r="P112" i="1"/>
  <c r="O112" i="1"/>
  <c r="N112" i="1"/>
  <c r="M112" i="1"/>
  <c r="L112" i="1"/>
  <c r="K112" i="1"/>
  <c r="J112" i="1"/>
  <c r="I112" i="1"/>
  <c r="H112" i="1"/>
  <c r="G112" i="1"/>
  <c r="R111" i="1"/>
  <c r="Q111" i="1"/>
  <c r="P111" i="1"/>
  <c r="O111" i="1"/>
  <c r="N111" i="1"/>
  <c r="M111" i="1"/>
  <c r="L111" i="1"/>
  <c r="K111" i="1"/>
  <c r="J111" i="1"/>
  <c r="I111" i="1"/>
  <c r="H111" i="1"/>
  <c r="G111" i="1"/>
  <c r="R110" i="1"/>
  <c r="Q110" i="1"/>
  <c r="P110" i="1"/>
  <c r="O110" i="1"/>
  <c r="N110" i="1"/>
  <c r="M110" i="1"/>
  <c r="L110" i="1"/>
  <c r="K110" i="1"/>
  <c r="J110" i="1"/>
  <c r="I110" i="1"/>
  <c r="H110" i="1"/>
  <c r="G110" i="1"/>
  <c r="R109" i="1"/>
  <c r="Q109" i="1"/>
  <c r="N109" i="1"/>
  <c r="M109" i="1"/>
  <c r="L109" i="1"/>
  <c r="K109" i="1"/>
  <c r="J109" i="1"/>
  <c r="I109" i="1"/>
  <c r="H109" i="1"/>
  <c r="G109" i="1"/>
  <c r="R108" i="1"/>
  <c r="Q108" i="1"/>
  <c r="P108" i="1"/>
  <c r="O108" i="1"/>
  <c r="N108" i="1"/>
  <c r="M108" i="1"/>
  <c r="L108" i="1"/>
  <c r="K108" i="1"/>
  <c r="J108" i="1"/>
  <c r="I108" i="1"/>
  <c r="H108" i="1"/>
  <c r="G108" i="1"/>
  <c r="R107" i="1"/>
  <c r="Q107" i="1"/>
  <c r="N107" i="1"/>
  <c r="M107" i="1"/>
  <c r="L107" i="1"/>
  <c r="K107" i="1"/>
  <c r="J107" i="1"/>
  <c r="I107" i="1"/>
  <c r="H107" i="1"/>
  <c r="G107" i="1"/>
  <c r="R106" i="1"/>
  <c r="Q106" i="1"/>
  <c r="N106" i="1"/>
  <c r="M106" i="1"/>
  <c r="L106" i="1"/>
  <c r="K106" i="1"/>
  <c r="J106" i="1"/>
  <c r="I106" i="1"/>
  <c r="H106" i="1"/>
  <c r="G106" i="1"/>
  <c r="R105" i="1"/>
  <c r="Q105" i="1"/>
  <c r="N105" i="1"/>
  <c r="M105" i="1"/>
  <c r="L105" i="1"/>
  <c r="K105" i="1"/>
  <c r="J105" i="1"/>
  <c r="I105" i="1"/>
  <c r="H105" i="1"/>
  <c r="G105" i="1"/>
  <c r="R104" i="1"/>
  <c r="Q104" i="1"/>
  <c r="N104" i="1"/>
  <c r="M104" i="1"/>
  <c r="L104" i="1"/>
  <c r="K104" i="1"/>
  <c r="J104" i="1"/>
  <c r="I104" i="1"/>
  <c r="H104" i="1"/>
  <c r="G104" i="1"/>
  <c r="R103" i="1"/>
  <c r="Q103" i="1"/>
  <c r="N103" i="1"/>
  <c r="M103" i="1"/>
  <c r="L103" i="1"/>
  <c r="K103" i="1"/>
  <c r="J103" i="1"/>
  <c r="I103" i="1"/>
  <c r="H103" i="1"/>
  <c r="G103" i="1"/>
  <c r="R102" i="1"/>
  <c r="Q102" i="1"/>
  <c r="N102" i="1"/>
  <c r="M102" i="1"/>
  <c r="L102" i="1"/>
  <c r="K102" i="1"/>
  <c r="J102" i="1"/>
  <c r="I102" i="1"/>
  <c r="H102" i="1"/>
  <c r="G102" i="1"/>
  <c r="R101" i="1"/>
  <c r="Q101" i="1"/>
  <c r="N101" i="1"/>
  <c r="M101" i="1"/>
  <c r="L101" i="1"/>
  <c r="K101" i="1"/>
  <c r="J101" i="1"/>
  <c r="I101" i="1"/>
  <c r="H101" i="1"/>
  <c r="G101" i="1"/>
  <c r="R100" i="1"/>
  <c r="Q100" i="1"/>
  <c r="N100" i="1"/>
  <c r="M100" i="1"/>
  <c r="L100" i="1"/>
  <c r="K100" i="1"/>
  <c r="J100" i="1"/>
  <c r="I100" i="1"/>
  <c r="H100" i="1"/>
  <c r="G100" i="1"/>
  <c r="R99" i="1"/>
  <c r="Q99" i="1"/>
  <c r="N99" i="1"/>
  <c r="M99" i="1"/>
  <c r="L99" i="1"/>
  <c r="K99" i="1"/>
  <c r="J99" i="1"/>
  <c r="I99" i="1"/>
  <c r="H99" i="1"/>
  <c r="G99" i="1"/>
  <c r="R98" i="1"/>
  <c r="Q98" i="1"/>
  <c r="P98" i="1"/>
  <c r="O98" i="1"/>
  <c r="N98" i="1"/>
  <c r="M98" i="1"/>
  <c r="L98" i="1"/>
  <c r="K98" i="1"/>
  <c r="J98" i="1"/>
  <c r="I98" i="1"/>
  <c r="H98" i="1"/>
  <c r="G98" i="1"/>
  <c r="R97" i="1"/>
  <c r="Q97" i="1"/>
  <c r="P97" i="1"/>
  <c r="O97" i="1"/>
  <c r="N97" i="1"/>
  <c r="M97" i="1"/>
  <c r="L97" i="1"/>
  <c r="K97" i="1"/>
  <c r="J97" i="1"/>
  <c r="I97" i="1"/>
  <c r="H97" i="1"/>
  <c r="G97" i="1"/>
  <c r="R96" i="1"/>
  <c r="Q96" i="1"/>
  <c r="P96" i="1"/>
  <c r="O96" i="1"/>
  <c r="N96" i="1"/>
  <c r="M96" i="1"/>
  <c r="L96" i="1"/>
  <c r="K96" i="1"/>
  <c r="J96" i="1"/>
  <c r="I96" i="1"/>
  <c r="H96" i="1"/>
  <c r="G96" i="1"/>
  <c r="R95" i="1"/>
  <c r="Q95" i="1"/>
  <c r="P95" i="1"/>
  <c r="O95" i="1"/>
  <c r="N95" i="1"/>
  <c r="M95" i="1"/>
  <c r="L95" i="1"/>
  <c r="K95" i="1"/>
  <c r="J95" i="1"/>
  <c r="I95" i="1"/>
  <c r="H95" i="1"/>
  <c r="G95" i="1"/>
  <c r="R94" i="1"/>
  <c r="Q94" i="1"/>
  <c r="P94" i="1"/>
  <c r="O94" i="1"/>
  <c r="N94" i="1"/>
  <c r="M94" i="1"/>
  <c r="L94" i="1"/>
  <c r="K94" i="1"/>
  <c r="J94" i="1"/>
  <c r="I94" i="1"/>
  <c r="H94" i="1"/>
  <c r="G94" i="1"/>
  <c r="R93" i="1"/>
  <c r="Q93" i="1"/>
  <c r="P93" i="1"/>
  <c r="O93" i="1"/>
  <c r="N93" i="1"/>
  <c r="M93" i="1"/>
  <c r="L93" i="1"/>
  <c r="K93" i="1"/>
  <c r="J93" i="1"/>
  <c r="I93" i="1"/>
  <c r="H93" i="1"/>
  <c r="G93" i="1"/>
  <c r="R92" i="1"/>
  <c r="Q92" i="1"/>
  <c r="P92" i="1"/>
  <c r="O92" i="1"/>
  <c r="N92" i="1"/>
  <c r="M92" i="1"/>
  <c r="L92" i="1"/>
  <c r="K92" i="1"/>
  <c r="J92" i="1"/>
  <c r="I92" i="1"/>
  <c r="H92" i="1"/>
  <c r="G92" i="1"/>
  <c r="R91" i="1"/>
  <c r="Q91" i="1"/>
  <c r="P91" i="1"/>
  <c r="O91" i="1"/>
  <c r="N91" i="1"/>
  <c r="M91" i="1"/>
  <c r="L91" i="1"/>
  <c r="K91" i="1"/>
  <c r="J91" i="1"/>
  <c r="I91" i="1"/>
  <c r="H91" i="1"/>
  <c r="G91" i="1"/>
  <c r="R90" i="1"/>
  <c r="Q90" i="1"/>
  <c r="P90" i="1"/>
  <c r="O90" i="1"/>
  <c r="N90" i="1"/>
  <c r="M90" i="1"/>
  <c r="L90" i="1"/>
  <c r="K90" i="1"/>
  <c r="J90" i="1"/>
  <c r="I90" i="1"/>
  <c r="H90" i="1"/>
  <c r="G90" i="1"/>
  <c r="R89" i="1"/>
  <c r="Q89" i="1"/>
  <c r="P89" i="1"/>
  <c r="O89" i="1"/>
  <c r="N89" i="1"/>
  <c r="M89" i="1"/>
  <c r="L89" i="1"/>
  <c r="K89" i="1"/>
  <c r="J89" i="1"/>
  <c r="I89" i="1"/>
  <c r="H89" i="1"/>
  <c r="G89" i="1"/>
  <c r="R88" i="1"/>
  <c r="Q88" i="1"/>
  <c r="P88" i="1"/>
  <c r="O88" i="1"/>
  <c r="N88" i="1"/>
  <c r="M88" i="1"/>
  <c r="L88" i="1"/>
  <c r="K88" i="1"/>
  <c r="J88" i="1"/>
  <c r="I88" i="1"/>
  <c r="H88" i="1"/>
  <c r="G88" i="1"/>
  <c r="R87" i="1"/>
  <c r="Q87" i="1"/>
  <c r="P87" i="1"/>
  <c r="O87" i="1"/>
  <c r="N87" i="1"/>
  <c r="M87" i="1"/>
  <c r="L87" i="1"/>
  <c r="K87" i="1"/>
  <c r="J87" i="1"/>
  <c r="I87" i="1"/>
  <c r="H87" i="1"/>
  <c r="G87" i="1"/>
  <c r="R86" i="1"/>
  <c r="Q86" i="1"/>
  <c r="P86" i="1"/>
  <c r="O86" i="1"/>
  <c r="N86" i="1"/>
  <c r="M86" i="1"/>
  <c r="L86" i="1"/>
  <c r="K86" i="1"/>
  <c r="J86" i="1"/>
  <c r="I86" i="1"/>
  <c r="H86" i="1"/>
  <c r="G86" i="1"/>
  <c r="R85" i="1"/>
  <c r="Q85" i="1"/>
  <c r="P85" i="1"/>
  <c r="O85" i="1"/>
  <c r="N85" i="1"/>
  <c r="M85" i="1"/>
  <c r="L85" i="1"/>
  <c r="K85" i="1"/>
  <c r="J85" i="1"/>
  <c r="I85" i="1"/>
  <c r="H85" i="1"/>
  <c r="G85" i="1"/>
  <c r="R84" i="1"/>
  <c r="Q84" i="1"/>
  <c r="P84" i="1"/>
  <c r="O84" i="1"/>
  <c r="N84" i="1"/>
  <c r="M84" i="1"/>
  <c r="L84" i="1"/>
  <c r="K84" i="1"/>
  <c r="J84" i="1"/>
  <c r="I84" i="1"/>
  <c r="H84" i="1"/>
  <c r="G84" i="1"/>
  <c r="R83" i="1"/>
  <c r="Q83" i="1"/>
  <c r="P83" i="1"/>
  <c r="O83" i="1"/>
  <c r="N83" i="1"/>
  <c r="M83" i="1"/>
  <c r="L83" i="1"/>
  <c r="K83" i="1"/>
  <c r="J83" i="1"/>
  <c r="I83" i="1"/>
  <c r="H83" i="1"/>
  <c r="G83" i="1"/>
  <c r="R82" i="1"/>
  <c r="Q82" i="1"/>
  <c r="P82" i="1"/>
  <c r="O82" i="1"/>
  <c r="N82" i="1"/>
  <c r="M82" i="1"/>
  <c r="L82" i="1"/>
  <c r="K82" i="1"/>
  <c r="J82" i="1"/>
  <c r="I82" i="1"/>
  <c r="H82" i="1"/>
  <c r="G82" i="1"/>
  <c r="R81" i="1"/>
  <c r="Q81" i="1"/>
  <c r="P81" i="1"/>
  <c r="O81" i="1"/>
  <c r="N81" i="1"/>
  <c r="M81" i="1"/>
  <c r="L81" i="1"/>
  <c r="K81" i="1"/>
  <c r="J81" i="1"/>
  <c r="I81" i="1"/>
  <c r="H81" i="1"/>
  <c r="G81" i="1"/>
  <c r="R80" i="1"/>
  <c r="Q80" i="1"/>
  <c r="P80" i="1"/>
  <c r="O80" i="1"/>
  <c r="N80" i="1"/>
  <c r="M80" i="1"/>
  <c r="L80" i="1"/>
  <c r="K80" i="1"/>
  <c r="J80" i="1"/>
  <c r="I80" i="1"/>
  <c r="H80" i="1"/>
  <c r="G80" i="1"/>
  <c r="R79" i="1"/>
  <c r="Q79" i="1"/>
  <c r="P79" i="1"/>
  <c r="O79" i="1"/>
  <c r="N79" i="1"/>
  <c r="M79" i="1"/>
  <c r="L79" i="1"/>
  <c r="K79" i="1"/>
  <c r="J79" i="1"/>
  <c r="I79" i="1"/>
  <c r="H79" i="1"/>
  <c r="G79" i="1"/>
  <c r="R78" i="1"/>
  <c r="Q78" i="1"/>
  <c r="P78" i="1"/>
  <c r="O78" i="1"/>
  <c r="N78" i="1"/>
  <c r="M78" i="1"/>
  <c r="L78" i="1"/>
  <c r="K78" i="1"/>
  <c r="J78" i="1"/>
  <c r="I78" i="1"/>
  <c r="H78" i="1"/>
  <c r="G78" i="1"/>
  <c r="R77" i="1"/>
  <c r="Q77" i="1"/>
  <c r="P77" i="1"/>
  <c r="O77" i="1"/>
  <c r="N77" i="1"/>
  <c r="M77" i="1"/>
  <c r="L77" i="1"/>
  <c r="K77" i="1"/>
  <c r="J77" i="1"/>
  <c r="I77" i="1"/>
  <c r="H77" i="1"/>
  <c r="G77" i="1"/>
  <c r="R76" i="1"/>
  <c r="Q76" i="1"/>
  <c r="P76" i="1"/>
  <c r="O76" i="1"/>
  <c r="N76" i="1"/>
  <c r="M76" i="1"/>
  <c r="L76" i="1"/>
  <c r="K76" i="1"/>
  <c r="J76" i="1"/>
  <c r="I76" i="1"/>
  <c r="H76" i="1"/>
  <c r="G76" i="1"/>
  <c r="R75" i="1"/>
  <c r="Q75" i="1"/>
  <c r="P75" i="1"/>
  <c r="O75" i="1"/>
  <c r="N75" i="1"/>
  <c r="M75" i="1"/>
  <c r="L75" i="1"/>
  <c r="K75" i="1"/>
  <c r="J75" i="1"/>
  <c r="I75" i="1"/>
  <c r="H75" i="1"/>
  <c r="G75" i="1"/>
  <c r="R74" i="1"/>
  <c r="Q74" i="1"/>
  <c r="P74" i="1"/>
  <c r="O74" i="1"/>
  <c r="N74" i="1"/>
  <c r="M74" i="1"/>
  <c r="L74" i="1"/>
  <c r="K74" i="1"/>
  <c r="J74" i="1"/>
  <c r="I74" i="1"/>
  <c r="H74" i="1"/>
  <c r="G74" i="1"/>
  <c r="R73" i="1"/>
  <c r="Q73" i="1"/>
  <c r="P73" i="1"/>
  <c r="O73" i="1"/>
  <c r="N73" i="1"/>
  <c r="M73" i="1"/>
  <c r="L73" i="1"/>
  <c r="K73" i="1"/>
  <c r="J73" i="1"/>
  <c r="I73" i="1"/>
  <c r="H73" i="1"/>
  <c r="G73" i="1"/>
  <c r="R72" i="1"/>
  <c r="Q72" i="1"/>
  <c r="P72" i="1"/>
  <c r="O72" i="1"/>
  <c r="N72" i="1"/>
  <c r="M72" i="1"/>
  <c r="L72" i="1"/>
  <c r="K72" i="1"/>
  <c r="J72" i="1"/>
  <c r="I72" i="1"/>
  <c r="H72" i="1"/>
  <c r="G72" i="1"/>
  <c r="R71" i="1"/>
  <c r="Q71" i="1"/>
  <c r="P71" i="1"/>
  <c r="O71" i="1"/>
  <c r="N71" i="1"/>
  <c r="M71" i="1"/>
  <c r="L71" i="1"/>
  <c r="K71" i="1"/>
  <c r="J71" i="1"/>
  <c r="I71" i="1"/>
  <c r="H71" i="1"/>
  <c r="G71" i="1"/>
  <c r="R70" i="1"/>
  <c r="Q70" i="1"/>
  <c r="P70" i="1"/>
  <c r="O70" i="1"/>
  <c r="N70" i="1"/>
  <c r="M70" i="1"/>
  <c r="L70" i="1"/>
  <c r="K70" i="1"/>
  <c r="J70" i="1"/>
  <c r="I70" i="1"/>
  <c r="H70" i="1"/>
  <c r="G70" i="1"/>
  <c r="R69" i="1"/>
  <c r="Q69" i="1"/>
  <c r="P69" i="1"/>
  <c r="O69" i="1"/>
  <c r="N69" i="1"/>
  <c r="M69" i="1"/>
  <c r="L69" i="1"/>
  <c r="K69" i="1"/>
  <c r="J69" i="1"/>
  <c r="I69" i="1"/>
  <c r="H69" i="1"/>
  <c r="G69" i="1"/>
  <c r="R68" i="1"/>
  <c r="Q68" i="1"/>
  <c r="P68" i="1"/>
  <c r="O68" i="1"/>
  <c r="N68" i="1"/>
  <c r="M68" i="1"/>
  <c r="L68" i="1"/>
  <c r="K68" i="1"/>
  <c r="J68" i="1"/>
  <c r="I68" i="1"/>
  <c r="H68" i="1"/>
  <c r="G68" i="1"/>
  <c r="R67" i="1"/>
  <c r="Q67" i="1"/>
  <c r="P67" i="1"/>
  <c r="O67" i="1"/>
  <c r="N67" i="1"/>
  <c r="M67" i="1"/>
  <c r="L67" i="1"/>
  <c r="K67" i="1"/>
  <c r="J67" i="1"/>
  <c r="I67" i="1"/>
  <c r="H67" i="1"/>
  <c r="G67" i="1"/>
  <c r="R66" i="1"/>
  <c r="Q66" i="1"/>
  <c r="P66" i="1"/>
  <c r="O66" i="1"/>
  <c r="N66" i="1"/>
  <c r="M66" i="1"/>
  <c r="L66" i="1"/>
  <c r="K66" i="1"/>
  <c r="J66" i="1"/>
  <c r="I66" i="1"/>
  <c r="H66" i="1"/>
  <c r="G66" i="1"/>
  <c r="R65" i="1"/>
  <c r="Q65" i="1"/>
  <c r="P65" i="1"/>
  <c r="O65" i="1"/>
  <c r="N65" i="1"/>
  <c r="M65" i="1"/>
  <c r="L65" i="1"/>
  <c r="K65" i="1"/>
  <c r="J65" i="1"/>
  <c r="I65" i="1"/>
  <c r="H65" i="1"/>
  <c r="G65" i="1"/>
  <c r="R64" i="1"/>
  <c r="Q64" i="1"/>
  <c r="P64" i="1"/>
  <c r="O64" i="1"/>
  <c r="N64" i="1"/>
  <c r="M64" i="1"/>
  <c r="L64" i="1"/>
  <c r="K64" i="1"/>
  <c r="J64" i="1"/>
  <c r="I64" i="1"/>
  <c r="H64" i="1"/>
  <c r="G64" i="1"/>
  <c r="R63" i="1"/>
  <c r="Q63" i="1"/>
  <c r="P63" i="1"/>
  <c r="O63" i="1"/>
  <c r="N63" i="1"/>
  <c r="M63" i="1"/>
  <c r="L63" i="1"/>
  <c r="K63" i="1"/>
  <c r="J63" i="1"/>
  <c r="I63" i="1"/>
  <c r="H63" i="1"/>
  <c r="G63" i="1"/>
  <c r="R62" i="1"/>
  <c r="Q62" i="1"/>
  <c r="P62" i="1"/>
  <c r="O62" i="1"/>
  <c r="N62" i="1"/>
  <c r="M62" i="1"/>
  <c r="L62" i="1"/>
  <c r="K62" i="1"/>
  <c r="J62" i="1"/>
  <c r="I62" i="1"/>
  <c r="H62" i="1"/>
  <c r="G62" i="1"/>
  <c r="R61" i="1"/>
  <c r="Q61" i="1"/>
  <c r="P61" i="1"/>
  <c r="O61" i="1"/>
  <c r="N61" i="1"/>
  <c r="M61" i="1"/>
  <c r="L61" i="1"/>
  <c r="K61" i="1"/>
  <c r="J61" i="1"/>
  <c r="I61" i="1"/>
  <c r="H61" i="1"/>
  <c r="G61" i="1"/>
  <c r="R60" i="1"/>
  <c r="Q60" i="1"/>
  <c r="P60" i="1"/>
  <c r="O60" i="1"/>
  <c r="N60" i="1"/>
  <c r="M60" i="1"/>
  <c r="L60" i="1"/>
  <c r="K60" i="1"/>
  <c r="J60" i="1"/>
  <c r="I60" i="1"/>
  <c r="H60" i="1"/>
  <c r="G60" i="1"/>
  <c r="R59" i="1"/>
  <c r="Q59" i="1"/>
  <c r="P59" i="1"/>
  <c r="O59" i="1"/>
  <c r="N59" i="1"/>
  <c r="M59" i="1"/>
  <c r="L59" i="1"/>
  <c r="K59" i="1"/>
  <c r="J59" i="1"/>
  <c r="I59" i="1"/>
  <c r="H59" i="1"/>
  <c r="G59" i="1"/>
  <c r="R58" i="1"/>
  <c r="Q58" i="1"/>
  <c r="P58" i="1"/>
  <c r="O58" i="1"/>
  <c r="N58" i="1"/>
  <c r="M58" i="1"/>
  <c r="L58" i="1"/>
  <c r="K58" i="1"/>
  <c r="J58" i="1"/>
  <c r="I58" i="1"/>
  <c r="H58" i="1"/>
  <c r="G58" i="1"/>
  <c r="R57" i="1"/>
  <c r="Q57" i="1"/>
  <c r="N57" i="1"/>
  <c r="M57" i="1"/>
  <c r="L57" i="1"/>
  <c r="K57" i="1"/>
  <c r="J57" i="1"/>
  <c r="I57" i="1"/>
  <c r="H57" i="1"/>
  <c r="G57" i="1"/>
  <c r="R56" i="1"/>
  <c r="Q56" i="1"/>
  <c r="N56" i="1"/>
  <c r="M56" i="1"/>
  <c r="L56" i="1"/>
  <c r="K56" i="1"/>
  <c r="J56" i="1"/>
  <c r="I56" i="1"/>
  <c r="H56" i="1"/>
  <c r="G56" i="1"/>
  <c r="R55" i="1"/>
  <c r="Q55" i="1"/>
  <c r="N55" i="1"/>
  <c r="M55" i="1"/>
  <c r="L55" i="1"/>
  <c r="K55" i="1"/>
  <c r="J55" i="1"/>
  <c r="I55" i="1"/>
  <c r="H55" i="1"/>
  <c r="G55" i="1"/>
  <c r="R54" i="1"/>
  <c r="Q54" i="1"/>
  <c r="N54" i="1"/>
  <c r="M54" i="1"/>
  <c r="L54" i="1"/>
  <c r="K54" i="1"/>
  <c r="J54" i="1"/>
  <c r="I54" i="1"/>
  <c r="H54" i="1"/>
  <c r="G54" i="1"/>
  <c r="R53" i="1"/>
  <c r="Q53" i="1"/>
  <c r="N53" i="1"/>
  <c r="M53" i="1"/>
  <c r="L53" i="1"/>
  <c r="K53" i="1"/>
  <c r="J53" i="1"/>
  <c r="I53" i="1"/>
  <c r="H53" i="1"/>
  <c r="G53" i="1"/>
  <c r="R52" i="1"/>
  <c r="Q52" i="1"/>
  <c r="P52" i="1"/>
  <c r="O52" i="1"/>
  <c r="N52" i="1"/>
  <c r="M52" i="1"/>
  <c r="L52" i="1"/>
  <c r="K52" i="1"/>
  <c r="J52" i="1"/>
  <c r="I52" i="1"/>
  <c r="H52" i="1"/>
  <c r="G52" i="1"/>
  <c r="R51" i="1"/>
  <c r="Q51" i="1"/>
  <c r="P51" i="1"/>
  <c r="O51" i="1"/>
  <c r="N51" i="1"/>
  <c r="M51" i="1"/>
  <c r="L51" i="1"/>
  <c r="K51" i="1"/>
  <c r="J51" i="1"/>
  <c r="I51" i="1"/>
  <c r="H51" i="1"/>
  <c r="G51" i="1"/>
  <c r="R50" i="1"/>
  <c r="Q50" i="1"/>
  <c r="P50" i="1"/>
  <c r="O50" i="1"/>
  <c r="N50" i="1"/>
  <c r="M50" i="1"/>
  <c r="L50" i="1"/>
  <c r="K50" i="1"/>
  <c r="J50" i="1"/>
  <c r="I50" i="1"/>
  <c r="H50" i="1"/>
  <c r="G50" i="1"/>
  <c r="R49" i="1"/>
  <c r="Q49" i="1"/>
  <c r="P49" i="1"/>
  <c r="O49" i="1"/>
  <c r="N49" i="1"/>
  <c r="M49" i="1"/>
  <c r="L49" i="1"/>
  <c r="K49" i="1"/>
  <c r="J49" i="1"/>
  <c r="I49" i="1"/>
  <c r="H49" i="1"/>
  <c r="G49" i="1"/>
  <c r="R48" i="1"/>
  <c r="Q48" i="1"/>
  <c r="P48" i="1"/>
  <c r="O48" i="1"/>
  <c r="N48" i="1"/>
  <c r="M48" i="1"/>
  <c r="L48" i="1"/>
  <c r="K48" i="1"/>
  <c r="J48" i="1"/>
  <c r="I48" i="1"/>
  <c r="H48" i="1"/>
  <c r="G48" i="1"/>
  <c r="R47" i="1"/>
  <c r="Q47" i="1"/>
  <c r="N47" i="1"/>
  <c r="M47" i="1"/>
  <c r="L47" i="1"/>
  <c r="K47" i="1"/>
  <c r="J47" i="1"/>
  <c r="I47" i="1"/>
  <c r="H47" i="1"/>
  <c r="G47" i="1"/>
  <c r="R46" i="1"/>
  <c r="Q46" i="1"/>
  <c r="N46" i="1"/>
  <c r="M46" i="1"/>
  <c r="L46" i="1"/>
  <c r="K46" i="1"/>
  <c r="J46" i="1"/>
  <c r="I46" i="1"/>
  <c r="H46" i="1"/>
  <c r="G46" i="1"/>
  <c r="R45" i="1"/>
  <c r="Q45" i="1"/>
  <c r="N45" i="1"/>
  <c r="M45" i="1"/>
  <c r="L45" i="1"/>
  <c r="K45" i="1"/>
  <c r="J45" i="1"/>
  <c r="I45" i="1"/>
  <c r="H45" i="1"/>
  <c r="G45" i="1"/>
  <c r="R44" i="1"/>
  <c r="Q44" i="1"/>
  <c r="N44" i="1"/>
  <c r="M44" i="1"/>
  <c r="L44" i="1"/>
  <c r="K44" i="1"/>
  <c r="J44" i="1"/>
  <c r="I44" i="1"/>
  <c r="H44" i="1"/>
  <c r="G44" i="1"/>
  <c r="R43" i="1"/>
  <c r="Q43" i="1"/>
  <c r="N43" i="1"/>
  <c r="M43" i="1"/>
  <c r="L43" i="1"/>
  <c r="K43" i="1"/>
  <c r="J43" i="1"/>
  <c r="I43" i="1"/>
  <c r="H43" i="1"/>
  <c r="G43" i="1"/>
  <c r="R42" i="1"/>
  <c r="Q42" i="1"/>
  <c r="N42" i="1"/>
  <c r="M42" i="1"/>
  <c r="L42" i="1"/>
  <c r="K42" i="1"/>
  <c r="J42" i="1"/>
  <c r="I42" i="1"/>
  <c r="H42" i="1"/>
  <c r="G42" i="1"/>
  <c r="R41" i="1"/>
  <c r="Q41" i="1"/>
  <c r="N41" i="1"/>
  <c r="M41" i="1"/>
  <c r="L41" i="1"/>
  <c r="K41" i="1"/>
  <c r="J41" i="1"/>
  <c r="I41" i="1"/>
  <c r="H41" i="1"/>
  <c r="G41" i="1"/>
  <c r="R40" i="1"/>
  <c r="Q40" i="1"/>
  <c r="N40" i="1"/>
  <c r="M40" i="1"/>
  <c r="L40" i="1"/>
  <c r="K40" i="1"/>
  <c r="J40" i="1"/>
  <c r="I40" i="1"/>
  <c r="H40" i="1"/>
  <c r="G40" i="1"/>
  <c r="R39" i="1"/>
  <c r="Q39" i="1"/>
  <c r="N39" i="1"/>
  <c r="M39" i="1"/>
  <c r="L39" i="1"/>
  <c r="K39" i="1"/>
  <c r="J39" i="1"/>
  <c r="I39" i="1"/>
  <c r="H39" i="1"/>
  <c r="G39" i="1"/>
  <c r="R38" i="1"/>
  <c r="Q38" i="1"/>
  <c r="N38" i="1"/>
  <c r="M38" i="1"/>
  <c r="L38" i="1"/>
  <c r="K38" i="1"/>
  <c r="J38" i="1"/>
  <c r="I38" i="1"/>
  <c r="H38" i="1"/>
  <c r="G38" i="1"/>
  <c r="R37" i="1"/>
  <c r="Q37" i="1"/>
  <c r="N37" i="1"/>
  <c r="M37" i="1"/>
  <c r="L37" i="1"/>
  <c r="K37" i="1"/>
  <c r="J37" i="1"/>
  <c r="I37" i="1"/>
  <c r="H37" i="1"/>
  <c r="G37" i="1"/>
  <c r="R36" i="1"/>
  <c r="Q36" i="1"/>
  <c r="O36" i="1"/>
  <c r="N36" i="1"/>
  <c r="M36" i="1"/>
  <c r="L36" i="1"/>
  <c r="K36" i="1"/>
  <c r="J36" i="1"/>
  <c r="I36" i="1"/>
  <c r="H36" i="1"/>
  <c r="G36" i="1"/>
  <c r="R35" i="1"/>
  <c r="Q35" i="1"/>
  <c r="O35" i="1"/>
  <c r="N35" i="1"/>
  <c r="M35" i="1"/>
  <c r="L35" i="1"/>
  <c r="K35" i="1"/>
  <c r="J35" i="1"/>
  <c r="I35" i="1"/>
  <c r="H35" i="1"/>
  <c r="G35" i="1"/>
  <c r="R34" i="1"/>
  <c r="Q34" i="1"/>
  <c r="O34" i="1"/>
  <c r="N34" i="1"/>
  <c r="M34" i="1"/>
  <c r="L34" i="1"/>
  <c r="K34" i="1"/>
  <c r="J34" i="1"/>
  <c r="I34" i="1"/>
  <c r="H34" i="1"/>
  <c r="G34" i="1"/>
  <c r="R33" i="1"/>
  <c r="Q33" i="1"/>
  <c r="O33" i="1"/>
  <c r="N33" i="1"/>
  <c r="M33" i="1"/>
  <c r="L33" i="1"/>
  <c r="K33" i="1"/>
  <c r="J33" i="1"/>
  <c r="I33" i="1"/>
  <c r="H33" i="1"/>
  <c r="G33" i="1"/>
  <c r="R32" i="1"/>
  <c r="Q32" i="1"/>
  <c r="O32" i="1"/>
  <c r="N32" i="1"/>
  <c r="M32" i="1"/>
  <c r="L32" i="1"/>
  <c r="K32" i="1"/>
  <c r="J32" i="1"/>
  <c r="I32" i="1"/>
  <c r="H32" i="1"/>
  <c r="G32" i="1"/>
  <c r="R31" i="1"/>
  <c r="Q31" i="1"/>
  <c r="O31" i="1"/>
  <c r="N31" i="1"/>
  <c r="M31" i="1"/>
  <c r="L31" i="1"/>
  <c r="K31" i="1"/>
  <c r="J31" i="1"/>
  <c r="I31" i="1"/>
  <c r="H31" i="1"/>
  <c r="G31" i="1"/>
  <c r="R30" i="1"/>
  <c r="Q30" i="1"/>
  <c r="O30" i="1"/>
  <c r="N30" i="1"/>
  <c r="M30" i="1"/>
  <c r="L30" i="1"/>
  <c r="K30" i="1"/>
  <c r="J30" i="1"/>
  <c r="I30" i="1"/>
  <c r="H30" i="1"/>
  <c r="G30" i="1"/>
  <c r="R29" i="1"/>
  <c r="Q29" i="1"/>
  <c r="P29" i="1"/>
  <c r="O29" i="1"/>
  <c r="N29" i="1"/>
  <c r="M29" i="1"/>
  <c r="L29" i="1"/>
  <c r="K29" i="1"/>
  <c r="J29" i="1"/>
  <c r="I29" i="1"/>
  <c r="H29" i="1"/>
  <c r="G29" i="1"/>
  <c r="R28" i="1"/>
  <c r="Q28" i="1"/>
  <c r="P28" i="1"/>
  <c r="O28" i="1"/>
  <c r="N28" i="1"/>
  <c r="M28" i="1"/>
  <c r="L28" i="1"/>
  <c r="K28" i="1"/>
  <c r="J28" i="1"/>
  <c r="I28" i="1"/>
  <c r="H28" i="1"/>
  <c r="G28" i="1"/>
  <c r="R27" i="1"/>
  <c r="Q27" i="1"/>
  <c r="N27" i="1"/>
  <c r="M27" i="1"/>
  <c r="L27" i="1"/>
  <c r="K27" i="1"/>
  <c r="J27" i="1"/>
  <c r="I27" i="1"/>
  <c r="H27" i="1"/>
  <c r="G27" i="1"/>
  <c r="R26" i="1"/>
  <c r="Q26" i="1"/>
  <c r="N26" i="1"/>
  <c r="M26" i="1"/>
  <c r="L26" i="1"/>
  <c r="K26" i="1"/>
  <c r="J26" i="1"/>
  <c r="I26" i="1"/>
  <c r="H26" i="1"/>
  <c r="G26" i="1"/>
  <c r="R25" i="1"/>
  <c r="Q25" i="1"/>
  <c r="N25" i="1"/>
  <c r="M25" i="1"/>
  <c r="L25" i="1"/>
  <c r="K25" i="1"/>
  <c r="J25" i="1"/>
  <c r="I25" i="1"/>
  <c r="H25" i="1"/>
  <c r="G25" i="1"/>
  <c r="R24" i="1"/>
  <c r="Q24" i="1"/>
  <c r="N24" i="1"/>
  <c r="M24" i="1"/>
  <c r="L24" i="1"/>
  <c r="K24" i="1"/>
  <c r="J24" i="1"/>
  <c r="I24" i="1"/>
  <c r="H24" i="1"/>
  <c r="G24" i="1"/>
  <c r="R23" i="1"/>
  <c r="Q23" i="1"/>
  <c r="N23" i="1"/>
  <c r="M23" i="1"/>
  <c r="L23" i="1"/>
  <c r="K23" i="1"/>
  <c r="J23" i="1"/>
  <c r="I23" i="1"/>
  <c r="H23" i="1"/>
  <c r="G23" i="1"/>
  <c r="R22" i="1"/>
  <c r="Q22" i="1"/>
  <c r="N22" i="1"/>
  <c r="M22" i="1"/>
  <c r="L22" i="1"/>
  <c r="K22" i="1"/>
  <c r="J22" i="1"/>
  <c r="I22" i="1"/>
  <c r="H22" i="1"/>
  <c r="G22" i="1"/>
  <c r="R21" i="1"/>
  <c r="Q21" i="1"/>
  <c r="N21" i="1"/>
  <c r="M21" i="1"/>
  <c r="L21" i="1"/>
  <c r="K21" i="1"/>
  <c r="J21" i="1"/>
  <c r="I21" i="1"/>
  <c r="H21" i="1"/>
  <c r="G21" i="1"/>
  <c r="R20" i="1"/>
  <c r="Q20" i="1"/>
  <c r="O20" i="1"/>
  <c r="N20" i="1"/>
  <c r="M20" i="1"/>
  <c r="L20" i="1"/>
  <c r="K20" i="1"/>
  <c r="J20" i="1"/>
  <c r="I20" i="1"/>
  <c r="H20" i="1"/>
  <c r="G20" i="1"/>
  <c r="R19" i="1"/>
  <c r="Q19" i="1"/>
  <c r="P19" i="1"/>
  <c r="O19" i="1"/>
  <c r="N19" i="1"/>
  <c r="M19" i="1"/>
  <c r="L19" i="1"/>
  <c r="K19" i="1"/>
  <c r="J19" i="1"/>
  <c r="I19" i="1"/>
  <c r="H19" i="1"/>
  <c r="G19" i="1"/>
  <c r="R18" i="1"/>
  <c r="Q18" i="1"/>
  <c r="P18" i="1"/>
  <c r="O18" i="1"/>
  <c r="N18" i="1"/>
  <c r="M18" i="1"/>
  <c r="L18" i="1"/>
  <c r="K18" i="1"/>
  <c r="J18" i="1"/>
  <c r="I18" i="1"/>
  <c r="H18" i="1"/>
  <c r="G18" i="1"/>
  <c r="R17" i="1"/>
  <c r="Q17" i="1"/>
  <c r="O17" i="1"/>
  <c r="N17" i="1"/>
  <c r="M17" i="1"/>
  <c r="L17" i="1"/>
  <c r="K17" i="1"/>
  <c r="J17" i="1"/>
  <c r="I17" i="1"/>
  <c r="H17" i="1"/>
  <c r="G17" i="1"/>
  <c r="R16" i="1"/>
  <c r="Q16" i="1"/>
  <c r="P16" i="1"/>
  <c r="O16" i="1"/>
  <c r="N16" i="1"/>
  <c r="M16" i="1"/>
  <c r="L16" i="1"/>
  <c r="K16" i="1"/>
  <c r="J16" i="1"/>
  <c r="I16" i="1"/>
  <c r="H16" i="1"/>
  <c r="G16" i="1"/>
  <c r="R15" i="1"/>
  <c r="Q15" i="1"/>
  <c r="P15" i="1"/>
  <c r="O15" i="1"/>
  <c r="N15" i="1"/>
  <c r="M15" i="1"/>
  <c r="L15" i="1"/>
  <c r="K15" i="1"/>
  <c r="J15" i="1"/>
  <c r="I15" i="1"/>
  <c r="H15" i="1"/>
  <c r="G15" i="1"/>
  <c r="R14" i="1"/>
  <c r="Q14" i="1"/>
  <c r="O14" i="1"/>
  <c r="N14" i="1"/>
  <c r="M14" i="1"/>
  <c r="L14" i="1"/>
  <c r="K14" i="1"/>
  <c r="J14" i="1"/>
  <c r="I14" i="1"/>
  <c r="H14" i="1"/>
  <c r="G14" i="1"/>
  <c r="R13" i="1"/>
  <c r="Q13" i="1"/>
  <c r="P13" i="1"/>
  <c r="O13" i="1"/>
  <c r="N13" i="1"/>
  <c r="M13" i="1"/>
  <c r="L13" i="1"/>
  <c r="K13" i="1"/>
  <c r="J13" i="1"/>
  <c r="I13" i="1"/>
  <c r="H13" i="1"/>
  <c r="G13" i="1"/>
  <c r="R12" i="1"/>
  <c r="Q12" i="1"/>
  <c r="P12" i="1"/>
  <c r="O12" i="1"/>
  <c r="N12" i="1"/>
  <c r="M12" i="1"/>
  <c r="L12" i="1"/>
  <c r="K12" i="1"/>
  <c r="J12" i="1"/>
  <c r="I12" i="1"/>
  <c r="H12" i="1"/>
  <c r="G12" i="1"/>
  <c r="R11" i="1"/>
  <c r="Q11" i="1"/>
  <c r="P11" i="1"/>
  <c r="O11" i="1"/>
  <c r="N11" i="1"/>
  <c r="M11" i="1"/>
  <c r="L11" i="1"/>
  <c r="K11" i="1"/>
  <c r="J11" i="1"/>
  <c r="I11" i="1"/>
  <c r="H11" i="1"/>
  <c r="G11" i="1"/>
  <c r="R10" i="1"/>
  <c r="Q10" i="1"/>
  <c r="P10" i="1"/>
  <c r="O10" i="1"/>
  <c r="N10" i="1"/>
  <c r="M10" i="1"/>
  <c r="L10" i="1"/>
  <c r="K10" i="1"/>
  <c r="J10" i="1"/>
  <c r="I10" i="1"/>
  <c r="H10" i="1"/>
  <c r="G10" i="1"/>
  <c r="R9" i="1"/>
  <c r="Q9" i="1"/>
  <c r="N9" i="1"/>
  <c r="M9" i="1"/>
  <c r="L9" i="1"/>
  <c r="K9" i="1"/>
  <c r="J9" i="1"/>
  <c r="I9" i="1"/>
  <c r="H9" i="1"/>
  <c r="G9" i="1"/>
  <c r="R8" i="1"/>
  <c r="Q8" i="1"/>
  <c r="P8" i="1"/>
  <c r="O8" i="1"/>
  <c r="N8" i="1"/>
  <c r="M8" i="1"/>
  <c r="L8" i="1"/>
  <c r="K8" i="1"/>
  <c r="J8" i="1"/>
  <c r="I8" i="1"/>
  <c r="H8" i="1"/>
  <c r="G8" i="1"/>
  <c r="R7" i="1"/>
  <c r="Q7" i="1"/>
  <c r="P7" i="1"/>
  <c r="O7" i="1"/>
  <c r="N7" i="1"/>
  <c r="M7" i="1"/>
  <c r="L7" i="1"/>
  <c r="K7" i="1"/>
  <c r="J7" i="1"/>
  <c r="I7" i="1"/>
  <c r="H7" i="1"/>
  <c r="G7" i="1"/>
  <c r="R6" i="1"/>
  <c r="Q6" i="1"/>
  <c r="O6" i="1"/>
  <c r="N6" i="1"/>
  <c r="M6" i="1"/>
  <c r="L6" i="1"/>
  <c r="K6" i="1"/>
  <c r="J6" i="1"/>
  <c r="I6" i="1"/>
  <c r="H6" i="1"/>
  <c r="G6" i="1"/>
  <c r="R5" i="1"/>
  <c r="Q5" i="1"/>
  <c r="P5" i="1"/>
  <c r="O5" i="1"/>
  <c r="N5" i="1"/>
  <c r="M5" i="1"/>
  <c r="L5" i="1"/>
  <c r="K5" i="1"/>
  <c r="J5" i="1"/>
  <c r="I5" i="1"/>
  <c r="H5" i="1"/>
  <c r="G5" i="1"/>
  <c r="R4" i="1"/>
  <c r="Q4" i="1"/>
  <c r="N4" i="1"/>
  <c r="M4" i="1"/>
  <c r="L4" i="1"/>
  <c r="K4" i="1"/>
  <c r="J4" i="1"/>
  <c r="I4" i="1"/>
  <c r="H4" i="1"/>
  <c r="G4" i="1"/>
  <c r="R3" i="1"/>
  <c r="Q3" i="1"/>
  <c r="P3" i="1"/>
  <c r="O3" i="1"/>
  <c r="N3" i="1"/>
  <c r="M3" i="1"/>
  <c r="L3" i="1"/>
  <c r="K3" i="1"/>
  <c r="J3" i="1"/>
  <c r="I3" i="1"/>
  <c r="H3" i="1"/>
  <c r="G3" i="1"/>
  <c r="R2" i="1"/>
  <c r="Q2" i="1"/>
  <c r="P2" i="1"/>
  <c r="O2" i="1"/>
  <c r="N2" i="1"/>
  <c r="M2" i="1"/>
  <c r="L2" i="1"/>
  <c r="K2" i="1"/>
  <c r="J2" i="1"/>
  <c r="I2" i="1"/>
  <c r="H2" i="1"/>
  <c r="G2" i="1"/>
  <c r="O1500" i="1" l="1"/>
  <c r="J1491" i="1"/>
  <c r="J1494" i="1"/>
  <c r="P127" i="1"/>
  <c r="P126" i="1"/>
  <c r="P125" i="1"/>
  <c r="P124" i="1"/>
  <c r="P123" i="1"/>
  <c r="P122" i="1"/>
  <c r="P121" i="1"/>
  <c r="P120" i="1"/>
  <c r="P119" i="1"/>
  <c r="P118" i="1"/>
  <c r="P28" i="2"/>
  <c r="O104" i="1"/>
  <c r="O107" i="1"/>
  <c r="O106" i="1"/>
  <c r="O105" i="1"/>
  <c r="O103" i="1"/>
  <c r="O102" i="1"/>
  <c r="O101" i="1"/>
  <c r="O100" i="1"/>
  <c r="O99" i="1"/>
  <c r="P247" i="1"/>
  <c r="P246" i="1"/>
  <c r="P245" i="1"/>
  <c r="P244" i="1"/>
  <c r="P243" i="1"/>
  <c r="P242" i="1"/>
  <c r="P241" i="1"/>
  <c r="P240" i="1"/>
  <c r="P239" i="1"/>
  <c r="P238" i="1"/>
  <c r="P469" i="1"/>
  <c r="P468" i="1"/>
  <c r="P467" i="1"/>
  <c r="P466" i="1"/>
  <c r="P465" i="1"/>
  <c r="P464" i="1"/>
  <c r="P403" i="1"/>
  <c r="P402" i="1"/>
  <c r="P401" i="1"/>
  <c r="P400" i="1"/>
  <c r="P399" i="1"/>
  <c r="P398" i="1"/>
  <c r="P10" i="2"/>
  <c r="O43" i="1"/>
  <c r="O40" i="1"/>
  <c r="O37" i="1"/>
  <c r="O4" i="1"/>
  <c r="O42" i="1"/>
  <c r="O39" i="1"/>
  <c r="O41" i="1"/>
  <c r="O38" i="1"/>
  <c r="P19" i="2"/>
  <c r="O47" i="1"/>
  <c r="O46" i="1"/>
  <c r="O27" i="1"/>
  <c r="O26" i="1"/>
  <c r="O25" i="1"/>
  <c r="O24" i="1"/>
  <c r="O45" i="1"/>
  <c r="O44" i="1"/>
  <c r="P362" i="1"/>
  <c r="P287" i="1"/>
  <c r="P286" i="1"/>
  <c r="P285" i="1"/>
  <c r="P284" i="1"/>
  <c r="P283" i="1"/>
  <c r="P282" i="1"/>
  <c r="P281" i="1"/>
  <c r="P280" i="1"/>
  <c r="P279" i="1"/>
  <c r="P278" i="1"/>
  <c r="P21" i="2"/>
  <c r="O57" i="1"/>
  <c r="O56" i="1"/>
  <c r="O55" i="1"/>
  <c r="O54" i="1"/>
  <c r="O53" i="1"/>
  <c r="P17" i="2"/>
  <c r="O23" i="1"/>
  <c r="O22" i="1"/>
  <c r="O21" i="1"/>
  <c r="O116" i="1"/>
  <c r="P33" i="2"/>
  <c r="P113" i="1" s="1"/>
  <c r="O113" i="1"/>
  <c r="P451" i="1"/>
  <c r="P450" i="1"/>
  <c r="P449" i="1"/>
  <c r="P448" i="1"/>
  <c r="P447" i="1"/>
  <c r="P446" i="1"/>
  <c r="P29" i="2"/>
  <c r="P109" i="1" s="1"/>
  <c r="O109" i="1"/>
  <c r="P3" i="2"/>
  <c r="P9" i="1" s="1"/>
  <c r="O9" i="1"/>
  <c r="P427" i="1"/>
  <c r="P426" i="1"/>
  <c r="P425" i="1"/>
  <c r="P424" i="1"/>
  <c r="P423" i="1"/>
  <c r="P422" i="1"/>
  <c r="O1320" i="1"/>
  <c r="O1326" i="1"/>
  <c r="O1332" i="1"/>
  <c r="O1302" i="1"/>
  <c r="P9" i="2"/>
  <c r="O1345" i="1"/>
  <c r="O1339" i="1"/>
  <c r="O1333" i="1"/>
  <c r="O1327" i="1"/>
  <c r="O1321" i="1"/>
  <c r="O1315" i="1"/>
  <c r="O1309" i="1"/>
  <c r="O1303" i="1"/>
  <c r="O1297" i="1"/>
  <c r="O1291" i="1"/>
  <c r="O1285" i="1"/>
  <c r="O1279" i="1"/>
  <c r="O1273" i="1"/>
  <c r="O1346" i="1"/>
  <c r="O1340" i="1"/>
  <c r="O1334" i="1"/>
  <c r="O1328" i="1"/>
  <c r="O1322" i="1"/>
  <c r="O1316" i="1"/>
  <c r="O1310" i="1"/>
  <c r="O1304" i="1"/>
  <c r="O1298" i="1"/>
  <c r="O1292" i="1"/>
  <c r="O1286" i="1"/>
  <c r="O1280" i="1"/>
  <c r="O1274" i="1"/>
  <c r="O1347" i="1"/>
  <c r="O1341" i="1"/>
  <c r="O1335" i="1"/>
  <c r="O1329" i="1"/>
  <c r="O1323" i="1"/>
  <c r="O1317" i="1"/>
  <c r="O1311" i="1"/>
  <c r="O1305" i="1"/>
  <c r="O1299" i="1"/>
  <c r="O1293" i="1"/>
  <c r="O1287" i="1"/>
  <c r="O1281" i="1"/>
  <c r="O1275" i="1"/>
  <c r="O1348" i="1"/>
  <c r="O1342" i="1"/>
  <c r="O1336" i="1"/>
  <c r="O1330" i="1"/>
  <c r="O1324" i="1"/>
  <c r="O1318" i="1"/>
  <c r="O1312" i="1"/>
  <c r="O1306" i="1"/>
  <c r="O1300" i="1"/>
  <c r="O1294" i="1"/>
  <c r="O1288" i="1"/>
  <c r="O1282" i="1"/>
  <c r="O1276" i="1"/>
  <c r="O1349" i="1"/>
  <c r="O1343" i="1"/>
  <c r="O1337" i="1"/>
  <c r="O1331" i="1"/>
  <c r="O1325" i="1"/>
  <c r="O1319" i="1"/>
  <c r="O1313" i="1"/>
  <c r="O1307" i="1"/>
  <c r="O1301" i="1"/>
  <c r="O1295" i="1"/>
  <c r="O1289" i="1"/>
  <c r="O1283" i="1"/>
  <c r="O1277" i="1"/>
  <c r="J1489" i="1"/>
  <c r="J1492" i="1"/>
  <c r="J1495" i="1"/>
  <c r="J1490" i="1"/>
  <c r="P14" i="2"/>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P2" i="2"/>
  <c r="P14" i="1" s="1"/>
  <c r="O1494" i="1"/>
  <c r="O1495" i="1"/>
  <c r="O1489" i="1"/>
  <c r="O1490" i="1"/>
  <c r="O1491" i="1"/>
  <c r="O1492" i="1"/>
  <c r="O1493" i="1"/>
  <c r="P1349" i="1"/>
  <c r="P1348" i="1"/>
  <c r="P1347" i="1"/>
  <c r="P1346" i="1"/>
  <c r="P1345" i="1"/>
  <c r="P1344" i="1"/>
  <c r="P1343" i="1"/>
  <c r="P1342" i="1"/>
  <c r="P1341" i="1"/>
  <c r="P1340" i="1"/>
  <c r="P1339" i="1"/>
  <c r="P1338" i="1"/>
  <c r="P1337" i="1"/>
  <c r="P1336" i="1"/>
  <c r="P1335" i="1"/>
  <c r="P1334" i="1"/>
  <c r="P1333" i="1"/>
  <c r="P1332" i="1"/>
  <c r="P1331" i="1"/>
  <c r="P1330" i="1"/>
  <c r="P1329" i="1"/>
  <c r="P1328" i="1"/>
  <c r="P1327" i="1"/>
  <c r="P1326" i="1"/>
  <c r="P1325" i="1"/>
  <c r="P1324" i="1"/>
  <c r="P1323" i="1"/>
  <c r="P1322" i="1"/>
  <c r="P1321" i="1"/>
  <c r="P1320" i="1"/>
  <c r="P1319" i="1"/>
  <c r="P1318" i="1"/>
  <c r="P1317" i="1"/>
  <c r="P1316" i="1"/>
  <c r="P1315" i="1"/>
  <c r="P1314" i="1"/>
  <c r="P1313" i="1"/>
  <c r="P1312" i="1"/>
  <c r="P1311" i="1"/>
  <c r="P1310" i="1"/>
  <c r="P1309" i="1"/>
  <c r="P1308" i="1"/>
  <c r="P1307" i="1"/>
  <c r="P1306" i="1"/>
  <c r="P1305" i="1"/>
  <c r="P1304" i="1"/>
  <c r="P1303" i="1"/>
  <c r="P1302" i="1"/>
  <c r="P1301" i="1"/>
  <c r="P1300" i="1"/>
  <c r="P1299" i="1"/>
  <c r="P1298" i="1"/>
  <c r="P1297" i="1"/>
  <c r="P1296" i="1"/>
  <c r="P1295" i="1"/>
  <c r="P1294" i="1"/>
  <c r="P1293" i="1"/>
  <c r="P1292" i="1"/>
  <c r="P1291" i="1"/>
  <c r="P1290" i="1"/>
  <c r="P1289" i="1"/>
  <c r="P1288" i="1"/>
  <c r="P1287" i="1"/>
  <c r="P1286" i="1"/>
  <c r="P1285" i="1"/>
  <c r="P1284" i="1"/>
  <c r="P1283" i="1"/>
  <c r="P1282" i="1"/>
  <c r="P1281" i="1"/>
  <c r="P1280" i="1"/>
  <c r="P1279" i="1"/>
  <c r="P1278" i="1"/>
  <c r="P1277" i="1"/>
  <c r="P1276" i="1"/>
  <c r="P1275" i="1"/>
  <c r="P1274" i="1"/>
  <c r="P1273" i="1"/>
  <c r="P1272" i="1"/>
  <c r="P1491" i="1" l="1"/>
  <c r="P1493" i="1"/>
  <c r="P1492" i="1"/>
  <c r="P1494" i="1"/>
  <c r="P107" i="1"/>
  <c r="P106" i="1"/>
  <c r="P105" i="1"/>
  <c r="P104" i="1"/>
  <c r="P103" i="1"/>
  <c r="P102" i="1"/>
  <c r="P101" i="1"/>
  <c r="P100" i="1"/>
  <c r="P99" i="1"/>
  <c r="P27" i="1"/>
  <c r="P26" i="1"/>
  <c r="P25" i="1"/>
  <c r="P24" i="1"/>
  <c r="P47" i="1"/>
  <c r="P46" i="1"/>
  <c r="P45" i="1"/>
  <c r="P44" i="1"/>
  <c r="P1489" i="1"/>
  <c r="P1495" i="1"/>
  <c r="P1490" i="1"/>
  <c r="P4" i="1"/>
  <c r="P43" i="1"/>
  <c r="P42" i="1"/>
  <c r="P41" i="1"/>
  <c r="P40" i="1"/>
  <c r="P39" i="1"/>
  <c r="P38" i="1"/>
  <c r="P37" i="1"/>
  <c r="P116" i="1"/>
  <c r="P22" i="1"/>
  <c r="P21" i="1"/>
  <c r="P23" i="1"/>
  <c r="P57" i="1"/>
  <c r="P56" i="1"/>
  <c r="P55" i="1"/>
  <c r="P54" i="1"/>
  <c r="P53" i="1"/>
  <c r="P1271" i="1"/>
  <c r="P1270" i="1"/>
  <c r="P1269" i="1"/>
  <c r="P1268" i="1"/>
  <c r="P1267" i="1"/>
  <c r="P1266" i="1"/>
  <c r="P1265" i="1"/>
  <c r="P1264" i="1"/>
  <c r="P1263" i="1"/>
  <c r="P1262" i="1"/>
  <c r="P1261" i="1"/>
  <c r="P1260" i="1"/>
  <c r="P1259" i="1"/>
  <c r="P1258" i="1"/>
  <c r="P1257" i="1"/>
  <c r="P1256" i="1"/>
  <c r="P1255" i="1"/>
  <c r="P1254" i="1"/>
  <c r="P1253" i="1"/>
  <c r="P1252" i="1"/>
  <c r="P1251" i="1"/>
  <c r="P1250" i="1"/>
  <c r="P1249" i="1"/>
  <c r="P1248" i="1"/>
  <c r="P1247" i="1"/>
  <c r="P1246" i="1"/>
  <c r="P1245" i="1"/>
  <c r="P1244" i="1"/>
  <c r="P1243" i="1"/>
  <c r="P1242" i="1"/>
  <c r="P1241" i="1"/>
  <c r="P1240" i="1"/>
  <c r="P1239" i="1"/>
  <c r="P1238" i="1"/>
  <c r="P1237" i="1"/>
  <c r="P1236" i="1"/>
  <c r="P1235" i="1"/>
  <c r="P1234" i="1"/>
  <c r="P1233" i="1"/>
  <c r="P1232" i="1"/>
  <c r="P1231" i="1"/>
  <c r="P1230" i="1"/>
  <c r="P1229" i="1"/>
  <c r="P1228" i="1"/>
  <c r="P1227" i="1"/>
  <c r="P1226" i="1"/>
  <c r="P1225" i="1"/>
  <c r="P1224" i="1"/>
  <c r="P1223" i="1"/>
  <c r="P1222" i="1"/>
  <c r="P1221" i="1"/>
  <c r="P1220" i="1"/>
  <c r="P1219" i="1"/>
  <c r="P1218" i="1"/>
  <c r="P1217" i="1"/>
  <c r="P1216" i="1"/>
  <c r="P1215" i="1"/>
  <c r="P1214" i="1"/>
  <c r="P1213" i="1"/>
  <c r="P1212" i="1"/>
  <c r="P1211" i="1"/>
  <c r="P1210" i="1"/>
  <c r="P1209" i="1"/>
  <c r="P1208" i="1"/>
  <c r="P1207" i="1"/>
  <c r="P1206" i="1"/>
  <c r="P1205" i="1"/>
  <c r="P1204" i="1"/>
  <c r="P1203" i="1"/>
  <c r="P1202" i="1"/>
  <c r="P1201" i="1"/>
  <c r="P1200" i="1"/>
  <c r="P1199" i="1"/>
  <c r="P1198" i="1"/>
  <c r="P1197" i="1"/>
  <c r="P1196" i="1"/>
  <c r="P1195" i="1"/>
  <c r="P1194" i="1"/>
  <c r="P1193" i="1"/>
  <c r="P1192" i="1"/>
  <c r="P1191" i="1"/>
  <c r="P1190" i="1"/>
  <c r="P1189" i="1"/>
  <c r="P1188" i="1"/>
  <c r="P1187" i="1"/>
  <c r="P1186" i="1"/>
  <c r="P1185" i="1"/>
  <c r="P1184" i="1"/>
  <c r="P1183" i="1"/>
  <c r="P1182" i="1"/>
  <c r="P1181" i="1"/>
  <c r="P1180" i="1"/>
  <c r="P1179" i="1"/>
  <c r="P1178" i="1"/>
  <c r="P1177" i="1"/>
  <c r="P1176" i="1"/>
  <c r="P1175" i="1"/>
  <c r="P1174" i="1"/>
  <c r="P1173" i="1"/>
  <c r="P1172" i="1"/>
  <c r="P1171" i="1"/>
  <c r="P1170" i="1"/>
  <c r="P1169" i="1"/>
  <c r="P1168" i="1"/>
  <c r="P1167" i="1"/>
  <c r="P1166" i="1"/>
  <c r="P1165" i="1"/>
  <c r="P1164" i="1"/>
  <c r="P1163" i="1"/>
  <c r="P1162" i="1"/>
  <c r="P1161" i="1"/>
  <c r="P1160" i="1"/>
  <c r="P1159" i="1"/>
  <c r="P1158" i="1"/>
  <c r="P1157" i="1"/>
  <c r="P1156" i="1"/>
  <c r="P1155" i="1"/>
  <c r="P1154" i="1"/>
  <c r="P1153" i="1"/>
  <c r="P1152" i="1"/>
  <c r="P1151" i="1"/>
  <c r="P1150" i="1"/>
  <c r="P1149" i="1"/>
  <c r="P1148" i="1"/>
  <c r="P1147" i="1"/>
  <c r="P1146" i="1"/>
  <c r="P1145" i="1"/>
  <c r="P1144" i="1"/>
  <c r="P1143" i="1"/>
  <c r="P1142" i="1"/>
  <c r="P1141" i="1"/>
  <c r="P1140" i="1"/>
  <c r="P1139" i="1"/>
  <c r="P1138" i="1"/>
  <c r="P1137" i="1"/>
  <c r="P1136" i="1"/>
  <c r="P1135" i="1"/>
  <c r="P1134" i="1"/>
  <c r="P1133" i="1"/>
  <c r="P1132" i="1"/>
  <c r="P1131" i="1"/>
  <c r="P1130" i="1"/>
  <c r="P1129" i="1"/>
  <c r="P1128" i="1"/>
  <c r="P1127" i="1"/>
  <c r="P1126" i="1"/>
  <c r="P1125" i="1"/>
  <c r="P380" i="1"/>
  <c r="P379" i="1"/>
  <c r="P378" i="1"/>
  <c r="P377" i="1"/>
  <c r="P376" i="1"/>
  <c r="P375" i="1"/>
  <c r="P374" i="1"/>
  <c r="P373" i="1"/>
  <c r="P6" i="1"/>
  <c r="P33" i="1"/>
  <c r="P1124" i="1"/>
  <c r="P1123" i="1"/>
  <c r="P1122" i="1"/>
  <c r="P1121" i="1"/>
  <c r="P1120" i="1"/>
  <c r="P1119" i="1"/>
  <c r="P1118" i="1"/>
  <c r="P1117" i="1"/>
  <c r="P1116" i="1"/>
  <c r="P1115" i="1"/>
  <c r="P1114" i="1"/>
  <c r="P1113" i="1"/>
  <c r="P1112" i="1"/>
  <c r="P1111" i="1"/>
  <c r="P1110" i="1"/>
  <c r="P1109" i="1"/>
  <c r="P1108" i="1"/>
  <c r="P1107" i="1"/>
  <c r="P1106" i="1"/>
  <c r="P1105" i="1"/>
  <c r="P1104" i="1"/>
  <c r="P1103" i="1"/>
  <c r="P1102" i="1"/>
  <c r="P1101" i="1"/>
  <c r="P1100" i="1"/>
  <c r="P1099" i="1"/>
  <c r="P1098" i="1"/>
  <c r="P1097" i="1"/>
  <c r="P1096" i="1"/>
  <c r="P1095" i="1"/>
  <c r="P1094" i="1"/>
  <c r="P1093" i="1"/>
  <c r="P1092" i="1"/>
  <c r="P1091" i="1"/>
  <c r="P1090" i="1"/>
  <c r="P1089" i="1"/>
  <c r="P1088" i="1"/>
  <c r="P1087" i="1"/>
  <c r="P1086" i="1"/>
  <c r="P1085" i="1"/>
  <c r="P1084" i="1"/>
  <c r="P1083" i="1"/>
  <c r="P1082" i="1"/>
  <c r="P1081" i="1"/>
  <c r="P1080" i="1"/>
  <c r="P1079" i="1"/>
  <c r="P1078" i="1"/>
  <c r="P1077" i="1"/>
  <c r="P1076" i="1"/>
  <c r="P1075" i="1"/>
  <c r="P1074" i="1"/>
  <c r="P1073" i="1"/>
  <c r="P1072" i="1"/>
  <c r="P1071" i="1"/>
  <c r="P1070" i="1"/>
  <c r="P1069" i="1"/>
  <c r="P1068" i="1"/>
  <c r="P1067" i="1"/>
  <c r="P1066" i="1"/>
  <c r="P1065" i="1"/>
  <c r="P1064" i="1"/>
  <c r="P1063" i="1"/>
  <c r="P1062" i="1"/>
  <c r="P1061" i="1"/>
  <c r="P1060" i="1"/>
  <c r="P1059" i="1"/>
  <c r="P1058" i="1"/>
  <c r="P1057" i="1"/>
  <c r="P1056" i="1"/>
  <c r="P1055" i="1"/>
  <c r="P1054" i="1"/>
  <c r="P1053" i="1"/>
  <c r="P1052" i="1"/>
  <c r="P1051" i="1"/>
  <c r="P1050" i="1"/>
  <c r="P1049" i="1"/>
  <c r="P1048" i="1"/>
  <c r="P1047" i="1"/>
  <c r="P1046" i="1"/>
  <c r="P1045" i="1"/>
  <c r="P1044" i="1"/>
  <c r="P1043" i="1"/>
  <c r="P1042" i="1"/>
  <c r="P1041" i="1"/>
  <c r="P1040" i="1"/>
  <c r="P1039" i="1"/>
  <c r="P1038" i="1"/>
  <c r="P1037" i="1"/>
  <c r="P1036" i="1"/>
  <c r="P1035" i="1"/>
  <c r="P1034" i="1"/>
  <c r="P1033" i="1"/>
  <c r="P1032" i="1"/>
  <c r="P1031" i="1"/>
  <c r="P1030" i="1"/>
  <c r="P1029" i="1"/>
  <c r="P1028" i="1"/>
  <c r="P1027" i="1"/>
  <c r="P1026" i="1"/>
  <c r="P1025" i="1"/>
  <c r="P1024" i="1"/>
  <c r="P1023" i="1"/>
  <c r="P1022" i="1"/>
  <c r="P35" i="1"/>
  <c r="P32" i="1"/>
  <c r="P30" i="1"/>
  <c r="P36" i="1"/>
  <c r="P34" i="1"/>
  <c r="P31" i="1"/>
  <c r="P20" i="1"/>
  <c r="P17" i="1"/>
  <c r="P896" i="1"/>
  <c r="P895" i="1"/>
  <c r="P894" i="1"/>
  <c r="P893" i="1"/>
  <c r="P892" i="1"/>
  <c r="P891" i="1"/>
  <c r="P890" i="1"/>
  <c r="P889" i="1"/>
  <c r="P888" i="1"/>
  <c r="P887" i="1"/>
  <c r="P886" i="1"/>
  <c r="P885" i="1"/>
  <c r="P884" i="1"/>
  <c r="P883" i="1"/>
  <c r="P882" i="1"/>
  <c r="P881" i="1"/>
  <c r="P880" i="1"/>
  <c r="P879" i="1"/>
  <c r="P878" i="1"/>
  <c r="P877" i="1"/>
  <c r="P876" i="1"/>
  <c r="P875" i="1"/>
  <c r="P874" i="1"/>
  <c r="P873" i="1"/>
  <c r="P872" i="1"/>
  <c r="P871" i="1"/>
  <c r="P870" i="1"/>
  <c r="P869" i="1"/>
  <c r="P868" i="1"/>
  <c r="P867" i="1"/>
  <c r="P866" i="1"/>
  <c r="P865" i="1"/>
  <c r="P864" i="1"/>
  <c r="P863" i="1"/>
  <c r="P862" i="1"/>
  <c r="P861" i="1"/>
  <c r="P860" i="1"/>
  <c r="P857" i="1"/>
  <c r="P851" i="1"/>
  <c r="P845" i="1"/>
  <c r="P839" i="1"/>
  <c r="P833" i="1"/>
  <c r="P858" i="1"/>
  <c r="P852" i="1"/>
  <c r="P846" i="1"/>
  <c r="P840" i="1"/>
  <c r="P834" i="1"/>
  <c r="P859" i="1"/>
  <c r="P853" i="1"/>
  <c r="P847" i="1"/>
  <c r="P841" i="1"/>
  <c r="P835" i="1"/>
  <c r="P854" i="1"/>
  <c r="P848" i="1"/>
  <c r="P842" i="1"/>
  <c r="P836" i="1"/>
  <c r="P855" i="1"/>
  <c r="P849" i="1"/>
  <c r="P843" i="1"/>
  <c r="P837" i="1"/>
  <c r="P831" i="1"/>
  <c r="P830" i="1"/>
  <c r="P829" i="1"/>
  <c r="P828" i="1"/>
  <c r="P827" i="1"/>
  <c r="P826" i="1"/>
  <c r="P825" i="1"/>
  <c r="P824" i="1"/>
  <c r="P823" i="1"/>
  <c r="P822" i="1"/>
  <c r="P821" i="1"/>
  <c r="P820" i="1"/>
  <c r="P819" i="1"/>
  <c r="P818" i="1"/>
  <c r="P817" i="1"/>
  <c r="P816" i="1"/>
  <c r="P815" i="1"/>
  <c r="P814" i="1"/>
  <c r="P813" i="1"/>
  <c r="P812" i="1"/>
  <c r="P811" i="1"/>
  <c r="P810" i="1"/>
  <c r="P809" i="1"/>
  <c r="P808" i="1"/>
  <c r="P807" i="1"/>
  <c r="P806" i="1"/>
  <c r="P805" i="1"/>
  <c r="P804" i="1"/>
  <c r="P803" i="1"/>
  <c r="P802" i="1"/>
  <c r="P801" i="1"/>
  <c r="P800" i="1"/>
  <c r="P799" i="1"/>
  <c r="P798" i="1"/>
  <c r="P797" i="1"/>
  <c r="P796" i="1"/>
  <c r="P795" i="1"/>
  <c r="P794" i="1"/>
  <c r="P793" i="1"/>
  <c r="P792" i="1"/>
  <c r="P791" i="1"/>
  <c r="P790" i="1"/>
  <c r="P789" i="1"/>
  <c r="P788" i="1"/>
  <c r="P787" i="1"/>
  <c r="P786" i="1"/>
  <c r="P785" i="1"/>
  <c r="P784" i="1"/>
  <c r="P783" i="1"/>
  <c r="P782" i="1"/>
  <c r="P781" i="1"/>
  <c r="P780" i="1"/>
  <c r="P779" i="1"/>
  <c r="P778" i="1"/>
  <c r="P777" i="1"/>
  <c r="P776" i="1"/>
  <c r="P775" i="1"/>
  <c r="P774" i="1"/>
  <c r="P773" i="1"/>
  <c r="P772" i="1"/>
  <c r="P771" i="1"/>
  <c r="P770" i="1"/>
  <c r="P769" i="1"/>
  <c r="P768" i="1"/>
  <c r="P767" i="1"/>
  <c r="P766" i="1"/>
  <c r="P765" i="1"/>
  <c r="P764" i="1"/>
  <c r="P763" i="1"/>
  <c r="P762" i="1"/>
  <c r="P761" i="1"/>
  <c r="P760" i="1"/>
  <c r="P759" i="1"/>
  <c r="P758" i="1"/>
  <c r="P757" i="1"/>
  <c r="P756" i="1"/>
  <c r="P755" i="1"/>
  <c r="P754" i="1"/>
  <c r="P753" i="1"/>
  <c r="P752" i="1"/>
  <c r="P751" i="1"/>
  <c r="P856" i="1"/>
  <c r="P850" i="1"/>
  <c r="P844" i="1"/>
  <c r="P838" i="1"/>
  <c r="P832" i="1"/>
  <c r="P750" i="1"/>
  <c r="P749" i="1"/>
  <c r="P748" i="1"/>
  <c r="P747" i="1"/>
  <c r="P746" i="1"/>
  <c r="P745" i="1"/>
  <c r="P744" i="1"/>
  <c r="P743" i="1"/>
  <c r="P742" i="1"/>
  <c r="P741" i="1"/>
  <c r="P740" i="1"/>
  <c r="P739" i="1"/>
  <c r="P738" i="1"/>
  <c r="P737" i="1"/>
  <c r="P736" i="1"/>
  <c r="P735" i="1"/>
  <c r="P734" i="1"/>
  <c r="P733" i="1"/>
  <c r="P732" i="1"/>
  <c r="P731" i="1"/>
  <c r="P730" i="1"/>
  <c r="P729" i="1"/>
  <c r="P728" i="1"/>
  <c r="P727" i="1"/>
  <c r="P726" i="1"/>
  <c r="P725" i="1"/>
  <c r="P724" i="1"/>
  <c r="P723" i="1"/>
  <c r="P722" i="1"/>
  <c r="P721" i="1"/>
  <c r="P720" i="1"/>
  <c r="P719" i="1"/>
  <c r="P718" i="1"/>
  <c r="P717" i="1"/>
  <c r="P716" i="1"/>
  <c r="P715" i="1"/>
  <c r="P714" i="1"/>
  <c r="P713" i="1"/>
  <c r="P712" i="1"/>
  <c r="P711" i="1"/>
  <c r="P710" i="1"/>
  <c r="P709" i="1"/>
  <c r="P708" i="1"/>
  <c r="P707" i="1"/>
  <c r="P706" i="1"/>
  <c r="P705" i="1"/>
  <c r="P704" i="1"/>
  <c r="P703" i="1"/>
  <c r="P702" i="1"/>
  <c r="P701" i="1"/>
  <c r="P700" i="1"/>
  <c r="P699" i="1"/>
  <c r="P698" i="1"/>
  <c r="P697" i="1"/>
  <c r="P696" i="1"/>
  <c r="P695" i="1"/>
  <c r="P694" i="1"/>
  <c r="P693" i="1"/>
  <c r="P692" i="1"/>
  <c r="P691" i="1"/>
  <c r="P690" i="1"/>
  <c r="P689" i="1"/>
  <c r="P688" i="1"/>
  <c r="P687" i="1"/>
  <c r="P686" i="1"/>
  <c r="P685" i="1"/>
  <c r="P684" i="1"/>
  <c r="P683" i="1"/>
  <c r="P682" i="1"/>
  <c r="P681" i="1"/>
  <c r="P680" i="1"/>
  <c r="P679" i="1"/>
  <c r="P678" i="1"/>
  <c r="P677" i="1"/>
  <c r="P676" i="1"/>
  <c r="P675" i="1"/>
  <c r="P674" i="1"/>
  <c r="P673" i="1"/>
  <c r="P672" i="1"/>
  <c r="P671" i="1"/>
  <c r="P670" i="1"/>
  <c r="P669" i="1"/>
  <c r="P668" i="1"/>
  <c r="P667" i="1"/>
  <c r="P666" i="1"/>
  <c r="P665" i="1"/>
  <c r="P664" i="1"/>
  <c r="P663" i="1"/>
  <c r="P662" i="1"/>
  <c r="P661" i="1"/>
  <c r="P660" i="1"/>
  <c r="P659" i="1"/>
  <c r="P658" i="1"/>
  <c r="P657" i="1"/>
  <c r="P656" i="1"/>
  <c r="P655" i="1"/>
  <c r="P654" i="1"/>
  <c r="P653" i="1"/>
  <c r="P652" i="1"/>
  <c r="P651" i="1"/>
  <c r="P650" i="1"/>
  <c r="P649" i="1"/>
  <c r="P648" i="1"/>
  <c r="P647" i="1"/>
  <c r="P646" i="1"/>
  <c r="P364" i="1"/>
</calcChain>
</file>

<file path=xl/sharedStrings.xml><?xml version="1.0" encoding="utf-8"?>
<sst xmlns="http://schemas.openxmlformats.org/spreadsheetml/2006/main" count="7908" uniqueCount="5393">
  <si>
    <t>id_quote</t>
  </si>
  <si>
    <t>quote_es</t>
  </si>
  <si>
    <t>quote_la</t>
  </si>
  <si>
    <t>quote_original</t>
  </si>
  <si>
    <t>author_es</t>
  </si>
  <si>
    <t>reference</t>
  </si>
  <si>
    <t>author_la</t>
  </si>
  <si>
    <t>bio_es</t>
  </si>
  <si>
    <t>bio_la</t>
  </si>
  <si>
    <t>iso3691</t>
  </si>
  <si>
    <t>language_es</t>
  </si>
  <si>
    <t>language_la</t>
  </si>
  <si>
    <t>nation_es</t>
  </si>
  <si>
    <t>nation_la</t>
  </si>
  <si>
    <t>age_es</t>
  </si>
  <si>
    <t>age_la</t>
  </si>
  <si>
    <t>image</t>
  </si>
  <si>
    <t>image_atr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</si>
  <si>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</si>
  <si>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</si>
  <si>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</si>
  <si>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</si>
  <si>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</si>
  <si>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</si>
  <si>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</si>
  <si>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</si>
  <si>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</si>
  <si>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</si>
  <si>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</si>
  <si>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</si>
  <si>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</si>
  <si>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</si>
  <si>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</si>
  <si>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</si>
  <si>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</si>
  <si>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</si>
  <si>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</si>
  <si>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</si>
  <si>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</si>
  <si>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</si>
  <si>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Biblia</t>
  </si>
  <si>
    <t>Exodus 21:24</t>
  </si>
  <si>
    <t>El amor es fuerte como la muerte; los celos son crueles como la tumba</t>
  </si>
  <si>
    <t>Fortis est ut mors dilectio, dura sicut infernus aemulatio</t>
  </si>
  <si>
    <t>כִּי־עַזָּה כַמָּוֶת אַהֲבָה קָשָׁה כִשְׁאוֹל קִנְאָה</t>
  </si>
  <si>
    <t>Canticum Canticorum 8:6</t>
  </si>
  <si>
    <t>Pienso, luego existo</t>
  </si>
  <si>
    <t>Cogito, ergo sum</t>
  </si>
  <si>
    <t>Je pense, donc je suis</t>
  </si>
  <si>
    <t>René Descartes</t>
  </si>
  <si>
    <t>Principia Philosophiae, Pars I, §7 (1644)</t>
  </si>
  <si>
    <t>Porque el conocimiento mismo es poder</t>
  </si>
  <si>
    <t>Nam et ipsa scientia potestas est</t>
  </si>
  <si>
    <t>Francis Bacon</t>
  </si>
  <si>
    <t>Meditationes Sacrae, De Haeresibus (1597)</t>
  </si>
  <si>
    <t>La vida feliz es el gozo de la verdad</t>
  </si>
  <si>
    <t>Beata vita est gaudium de veritate</t>
  </si>
  <si>
    <t>San Agustín</t>
  </si>
  <si>
    <t>Confessiones, Liber X, Caput XXIII, 33</t>
  </si>
  <si>
    <t>La felicidad no depende de quién eres o de lo que tienes, sino de lo que piensas</t>
  </si>
  <si>
    <t>Felicitas non pendet ex eo quis sis aut quid habeas, sed ex eo quod cogites</t>
  </si>
  <si>
    <t>Happiness doesn't depend on who you are or what you have; it depends on what you think</t>
  </si>
  <si>
    <t>Dale Carnegie</t>
  </si>
  <si>
    <t>How to Win Friends and Influence People (1936)</t>
  </si>
  <si>
    <t>No dejes para mañana lo que puedas hacer hoy</t>
  </si>
  <si>
    <t>Noli in crastinum differre quod hodie facere potes</t>
  </si>
  <si>
    <t>Aprovecha el día, confiando lo menos posible en el mañana.</t>
  </si>
  <si>
    <t>Carpe diem, quam minimum credula postero</t>
  </si>
  <si>
    <t>Horacio</t>
  </si>
  <si>
    <t>Odas I, 11</t>
  </si>
  <si>
    <t>Ser o no ser, esa es la cuestión</t>
  </si>
  <si>
    <t>Esse aut non esse, haec est quaestio</t>
  </si>
  <si>
    <t>To be, or not to be, that is the question</t>
  </si>
  <si>
    <t>Shakespeare</t>
  </si>
  <si>
    <t>Hamlet, Actus III, Scaena I (c. 1600)</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</si>
  <si>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</si>
  <si>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</si>
  <si>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</si>
  <si>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</si>
  <si>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</si>
  <si>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</si>
  <si>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</si>
  <si>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</si>
  <si>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Suetonius, De vita Caesarum, Divus Iulius 32</t>
  </si>
  <si>
    <t>Nada surge de la nada</t>
  </si>
  <si>
    <t>Ex nihilo nihil fit</t>
  </si>
  <si>
    <t>οὐδὲν ἐκ τοῦ μὴ ὄντος γίγνεται</t>
  </si>
  <si>
    <t>Parménides</t>
  </si>
  <si>
    <t>Simplicius, In Aristotelis Physica (fr. DK 28 B8)</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</si>
  <si>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</si>
  <si>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</si>
  <si>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</si>
  <si>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</si>
  <si>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</si>
  <si>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知之者不如好之者；好之者不如乐之者</t>
  </si>
  <si>
    <t>Confucio</t>
  </si>
  <si>
    <t>Analecta Confucii, Liber VI, Caput XX</t>
  </si>
  <si>
    <t>Aprender sin reflexionar es inútil; reflexionar sin aprender es peligroso</t>
  </si>
  <si>
    <t>Discere sine cogitatione inutile est; cogitare sine doctrina periculosum est</t>
  </si>
  <si>
    <t>学而不思则罔，思而不学则殆</t>
  </si>
  <si>
    <t>Analecta Confucii, Liber II, Caput XV</t>
  </si>
  <si>
    <t>No hagas a otros lo que no deseas para ti mismo</t>
  </si>
  <si>
    <t>Quod tibi non vis, alteri ne feceris</t>
  </si>
  <si>
    <t>己所不欲，勿施于人</t>
  </si>
  <si>
    <t>Analecta Confucii, Liber XII, Caput II</t>
  </si>
  <si>
    <t>La vida sin letras es muerte</t>
  </si>
  <si>
    <t>Vita sine litteris mors est</t>
  </si>
  <si>
    <t>Séneca</t>
  </si>
  <si>
    <t>Epistulae Morales ad Lucilium, Epistula 82, 3</t>
  </si>
  <si>
    <t>No hay un camino fácil de la tierra a las estrellas</t>
  </si>
  <si>
    <t>Non est ad astra mollis e terris via</t>
  </si>
  <si>
    <t>Hercules Furens, v. 437</t>
  </si>
  <si>
    <t>Mientras estemos entre los hombres, cultivemos la humanidad</t>
  </si>
  <si>
    <t>Dum inter homines sumus, colamus humanitatem</t>
  </si>
  <si>
    <t>Dum inter homines sumus, humanitatem colamus</t>
  </si>
  <si>
    <t>Epistulae Morales ad Lucilium, Epistula 95, 52</t>
  </si>
  <si>
    <t>Cada uno es artífice de su propia fortuna</t>
  </si>
  <si>
    <t>Quisque est faber fortunae suae</t>
  </si>
  <si>
    <t>Faber est suae quisque fortunae</t>
  </si>
  <si>
    <t>Epistulae Morales ad Lucilium, Epistula 98, 2</t>
  </si>
  <si>
    <t>Sin ira ni parcialidad</t>
  </si>
  <si>
    <t>Sine ira et studio</t>
  </si>
  <si>
    <t>Tácito</t>
  </si>
  <si>
    <t>Annales, I, 1</t>
  </si>
  <si>
    <t>El conocimiento es poder</t>
  </si>
  <si>
    <t>Scientia potentia est</t>
  </si>
  <si>
    <t>Knowledge is power</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</si>
  <si>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</si>
  <si>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</si>
  <si>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</si>
  <si>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</si>
  <si>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</si>
  <si>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</si>
  <si>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</si>
  <si>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</si>
  <si>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</si>
  <si>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</si>
  <si>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</si>
  <si>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</si>
  <si>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</si>
  <si>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</si>
  <si>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</si>
  <si>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</si>
  <si>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</si>
  <si>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</si>
  <si>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</si>
  <si>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</si>
  <si>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</si>
  <si>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</si>
  <si>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</si>
  <si>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</si>
  <si>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</si>
  <si>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</si>
  <si>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</si>
  <si>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</si>
  <si>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</si>
  <si>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</si>
  <si>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</si>
  <si>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</si>
  <si>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</si>
  <si>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</si>
  <si>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</si>
  <si>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</si>
  <si>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</si>
  <si>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</si>
  <si>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</si>
  <si>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</si>
  <si>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</si>
  <si>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No hay camino fácil de la tierra a las estrellas</t>
  </si>
  <si>
    <t>Mientras estemos entre hombres, cultivemos la humanidad</t>
  </si>
  <si>
    <t>La verdad es la adecuación del intelecto con la realidad</t>
  </si>
  <si>
    <t>Veritas est adaequatio rei et intellectus</t>
  </si>
  <si>
    <t>Santo Tomás de Aquino</t>
  </si>
  <si>
    <t>Summa Theologiae, I, q.16, art.1</t>
  </si>
  <si>
    <t>Amor a Dios y al prójimo</t>
  </si>
  <si>
    <t>Amor Dei et proximi</t>
  </si>
  <si>
    <t>Summa Theologiae, II-II, q.25, art.1</t>
  </si>
  <si>
    <t>La fe y la razón están en armonía</t>
  </si>
  <si>
    <t>Fides et ratio concordant</t>
  </si>
  <si>
    <t>Summa Theologiae (principio general)</t>
  </si>
  <si>
    <t>El bien común debe prevalecer sobre el bien individual</t>
  </si>
  <si>
    <t>Bonum commune praeferendum est bono singulari</t>
  </si>
  <si>
    <t>Summa Theologiae, II-II, q.57, art.1</t>
  </si>
  <si>
    <t>El hombre busca el bien supremo</t>
  </si>
  <si>
    <t>Homo summum bonum quaerit</t>
  </si>
  <si>
    <t>Summa Theologiae, I-II, q.1, art.5</t>
  </si>
  <si>
    <t>Dios ha muerto</t>
  </si>
  <si>
    <t>Deus mortuus est</t>
  </si>
  <si>
    <t>Gott ist tot</t>
  </si>
  <si>
    <t>Friedrich Nietzsche</t>
  </si>
  <si>
    <t>Die fröhliche Wissenschaft (1882), Liber III, aphorismus 125</t>
  </si>
  <si>
    <t>Lo que no me mata, me hace más fuerte</t>
  </si>
  <si>
    <t>Quod me non necat, fortiorem me facit</t>
  </si>
  <si>
    <t>Was mich nicht umbringt, macht mich stärker</t>
  </si>
  <si>
    <t>Ecce Homo (1888), Praefatio, §1</t>
  </si>
  <si>
    <t>Sin música, la vida sería un error</t>
  </si>
  <si>
    <t>Sine musica vita error esset</t>
  </si>
  <si>
    <t>Ohne Musik wäre das Leben ein Irrtum</t>
  </si>
  <si>
    <t>Götzen-Dämmerung (1889), Prologus</t>
  </si>
  <si>
    <t>El hombre es algo que debe ser superado</t>
  </si>
  <si>
    <t>Homo est aliquid quod superandum est</t>
  </si>
  <si>
    <t>Der Mensch ist etwas, das überwunden werden soll</t>
  </si>
  <si>
    <t>Also sprach Zarathustra (1883-1885), Pars Prima, §3</t>
  </si>
  <si>
    <t>Siempre hay algo de locura en el amor. Pero también hay algo de razón en la locura</t>
  </si>
  <si>
    <t>Semper aliquid insaniae in amore est, sed etiam aliquid rationis in insania</t>
  </si>
  <si>
    <t>Es gibt immer etwas Wahnsinn in der Liebe. Aber auch etwas Vernunft im Wahnsinn</t>
  </si>
  <si>
    <t>Also sprach Zarathustra (1883-1885), Pars Secunda, §21</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</si>
  <si>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</si>
  <si>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</si>
  <si>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</si>
  <si>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</si>
  <si>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Heretics (1905)</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</si>
  <si>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</si>
  <si>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</si>
  <si>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</si>
  <si>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The Man Who Was Thursday (1908)</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</si>
  <si>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</si>
  <si>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</si>
  <si>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</si>
  <si>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</si>
  <si>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</si>
  <si>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</si>
  <si>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The Thing (1909)</t>
  </si>
  <si>
    <t>Las falacias no dejan de ser falacias porque se conviertan en modas</t>
  </si>
  <si>
    <t>Fallaciae non desinunt fallaciae esse quia fiunt consuetudines</t>
  </si>
  <si>
    <t>Fallacies do not cease to be fallacies because they become fashions</t>
  </si>
  <si>
    <t>Orthodoxy (1908)</t>
  </si>
  <si>
    <t>Tenemos que defender la verdad a toda costa, aunque volvamos a ser solamente doce</t>
  </si>
  <si>
    <t>Veritatem defendere oportet omni pretio, etiam si solum duodecim restemus</t>
  </si>
  <si>
    <t>Veritatem defendere oportet omni pretio, etiam si soli duodecim maneamus</t>
  </si>
  <si>
    <t>Juan Pablo II</t>
  </si>
  <si>
    <t>Audientia generalis, 6 januarii 2002</t>
  </si>
  <si>
    <t>La fe es la luz que ilumina las tinieblas</t>
  </si>
  <si>
    <t>Fides est lux quae tenebras illuminat</t>
  </si>
  <si>
    <t>Redemptor Hominis, 1979</t>
  </si>
  <si>
    <t>El amor todo lo vence</t>
  </si>
  <si>
    <t>Caritas omnia vincit</t>
  </si>
  <si>
    <t>Dives in Misericordia, 1980</t>
  </si>
  <si>
    <t>Buscamos la paz en la tierra</t>
  </si>
  <si>
    <t>Pacem in terris quaerimus</t>
  </si>
  <si>
    <t>Encyclica, 1986</t>
  </si>
  <si>
    <t>El Espíritu Santo nos guía hacia la verdad</t>
  </si>
  <si>
    <t>Spiritus Sanctus nos ducit ad veritatem</t>
  </si>
  <si>
    <t>Spiritus Sanctus nos ad veritatem ducit</t>
  </si>
  <si>
    <t>Catechesis Generalis, 15 aprilis 1980</t>
  </si>
  <si>
    <t>La verdad os hará libres</t>
  </si>
  <si>
    <t>Veritas vos liberabit</t>
  </si>
  <si>
    <t>Audientia generalis, 22 aprilis 1980</t>
  </si>
  <si>
    <t>Todas nuestras obras pongamos en Dios</t>
  </si>
  <si>
    <t>Omnia opera nostra in Deo ponamus</t>
  </si>
  <si>
    <t>Catechesis Generalis, 10 november 1976</t>
  </si>
  <si>
    <t>La fuerza de la fe siempre vence al miedo</t>
  </si>
  <si>
    <t>Fidei virtus semper vincit timorem</t>
  </si>
  <si>
    <t>Virtus fidei timorem semper vincit</t>
  </si>
  <si>
    <t>Los hombres deben preservar su dignidad</t>
  </si>
  <si>
    <t>Homines dignitatem suam servare debent</t>
  </si>
  <si>
    <t>Audientia generalis, 16 aprilis 1983</t>
  </si>
  <si>
    <t>El amor a Dios y al prójimo es el fundamento de la vida</t>
  </si>
  <si>
    <t>Amor Dei et proximi est fundamentum vitae</t>
  </si>
  <si>
    <t>Catechesis Generalis, 15 september 1980</t>
  </si>
  <si>
    <t>El hombre sin educación es como un cadáver</t>
  </si>
  <si>
    <t>Homo sine litteris mors est</t>
  </si>
  <si>
    <t>San Juan Bautista de La Salle</t>
  </si>
  <si>
    <t xml:space="preserve">Scripta Educativa, saeculum XVIII </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</si>
  <si>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</si>
  <si>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</si>
  <si>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</si>
  <si>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</si>
  <si>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</si>
  <si>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</si>
  <si>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</si>
  <si>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</si>
  <si>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</si>
  <si>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</si>
  <si>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</si>
  <si>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</si>
  <si>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</si>
  <si>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</si>
  <si>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</si>
  <si>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</si>
  <si>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</si>
  <si>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</si>
  <si>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</si>
  <si>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</si>
  <si>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</si>
  <si>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</si>
  <si>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</si>
  <si>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</si>
  <si>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</si>
  <si>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</si>
  <si>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</si>
  <si>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</si>
  <si>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</si>
  <si>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</si>
  <si>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</si>
  <si>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</si>
  <si>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</si>
  <si>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</si>
  <si>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</si>
  <si>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</si>
  <si>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</si>
  <si>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</si>
  <si>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</si>
  <si>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</si>
  <si>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</si>
  <si>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</si>
  <si>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</si>
  <si>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</si>
  <si>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</si>
  <si>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</si>
  <si>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</si>
  <si>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</si>
  <si>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</si>
  <si>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</si>
  <si>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</si>
  <si>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</si>
  <si>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</si>
  <si>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</si>
  <si>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</si>
  <si>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</si>
  <si>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</si>
  <si>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</si>
  <si>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</si>
  <si>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</si>
  <si>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</si>
  <si>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</si>
  <si>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</si>
  <si>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</si>
  <si>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</si>
  <si>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</si>
  <si>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Der Untergang des Abendlandes, Band I, 1918</t>
  </si>
  <si>
    <t>Cada civilización tiene su ciclo de nacimiento, crecimiento y decadencia</t>
  </si>
  <si>
    <t>Unaquaeque civilizatio habet cyclus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</si>
  <si>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</si>
  <si>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</si>
  <si>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</si>
  <si>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</si>
  <si>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</si>
  <si>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</si>
  <si>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</si>
  <si>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Der Untergang des Abendlandes, Band II, 1922</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</si>
  <si>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</si>
  <si>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</si>
  <si>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</si>
  <si>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</si>
  <si>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</si>
  <si>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</si>
  <si>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Don Quijote de la Mancha, Primera Parte, 1605</t>
  </si>
  <si>
    <t>El que lee mucho y anda mucho, ve mucho y sabe mucho</t>
  </si>
  <si>
    <t>Qui multum legit et multum ambulat, multum videt et multum scit</t>
  </si>
  <si>
    <t>Don Quijote de la Mancha, Primera Parte, Capítulo X</t>
  </si>
  <si>
    <t>La pluma es la lengua del alma</t>
  </si>
  <si>
    <t>Calamus lingua animae est</t>
  </si>
  <si>
    <t>Novelas ejemplares, 1613</t>
  </si>
  <si>
    <t>Nunca pares de procurar ser mejor</t>
  </si>
  <si>
    <t>Numquam desine melius esse quaerere</t>
  </si>
  <si>
    <t>Cada uno es como Dios le hizo, y aun peor muchas veces</t>
  </si>
  <si>
    <t>Unusquisque est sicut Deus fecit, et saepe peior</t>
  </si>
  <si>
    <t>Don Quijote de la Mancha, Primera Parte, Capítulo XIX</t>
  </si>
  <si>
    <t>No es más que un sueño lo que se sueña en la vida</t>
  </si>
  <si>
    <t>Somnium solum est quod in vita somniatur</t>
  </si>
  <si>
    <t>Don Quijote de la Mancha, Primera Parte, Capítulo XXVIII</t>
  </si>
  <si>
    <t>La libertad, Sancho, es uno de los más preciosos dones que a los hombres dieron los cielos</t>
  </si>
  <si>
    <t>Libertas, Sancho, donum pretiosissimum est quod caelum hominibus dedit</t>
  </si>
  <si>
    <t>Don Quijote de la Mancha, Primera Parte, Capítulo XX</t>
  </si>
  <si>
    <t>Dulcinea del Toboso, señora de mi pensamiento</t>
  </si>
  <si>
    <t>Dulcinea Tobosi, domina cogitationum mearum</t>
  </si>
  <si>
    <t>Don Quijote de la Mancha, Primera Parte, Capítulo XIII</t>
  </si>
  <si>
    <t>Cambiar la tristeza en contento es la más sabrosa medicina del alma</t>
  </si>
  <si>
    <t>Tristitiam in laetitiam mutare est medicamentum animae sapidissimum</t>
  </si>
  <si>
    <t>Conócete, acéptate, supérate</t>
  </si>
  <si>
    <t>Nosce te, accipe te, supera te</t>
  </si>
  <si>
    <r>
      <rPr>
        <sz val="10"/>
        <rFont val="Arial"/>
        <family val="2"/>
        <charset val="1"/>
      </rPr>
      <t xml:space="preserve">San Agustín, </t>
    </r>
    <r>
      <rPr>
        <i/>
        <sz val="10"/>
        <rFont val="Arial"/>
        <family val="2"/>
        <charset val="1"/>
      </rPr>
      <t>Confessiones</t>
    </r>
    <r>
      <rPr>
        <sz val="10"/>
        <rFont val="Arial"/>
        <family val="2"/>
        <charset val="1"/>
      </rPr>
      <t>, Lib. X, cap. 8</t>
    </r>
  </si>
  <si>
    <t>La educación es el arma más poderosa que puedes usar para cambiar el mundo</t>
  </si>
  <si>
    <t>Educatio potentissimum telum est ad mundum mutandum.</t>
  </si>
  <si>
    <t>Education is the most powerful weapon which you can use to change the world</t>
  </si>
  <si>
    <t>Nelson Mandela</t>
  </si>
  <si>
    <t>Nelson Mandela, Discurso en la Universidad de Pretoria, 2003</t>
  </si>
  <si>
    <t>La verdadera educación consiste en obtener lo mejor de uno mismo</t>
  </si>
  <si>
    <t>Vera educatio consistit in optimo ex se ipsis obtinendo</t>
  </si>
  <si>
    <t>The true education consists in getting the best out of oneself</t>
  </si>
  <si>
    <t>Mahatma Gandhi</t>
  </si>
  <si>
    <t>Young India, 1921</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</si>
  <si>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</si>
  <si>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</si>
  <si>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</si>
  <si>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</si>
  <si>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Autobiographical Notes, 1949</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</si>
  <si>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</si>
  <si>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</si>
  <si>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</si>
  <si>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</si>
  <si>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The Purpose of Education, 1947</t>
  </si>
  <si>
    <t>La educación no es preparación para la vida; la educación es la vida en sí misma</t>
  </si>
  <si>
    <t>Educatio non est praeparatio ad vitam; educatio ipsa vita est</t>
  </si>
  <si>
    <t>Education is not preparation for life; education is life itself</t>
  </si>
  <si>
    <t>John Dewey</t>
  </si>
  <si>
    <t>Democracy and Education, 1916</t>
  </si>
  <si>
    <t>Una inversión en conocimiento paga el mejor interés</t>
  </si>
  <si>
    <t>Investitio in scientia optimum redditum praestat</t>
  </si>
  <si>
    <t>An investment in knowledge pays the best interest</t>
  </si>
  <si>
    <t>Benjamin Franklin</t>
  </si>
  <si>
    <t>Poor Richard's Almanack, 1758</t>
  </si>
  <si>
    <t>El aprendizaje nunca cansa a la mente</t>
  </si>
  <si>
    <t>Disciplina animi numquam defatigat</t>
  </si>
  <si>
    <t>Apprendimento non stanca mai la mente</t>
  </si>
  <si>
    <t>Leonardo Da Vinci</t>
  </si>
  <si>
    <t>Codex Atlanticus, f. 80r</t>
  </si>
  <si>
    <t>Aprender sin pensar es esfuerzo perdido; pensar sin aprender, peligroso</t>
  </si>
  <si>
    <t>Discere sine cogitatione inutile est; cogitare sine discendo periculosum est</t>
  </si>
  <si>
    <t>學而不思則罔，思而不學則殆</t>
  </si>
  <si>
    <r>
      <rPr>
        <sz val="10"/>
        <rFont val="Arial"/>
        <family val="2"/>
        <charset val="1"/>
      </rPr>
      <t>Analecta (</t>
    </r>
    <r>
      <rPr>
        <sz val="10"/>
        <rFont val="Noto Sans CJK SC"/>
        <family val="2"/>
      </rPr>
      <t>論語</t>
    </r>
    <r>
      <rPr>
        <sz val="10"/>
        <rFont val="Arial"/>
        <family val="2"/>
        <charset val="1"/>
      </rPr>
      <t>), Liber II, Cap. XV</t>
    </r>
  </si>
  <si>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</si>
  <si>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</si>
  <si>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</si>
  <si>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</si>
  <si>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</si>
  <si>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</si>
  <si>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</si>
  <si>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</si>
  <si>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Fragmentum 1 (DK 11 A1)</t>
  </si>
  <si>
    <t>Todo está lleno de dioses</t>
  </si>
  <si>
    <t>Omnia diis plena sunt</t>
  </si>
  <si>
    <t>πάντα πλήρη θεῶν</t>
  </si>
  <si>
    <t>Fragmentum 2 (DK 11 A2)</t>
  </si>
  <si>
    <t>El cosmos está animado</t>
  </si>
  <si>
    <t>Mundus animatus est</t>
  </si>
  <si>
    <t>ὁ κόσμος ἔμψυχός ἐστι</t>
  </si>
  <si>
    <t>Fragmentum 3 (DK 11 A3)</t>
  </si>
  <si>
    <t>El alma mueve los cuerpos</t>
  </si>
  <si>
    <t>Anima corpora movet</t>
  </si>
  <si>
    <t>ψυχὴ κινεῖ τὰ σώματα</t>
  </si>
  <si>
    <t>Fragmentum 4 (DK 11 A4)</t>
  </si>
  <si>
    <t>Todo procede de lo uno</t>
  </si>
  <si>
    <t>Omnia ex uno procedunt</t>
  </si>
  <si>
    <t>τὸ πᾶν ἐκ τοῦ ἑνός</t>
  </si>
  <si>
    <t>Fragmentum 5 (DK 11 A5)</t>
  </si>
  <si>
    <t>Lo divino no tiene principio ni fin</t>
  </si>
  <si>
    <t>Divinum nec principium nec finem habet</t>
  </si>
  <si>
    <t>τὸ θεῖον οὔτε ἀρχὴν οὔτε τέλος ἔχει</t>
  </si>
  <si>
    <t>Fragmentum 6 (DK 11 A6)</t>
  </si>
  <si>
    <t>Lo más poderoso es la necesidad</t>
  </si>
  <si>
    <t>Necessitas potentissima est</t>
  </si>
  <si>
    <t>ἰσχυρότατον ἀνάγκη</t>
  </si>
  <si>
    <t>Fragmentum 7 (DK 11 A7)</t>
  </si>
  <si>
    <t>El tiempo es lo más sabio</t>
  </si>
  <si>
    <t>Tempus sapientissimum est</t>
  </si>
  <si>
    <t>χρόνος σοφώτατος</t>
  </si>
  <si>
    <t>Fragmentum 8 (DK 11 A8)</t>
  </si>
  <si>
    <t>Conócete a ti mismo</t>
  </si>
  <si>
    <t>Te ipsum nosce</t>
  </si>
  <si>
    <t>γνῶθι σαυτόν</t>
  </si>
  <si>
    <t>Fragmentum 9 (DK 11 A9)</t>
  </si>
  <si>
    <t>No te enriquezcas injustamente</t>
  </si>
  <si>
    <t>Ne iniuste locupleteris</t>
  </si>
  <si>
    <t>μὴ πλούτει κακῶς</t>
  </si>
  <si>
    <t>Fragmentum 10 (DK 11 A10)</t>
  </si>
  <si>
    <t>La muerte no es nada para nosotros</t>
  </si>
  <si>
    <t>Mors nihil ad nos pertinet</t>
  </si>
  <si>
    <t>Μηδὲν πρὸς ἡμᾶς ὁ θάνατος</t>
  </si>
  <si>
    <t>Epicuro</t>
  </si>
  <si>
    <t>Lettera a Meneceo, DK 31 B 1</t>
  </si>
  <si>
    <t>Poco basta al sabio</t>
  </si>
  <si>
    <t>Sapienti parvum satis est</t>
  </si>
  <si>
    <t>Ἀρκέσει μικρὸν τῷ σοφῷ</t>
  </si>
  <si>
    <t>Lettera a Meneceo, DK 31 B 2</t>
  </si>
  <si>
    <t>El placer es principio y fin de la vida feliz</t>
  </si>
  <si>
    <t>Voluptas principium et finis vitae beatae est</t>
  </si>
  <si>
    <t>ἡδονὴ ἀρχὴ καὶ τέλος τοῦ μακαρίου βίου</t>
  </si>
  <si>
    <t>Lettera a Meneceo, DK 31 B 3</t>
  </si>
  <si>
    <t>No la mayor riqueza, sino la que basta</t>
  </si>
  <si>
    <t>Non maxima divitia, sed sufficiens</t>
  </si>
  <si>
    <t>οὐχ ὁ πλεῖστος πλοῦτος, ἀλλ᾽ ὁ ὀλίγος ἀρκῶν</t>
  </si>
  <si>
    <t>Lettera a Meneceo, DK 31 B 4</t>
  </si>
  <si>
    <t>La prudencia es el mayor bien</t>
  </si>
  <si>
    <t>Prudentia summum bonum est</t>
  </si>
  <si>
    <t>ἡ φρόνησις μέγιστον ἀγαθόν</t>
  </si>
  <si>
    <t>Lettera a Meneceo, DK 31 B 5</t>
  </si>
  <si>
    <t>No hay que temer a los dioses</t>
  </si>
  <si>
    <t>Diis timendum non est</t>
  </si>
  <si>
    <t>οὐ δεῖ φοβεῖσθαι τοὺς θεούς</t>
  </si>
  <si>
    <t>Lettera a Meneceo, DK 31 B 6</t>
  </si>
  <si>
    <t>El dolor es breve o soportable</t>
  </si>
  <si>
    <t>Dolor brevis aut levis est</t>
  </si>
  <si>
    <t>ὁ πόνος βραχύς ἢ ἐλαφρός</t>
  </si>
  <si>
    <t>Lettera a Meneceo, DK 31 B 7</t>
  </si>
  <si>
    <t>La amistad es el mayor bien de la vida</t>
  </si>
  <si>
    <t>Amicitia summum vitae bonum est</t>
  </si>
  <si>
    <t>φιλία μέγιστον τῆς ζωῆς ἀγαθόν</t>
  </si>
  <si>
    <t>Lettera a Meneceo, DK 31 B 8</t>
  </si>
  <si>
    <t>La felicidad no está en el lujo</t>
  </si>
  <si>
    <t>Felicitas non in luxu est</t>
  </si>
  <si>
    <t>οὐκ ἐν πολυτελείᾳ ἡ εὐδαιμονία</t>
  </si>
  <si>
    <t>Lettera a Meneceo, DK 31 B 9</t>
  </si>
  <si>
    <t>La riqueza natural es limitada</t>
  </si>
  <si>
    <t>Naturalis divitia finita est</t>
  </si>
  <si>
    <t>ὁ πλοῦτος τῆς φύσεως ὁριστός</t>
  </si>
  <si>
    <t>Lettera a Meneceo, DK 31 B 10</t>
  </si>
  <si>
    <t>Tu vida la hacen tus pensamientos</t>
  </si>
  <si>
    <t>Vitam tuam opiniones tuae faciunt</t>
  </si>
  <si>
    <t>Τὸν βίον σου ποιοῦνται αἱ ὑπολήψεις σου</t>
  </si>
  <si>
    <t>Marco Aurelio</t>
  </si>
  <si>
    <t>Meditationes, Liber IV, §3</t>
  </si>
  <si>
    <t>No te perturben las cosas externas</t>
  </si>
  <si>
    <t>Res externae te non perturbent</t>
  </si>
  <si>
    <t>Μὴ ταράττεσθαι τὰ ἔξωθεν</t>
  </si>
  <si>
    <t>Meditationes, Liber XII, §30</t>
  </si>
  <si>
    <t>Vivir conforme a la naturaleza</t>
  </si>
  <si>
    <t>Secundum naturam vivere</t>
  </si>
  <si>
    <t>Ζῆν κατὰ φύσιν</t>
  </si>
  <si>
    <t>Meditationes, Liber VI, §16</t>
  </si>
  <si>
    <t>Todo sucede justamente</t>
  </si>
  <si>
    <t>Omnia iuste fiunt</t>
  </si>
  <si>
    <t>Ὅ,τι συμβαίνει, δικαίως συμβαίνει</t>
  </si>
  <si>
    <t>Meditationes, Liber VIII, §36</t>
  </si>
  <si>
    <t>El ser humano es pariente del ser humano</t>
  </si>
  <si>
    <t>Homo homini cognatus est</t>
  </si>
  <si>
    <t>ἄνθρωπος ἀνθρώπῳ συγγενής</t>
  </si>
  <si>
    <t>Meditationes, Liber II, §1</t>
  </si>
  <si>
    <t>Vivir poco, pero bien</t>
  </si>
  <si>
    <t>Parum vivere, sed bene</t>
  </si>
  <si>
    <t>ὀλίγον ζῆν, ἀλλὰ καλῶς</t>
  </si>
  <si>
    <t>Meditationes, Liber VII, §11</t>
  </si>
  <si>
    <t>La felicidad está dentro</t>
  </si>
  <si>
    <t>Felicitas intus est</t>
  </si>
  <si>
    <t>ἔνδον ἡ εὐδαιμονία</t>
  </si>
  <si>
    <t>Meditationes, Liber VI, §48</t>
  </si>
  <si>
    <t>Todo es transitorio</t>
  </si>
  <si>
    <t>Omnia transitoria sunt</t>
  </si>
  <si>
    <t>πᾶν παροδικόν</t>
  </si>
  <si>
    <t>Recuerdo de la muerte</t>
  </si>
  <si>
    <t>Memoria mortis</t>
  </si>
  <si>
    <t>μνήμη θανάτου</t>
  </si>
  <si>
    <t>Meditationes, Liber VII, §56</t>
  </si>
  <si>
    <t>La virtud se basta a sí misma</t>
  </si>
  <si>
    <t>Virtus sibi sufficit</t>
  </si>
  <si>
    <t>ἡ ἀρετὴ αὐτάρκης</t>
  </si>
  <si>
    <t>Meditationes, Liber VI, §30</t>
  </si>
  <si>
    <t>La vida no examinada no merece ser vivida</t>
  </si>
  <si>
    <t>Vita non examinata non est digna</t>
  </si>
  <si>
    <t>Ἀνεξέταστος βίος οὐ βιωτὸς</t>
  </si>
  <si>
    <t>Platón</t>
  </si>
  <si>
    <t>Apologia Socratis, 38a</t>
  </si>
  <si>
    <t>Nadie es malo voluntariamente</t>
  </si>
  <si>
    <t>Nemo sponte malus est</t>
  </si>
  <si>
    <t>Οὐδεὶς ἑκὼν κακός</t>
  </si>
  <si>
    <t>Protagoras, 360 a.C.</t>
  </si>
  <si>
    <t>La justicia es armonía del alma</t>
  </si>
  <si>
    <t>Iustitia harmonia animae est</t>
  </si>
  <si>
    <t>ἡ δικαιοσύνη ἁρμονία ψυχῆς</t>
  </si>
  <si>
    <t>Respublica, Liber IV, 427a</t>
  </si>
  <si>
    <t>La educación es un segundo sol</t>
  </si>
  <si>
    <t>Educatio alter sol est</t>
  </si>
  <si>
    <t>ἡ παιδεία δεύτερος ἥλιος</t>
  </si>
  <si>
    <t>Respublica, Liber VII, 518b</t>
  </si>
  <si>
    <t>La filosofía es preparación para la muerte</t>
  </si>
  <si>
    <t>Philosophia mortis meditatio est</t>
  </si>
  <si>
    <t>ἡ φιλοσοφία μελέτη θανάτου</t>
  </si>
  <si>
    <t>Phaedo, 64a</t>
  </si>
  <si>
    <t>El alma es inmortal</t>
  </si>
  <si>
    <t>Anima immortalis est</t>
  </si>
  <si>
    <t>ἡ ψυχὴ ἀθάνατος</t>
  </si>
  <si>
    <t>Phaedo, 70d</t>
  </si>
  <si>
    <t>El Bien es el mayor conocimiento</t>
  </si>
  <si>
    <t>Bonum maximum studium est</t>
  </si>
  <si>
    <t>τὸ ἀγαθὸν μέγιστον μάθημα</t>
  </si>
  <si>
    <t>Respublica, Liber VI, 509b</t>
  </si>
  <si>
    <t>Amor de lo bello</t>
  </si>
  <si>
    <t>Amor pulchri</t>
  </si>
  <si>
    <t>ἔρως τοῦ καλοῦ</t>
  </si>
  <si>
    <t>Symposium, 206a</t>
  </si>
  <si>
    <t>La ciudad es imagen del alma</t>
  </si>
  <si>
    <t>Civitas animae imago est</t>
  </si>
  <si>
    <t>πόλις ψυχῆς εἰκών</t>
  </si>
  <si>
    <t>Respublica, Liber IV, 435a</t>
  </si>
  <si>
    <t>La sabiduría es virtud</t>
  </si>
  <si>
    <t>Sapientia virtus est</t>
  </si>
  <si>
    <t>σοφία ἀρετή</t>
  </si>
  <si>
    <t>Respublica, Liber VI, 505a</t>
  </si>
  <si>
    <t>El hombre es un animal político</t>
  </si>
  <si>
    <t>Homo natura animal politicum est</t>
  </si>
  <si>
    <t>Ὁ ἄνθρωπος φύσει πολιτικὸν ζῷον</t>
  </si>
  <si>
    <t>Aristóteles</t>
  </si>
  <si>
    <t>Politica, Liber I, 1253a</t>
  </si>
  <si>
    <t>La felicidad es el fin de la vida</t>
  </si>
  <si>
    <t>Felicitas finis vitae est</t>
  </si>
  <si>
    <t>ἡ εὐδαιμονία τέλος τῆς ζωῆς</t>
  </si>
  <si>
    <t>Ethica Nicomachea, Liber I, 1097a</t>
  </si>
  <si>
    <t>La virtud es un hábito electivo</t>
  </si>
  <si>
    <t>Virtus habitus electivus est</t>
  </si>
  <si>
    <t>ἡ ἀρετὴ ἕξις προαιρετική</t>
  </si>
  <si>
    <t>Ethica Nicomachea, Liber II, 1103a</t>
  </si>
  <si>
    <t>El justo medio es lo mejor</t>
  </si>
  <si>
    <t>Medium optimum est</t>
  </si>
  <si>
    <t>τὸ μέσον ἄριστον</t>
  </si>
  <si>
    <t>Ethica Nicomachea, Liber II, 1107a</t>
  </si>
  <si>
    <t>Nada hay en el intelecto que no haya estado antes en los sentidos</t>
  </si>
  <si>
    <t>Nihil est in intellectu quod non prius fuerit in sensu</t>
  </si>
  <si>
    <t>οὐθὲν ἐν τῷ νοῒ ὃ μὴ πρότερον ἐν ταῖς αἰσθήσεσιν</t>
  </si>
  <si>
    <t>De Anima, Liber III, 430a</t>
  </si>
  <si>
    <t>La naturaleza no hace nada en vano</t>
  </si>
  <si>
    <t>Natura nihil frustra facit</t>
  </si>
  <si>
    <t>ἡ φύσις οὐδὲν ποιεῖ μάτην</t>
  </si>
  <si>
    <t>Physica, Liber II, 198b</t>
  </si>
  <si>
    <t>La ciudad existe por naturaleza</t>
  </si>
  <si>
    <t>Civitas natura est</t>
  </si>
  <si>
    <t>ἡ πόλις φύσει ἐστίν</t>
  </si>
  <si>
    <t>Politica, Liber I, 1252a</t>
  </si>
  <si>
    <t>El alma es la forma del cuerpo</t>
  </si>
  <si>
    <t>Anima forma corporis est</t>
  </si>
  <si>
    <t>ἡ ψυχὴ εἶδος σώματος</t>
  </si>
  <si>
    <t>De Anima, Liber II, 412a</t>
  </si>
  <si>
    <t>La prudencia es una virtud intelectual</t>
  </si>
  <si>
    <t>Prudentia virtus intellectualis est</t>
  </si>
  <si>
    <t>ἡ φρόνησις ἀρετὴ διανοητική</t>
  </si>
  <si>
    <t>Ethica Nicomachea, Liber VI, 1144a</t>
  </si>
  <si>
    <t>El amigo es otro yo</t>
  </si>
  <si>
    <t>Amicus alter ego est</t>
  </si>
  <si>
    <t>ὁ φίλος ἕτερος αὐτός</t>
  </si>
  <si>
    <t>Ethica Nicomachea, Liber IX, 1169b</t>
  </si>
  <si>
    <t>El número es el principio de todas las cosas</t>
  </si>
  <si>
    <t>Numerus principium omnium rerum est</t>
  </si>
  <si>
    <t>ἀριθμὸς ἀρχὴ πάντων</t>
  </si>
  <si>
    <t>Pitágoras</t>
  </si>
  <si>
    <t>Fragmentum DK 8 A 1</t>
  </si>
  <si>
    <t>El alma es armonía</t>
  </si>
  <si>
    <t>Anima harmonia est</t>
  </si>
  <si>
    <t>ἁρμονία ἐστὶν ἡ ψυχή</t>
  </si>
  <si>
    <t>Fragmentum DK 8 A 2</t>
  </si>
  <si>
    <t>Educad a los niños</t>
  </si>
  <si>
    <t>Educate pueros</t>
  </si>
  <si>
    <t>παίδευε τοὺς παῖδας</t>
  </si>
  <si>
    <t>Fragmentum DK 8 A 3</t>
  </si>
  <si>
    <t>El principio es la mitad de todo</t>
  </si>
  <si>
    <t>Principium dimidium totius est</t>
  </si>
  <si>
    <t>ἡ ἀρχὴ ἥμισυ παντός</t>
  </si>
  <si>
    <t>Fragmentum DK 8 A 4</t>
  </si>
  <si>
    <t>Mide tus deseos</t>
  </si>
  <si>
    <t>Metire cupiditates tuas</t>
  </si>
  <si>
    <t>μέτρει τὰς ἐπιθυμίες σου</t>
  </si>
  <si>
    <t>Fragmentum DK 8 A 5</t>
  </si>
  <si>
    <t>El silencio es principio de sabiduría</t>
  </si>
  <si>
    <t>Silentium sapientiae principium est</t>
  </si>
  <si>
    <t>σιωπὴ ἀρχὴ σοφίας</t>
  </si>
  <si>
    <t>Fragmentum DK 8 A 6</t>
  </si>
  <si>
    <t>La vida es breve, el arte largo</t>
  </si>
  <si>
    <t>Vita brevis, ars longa</t>
  </si>
  <si>
    <t>ὁ βίος βραχύς, ἡ δὲ τέχνη μακρά</t>
  </si>
  <si>
    <t>Fragmentum DK 8 A 7</t>
  </si>
  <si>
    <t>La amistad es igualdad</t>
  </si>
  <si>
    <t>Amicitia aequalitas est</t>
  </si>
  <si>
    <t>φιλία ἰσότης</t>
  </si>
  <si>
    <t>Fragmentum DK 8 A 8</t>
  </si>
  <si>
    <t>No hagas del cuerpo tumba del alma</t>
  </si>
  <si>
    <t>Ne corpus sepulchrum animae facias</t>
  </si>
  <si>
    <t>μὴ κατασκευάζειν σώματος τάφον ψυχῆς</t>
  </si>
  <si>
    <t>Fragmentum DK 8 A 9</t>
  </si>
  <si>
    <t>La virtud es armonía</t>
  </si>
  <si>
    <t>Virtus harmonia est</t>
  </si>
  <si>
    <t>ἀρετὴ ἁρμονία ἐστίν</t>
  </si>
  <si>
    <t>Fragmentum DK 8 A 10</t>
  </si>
  <si>
    <t>Todo fluye</t>
  </si>
  <si>
    <t>Omnia fluunt</t>
  </si>
  <si>
    <t>πάντα ῥεῖ</t>
  </si>
  <si>
    <t>Heráclito</t>
  </si>
  <si>
    <t>Fragmentum DK 22 B 12</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</si>
  <si>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</si>
  <si>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</si>
  <si>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</si>
  <si>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</si>
  <si>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</si>
  <si>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</si>
  <si>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Fragmentum DK 22 B 1</t>
  </si>
  <si>
    <t>El carácter es destino del hombre</t>
  </si>
  <si>
    <t>Character homini fatum est</t>
  </si>
  <si>
    <t>ἦθος ἀνθρώπῳ δαίμων</t>
  </si>
  <si>
    <t>Fragmentum DK 22 B 5</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</si>
  <si>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</si>
  <si>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</si>
  <si>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</si>
  <si>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Fragmentum DK 22 B 1a</t>
  </si>
  <si>
    <t>Lo sabio es uno</t>
  </si>
  <si>
    <t>Sapiens unum est</t>
  </si>
  <si>
    <t>τὸ σοφόν ἐστιν ἕν</t>
  </si>
  <si>
    <t>Fragmentum DK 22 B 32</t>
  </si>
  <si>
    <t>La armonía oculta es superior a la manifiesta</t>
  </si>
  <si>
    <t>Harmonia occulta manifesta potior</t>
  </si>
  <si>
    <t>κρυπτομένη ἁρμονίη φανερῆς κρείττων</t>
  </si>
  <si>
    <t>Fragmentum DK 22 B 51</t>
  </si>
  <si>
    <t>No es mejor para los hombres que se cumpla todo cuanto desean</t>
  </si>
  <si>
    <t>Non melius hominibus omnia quae cupiunt evenire</t>
  </si>
  <si>
    <t>ἀνθρώποις γίνεσθαι ὁκόσα θέλουσιν οὐκ ἄμεινον</t>
  </si>
  <si>
    <t>Fragmentum DK 22 B 7</t>
  </si>
  <si>
    <t>Fuego siemprevivo</t>
  </si>
  <si>
    <t>Ignis semper vivens</t>
  </si>
  <si>
    <t>πῦρ ἀείζωον</t>
  </si>
  <si>
    <t>Fragmentum DK 22 B 30</t>
  </si>
  <si>
    <t>El camino hacia arriba y hacia abajo es uno y el mismo</t>
  </si>
  <si>
    <t>Via sursum deorsum una eademque est</t>
  </si>
  <si>
    <t>ὁδὸς ἄνω κάτω μία καὶ ὡυτή</t>
  </si>
  <si>
    <t>Fragmentum DK 22 B 60</t>
  </si>
  <si>
    <t>Solo sé que no sé nada</t>
  </si>
  <si>
    <t>Scio me nihil scire</t>
  </si>
  <si>
    <t>ἓν οἶδα ὅτι οὐδὲν οἶδα</t>
  </si>
  <si>
    <t>Sócrates</t>
  </si>
  <si>
    <t>Plato, Apologia Socratis, 21d</t>
  </si>
  <si>
    <t>Nosce te ipsum</t>
  </si>
  <si>
    <t>γνῶθι σεαυτόν</t>
  </si>
  <si>
    <t>Inscriptio Templi Apollinis Delphis</t>
  </si>
  <si>
    <t>Una vida sin examen no merece ser vivida</t>
  </si>
  <si>
    <t>Vita inexaminata non est vivenda homini</t>
  </si>
  <si>
    <t>ὁ ἀνεξέταστος βίος οὐ βιωτὸς ἀνθρώπῳ</t>
  </si>
  <si>
    <t>Plato, Apologia Socratis, 38a</t>
  </si>
  <si>
    <t>Nadie yerra voluntariamente</t>
  </si>
  <si>
    <t>Nemo sponte peccat</t>
  </si>
  <si>
    <t>οὐδεὶς ἑκὼν ἁμαρτάνει</t>
  </si>
  <si>
    <t>Plato, Meno, 87a</t>
  </si>
  <si>
    <t>La virtud es conocimiento</t>
  </si>
  <si>
    <t>Virtus scientia est</t>
  </si>
  <si>
    <t>ἀρετὴ ἐπιστήμη</t>
  </si>
  <si>
    <t>Plato, Meno, 87e</t>
  </si>
  <si>
    <t>Mejor es sufrir injusticia que cometerla</t>
  </si>
  <si>
    <t>Melius est iniuriam pati quam facere</t>
  </si>
  <si>
    <t>κρεῖττον ἀδικεῖσθαι ἢ ἀδικεῖν</t>
  </si>
  <si>
    <t>Plato, Apologia Socratis, 29d</t>
  </si>
  <si>
    <t>Mors nihil ad nos</t>
  </si>
  <si>
    <t>θάνατος οὐδὲν πρὸς ἡμᾶς</t>
  </si>
  <si>
    <t>Plato, Apologia Socratis, 29a</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</si>
  <si>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</si>
  <si>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</si>
  <si>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</si>
  <si>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</si>
  <si>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</si>
  <si>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</si>
  <si>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</si>
  <si>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</si>
  <si>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</si>
  <si>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</si>
  <si>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</si>
  <si>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</si>
  <si>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</si>
  <si>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Fragmentum DK 68 A 10</t>
  </si>
  <si>
    <t>Nada sucede en vano, todo por razón y necesidad</t>
  </si>
  <si>
    <t>Nihil frustra fit, sed omnia ratione et necessitate</t>
  </si>
  <si>
    <t>οὐδὲν χρῆμα μάτην γίνεται, ἀλλὰ πάντα ἐκ λόγου τε καὶ ὑπ᾽ ἀνάγκης</t>
  </si>
  <si>
    <t>Fragmentum DK 68 B 1</t>
  </si>
  <si>
    <t>La alegría es el fin</t>
  </si>
  <si>
    <t>Laetitia finis est</t>
  </si>
  <si>
    <t>εὐθυμίη τέλος</t>
  </si>
  <si>
    <t>Fragmentum DK 68 B 8</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</si>
  <si>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</si>
  <si>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</si>
  <si>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</si>
  <si>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Fragmentum DK 68 B 44</t>
  </si>
  <si>
    <t>La palabra es sombra de la acción</t>
  </si>
  <si>
    <t>Verbum umbra operis est</t>
  </si>
  <si>
    <t>λόγος ἔργου σκιή</t>
  </si>
  <si>
    <t>Fragmentum DK 68 B 49</t>
  </si>
  <si>
    <t>La felicidad está en el alma</t>
  </si>
  <si>
    <t>Felicitas in anima est</t>
  </si>
  <si>
    <t>εὐδαιμονίη ψυχῆς</t>
  </si>
  <si>
    <t>Fragmentum DK 68 B 75</t>
  </si>
  <si>
    <t>Muchos eruditos carecen de inteligencia</t>
  </si>
  <si>
    <t>Multi eruditi intelligentia carent</t>
  </si>
  <si>
    <t>πολλοὶ πολυμαθέες νοῦν οὐκ ἔχουσιν</t>
  </si>
  <si>
    <t>Fragmentum DK 68 B 90</t>
  </si>
  <si>
    <t>Necesidad de la naturaleza</t>
  </si>
  <si>
    <t>Necessitas naturae</t>
  </si>
  <si>
    <t>ἀνάγκη φύσεως</t>
  </si>
  <si>
    <t>El hombre es un pequeño cosmos</t>
  </si>
  <si>
    <t>Homo parvus mundus est</t>
  </si>
  <si>
    <t>μικρὸς κόσμος ἄνθρωπος</t>
  </si>
  <si>
    <t>Fragmentum DK 68 B 120</t>
  </si>
  <si>
    <t>La filosofía es medicina del alma</t>
  </si>
  <si>
    <t>Philosophia medicina animae est</t>
  </si>
  <si>
    <t>ἰατρὸς ψυχῆς φιλοσοφία</t>
  </si>
  <si>
    <t>Fragmentum DK 68 B 39</t>
  </si>
  <si>
    <t>El hombre es la medida de todas las cosas</t>
  </si>
  <si>
    <t>Homo omnium rerum mensura est</t>
  </si>
  <si>
    <t>πάντων χρημάτων μέτρον ἐστὶν ἄνθρωπος</t>
  </si>
  <si>
    <t>Protágoras</t>
  </si>
  <si>
    <t>Fragmentum DK 80 B 1</t>
  </si>
  <si>
    <t>Sobre los dioses no puedo saber</t>
  </si>
  <si>
    <t>De diis non possum scire</t>
  </si>
  <si>
    <t>περὶ θεῶν οὐκ ἔχω εἰδέναι</t>
  </si>
  <si>
    <t>Fragmentum DK 80 B 3</t>
  </si>
  <si>
    <t>Dos razones hay sobre cada cosa</t>
  </si>
  <si>
    <t>Duo rationes de quaque re sunt</t>
  </si>
  <si>
    <t>δύο λόγοι εἰσὶ περὶ παντός</t>
  </si>
  <si>
    <t>Fragmentum DK 80 B 7</t>
  </si>
  <si>
    <t>La educación tiene raíz amarga, pero fruto dulce</t>
  </si>
  <si>
    <t>Educatio radicem amaram, fructum dulcem habet</t>
  </si>
  <si>
    <t>παιδεία ῥίζα πικρά, καρπὸς δὲ γλυκύς</t>
  </si>
  <si>
    <t>Fragmentum DK 80 B 2</t>
  </si>
  <si>
    <t>El arte sin naturaleza es nada</t>
  </si>
  <si>
    <t>Ars sine natura nihil est</t>
  </si>
  <si>
    <t>τέχνη δίχα φύσεως οὐδέν</t>
  </si>
  <si>
    <t>Fragmentum DK 80 B 4</t>
  </si>
  <si>
    <t>El que ejercita es superior al dotado por naturaleza</t>
  </si>
  <si>
    <t>Qui exercet praestantior naturaliter apto</t>
  </si>
  <si>
    <t>ὁ ἀσκῶν κρείττων τοῦ εὐφυοῦς</t>
  </si>
  <si>
    <t>Fragmentum DK 80 B 15</t>
  </si>
  <si>
    <t>La virtud es enseñable</t>
  </si>
  <si>
    <t>Virtus docibilis est</t>
  </si>
  <si>
    <t>ἀρετὴ διδακτόν</t>
  </si>
  <si>
    <t>Fragmentum DK 80 B 6</t>
  </si>
  <si>
    <t>La ley es tirana</t>
  </si>
  <si>
    <t>Lex tyrannus est</t>
  </si>
  <si>
    <t>νόμος τύραννος</t>
  </si>
  <si>
    <t>Fragmentum DK 80 B 8</t>
  </si>
  <si>
    <t>Al hombre, naturaleza humana</t>
  </si>
  <si>
    <t>Homini natura humana</t>
  </si>
  <si>
    <t>ἀνθρώπῳ ἀνθρωπίνη φύσις</t>
  </si>
  <si>
    <t>Fragmentum DK 80 B 5</t>
  </si>
  <si>
    <t>Sobre cada cosa hay razones opuestas</t>
  </si>
  <si>
    <t>De quaque re rationes oppositae sunt</t>
  </si>
  <si>
    <t>περὶ παντὸς ἀντικείμενοι λόγοι</t>
  </si>
  <si>
    <t>Fragmentum DK 80 B 11</t>
  </si>
  <si>
    <t>Humillémonos bajo la mano poderosa de Dios</t>
  </si>
  <si>
    <t>Humiliamur sub manu Dei omnipotentem</t>
  </si>
  <si>
    <t>Humiliamur sub manu Dei omnipotente</t>
  </si>
  <si>
    <t>San Clemente Romano</t>
  </si>
  <si>
    <t>Epistola ad Corinthios, I, 28</t>
  </si>
  <si>
    <t>Paz y concordia entre vosotros</t>
  </si>
  <si>
    <t>Pax et concordia inter vos</t>
  </si>
  <si>
    <t>Epistola ad Corinthios, I, 1</t>
  </si>
  <si>
    <t>La caridad no tiene división</t>
  </si>
  <si>
    <t>Caritas non habet schisma</t>
  </si>
  <si>
    <t>Epistola ad Corinthios, I, 6</t>
  </si>
  <si>
    <t>La fe y la humildad reciben la corona</t>
  </si>
  <si>
    <t>Fides et humilitas coronam accipiunt</t>
  </si>
  <si>
    <t>Epistola ad Corinthios, I, 10</t>
  </si>
  <si>
    <t>La obediencia a Dios es mejor que el sacrificio</t>
  </si>
  <si>
    <t>Oboedientia Deo melior est sacrificio</t>
  </si>
  <si>
    <t>Epistola ad Corinthios, I, 41</t>
  </si>
  <si>
    <t>Permaneced en la unidad del espíritu</t>
  </si>
  <si>
    <t>In unitate spiritus manete</t>
  </si>
  <si>
    <t>Dios mira a los humildes, conoce de lejos a los soberbios</t>
  </si>
  <si>
    <t>Deus humiles videt, superbos a longe cognoscit</t>
  </si>
  <si>
    <t>Epistola ad Corinthios, I, 4</t>
  </si>
  <si>
    <t>Sin fe es imposible agradar a Dios</t>
  </si>
  <si>
    <t>Sine fide impossibile est placere Deo</t>
  </si>
  <si>
    <t>La misericordia de Dios sobre todos</t>
  </si>
  <si>
    <t>Misericordia Dei super omnes</t>
  </si>
  <si>
    <t>Epistola ad Corinthios, I, 7</t>
  </si>
  <si>
    <t>El celo y la envidia trajeron la muerte</t>
  </si>
  <si>
    <t>Zelus et invidia mortem attulerunt</t>
  </si>
  <si>
    <t>Epistola ad Corinthios, I, 36</t>
  </si>
  <si>
    <t>Soy portador de Dios</t>
  </si>
  <si>
    <t>Theophorus sum</t>
  </si>
  <si>
    <t>San Ignacio de Antioquía</t>
  </si>
  <si>
    <t>Epistola ad Ephesios, 7,1</t>
  </si>
  <si>
    <t>Soy trigo de Cristo</t>
  </si>
  <si>
    <t>Frumentum Christi sum</t>
  </si>
  <si>
    <t>Epistola ad Ephesios, 18,2</t>
  </si>
  <si>
    <t>Donde está el obispo, allí está la Iglesia</t>
  </si>
  <si>
    <t>Ubi episcopus, ibi Ecclesia</t>
  </si>
  <si>
    <t>Epistola ad Smyrnaeos, 8,1</t>
  </si>
  <si>
    <t>La Eucaristía es la carne de nuestro Salvador</t>
  </si>
  <si>
    <t>Eucharistia caro Salvatoris nostri</t>
  </si>
  <si>
    <t>Epistola ad Smyrnaeos, 7,1</t>
  </si>
  <si>
    <t>El cristiano no vive para sí, sino para Cristo</t>
  </si>
  <si>
    <t>Christianus vivit, non sibi, sed Christo</t>
  </si>
  <si>
    <t>Epistola ad Ephesios, 20,2</t>
  </si>
  <si>
    <t>Dejadme ser pasto de las fieras</t>
  </si>
  <si>
    <t>Sinite me bestiarum esse cibum</t>
  </si>
  <si>
    <t>Epistola ad Smyrnaeos, 4,1</t>
  </si>
  <si>
    <t>Mi amor ha sido crucificado</t>
  </si>
  <si>
    <t>Meus amor crucifixus est</t>
  </si>
  <si>
    <t>Epistola ad Ephesios, 17,1</t>
  </si>
  <si>
    <t>Una fe, una esperanza, una caridad</t>
  </si>
  <si>
    <t>Una fides, una spes, una caritas</t>
  </si>
  <si>
    <t>Permaneced en la unidad de Dios</t>
  </si>
  <si>
    <t>In unitate Dei permanete</t>
  </si>
  <si>
    <t>Epistola ad Ephesios, 8,1</t>
  </si>
  <si>
    <t>Entonces seré verdaderamente discípulo</t>
  </si>
  <si>
    <t>Tunc vere discipulus ero</t>
  </si>
  <si>
    <t>Epistola ad Smyrnaeos, 9,1</t>
  </si>
  <si>
    <t>Ochenta y seis años sirvo al Señor</t>
  </si>
  <si>
    <t>Octoginta sex annos Domino servio</t>
  </si>
  <si>
    <t>San Policarpo de Esmirna</t>
  </si>
  <si>
    <t>Epistola ad Philippenses, 1,1</t>
  </si>
  <si>
    <t>Soy cristiano</t>
  </si>
  <si>
    <t>Christianus sum</t>
  </si>
  <si>
    <t>Martyrium Polycarpi, 1,1</t>
  </si>
  <si>
    <t>Quien no confiesa la cruz, es del diablo</t>
  </si>
  <si>
    <t>Qui non confitetur crucem, ex diabolo est</t>
  </si>
  <si>
    <t>Martyrium Polycarpi, 9,1</t>
  </si>
  <si>
    <t>Orad por los reyes y las autoridades</t>
  </si>
  <si>
    <t>Orate pro regibus et potestatibus</t>
  </si>
  <si>
    <t>Epistola ad Philippenses, 6,2</t>
  </si>
  <si>
    <t>La fe es madre de todos nosotros</t>
  </si>
  <si>
    <t>Fides mater omnium nostrum</t>
  </si>
  <si>
    <t>Epistola ad Philippenses, 7,1</t>
  </si>
  <si>
    <t>La misericordia y la paciencia vencen todo</t>
  </si>
  <si>
    <t>Misericordia et patientia vincunt omnia</t>
  </si>
  <si>
    <t>Epistola ad Philippenses, 9,1</t>
  </si>
  <si>
    <t>Permaneced en la verdad</t>
  </si>
  <si>
    <t>In veritate permanete</t>
  </si>
  <si>
    <t>Epistola ad Philippenses, 8,1</t>
  </si>
  <si>
    <t>La resurrección de Cristo es el fundamento de nuestra fe</t>
  </si>
  <si>
    <t>Resurrectio Christi fundamentum fidei nostrae</t>
  </si>
  <si>
    <t>Epistola ad Philippenses, 7,2</t>
  </si>
  <si>
    <t>Absteneos de la avaricia</t>
  </si>
  <si>
    <t>Abstinete ab avaritia</t>
  </si>
  <si>
    <t>Epistola ad Philippenses, 9,3</t>
  </si>
  <si>
    <t>El amor al prójimo es perfección</t>
  </si>
  <si>
    <t>Dilectio proximi perfectio est</t>
  </si>
  <si>
    <t>Epistola ad Philippenses, 6,3</t>
  </si>
  <si>
    <t>La gloria de Dios es el hombre que vive</t>
  </si>
  <si>
    <t>Gloria Dei vivens homo</t>
  </si>
  <si>
    <t>San Ireneo de Lyon</t>
  </si>
  <si>
    <t>Adversus Haereses, 4,20,7</t>
  </si>
  <si>
    <t>La vida del hombre es la visión de Dios</t>
  </si>
  <si>
    <t>Vita hominis visio Dei</t>
  </si>
  <si>
    <t>El Verbo de Dios se hizo carne</t>
  </si>
  <si>
    <t>Verbum Dei caro factum est</t>
  </si>
  <si>
    <t>Adversus Haereses, 3,18,1</t>
  </si>
  <si>
    <t>Donde está la Iglesia, allí está el Espíritu</t>
  </si>
  <si>
    <t>Ubi Ecclesia, ibi Spiritus</t>
  </si>
  <si>
    <t>Adversus Haereses, 3,3,2</t>
  </si>
  <si>
    <t>Recapitulación de todo en Cristo</t>
  </si>
  <si>
    <t>Recapitulatio omnium in Christo</t>
  </si>
  <si>
    <t>Adversus Haereses, 3,21,1</t>
  </si>
  <si>
    <t>La tradición apostólica es luz de verdad</t>
  </si>
  <si>
    <t>Traditio apostolica lumen veritatis</t>
  </si>
  <si>
    <t>Adversus Haereses, 3,4,1</t>
  </si>
  <si>
    <t>Cristo se hizo lo que nosotros somos</t>
  </si>
  <si>
    <t>Christus factus est quod sumus</t>
  </si>
  <si>
    <t>Una sola fe en todo el mundo</t>
  </si>
  <si>
    <t>Fides una in toto mundo</t>
  </si>
  <si>
    <t>Adversus Haereses, 1,10,2</t>
  </si>
  <si>
    <t>La herejía es división del alma</t>
  </si>
  <si>
    <t>Haeresis divisio animae</t>
  </si>
  <si>
    <t>Adversus Haereses, 2,29,4</t>
  </si>
  <si>
    <t>En la unidad de la Iglesia está la salvación</t>
  </si>
  <si>
    <t>In unitate Ecclesiae salus</t>
  </si>
  <si>
    <t>Adversus Haereses, 3,23,2</t>
  </si>
  <si>
    <t>Dios se hizo hombre para que nosotros fuéramos dioses</t>
  </si>
  <si>
    <t>Deus homo factus est ut nos dii fieremus</t>
  </si>
  <si>
    <t>San Atanasio</t>
  </si>
  <si>
    <t>De incarnatione Verbi, 54</t>
  </si>
  <si>
    <t>Atanasio contra el mundo</t>
  </si>
  <si>
    <t>Athanasius contra mundum</t>
  </si>
  <si>
    <t>Epistula ad Antiochenos, 1,1</t>
  </si>
  <si>
    <t>El Hijo de Dios es el Verbo del Padre</t>
  </si>
  <si>
    <t>Filius Dei Verbum Patris</t>
  </si>
  <si>
    <t>De Synodis, 3,2</t>
  </si>
  <si>
    <t>Consustancial con el Padre</t>
  </si>
  <si>
    <t>Consubstantialis Patri</t>
  </si>
  <si>
    <t>Symbolum Nicaenum, 325</t>
  </si>
  <si>
    <t>La encarnación es misterio de salvación</t>
  </si>
  <si>
    <t>Incarnatio mysterium salutis</t>
  </si>
  <si>
    <t>De incarnatione Verbi, 7</t>
  </si>
  <si>
    <t>La Escritura se entiende por el Espíritu</t>
  </si>
  <si>
    <t>Scriptura per Spiritum intelligitur</t>
  </si>
  <si>
    <t>Epistula ad Serapionem, 2,3</t>
  </si>
  <si>
    <t>La verdad de Dios es inmutable</t>
  </si>
  <si>
    <t>Veritas Dei immutabilis est</t>
  </si>
  <si>
    <t>De Synodis, 1,1</t>
  </si>
  <si>
    <t>La vida monástica es vida de ángeles</t>
  </si>
  <si>
    <t>Vita monastica angelorum vita</t>
  </si>
  <si>
    <t>Vita Antonii, 12</t>
  </si>
  <si>
    <t>La fe de Nicea es la fe católica</t>
  </si>
  <si>
    <t>Fides Nicaena fides catholica</t>
  </si>
  <si>
    <t>En la cruz está nuestra victoria</t>
  </si>
  <si>
    <t>In cruce victoria nostra</t>
  </si>
  <si>
    <t>De incarnatione Verbi, 58</t>
  </si>
  <si>
    <t>El Espíritu Santo es Dios</t>
  </si>
  <si>
    <t>Spiritus Sanctus Deus est</t>
  </si>
  <si>
    <t>San Basilio Magno</t>
  </si>
  <si>
    <t>De Spiritu Sancto, 1</t>
  </si>
  <si>
    <t>La vida monástica es la verdadera filosofía</t>
  </si>
  <si>
    <t>Monastica vita philosophia vera</t>
  </si>
  <si>
    <t>Regulae Fusius Dispositae, 1</t>
  </si>
  <si>
    <t>La caridad es vínculo de perfección</t>
  </si>
  <si>
    <t>Caritas vinculum perfectionis</t>
  </si>
  <si>
    <t>Epistulae, 188</t>
  </si>
  <si>
    <t>La pobreza evangélica es tesoro</t>
  </si>
  <si>
    <t>Paupertas evangelica thesaurus</t>
  </si>
  <si>
    <t>Regulae Fusius Dispositae, 3</t>
  </si>
  <si>
    <t>La oración es ascenso de la mente a Dios</t>
  </si>
  <si>
    <t>Oratio ascensus mentis ad Deum</t>
  </si>
  <si>
    <t>De Spiritu Sancto, 2</t>
  </si>
  <si>
    <t>La humildad es fundamento de la virtud</t>
  </si>
  <si>
    <t>Humilitas fundamentum virtutis</t>
  </si>
  <si>
    <t>Regulae Fusius Dispositae, 5</t>
  </si>
  <si>
    <t>La Escritura es camino al conocimiento de Dios</t>
  </si>
  <si>
    <t>Scriptura via ad cognitionem Dei</t>
  </si>
  <si>
    <t>De Spiritu Sancto, 3</t>
  </si>
  <si>
    <t>Trinidad una naturaleza, tres personas</t>
  </si>
  <si>
    <t>Trinitas una natura, tres personae</t>
  </si>
  <si>
    <t>De Spiritu Sancto, 6</t>
  </si>
  <si>
    <t>Las buenas obras son fruto de la fe</t>
  </si>
  <si>
    <t>Bona opera fructus fidei</t>
  </si>
  <si>
    <t>De Spiritu Sancto, 4</t>
  </si>
  <si>
    <t>La vida contemplativa es el sumo bien</t>
  </si>
  <si>
    <t>Vita contemplativa summum bonum</t>
  </si>
  <si>
    <t>Regulae Fusius Dispositae, 10</t>
  </si>
  <si>
    <t>Teólogo es el que ora</t>
  </si>
  <si>
    <t>Theologus est qui orat</t>
  </si>
  <si>
    <t>Θεολόγος ὁ προσευχόμενος</t>
  </si>
  <si>
    <t>San Gregorio Nacianceno</t>
  </si>
  <si>
    <t>Orationes, 1,1</t>
  </si>
  <si>
    <t>La Trinidad es una luz</t>
  </si>
  <si>
    <t>Trinitas lumen unum</t>
  </si>
  <si>
    <t>Orationes, 2,4</t>
  </si>
  <si>
    <t>El silencio es alabanza de Dios</t>
  </si>
  <si>
    <t>Silentium Dei laus est</t>
  </si>
  <si>
    <t>Orationes, 3,5</t>
  </si>
  <si>
    <t>Cristo es pan vivo del cielo</t>
  </si>
  <si>
    <t>Christus panis vivus de caelo</t>
  </si>
  <si>
    <t>Orationes, 4,6</t>
  </si>
  <si>
    <t>El Espíritu Santo es Dios perfecto</t>
  </si>
  <si>
    <t>Spiritus Sanctus Deus perfectus</t>
  </si>
  <si>
    <t>Orationes, 5,2</t>
  </si>
  <si>
    <t>El bautismo es iluminación del alma</t>
  </si>
  <si>
    <t>Baptismus illuminatio animae</t>
  </si>
  <si>
    <t>Orationes, 6,3</t>
  </si>
  <si>
    <t>El Verbo es elocuencia divina</t>
  </si>
  <si>
    <t>Verbum eloquentia divina</t>
  </si>
  <si>
    <t>Orationes, 7,1</t>
  </si>
  <si>
    <t>La pureza del corazón es visión de Dios</t>
  </si>
  <si>
    <t>Puritas cordis visio Dei</t>
  </si>
  <si>
    <t>Orationes, 8,4</t>
  </si>
  <si>
    <t>La filosofía es meditación de la muerte</t>
  </si>
  <si>
    <t>Philosophia meditatio mortis</t>
  </si>
  <si>
    <t>Orationes, 9,2</t>
  </si>
  <si>
    <t>La amistad es imagen de la Trinidad</t>
  </si>
  <si>
    <t>Amicitia imago Trinitatis</t>
  </si>
  <si>
    <t>Orationes, 10,3</t>
  </si>
  <si>
    <t>El hombre es imagen de Dios</t>
  </si>
  <si>
    <t>Homo imago Dei</t>
  </si>
  <si>
    <t>San Gregorio de Nisa</t>
  </si>
  <si>
    <t>De hominis opificio, 1</t>
  </si>
  <si>
    <t>Progreso perpetuo hacia Dios</t>
  </si>
  <si>
    <t>Perpetua progressio ad Deum</t>
  </si>
  <si>
    <t>De hominis opificio, 2</t>
  </si>
  <si>
    <t>El alma siempre asciende</t>
  </si>
  <si>
    <t>Anima semper ascendit</t>
  </si>
  <si>
    <t>De anima, 1</t>
  </si>
  <si>
    <t>La virginidad es vida angélica</t>
  </si>
  <si>
    <t>Virginitas vita angelica</t>
  </si>
  <si>
    <t>De virginitate, 1</t>
  </si>
  <si>
    <t>Contemplación de la belleza divina</t>
  </si>
  <si>
    <t>Contemplatio divinae pulchritudinis</t>
  </si>
  <si>
    <t>De vita contemplativa, 3</t>
  </si>
  <si>
    <t>Dios es incomprensible</t>
  </si>
  <si>
    <t>Deus incomprehensibilis</t>
  </si>
  <si>
    <t>Orationes catecheticae, 2</t>
  </si>
  <si>
    <t>La libertad es perfección de la naturaleza</t>
  </si>
  <si>
    <t>Libertas perfectio naturae</t>
  </si>
  <si>
    <t>De hominis opificio, 4</t>
  </si>
  <si>
    <t>La resurrección es restauración de la imagen</t>
  </si>
  <si>
    <t>Resurrectio restauratio imaginis</t>
  </si>
  <si>
    <t>De resurrectione, 1</t>
  </si>
  <si>
    <t>Ascenso místico hacia la luz</t>
  </si>
  <si>
    <t>Mysticus ascensus ad lucem</t>
  </si>
  <si>
    <t>De anima, 3</t>
  </si>
  <si>
    <t>El amor es deseo infinito</t>
  </si>
  <si>
    <t>Amor desiderium infinitum</t>
  </si>
  <si>
    <t>De vita contemplativa, 5</t>
  </si>
  <si>
    <t>El emperador está dentro de la Iglesia, no sobre ella</t>
  </si>
  <si>
    <t>Imperator intra Ecclesiam, non supra Ecclesiam est</t>
  </si>
  <si>
    <t>San Ambrosio</t>
  </si>
  <si>
    <t>De officiis ministrorum, 1</t>
  </si>
  <si>
    <t>Donde hay fe, hay libertad</t>
  </si>
  <si>
    <t>Ubi fides, ibi libertas</t>
  </si>
  <si>
    <t>De fide, 1</t>
  </si>
  <si>
    <t>El salmo es bendición del pueblo</t>
  </si>
  <si>
    <t>Psalmus benedictio populi</t>
  </si>
  <si>
    <t>Expositio psalmorum, 1</t>
  </si>
  <si>
    <t>La Eucaristía es pan de ángeles</t>
  </si>
  <si>
    <t>Eucharistia panis angelorum</t>
  </si>
  <si>
    <t>De sacramentis, 1</t>
  </si>
  <si>
    <t>No agradó a Dios salvar a su pueblo por la dialéctica</t>
  </si>
  <si>
    <t>Non in dialectica complacuit Deo salvum facere populum suum</t>
  </si>
  <si>
    <t>De officiis ministrorum, 2</t>
  </si>
  <si>
    <t>La penitencia es segunda tabla tras el naufragio</t>
  </si>
  <si>
    <t>Poenitentia secunda tabula post naufragium</t>
  </si>
  <si>
    <t>De poenitentia, 1</t>
  </si>
  <si>
    <t>La justicia hacia Dios se llama piedad</t>
  </si>
  <si>
    <t>Iustitia erga Deum pietas dicitur</t>
  </si>
  <si>
    <t>De officiis ministrorum, 3</t>
  </si>
  <si>
    <t>El himno es cántico espiritual</t>
  </si>
  <si>
    <t>Hymnus canticorum spiritualium</t>
  </si>
  <si>
    <t>De hymnis, 1</t>
  </si>
  <si>
    <t>Cristo resucitó, nuestra esperanza</t>
  </si>
  <si>
    <t>Christus resurrexit, spes nostra</t>
  </si>
  <si>
    <t>La fe busca, el intelecto encuentra</t>
  </si>
  <si>
    <t>Fides quaerit, intellectus invenit</t>
  </si>
  <si>
    <t>De fide, 2</t>
  </si>
  <si>
    <t>Ignorar las Escrituras es ignorar a Cristo</t>
  </si>
  <si>
    <t>Ignoratio Scripturarum ignoratio Christi est</t>
  </si>
  <si>
    <t>San Jerónimo</t>
  </si>
  <si>
    <t>Epistulae, 22</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</si>
  <si>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</si>
  <si>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</si>
  <si>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</si>
  <si>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</si>
  <si>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</si>
  <si>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</si>
  <si>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</si>
  <si>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</si>
  <si>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</si>
  <si>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</si>
  <si>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</si>
  <si>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</si>
  <si>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</si>
  <si>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</si>
  <si>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</si>
  <si>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</si>
  <si>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</si>
  <si>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</si>
  <si>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</si>
  <si>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</si>
  <si>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</si>
  <si>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Sermones, 1</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</si>
  <si>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</si>
  <si>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</si>
  <si>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</si>
  <si>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</si>
  <si>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</si>
  <si>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</si>
  <si>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</si>
  <si>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</si>
  <si>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</si>
  <si>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</si>
  <si>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</si>
  <si>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</si>
  <si>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</si>
  <si>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</si>
  <si>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</si>
  <si>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</si>
  <si>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</si>
  <si>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</si>
  <si>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</si>
  <si>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</si>
  <si>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</si>
  <si>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De unitate Ecclesiae, c. 6</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</si>
  <si>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</si>
  <si>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</si>
  <si>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</si>
  <si>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</si>
  <si>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</si>
  <si>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</si>
  <si>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Epistula ad Donatum, 5</t>
  </si>
  <si>
    <t>La oración es ascenso a Dios</t>
  </si>
  <si>
    <t>Oratio ascensus ad Deum</t>
  </si>
  <si>
    <t>De Oratione, 2</t>
  </si>
  <si>
    <t>La paciencia es la máxima virtud cristiana</t>
  </si>
  <si>
    <t>Patientia Christiana virtus maxima</t>
  </si>
  <si>
    <t>De exhortatione martyrum, 1</t>
  </si>
  <si>
    <t>La caridad es vínculo de fraternidad</t>
  </si>
  <si>
    <t>Caritas vinculum fraternitatis</t>
  </si>
  <si>
    <t>Epistulae, 56</t>
  </si>
  <si>
    <t>Un Dios, una fe, un bautismo</t>
  </si>
  <si>
    <t>Unus Deus, una fides, unum baptisma</t>
  </si>
  <si>
    <t>El obispo en la Iglesia Patientispo</t>
  </si>
  <si>
    <t>Episcopus in Ecclesia, Ecclesia in episcopo</t>
  </si>
  <si>
    <t>La limosna es satisfacción por el pecado</t>
  </si>
  <si>
    <t>Eleemosyna satisfactio peccati</t>
  </si>
  <si>
    <t>De opere et eleemosyna, 2</t>
  </si>
  <si>
    <t>La fe que busca entender</t>
  </si>
  <si>
    <t>Fides quaerens intellectum</t>
  </si>
  <si>
    <t>San Anselmo de Canterbury</t>
  </si>
  <si>
    <t>Proslogion, Prologus</t>
  </si>
  <si>
    <t>Creo para entender</t>
  </si>
  <si>
    <t>Credo ut intelligam</t>
  </si>
  <si>
    <t>Dios es aquello mayor que lo cual nada puede pensarse</t>
  </si>
  <si>
    <t>Deus est id quo maius cogitari nequit</t>
  </si>
  <si>
    <t>Proslogion, Cap. 2</t>
  </si>
  <si>
    <t>La razón necesaria demuestra que Dios existe</t>
  </si>
  <si>
    <t>Ratio necessaria demonstrat Deum esse</t>
  </si>
  <si>
    <t>Proslogion, Cap. 2-3</t>
  </si>
  <si>
    <t>¿Por qué Dios se hizo hombre?</t>
  </si>
  <si>
    <t>Cur Deus homo</t>
  </si>
  <si>
    <t>Cur Deus Homo, Prologus</t>
  </si>
  <si>
    <t>La satisfacción por el pecado es necesaria</t>
  </si>
  <si>
    <t>Satisfactio pro peccato necessaria</t>
  </si>
  <si>
    <t>Cur Deus Homo, Cap. 1</t>
  </si>
  <si>
    <t>La libertad del albedrío es poder de conservar la rectitud</t>
  </si>
  <si>
    <t>Libertas arbitrii potentia servandi rectitudinem</t>
  </si>
  <si>
    <t>Cur Deus Homo, Cap. 1-2</t>
  </si>
  <si>
    <t>La verdad es rectitud perceptible solo por la mente</t>
  </si>
  <si>
    <t>Veritas est rectitudo sola mente perceptibilis</t>
  </si>
  <si>
    <t>Monologion, Cap. 4</t>
  </si>
  <si>
    <t>El Monologio y el Proslogio son fundamentos de teología</t>
  </si>
  <si>
    <t>Monologion et Proslogion fundamenta theologiae</t>
  </si>
  <si>
    <t>Commentarius generalis de opere suo</t>
  </si>
  <si>
    <t>El deseo de ver a Dios es el sumo bien</t>
  </si>
  <si>
    <t>Desiderium videndi Deum summum bonum</t>
  </si>
  <si>
    <t>Proslogion, Cap. 23</t>
  </si>
  <si>
    <t>No se deben multiplicar los entes sin necesidad</t>
  </si>
  <si>
    <t>Pluralitas non est ponenda sine necessitate</t>
  </si>
  <si>
    <t>Guillermo de Ockham</t>
  </si>
  <si>
    <t>Summa Logicae</t>
  </si>
  <si>
    <t>En vano se hace con más lo que puede hacerse con menos</t>
  </si>
  <si>
    <t>Frustra fit per plura quod potest fieri per pauciora</t>
  </si>
  <si>
    <t>Lo universal no es cosa</t>
  </si>
  <si>
    <t>Universale non est res</t>
  </si>
  <si>
    <t>Los nombres son signos de cosas singulares</t>
  </si>
  <si>
    <t>Nomina sunt signa rerum singularium</t>
  </si>
  <si>
    <t>La fe y la razón son distintas</t>
  </si>
  <si>
    <t>Fides et ratio distinctae sunt</t>
  </si>
  <si>
    <t>Summa Theologiae</t>
  </si>
  <si>
    <t>La teología no es ciencia</t>
  </si>
  <si>
    <t>Theologia non est scientia</t>
  </si>
  <si>
    <t>La potencia absoluta de Dios</t>
  </si>
  <si>
    <t>Potentia Dei absoluta</t>
  </si>
  <si>
    <t>La voluntad divina es ley suprema</t>
  </si>
  <si>
    <t>Voluntas divina suprema lex</t>
  </si>
  <si>
    <t>La intuición de lo singular es principio del conocimiento</t>
  </si>
  <si>
    <t>Intuitus singularis principium cognitionis</t>
  </si>
  <si>
    <t>La libertad de la voluntad es fundamento de la moralidad</t>
  </si>
  <si>
    <t>Libertas voluntatis fundamentum moralitatis</t>
  </si>
  <si>
    <t>Si ves la caridad, ves la Trinidad</t>
  </si>
  <si>
    <t>Si vides caritatem, vides Trinitatem</t>
  </si>
  <si>
    <t>De Trinitate, VIII, 8, 12</t>
  </si>
  <si>
    <t>El Padre es Dios, el Hijo es Dios, el Espíritu Santo es Dios; y, sin embargo, no son tres dioses, sino un solo Dios</t>
  </si>
  <si>
    <t>Pater est Deus, Filius est Deus, Spiritus Sanctus est Deus; et tamen non tres dii, sed unus Deus</t>
  </si>
  <si>
    <t>De Trinitate, I, 4, 7</t>
  </si>
  <si>
    <t>La fe católica es esta: que adoremos a un solo Dios en la Trinidad, y a la Trinidad en la unidad</t>
  </si>
  <si>
    <t>Fides catholica haec est: ut unum Deum in Trinitate, et Trinitatem in unitate veneremur</t>
  </si>
  <si>
    <t>Symbolum Athanasianum</t>
  </si>
  <si>
    <t>Las personas divinas se distinguen por sus relaciones, no por su esencia</t>
  </si>
  <si>
    <t>Personae divinae distinguuntur relationibus, non essentia</t>
  </si>
  <si>
    <t>Summa Theologiae, I, q. 29, a. 4</t>
  </si>
  <si>
    <t>Cuando pienso en el Uno, soy iluminado por el esplendor de los Tres; cuando distingo a los Tres, soy llevado de nuevo al Uno</t>
  </si>
  <si>
    <t>Cum de Uno cogito, splendore Trium illuminor; cum Tres distinguo, ad Unum reducor</t>
  </si>
  <si>
    <t>Orationes, XL, 41</t>
  </si>
  <si>
    <t>La esperanza es lo último que se pierde</t>
  </si>
  <si>
    <t>Spes ultima est quae amittitur</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</si>
  <si>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</si>
  <si>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</si>
  <si>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</si>
  <si>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</si>
  <si>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</si>
  <si>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</si>
  <si>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</si>
  <si>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</si>
  <si>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L'Homme révolté (1951)</t>
  </si>
  <si>
    <t>No debemos esperar grandes cosas, sino hacer pequeñas cosas con gran amor</t>
  </si>
  <si>
    <t>Parva magna cum magno amore agere debemus</t>
  </si>
  <si>
    <t>Nuk duhet të presim gjëra të mëdha, por të bëjmë gjëra të vogla me dashuri të madhe</t>
  </si>
  <si>
    <t>Santa Teresa de Calcuta</t>
  </si>
  <si>
    <t>Verba sua (dicta notoria)</t>
  </si>
  <si>
    <t>Comienza haciendo lo que es necesario, luego lo que es posible, y de repente estarás haciendo lo imposible</t>
  </si>
  <si>
    <t>Fac hoc quod necessarium est, deinde quod possibile, et subito facies impossibile</t>
  </si>
  <si>
    <t>Comincia facendo ciò che è necessario, poi ciò che è possibile, e all'improvviso farai l'impossibile</t>
  </si>
  <si>
    <t>San Francisco de Asís</t>
  </si>
  <si>
    <t>Dicta traditionalia</t>
  </si>
  <si>
    <t>Todo conocimiento deriva de la experiencia</t>
  </si>
  <si>
    <t>Omnis nostra scientia principium habet ab experientia</t>
  </si>
  <si>
    <t>Ogni nostra conoscenza ha principio dall'esperienza</t>
  </si>
  <si>
    <t>Leonardo da Vinci</t>
  </si>
  <si>
    <t>Codex Atlanticus, f. 1r-2r</t>
  </si>
  <si>
    <t>El que no sabe pintar, no sabe observar la naturaleza</t>
  </si>
  <si>
    <t>Qui nescit pingere, nescit naturam observare</t>
  </si>
  <si>
    <t>Chi non sa dipingere, non sa osservare la natura</t>
  </si>
  <si>
    <t>Trattato della pittura, f. 34r</t>
  </si>
  <si>
    <t>El agua es la fuerza motriz de la naturaleza</t>
  </si>
  <si>
    <t>Aqua est vis motrix naturae</t>
  </si>
  <si>
    <t>L'acqua è la forza motrice della natura</t>
  </si>
  <si>
    <t>Codex Leicester, f. 1v-3r</t>
  </si>
  <si>
    <t>El ojo ve la verdad, la mano la reproduce</t>
  </si>
  <si>
    <t>Oculus videt veritatem, manus eam reproducit</t>
  </si>
  <si>
    <t>L'occhio vede la verità, la mano la riproduce</t>
  </si>
  <si>
    <t>Trattato della pittura, f. 14r</t>
  </si>
  <si>
    <t>La pintura es cosa del intelecto</t>
  </si>
  <si>
    <t>Pictura est res mentalis</t>
  </si>
  <si>
    <t>La pittura è cosa mentale</t>
  </si>
  <si>
    <t>Trattato della pittura, f. 3r</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</si>
  <si>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</si>
  <si>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</si>
  <si>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</si>
  <si>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</si>
  <si>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</si>
  <si>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</si>
  <si>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</si>
  <si>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</si>
  <si>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</si>
  <si>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</si>
  <si>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</si>
  <si>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</si>
  <si>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</si>
  <si>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</si>
  <si>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</si>
  <si>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</si>
  <si>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</si>
  <si>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</si>
  <si>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</si>
  <si>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</si>
  <si>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</si>
  <si>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</si>
  <si>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</si>
  <si>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</si>
  <si>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</si>
  <si>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A la tarde seréis examinados en el amor</t>
  </si>
  <si>
    <t>San Juan de la Cruz</t>
  </si>
  <si>
    <t>Carta 3 y Noche oscura del alma</t>
  </si>
  <si>
    <t>Donde no hay amor, pon amor y sacarás amor</t>
  </si>
  <si>
    <t>Ubi non est amor pone amorem et extrahe amorem</t>
  </si>
  <si>
    <t>Donde no hay amor, pon amor, y hallarás amor</t>
  </si>
  <si>
    <t>Obras completas, comentario sobre la caridad y el amor divino</t>
  </si>
  <si>
    <t>El alma que anda en amor ni cansa ni se cansa</t>
  </si>
  <si>
    <t>Anima quae in amore ambulat nec fatigat nec fatigatur</t>
  </si>
  <si>
    <t>El alma que anda en amor, ni cansa ni se cansa</t>
  </si>
  <si>
    <t>Cántico espiritual, estrofa XI, sobre el impulso del amor divino</t>
  </si>
  <si>
    <t>Buscad leyendo y hallaréis meditando</t>
  </si>
  <si>
    <t>Quaerite legendo et invenietis meditando</t>
  </si>
  <si>
    <t>Subida del Monte Carmelo, capítulo sobre la contemplación y la meditación</t>
  </si>
  <si>
    <t>Quien supiere morir a todo tendrá vida en todo</t>
  </si>
  <si>
    <t>Qui sciverit mori ad omnia habebit vitam in omnibus</t>
  </si>
  <si>
    <t>Quien supiere morir a todo, tendrá vida en todo</t>
  </si>
  <si>
    <t>Noche oscura del alma, estrofa sobre el desapego y unión con Dios</t>
  </si>
  <si>
    <t>Nada te turbe, nada te espante, todo se pasa, Dios no se muda</t>
  </si>
  <si>
    <t>Nihil te perturbet, nihil te terreat, omnia transeunt, Deus non mutatur</t>
  </si>
  <si>
    <t>Santa Teresa de Jesús</t>
  </si>
  <si>
    <t>Poema Nada te turbe</t>
  </si>
  <si>
    <t>La paciencia todo lo alcanza</t>
  </si>
  <si>
    <t>Patientia omnia consequitur</t>
  </si>
  <si>
    <t>Camino de perfección</t>
  </si>
  <si>
    <t>Solo Dios basta</t>
  </si>
  <si>
    <t>Solus Deus sufficit</t>
  </si>
  <si>
    <t>Libro de la vida</t>
  </si>
  <si>
    <t>Vivo sin vivir en mí y tan alta vida espero que muero porque no muero</t>
  </si>
  <si>
    <t>Vivo sine vivere in me et vitam tam altam spero ut moriar quia non morior</t>
  </si>
  <si>
    <t>Vivo sin vivir en mí, y tan alta vida espero, que muero porque no muero</t>
  </si>
  <si>
    <t>Poema Vivo sin vivir en mí</t>
  </si>
  <si>
    <t>La vida es una noche en una mala posada</t>
  </si>
  <si>
    <t>Vita est nox in deversorio malo</t>
  </si>
  <si>
    <t>Si en medio de las adversidades persevera el corazón con serenidad, con gozo y con paz, esto es amor</t>
  </si>
  <si>
    <t>Si in medio adversitatum perseverat cor cum serenitate, gaudio et pace, hoc est amor</t>
  </si>
  <si>
    <t>Alegría, estudio y piedad</t>
  </si>
  <si>
    <t>Laetitia, studium et pietas</t>
  </si>
  <si>
    <t>Gioia, studio e pietà</t>
  </si>
  <si>
    <t>San Juan Bosco</t>
  </si>
  <si>
    <t>Regole dell'Oratorio</t>
  </si>
  <si>
    <t>Si quieres una vida alegre y tranquila, procura estar siempre en gracia de Dios</t>
  </si>
  <si>
    <t>Si vis vitam laetam et tranquillam, cura ut semper in gratia Dei sis</t>
  </si>
  <si>
    <t>Se vuoi una vita allegra e tranquilla, cerca di essere sempre in grazia di Dio</t>
  </si>
  <si>
    <t>Scritti e lettere ai giovani</t>
  </si>
  <si>
    <t>Ser bueno no consiste en no cometer ninguna falta, sino en saber enmendarse</t>
  </si>
  <si>
    <t>Bonus esse non consistit in nullam culpam committere sed in scire emendare</t>
  </si>
  <si>
    <t>Essere buono non consiste nel non commettere mai errori, ma nel saperli correggere</t>
  </si>
  <si>
    <t>Letture spirituali per giovani</t>
  </si>
  <si>
    <t>Estando siempre alegres, ni cuenta nos daremos de lo pronto que pasa el tiempo</t>
  </si>
  <si>
    <t>Semper laeti nullum computum temporis transituri faciemus</t>
  </si>
  <si>
    <t>Stando sempre allegri, non ci accorgiamo di quanto presto passa il tempo</t>
  </si>
  <si>
    <t>Scritti ai giovani</t>
  </si>
  <si>
    <t>Dios favorece al hombre alegre</t>
  </si>
  <si>
    <t>Deus hominem laetum favet</t>
  </si>
  <si>
    <t>Dio favorisce l'uomo allegro</t>
  </si>
  <si>
    <t>Letture per giovani</t>
  </si>
  <si>
    <t>La base de la vida feliz de un joven es la comunión</t>
  </si>
  <si>
    <t>Basis vitae felicis iuvenis est communio</t>
  </si>
  <si>
    <t>La base della vita felice di un giovane è la comunione</t>
  </si>
  <si>
    <t>Dios es amor</t>
  </si>
  <si>
    <t>Deus caritas est</t>
  </si>
  <si>
    <t>Benedicto XVI</t>
  </si>
  <si>
    <t>Deus Caritas Est, n. 1</t>
  </si>
  <si>
    <t>La razón no se salvará sin la fe, pero la fe sin la razón no será humana</t>
  </si>
  <si>
    <t>Ratio sine fide non salvabitur; sed fides sine ratione non erit humana</t>
  </si>
  <si>
    <t>Oratio ad Universitatem Ratisbonensem, 12 septembris 2006</t>
  </si>
  <si>
    <t>Solo la verdad hace libres</t>
  </si>
  <si>
    <t>Sola veritas facit liberos</t>
  </si>
  <si>
    <t>Caritas in Veritate, n. 1</t>
  </si>
  <si>
    <t>La locura de la cruz es convertir el sufrimiento en grito de amor a Dios</t>
  </si>
  <si>
    <t>Insania crucis est dolorem convertere in clamorem amoris Dei</t>
  </si>
  <si>
    <t>Homilia in Hebdomada Sancta, 2006</t>
  </si>
  <si>
    <t>Mi verdadero programa de gobierno es no hacer mi voluntad, sino ponerme junto con toda la Iglesia</t>
  </si>
  <si>
    <t>Verum meum programma gubernationis est non voluntatem meam facere sed me cum tota Ecclesia ponere</t>
  </si>
  <si>
    <t>Oratio ad Corpus Diplomaticum, 24 aprilis 2005</t>
  </si>
  <si>
    <t>La verdad sin amor es dura; el amor sin verdad es arbitrario</t>
  </si>
  <si>
    <t>Veritas sine amore dura est; amor sine veritate arbitrarius est</t>
  </si>
  <si>
    <t>Discurso ad iuvenes, 2005</t>
  </si>
  <si>
    <t>Después de mi muerte haré caer una lluvia de rosas</t>
  </si>
  <si>
    <t>Post mortem meam pluviam rosarum faciam cadere</t>
  </si>
  <si>
    <t>Après ma mort, je ferai tomber une pluie de roses</t>
  </si>
  <si>
    <t>Santa Teresita de Lisieux</t>
  </si>
  <si>
    <t>Manuscripta Histoire d'une âme, cap. XXX</t>
  </si>
  <si>
    <t>Voy a pasar mi cielo haciendo el bien en la tierra</t>
  </si>
  <si>
    <t>Caelum meum transigam bonum in terra faciens</t>
  </si>
  <si>
    <t>Je passerai mon ciel à faire du bien sur la terre</t>
  </si>
  <si>
    <t>Manuscripta Histoire d'une âme, cap. XXXI</t>
  </si>
  <si>
    <t>Yo no muero, entro en la vida</t>
  </si>
  <si>
    <t>Non morior, in vitam introeo</t>
  </si>
  <si>
    <t>Je ne meurs pas, j'entre dans la vie</t>
  </si>
  <si>
    <t>Manuscripta Histoire d'une âme, cap. XXXII</t>
  </si>
  <si>
    <t>Mi camino es la confianza y el amor</t>
  </si>
  <si>
    <t>Via mea est fiducia et amor</t>
  </si>
  <si>
    <t>Ma voie est la confiance et l'amour</t>
  </si>
  <si>
    <t>Manuscripta Histoire d'une âme, cap. XXVIII</t>
  </si>
  <si>
    <t>La verdadera santidad es humillarse y soportar las propias imperfecciones</t>
  </si>
  <si>
    <t>Vera sanctitas est se humiliare et imperfectiones proprias tolerare</t>
  </si>
  <si>
    <t>La vraie sainteté est de s'humilier et supporter ses imperfections</t>
  </si>
  <si>
    <t>Manuscripta Histoire d'une âme, cap. XXIX</t>
  </si>
  <si>
    <t>Jesús, mi alegría es amarte</t>
  </si>
  <si>
    <t>Iesu, gaudium meum est te amare</t>
  </si>
  <si>
    <t>Jésus, ma joie est de t'aimer</t>
  </si>
  <si>
    <t>Manuscripta Histoire d'une âme, cap. XXVII</t>
  </si>
  <si>
    <t>Ayúdame a hacerlo por mí mismo</t>
  </si>
  <si>
    <t>Adiuva me ut id per me ipsum faciam</t>
  </si>
  <si>
    <t>Aiutami a farlo da solo</t>
  </si>
  <si>
    <t>María Montessori</t>
  </si>
  <si>
    <t>Il Metodo della Pedagogia Scientifica, cap. III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</si>
  <si>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</si>
  <si>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</si>
  <si>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</si>
  <si>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Il Metodo della Pedagogia Scientifica, cap. V</t>
  </si>
  <si>
    <t>Cualquier ayuda innecesaria es un obstáculo para el desarrollo</t>
  </si>
  <si>
    <t>Quodlibet auxilium non necessarium impedimentum progressui est</t>
  </si>
  <si>
    <t>Qualsiasi aiuto inutile è un ostacolo allo sviluppo</t>
  </si>
  <si>
    <t>Il Metodo della Pedagogia Scientifica, cap. VI</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</si>
  <si>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</si>
  <si>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</si>
  <si>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</si>
  <si>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Il Metodo della Pedagogia Scientifica, cap. VII</t>
  </si>
  <si>
    <t>Hemos de ser educados si queremos educar</t>
  </si>
  <si>
    <t>Educati esse debemus si volumus educare</t>
  </si>
  <si>
    <t>Dobbiamo essere educati se vogliamo educare</t>
  </si>
  <si>
    <t>Il Metodo della Pedagogia Scientifica, cap. VIII</t>
  </si>
  <si>
    <t>La primera tarea es agitar la vida pero dejarla libre para que se desarrolle</t>
  </si>
  <si>
    <t>Primum munus est vitam agitare sed eam liberam relinquere ut se evolvat</t>
  </si>
  <si>
    <t>Il primo compito è agitare la vita ma lasciarla libera di svilupparsi</t>
  </si>
  <si>
    <t>Il Metodo della Pedagogia Scientifica, cap. IX</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</si>
  <si>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</si>
  <si>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</si>
  <si>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</si>
  <si>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</si>
  <si>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Pedagogia do Oprimido, cap. II</t>
  </si>
  <si>
    <t>La educación no cambia el mundo, cambia a las personas que van a cambiar el mundo</t>
  </si>
  <si>
    <t>Educatio mundum non mutat, mutat personas quae mundum mutaturi sunt</t>
  </si>
  <si>
    <t>A educação não muda o mundo, muda as pessoas que vão mudar o mundo</t>
  </si>
  <si>
    <t>Pedagogia do Oprimido, cap. III</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</si>
  <si>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</si>
  <si>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</si>
  <si>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</si>
  <si>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Pedagogia do Oprimido, cap. IV</t>
  </si>
  <si>
    <t>No hay docencia sin discencia</t>
  </si>
  <si>
    <t>Non est docentia sine discentia</t>
  </si>
  <si>
    <t>Não há docência sem discência</t>
  </si>
  <si>
    <t>Pedagogia do Oprimido, cap. V</t>
  </si>
  <si>
    <t>La educación es un acto de amor, por tanto un acto de valor</t>
  </si>
  <si>
    <t>Educatio est actus amoris, ergo actus fortitudinis</t>
  </si>
  <si>
    <t>A educação é um ato de amor, portanto um ato de coragem</t>
  </si>
  <si>
    <t>Pedagogia do Oprimido, cap. VI</t>
  </si>
  <si>
    <t>Lucho por una educación que nos enseñe a pensar y no por una educación que nos enseñe a obedecer</t>
  </si>
  <si>
    <t>Pugno pro educatione quae nos docet cogitare, non pro educatione quae nos docet obedire</t>
  </si>
  <si>
    <t>Luto por uma educação que nos ensine a pensar e não por uma educação que nos ensine a obedecer</t>
  </si>
  <si>
    <t>Pedagogia do Oprimido, cap. VII</t>
  </si>
  <si>
    <t>Piedad y Letras</t>
  </si>
  <si>
    <t>Pietas et Litterae</t>
  </si>
  <si>
    <t>San José de Calasanz</t>
  </si>
  <si>
    <t>Si desde la niñez el muchacho es imbuido diligentemente en la piedad y en las letras no hay que temer su edad avanzada</t>
  </si>
  <si>
    <t>Si ab infantia puer diligenter in pietate et litteris imbuatur non est timenda eius aetas provecta</t>
  </si>
  <si>
    <t>Epistolae et Scripta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</si>
  <si>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</si>
  <si>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</si>
  <si>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En la instrucción de los niños es necesario tener mucha paciencia</t>
  </si>
  <si>
    <t>In institutione puerorum necesse est multam patientiam habere</t>
  </si>
  <si>
    <t>Amar es servir</t>
  </si>
  <si>
    <t>Amare est servire</t>
  </si>
  <si>
    <t>La educación es la base de toda la reforma de la humanidad</t>
  </si>
  <si>
    <t>Educatio est basis omnis reformationis humanitatis</t>
  </si>
  <si>
    <t>La principal esperanza de una nación descansa en la adecuada educación de su juventud</t>
  </si>
  <si>
    <t>Praecipua spes nationis in apta educatione iuventutis suae consistit</t>
  </si>
  <si>
    <t>Erasmo de Rotterdam</t>
  </si>
  <si>
    <t>Opera Omnia</t>
  </si>
  <si>
    <t>El colmo de la estupidez es aprender lo que luego hay que olvidar</t>
  </si>
  <si>
    <t>Summa stultitiae est discere quod postea obliviscendum sit</t>
  </si>
  <si>
    <t>Moriae Encomium</t>
  </si>
  <si>
    <t>No hay nada más desigual que tratar por igual a los desiguales</t>
  </si>
  <si>
    <t>Nihil est iniquius quam aequare inaequalia</t>
  </si>
  <si>
    <t>Adagia</t>
  </si>
  <si>
    <t>La verdadera amistad llega cuando el silencio entre dos parece ameno</t>
  </si>
  <si>
    <t>Vera amicitia advenit cum silentium inter duos amoenum videtur</t>
  </si>
  <si>
    <t>De Amicitia</t>
  </si>
  <si>
    <t>Instruir a un niño es ante todo instruirse uno mismo</t>
  </si>
  <si>
    <t>Puerum instruere est ante omnia se ipsum instruere</t>
  </si>
  <si>
    <t>De Pueris Instituendis</t>
  </si>
  <si>
    <t>La mejor forma de educar a un niño es hacerle amar el conocimiento</t>
  </si>
  <si>
    <t>Optimus modus educandi puerum est facere eum cognitionem amare</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</si>
  <si>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</si>
  <si>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</si>
  <si>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</si>
  <si>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</si>
  <si>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Die Welt als Wille und Vorstellung, Buch I</t>
  </si>
  <si>
    <t>La vida oscila como un péndulo entre el dolor y el aburrimiento</t>
  </si>
  <si>
    <t>Vita ut pendulum inter dolorem et taedium oscillat</t>
  </si>
  <si>
    <t>Das Leben schwingt wie ein Pendel zwischen Schmerz und Langeweile</t>
  </si>
  <si>
    <t>Die Welt als Wille und Vorstellung, Buch II</t>
  </si>
  <si>
    <t>El hombre puede hacer lo que quiera, pero no puede querer lo que quiera</t>
  </si>
  <si>
    <t>Homo facere potest quod vult, sed non potest velle quod vult</t>
  </si>
  <si>
    <t>Der Mensch kann zwar tun was er will, aber er kann nicht wollen was er will</t>
  </si>
  <si>
    <t>Die Welt als Wille und Vorstellung, Buch III</t>
  </si>
  <si>
    <t>Leer es pensar con una cabeza ajena en lugar de la propia</t>
  </si>
  <si>
    <t>Legere est cogitare capite alieno loco proprio</t>
  </si>
  <si>
    <t>Lesen heißt mit einem fremden Kopf statt dem eigenen denken</t>
  </si>
  <si>
    <t>Parerga und Paralipomena, I</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</si>
  <si>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</si>
  <si>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</si>
  <si>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</si>
  <si>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Die Welt als Wille und Vorstellung, Buch IV</t>
  </si>
  <si>
    <t>Un mendigo sano es más feliz que un rey enfermo</t>
  </si>
  <si>
    <t>Mendicus sanus felicior est quam rex aegrotus</t>
  </si>
  <si>
    <t>Ein gesunder Bettler ist glücklicher als ein kranker König</t>
  </si>
  <si>
    <t>Die Welt als Wille und Vorstellung, Buch V</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</si>
  <si>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</si>
  <si>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</si>
  <si>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</si>
  <si>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</si>
  <si>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Vita Activa oder Vom tätigen Leben, Buch I</t>
  </si>
  <si>
    <t>La acción es la expresión más completa de la libertad humana</t>
  </si>
  <si>
    <t>Actio est expressio plenissima libertatis humanae</t>
  </si>
  <si>
    <t>Handeln ist der vollkommenste Ausdruck menschlicher Freiheit</t>
  </si>
  <si>
    <t>Vita Activa oder Vom tätigen Leben, Buch II</t>
  </si>
  <si>
    <t>La violencia nunca puede ser justificada en nombre de la libertad o la justicia</t>
  </si>
  <si>
    <t>Violentia numquam iustificari potest nomine libertatis aut iustitiae</t>
  </si>
  <si>
    <t>Gewalt kann niemals im Namen von Freiheit oder Gerechtigkeit gerechtfertigt werden</t>
  </si>
  <si>
    <t>On Violence, 1970</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</si>
  <si>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</si>
  <si>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</si>
  <si>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</si>
  <si>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Vita Activa oder Vom tätigen Leben, Buch III</t>
  </si>
  <si>
    <t>La libertad no es un hecho, es un deber y una responsabilidad</t>
  </si>
  <si>
    <t>Libertas non est factum, sed officium et responsabilitas</t>
  </si>
  <si>
    <t>Freiheit ist keine Tatsache, sondern eine Pflicht und Verantwortung</t>
  </si>
  <si>
    <t>Vita Activa oder Vom tätigen Leben, Buch IV</t>
  </si>
  <si>
    <t>El perdón es la clave de la acción y la libertad</t>
  </si>
  <si>
    <t>Venia est clavis actionis et libertatis</t>
  </si>
  <si>
    <t>Vergebung ist der Schlüssel zu Handlung und Freiheit</t>
  </si>
  <si>
    <t>Vita Activa oder Vom tätigen Leben, Buch V</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</si>
  <si>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</si>
  <si>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</si>
  <si>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</si>
  <si>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</si>
  <si>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Grundlegung zur Metaphysik der Sitten, 1785</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</si>
  <si>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</si>
  <si>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</si>
  <si>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</si>
  <si>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</si>
  <si>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</si>
  <si>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</si>
  <si>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Critik der praktischen Vernunft, 1788</t>
  </si>
  <si>
    <t>Atrévete a saber: ten el valor de usar tu propia razón</t>
  </si>
  <si>
    <t>Aude sapere: habe audaciam propria ratione utendi</t>
  </si>
  <si>
    <t>Wage zu wissen. Habe Mut dich deines eigenen Verstandes zu bedienen</t>
  </si>
  <si>
    <t>Beantwortung der Frage: Was ist Aufklärung?, 1784</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</si>
  <si>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</si>
  <si>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</si>
  <si>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</si>
  <si>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</si>
  <si>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</si>
  <si>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</si>
  <si>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Zum ewigen Frieden, 1795</t>
  </si>
  <si>
    <t>Yo soy yo y mi circunstancia, y si no la salvo a ella, no me salvo yo</t>
  </si>
  <si>
    <t>Ego sum ego et circumstantia mea, et nisi eam servo, me non servo</t>
  </si>
  <si>
    <t>José Ortega y Gasset</t>
  </si>
  <si>
    <t>Meditaciones del Quijote, 1914</t>
  </si>
  <si>
    <t>La vida es lo que hacemos y lo que nos pasa</t>
  </si>
  <si>
    <t>Vita est quod facimus et quod nobis accidit</t>
  </si>
  <si>
    <t>La rebelión de las masas, 1930</t>
  </si>
  <si>
    <t>Vivir es ocuparse con algo, decidir ser esto o aquello</t>
  </si>
  <si>
    <t>Vivere est aliqua re occupari, decernere hoc aut illud esse</t>
  </si>
  <si>
    <t>La deshumanización del arte, 1925</t>
  </si>
  <si>
    <t>El hombre no tiene naturaleza, sino que tiene historia</t>
  </si>
  <si>
    <t>Homo naturam non habet, sed historiam habet</t>
  </si>
  <si>
    <t>Dime a qué prestas atención y te diré quién eres</t>
  </si>
  <si>
    <t>Dic mihi cui attentionem praebes et dicam tibi quis sis</t>
  </si>
  <si>
    <t>La idea de principio en la filosofía, 1910</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</si>
  <si>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</si>
  <si>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</si>
  <si>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</si>
  <si>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</si>
  <si>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</si>
  <si>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</si>
  <si>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Enten – Eller, 1843</t>
  </si>
  <si>
    <t>La fe es la única fuerza capaz de vencer al porvenir</t>
  </si>
  <si>
    <t>Fides est unica vis capax vincere futurum</t>
  </si>
  <si>
    <t>Troen er den eneste kraft der kan overvinde fremtiden</t>
  </si>
  <si>
    <t>Frygt og Bæven, 1843</t>
  </si>
  <si>
    <t>La vida solo puede ser comprendida mirando hacia atrás, pero debe ser vivida mirando hacia adelante</t>
  </si>
  <si>
    <t>Vita solum intelligi potest respiciendo sed vivi debet prospiciendo</t>
  </si>
  <si>
    <t>Livet kan kun forstås baglæns men må leves forlæns</t>
  </si>
  <si>
    <t>Diario, 1840s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</si>
  <si>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</si>
  <si>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</si>
  <si>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</si>
  <si>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</si>
  <si>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</si>
  <si>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</si>
  <si>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Sygdommen til Døden, 1849</t>
  </si>
  <si>
    <t>La angustia es el vértigo de la libertad</t>
  </si>
  <si>
    <t>Angustia est vertigo libertatis</t>
  </si>
  <si>
    <t>Angsten er frihedens svimmelhed</t>
  </si>
  <si>
    <t>Begrebet Angest, 1844</t>
  </si>
  <si>
    <t>Enseñar todo a todos</t>
  </si>
  <si>
    <t>Omnes omnia docere</t>
  </si>
  <si>
    <t>Johann Amos Comenius</t>
  </si>
  <si>
    <t>Didactica Magna, cap. I</t>
  </si>
  <si>
    <t>La educación debe comenzar en la más tierna infancia</t>
  </si>
  <si>
    <t>Educatio ab infantia tenerissima incipi debet</t>
  </si>
  <si>
    <t>Didactica Magna, cap. II</t>
  </si>
  <si>
    <t>Los libros deben ser accesibles para todos, especialmente para los niños</t>
  </si>
  <si>
    <t>Libri omnibus praesertim pueris accessibiles esse debent</t>
  </si>
  <si>
    <t>Didactica Magna, cap. III</t>
  </si>
  <si>
    <t>La enseñanza debe ser agradable para que el aprendizaje sea duradero</t>
  </si>
  <si>
    <t>Doctrina iucunda esse debet ut apprehensio durabilis sit</t>
  </si>
  <si>
    <t>Didactica Magna, cap. IV</t>
  </si>
  <si>
    <t>Nada debe enseñarse que no pueda ser puesto en práctica</t>
  </si>
  <si>
    <t>Nihil doceri debet quod in praxim poni non possit</t>
  </si>
  <si>
    <t>Didactica Magna, cap. V</t>
  </si>
  <si>
    <t>La escuela debe ser un taller de humanidad</t>
  </si>
  <si>
    <t>Schola debet esse officina humanitatis</t>
  </si>
  <si>
    <t>Didactica Magna, cap. VI</t>
  </si>
  <si>
    <t>Nuestros primeros maestros son nuestros pies, nuestras manos y nuestros ojos</t>
  </si>
  <si>
    <t>Primi magistri nostri sunt pedes, manus et oculi nostri</t>
  </si>
  <si>
    <t>Nos premiers maîtres sont nos pieds, nos mains et nos yeux</t>
  </si>
  <si>
    <t>Jean-Jacques Rousseau</t>
  </si>
  <si>
    <t>Émile, 1762</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</si>
  <si>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</si>
  <si>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</si>
  <si>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</si>
  <si>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</si>
  <si>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</si>
  <si>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</si>
  <si>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</si>
  <si>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</si>
  <si>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</si>
  <si>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</si>
  <si>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</si>
  <si>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</si>
  <si>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</si>
  <si>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</si>
  <si>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</si>
  <si>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Du Contrat Social, 1762</t>
  </si>
  <si>
    <t>Nuestra influencia llega solo a donde llega nuestro amor</t>
  </si>
  <si>
    <t>Nostra influentia tantum pervenit quo amor noster pervenit</t>
  </si>
  <si>
    <t>Unser Einfluss reicht nur so weit wie unsere Liebe reicht</t>
  </si>
  <si>
    <t>Johann Heinrich Pestalozzi</t>
  </si>
  <si>
    <t>Wie Gertrud ihre Kinder lehrt, 1801</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</si>
  <si>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</si>
  <si>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</si>
  <si>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</si>
  <si>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</si>
  <si>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</si>
  <si>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</si>
  <si>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</si>
  <si>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</si>
  <si>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</si>
  <si>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</si>
  <si>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</si>
  <si>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</si>
  <si>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</si>
  <si>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</si>
  <si>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</si>
  <si>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</si>
  <si>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</si>
  <si>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</si>
  <si>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</si>
  <si>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construction du réel chez l'enfant, 1937</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</si>
  <si>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</si>
  <si>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</si>
  <si>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</si>
  <si>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</si>
  <si>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</si>
  <si>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</si>
  <si>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</si>
  <si>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</si>
  <si>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</si>
  <si>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</si>
  <si>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</si>
  <si>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</si>
  <si>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</si>
  <si>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</si>
  <si>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</si>
  <si>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</si>
  <si>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</si>
  <si>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</si>
  <si>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</si>
  <si>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Мышление и речь, 1934</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</si>
  <si>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</si>
  <si>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</si>
  <si>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</si>
  <si>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</si>
  <si>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</si>
  <si>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</si>
  <si>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</si>
  <si>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</si>
  <si>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</si>
  <si>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</si>
  <si>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</si>
  <si>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</si>
  <si>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</si>
  <si>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</si>
  <si>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</si>
  <si>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</si>
  <si>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</si>
  <si>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</si>
  <si>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</si>
  <si>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Die Menschenerziehung, 1826</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</si>
  <si>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</si>
  <si>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</si>
  <si>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</si>
  <si>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</si>
  <si>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</si>
  <si>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</si>
  <si>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</si>
  <si>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</si>
  <si>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</si>
  <si>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</si>
  <si>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</si>
  <si>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</si>
  <si>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</si>
  <si>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</si>
  <si>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</si>
  <si>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</si>
  <si>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</si>
  <si>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</si>
  <si>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</si>
  <si>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L'Éducation nouvelle, 1921</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</si>
  <si>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</si>
  <si>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</si>
  <si>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</si>
  <si>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</si>
  <si>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</si>
  <si>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</si>
  <si>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</si>
  <si>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apprehensionis</t>
  </si>
  <si>
    <t>Observer, associer et exprimer sont les bases de l'apprentissage</t>
  </si>
  <si>
    <t>Hay que partir de los intereses del niño para lograr un aprendizaje significativo</t>
  </si>
  <si>
    <t>Oportet a puerorum interessibus proficisci ut apprehensionem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</si>
  <si>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</si>
  <si>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</si>
  <si>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</si>
  <si>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</si>
  <si>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</si>
  <si>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</si>
  <si>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</si>
  <si>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</si>
  <si>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Lettere e Sermoni, sec. XVI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</si>
  <si>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</si>
  <si>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</si>
  <si>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</si>
  <si>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</si>
  <si>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</si>
  <si>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</si>
  <si>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</si>
  <si>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</si>
  <si>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</si>
  <si>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</si>
  <si>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</si>
  <si>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</si>
  <si>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</si>
  <si>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</si>
  <si>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</si>
  <si>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</si>
  <si>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</si>
  <si>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</si>
  <si>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</si>
  <si>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</si>
  <si>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</si>
  <si>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</si>
  <si>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</si>
  <si>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</si>
  <si>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</si>
  <si>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Bildungsmanuskripte, 20. Jh.</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</si>
  <si>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</si>
  <si>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</si>
  <si>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</si>
  <si>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</si>
  <si>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</si>
  <si>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</si>
  <si>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</si>
  <si>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</si>
  <si>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</si>
  <si>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</si>
  <si>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</si>
  <si>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</si>
  <si>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</si>
  <si>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</si>
  <si>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</si>
  <si>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</si>
  <si>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</si>
  <si>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</si>
  <si>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</si>
  <si>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</si>
  <si>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</si>
  <si>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</si>
  <si>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</si>
  <si>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</si>
  <si>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Beato Carlo Acutis</t>
  </si>
  <si>
    <t>Scritti Personali</t>
  </si>
  <si>
    <t>La Eucaristía es mi autopista al cielo</t>
  </si>
  <si>
    <t>Eucharistia est via mea celeris ad caelum</t>
  </si>
  <si>
    <t>L'Eucaristia è la mia autostrada per il cielo</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</si>
  <si>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</si>
  <si>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</si>
  <si>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</si>
  <si>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</si>
  <si>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</si>
  <si>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</si>
  <si>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</si>
  <si>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</si>
  <si>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</si>
  <si>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</si>
  <si>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</si>
  <si>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</si>
  <si>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</si>
  <si>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</si>
  <si>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</si>
  <si>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</si>
  <si>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</si>
  <si>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</si>
  <si>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El juego es el trabajo del niño, su oficio, su vida</t>
  </si>
  <si>
    <t>Die Menschenerziehung</t>
  </si>
  <si>
    <t>Ven, vive con nosotros, los niños te mostrarán el camino</t>
  </si>
  <si>
    <t>Veni, vive nobiscum, pueri viam tibi monstrabunt</t>
  </si>
  <si>
    <t>Komm, lebe mit uns! Die Kinder werden dir den Weg zeigen</t>
  </si>
  <si>
    <t>Puer non est ampulla quae implenda est sed ignis qui accendendus est</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</si>
  <si>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</si>
  <si>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</si>
  <si>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</si>
  <si>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</si>
  <si>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Die Erziehung des Kindes</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</si>
  <si>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</si>
  <si>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</si>
  <si>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</si>
  <si>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</si>
  <si>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dimitte cum libertate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</si>
  <si>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</si>
  <si>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</si>
  <si>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</si>
  <si>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</si>
  <si>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</si>
  <si>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</si>
  <si>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Paedagogik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</si>
  <si>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</si>
  <si>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</si>
  <si>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</si>
  <si>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</si>
  <si>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</si>
  <si>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</si>
  <si>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</si>
  <si>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</si>
  <si>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</si>
  <si>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</si>
  <si>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</si>
  <si>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</si>
  <si>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Cartas pedagógicas y ensayos sobre educación, 1951</t>
  </si>
  <si>
    <t>Para corregir no hay que temer. El peor maestro es el maestro con miedo</t>
  </si>
  <si>
    <t>Ad corrigendum non oportet timere. Pessimus magister est magister cum timore</t>
  </si>
  <si>
    <t>Tizas y pizarra: Reflexiones sobre educación, 1924</t>
  </si>
  <si>
    <t>La enseñanza de los niños es tal vez la forma más alta de buscar a Dios</t>
  </si>
  <si>
    <t>Doctrina puerorum fortasse forma altissima est quaerendi Deum</t>
  </si>
  <si>
    <t>Cartas pedagógicas, 1938</t>
  </si>
  <si>
    <t>El futuro de los niños es siempre hoy; mañana será tarde</t>
  </si>
  <si>
    <t>Futurum puerorum semper hodie est; cras erit sero</t>
  </si>
  <si>
    <t>Lecturas educativas y reflexiones sobre infancia, 1926</t>
  </si>
  <si>
    <t>Donde hay un niño hay una misión</t>
  </si>
  <si>
    <t>Ubi puer est ibi missio est</t>
  </si>
  <si>
    <t>Cartas y conferencias pedagógicas, 1940</t>
  </si>
  <si>
    <t>Dame el amor único de mi escuela</t>
  </si>
  <si>
    <t>Da mihi amorem unicum scholae meae</t>
  </si>
  <si>
    <t>Textos sobre enseñanza y vida escolar, 1925</t>
  </si>
  <si>
    <t>El maestro que trata de enseñar sin inspirar en el alumno el deseo de aprender</t>
  </si>
  <si>
    <t>Magister qui conatur docere quin desiderium discendi in discipulo inspiret</t>
  </si>
  <si>
    <t>Tizas y pizarra, 1924</t>
  </si>
  <si>
    <t>Todo para la escuela, todo para el niño</t>
  </si>
  <si>
    <t>Omnia pro schola, omnia pro puero</t>
  </si>
  <si>
    <t>Ensayos pedagógicos, 1930</t>
  </si>
  <si>
    <t>El amor a las niñas enseña más caminos a la que enseña que la pedagogía</t>
  </si>
  <si>
    <t>Amor ad puellas plures vias docet magistrae quam paedagogia</t>
  </si>
  <si>
    <t>Cartas pedagógicas y reflexiones, 1925</t>
  </si>
  <si>
    <t>Dame que alcance a hacer de una de mis niñas mi verso perfecto</t>
  </si>
  <si>
    <t>Da mihi ut possim ex una puellarum mearum versum meum perfectum facere</t>
  </si>
  <si>
    <t>Cartas a colegas y diarios de enseñanza, 1925-1930</t>
  </si>
  <si>
    <t>La inteligencia es la capacidad de resolver problemas o de crear productos valorados en un entorno cultural</t>
  </si>
  <si>
    <t>Intelligentia est capacitas problemata solvendi aut productus creandi qui in ambitu culturali aestimantur</t>
  </si>
  <si>
    <t>Intelligence is the ability to solve problems or to create products that are valued within a cultural setting</t>
  </si>
  <si>
    <t>Howard Gardner</t>
  </si>
  <si>
    <t>Frames of Mind: The Theory of Multiple Intelligences, 1983, p. 27</t>
  </si>
  <si>
    <t>Cada ser humano tiene una combinación única de inteligencias; este es el desafío educativo fundamental: estimular a cada alumno de una forma personalizada</t>
  </si>
  <si>
    <t>Unusquisque homo combinationem unicam intelligentiarum habet; hoc est provocatio educativa fundamentalis: stimulare quemque discipulum modo personali</t>
  </si>
  <si>
    <t>Each human being has a unique combination of intelligences. This is the fundamental educational challenge: to stimulate each learner in a personalized way</t>
  </si>
  <si>
    <t>Intelligence Reframed: Multiple Intelligences for the 21st Century, 1999, pp. 11-12</t>
  </si>
  <si>
    <t>No puede haber una única medida de la inteligencia, ya que hay muchas formas diferentes de ser inteligente</t>
  </si>
  <si>
    <t>Non potest esse unica mensura intelligentiae quia sunt multae formae diversae intelligentis esse</t>
  </si>
  <si>
    <t>There cannot be a single measure of intelligence because there are many different ways of being intelligent</t>
  </si>
  <si>
    <t>Frames of Mind, 1983, pp. 40-42</t>
  </si>
  <si>
    <t>Es de suma importancia que reconozcamos y alimentemos todas las inteligencias humanas</t>
  </si>
  <si>
    <t>Maximi momenti est ut omnes intelligentias humanas agnoscamus et nutriamus</t>
  </si>
  <si>
    <t>It is of paramount importance that we recognize and nurture all human intelligences</t>
  </si>
  <si>
    <t>Multiple Intelligences: The Theory in Practice, 1993, p. 10</t>
  </si>
  <si>
    <t>La pregunta no es qué tan inteligente eres, sino en qué eres inteligente</t>
  </si>
  <si>
    <t>Quaestio non est quam intelligens sis sed quo modo intelligens sis</t>
  </si>
  <si>
    <t>The question is not how intelligent you are, but in what way are you intelligent</t>
  </si>
  <si>
    <t>Intelligence Reframed, 1999, p. 15</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</si>
  <si>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</si>
  <si>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</si>
  <si>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</si>
  <si>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Creating Minds, 1993, p. 4</t>
  </si>
  <si>
    <t>La creatividad es tan importante como la alfabetización y debería ser tratada de la misma manera</t>
  </si>
  <si>
    <t>Creativitas tam gravis est quam litterarum cognitio et eodem modo tractari debet</t>
  </si>
  <si>
    <t>Creativity is as important as literacy and we should treat it with the same status</t>
  </si>
  <si>
    <t>Ken Robinson</t>
  </si>
  <si>
    <t>Out of Our Minds: Learning to be Creative, 2001, p. 17</t>
  </si>
  <si>
    <t>Si no estás preparado para equivocarte, nunca llegarás a nada original</t>
  </si>
  <si>
    <t>Si non paratus es errare numquam ad aliquid originale pervenies</t>
  </si>
  <si>
    <t>If you're not prepared to be wrong, you'll never come up with anything original</t>
  </si>
  <si>
    <t>TED Talk: Do Schools Kill Creativity?, 2006</t>
  </si>
  <si>
    <t>Las escuelas matan la creatividad</t>
  </si>
  <si>
    <t>Scholae creativitatem necant</t>
  </si>
  <si>
    <t>Schools kill creativity</t>
  </si>
  <si>
    <t>La imaginación es la fuente de todo logro humano</t>
  </si>
  <si>
    <t>Imaginatio fons omnis operis humani est</t>
  </si>
  <si>
    <t>Imagination is the source of every form of human achievement</t>
  </si>
  <si>
    <t>Out of Our Minds, 2001, p. 11</t>
  </si>
  <si>
    <t>Los niños de ahora harán trabajos que aún no están inventados</t>
  </si>
  <si>
    <t>Pueri nunc opera facient quae nondum inventa sunt</t>
  </si>
  <si>
    <t>Children now will do jobs that haven't been invented yet</t>
  </si>
  <si>
    <t>Out of Our Minds, 2001, p. 15</t>
  </si>
  <si>
    <t>La gente produce lo mejor cuando hace cosas que ama, cuando está en su elemento</t>
  </si>
  <si>
    <t>Homines optimum producunt cum faciunt quae amant, cum in suo elemento sunt</t>
  </si>
  <si>
    <t>People produce their best work when they're doing something they love, when they're in their element</t>
  </si>
  <si>
    <t>Out of Our Minds, 2001, p. 30</t>
  </si>
  <si>
    <t>No es acerca de estandarizar la educación, es acerca de subir el estándar de la educación</t>
  </si>
  <si>
    <t>Non de educatione standardizanda agitur sed de standardum educationis elevando</t>
  </si>
  <si>
    <t>It's not about standardizing education, it's about raising the standard of education</t>
  </si>
  <si>
    <t>La creatividad se aprende igual que se aprende a leer</t>
  </si>
  <si>
    <t>Creativitas discitur sicut discitur legere</t>
  </si>
  <si>
    <t>Creativity is learned just as you learn to read</t>
  </si>
  <si>
    <t>Out of Our Minds, 2001, p. 35</t>
  </si>
  <si>
    <t>La mayoría del aprendizaje humano se produce mediante la observación</t>
  </si>
  <si>
    <t>Maior pars apprehensionis humanae fit per observationem</t>
  </si>
  <si>
    <t>Most human learning occurs through observation</t>
  </si>
  <si>
    <t>Albert Bandura</t>
  </si>
  <si>
    <t>Social Learning Theory, 1977, p. 22</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</si>
  <si>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</si>
  <si>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</si>
  <si>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</si>
  <si>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Social Learning Theory, 1977, pp. 10-15</t>
  </si>
  <si>
    <t>La autoeficacia es la creencia en las propias capacidades para organizar y ejecutar las acciones requeridas</t>
  </si>
  <si>
    <t>Autoefficientia est fides in capacitatibus propriis ad actiones requisitas organizandas et exequendas</t>
  </si>
  <si>
    <t>Self-efficacy is the belief in one's capabilities to organize and execute the courses of action required</t>
  </si>
  <si>
    <t>Self-Efficacy: The Exercise of Control, 1997, pp. 3-4</t>
  </si>
  <si>
    <t>El aprendizaje sería sumamente laborioso si tuviéramos que confiar solo en los efectos de nuestras propias acciones</t>
  </si>
  <si>
    <t>Apprehensio summe laboriosa esset si solum in effectibus actionum nostrarum confidere deberemus</t>
  </si>
  <si>
    <t>Learning would be exceedingly laborious if we had to rely solely on the effects of our own actions</t>
  </si>
  <si>
    <t>Social Learning Theory, 1977, p. 21</t>
  </si>
  <si>
    <t>Para poder enseñar a los demás primero hay que hacer y conocer</t>
  </si>
  <si>
    <t>Ut alios docere possimus primum facere et cognoscere debemus</t>
  </si>
  <si>
    <t>To be able to teach others one must first do and know</t>
  </si>
  <si>
    <t>Los modelos son más que transmisores de información; proveen contextos sociales que influyen en el comportamiento</t>
  </si>
  <si>
    <t>Exempla plus quam transmissores informationis sunt; contextos sociales praebent qui in comportamentum influunt</t>
  </si>
  <si>
    <t>Models are more than transmitters of information; they provide social contexts that influence behavior</t>
  </si>
  <si>
    <t>Social Learning Theory, 1977, pp. 22-23</t>
  </si>
  <si>
    <t>La educación es lo que sobrevive cuando lo aprendido ha sido olvidado</t>
  </si>
  <si>
    <t>Educatio est id quod superest cum quod doctum est oblitum est</t>
  </si>
  <si>
    <t>Education is what survives when what has been learned has been forgotten</t>
  </si>
  <si>
    <t>B.F. Skinner</t>
  </si>
  <si>
    <t>The Science of Learning and the Art of Teaching, 1954</t>
  </si>
  <si>
    <t>Enseñamos con éxito cuando el estudiante aprende</t>
  </si>
  <si>
    <t>Cum successu docemus cum discipulus discit</t>
  </si>
  <si>
    <t>We teach successfully when the student learns</t>
  </si>
  <si>
    <t>The Technology of Teaching, 1968, p. 19</t>
  </si>
  <si>
    <t>El comportamiento es seguido por una consecuencia y la naturaleza de la consecuencia modifica la tendencia del organismo a repetir el comportamiento</t>
  </si>
  <si>
    <t>Comportamentum consequentia sequitur et natura consequentiae tendentiam organismi ad comportamentum repetendum modificat</t>
  </si>
  <si>
    <t>Behavior is followed by a consequence, and the nature of the consequence modifies the organism's tendency to repeat the behavior</t>
  </si>
  <si>
    <t>Science and Human Behavior, 1953, p. 56</t>
  </si>
  <si>
    <t>La forma en que se lleva a cabo el refuerzo positivo es más importante que la cantidad</t>
  </si>
  <si>
    <t>Modus quo confirmatio positiva fit gravior est quam quantitas</t>
  </si>
  <si>
    <t>The manner in which positive reinforcement is carried out is more important than the amount</t>
  </si>
  <si>
    <t>Science and Human Behavior, 1953, pp. 80-82</t>
  </si>
  <si>
    <t>No enseñamos a los estudiantes; solo les damos las condiciones bajo las cuales pueden aprender</t>
  </si>
  <si>
    <t>Non docemus discipulos; solum eis conditiones damus sub quibus discere possunt</t>
  </si>
  <si>
    <t>We do not teach students; we only give them the conditions under which they can learn</t>
  </si>
  <si>
    <t>The Technology of Teaching, 1968, pp. 9-10</t>
  </si>
  <si>
    <t>El comportamiento real es sencillamente la combinación de reacciones reflejas innatas y de respuestas aprendidas</t>
  </si>
  <si>
    <t>Comportamentum reale simpliciter combinatio reactionum reflexarum innatarum et responsionum doctarum est</t>
  </si>
  <si>
    <t>Actual behavior is simply the combination of innate reflex reactions and learned responses</t>
  </si>
  <si>
    <t>Science and Human Behavior, 1953, p. 35</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</si>
  <si>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</si>
  <si>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</si>
  <si>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</si>
  <si>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</si>
  <si>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Éducation et Philosophie, 1956, p. 23</t>
  </si>
  <si>
    <t>La educación es el arte de ayudar al joven a alcanzar la plenitud de su forma humana</t>
  </si>
  <si>
    <t>Educatio est ars adiuvandi iuvenem ad plenitudinem formae suae humanae attingendam</t>
  </si>
  <si>
    <t>L'éducation est l'art d'aider le jeune à atteindre la plénitude de sa forme humaine</t>
  </si>
  <si>
    <t>Éducation et Philosophie, 1956, p. 25</t>
  </si>
  <si>
    <t>El objeto de la educación no es formar esa abstracción platónica que es el hombre en sí mismo sino formar a un joven determinado</t>
  </si>
  <si>
    <t>Obiectum educationis non est formare abstractionem illam platonicam quae est homo in se sed formare iuvenem determinatum</t>
  </si>
  <si>
    <t>L'objet de l'éducation n'est pas de former cette abstraction platonicienne qu'est l'homme en soi mais de former un jeune déterminé</t>
  </si>
  <si>
    <t>Éducation et Philosophie, 1956, p. 27</t>
  </si>
  <si>
    <t>La educación del hombre es un despertar humano</t>
  </si>
  <si>
    <t>Educatio hominis est evocatio humana</t>
  </si>
  <si>
    <t>L'éducation de l'homme est un éveil humain</t>
  </si>
  <si>
    <t>Éducation et Philosophie, 1956, p. 29</t>
  </si>
  <si>
    <t>Liberar las buenas energías es el primer principio de la educación</t>
  </si>
  <si>
    <t>Liberare bonas energias primum principium educationis est</t>
  </si>
  <si>
    <t>Libérer les bonnes énergies est le premier principe de l'éducation</t>
  </si>
  <si>
    <t>Éducation et Philosophie, 1956, p. 31</t>
  </si>
  <si>
    <t>La educación no debe forjar individuos sino asistir al dinamismo propio de la persona</t>
  </si>
  <si>
    <t>Educatio non debet individua formare sed dynamismo proprio personae assistere</t>
  </si>
  <si>
    <t>L'éducation ne doit pas forger des individus mais assister le dynamisme propre de la personne</t>
  </si>
  <si>
    <t>Éducation et Philosophie, 1956, p. 33</t>
  </si>
  <si>
    <t>El deber del educador moderno no es talar selvas sino regar desiertos</t>
  </si>
  <si>
    <t>Officium educatoris moderni non est silvas caedere sed deserta irrigare</t>
  </si>
  <si>
    <t>The task of the modern educator is not to cut down jungles but to irrigate deserts</t>
  </si>
  <si>
    <t>C.S. Lewis</t>
  </si>
  <si>
    <t>The Abolition of Man, 1960, p. 18</t>
  </si>
  <si>
    <t>La defensa adecuada contra los sentimientos falsos es inculcar sentimientos justos</t>
  </si>
  <si>
    <t>Defensio apta contra sensus falsos est sensus iustos inculcare</t>
  </si>
  <si>
    <t>The right defence against false sentiments is to inculcate just sentiments</t>
  </si>
  <si>
    <t>The Abolition of Man, 1960, p. 20</t>
  </si>
  <si>
    <t>Hacemos hombres sin corazones y esperamos de ellos virtud y buen juicio</t>
  </si>
  <si>
    <t>Homines sine pectore facimus et ab eis virtutem et industriam exspectamus</t>
  </si>
  <si>
    <t>We make men without chests and expect of them virtue and enterprise</t>
  </si>
  <si>
    <t>The Abolition of Man, 1960, p. 21</t>
  </si>
  <si>
    <t>La educación sin valores por los cuales educar es pura vocación vacía</t>
  </si>
  <si>
    <t>Educatio sine valoribus pro quibus educare est merum exercitium vocale vacuum</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</si>
  <si>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</si>
  <si>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</si>
  <si>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</si>
  <si>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</si>
  <si>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The Abolition of Man, 1960, pp. 21-22</t>
  </si>
  <si>
    <t>El fin de la educación es conseguir que el alumno tenga predilecciones y aversiones por lo que corresponde</t>
  </si>
  <si>
    <t>Finis educationis est efficere ut discipulus dilectiones et aversiones pro eo quod convenit habeat</t>
  </si>
  <si>
    <t>The aim of education is to get the pupil to have likes and dislikes for what is fitting</t>
  </si>
  <si>
    <t>The Abolition of Man, 1960, p. 22</t>
  </si>
  <si>
    <t>La escuela no es un parque de atracciones</t>
  </si>
  <si>
    <t>Schola non est hortus voluptatum</t>
  </si>
  <si>
    <t>Gregorio Luri</t>
  </si>
  <si>
    <t>La escuela no es un parque de atracciones, 2013</t>
  </si>
  <si>
    <t>El saber riguroso no puede ser sino crítico mientras que la crítica sin rigor tiene mucho de pataleta</t>
  </si>
  <si>
    <t>Scientia rigorosa non potest nisi critica esse dum critica sine rigore multum irae infantilis habet</t>
  </si>
  <si>
    <t>La escuela no es un parque de atracciones, 2014</t>
  </si>
  <si>
    <t>Sin instrucción no hay pensamiento crítico</t>
  </si>
  <si>
    <t>Sine instructione non est cogitatio critica</t>
  </si>
  <si>
    <t>La escuela no es un parque de atracciones, 2015</t>
  </si>
  <si>
    <t>El maestro consciente de su papel de magister no es el guardián celoso de la autonomía infantil sino el amante celoso de lo mejor que un niño puede llegar a ser</t>
  </si>
  <si>
    <t>Magister conscius muneris sui non est custos zelotypus autonomiae puerilis sed amator zelotypus optimi quod puer esse potest</t>
  </si>
  <si>
    <t>La escuela no es un parque de atracciones, 2016</t>
  </si>
  <si>
    <t>Creo que a los niños hay que darle en la escuela lo que no les van a proporcionar en ninguna parte más y es conocimiento riguroso</t>
  </si>
  <si>
    <t>Credo pueris in schola dandum esse quod nusquam alibi accipient et est cognitio rigorosa</t>
  </si>
  <si>
    <t>La escuela no es un parque de atracciones, 2017</t>
  </si>
  <si>
    <t>El conocimiento riguroso es en sí mismo un fenomenal educador emocional</t>
  </si>
  <si>
    <t>Cognitio rigorosa in se ipsa est phenomenalis educator emotionalis</t>
  </si>
  <si>
    <t>La escuela no es un parque de atracciones, 2018</t>
  </si>
  <si>
    <t>Los profesores excelentes son evaluadores expertos de sus estudiantes</t>
  </si>
  <si>
    <t>Professores excellentes sunt aestimatores periti discipulorum suorum</t>
  </si>
  <si>
    <t>Excellent teachers are expert evaluators of their students</t>
  </si>
  <si>
    <t>John Hattie</t>
  </si>
  <si>
    <t>Visible Learning, 2009, p. 173</t>
  </si>
  <si>
    <t>El aprendizaje visible ocurre cuando los profesores ven el aprendizaje a través de los ojos de los estudiantes</t>
  </si>
  <si>
    <t>Apprehensio visibilis evenit cum professores apprehenionem per oculos discipulorum vident</t>
  </si>
  <si>
    <t>Visible learning occurs when teachers see learning through the eyes of students</t>
  </si>
  <si>
    <t>Conoce tu impacto</t>
  </si>
  <si>
    <t>Cognosce tuum impactum</t>
  </si>
  <si>
    <t>Know thy impact</t>
  </si>
  <si>
    <t>La retroalimentación es una de las influencias más poderosas en el aprendizaje</t>
  </si>
  <si>
    <t>Retroalimentatio una ex influxibus potentissimis in apprehensione est</t>
  </si>
  <si>
    <t>Feedback is one of the most powerful influences on learning</t>
  </si>
  <si>
    <t>Visible Learning, 2009, pp. 173-174</t>
  </si>
  <si>
    <t>Los maestros son los evaluadores de su propio efecto</t>
  </si>
  <si>
    <t>Magistri sunt aestimatores proprii effectus</t>
  </si>
  <si>
    <t>Teachers are the evaluators of their own effect</t>
  </si>
  <si>
    <t>El aprendizaje visible significa que el aprendizaje es el objetivo explícito</t>
  </si>
  <si>
    <t>Apprehensio visibilis significat apprehenionem obiectivum explicitum esse</t>
  </si>
  <si>
    <t>Visible learning means that learning is the explicit goal</t>
  </si>
  <si>
    <t>Visible Learning, 2009, p. 174</t>
  </si>
  <si>
    <t>La mente es un papel en blanco, vacío de caracteres, que se llena con la experiencia</t>
  </si>
  <si>
    <t>Mens est tabula rasa quae experientia impletur</t>
  </si>
  <si>
    <t>The mind is a white paper, void of all characters, filled by experience</t>
  </si>
  <si>
    <t>John Locke</t>
  </si>
  <si>
    <t>An Essay Concerning Human Understanding, 1690, Book II, Chapter I, Sec. 2</t>
  </si>
  <si>
    <t>El trabajo del maestro no consiste tanto en enseñar todo lo aprendible como en producir en el alumno amor y estima por el conocimiento</t>
  </si>
  <si>
    <t>Opus magistri non tam consistit in docendo omnia pretiosa quam in producendo in discipulo amore et aestimatione cognitionis</t>
  </si>
  <si>
    <t>The job of the teacher is not so much to teach all that is knowable, as to raise in him a love and esteem of knowledge</t>
  </si>
  <si>
    <t>Some Thoughts Concerning Education, 1693, Section 195</t>
  </si>
  <si>
    <t>No hay nada en el intelecto que no haya estado antes en los sentidos</t>
  </si>
  <si>
    <t>Nothing is in the intellect that was not first in the senses</t>
  </si>
  <si>
    <t>An Essay Concerning Human Understanding, 1690, Book II, Chapter I</t>
  </si>
  <si>
    <t>La lectura proporciona a la mente solo materiales de conocimiento; es pensar lo que hace que lo que leemos sea nuestro</t>
  </si>
  <si>
    <t>Lectio menti tantum materias cognitionis praebet; cogitare est quod facit ut quod legimus nostrum sit</t>
  </si>
  <si>
    <t>Reading furnishes the mind only with materials of knowledge; it is thinking makes what we read ours</t>
  </si>
  <si>
    <t>Of the Conduct of the Understanding, 1706, Section 42</t>
  </si>
  <si>
    <t>Considero que la verdadera causa de que los hombres no conozcan mejor las cosas es que se contentan con palabras</t>
  </si>
  <si>
    <t>Censeo veram causam cur homines res melius non cognoscant esse quod verbis contenti sunt</t>
  </si>
  <si>
    <t>I am apt to imagine that were the imperfections of language more thoroughly weighed, a great many of the controversies in the world would cease of themselves</t>
  </si>
  <si>
    <t>An Essay Concerning Human Understanding, 1690, Book III, Chapter IX, Sec. 21</t>
  </si>
  <si>
    <t>Las acciones de los hombres son los mejores intérpretes de sus pensamientos</t>
  </si>
  <si>
    <t>Actiones hominum sunt optimi interpretes cogitationum suarum</t>
  </si>
  <si>
    <t>The actions of men are the best interpreters of their thoughts</t>
  </si>
  <si>
    <t>An Essay Concerning Human Understanding, 1690, Book I, Chapter III, Sec. 3</t>
  </si>
  <si>
    <t>La verdadera educación consiste en abrir la mente, no en llenarla</t>
  </si>
  <si>
    <t>Vera educatio consistit in mente aperienda, non implenda</t>
  </si>
  <si>
    <t>True education consists in opening the mind, not in filling it</t>
  </si>
  <si>
    <t>Rabindranath Tagore</t>
  </si>
  <si>
    <t>The Religion of Man, 1917, p. 80</t>
  </si>
  <si>
    <t>La educación más alta es la que armoniza la vida con toda la existencia</t>
  </si>
  <si>
    <t>Educatio altissima est quae vitam cum omni existentia componit</t>
  </si>
  <si>
    <t>The highest education is that which does not merely give us information but makes our life in harmony with all existence</t>
  </si>
  <si>
    <t>The Religion of Man, 1917, p. 82</t>
  </si>
  <si>
    <t>No puedes cruzar el mar simplemente mirando el agua</t>
  </si>
  <si>
    <t>Non potes mare transire solum aquam spectando</t>
  </si>
  <si>
    <t>You can't cross the sea merely by staring at the water</t>
  </si>
  <si>
    <t>The Religion of Man, 1917, p. 88</t>
  </si>
  <si>
    <t>Un maestro nunca puede enseñar verdaderamente si deja de aprender</t>
  </si>
  <si>
    <t>Magister numquam vere docere potest nisi ipse adhuc discat</t>
  </si>
  <si>
    <t>A teacher can never truly teach unless he is still learning himself</t>
  </si>
  <si>
    <t>The Religion of Man, 1917, p. 91</t>
  </si>
  <si>
    <t>Los niños son artistas vivos; los adultos, artistas vividos</t>
  </si>
  <si>
    <t>Pueri sunt artifices vivi; adulti, artifices victi</t>
  </si>
  <si>
    <t>Children are living artists; adults are lived artists</t>
  </si>
  <si>
    <t>The Parrot's Training and Other Essays on Education, 1920</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</si>
  <si>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</si>
  <si>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</si>
  <si>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</si>
  <si>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</si>
  <si>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Learning, Creating, and Using Knowledge, 1998</t>
  </si>
  <si>
    <t>Los mapas conceptuales son herramientas para organizar y representar conocimiento</t>
  </si>
  <si>
    <t>Mappae conceptuales sunt instrumenta ad cognitionem organizandam et repraesentandam</t>
  </si>
  <si>
    <t>Concept maps are tools for organizing and representing knowledge</t>
  </si>
  <si>
    <t>Learning How to Learn, 1984</t>
  </si>
  <si>
    <t>El aprendizaje significativo ocurre cuando el estudiante relaciona conscientemente nuevos conceptos con conceptos que ya posee</t>
  </si>
  <si>
    <t>Apprehensio significativa evenit cum discipulus conscienter conceptus novos cum conceptibus iam possessis coniungit</t>
  </si>
  <si>
    <t>Meaningful learning occurs when the learner consciously relates new concepts to concepts already possessed</t>
  </si>
  <si>
    <t>Journal of Research in Science Teaching, 27(10), 1990</t>
  </si>
  <si>
    <t>Los mapas conceptuales ayudan al estudiante a ver el significado del material de aprendizaje</t>
  </si>
  <si>
    <t>Mappae conceptuales adiuvant discipulum videre significationem materiae discendae</t>
  </si>
  <si>
    <t>Concept maps help the student to see the meaning of learning material</t>
  </si>
  <si>
    <t>Aprender significativamente es aprender a aprender</t>
  </si>
  <si>
    <t>Discere significative est discere discere</t>
  </si>
  <si>
    <t>Learning meaningfully is learning to learn</t>
  </si>
  <si>
    <t>El factor más importante que influye en el aprendizaje es lo que el alumno ya sabe. Averígüelo y enséñele en consecuencia</t>
  </si>
  <si>
    <t>Maximum momentum quod in apprehensionem influit est id quod discipulus iam scit. Hoc investiga et secundum hoc doce</t>
  </si>
  <si>
    <t>The most important single factor influencing learning is what the learner already knows. Ascertain this and teach him accordingly</t>
  </si>
  <si>
    <t>David Ausubel</t>
  </si>
  <si>
    <t>Educational Psychology: A Cognitive View, 1968, p. 18</t>
  </si>
  <si>
    <t>El aprendizaje significativo ocurre cuando una nueva información se conecta con un concepto relevante preexistente</t>
  </si>
  <si>
    <t>Apprehensio significativa evenit cum nova informatio cum conceptu relevanti praeexistenti connectitur</t>
  </si>
  <si>
    <t>Meaningful learning occurs when new information connects with a relevant preexisting concept</t>
  </si>
  <si>
    <t>Educational Psychology: A Cognitive View, 1968, pp. 21-22</t>
  </si>
  <si>
    <t>La esencia del proceso de aprendizaje significativo: ideas simbólicas relacionadas no arbitrariamente con lo que el alumno ya sabe</t>
  </si>
  <si>
    <t>Essentia processus apprehensionis significativae: ideae symbolicae non arbitrarie cum eo quod discipulus iam scit relatae</t>
  </si>
  <si>
    <t>The essence of meaningful learning: symbolic ideas related non-arbitrarily to what the learner already knows</t>
  </si>
  <si>
    <t>Educational Psychology: A Cognitive View, 1968, p. 22</t>
  </si>
  <si>
    <t>El alumno debe manifestar disposición para relacionar sustancialmente el nuevo material con su estructura cognitiva</t>
  </si>
  <si>
    <t>Discipulus dispositionem manifestare debet ad novam materiam substantialiter cum structura sua cognitiva conectendam</t>
  </si>
  <si>
    <t>The learner must manifest willingness to relate the new material substantially to his cognitive structure</t>
  </si>
  <si>
    <t>Educational Psychology: A Cognitive View, 1968, p. 23</t>
  </si>
  <si>
    <t>Los organizadores previos facilitan la asimilación</t>
  </si>
  <si>
    <t>Organizatores praeii assimilationem facilitant</t>
  </si>
  <si>
    <t>Advance organizers facilitate assimilation</t>
  </si>
  <si>
    <t>Educational Psychology: A Cognitive View, 1968, pp. 23-24</t>
  </si>
  <si>
    <t>El aprendizaje por descubrimiento no es necesariamente significativo</t>
  </si>
  <si>
    <t>Apprehensio per inventionem non necessario significativa est</t>
  </si>
  <si>
    <t>Discovery learning is not necessarily meaningful</t>
  </si>
  <si>
    <t>Educational Psychology: A Cognitive View, 1968, p. 27</t>
  </si>
  <si>
    <t>La adquisición de un cuerpo de conocimiento claro, estable y organizado es la variable más significativa para adquirir nuevos conocimientos</t>
  </si>
  <si>
    <t>Acquisitio corporis cognitionis clari, stabilis et organizati est variabilis maxime significativa ad novas cognitiones acquirendas</t>
  </si>
  <si>
    <t>The acquisition of a clear, stable and organized body of knowledge is the most significant variable for acquiring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</si>
  <si>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</si>
  <si>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</si>
  <si>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</si>
  <si>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</si>
  <si>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</si>
  <si>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</si>
  <si>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</si>
  <si>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</si>
  <si>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</si>
  <si>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</si>
  <si>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</si>
  <si>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</si>
  <si>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</si>
  <si>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</si>
  <si>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</si>
  <si>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</si>
  <si>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</si>
  <si>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</si>
  <si>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</si>
  <si>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</si>
  <si>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</si>
  <si>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</si>
  <si>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</si>
  <si>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</si>
  <si>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</si>
  <si>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</si>
  <si>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</si>
  <si>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</si>
  <si>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</si>
  <si>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</si>
  <si>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</si>
  <si>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</si>
  <si>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</si>
  <si>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</si>
  <si>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</si>
  <si>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</si>
  <si>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</si>
  <si>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</si>
  <si>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</si>
  <si>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</si>
  <si>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</si>
  <si>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</si>
  <si>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</si>
  <si>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</si>
  <si>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</si>
  <si>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</si>
  <si>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</si>
  <si>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</si>
  <si>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</si>
  <si>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</si>
  <si>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</si>
  <si>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</si>
  <si>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</si>
  <si>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</si>
  <si>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</si>
  <si>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</si>
  <si>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</si>
  <si>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</si>
  <si>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</si>
  <si>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</si>
  <si>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</si>
  <si>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</si>
  <si>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</si>
  <si>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</si>
  <si>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</si>
  <si>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</si>
  <si>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</si>
  <si>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</si>
  <si>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</si>
  <si>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</si>
  <si>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</si>
  <si>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</si>
  <si>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</si>
  <si>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</si>
  <si>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</si>
  <si>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</si>
  <si>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</si>
  <si>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</si>
  <si>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</si>
  <si>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</si>
  <si>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</si>
  <si>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</si>
  <si>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</si>
  <si>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</si>
  <si>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</si>
  <si>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</si>
  <si>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</si>
  <si>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</si>
  <si>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</si>
  <si>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</si>
  <si>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</si>
  <si>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</si>
  <si>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</si>
  <si>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</si>
  <si>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</si>
  <si>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</si>
  <si>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</si>
  <si>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</si>
  <si>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</si>
  <si>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</si>
  <si>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</si>
  <si>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</si>
  <si>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</si>
  <si>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</si>
  <si>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</si>
  <si>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</si>
  <si>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</si>
  <si>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</si>
  <si>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</si>
  <si>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</si>
  <si>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</si>
  <si>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</si>
  <si>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</si>
  <si>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</si>
  <si>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</si>
  <si>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</si>
  <si>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</si>
  <si>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</si>
  <si>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</si>
  <si>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</si>
  <si>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</si>
  <si>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</si>
  <si>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</si>
  <si>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</si>
  <si>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</si>
  <si>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</si>
  <si>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</si>
  <si>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</si>
  <si>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</si>
  <si>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</si>
  <si>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</si>
  <si>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</si>
  <si>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</si>
  <si>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</si>
  <si>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</si>
  <si>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</si>
  <si>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</si>
  <si>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</si>
  <si>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</si>
  <si>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</si>
  <si>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</si>
  <si>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</si>
  <si>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</si>
  <si>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</si>
  <si>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</si>
  <si>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</si>
  <si>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</si>
  <si>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</si>
  <si>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</si>
  <si>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</si>
  <si>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</si>
  <si>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</si>
  <si>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</si>
  <si>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</si>
  <si>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</si>
  <si>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</si>
  <si>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</si>
  <si>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</si>
  <si>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</si>
  <si>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</si>
  <si>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</si>
  <si>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</si>
  <si>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</si>
  <si>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</si>
  <si>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</si>
  <si>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</si>
  <si>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</si>
  <si>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</si>
  <si>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</si>
  <si>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</si>
  <si>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</si>
  <si>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</si>
  <si>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</si>
  <si>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</si>
  <si>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</si>
  <si>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</si>
  <si>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</si>
  <si>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</si>
  <si>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</si>
  <si>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</si>
  <si>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</si>
  <si>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</si>
  <si>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</si>
  <si>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</si>
  <si>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</si>
  <si>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</si>
  <si>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</si>
  <si>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</si>
  <si>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</si>
  <si>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</si>
  <si>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</si>
  <si>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</si>
  <si>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</si>
  <si>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</si>
  <si>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</si>
  <si>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</si>
  <si>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</si>
  <si>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</si>
  <si>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</si>
  <si>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</si>
  <si>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</si>
  <si>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</si>
  <si>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</si>
  <si>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</si>
  <si>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</si>
  <si>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</si>
  <si>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</si>
  <si>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</si>
  <si>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</si>
  <si>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</si>
  <si>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</si>
  <si>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</si>
  <si>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</si>
  <si>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</si>
  <si>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</si>
  <si>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</si>
  <si>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</si>
  <si>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</si>
  <si>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</si>
  <si>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</si>
  <si>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</si>
  <si>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</si>
  <si>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</si>
  <si>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</si>
  <si>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</si>
  <si>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</si>
  <si>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</si>
  <si>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</si>
  <si>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</si>
  <si>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</si>
  <si>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</si>
  <si>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</si>
  <si>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</si>
  <si>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</si>
  <si>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</si>
  <si>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</si>
  <si>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</si>
  <si>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</si>
  <si>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</si>
  <si>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</si>
  <si>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</si>
  <si>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</si>
  <si>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</si>
  <si>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</si>
  <si>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</si>
  <si>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</si>
  <si>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</si>
  <si>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</si>
  <si>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</si>
  <si>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</si>
  <si>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</si>
  <si>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</si>
  <si>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</si>
  <si>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</si>
  <si>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</si>
  <si>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</si>
  <si>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</si>
  <si>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</si>
  <si>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</si>
  <si>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</si>
  <si>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</si>
  <si>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</si>
  <si>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</si>
  <si>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</si>
  <si>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</si>
  <si>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</si>
  <si>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</si>
  <si>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</si>
  <si>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</si>
  <si>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</si>
  <si>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</si>
  <si>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</si>
  <si>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</si>
  <si>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</si>
  <si>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</si>
  <si>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</si>
  <si>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</si>
  <si>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</si>
  <si>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</si>
  <si>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</si>
  <si>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</si>
  <si>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</si>
  <si>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</si>
  <si>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</si>
  <si>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</si>
  <si>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</si>
  <si>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</si>
  <si>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</si>
  <si>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</si>
  <si>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</si>
  <si>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</si>
  <si>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</si>
  <si>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</si>
  <si>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</si>
  <si>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</si>
  <si>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</si>
  <si>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</si>
  <si>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</si>
  <si>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</si>
  <si>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</si>
  <si>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</si>
  <si>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</si>
  <si>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</si>
  <si>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</si>
  <si>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</si>
  <si>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</si>
  <si>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</si>
  <si>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</si>
  <si>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</si>
  <si>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</si>
  <si>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</si>
  <si>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</si>
  <si>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</si>
  <si>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</si>
  <si>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</si>
  <si>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</si>
  <si>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</si>
  <si>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</si>
  <si>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</si>
  <si>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</si>
  <si>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</si>
  <si>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</si>
  <si>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</si>
  <si>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</si>
  <si>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</si>
  <si>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</si>
  <si>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</si>
  <si>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</si>
  <si>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</si>
  <si>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</si>
  <si>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</si>
  <si>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</si>
  <si>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</si>
  <si>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</si>
  <si>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</si>
  <si>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</si>
  <si>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</si>
  <si>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</si>
  <si>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</si>
  <si>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</si>
  <si>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</si>
  <si>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</si>
  <si>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</si>
  <si>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</si>
  <si>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</si>
  <si>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</si>
  <si>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</si>
  <si>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</si>
  <si>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</si>
  <si>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</si>
  <si>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</si>
  <si>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</si>
  <si>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</si>
  <si>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</si>
  <si>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</si>
  <si>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</si>
  <si>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</si>
  <si>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</si>
  <si>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</si>
  <si>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</si>
  <si>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</si>
  <si>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</si>
  <si>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</si>
  <si>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</si>
  <si>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</si>
  <si>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</si>
  <si>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</si>
  <si>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</si>
  <si>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</si>
  <si>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</si>
  <si>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</si>
  <si>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</si>
  <si>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</si>
  <si>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</si>
  <si>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</si>
  <si>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</si>
  <si>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</si>
  <si>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</si>
  <si>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</si>
  <si>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</si>
  <si>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</si>
  <si>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</si>
  <si>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</si>
  <si>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</si>
  <si>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</si>
  <si>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</si>
  <si>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</si>
  <si>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</si>
  <si>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</si>
  <si>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</si>
  <si>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</si>
  <si>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</si>
  <si>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</si>
  <si>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</si>
  <si>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</si>
  <si>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</si>
  <si>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</si>
  <si>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</si>
  <si>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</si>
  <si>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</si>
  <si>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</si>
  <si>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</si>
  <si>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</si>
  <si>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</si>
  <si>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</si>
  <si>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</si>
  <si>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</si>
  <si>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</si>
  <si>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</si>
  <si>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</si>
  <si>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</si>
  <si>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</si>
  <si>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</si>
  <si>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</si>
  <si>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</si>
  <si>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</si>
  <si>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</si>
  <si>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</si>
  <si>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</si>
  <si>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</si>
  <si>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</si>
  <si>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</si>
  <si>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</si>
  <si>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</si>
  <si>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</si>
  <si>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</si>
  <si>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</si>
  <si>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</si>
  <si>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</si>
  <si>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</si>
  <si>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</si>
  <si>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</si>
  <si>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</si>
  <si>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</si>
  <si>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</si>
  <si>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</si>
  <si>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</si>
  <si>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</si>
  <si>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</si>
  <si>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</si>
  <si>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</si>
  <si>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</si>
  <si>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</si>
  <si>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</si>
  <si>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</si>
  <si>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</si>
  <si>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</si>
  <si>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</si>
  <si>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</si>
  <si>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</si>
  <si>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</si>
  <si>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</si>
  <si>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</si>
  <si>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</si>
  <si>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</si>
  <si>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</si>
  <si>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</si>
  <si>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</si>
  <si>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</si>
  <si>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</si>
  <si>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</si>
  <si>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</si>
  <si>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</si>
  <si>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</si>
  <si>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</si>
  <si>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</si>
  <si>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</si>
  <si>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</si>
  <si>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</si>
  <si>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</si>
  <si>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</si>
  <si>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</si>
  <si>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</si>
  <si>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</si>
  <si>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</si>
  <si>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</si>
  <si>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</si>
  <si>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</si>
  <si>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</si>
  <si>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</si>
  <si>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</si>
  <si>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</si>
  <si>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</si>
  <si>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</si>
  <si>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</si>
  <si>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</si>
  <si>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</si>
  <si>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</si>
  <si>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</si>
  <si>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</si>
  <si>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</si>
  <si>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</si>
  <si>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</si>
  <si>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</si>
  <si>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</si>
  <si>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</si>
  <si>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</si>
  <si>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</si>
  <si>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</si>
  <si>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</si>
  <si>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</si>
  <si>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</si>
  <si>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</si>
  <si>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</si>
  <si>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</si>
  <si>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</si>
  <si>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</si>
  <si>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</si>
  <si>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</si>
  <si>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</si>
  <si>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</si>
  <si>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</si>
  <si>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</si>
  <si>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</si>
  <si>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</si>
  <si>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</si>
  <si>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</si>
  <si>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</si>
  <si>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</si>
  <si>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</si>
  <si>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</si>
  <si>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</si>
  <si>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</si>
  <si>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</si>
  <si>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</si>
  <si>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</si>
  <si>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</si>
  <si>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</si>
  <si>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</si>
  <si>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</si>
  <si>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</si>
  <si>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</si>
  <si>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</si>
  <si>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</si>
  <si>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</si>
  <si>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</si>
  <si>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</si>
  <si>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</si>
  <si>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</si>
  <si>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</si>
  <si>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</si>
  <si>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</si>
  <si>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</si>
  <si>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</si>
  <si>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</si>
  <si>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</si>
  <si>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</si>
  <si>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</si>
  <si>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</si>
  <si>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</si>
  <si>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</si>
  <si>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</si>
  <si>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</si>
  <si>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</si>
  <si>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</si>
  <si>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</si>
  <si>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</si>
  <si>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</si>
  <si>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</si>
  <si>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</si>
  <si>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</si>
  <si>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</si>
  <si>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</si>
  <si>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</si>
  <si>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</si>
  <si>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</si>
  <si>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</si>
  <si>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</si>
  <si>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</si>
  <si>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</si>
  <si>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</si>
  <si>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</si>
  <si>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</si>
  <si>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</si>
  <si>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</si>
  <si>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</si>
  <si>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</si>
  <si>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</si>
  <si>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</si>
  <si>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</si>
  <si>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</si>
  <si>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</si>
  <si>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</si>
  <si>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</si>
  <si>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</si>
  <si>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</si>
  <si>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</si>
  <si>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</si>
  <si>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</si>
  <si>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</si>
  <si>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</si>
  <si>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</si>
  <si>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</si>
  <si>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</si>
  <si>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</si>
  <si>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</si>
  <si>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</si>
  <si>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</si>
  <si>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</si>
  <si>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</si>
  <si>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</si>
  <si>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</si>
  <si>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</si>
  <si>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</si>
  <si>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</si>
  <si>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</si>
  <si>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</si>
  <si>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</si>
  <si>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</si>
  <si>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</si>
  <si>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</si>
  <si>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</si>
  <si>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</si>
  <si>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</si>
  <si>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</si>
  <si>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</si>
  <si>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</si>
  <si>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</si>
  <si>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</si>
  <si>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</si>
  <si>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</si>
  <si>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</si>
  <si>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</si>
  <si>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</si>
  <si>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</si>
  <si>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</si>
  <si>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</si>
  <si>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</si>
  <si>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</si>
  <si>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</si>
  <si>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</si>
  <si>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</si>
  <si>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</si>
  <si>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</si>
  <si>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</si>
  <si>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</si>
  <si>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</si>
  <si>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</si>
  <si>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</si>
  <si>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</si>
  <si>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</si>
  <si>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</si>
  <si>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</si>
  <si>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</si>
  <si>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</si>
  <si>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</si>
  <si>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</si>
  <si>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</si>
  <si>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</si>
  <si>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</si>
  <si>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</si>
  <si>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</si>
  <si>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</si>
  <si>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</si>
  <si>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</si>
  <si>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</si>
  <si>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</si>
  <si>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</si>
  <si>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</si>
  <si>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</si>
  <si>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</si>
  <si>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</si>
  <si>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</si>
  <si>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</si>
  <si>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</si>
  <si>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</si>
  <si>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</si>
  <si>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</si>
  <si>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</si>
  <si>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</si>
  <si>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</si>
  <si>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</si>
  <si>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</si>
  <si>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</si>
  <si>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</si>
  <si>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</si>
  <si>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</si>
  <si>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</si>
  <si>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</si>
  <si>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</si>
  <si>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</si>
  <si>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</si>
  <si>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</si>
  <si>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</si>
  <si>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</si>
  <si>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</si>
  <si>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</si>
  <si>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</si>
  <si>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</si>
  <si>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</si>
  <si>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</si>
  <si>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</si>
  <si>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</si>
  <si>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</si>
  <si>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</si>
  <si>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</si>
  <si>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</si>
  <si>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</si>
  <si>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</si>
  <si>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</si>
  <si>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</si>
  <si>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</si>
  <si>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</si>
  <si>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</si>
  <si>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</si>
  <si>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</si>
  <si>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</si>
  <si>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</si>
  <si>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</si>
  <si>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</si>
  <si>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</si>
  <si>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</si>
  <si>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</si>
  <si>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</si>
  <si>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</si>
  <si>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</si>
  <si>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</si>
  <si>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</si>
  <si>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</si>
  <si>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</si>
  <si>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</si>
  <si>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</si>
  <si>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</si>
  <si>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</si>
  <si>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</si>
  <si>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</si>
  <si>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</si>
  <si>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</si>
  <si>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</si>
  <si>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</si>
  <si>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</si>
  <si>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</si>
  <si>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</si>
  <si>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</si>
  <si>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</si>
  <si>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</si>
  <si>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</si>
  <si>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</si>
  <si>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</si>
  <si>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</si>
  <si>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</si>
  <si>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</si>
  <si>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</si>
  <si>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</si>
  <si>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</si>
  <si>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</si>
  <si>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</si>
  <si>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</si>
  <si>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</si>
  <si>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</si>
  <si>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</si>
  <si>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</si>
  <si>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</si>
  <si>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</si>
  <si>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</si>
  <si>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</si>
  <si>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</si>
  <si>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</si>
  <si>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</si>
  <si>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</si>
  <si>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</si>
  <si>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</si>
  <si>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</si>
  <si>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</si>
  <si>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</si>
  <si>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</si>
  <si>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</si>
  <si>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</si>
  <si>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</si>
  <si>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</si>
  <si>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</si>
  <si>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</si>
  <si>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</si>
  <si>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</si>
  <si>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</si>
  <si>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</si>
  <si>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</si>
  <si>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</si>
  <si>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</si>
  <si>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</si>
  <si>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</si>
  <si>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</si>
  <si>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</si>
  <si>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</si>
  <si>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</si>
  <si>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</si>
  <si>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</si>
  <si>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</si>
  <si>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</si>
  <si>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</si>
  <si>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</si>
  <si>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</si>
  <si>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</si>
  <si>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</si>
  <si>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</si>
  <si>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</si>
  <si>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</si>
  <si>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</si>
  <si>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</si>
  <si>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</si>
  <si>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</si>
  <si>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</si>
  <si>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</si>
  <si>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</si>
  <si>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</si>
  <si>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</si>
  <si>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</si>
  <si>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</si>
  <si>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</si>
  <si>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</si>
  <si>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</si>
  <si>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</si>
  <si>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</si>
  <si>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</si>
  <si>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</si>
  <si>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</si>
  <si>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</si>
  <si>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</si>
  <si>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</si>
  <si>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</si>
  <si>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</si>
  <si>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</si>
  <si>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</si>
  <si>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</si>
  <si>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</si>
  <si>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</si>
  <si>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</si>
  <si>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</si>
  <si>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</si>
  <si>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</si>
  <si>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</si>
  <si>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</si>
  <si>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</si>
  <si>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</si>
  <si>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</si>
  <si>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</si>
  <si>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</si>
  <si>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</si>
  <si>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</si>
  <si>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</si>
  <si>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</si>
  <si>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</si>
  <si>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</si>
  <si>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</si>
  <si>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</si>
  <si>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</si>
  <si>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</si>
  <si>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</si>
  <si>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</si>
  <si>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</si>
  <si>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</si>
  <si>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</si>
  <si>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</si>
  <si>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</si>
  <si>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</si>
  <si>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</si>
  <si>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</si>
  <si>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</si>
  <si>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</si>
  <si>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</si>
  <si>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</si>
  <si>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</si>
  <si>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</si>
  <si>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</si>
  <si>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</si>
  <si>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</si>
  <si>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</si>
  <si>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</si>
  <si>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</si>
  <si>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</si>
  <si>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</si>
  <si>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</si>
  <si>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</si>
  <si>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</si>
  <si>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</si>
  <si>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</si>
  <si>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</si>
  <si>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</si>
  <si>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</si>
  <si>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</si>
  <si>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</si>
  <si>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</si>
  <si>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</si>
  <si>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</si>
  <si>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</si>
  <si>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</si>
  <si>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</si>
  <si>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</si>
  <si>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</si>
  <si>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</si>
  <si>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</si>
  <si>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</si>
  <si>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</si>
  <si>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</si>
  <si>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</si>
  <si>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</si>
  <si>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</si>
  <si>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</si>
  <si>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</si>
  <si>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</si>
  <si>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</si>
  <si>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</si>
  <si>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</si>
  <si>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</si>
  <si>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</si>
  <si>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</si>
  <si>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</si>
  <si>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</si>
  <si>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</si>
  <si>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</si>
  <si>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</si>
  <si>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</si>
  <si>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</si>
  <si>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</si>
  <si>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</si>
  <si>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</si>
  <si>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</si>
  <si>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</si>
  <si>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</si>
  <si>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</si>
  <si>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</si>
  <si>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</si>
  <si>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</si>
  <si>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</si>
  <si>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</si>
  <si>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</si>
  <si>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</si>
  <si>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</si>
  <si>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</si>
  <si>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</si>
  <si>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</si>
  <si>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</si>
  <si>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</si>
  <si>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</si>
  <si>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</si>
  <si>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</si>
  <si>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</si>
  <si>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</si>
  <si>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</si>
  <si>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</si>
  <si>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</si>
  <si>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</si>
  <si>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</si>
  <si>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</si>
  <si>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</si>
  <si>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</si>
  <si>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</si>
  <si>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</si>
  <si>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</si>
  <si>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</si>
  <si>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</si>
  <si>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</si>
  <si>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</si>
  <si>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</si>
  <si>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</si>
  <si>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</si>
  <si>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</si>
  <si>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</si>
  <si>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</si>
  <si>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</si>
  <si>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</si>
  <si>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</si>
  <si>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</si>
  <si>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</si>
  <si>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</si>
  <si>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</si>
  <si>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</si>
  <si>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</si>
  <si>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</si>
  <si>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</si>
  <si>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</si>
  <si>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</si>
  <si>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</si>
  <si>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</si>
  <si>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</si>
  <si>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</si>
  <si>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</si>
  <si>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</si>
  <si>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</si>
  <si>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</si>
  <si>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</si>
  <si>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</si>
  <si>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</si>
  <si>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</si>
  <si>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</si>
  <si>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</si>
  <si>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</si>
  <si>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</si>
  <si>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</si>
  <si>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</si>
  <si>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</si>
  <si>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</si>
  <si>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</si>
  <si>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</si>
  <si>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</si>
  <si>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</si>
  <si>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</si>
  <si>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</si>
  <si>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</si>
  <si>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</si>
  <si>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</si>
  <si>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</si>
  <si>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</si>
  <si>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</si>
  <si>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</si>
  <si>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</si>
  <si>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</si>
  <si>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</si>
  <si>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</si>
  <si>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</si>
  <si>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</si>
  <si>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</si>
  <si>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</si>
  <si>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</si>
  <si>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</si>
  <si>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</si>
  <si>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</si>
  <si>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</si>
  <si>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</si>
  <si>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</si>
  <si>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</si>
  <si>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</si>
  <si>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</si>
  <si>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</si>
  <si>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</si>
  <si>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</si>
  <si>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</si>
  <si>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</si>
  <si>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</si>
  <si>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</si>
  <si>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</si>
  <si>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</si>
  <si>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</si>
  <si>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</si>
  <si>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</si>
  <si>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</si>
  <si>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</si>
  <si>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</si>
  <si>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</si>
  <si>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</si>
  <si>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</si>
  <si>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</si>
  <si>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</si>
  <si>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</si>
  <si>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</si>
  <si>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</si>
  <si>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</si>
  <si>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</si>
  <si>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</si>
  <si>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</si>
  <si>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</si>
  <si>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</si>
  <si>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</si>
  <si>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</si>
  <si>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</si>
  <si>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</si>
  <si>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</si>
  <si>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</si>
  <si>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</si>
  <si>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</si>
  <si>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</si>
  <si>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</si>
  <si>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</si>
  <si>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</si>
  <si>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</si>
  <si>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</si>
  <si>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</si>
  <si>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</si>
  <si>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</si>
  <si>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</si>
  <si>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</si>
  <si>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</si>
  <si>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</si>
  <si>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</si>
  <si>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</si>
  <si>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</si>
  <si>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</si>
  <si>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</si>
  <si>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</si>
  <si>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</si>
  <si>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</si>
  <si>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</si>
  <si>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</si>
  <si>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</si>
  <si>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</si>
  <si>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</si>
  <si>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</si>
  <si>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</si>
  <si>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</si>
  <si>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</si>
  <si>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</si>
  <si>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</si>
  <si>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</si>
  <si>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</si>
  <si>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</si>
  <si>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</si>
  <si>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</si>
  <si>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</si>
  <si>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</si>
  <si>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</si>
  <si>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</si>
  <si>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</si>
  <si>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</si>
  <si>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</si>
  <si>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</si>
  <si>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</si>
  <si>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</si>
  <si>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</si>
  <si>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</si>
  <si>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</si>
  <si>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</si>
  <si>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</si>
  <si>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</si>
  <si>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</si>
  <si>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</si>
  <si>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</si>
  <si>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</si>
  <si>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</si>
  <si>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</si>
  <si>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</si>
  <si>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</si>
  <si>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</si>
  <si>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</si>
  <si>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</si>
  <si>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</si>
  <si>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</si>
  <si>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</si>
  <si>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</si>
  <si>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</si>
  <si>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</si>
  <si>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</si>
  <si>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</si>
  <si>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</si>
  <si>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</si>
  <si>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</si>
  <si>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</si>
  <si>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</si>
  <si>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</si>
  <si>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</si>
  <si>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</si>
  <si>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</si>
  <si>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</si>
  <si>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</si>
  <si>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</si>
  <si>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</si>
  <si>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</si>
  <si>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</si>
  <si>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</si>
  <si>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</si>
  <si>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</si>
  <si>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</si>
  <si>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</si>
  <si>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</si>
  <si>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</si>
  <si>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</si>
  <si>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</si>
  <si>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</si>
  <si>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</si>
  <si>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</si>
  <si>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</si>
  <si>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</si>
  <si>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</si>
  <si>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</si>
  <si>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</si>
  <si>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</si>
  <si>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</si>
  <si>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</si>
  <si>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</si>
  <si>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</si>
  <si>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</si>
  <si>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</si>
  <si>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</si>
  <si>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</si>
  <si>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</si>
  <si>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</si>
  <si>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</si>
  <si>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</si>
  <si>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</si>
  <si>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</si>
  <si>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</si>
  <si>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</si>
  <si>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</si>
  <si>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</si>
  <si>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</si>
  <si>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</si>
  <si>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</si>
  <si>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</si>
  <si>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</si>
  <si>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</si>
  <si>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</si>
  <si>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</si>
  <si>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</si>
  <si>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</si>
  <si>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</si>
  <si>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</si>
  <si>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</si>
  <si>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</si>
  <si>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</si>
  <si>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</si>
  <si>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</si>
  <si>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</si>
  <si>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</si>
  <si>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</si>
  <si>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</si>
  <si>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</si>
  <si>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</si>
  <si>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</si>
  <si>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</si>
  <si>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</si>
  <si>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</si>
  <si>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</si>
  <si>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</si>
  <si>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</si>
  <si>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</si>
  <si>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</si>
  <si>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</si>
  <si>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</si>
  <si>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</si>
  <si>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</si>
  <si>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</si>
  <si>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</si>
  <si>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</si>
  <si>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</si>
  <si>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</si>
  <si>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</si>
  <si>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</si>
  <si>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</si>
  <si>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</si>
  <si>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</si>
  <si>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</si>
  <si>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</si>
  <si>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</si>
  <si>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</si>
  <si>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</si>
  <si>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</si>
  <si>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</si>
  <si>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</si>
  <si>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</si>
  <si>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</si>
  <si>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</si>
  <si>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</si>
  <si>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</si>
  <si>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</si>
  <si>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</si>
  <si>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</si>
  <si>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</si>
  <si>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</si>
  <si>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</si>
  <si>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</si>
  <si>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</si>
  <si>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</si>
  <si>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</si>
  <si>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</si>
  <si>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</si>
  <si>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</si>
  <si>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</si>
  <si>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</si>
  <si>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</si>
  <si>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</si>
  <si>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</si>
  <si>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</si>
  <si>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</si>
  <si>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</si>
  <si>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</si>
  <si>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</si>
  <si>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</si>
  <si>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</si>
  <si>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</si>
  <si>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</si>
  <si>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</si>
  <si>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</si>
  <si>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</si>
  <si>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</si>
  <si>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</si>
  <si>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</si>
  <si>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</si>
  <si>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</si>
  <si>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</si>
  <si>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</si>
  <si>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</si>
  <si>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</si>
  <si>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</si>
  <si>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</si>
  <si>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</si>
  <si>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</si>
  <si>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</si>
  <si>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</si>
  <si>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</si>
  <si>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</si>
  <si>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</si>
  <si>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</si>
  <si>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</si>
  <si>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</si>
  <si>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</si>
  <si>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</si>
  <si>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</si>
  <si>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</si>
  <si>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</si>
  <si>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</si>
  <si>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</si>
  <si>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</si>
  <si>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</si>
  <si>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</si>
  <si>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</si>
  <si>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</si>
  <si>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</si>
  <si>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</si>
  <si>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</si>
  <si>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</si>
  <si>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</si>
  <si>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</si>
  <si>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</si>
  <si>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</si>
  <si>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</si>
  <si>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</si>
  <si>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</si>
  <si>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</si>
  <si>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</si>
  <si>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</si>
  <si>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</si>
  <si>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</si>
  <si>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</si>
  <si>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</si>
  <si>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</si>
  <si>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</si>
  <si>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</si>
  <si>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</si>
  <si>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</si>
  <si>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</si>
  <si>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</si>
  <si>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</si>
  <si>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</si>
  <si>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</si>
  <si>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</si>
  <si>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</si>
  <si>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</si>
  <si>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</si>
  <si>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</si>
  <si>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</si>
  <si>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</si>
  <si>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</si>
  <si>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</si>
  <si>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</si>
  <si>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</si>
  <si>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</si>
  <si>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</si>
  <si>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</si>
  <si>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</si>
  <si>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</si>
  <si>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</si>
  <si>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</si>
  <si>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</si>
  <si>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</si>
  <si>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</si>
  <si>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</si>
  <si>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</si>
  <si>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</si>
  <si>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</si>
  <si>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</si>
  <si>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</si>
  <si>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</si>
  <si>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</si>
  <si>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</si>
  <si>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</si>
  <si>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</si>
  <si>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</si>
  <si>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</si>
  <si>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</si>
  <si>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</si>
  <si>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</si>
  <si>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</si>
  <si>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</si>
  <si>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</si>
  <si>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</si>
  <si>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</si>
  <si>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</si>
  <si>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</si>
  <si>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</si>
  <si>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</si>
  <si>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</si>
  <si>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</si>
  <si>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</si>
  <si>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</si>
  <si>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</si>
  <si>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</si>
  <si>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</si>
  <si>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</si>
  <si>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</si>
  <si>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</si>
  <si>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</si>
  <si>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</si>
  <si>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</si>
  <si>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</si>
  <si>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</si>
  <si>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</si>
  <si>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</si>
  <si>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</si>
  <si>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</si>
  <si>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</si>
  <si>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</si>
  <si>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</si>
  <si>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</si>
  <si>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</si>
  <si>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</si>
  <si>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</si>
  <si>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</si>
  <si>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</si>
  <si>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</si>
  <si>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</si>
  <si>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</si>
  <si>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</si>
  <si>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</si>
  <si>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</si>
  <si>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</si>
  <si>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</si>
  <si>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</si>
  <si>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</si>
  <si>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</si>
  <si>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</si>
  <si>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</si>
  <si>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</si>
  <si>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</si>
  <si>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</si>
  <si>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</si>
  <si>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</si>
  <si>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</si>
  <si>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</si>
  <si>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</si>
  <si>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</si>
  <si>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</si>
  <si>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</si>
  <si>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</si>
  <si>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</si>
  <si>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</si>
  <si>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</si>
  <si>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</si>
  <si>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</si>
  <si>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</si>
  <si>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</si>
  <si>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</si>
  <si>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</si>
  <si>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</si>
  <si>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</si>
  <si>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</si>
  <si>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</si>
  <si>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</si>
  <si>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</si>
  <si>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</si>
  <si>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</si>
  <si>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</si>
  <si>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</si>
  <si>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</si>
  <si>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</si>
  <si>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</si>
  <si>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</si>
  <si>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</si>
  <si>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</si>
  <si>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</si>
  <si>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</si>
  <si>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</si>
  <si>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</si>
  <si>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</si>
  <si>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</si>
  <si>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</si>
  <si>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</si>
  <si>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</si>
  <si>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</si>
  <si>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</si>
  <si>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</si>
  <si>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</si>
  <si>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</si>
  <si>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</si>
  <si>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</si>
  <si>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</si>
  <si>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</si>
  <si>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</si>
  <si>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</si>
  <si>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</si>
  <si>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</si>
  <si>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</si>
  <si>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</si>
  <si>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</si>
  <si>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</si>
  <si>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</si>
  <si>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</si>
  <si>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</si>
  <si>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</si>
  <si>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</si>
  <si>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</si>
  <si>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</si>
  <si>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</si>
  <si>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</si>
  <si>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</si>
  <si>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</si>
  <si>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</si>
  <si>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</si>
  <si>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</si>
  <si>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</si>
  <si>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</si>
  <si>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</si>
  <si>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</si>
  <si>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</si>
  <si>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</si>
  <si>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</si>
  <si>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</si>
  <si>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</si>
  <si>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</si>
  <si>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</si>
  <si>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</si>
  <si>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</si>
  <si>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</si>
  <si>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</si>
  <si>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</si>
  <si>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</si>
  <si>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</si>
  <si>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</si>
  <si>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</si>
  <si>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</si>
  <si>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</si>
  <si>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</si>
  <si>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</si>
  <si>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</si>
  <si>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</si>
  <si>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</si>
  <si>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</si>
  <si>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</si>
  <si>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</si>
  <si>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</si>
  <si>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</si>
  <si>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</si>
  <si>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</si>
  <si>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</si>
  <si>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</si>
  <si>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</si>
  <si>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</si>
  <si>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</si>
  <si>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</si>
  <si>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</si>
  <si>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</si>
  <si>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</si>
  <si>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</si>
  <si>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</si>
  <si>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</si>
  <si>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</si>
  <si>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</si>
  <si>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</si>
  <si>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</si>
  <si>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</si>
  <si>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</si>
  <si>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</si>
  <si>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</si>
  <si>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</si>
  <si>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</si>
  <si>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</si>
  <si>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</si>
  <si>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</si>
  <si>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</si>
  <si>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</si>
  <si>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</si>
  <si>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</si>
  <si>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</si>
  <si>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</si>
  <si>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</si>
  <si>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</si>
  <si>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</si>
  <si>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</si>
  <si>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</si>
  <si>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</si>
  <si>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</si>
  <si>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</si>
  <si>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</si>
  <si>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</si>
  <si>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</si>
  <si>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</si>
  <si>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</si>
  <si>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</si>
  <si>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</si>
  <si>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</si>
  <si>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</si>
  <si>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</si>
  <si>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</si>
  <si>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</si>
  <si>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</si>
  <si>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</si>
  <si>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</si>
  <si>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</si>
  <si>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</si>
  <si>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</si>
  <si>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</si>
  <si>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</si>
  <si>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</si>
  <si>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</si>
  <si>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</si>
  <si>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</si>
  <si>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</si>
  <si>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</si>
  <si>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</si>
  <si>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</si>
  <si>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</si>
  <si>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</si>
  <si>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</si>
  <si>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</si>
  <si>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</si>
  <si>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</si>
  <si>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</si>
  <si>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</si>
  <si>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</si>
  <si>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</si>
  <si>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</si>
  <si>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</si>
  <si>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</si>
  <si>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</si>
  <si>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</si>
  <si>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</si>
  <si>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</si>
  <si>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</si>
  <si>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</si>
  <si>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</si>
  <si>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</si>
  <si>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</si>
  <si>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</si>
  <si>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</si>
  <si>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</si>
  <si>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</si>
  <si>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</si>
  <si>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</si>
  <si>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</si>
  <si>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</si>
  <si>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</si>
  <si>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</si>
  <si>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</si>
  <si>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</si>
  <si>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</si>
  <si>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</si>
  <si>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</si>
  <si>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</si>
  <si>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</si>
  <si>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</si>
  <si>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</si>
  <si>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</si>
  <si>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</si>
  <si>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</si>
  <si>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</si>
  <si>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</si>
  <si>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</si>
  <si>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</si>
  <si>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</si>
  <si>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</si>
  <si>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</si>
  <si>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</si>
  <si>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</si>
  <si>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</si>
  <si>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</si>
  <si>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</si>
  <si>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</si>
  <si>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</si>
  <si>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</si>
  <si>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</si>
  <si>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</si>
  <si>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</si>
  <si>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</si>
  <si>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</si>
  <si>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</si>
  <si>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</si>
  <si>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</si>
  <si>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</si>
  <si>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</si>
  <si>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</si>
  <si>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</si>
  <si>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</si>
  <si>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</si>
  <si>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</si>
  <si>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</si>
  <si>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</si>
  <si>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</si>
  <si>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</si>
  <si>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</si>
  <si>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</si>
  <si>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</si>
  <si>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</si>
  <si>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</si>
  <si>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</si>
  <si>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</si>
  <si>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</si>
  <si>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</si>
  <si>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</si>
  <si>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</si>
  <si>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</si>
  <si>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</si>
  <si>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</si>
  <si>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</si>
  <si>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</si>
  <si>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</si>
  <si>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</si>
  <si>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</si>
  <si>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</si>
  <si>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</si>
  <si>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</si>
  <si>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</si>
  <si>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</si>
  <si>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</si>
  <si>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</si>
  <si>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</si>
  <si>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</si>
  <si>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</si>
  <si>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</si>
  <si>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</si>
  <si>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</si>
  <si>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</si>
  <si>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</si>
  <si>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</si>
  <si>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</si>
  <si>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</si>
  <si>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</si>
  <si>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</si>
  <si>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</si>
  <si>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</si>
  <si>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</si>
  <si>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</si>
  <si>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</si>
  <si>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</si>
  <si>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</si>
  <si>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</si>
  <si>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</si>
  <si>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</si>
  <si>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</si>
  <si>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</si>
  <si>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</si>
  <si>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</si>
  <si>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</si>
  <si>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</si>
  <si>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</si>
  <si>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</si>
  <si>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</si>
  <si>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</si>
  <si>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</si>
  <si>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</si>
  <si>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</si>
  <si>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</si>
  <si>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</si>
  <si>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</si>
  <si>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</si>
  <si>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</si>
  <si>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</si>
  <si>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</si>
  <si>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</si>
  <si>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</si>
  <si>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</si>
  <si>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</si>
  <si>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</si>
  <si>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</si>
  <si>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</si>
  <si>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</si>
  <si>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</si>
  <si>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</si>
  <si>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</si>
  <si>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</si>
  <si>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</si>
  <si>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</si>
  <si>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</si>
  <si>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</si>
  <si>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</si>
  <si>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</si>
  <si>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</si>
  <si>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</si>
  <si>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</si>
  <si>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</si>
  <si>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</si>
  <si>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</si>
  <si>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</si>
  <si>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</si>
  <si>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</si>
  <si>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</si>
  <si>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</si>
  <si>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</si>
  <si>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</si>
  <si>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</si>
  <si>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</si>
  <si>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</si>
  <si>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</si>
  <si>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</si>
  <si>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</si>
  <si>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</si>
  <si>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</si>
  <si>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</si>
  <si>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</si>
  <si>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</si>
  <si>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</si>
  <si>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</si>
  <si>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</si>
  <si>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</si>
  <si>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</si>
  <si>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</si>
  <si>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</si>
  <si>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</si>
  <si>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</si>
  <si>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</si>
  <si>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</si>
  <si>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</si>
  <si>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</si>
  <si>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</si>
  <si>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</si>
  <si>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</si>
  <si>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</si>
  <si>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</si>
  <si>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</si>
  <si>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</si>
  <si>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</si>
  <si>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</si>
  <si>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</si>
  <si>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</si>
  <si>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</si>
  <si>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</si>
  <si>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</si>
  <si>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</si>
  <si>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</si>
  <si>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</si>
  <si>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</si>
  <si>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</si>
  <si>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</si>
  <si>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</si>
  <si>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</si>
  <si>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</si>
  <si>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</si>
  <si>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</si>
  <si>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</si>
  <si>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</si>
  <si>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</si>
  <si>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</si>
  <si>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</si>
  <si>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</si>
  <si>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</si>
  <si>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</si>
  <si>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</si>
  <si>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</si>
  <si>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</si>
  <si>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</si>
  <si>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</si>
  <si>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</si>
  <si>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</si>
  <si>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</si>
  <si>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</si>
  <si>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</si>
  <si>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</si>
  <si>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</si>
  <si>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</si>
  <si>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</si>
  <si>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</si>
  <si>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</si>
  <si>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</si>
  <si>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</si>
  <si>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</si>
  <si>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</si>
  <si>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</si>
  <si>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</si>
  <si>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</si>
  <si>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</si>
  <si>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</si>
  <si>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</si>
  <si>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</si>
  <si>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</si>
  <si>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</si>
  <si>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</si>
  <si>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</si>
  <si>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</si>
  <si>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</si>
  <si>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</si>
  <si>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</si>
  <si>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</si>
  <si>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</si>
  <si>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</si>
  <si>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</si>
  <si>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</si>
  <si>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</si>
  <si>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</si>
  <si>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</si>
  <si>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</si>
  <si>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</si>
  <si>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</si>
  <si>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</si>
  <si>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</si>
  <si>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</si>
  <si>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</si>
  <si>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</si>
  <si>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</si>
  <si>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</si>
  <si>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</si>
  <si>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</si>
  <si>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</si>
  <si>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</si>
  <si>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</si>
  <si>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</si>
  <si>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</si>
  <si>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</si>
  <si>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</si>
  <si>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</si>
  <si>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</si>
  <si>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</si>
  <si>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</si>
  <si>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</si>
  <si>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</si>
  <si>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</si>
  <si>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</si>
  <si>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</si>
  <si>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</si>
  <si>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</si>
  <si>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</si>
  <si>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</si>
  <si>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</si>
  <si>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</si>
  <si>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</si>
  <si>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</si>
  <si>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</si>
  <si>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</si>
  <si>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</si>
  <si>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</si>
  <si>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</si>
  <si>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</si>
  <si>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</si>
  <si>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</si>
  <si>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</si>
  <si>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</si>
  <si>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</si>
  <si>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</si>
  <si>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</si>
  <si>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</si>
  <si>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</si>
  <si>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</si>
  <si>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</si>
  <si>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</si>
  <si>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</si>
  <si>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</si>
  <si>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</si>
  <si>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</si>
  <si>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</si>
  <si>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</si>
  <si>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</si>
  <si>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</si>
  <si>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</si>
  <si>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</si>
  <si>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</si>
  <si>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</si>
  <si>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</si>
  <si>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</si>
  <si>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</si>
  <si>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</si>
  <si>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</si>
  <si>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</si>
  <si>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</si>
  <si>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</si>
  <si>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</si>
  <si>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</si>
  <si>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</si>
  <si>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</si>
  <si>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</si>
  <si>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</si>
  <si>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</si>
  <si>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</si>
  <si>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</si>
  <si>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</si>
  <si>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</si>
  <si>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</si>
  <si>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</si>
  <si>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</si>
  <si>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</si>
  <si>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</si>
  <si>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</si>
  <si>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</si>
  <si>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</si>
  <si>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</si>
  <si>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</si>
  <si>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</si>
  <si>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</si>
  <si>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</si>
  <si>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</si>
  <si>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</si>
  <si>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</si>
  <si>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</si>
  <si>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</si>
  <si>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</si>
  <si>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</si>
  <si>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</si>
  <si>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</si>
  <si>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</si>
  <si>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</si>
  <si>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</si>
  <si>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</si>
  <si>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</si>
  <si>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</si>
  <si>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</si>
  <si>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</si>
  <si>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</si>
  <si>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Κύρου Παιδεία, Βιβλίον Α, κεφ. 6</t>
  </si>
  <si>
    <t>La alabanza es el más dulce de todos los sonidos</t>
  </si>
  <si>
    <t>Laus dulcissima omnium sonorum est</t>
  </si>
  <si>
    <t>Ἐπαίνος γλυκυτάτη πάντων φωνή ἐστιν</t>
  </si>
  <si>
    <t>Οἰκονομικός 14.10</t>
  </si>
  <si>
    <t>El hombre cuerdo y prudente sabe sacar provecho incluso de sus enemigos</t>
  </si>
  <si>
    <t>Homo sapiens et prudens etiam ex hostibus commodum extrahere novit</t>
  </si>
  <si>
    <t>Φρόνιμος ἀνὴρ καὶ ἐξ ἐχθρῶν ὠφελεῖσθαι οἶδεν</t>
  </si>
  <si>
    <t>Ἀπομνημονεύματα, Βιβλίον Γ, κεφ. 11</t>
  </si>
  <si>
    <t>Interrogar es enseñar</t>
  </si>
  <si>
    <t>Interrogare docere est</t>
  </si>
  <si>
    <t>Ἐρωτᾶν διδάσκειν ἐστίν</t>
  </si>
  <si>
    <t>Ἀπομνημονεύματα, Βιβλίον Α</t>
  </si>
  <si>
    <t>La obediencia voluntaria siempre es mejor que la forzada</t>
  </si>
  <si>
    <t>Oboedientia voluntaria semper melior est quam coacta</t>
  </si>
  <si>
    <t>Ἡ ἑκούσια πειθὼ κρείττων τῆς βιαίας</t>
  </si>
  <si>
    <t>Κύρου Παιδεία, Βιβλίον Β</t>
  </si>
  <si>
    <t>Lo que es bello y honesto los dioses no lo conceden sin trabajo</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</si>
  <si>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</si>
  <si>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</si>
  <si>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Οἰκονομικός 3.5</t>
  </si>
  <si>
    <t>Es difícil actuar libre de faltas, incluso si ninguna se comete</t>
  </si>
  <si>
    <t>Difficile est agere ut quis liber culpis videatur</t>
  </si>
  <si>
    <t>Χαλεπὸν ἀναμάρτητον εἶναι</t>
  </si>
  <si>
    <t>Ἀπομνημονεύματα 1.3</t>
  </si>
  <si>
    <t>Cada cual debe esforzarse como si fuera principal causante de la victoria</t>
  </si>
  <si>
    <t>Unusquisque laborare debet ut credat se praecipuam causam victoriae esse</t>
  </si>
  <si>
    <t>Ἕκαστον δεῖ οὕτω φιλοτιμεῖσθαι ὡς αὐτὸν μάλιστα αἴτιον τῆς νίκης</t>
  </si>
  <si>
    <t>Ἀνάβασις ΙΙ.6</t>
  </si>
  <si>
    <t>No puede existir un valor digno de alabanza si no va acompañado de prudencia</t>
  </si>
  <si>
    <t>Non potest existere virtus laude digna nisi prudentia comitetur</t>
  </si>
  <si>
    <t>Οὐκ ἔστιν ἐπαινετὴ ἀνδρεία ἄνευ φρονήσεως</t>
  </si>
  <si>
    <t>Κύρου Παιδεία, Βιβλίον Δ</t>
  </si>
  <si>
    <t>Muchos han sucumbido por proyectos demasiado grandes creyéndose fuertes</t>
  </si>
  <si>
    <t>Quam multi succubuerunt infortunio propter consilia nimis vasta tantum quia se fortes sentiebant</t>
  </si>
  <si>
    <t>Πόσοι ἀπώλοντο διὰ τὸ μεγάλα φρονεῖν ἰσχυροὶ ὄντες</t>
  </si>
  <si>
    <t>Κύρου Παιδεία, Βιβλίον Γ</t>
  </si>
  <si>
    <t>Consulta el ojo de tu enemigo pues es el primero que ve tus defectos</t>
  </si>
  <si>
    <t>Conspice oculum inimici tui primus enim vitia tua videt</t>
  </si>
  <si>
    <t>Σκέψαι τὸν ὀφθαλμὸν τοῦ ἐχθροῦ σου πρῶτος γὰρ τὰ ἐλαττώματά σου βλέπει</t>
  </si>
  <si>
    <t>Antístenes</t>
  </si>
  <si>
    <t>Διογένης Λαέρτιος, Βίοι καὶ γνῶμαι τῶν ἐν φιλοσοφίᾳ εὐδοκιμησάντων, Βιβλίον ΣΤ, frag. 55</t>
  </si>
  <si>
    <t>Los cuervos devoran a los muertos y los aduladores a los vivos</t>
  </si>
  <si>
    <t>Corvi mortuos devorant adulatores vivos</t>
  </si>
  <si>
    <t>Οἱ κόρακες τοὺς νεκροὺς κατεσθίουσιν οἱ κόλακες τοὺς ζῶντας</t>
  </si>
  <si>
    <t>Στοβαῖος, Ἀνθολόγιον, Α, 27</t>
  </si>
  <si>
    <t>Las pasiones tienen causas y no principios</t>
  </si>
  <si>
    <t>Passiones causas habent non principia</t>
  </si>
  <si>
    <t>Τὰ πάθη αἰτίας ἔχει οὐκ ἀρχάς</t>
  </si>
  <si>
    <t>Αὔλος Γέλλιος, Ἀττικαὶ Νύκτες, ΙΓ, 18</t>
  </si>
  <si>
    <t>Prefiero la locura a la voluptuosidad</t>
  </si>
  <si>
    <t>Mallem insanire quam voluptate frui</t>
  </si>
  <si>
    <t>Μᾶλλον ἂν μανείην ἢ ἡσθείην</t>
  </si>
  <si>
    <t>Διογένης Λαέρτιος, Βιβλίον ΣΤ, frag. 65</t>
  </si>
  <si>
    <t>Principio de la educación es el examen de los términos</t>
  </si>
  <si>
    <t>Principium educationis est examen nominum</t>
  </si>
  <si>
    <t>Ἀρχὴ παιδεύσεως ἡ τῶν ὀνομάτων ἐπίσκεψις</t>
  </si>
  <si>
    <t>Σέξτος Ἐμπειρικός, Πρὸς Μαθηματικούς, Β, 27</t>
  </si>
  <si>
    <t>No huyáis jamás del trabajo</t>
  </si>
  <si>
    <t>Ne fugiatis laborem</t>
  </si>
  <si>
    <t>Μὴ φεύγετε τὸν πόνον ἀγαθός ἐστι καὶ βελτίους ποιεῖ</t>
  </si>
  <si>
    <t>Διογένης Λαέρτιος, Βιβλίον ΣΤ, frag. 73</t>
  </si>
  <si>
    <t>La virtud se basta a sí misma para la felicidad</t>
  </si>
  <si>
    <t>Virtus sibi sufficiens ad felicitatem</t>
  </si>
  <si>
    <t>Ἀρετὴ αὔταρκες εἰς εὐδαιμονίαν</t>
  </si>
  <si>
    <t>Διογένης Λαέρτιος, Βιβλίον ΣΤ, frag. 12</t>
  </si>
  <si>
    <t>Si hablan mal de vosotros soportadlo con paciencia</t>
  </si>
  <si>
    <t>Si male de vobis loquuntur ferte patienter</t>
  </si>
  <si>
    <t>Εἰ κακῶς λέγουσιν ὑμᾶς φέρετε</t>
  </si>
  <si>
    <t>Στοβαῖος, Ἀνθολόγιον, Α, 33</t>
  </si>
  <si>
    <t>Cuidaos de que os alaben los malos</t>
  </si>
  <si>
    <t>Cavete ne vos mali laudent</t>
  </si>
  <si>
    <t>Φυλάξασθε μὴ ὑμᾶς πονηροὶ ἐπαινῶσιν</t>
  </si>
  <si>
    <t>Στοβαῖος, Α, 30</t>
  </si>
  <si>
    <t>Lo primero es desaprender el mal</t>
  </si>
  <si>
    <t>Primum opus est dediscere malum quod didicimus</t>
  </si>
  <si>
    <t>Πρῶτον ἔργον τὸ ἀπομανθάνειν τὸ κακὸν ὃ ἐμάθομεν</t>
  </si>
  <si>
    <t>Διογένης Λαέρτιος, Βιβλίον ΣΤ, frag. 67</t>
  </si>
  <si>
    <t>Cada alma es y se convierte en lo que contempla</t>
  </si>
  <si>
    <t>Quaeque anima est et fit quod contemplatur</t>
  </si>
  <si>
    <t>Ἑκάστη ψυχὴ ἐστι καὶ γίνεται ὃ θεωρεῖ</t>
  </si>
  <si>
    <t>Plotino</t>
  </si>
  <si>
    <t>Ἐννεάδες IV.3.10</t>
  </si>
  <si>
    <t>El alma humana encerrada en el cuerpo padece sufrimiento</t>
  </si>
  <si>
    <t>Anima humana in corpore clausa patitur</t>
  </si>
  <si>
    <t>Ἡ ἀνθρωπίνη ψυχὴ ἐν τῷ σώματι κλειομένη πάσχει</t>
  </si>
  <si>
    <t>Ἐννεάδες II.9.5</t>
  </si>
  <si>
    <t>Es debilidad no inquietarnos por males ajenos</t>
  </si>
  <si>
    <t>Infirmitas est non sollicitari malis alienis</t>
  </si>
  <si>
    <t>Ἀσθένεια φανερά ἐστι μὴ ἀγωνιᾶν</t>
  </si>
  <si>
    <t>Ἐννεάδες IV.3.14</t>
  </si>
  <si>
    <t>Estoy esforzándome por reconducir lo divino en nosotros</t>
  </si>
  <si>
    <t>Conor reducere divinum in nobis</t>
  </si>
  <si>
    <t>Πειρῶμαι ἀναγαγεῖν τὸ θεῖον ἐν ἡμῖν</t>
  </si>
  <si>
    <t>Ἐννεάδες VI.9.12</t>
  </si>
  <si>
    <t>La grandeza de espíritu consiste en despreciar las cosas de este mundo</t>
  </si>
  <si>
    <t>Magnitudo animi consistit in contemnendis rebus mundi huius</t>
  </si>
  <si>
    <t>Μεγαλοψυχία ἐν τῷ καταφρονεῖν</t>
  </si>
  <si>
    <t>Ἐννεάδες IV.3.19</t>
  </si>
  <si>
    <t>Morir es cambiar de cuerpo como actor cambia de traje</t>
  </si>
  <si>
    <t>Mori est corpus mutare sicut histrio vestem</t>
  </si>
  <si>
    <t>Ἀποθνήσκειν ἐστὶ μεταβάλλειν σῶμα ὥσπερ ὑποκριτὴς</t>
  </si>
  <si>
    <t>Ἐννεάδες III.8.7</t>
  </si>
  <si>
    <t>Nuestro afán no es estar libre del pecado sino ser Dios</t>
  </si>
  <si>
    <t>Studium nostrum non est sine peccato esse sed Deus esse</t>
  </si>
  <si>
    <t>Ἡ σπουδὴ ἡμῶν οὐκ ἐν τῷ ἀναμάρτητον εἶναι</t>
  </si>
  <si>
    <t>Ἐννεάδες VI.7.10</t>
  </si>
  <si>
    <t>Ser o pensar es lo mismo</t>
  </si>
  <si>
    <t>Esse aut cogitare idem est</t>
  </si>
  <si>
    <t>Εἶναι ἢ νοεῖν ταὐτόν ἐστι</t>
  </si>
  <si>
    <t>Ἐννεάδες V.5.1</t>
  </si>
  <si>
    <t>Todo cuerpo está en el alma</t>
  </si>
  <si>
    <t>Omne corpus in anima est</t>
  </si>
  <si>
    <t>Πᾶν σῶμα ἐν ψυχῇ ἀλλ᾽ οὐ πᾶσα ψυχὴ ἐν σώματι</t>
  </si>
  <si>
    <t>Ἐννεάδες II.4.8</t>
  </si>
  <si>
    <t>El Uno está en todas partes y en ninguna</t>
  </si>
  <si>
    <t>Unum ubique est et nusquam</t>
  </si>
  <si>
    <t>Τὸ Ἓν πανταχοῦ καὶ οὐδαμοῦ</t>
  </si>
  <si>
    <t>Ἐννεάδες VI.9.1</t>
  </si>
  <si>
    <t>La patria nuestra es de donde partimos</t>
  </si>
  <si>
    <t>Patria nostra est unde profecti sumus</t>
  </si>
  <si>
    <t>Ἡ πατρὶς ἡμῶν ἐκείνη ἐστὶν ὅθεν ἤλθομεν</t>
  </si>
  <si>
    <t>Ἐννεάδες IV.4.21</t>
  </si>
  <si>
    <t>El alma es palabra de la Inteligencia</t>
  </si>
  <si>
    <t>Anima verbum Intellectus est</t>
  </si>
  <si>
    <t>Ἡ ψυχὴ λόγος τοῦ Νοῦ ἐστιν ἐνέργεια ὅλη</t>
  </si>
  <si>
    <t>Ἐννεάδες V.3.8</t>
  </si>
  <si>
    <t>Allí arriba el hombre es todo ojo</t>
  </si>
  <si>
    <t>Ibi sursum homo totus oculus est</t>
  </si>
  <si>
    <t>Ἐκεῖ ἄνω ὁ ἄνθρωπος ὅλος ὀφθαλμός ἐστι</t>
  </si>
  <si>
    <t>Ἐννεάδες IV.4.6</t>
  </si>
  <si>
    <t>La belleza es el resplandor de la verdad</t>
  </si>
  <si>
    <t>Pulchritudo splendor veritatis est</t>
  </si>
  <si>
    <t>Τὸ κάλλος λαμπρότης τῆς ἀληθείας ἐστίν</t>
  </si>
  <si>
    <t>Ἐννεάδες IV.3.22</t>
  </si>
  <si>
    <t>Huye de todo lo corpóreo y corre hacia el Uno</t>
  </si>
  <si>
    <t>Fuge omne corporeum et curre ad Unum</t>
  </si>
  <si>
    <t>Φεῦγε πᾶν σωματικὸν καὶ τρέχε πρὸς τὸ Ἕν</t>
  </si>
  <si>
    <t>Ἐννεάδες VI.9.5</t>
  </si>
  <si>
    <t>El alma no puede recordar nada de Dios si antes no se hace semejante a Él</t>
  </si>
  <si>
    <t>Anima nihil de Deo meminisse potest nisi prius ei similis fiat</t>
  </si>
  <si>
    <t>Ἡ ψυχὴ οὐδὲν τοῦ Θεοῦ μνημονεῦσαι δύναται</t>
  </si>
  <si>
    <t>Ἐννεάδες V.8.6</t>
  </si>
  <si>
    <t>La virtud es suficiente para la felicidad</t>
  </si>
  <si>
    <t>Virtus sufficiens ad felicitatem est</t>
  </si>
  <si>
    <t>Ἡ ἀρετὴ ἱκανὴ πρὸς εὐδαιμονίαν ἄνευ ἐξωτερικῶν</t>
  </si>
  <si>
    <t>La vida allá arriba es fácil y la verdad es madre</t>
  </si>
  <si>
    <t>Vita ibi sursum facilis est et veritas mater</t>
  </si>
  <si>
    <t>Ἡ ζωὴ ἐκεῖ ἄνω ῥᾳδία καὶ ἡ ἀλήθεια μήτηρ τῶν ὄντων</t>
  </si>
  <si>
    <t>Ἐννεάδες IV.3.24</t>
  </si>
  <si>
    <t>Cerrar los ojos y despertar a otra manera de ver</t>
  </si>
  <si>
    <t>Claude oculos et evigila ad alium modum videndi</t>
  </si>
  <si>
    <t>Κλεῖσαι τοὺς ὀφθαλμοὺς καὶ ἐγερθῆναι εἰς ἄλλον τρόπον βλέποντα</t>
  </si>
  <si>
    <t>Ἐννεάδες V.4.11</t>
  </si>
  <si>
    <t>Así se hunde la mente en la profunda desesperación cuando las tormentas de la vida aumentan el peso de las preocupaciones terrenales</t>
  </si>
  <si>
    <t>Sic mens profunda desperatione demergitur cum vitae procellae terrenorum onerum pondus augent</t>
  </si>
  <si>
    <t>Sic mens in profundam desperationem mergitur cum vitae tempestates terrarum curarum pondus augent</t>
  </si>
  <si>
    <t>Boecio</t>
  </si>
  <si>
    <t>De Consolatione Philosophiae, sec. VI</t>
  </si>
  <si>
    <t>Que los hombres se compongan y vivan en paz, pongan el destino altivo bajo sus pies y miren impasibles la buena y la mala fortuna</t>
  </si>
  <si>
    <t>Ut homines se componant pacemque colant fatum superbum pedibus calcent bona malaque fortuna aequo animo intueantur</t>
  </si>
  <si>
    <t>Ut homines se componant et in pace vivant fatum superbum sub pedibus ponant et aequo animo bonam malamque fortunam spectent</t>
  </si>
  <si>
    <t>Ningún hombre es tan completamente feliz que algo en algún lugar no choque con su condición</t>
  </si>
  <si>
    <t>Nemo tam plene felix est quin aliquid alicubi condicioni suae repugnet</t>
  </si>
  <si>
    <t>Nullus homo tam omnino felix est ut aliquid alicubi cum condicione sua non pugnet</t>
  </si>
  <si>
    <t>¿Por qué entonces vosotros, hombres mortales, buscáis la felicidad fuera de vosotros mismos, cuando esta reside dentro de vosotros?</t>
  </si>
  <si>
    <t>Cur igitur mortales felicitatem extra vos quaeritis cum ea intus in vobis habitet</t>
  </si>
  <si>
    <t>Cur igitur vos homines mortales felicitatem extra vosmetipsos quaeritis cum haec intus in vobis resideat</t>
  </si>
  <si>
    <t>Si la felicidad es el bien supremo, la Fortuna, por su mutabilidad, no puede esperar conducir a la felicidad</t>
  </si>
  <si>
    <t>Si felicitas summum bonum est Fortuna propter mutabilitatem ad felicitatem perducere non potest</t>
  </si>
  <si>
    <t>Si felicitas summum bonum est Fortuna per mutabilitatem suam non potest sperare ad felicitatem ducere</t>
  </si>
  <si>
    <t>Muchos hombres han sido famosos en su tiempo, pero su memoria ha perecido porque no hubo historiadores que escribieran sobre ellos</t>
  </si>
  <si>
    <t>Multi homines suo aevo celebres fuere sed memoria eorum interiit quia scriptores defuere</t>
  </si>
  <si>
    <t>Multi homines suo tempore famosi fuerunt sed eorum memoria periit quia non fuerunt historici qui de eis scriberent</t>
  </si>
  <si>
    <t>El mundo en constante cambio mantiene una armonía, y los elementos mantienen la paz cuya naturaleza es guerrear</t>
  </si>
  <si>
    <t>Mundus continua mutatione harmoniam servat, elementa pacem tenent quorum natura est pugnare</t>
  </si>
  <si>
    <t>Mundus in constanti mutatione harmoniam servat et elementa pacem servant quorum natura est bellare</t>
  </si>
  <si>
    <t>El amor mantiene a las personas unidas por el vínculo sagrado y teje el santo lazo del puro amor</t>
  </si>
  <si>
    <t>Amor homines sacro foedere coniungit sanctumque vinculum puri amoris texet</t>
  </si>
  <si>
    <t>Amor personas coniunctas tenet sacro vinculo et sanctum nexum puri amoris nectit</t>
  </si>
  <si>
    <t>Oh, feliz raza de hombres, si el Amor que rige el cielo pudiera gobernar también vuestros corazones</t>
  </si>
  <si>
    <t>O felix mortalium genus si Amor qui caelum regit corda etiam vestra gubernaret</t>
  </si>
  <si>
    <t>O felix hominum genus si Amor qui caelum regit corda quoque vestra regere posset</t>
  </si>
  <si>
    <t>Quien desea sembrar en suelo virgen, primero debe despojar los campos de maleza y arbustos</t>
  </si>
  <si>
    <t>Qui in virgine solo serere vult prius agros zizaniis et vepribus purgare debet</t>
  </si>
  <si>
    <t>Qui seminare desiderat in solo virgine prius debet agros a herbis et fruticibus purgare</t>
  </si>
  <si>
    <t>En toda la dedicación con la que se afanan en innumerables empresas, los mortales transitan caminos diferentes, aunque todos luchan por alcanzar un mismo objetivo: la felicidad</t>
  </si>
  <si>
    <t>Omni studio quo innumeris negotiis laborant mortales diversa itinera pergunt, quamquam omnes ad eundem finem felicitatem contendant</t>
  </si>
  <si>
    <t>In omni dedicatione qua in innumeris inceptis laborant mortales vias diversas transeunt licet omnes pro eodem fine felicitate contendant</t>
  </si>
  <si>
    <t>La felicidad es un estado perfeccionado por la presencia de todo lo que es bueno</t>
  </si>
  <si>
    <t>Felicitas status perfectus est bonorum omnium congregatione perfectus</t>
  </si>
  <si>
    <t>Felicitas est status perfectus praesentia omnium quae bona sunt</t>
  </si>
  <si>
    <t>No hay duda de que estos caminos hacia la felicidad son desvíos y no pueden llevarnos al destino que prometen</t>
  </si>
  <si>
    <t>Haud dubium est has vias ad felicitatem devia esse nec posse nos quo promittunt perducere</t>
  </si>
  <si>
    <t>Non est dubium quin hae viae ad felicitatem diverticula sint nec possint nos ad destinationem quam promittunt ducere</t>
  </si>
  <si>
    <t>Dichoso el hombre cuyos ojos una vez pudieron percibir la resplandeciente fuente del bien</t>
  </si>
  <si>
    <t>Beatus homo cuius oculi splendorem fontis boni semel videre potuerunt</t>
  </si>
  <si>
    <t>Beatus homo cuius oculi semel lucentem fontem boni percipere potuerunt</t>
  </si>
  <si>
    <t>La mayor causa de mi tristeza es que, a pesar de contar con un buen timonel que guíe al mundo, el mal puede existir</t>
  </si>
  <si>
    <t>Maxima tristitiae meae causa est quod quamvis bonus rector mundum gubernet malum esse potest</t>
  </si>
  <si>
    <t>Maxima causa tristitiae meae est quod licet bonus gubernator mundum regat malum existere potest</t>
  </si>
  <si>
    <t>Los buenos son siempre fuertes y los malvados siempre humildes y débiles</t>
  </si>
  <si>
    <t>Boni semper validi, mali semper imbecilles ac debiles</t>
  </si>
  <si>
    <t>Boni semper fortes sunt et mali semper humiles et debiles</t>
  </si>
  <si>
    <t>La bondad misma se establece como una especie de recompensa común de la actividad humana</t>
  </si>
  <si>
    <t>Bonitas ipsa velut commune praemium humanae actionis constituitur</t>
  </si>
  <si>
    <t>Bonitas ipsa constituitur ut quaedam merces communis humanae activitatis</t>
  </si>
  <si>
    <t>Veamos lo que decreta la ley eterna: si has dirigido tu mente a cosas más elevadas, eres tú mismo quien te has llevado a un estado más excelente</t>
  </si>
  <si>
    <t>Videamus quid aeterna lex decernat si mentem ad altiora direxisti, te ipsum ad excellentiorem statum provexisti</t>
  </si>
  <si>
    <t>Videamus quid lex aeterna decernit si mentem tuam ad altiora direxisti tu ipse es qui te ad statum excellentiorem tulisti</t>
  </si>
  <si>
    <t>No existe tal cosa como la casualidad, y es una palabra completamente sin sentido</t>
  </si>
  <si>
    <t>Non est res talis ut casus et est vox plane sine mente</t>
  </si>
  <si>
    <t>Non existit talis res ut casus et est verbum omnino sine sensu</t>
  </si>
  <si>
    <t>Hay libertad, pues sería imposible que existiera alguna naturaleza racional sin ella</t>
  </si>
  <si>
    <t>Libertas est nam fieri non potest ut natura rationalis sine ea sit</t>
  </si>
  <si>
    <t>Est libertas nam impossibile esset ut natura rationalis aliqua sine ea existeret</t>
  </si>
  <si>
    <t>La voluntad es más noble que el intelecto porque el amor une mientras el conocimiento separa</t>
  </si>
  <si>
    <t>Voluntas nobilior est quam intellectus quia amor coniungit cognitio vero dividit</t>
  </si>
  <si>
    <t>Voluntas nobilior est intellectu quia amor unit dum cognitio separat</t>
  </si>
  <si>
    <t>Juan Duns Escoto</t>
  </si>
  <si>
    <t>Ordinatio, sec. XIII–XIV</t>
  </si>
  <si>
    <t>Dios no ama porque algo sea bueno, sino que algo es bueno porque Dios lo ama</t>
  </si>
  <si>
    <t>Deus non amat quia res bona est sed res bona est quia Deus eam amat</t>
  </si>
  <si>
    <t>Deus non amat quia aliquid bonum est sed aliquid bonum est quia Deus illud amat</t>
  </si>
  <si>
    <t>La libertad no consiste en poder elegir entre el bien y el mal, sino en la capacidad de autodeterminación</t>
  </si>
  <si>
    <t>Libertas non in electione inter bonum et malum consistit sed in capacitate se ipsum determinandi</t>
  </si>
  <si>
    <t>Libertas non consistit in potentia eligendi inter bonum et malum sed in capacitate autodeterminationis</t>
  </si>
  <si>
    <t>Todo lo que no es imposible puede ser realizado por Dios</t>
  </si>
  <si>
    <t>Quodcumque non implicat contradictionem a Deo fieri potest</t>
  </si>
  <si>
    <t>Omne quod non est impossibile potest a Deo fieri</t>
  </si>
  <si>
    <t>El ser se dice unívocamente de Dios y de las criaturas</t>
  </si>
  <si>
    <t>Ens univoce praedicatur de Deo et creaturis</t>
  </si>
  <si>
    <t>Ens univoce dicitur de Deo et de creaturis</t>
  </si>
  <si>
    <t>La materia no es pura potencia, sino que tiene su propia actualidad</t>
  </si>
  <si>
    <t>Materia non est pura potentialitas sed suam habet actualitatem</t>
  </si>
  <si>
    <t>Materia non est pura potentia sed habet propriam actualitatem</t>
  </si>
  <si>
    <t>Cristo habría venido aunque no hubiera habido pecado</t>
  </si>
  <si>
    <t>Christus incarnatus fuisset etiam si Adam non peccasset</t>
  </si>
  <si>
    <t>Christus venisset etsi peccatum non fuisset</t>
  </si>
  <si>
    <t>La Inmaculada Concepción es razonable: pues Dios pudo hacerlo, fue conveniente hacerlo, luego lo hizo</t>
  </si>
  <si>
    <t>Potuit decuit ergo fecit</t>
  </si>
  <si>
    <t>Immaculata Conceptio rationabilis est quia Deus potuit facere decuit facere ergo fecit</t>
  </si>
  <si>
    <t>Lo que es más perfecto debe atribuirse a María</t>
  </si>
  <si>
    <t>Quod excellentius est de Maria tenendum est</t>
  </si>
  <si>
    <t>Quod perfectius est Mariae attribuendum est</t>
  </si>
  <si>
    <t>La caridad perfecciona la voluntad, como la sabiduría perfecciona el intelecto</t>
  </si>
  <si>
    <t>Charitas voluntatem perficit sicut sapientia intellectum</t>
  </si>
  <si>
    <t>Caritas perficit voluntatem sicut sapientia perficit intellectum</t>
  </si>
  <si>
    <t>Cada individuo posee su propia haecceitas, que lo hace ser este y no otro</t>
  </si>
  <si>
    <t>Quodlibet individuum habet suam haecceitatem qua est hoc et non illud</t>
  </si>
  <si>
    <t>Unusquisque individuum propriam habet haecceitatem quae facit ipsum esse hoc et non aliud</t>
  </si>
  <si>
    <t>La ciencia teológica es práctica antes que especulativa</t>
  </si>
  <si>
    <t>Theologia magis practica est quam speculativa</t>
  </si>
  <si>
    <t>Scientia theologica practica est potius quam speculativa</t>
  </si>
  <si>
    <t>Dios ama con un amor de predilección a quien quiere amar</t>
  </si>
  <si>
    <t>Deus diligit amore electionis quemcumque vult</t>
  </si>
  <si>
    <t>Deus amat amore praedilectionis quem vult amare</t>
  </si>
  <si>
    <t>Las visiones que contemplé nunca las percibí durante el sueño, ni en el reposo, ni en el delirio</t>
  </si>
  <si>
    <t>Visiones quas contemplata sum numquam percepi in somno nec in quiete nec in delirio</t>
  </si>
  <si>
    <t>Hildegarda de Bingen</t>
  </si>
  <si>
    <t>Scivias, sec. XII</t>
  </si>
  <si>
    <t>Lo que no veo lo desconozco, puesto que no soy docta</t>
  </si>
  <si>
    <t>Quod non video ignoro quoniam non sum docta</t>
  </si>
  <si>
    <t>Escucha: hay un Rey en la montaña, sentado en su trono, rodeado por sus columnas</t>
  </si>
  <si>
    <t>Audi est Rex in monte sedens in throno suo circumdatus columnis suis</t>
  </si>
  <si>
    <t>El alma es sinfónica</t>
  </si>
  <si>
    <t>Anima symphonica est</t>
  </si>
  <si>
    <t>La creación entera está llamada a ser una sinfonía de alabanza al Creador</t>
  </si>
  <si>
    <t>Creatio tota vocata est ut sit symphonia laudis Creatori</t>
  </si>
  <si>
    <t>Oh fuego del Espíritu Santo, vida de la vida de toda criatura, santo eres al dar vida a las formas</t>
  </si>
  <si>
    <t>O ignis Spiritus Sancti vita vitae omnis creaturae sanctus es vivificando formas</t>
  </si>
  <si>
    <t>El ser humano es un instrumento de la sinfonía de Dios</t>
  </si>
  <si>
    <t>Homo instrumentum est symphoniae Dei</t>
  </si>
  <si>
    <t>La viriditas es el poder de reverdecimiento, la fuerza vital que Dios infunde en toda la creación</t>
  </si>
  <si>
    <t>Viriditas potestas revirescentiae est vis vitalis quam Deus in omnem creationem infundit</t>
  </si>
  <si>
    <t>El alma es el soplo de vida del cuerpo; el cuerpo es la sombra del alma</t>
  </si>
  <si>
    <t>Anima spiritus vitae corporis est, corpus umbra animae est</t>
  </si>
  <si>
    <t>Mujer luminosa: el cielo no tiene otra luz que la de la lámpara</t>
  </si>
  <si>
    <t>Mulier lucida caelum non habet aliam lucem quam lucernae</t>
  </si>
  <si>
    <t>La palabra profética es como el resplandor del relámpago</t>
  </si>
  <si>
    <t>Verbum propheticum est sicut splendor fulguris</t>
  </si>
  <si>
    <t>La naturaleza entera está al servicio del hombre, pero el hombre debe estar al servicio de Dios</t>
  </si>
  <si>
    <t>Natura tota in servitio hominis est, sed homo in servitio Dei esse debet</t>
  </si>
  <si>
    <t>Dios está en nosotros y nosotros estamos en Él</t>
  </si>
  <si>
    <t>Deus in nobis est et nos in Eo sumus</t>
  </si>
  <si>
    <t>Maestro Eckhart</t>
  </si>
  <si>
    <t>Sermones, sec. XIII–XIV</t>
  </si>
  <si>
    <t>El ojo con que veo a Dios es el mismo ojo con que Dios me ve</t>
  </si>
  <si>
    <t>Oculus quo Deum video idem oculus est quo Deus me videt</t>
  </si>
  <si>
    <t>Dios no está fuera de nosotros sino dentro de nosotros</t>
  </si>
  <si>
    <t>Deus non extra nos est sed intra nos est</t>
  </si>
  <si>
    <t>El silencio es el lenguaje de Dios</t>
  </si>
  <si>
    <t>Silentium lingua Dei est</t>
  </si>
  <si>
    <t>Aquí el fondo de Dios es mi fondo y mi fondo es el fondo de Dios</t>
  </si>
  <si>
    <t>Hic fundamentum Dei fundamentum meum est et fundamentum meum fundamentum Dei est</t>
  </si>
  <si>
    <t>Si el alma pudiera conocer a Dios sin el mundo, el mundo no habría sido creado jamás</t>
  </si>
  <si>
    <t>Si anima Deum sine mundo cognoscere posset, mundus numquam creatus fuisset</t>
  </si>
  <si>
    <t>El hombre que está establecido en la presencia de Dios no puede ser perturbado por nada</t>
  </si>
  <si>
    <t>Homo qui in praesentia Dei fundatus est non potest a re aliqua perturbari</t>
  </si>
  <si>
    <t>Cuando el alma alcanza la luz sin mezcla, entonces penetra en su insignificancia</t>
  </si>
  <si>
    <t>Cum anima lucem sine mixtura attingit, tunc in suam parvitatem penetrat</t>
  </si>
  <si>
    <t>Cada criatura es una palabra de Dios</t>
  </si>
  <si>
    <t>Omnis creatura verbum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</si>
  <si>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</si>
  <si>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</si>
  <si>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Quien busca a Dios sin modo lo comprende tal como es en sí mismo</t>
  </si>
  <si>
    <t>Qui Deum sine modo quaerit eum comprehendit sicuti in se ipso est</t>
  </si>
  <si>
    <t>Desde este fondo interior debes hacer todas tus obras sin porqué</t>
  </si>
  <si>
    <t>Ex hoc fundo interiori debes facere omnia opera tua sine quare</t>
  </si>
  <si>
    <t>Oh alma mía, sal fuera, Dios entra</t>
  </si>
  <si>
    <t>O anima mea exi foras Deus intrat</t>
  </si>
  <si>
    <t>La pobreza de espíritu significa no querer nada, no saber nada, no tener nada</t>
  </si>
  <si>
    <t>Paupertas spiritus significat nihil velle, nihil scire, nihil habere</t>
  </si>
  <si>
    <t>Dios nace en el alma cuando el alma muere en Dios</t>
  </si>
  <si>
    <t>Deus nascitur in anima cum anima moritur in Deo</t>
  </si>
  <si>
    <t>Lo más grande que el hombre puede abandonar es abandonarse a sí mismo</t>
  </si>
  <si>
    <t>Maximum quod homo relinquere potest est se ipsum relinquere</t>
  </si>
  <si>
    <t>Oigo las voces de muchísimos no cristianos que dicen: Danos maestros que nos enseñen la fe</t>
  </si>
  <si>
    <t>Audio voces plurimorum non Christianorum qui dicunt: Date nobis magistros qui nos fidem doceant</t>
  </si>
  <si>
    <t>San Francisco Javier</t>
  </si>
  <si>
    <t>Epistulae, sec. XVI</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</si>
  <si>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</si>
  <si>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</si>
  <si>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Toda mi consolación la tengo cuando leo las cartas de mis hermanos de la Compañía</t>
  </si>
  <si>
    <t>Omnem consolationem meam habeo cum litteras fratrum meorum Societatis lego</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</si>
  <si>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</si>
  <si>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</si>
  <si>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En todo amar y servir</t>
  </si>
  <si>
    <t>In omnibus amare et servire</t>
  </si>
  <si>
    <t>San Ignacio de Loyola</t>
  </si>
  <si>
    <t>Exercitia Spiritualia, sec. XVI</t>
  </si>
  <si>
    <t>El amor se ha de poner más en las obras que en las palabras</t>
  </si>
  <si>
    <t>Amor magis in operibus quam in verbis ponendus est</t>
  </si>
  <si>
    <t>Tomad Señor y recibid toda mi libertad, mi memoria, mi entendimiento y toda mi voluntad</t>
  </si>
  <si>
    <t>Sume Domine et recipe omnem meam libertatem, meam memoriam, intellectum atque omnem voluntatem</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</si>
  <si>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</si>
  <si>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</si>
  <si>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</si>
  <si>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</si>
  <si>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</si>
  <si>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</si>
  <si>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</si>
  <si>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</si>
  <si>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</si>
  <si>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</si>
  <si>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</si>
  <si>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</si>
  <si>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Para quien ama nada es difícil</t>
  </si>
  <si>
    <t>Amanti nihil difficile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</si>
  <si>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</si>
  <si>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</si>
  <si>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</si>
  <si>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</si>
  <si>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No temer nunca porque Dios está conmigo</t>
  </si>
  <si>
    <t>Numquam timere quia Deus mecum est</t>
  </si>
  <si>
    <t>Para mayor gloria de Dios</t>
  </si>
  <si>
    <t>Ad maiorem Dei gloriam</t>
  </si>
  <si>
    <t>Todo hombre sabio ama a la esposa que ha elegido</t>
  </si>
  <si>
    <t>Omnis sapiens vir amat mulierem quam elegerit.</t>
  </si>
  <si>
    <t>Πᾶς σοφὸς ἀνὴρ φιλεῖ τὴν γυναῖκα ἣν ἐξελέξατο</t>
  </si>
  <si>
    <t>Homero</t>
  </si>
  <si>
    <t>Odisea</t>
  </si>
  <si>
    <t>La juventud tiene el genio vivo y el juicio débil</t>
  </si>
  <si>
    <t>Iuventus animum acutum habet et iudicium infirmum.</t>
  </si>
  <si>
    <t>Ἡ νεότης ἔχει τὸν νοῦν ὀξὺν καὶ τὴν κρίσιν ἀσθενῆ</t>
  </si>
  <si>
    <t>Ilíada</t>
  </si>
  <si>
    <t>No hay mejor aguijón que la necesidad</t>
  </si>
  <si>
    <t>Nihil melius est quam necessitas.</t>
  </si>
  <si>
    <t>Οὐδὲν κέντρον βέλτιον ἢ ἡ ἀνάγκη</t>
  </si>
  <si>
    <t>El sueño es el hermano gemelo de la muerte</t>
  </si>
  <si>
    <t>Somnus frater geminus mortis est.</t>
  </si>
  <si>
    <t>Ὁ ὕπνος ἀδελφὸς ὁ δίδυμος τοῦ θανάτου ἐστίν</t>
  </si>
  <si>
    <t>Ilíada, XVI, 672</t>
  </si>
  <si>
    <t>Nadie puede apresurarme a ir a Hades antes de mi tiempo</t>
  </si>
  <si>
    <t>Nemo me in Acheronta ante tempus meum properare potest.</t>
  </si>
  <si>
    <t>Οὐδεὶς δύναται με ἐπισπεύδειν εἰς Ἅιδην πρὸ τοῦ καιροῦ μου</t>
  </si>
  <si>
    <t>Ilíada, VI, 488</t>
  </si>
  <si>
    <t>Los inmortales inspirarán cantos agradables a los hombres</t>
  </si>
  <si>
    <t>Immortales canent carmina gratissima hominibus.</t>
  </si>
  <si>
    <t>Οἱ ἀθάνατοι ἐμπνεύσουσιν ᾠδὰς εὐαρέστους τοῖς ἀνθρώποις</t>
  </si>
  <si>
    <t>Odisea, XXIV</t>
  </si>
  <si>
    <t>Cristo es el camino y la puerta; Cristo es la escalera y el vehículo</t>
  </si>
  <si>
    <t>Christus est via et ostium; Christus est scala et vehiculum</t>
  </si>
  <si>
    <t>San Buenaventura</t>
  </si>
  <si>
    <t>Itinerarium Mentis in Deum, Prologus, cap. 7</t>
  </si>
  <si>
    <t>Quien, a pesar de tantos indicios, no vuelve la mirada hacia el Primer Principio, es necio</t>
  </si>
  <si>
    <t>Siquis non per multa indicia ad primum Principium respexit, stultus est</t>
  </si>
  <si>
    <t>Itinerarium Mentis in Deum, cap. 1</t>
  </si>
  <si>
    <t>Un espejo sin la sabiduría inspirada por Dios</t>
  </si>
  <si>
    <t>Speculum absque sapientia divinitus inspirata</t>
  </si>
  <si>
    <t>Itinerarium Mentis in Deum, Prologus</t>
  </si>
  <si>
    <t>Cristo es el propiciatorio sobre el arca de Dios</t>
  </si>
  <si>
    <t>Christus est propitiatorium super arcam Dei</t>
  </si>
  <si>
    <t>Itinerarium Mentis in Deum, cap. 7</t>
  </si>
  <si>
    <t>Esta, en verdad, se define como la primera clave de la sabiduría: la interrogación asidua o frecuente; pues dudando llegamos a la investigación, y al investigar percibimos la verdad</t>
  </si>
  <si>
    <t>Haec quippe prima sapientiae clavis definitur, assidua scilicet seu frequens interrogatio; dubitando enim ad inquisitionem venimus, inquirendo veritatem percipimus</t>
  </si>
  <si>
    <t>Pedro Abelardo</t>
  </si>
  <si>
    <t>Sic et Non, Prologue</t>
  </si>
  <si>
    <t>Decimos que la buena intención es, en sí, recta; pero la acción no lleva ninguna bondad en sí misma, sino que procede de una buena intención</t>
  </si>
  <si>
    <t>Bonam quippe intentionem, hoc est, rectam in se dicimus; operationem vero non quod boni aliquid in se suscipiat, sed quod ex bona intentione procedat</t>
  </si>
  <si>
    <t>Ethica seu Scito te ipsum, Libro 1</t>
  </si>
  <si>
    <t>He decidido ser feliz porque es bueno para la salud.</t>
  </si>
  <si>
    <t>Statui beatus esse quia saluti prodest.</t>
  </si>
  <si>
    <t>J'ai décidé d'être heureux parce que c'est bon pour la santé.</t>
  </si>
  <si>
    <t>Voltaire</t>
  </si>
  <si>
    <t>Correspondance (1761)</t>
  </si>
  <si>
    <t>Si Dios no existiera, sería necesario inventarlo.</t>
  </si>
  <si>
    <t>Si Deus non esset, eum invenire necesse esset.</t>
  </si>
  <si>
    <t>Si Dieu n'existait pas, il faudrait l'inventer.</t>
  </si>
  <si>
    <t>Épître à l'Auteur du Livre des Trois Imposteurs (1768)</t>
  </si>
  <si>
    <t>El sentido común no es tan común.</t>
  </si>
  <si>
    <t>Sensus communis non tam communis est.</t>
  </si>
  <si>
    <t>Le sens commun n'est pas si commun.</t>
  </si>
  <si>
    <t>Dictionnaire philosophique (1764)</t>
  </si>
  <si>
    <t>Quienes pueden hacerte creer absurdos pueden hacerte cometer atrocidades.</t>
  </si>
  <si>
    <t>Qui possunt facere ut absurda credas, possunt facere ut atrocia committas.</t>
  </si>
  <si>
    <t>Ceux qui peuvent vous faire croire à des absurdités, peuvent vous faire commettre des atrocités.</t>
  </si>
  <si>
    <t>Questions sur les Miracles (1765)</t>
  </si>
  <si>
    <t>Juzga a un hombre por sus preguntas en lugar de por sus respuestas.</t>
  </si>
  <si>
    <t>Hominem ex interrogationibus potius quam ex responsionibus iudica.</t>
  </si>
  <si>
    <t>Jugez un homme par ses questions plutôt que par ses réponses.</t>
  </si>
  <si>
    <t>Le ricanement de Voltaire</t>
  </si>
  <si>
    <t>Lo mejor es enemigo de lo bueno.</t>
  </si>
  <si>
    <t>Optimum bono inimicum est.</t>
  </si>
  <si>
    <t>Le mieux est l'ennemi du bien.</t>
  </si>
  <si>
    <t>La Bégueule (1772)</t>
  </si>
  <si>
    <t>A los vivos se les debe respeto, a los muertos solo se les debe la verdad.</t>
  </si>
  <si>
    <t>Vivis reverentia debetur, mortuis tantum veritas.</t>
  </si>
  <si>
    <t>Aux vivants, on doit le respect ; aux morts, on ne doit que la vérité.</t>
  </si>
  <si>
    <t>Lettres philosophiques (1733)</t>
  </si>
  <si>
    <t>El trabajo aleja de nosotros tres grandes males: el aburrimiento, el vicio y la necesidad.</t>
  </si>
  <si>
    <t>Labor a nobis tria magna mala depellit: taedium, vitium, et egestatem.</t>
  </si>
  <si>
    <t>Le travail éloigne de nous trois grands maux: l'ennui, le vice, et le besoin.</t>
  </si>
  <si>
    <t>Candide (1759)</t>
  </si>
  <si>
    <t>La ignorancia no es la falta de información, sino la incapacidad de procesarla.</t>
  </si>
  <si>
    <t>Ignorantia non est inopia indicii, sed impotentia id digerendi.</t>
  </si>
  <si>
    <t>Daniel Innerarity</t>
  </si>
  <si>
    <t>La sociedad del desconocimiento (2020)</t>
  </si>
  <si>
    <t>Atrévete a saber; comienza.</t>
  </si>
  <si>
    <t>Sapere aude; incipe.</t>
  </si>
  <si>
    <t>Epístolas, I, 2, 40.</t>
  </si>
  <si>
    <t>He levantado un monumento más duradero que el bronce.</t>
  </si>
  <si>
    <t>Exegi monumentum aere perennius.</t>
  </si>
  <si>
    <t>Odas, III, 30, 1.</t>
  </si>
  <si>
    <t>La virtud es el punto medio entre dos vicios.</t>
  </si>
  <si>
    <t>Virtus est medium vitiorum et utrimque reductum.</t>
  </si>
  <si>
    <t>Epístolas, I, 18, 9.</t>
  </si>
  <si>
    <t>Dulce y decoroso es morir por la patria.</t>
  </si>
  <si>
    <t>Dulce et decorum est pro patria mori.</t>
  </si>
  <si>
    <t>Odas, III, 2, 13.</t>
  </si>
  <si>
    <t>La pálida muerte llama con el mismo pie a las chozas de los pobres que a las torres de los reyes.</t>
  </si>
  <si>
    <t>Pallida Mors aequo pulsat pede pauperum tabernas regumque turres.</t>
  </si>
  <si>
    <t>Odas, I, 4, 13.</t>
  </si>
  <si>
    <t>Incluso en las desgracias, mantén el ánimo sereno.</t>
  </si>
  <si>
    <t>Aequam memento rebus in arduis servare mentem.</t>
  </si>
  <si>
    <t>Odas, II, 3, 1.</t>
  </si>
  <si>
    <t>La fuerza sin inteligencia se desploma bajo su propio peso.</t>
  </si>
  <si>
    <t>Vis consili expers mole ruit sua.</t>
  </si>
  <si>
    <t>Odas, III, 4, 65.</t>
  </si>
  <si>
    <t>Enamoraos de Jesucristo y de María Santísima y seréis felices.</t>
  </si>
  <si>
    <t>In amorem Iesu Christi et Mariae Sanctissimae incidite et felices eritis.</t>
  </si>
  <si>
    <t>Antonio María Claret</t>
  </si>
  <si>
    <t>Autobiografía</t>
  </si>
  <si>
    <t>El amor de Cristo nos apremia.</t>
  </si>
  <si>
    <t>Caritas Christi urget nos.</t>
  </si>
  <si>
    <t>Lema episcopal / 2 Corintios 5,14</t>
  </si>
  <si>
    <t>No busco lo que es vuestro, sino a vosotros.</t>
  </si>
  <si>
    <t>Non quaero quae vestra sunt, sed vos.</t>
  </si>
  <si>
    <t>2 Corintios 12,14 (citado en su misión)</t>
  </si>
  <si>
    <t>La oración es para el alma lo que el alimento para el cuerpo.</t>
  </si>
  <si>
    <t>Oratio est animae quod alimentum corpori.</t>
  </si>
  <si>
    <t>Escritos Espirituales</t>
  </si>
  <si>
    <t>Un hijo del Inmaculado Corazón de María es un hombre que arde en caridad.</t>
  </si>
  <si>
    <t>Filius Immaculati Cordis Mariae est vir qui caritate ardet.</t>
  </si>
  <si>
    <t>Definición del Misionero</t>
  </si>
  <si>
    <t>id_author</t>
  </si>
  <si>
    <t>year_birth</t>
  </si>
  <si>
    <t>year_death</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</si>
  <si>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</si>
  <si>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</si>
  <si>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</si>
  <si>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</si>
  <si>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</si>
  <si>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</si>
  <si>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</si>
  <si>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</si>
  <si>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</si>
  <si>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</si>
  <si>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</si>
  <si>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</si>
  <si>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</si>
  <si>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</si>
  <si>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</si>
  <si>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</si>
  <si>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</si>
  <si>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</si>
  <si>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</si>
  <si>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</si>
  <si>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</si>
  <si>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Gulielmus Shakespeare</t>
  </si>
  <si>
    <t>Dramaturgo y poeta inglés, autor de Hamlet.</t>
  </si>
  <si>
    <t>Dramaturgus et poeta Anglicus, auctor "Hamlet".</t>
  </si>
  <si>
    <t>https://i.ibb.co/MDGnQ1yJ/shakespeare.png</t>
  </si>
  <si>
    <t>Salomón</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</si>
  <si>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</si>
  <si>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</si>
  <si>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</si>
  <si>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</si>
  <si>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</si>
  <si>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</si>
  <si>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</si>
  <si>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</si>
  <si>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</si>
  <si>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</si>
  <si>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</si>
  <si>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</si>
  <si>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</si>
  <si>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</si>
  <si>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</si>
  <si>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</si>
  <si>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</si>
  <si>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</si>
  <si>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</si>
  <si>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</si>
  <si>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</si>
  <si>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</si>
  <si>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</si>
  <si>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</si>
  <si>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</si>
  <si>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</si>
  <si>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</si>
  <si>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</si>
  <si>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</si>
  <si>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</si>
  <si>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</si>
  <si>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</si>
  <si>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</si>
  <si>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</si>
  <si>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</si>
  <si>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</si>
  <si>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</si>
  <si>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</si>
  <si>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</si>
  <si>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</si>
  <si>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</si>
  <si>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</si>
  <si>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</si>
  <si>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</si>
  <si>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</si>
  <si>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</si>
  <si>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</si>
  <si>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</si>
  <si>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</si>
  <si>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</si>
  <si>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</si>
  <si>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</si>
  <si>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</si>
  <si>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</si>
  <si>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</si>
  <si>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</si>
  <si>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</si>
  <si>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</si>
  <si>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Isidoro de Sevilla</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</si>
  <si>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</si>
  <si>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</si>
  <si>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</si>
  <si>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</si>
  <si>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</si>
  <si>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</si>
  <si>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</si>
  <si>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</si>
  <si>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</si>
  <si>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</si>
  <si>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</si>
  <si>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</si>
  <si>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</si>
  <si>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</si>
  <si>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</si>
  <si>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</si>
  <si>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</si>
  <si>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</si>
  <si>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</si>
  <si>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</si>
  <si>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</si>
  <si>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</si>
  <si>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</si>
  <si>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</si>
  <si>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</si>
  <si>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</si>
  <si>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</si>
  <si>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</si>
  <si>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</si>
  <si>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</si>
  <si>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</si>
  <si>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</si>
  <si>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</si>
  <si>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</si>
  <si>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</si>
  <si>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</si>
  <si>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</si>
  <si>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</si>
  <si>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</si>
  <si>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</si>
  <si>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</si>
  <si>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</si>
  <si>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</si>
  <si>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</si>
  <si>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</si>
  <si>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</si>
  <si>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</si>
  <si>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</si>
  <si>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</si>
  <si>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</si>
  <si>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</si>
  <si>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</si>
  <si>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</si>
  <si>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</si>
  <si>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</si>
  <si>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</si>
  <si>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</si>
  <si>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</si>
  <si>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</si>
  <si>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</si>
  <si>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</si>
  <si>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</si>
  <si>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</si>
  <si>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</si>
  <si>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</si>
  <si>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</si>
  <si>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</si>
  <si>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</si>
  <si>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</si>
  <si>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</si>
  <si>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</si>
  <si>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</si>
  <si>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</si>
  <si>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</si>
  <si>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</si>
  <si>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</si>
  <si>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</si>
  <si>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</si>
  <si>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</si>
  <si>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</si>
  <si>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</si>
  <si>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</si>
  <si>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</si>
  <si>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</si>
  <si>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</si>
  <si>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</si>
  <si>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</si>
  <si>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</si>
  <si>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</si>
  <si>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</si>
  <si>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</si>
  <si>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</si>
  <si>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</si>
  <si>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</si>
  <si>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</si>
  <si>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</si>
  <si>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</si>
  <si>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</si>
  <si>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</si>
  <si>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</si>
  <si>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</si>
  <si>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</si>
  <si>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</si>
  <si>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</si>
  <si>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</si>
  <si>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</si>
  <si>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</si>
  <si>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</si>
  <si>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</si>
  <si>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</si>
  <si>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</si>
  <si>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</si>
  <si>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</si>
  <si>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</si>
  <si>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</si>
  <si>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</si>
  <si>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</si>
  <si>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</si>
  <si>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</si>
  <si>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</si>
  <si>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</si>
  <si>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</si>
  <si>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</si>
  <si>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</si>
  <si>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</si>
  <si>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</si>
  <si>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</si>
  <si>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</si>
  <si>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</si>
  <si>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</si>
  <si>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</si>
  <si>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</si>
  <si>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</si>
  <si>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</si>
  <si>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</si>
  <si>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</si>
  <si>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</si>
  <si>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</si>
  <si>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</si>
  <si>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</si>
  <si>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</si>
  <si>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</si>
  <si>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</si>
  <si>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</si>
  <si>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</si>
  <si>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</si>
  <si>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</si>
  <si>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</si>
  <si>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https://i.ibb.co/yFrskTBq/ignacioantio.png</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</si>
  <si>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</si>
  <si>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</si>
  <si>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</si>
  <si>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</si>
  <si>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</si>
  <si>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</si>
  <si>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</si>
  <si>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</si>
  <si>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</si>
  <si>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</si>
  <si>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</si>
  <si>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</si>
  <si>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</si>
  <si>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</si>
  <si>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</si>
  <si>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</si>
  <si>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</si>
  <si>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</si>
  <si>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</si>
  <si>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</si>
  <si>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</si>
  <si>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</si>
  <si>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</si>
  <si>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</si>
  <si>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</si>
  <si>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</si>
  <si>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</si>
  <si>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</si>
  <si>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</si>
  <si>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</si>
  <si>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</si>
  <si>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</si>
  <si>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</si>
  <si>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</si>
  <si>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</si>
  <si>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</si>
  <si>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</si>
  <si>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</si>
  <si>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</si>
  <si>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</si>
  <si>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</si>
  <si>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</si>
  <si>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</si>
  <si>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</si>
  <si>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</si>
  <si>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</si>
  <si>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</si>
  <si>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</si>
  <si>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</si>
  <si>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</si>
  <si>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</si>
  <si>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</si>
  <si>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</si>
  <si>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</si>
  <si>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</si>
  <si>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</si>
  <si>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</si>
  <si>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</si>
  <si>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</si>
  <si>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</si>
  <si>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</si>
  <si>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</si>
  <si>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</si>
  <si>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</si>
  <si>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</si>
  <si>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</si>
  <si>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</si>
  <si>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</si>
  <si>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</si>
  <si>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</si>
  <si>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</si>
  <si>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</si>
  <si>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</si>
  <si>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</si>
  <si>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</si>
  <si>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</si>
  <si>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</si>
  <si>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</si>
  <si>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</si>
  <si>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</si>
  <si>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https://i.ibb.co/8g9CdD0p/paulofreire.png</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</si>
  <si>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</si>
  <si>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</si>
  <si>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</si>
  <si>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</si>
  <si>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</si>
  <si>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</si>
  <si>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</si>
  <si>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</si>
  <si>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</si>
  <si>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</si>
  <si>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</si>
  <si>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</si>
  <si>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</si>
  <si>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</si>
  <si>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</si>
  <si>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</si>
  <si>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</si>
  <si>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</si>
  <si>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</si>
  <si>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</si>
  <si>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</si>
  <si>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</si>
  <si>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</si>
  <si>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</si>
  <si>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</si>
  <si>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</si>
  <si>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</si>
  <si>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</si>
  <si>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</si>
  <si>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Anónimo</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</si>
  <si>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</si>
  <si>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</si>
  <si>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</si>
  <si>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</si>
  <si>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</si>
  <si>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</si>
  <si>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</si>
  <si>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</si>
  <si>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</si>
  <si>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</si>
  <si>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</si>
  <si>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</si>
  <si>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</si>
  <si>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</si>
  <si>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</si>
  <si>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</si>
  <si>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</si>
  <si>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https://i.ibb.co/nNjVdCkf/pestalozzi.png</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</si>
  <si>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</si>
  <si>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</si>
  <si>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</si>
  <si>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https://i.ibb.co/5xBrX10s/jeanpiaget.png</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</si>
  <si>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</si>
  <si>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</si>
  <si>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https://i.ibb.co/60c7p4y9/vigotsky.png</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</si>
  <si>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</si>
  <si>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</si>
  <si>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</si>
  <si>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https://i.ibb.co/0jwMS3vT/froebel.png</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</si>
  <si>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</si>
  <si>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</si>
  <si>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</si>
  <si>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</si>
  <si>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https://i.ibb.co/C5S7WqXv/decroly.png</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</si>
  <si>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</si>
  <si>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</si>
  <si>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</si>
  <si>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https://i.ibb.co/60VT5xTj/sanfelipeneri.png</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</si>
  <si>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</si>
  <si>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</si>
  <si>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</si>
  <si>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https://i.ibb.co/sdgNknh0/santateresadelacruz.png</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</si>
  <si>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</si>
  <si>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</si>
  <si>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</si>
  <si>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https://i.ibb.co/Xxv42TMM/carloacutis.png</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</si>
  <si>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</si>
  <si>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</si>
  <si>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</si>
  <si>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</si>
  <si>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https://i.ibb.co/S7Bw3Wgz/steiner.png</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</si>
  <si>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</si>
  <si>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</si>
  <si>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</si>
  <si>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https://i.ibb.co/XTz1rHj/gabrielamistral.png</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</si>
  <si>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</si>
  <si>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</si>
  <si>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</si>
  <si>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https://i.ibb.co/6c49K80z/gardner.png</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</si>
  <si>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</si>
  <si>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</si>
  <si>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https://i.ibb.co/pBt9Ty7Z/kenrobinson.png</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</si>
  <si>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</si>
  <si>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</si>
  <si>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</si>
  <si>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</si>
  <si>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https://i.ibb.co/21zkG8D5/albertbandura.png</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</si>
  <si>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</si>
  <si>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</si>
  <si>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</si>
  <si>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https://i.ibb.co/QFcznP4m/skinner.png</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</si>
  <si>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</si>
  <si>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</si>
  <si>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</si>
  <si>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https://i.ibb.co/tMwzk5gg/maritain.png</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</si>
  <si>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</si>
  <si>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</si>
  <si>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</si>
  <si>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https://i.ibb.co/VY2H7VMM/cslewis.png</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</si>
  <si>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</si>
  <si>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</si>
  <si>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</si>
  <si>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https://i.ibb.co/WvdGWZ6r/gregorioluri.png</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</si>
  <si>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</si>
  <si>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</si>
  <si>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</si>
  <si>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</si>
  <si>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https://i.ibb.co/20HTMSQF/johnhattie.png</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</si>
  <si>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</si>
  <si>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</si>
  <si>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</si>
  <si>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https://i.ibb.co/9HRt5j9n/johnlocke.png</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</si>
  <si>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</si>
  <si>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</si>
  <si>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</si>
  <si>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https://i.ibb.co/kgbszCVd/tagore.png</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</si>
  <si>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</si>
  <si>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</si>
  <si>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</si>
  <si>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https://i.ibb.co/sdL6mZws/novak.png</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</si>
  <si>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</si>
  <si>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</si>
  <si>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</si>
  <si>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https://i.ibb.co/s9xMVWJK/ausubel.png</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</si>
  <si>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</si>
  <si>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</si>
  <si>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</si>
  <si>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</si>
  <si>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</si>
  <si>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</si>
  <si>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</si>
  <si>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</si>
  <si>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</si>
  <si>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</si>
  <si>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</si>
  <si>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https://i.ibb.co/jPPtTZtx/jenofonte.png</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</si>
  <si>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</si>
  <si>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</si>
  <si>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</si>
  <si>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https://i.ibb.co/Xr7qMRcm/antistenes.png</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</si>
  <si>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</si>
  <si>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</si>
  <si>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</si>
  <si>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https://i.ibb.co/wFKwzxC5/plotino.png</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</si>
  <si>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</si>
  <si>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</si>
  <si>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</si>
  <si>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https://i.ibb.co/Z129mSh3/buenaventura.png</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</si>
  <si>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</si>
  <si>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</si>
  <si>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</si>
  <si>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https://i.ibb.co/YFt2jzrQ/pedroabelardo.png</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</si>
  <si>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</si>
  <si>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</si>
  <si>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</si>
  <si>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https://i.ibb.co/XfRSKJzS/boecio.png</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</si>
  <si>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</si>
  <si>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</si>
  <si>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</si>
  <si>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https://i.ibb.co/KkCQxPT/juanduns.png</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</si>
  <si>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</si>
  <si>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</si>
  <si>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</si>
  <si>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https://i.ibb.co/6RxfDv6N/hildegarda.png</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</si>
  <si>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</si>
  <si>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</si>
  <si>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</si>
  <si>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https://i.ibb.co/WCsSjKp/eckhart.png</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</si>
  <si>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</si>
  <si>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</si>
  <si>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</si>
  <si>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https://i.ibb.co/DD8cx8tb/ignacioloiola.png</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</si>
  <si>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</si>
  <si>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</si>
  <si>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</si>
  <si>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https://i.ibb.co/0jY6Nmcb/franciscojavier.png</t>
  </si>
  <si>
    <t>Homerus</t>
  </si>
  <si>
    <t>Poeta épico griego autor de la Ilíada y la Odisea, las dos obras fundamentales de la literatura griega antigua y occidental.</t>
  </si>
  <si>
    <t>Poeta epicus Graecus auctor Iliadis et Odysseae, duo opera fundamentalia litteraturae Graecae antiquae et occidentalis.</t>
  </si>
  <si>
    <t>https://i.ibb.co/7Nb8gNJ3/homero.png</t>
  </si>
  <si>
    <t>Biblia Sacra</t>
  </si>
  <si>
    <t>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t>
  </si>
  <si>
    <t>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t>
  </si>
  <si>
    <t>https://i.ibb.co/mF9zsdM5/bible.png</t>
  </si>
  <si>
    <t>Virgilio</t>
  </si>
  <si>
    <t>Publius Vergilius Maro</t>
  </si>
  <si>
    <t>Publio Virgilio Marón fue uno de los más grandes poetas del Imperio Romano. Nació en Andes (actual Pietole) cerca de Mantua el 15 de octubre del 70 a.C. y murió en Brindisi el 21 de septiembre del 19 a.C. Es autor de tres obras fundamentales: las Bucólicas, las Geórgicas y la Eneida, el gran poema épico de la Roma clásica. Vivió durante el periodo turbulento de las guerras civiles romanas y mantuvo una estrecha relación con el emperador Augusto.</t>
  </si>
  <si>
    <t>Publius Vergilius Maro fuit unus ex maximis poetis Imperii Romani. Natus est in Andes (nunc Pietole) prope Mantuam die XV Octobris anno LXX a.C. et mortuus est Brundisii die XXI Septembris anno XIX a.C. Auctor est trium operum fundamentalium: Bucolica, Georgica et Aeneis, magnum carmen epicum Romae classicae. Vixit tempore turbulento bellis civilibus Romanis et arctam relationem habuit cum imperatore Augusto.</t>
  </si>
  <si>
    <t>https://i.ibb.co/xqfZddf3/virgilio.png</t>
  </si>
  <si>
    <t>Proverbio Latino</t>
  </si>
  <si>
    <t>Proverbium Latinum</t>
  </si>
  <si>
    <t>Los proverbios latinos son un tipo de sentencia o enunciado parémico utilizado por los romanos desde la época republicana hasta el final del Imperio Romano de Occidente. Forman parte de la sabiduría popular y jurídica romana, transmitiéndose a través de un uso constante e ininterrumpido del latín antiguo al latín medieval y de ahí a las lenguas modernas. Se han mantenido en uso sin traducirse desde hace más de dos milenios, formando parte del legado cultural grecolatino común a las lenguas europeas.</t>
  </si>
  <si>
    <t>Proverbia Latina sunt genus sententiae seu enuntiati paroemiaci a Romanis usitati ab aetate republicana usque ad finem Imperii Romani Occidentalis. Partem constituunt sapientiae popularis et iuridicae Romanae, transmissa per usum constantem et ininterruptum e Latino antiquo ad Latinum medievalem et inde ad linguas modernas. Per plus quam duo millennia sine translatione in usu permanserunt, partem formantes hereditatis culturalis graecolatinae communis linguis Europaeis.</t>
  </si>
  <si>
    <t>https://i.ibb.co/kVL6ZPRF/roma.png</t>
  </si>
  <si>
    <t>Publius Cornelius Tacitus</t>
  </si>
  <si>
    <t>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t>
  </si>
  <si>
    <t>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t>
  </si>
  <si>
    <t>https://i.ibb.co/x8MJCvrr/tacito.png</t>
  </si>
  <si>
    <t>Voltarius</t>
  </si>
  <si>
    <t>Escritor y filósofo francés, figura clave de la Ilustración y defensor de la libertad de expresión.</t>
  </si>
  <si>
    <t>Scriptor et philosophus Gallicus, clarissimus aetate Illuminationis et libertatis dicendi defensor.</t>
  </si>
  <si>
    <t>Lingua Gallica</t>
  </si>
  <si>
    <t>https://i.ibb.co/n8Mbf5tF/voltaire-alpha.png</t>
  </si>
  <si>
    <t>Filósofo y ensayista español, especialista en la filosofía política y la gobernanza de sociedades complejas.</t>
  </si>
  <si>
    <t>Philosophus et scriptor Hispanicus, peritus philosophiae politicae et moderationis societatum complexarum.</t>
  </si>
  <si>
    <t>https://i.ibb.co/ZzF5yhkV/innerarity-alpha.png</t>
  </si>
  <si>
    <t>Antonius Maria Claret</t>
  </si>
  <si>
    <t>Arzobispo español, misionero apostólico y fundador de los Misioneros Claretianos. Fue confesor de la Reina Isabel II y un prolífico escritor y editor, destacando por su celo evangelizador y su labor social en Cuba y España.</t>
  </si>
  <si>
    <t>Archiepiscopus Hispanicus, missionarius apostolicus et fundator Missionariorum Claretianorum. Fuit confessarius Reginae Isabellae II et scriptor fecundus, zelo evangelizandi et caritate erga pauperes in Cuba et Hispania clarus.</t>
  </si>
  <si>
    <t>https://i.ibb.co/pBJsk0pS/claret-alpha.png</t>
  </si>
  <si>
    <t>id_language</t>
  </si>
  <si>
    <t>es</t>
  </si>
  <si>
    <t>Lingua Hispanica</t>
  </si>
  <si>
    <t>en</t>
  </si>
  <si>
    <t>Lingua Anglica</t>
  </si>
  <si>
    <t>fr</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</si>
  <si>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</si>
  <si>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</si>
  <si>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</si>
  <si>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</si>
  <si>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</si>
  <si>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</si>
  <si>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</si>
  <si>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</si>
  <si>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</si>
  <si>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</si>
  <si>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</si>
  <si>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</si>
  <si>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</si>
  <si>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</si>
  <si>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</si>
  <si>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</si>
  <si>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</si>
  <si>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</si>
  <si>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</si>
  <si>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</si>
  <si>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</si>
  <si>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</si>
  <si>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</si>
  <si>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</si>
  <si>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</si>
  <si>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</si>
  <si>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</si>
  <si>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</si>
  <si>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</si>
  <si>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</si>
  <si>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</si>
  <si>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</si>
  <si>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</si>
  <si>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</si>
  <si>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</si>
  <si>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</si>
  <si>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</si>
  <si>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</si>
  <si>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</si>
  <si>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</si>
  <si>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</si>
  <si>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</si>
  <si>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</si>
  <si>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</si>
  <si>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</si>
  <si>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</si>
  <si>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</si>
  <si>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</si>
  <si>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</si>
  <si>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</si>
  <si>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</si>
  <si>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</si>
  <si>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</si>
  <si>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</si>
  <si>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</si>
  <si>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</si>
  <si>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</si>
  <si>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</si>
  <si>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</si>
  <si>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</si>
  <si>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</si>
  <si>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</si>
  <si>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</si>
  <si>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</si>
  <si>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</si>
  <si>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</si>
  <si>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</si>
  <si>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</si>
  <si>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</si>
  <si>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</si>
  <si>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</si>
  <si>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</si>
  <si>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</si>
  <si>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</si>
  <si>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</si>
  <si>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</si>
  <si>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</si>
  <si>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</si>
  <si>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</si>
  <si>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</si>
  <si>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</si>
  <si>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</si>
  <si>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</si>
  <si>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</si>
  <si>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</si>
  <si>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</si>
  <si>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</si>
  <si>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</si>
  <si>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</si>
  <si>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</si>
  <si>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</si>
  <si>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</si>
  <si>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</si>
  <si>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</si>
  <si>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</si>
  <si>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</si>
  <si>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</si>
  <si>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</si>
  <si>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</si>
  <si>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</si>
  <si>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</si>
  <si>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</si>
  <si>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</si>
  <si>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</si>
  <si>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</si>
  <si>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</si>
  <si>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</si>
  <si>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</si>
  <si>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</si>
  <si>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</si>
  <si>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</si>
  <si>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</si>
  <si>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</si>
  <si>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</si>
  <si>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</si>
  <si>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</si>
  <si>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</si>
  <si>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</si>
  <si>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</si>
  <si>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</si>
  <si>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</si>
  <si>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</si>
  <si>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</si>
  <si>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</si>
  <si>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</si>
  <si>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</si>
  <si>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</si>
  <si>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</si>
  <si>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</si>
  <si>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</si>
  <si>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</si>
  <si>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</si>
  <si>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</si>
  <si>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id_nation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</si>
  <si>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</si>
  <si>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</si>
  <si>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</si>
  <si>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</si>
  <si>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</si>
  <si>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</si>
  <si>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</si>
  <si>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</si>
  <si>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</si>
  <si>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</si>
  <si>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</si>
  <si>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</si>
  <si>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</si>
  <si>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</si>
  <si>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</si>
  <si>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</si>
  <si>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</si>
  <si>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</si>
  <si>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</si>
  <si>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</si>
  <si>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</si>
  <si>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</si>
  <si>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</si>
  <si>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</si>
  <si>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</si>
  <si>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</si>
  <si>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</si>
  <si>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</si>
  <si>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</si>
  <si>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</si>
  <si>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</si>
  <si>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</si>
  <si>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</si>
  <si>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</si>
  <si>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</si>
  <si>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</si>
  <si>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</si>
  <si>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</si>
  <si>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</si>
  <si>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</si>
  <si>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</si>
  <si>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</si>
  <si>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</si>
  <si>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</si>
  <si>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</si>
  <si>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</si>
  <si>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</si>
  <si>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</si>
  <si>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</si>
  <si>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</si>
  <si>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</si>
  <si>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</si>
  <si>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</si>
  <si>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id_age</t>
  </si>
  <si>
    <t>year_start</t>
  </si>
  <si>
    <t>year_end</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</si>
  <si>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</si>
  <si>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</si>
  <si>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</si>
  <si>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</si>
  <si>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</si>
  <si>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</si>
  <si>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</si>
  <si>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</si>
  <si>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</si>
  <si>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</si>
  <si>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</si>
  <si>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</si>
  <si>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</si>
  <si>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</si>
  <si>
    <t>Steve Wozniak</t>
  </si>
  <si>
    <t>Stephanus Wozniak</t>
  </si>
  <si>
    <t>Ingeniero electrónico y cofundador de Apple, creador de la Apple I y II y defensor de la ingeniería creativa.</t>
  </si>
  <si>
    <t>Machinator electronicus et Apple co-conditor, creator Apple I et II et defensor machinationis creativae.</t>
  </si>
  <si>
    <t>Nunca confíes en un ordenador que no puedas tirar por la ventana (o en una herramienta que no se deje configurar).</t>
  </si>
  <si>
    <t>Numquam confide computatro quod e fenestra eicere non potes.</t>
  </si>
  <si>
    <t>Never trust a computer you can't throw out a window.</t>
  </si>
  <si>
    <t>Apple II User Guide (attributed)</t>
  </si>
  <si>
    <t>Aquellos que educan bien a los niños deberían ser más honorados que los que los producen; pues estos solo les dieron la vida, aquellos el arte de vivir bien.</t>
  </si>
  <si>
    <t>Iis qui liberos bene educant, plus honoris tribuendum est quam iis qui genuerunt; nam hi vitam modo dederunt, illi bene vivendi artem.</t>
  </si>
  <si>
    <t>Τοὺς μὲν γὰρ γονεῖς μόνον τοῦ ζῆν αἰτίους εἶναι, τοὺς δὲ διδασκάλους τοῦ καλῶς ζῆν.</t>
  </si>
  <si>
    <t>Ética a Nicómaco (atribuida) / Apophthegmata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</si>
</sst>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name val="Arial"/>
      <family val="2"/>
      <charset val="1"/>
    </font>
    <font>
      <u/>
      <sz val="10"/>
      <color theme="10"/>
      <name val="Arial"/>
      <family val="2"/>
      <charset val="1"/>
    </font>
    <font>
      <sz val="10"/>
      <name val="Noto Sans CJK SC"/>
      <family val="2"/>
      <charset val="1"/>
    </font>
    <font>
      <sz val="10"/>
      <name val="Noto Sans Devanagari"/>
      <family val="2"/>
      <charset val="1"/>
    </font>
    <font>
      <i/>
      <sz val="10"/>
      <name val="Arial"/>
      <family val="2"/>
      <charset val="1"/>
    </font>
    <font>
      <sz val="10"/>
      <name val="Noto Sans CJK SC"/>
      <family val="2"/>
    </font>
    <font>
      <sz val="10"/>
      <color rgb="FF1F1F1F"/>
      <name val="Arial"/>
      <family val="2"/>
      <charset val="1"/>
    </font>
    <font>
      <b/>
      <sz val="1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Border="0" applyProtection="0"/>
  </cellStyleXfs>
  <cellXfs count="10">
    <xf numFmtId="0" fontId="0" fillId="0" borderId="0" xfId="0"/>
    <xf numFmtId="0" fontId="2" fillId="0" borderId="0" xfId="0" applyFont="1"/>
    <xf numFmtId="0" fontId="3" fillId="0" borderId="0" xfId="0" applyFont="1" applyAlignment="1">
      <alignment horizontal="left"/>
    </xf>
    <xf numFmtId="0" fontId="3" fillId="0" borderId="0" xfId="0" applyFont="1"/>
    <xf numFmtId="0" fontId="4" fillId="0" borderId="0" xfId="0" applyFont="1"/>
    <xf numFmtId="0" fontId="6" fillId="0" borderId="0" xfId="0" applyFont="1"/>
    <xf numFmtId="0" fontId="1" fillId="0" borderId="0" xfId="1" applyBorder="1" applyProtection="1"/>
    <xf numFmtId="0" fontId="0" fillId="0" borderId="0" xfId="0" applyAlignment="1">
      <alignment wrapText="1"/>
    </xf>
    <xf numFmtId="1" fontId="0" fillId="0" borderId="0" xfId="0" applyNumberFormat="1"/>
    <xf numFmtId="0" fontId="7" fillId="0" borderId="0" xfId="0" applyFont="1"/>
  </cellXfs>
  <cellStyles count="2">
    <cellStyle name="Hyperlink 1" xfId="1" xr:uid="{00000000-0005-0000-0000-000006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frasest" displayName="frasest" ref="A1:R1502" totalsRowShown="0">
  <autoFilter ref="A1:R1502" xr:uid="{00000000-0009-0000-0100-000003000000}"/>
  <tableColumns count="18">
    <tableColumn id="1" xr3:uid="{00000000-0010-0000-0000-000001000000}" name="id_quote"/>
    <tableColumn id="2" xr3:uid="{00000000-0010-0000-0000-000002000000}" name="quote_es"/>
    <tableColumn id="3" xr3:uid="{00000000-0010-0000-0000-000003000000}" name="quote_la"/>
    <tableColumn id="4" xr3:uid="{00000000-0010-0000-0000-000004000000}" name="quote_original"/>
    <tableColumn id="5" xr3:uid="{00000000-0010-0000-0000-000005000000}" name="author_es"/>
    <tableColumn id="6" xr3:uid="{00000000-0010-0000-0000-000006000000}" name="reference"/>
    <tableColumn id="7" xr3:uid="{00000000-0010-0000-0000-000007000000}" name="author_la"/>
    <tableColumn id="8" xr3:uid="{00000000-0010-0000-0000-000008000000}" name="bio_es"/>
    <tableColumn id="9" xr3:uid="{00000000-0010-0000-0000-000009000000}" name="bio_la"/>
    <tableColumn id="10" xr3:uid="{00000000-0010-0000-0000-00000A000000}" name="iso3691"/>
    <tableColumn id="11" xr3:uid="{00000000-0010-0000-0000-00000B000000}" name="language_es"/>
    <tableColumn id="12" xr3:uid="{00000000-0010-0000-0000-00000C000000}" name="language_la"/>
    <tableColumn id="13" xr3:uid="{00000000-0010-0000-0000-00000D000000}" name="nation_es"/>
    <tableColumn id="14" xr3:uid="{00000000-0010-0000-0000-00000E000000}" name="nation_la"/>
    <tableColumn id="15" xr3:uid="{00000000-0010-0000-0000-00000F000000}" name="age_es"/>
    <tableColumn id="16" xr3:uid="{00000000-0010-0000-0000-000010000000}" name="age_la"/>
    <tableColumn id="17" xr3:uid="{00000000-0010-0000-0000-000011000000}" name="image"/>
    <tableColumn id="18" xr3:uid="{00000000-0010-0000-0000-000012000000}" name="image_atr"/>
  </tableColumns>
  <tableStyleInfo name="TableStyleMedium1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autorest" displayName="autorest" ref="A1:P125" totalsRowShown="0">
  <autoFilter ref="A1:P125" xr:uid="{00000000-0009-0000-0100-000001000000}"/>
  <tableColumns count="16">
    <tableColumn id="1" xr3:uid="{00000000-0010-0000-0100-000001000000}" name="id_author"/>
    <tableColumn id="2" xr3:uid="{00000000-0010-0000-0100-000002000000}" name="author_es"/>
    <tableColumn id="3" xr3:uid="{00000000-0010-0000-0100-000003000000}" name="author_la"/>
    <tableColumn id="4" xr3:uid="{00000000-0010-0000-0100-000004000000}" name="year_birth"/>
    <tableColumn id="5" xr3:uid="{00000000-0010-0000-0100-000005000000}" name="year_death"/>
    <tableColumn id="6" xr3:uid="{00000000-0010-0000-0100-000006000000}" name="bio_es"/>
    <tableColumn id="7" xr3:uid="{00000000-0010-0000-0100-000007000000}" name="bio_la"/>
    <tableColumn id="8" xr3:uid="{00000000-0010-0000-0100-000008000000}" name="language_es"/>
    <tableColumn id="9" xr3:uid="{00000000-0010-0000-0100-000009000000}" name="nation_es"/>
    <tableColumn id="10" xr3:uid="{00000000-0010-0000-0100-00000A000000}" name="language_la"/>
    <tableColumn id="11" xr3:uid="{00000000-0010-0000-0100-00000B000000}" name="image"/>
    <tableColumn id="12" xr3:uid="{00000000-0010-0000-0100-00000C000000}" name="image_atr"/>
    <tableColumn id="13" xr3:uid="{00000000-0010-0000-0100-00000D000000}" name="iso3691"/>
    <tableColumn id="14" xr3:uid="{00000000-0010-0000-0100-00000E000000}" name="nation_la"/>
    <tableColumn id="15" xr3:uid="{00000000-0010-0000-0100-00000F000000}" name="age_es"/>
    <tableColumn id="16" xr3:uid="{00000000-0010-0000-0100-000010000000}" name="age_la"/>
  </tableColumns>
  <tableStyleInfo name="TableStyleMedium1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idiomast" displayName="idiomast" ref="A1:D54" totalsRowShown="0">
  <autoFilter ref="A1:D54" xr:uid="{00000000-0009-0000-0100-000004000000}"/>
  <tableColumns count="4">
    <tableColumn id="1" xr3:uid="{00000000-0010-0000-0200-000001000000}" name="id_language"/>
    <tableColumn id="2" xr3:uid="{00000000-0010-0000-0200-000002000000}" name="iso3691"/>
    <tableColumn id="3" xr3:uid="{00000000-0010-0000-0200-000003000000}" name="language_es"/>
    <tableColumn id="4" xr3:uid="{00000000-0010-0000-0200-000004000000}" name="language_l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nacionest" displayName="nacionest" ref="A1:C49" totalsRowShown="0">
  <autoFilter ref="A1:C49" xr:uid="{00000000-0009-0000-0100-000005000000}"/>
  <tableColumns count="3">
    <tableColumn id="1" xr3:uid="{00000000-0010-0000-0300-000001000000}" name="id_nation"/>
    <tableColumn id="2" xr3:uid="{00000000-0010-0000-0300-000002000000}" name="nation_es"/>
    <tableColumn id="3" xr3:uid="{00000000-0010-0000-0300-000003000000}" name="nation_la"/>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4000000}" name="epocast" displayName="epocast" ref="A1:E7" totalsRowShown="0">
  <autoFilter ref="A1:E7" xr:uid="{00000000-0009-0000-0100-000002000000}"/>
  <tableColumns count="5">
    <tableColumn id="1" xr3:uid="{00000000-0010-0000-0400-000001000000}" name="id_age"/>
    <tableColumn id="2" xr3:uid="{00000000-0010-0000-0400-000002000000}" name="age_es"/>
    <tableColumn id="3" xr3:uid="{00000000-0010-0000-0400-000003000000}" name="age_la"/>
    <tableColumn id="4" xr3:uid="{00000000-0010-0000-0400-000004000000}" name="year_start"/>
    <tableColumn id="5" xr3:uid="{00000000-0010-0000-0400-000005000000}" name="year_end"/>
  </tableColumns>
  <tableStyleInfo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tjXTLg8/confucio.png" TargetMode="External"/><Relationship Id="rId18" Type="http://schemas.openxmlformats.org/officeDocument/2006/relationships/hyperlink" Target="https://i.ibb.co/9mGNtTcT/chesterton.png" TargetMode="External"/><Relationship Id="rId26" Type="http://schemas.openxmlformats.org/officeDocument/2006/relationships/hyperlink" Target="https://i.ibb.co/XkSxyZyF/einstein.png" TargetMode="External"/><Relationship Id="rId21" Type="http://schemas.openxmlformats.org/officeDocument/2006/relationships/hyperlink" Target="https://i.ibb.co/1fdqG2fh/arabia.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8DHGWSZc/parmenides.png" TargetMode="External"/><Relationship Id="rId17" Type="http://schemas.openxmlformats.org/officeDocument/2006/relationships/hyperlink" Target="https://i.ibb.co/N6jnVDp7/nietzsche.png" TargetMode="External"/><Relationship Id="rId25" Type="http://schemas.openxmlformats.org/officeDocument/2006/relationships/hyperlink" Target="https://i.ibb.co/hFVyv04H/gandhi.png" TargetMode="External"/><Relationship Id="rId33" Type="http://schemas.openxmlformats.org/officeDocument/2006/relationships/hyperlink" Target="https://i.ibb.co/MkxqpJ6j/calcuta.png" TargetMode="External"/><Relationship Id="rId38" Type="http://schemas.openxmlformats.org/officeDocument/2006/relationships/table" Target="../tables/table2.xml"/><Relationship Id="rId2" Type="http://schemas.openxmlformats.org/officeDocument/2006/relationships/hyperlink" Target="https://i.ibb.co/pjycYzXh/descartes.png" TargetMode="External"/><Relationship Id="rId16" Type="http://schemas.openxmlformats.org/officeDocument/2006/relationships/hyperlink" Target="https://i.ibb.co/wG8jHsv/tomasaquino.png" TargetMode="External"/><Relationship Id="rId20" Type="http://schemas.openxmlformats.org/officeDocument/2006/relationships/hyperlink" Target="https://i.ibb.co/20M9HWkV/lasalle.png" TargetMode="External"/><Relationship Id="rId29" Type="http://schemas.openxmlformats.org/officeDocument/2006/relationships/hyperlink" Target="https://i.ibb.co/d08LLy25/franklin.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7dbHBQ9X/juliocesar.png" TargetMode="External"/><Relationship Id="rId24" Type="http://schemas.openxmlformats.org/officeDocument/2006/relationships/hyperlink" Target="https://i.ibb.co/qYBzbNJH/mandela.png" TargetMode="External"/><Relationship Id="rId32" Type="http://schemas.openxmlformats.org/officeDocument/2006/relationships/hyperlink" Target="https://i.ibb.co/qYHNPQ2Z/camus.png" TargetMode="External"/><Relationship Id="rId37" Type="http://schemas.openxmlformats.org/officeDocument/2006/relationships/hyperlink" Target="https://i.ibb.co/kVL6ZPRF/roma.png" TargetMode="External"/><Relationship Id="rId5" Type="http://schemas.openxmlformats.org/officeDocument/2006/relationships/hyperlink" Target="https://i.ibb.co/MDGnQ1yJ/shakespeare.png" TargetMode="External"/><Relationship Id="rId15" Type="http://schemas.openxmlformats.org/officeDocument/2006/relationships/hyperlink" Target="https://i.ibb.co/35c3QS9J/seneca.png" TargetMode="External"/><Relationship Id="rId23" Type="http://schemas.openxmlformats.org/officeDocument/2006/relationships/hyperlink" Target="https://i.ibb.co/7d8RNgBb/cervantes.png" TargetMode="External"/><Relationship Id="rId28" Type="http://schemas.openxmlformats.org/officeDocument/2006/relationships/hyperlink" Target="https://i.ibb.co/C5cSzJyL/dewey.png" TargetMode="External"/><Relationship Id="rId36" Type="http://schemas.openxmlformats.org/officeDocument/2006/relationships/hyperlink" Target="https://i.ibb.co/0p8F8QbX/marcoaurelio.png" TargetMode="External"/><Relationship Id="rId10" Type="http://schemas.openxmlformats.org/officeDocument/2006/relationships/hyperlink" Target="https://i.ibb.co/1GSsmt8h/francia.png" TargetMode="External"/><Relationship Id="rId19" Type="http://schemas.openxmlformats.org/officeDocument/2006/relationships/hyperlink" Target="https://i.ibb.co/tMz7wVTz/juanpabloii.png" TargetMode="External"/><Relationship Id="rId31" Type="http://schemas.openxmlformats.org/officeDocument/2006/relationships/hyperlink" Target="https://i.ibb.co/G4YNT7DT/tibet.png" TargetMode="External"/><Relationship Id="rId4" Type="http://schemas.openxmlformats.org/officeDocument/2006/relationships/hyperlink" Target="https://i.ibb.co/chhLXqTZ/agustin.png" TargetMode="External"/><Relationship Id="rId9" Type="http://schemas.openxmlformats.org/officeDocument/2006/relationships/hyperlink" Target="https://i.ibb.co/svZg6Fc2/japon.png" TargetMode="External"/><Relationship Id="rId14" Type="http://schemas.openxmlformats.org/officeDocument/2006/relationships/hyperlink" Target="https://i.ibb.co/5xsVq8Sz/isidoro.png" TargetMode="External"/><Relationship Id="rId22" Type="http://schemas.openxmlformats.org/officeDocument/2006/relationships/hyperlink" Target="https://i.ibb.co/jFsMGCC/spengler.png" TargetMode="External"/><Relationship Id="rId27" Type="http://schemas.openxmlformats.org/officeDocument/2006/relationships/hyperlink" Target="https://i.ibb.co/GBYRvH9/king.png" TargetMode="External"/><Relationship Id="rId30" Type="http://schemas.openxmlformats.org/officeDocument/2006/relationships/hyperlink" Target="https://i.ibb.co/prKj8Gtz/davinci.png" TargetMode="External"/><Relationship Id="rId35" Type="http://schemas.openxmlformats.org/officeDocument/2006/relationships/hyperlink" Target="https://i.ibb.co/dsQnnqJw/epicuro.png" TargetMode="External"/><Relationship Id="rId8" Type="http://schemas.openxmlformats.org/officeDocument/2006/relationships/hyperlink" Target="https://i.ibb.co/qLfpZm6h/china.png" TargetMode="External"/><Relationship Id="rId3" Type="http://schemas.openxmlformats.org/officeDocument/2006/relationships/hyperlink" Target="https://i.ibb.co/xtWthbfv/bacon.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02"/>
  <sheetViews>
    <sheetView tabSelected="1" topLeftCell="A1462" zoomScaleNormal="100" workbookViewId="0">
      <selection activeCell="B1489" sqref="B1489"/>
    </sheetView>
  </sheetViews>
  <sheetFormatPr baseColWidth="10" defaultColWidth="11.5" defaultRowHeight="13"/>
  <cols>
    <col min="1" max="1" width="9.33203125" customWidth="1"/>
    <col min="2" max="2" width="122.33203125" customWidth="1"/>
    <col min="3" max="3" width="96.5" customWidth="1"/>
    <col min="4" max="4" width="122.33203125" customWidth="1"/>
    <col min="5" max="6" width="26.5" customWidth="1"/>
    <col min="7" max="9" width="32.6640625" customWidth="1"/>
    <col min="10" max="10" width="9.5" customWidth="1"/>
    <col min="11" max="11" width="12.5" customWidth="1"/>
    <col min="12" max="12" width="16.5" customWidth="1"/>
    <col min="13" max="13" width="14.33203125" customWidth="1"/>
    <col min="14" max="14" width="18.5" customWidth="1"/>
    <col min="15" max="15" width="18" customWidth="1"/>
    <col min="16" max="16" width="19.5" customWidth="1"/>
    <col min="18" max="18" width="13.33203125" customWidth="1"/>
  </cols>
  <sheetData>
    <row r="1" spans="1:1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c r="A2">
        <v>1</v>
      </c>
      <c r="B2" t="s">
        <v>18</v>
      </c>
      <c r="C2" t="s">
        <v>19</v>
      </c>
      <c r="D2" t="s">
        <v>20</v>
      </c>
      <c r="E2" t="s">
        <v>21</v>
      </c>
      <c r="G2" t="str">
        <f>_xlfn.XLOOKUP(frasest[[#This Row],[author_es]],autorest[author_es],autorest[author_la])</f>
        <v>Sententia Gallica</v>
      </c>
      <c r="H2" t="str">
        <f>_xlfn.XLOOKUP(frasest[[#This Row],[author_es]],autorest[author_es],autorest[bio_es])</f>
        <v>Refranes populares de la tradición oral francesa que transmiten observaciones sobre la vida, el trabajo y la conducta humana.</v>
      </c>
      <c r="I2" t="str">
        <f>_xlfn.XLOOKUP(frasest[[#This Row],[author_es]],autorest[author_es],autorest[bio_la])</f>
        <v>Collectio sententiarum Gallicarum.</v>
      </c>
      <c r="J2" t="str">
        <f>_xlfn.XLOOKUP(frasest[[#This Row],[author_es]],autorest[author_es],autorest[iso3691])</f>
        <v>fr</v>
      </c>
      <c r="K2" t="str">
        <f>_xlfn.XLOOKUP(frasest[[#This Row],[author_es]],autorest[author_es],autorest[language_es])</f>
        <v>Francés</v>
      </c>
      <c r="L2" t="str">
        <f>_xlfn.XLOOKUP(frasest[[#This Row],[author_es]],autorest[author_es],autorest[language_la])</f>
        <v>Lingua Gallica</v>
      </c>
      <c r="M2" t="str">
        <f>_xlfn.XLOOKUP(frasest[[#This Row],[author_es]],autorest[author_es],autorest[nation_es])</f>
        <v>Francia</v>
      </c>
      <c r="N2" t="str">
        <f>_xlfn.XLOOKUP(frasest[[#This Row],[author_es]],autorest[author_es],autorest[nation_la])</f>
        <v>Francia</v>
      </c>
      <c r="O2" t="str">
        <f>_xlfn.XLOOKUP(frasest[[#This Row],[author_es]],autorest[author_es],autorest[age_es])</f>
        <v>Epoca Desconocida</v>
      </c>
      <c r="P2" t="str">
        <f>_xlfn.XLOOKUP(frasest[[#This Row],[author_es]],autorest[author_es],autorest[age_la])</f>
        <v>Epocha Ignota</v>
      </c>
      <c r="Q2" t="str">
        <f>_xlfn.XLOOKUP(frasest[[#This Row],[author_es]],autorest[author_es],autorest[image])</f>
        <v>https://i.ibb.co/1GSsmt8h/francia.png</v>
      </c>
      <c r="R2">
        <f>_xlfn.XLOOKUP(frasest[[#This Row],[author_es]],autorest[author_es],autorest[image_atr])</f>
        <v>0</v>
      </c>
    </row>
    <row r="3" spans="1:18">
      <c r="A3">
        <v>2</v>
      </c>
      <c r="B3" t="s">
        <v>22</v>
      </c>
      <c r="C3" t="s">
        <v>23</v>
      </c>
      <c r="D3" t="s">
        <v>22</v>
      </c>
      <c r="E3" t="s">
        <v>24</v>
      </c>
      <c r="G3" t="str">
        <f>_xlfn.XLOOKUP(frasest[[#This Row],[author_es]],autorest[author_es],autorest[author_la])</f>
        <v>Sententia Hispanica</v>
      </c>
      <c r="H3" t="str">
        <f>_xlfn.XLOOKUP(frasest[[#This Row],[author_es]],autorest[author_es],autorest[bio_es])</f>
        <v>Refranes populares de la tradición oral hispana que expresan de forma breve y ingeniosa enseñanzas prácticas sobre la vida cotidiana.</v>
      </c>
      <c r="I3" t="str">
        <f>_xlfn.XLOOKUP(frasest[[#This Row],[author_es]],autorest[author_es],autorest[bio_la])</f>
        <v>Collectio sententiarum Hispanicarum.</v>
      </c>
      <c r="J3" t="str">
        <f>_xlfn.XLOOKUP(frasest[[#This Row],[author_es]],autorest[author_es],autorest[iso3691])</f>
        <v>es</v>
      </c>
      <c r="K3" t="str">
        <f>_xlfn.XLOOKUP(frasest[[#This Row],[author_es]],autorest[author_es],autorest[language_es])</f>
        <v>Español</v>
      </c>
      <c r="L3" t="str">
        <f>_xlfn.XLOOKUP(frasest[[#This Row],[author_es]],autorest[author_es],autorest[language_la])</f>
        <v>Lingua Hispanica</v>
      </c>
      <c r="M3" t="str">
        <f>_xlfn.XLOOKUP(frasest[[#This Row],[author_es]],autorest[author_es],autorest[nation_es])</f>
        <v>España</v>
      </c>
      <c r="N3" t="str">
        <f>_xlfn.XLOOKUP(frasest[[#This Row],[author_es]],autorest[author_es],autorest[nation_la])</f>
        <v>Hispania</v>
      </c>
      <c r="O3" t="str">
        <f>_xlfn.XLOOKUP(frasest[[#This Row],[author_es]],autorest[author_es],autorest[age_es])</f>
        <v>Epoca Desconocida</v>
      </c>
      <c r="P3" t="str">
        <f>_xlfn.XLOOKUP(frasest[[#This Row],[author_es]],autorest[author_es],autorest[age_la])</f>
        <v>Epocha Ignota</v>
      </c>
      <c r="Q3" t="str">
        <f>_xlfn.XLOOKUP(frasest[[#This Row],[author_es]],autorest[author_es],autorest[image])</f>
        <v>https://i.ibb.co/Y4f7TZWm/espa-a.png</v>
      </c>
      <c r="R3">
        <f>_xlfn.XLOOKUP(frasest[[#This Row],[author_es]],autorest[author_es],autorest[image_atr])</f>
        <v>0</v>
      </c>
    </row>
    <row r="4" spans="1:18">
      <c r="A4">
        <v>3</v>
      </c>
      <c r="B4" t="s">
        <v>25</v>
      </c>
      <c r="C4" t="s">
        <v>26</v>
      </c>
      <c r="D4" s="1" t="s">
        <v>27</v>
      </c>
      <c r="E4" t="s">
        <v>28</v>
      </c>
      <c r="G4" t="str">
        <f>_xlfn.XLOOKUP(frasest[[#This Row],[author_es]],autorest[author_es],autorest[author_la])</f>
        <v>Proverbium Iaponicum</v>
      </c>
      <c r="H4" t="str">
        <f>_xlfn.XLOOKUP(frasest[[#This Row],[author_es]],autorest[author_es],autorest[bio_es])</f>
        <v>Expresiones tradicionales de la cultura japonesa que resumen enseñanzas morales, filosóficas y prácticas derivadas del budismo, el sintoísmo y la experiencia popular.</v>
      </c>
      <c r="I4" t="str">
        <f>_xlfn.XLOOKUP(frasest[[#This Row],[author_es]],autorest[author_es],autorest[bio_la])</f>
        <v>Collectio sententiarum Iaponicarum.</v>
      </c>
      <c r="J4" t="str">
        <f>_xlfn.XLOOKUP(frasest[[#This Row],[author_es]],autorest[author_es],autorest[iso3691])</f>
        <v>ja</v>
      </c>
      <c r="K4" t="str">
        <f>_xlfn.XLOOKUP(frasest[[#This Row],[author_es]],autorest[author_es],autorest[language_es])</f>
        <v>Japonés</v>
      </c>
      <c r="L4" t="str">
        <f>_xlfn.XLOOKUP(frasest[[#This Row],[author_es]],autorest[author_es],autorest[language_la])</f>
        <v>Lingua Iaponica</v>
      </c>
      <c r="M4" t="str">
        <f>_xlfn.XLOOKUP(frasest[[#This Row],[author_es]],autorest[author_es],autorest[nation_es])</f>
        <v>Japón</v>
      </c>
      <c r="N4" t="str">
        <f>_xlfn.XLOOKUP(frasest[[#This Row],[author_es]],autorest[author_es],autorest[nation_la])</f>
        <v>Iaponia</v>
      </c>
      <c r="O4" t="str">
        <f>_xlfn.XLOOKUP(frasest[[#This Row],[author_es]],autorest[author_es],autorest[age_es])</f>
        <v>Epoca Desconocida</v>
      </c>
      <c r="P4" t="str">
        <f>_xlfn.XLOOKUP(frasest[[#This Row],[author_es]],autorest[author_es],autorest[age_la])</f>
        <v>Epocha Ignota</v>
      </c>
      <c r="Q4" t="str">
        <f>_xlfn.XLOOKUP(frasest[[#This Row],[author_es]],autorest[author_es],autorest[image])</f>
        <v>https://i.ibb.co/svZg6Fc2/japon.png</v>
      </c>
      <c r="R4">
        <f>_xlfn.XLOOKUP(frasest[[#This Row],[author_es]],autorest[author_es],autorest[image_atr])</f>
        <v>0</v>
      </c>
    </row>
    <row r="5" spans="1:18">
      <c r="A5">
        <v>4</v>
      </c>
      <c r="B5" t="s">
        <v>29</v>
      </c>
      <c r="C5" t="s">
        <v>30</v>
      </c>
      <c r="D5" t="s">
        <v>31</v>
      </c>
      <c r="E5" t="s">
        <v>32</v>
      </c>
      <c r="G5" t="str">
        <f>_xlfn.XLOOKUP(frasest[[#This Row],[author_es]],autorest[author_es],autorest[author_la])</f>
        <v>Sententia Russica</v>
      </c>
      <c r="H5" t="str">
        <f>_xlfn.XLOOKUP(frasest[[#This Row],[author_es]],autorest[author_es],autorest[bio_es])</f>
        <v>Dichos tradicionales del pueblo ruso que condensan la experiencia colectiva, el ingenio y la filosofía popular transmitida de generación en generación.</v>
      </c>
      <c r="I5" t="str">
        <f>_xlfn.XLOOKUP(frasest[[#This Row],[author_es]],autorest[author_es],autorest[bio_la])</f>
        <v>Collectio sententiarum Russicarum.</v>
      </c>
      <c r="J5" t="str">
        <f>_xlfn.XLOOKUP(frasest[[#This Row],[author_es]],autorest[author_es],autorest[iso3691])</f>
        <v>ru</v>
      </c>
      <c r="K5" t="str">
        <f>_xlfn.XLOOKUP(frasest[[#This Row],[author_es]],autorest[author_es],autorest[language_es])</f>
        <v>Ruso</v>
      </c>
      <c r="L5" t="str">
        <f>_xlfn.XLOOKUP(frasest[[#This Row],[author_es]],autorest[author_es],autorest[language_la])</f>
        <v>Lingua Russica</v>
      </c>
      <c r="M5" t="str">
        <f>_xlfn.XLOOKUP(frasest[[#This Row],[author_es]],autorest[author_es],autorest[nation_es])</f>
        <v>Rusia</v>
      </c>
      <c r="N5" t="str">
        <f>_xlfn.XLOOKUP(frasest[[#This Row],[author_es]],autorest[author_es],autorest[nation_la])</f>
        <v>Russia</v>
      </c>
      <c r="O5" t="str">
        <f>_xlfn.XLOOKUP(frasest[[#This Row],[author_es]],autorest[author_es],autorest[age_es])</f>
        <v>Epoca Desconocida</v>
      </c>
      <c r="P5" t="str">
        <f>_xlfn.XLOOKUP(frasest[[#This Row],[author_es]],autorest[author_es],autorest[age_la])</f>
        <v>Epocha Ignota</v>
      </c>
      <c r="Q5" t="str">
        <f>_xlfn.XLOOKUP(frasest[[#This Row],[author_es]],autorest[author_es],autorest[image])</f>
        <v>https://i.ibb.co/HLT9WZLw/rusia.png</v>
      </c>
      <c r="R5">
        <f>_xlfn.XLOOKUP(frasest[[#This Row],[author_es]],autorest[author_es],autorest[image_atr])</f>
        <v>0</v>
      </c>
    </row>
    <row r="6" spans="1:18">
      <c r="A6">
        <v>5</v>
      </c>
      <c r="B6" t="s">
        <v>33</v>
      </c>
      <c r="C6" t="s">
        <v>34</v>
      </c>
      <c r="D6" s="1" t="s">
        <v>35</v>
      </c>
      <c r="E6" t="s">
        <v>36</v>
      </c>
      <c r="G6" t="str">
        <f>_xlfn.XLOOKUP(frasest[[#This Row],[author_es]],autorest[author_es],autorest[author_la])</f>
        <v>Proverbium Sinense</v>
      </c>
      <c r="H6" t="str">
        <f>_xlfn.XLOOKUP(frasest[[#This Row],[author_es]],autorest[author_es],autorest[bio_es])</f>
        <v>Conjunto de proverbios tradicionales de la cultura china que transmiten sabiduría popular, valores morales y enseñanzas prácticas transmitidas oralmente durante siglos.</v>
      </c>
      <c r="I6" t="str">
        <f>_xlfn.XLOOKUP(frasest[[#This Row],[author_es]],autorest[author_es],autorest[bio_la])</f>
        <v>Collectio sententiarum Sinensium, magnopere in cultura tradita.</v>
      </c>
      <c r="J6" t="str">
        <f>_xlfn.XLOOKUP(frasest[[#This Row],[author_es]],autorest[author_es],autorest[iso3691])</f>
        <v>zh</v>
      </c>
      <c r="K6" t="str">
        <f>_xlfn.XLOOKUP(frasest[[#This Row],[author_es]],autorest[author_es],autorest[language_es])</f>
        <v>Chino</v>
      </c>
      <c r="L6" t="str">
        <f>_xlfn.XLOOKUP(frasest[[#This Row],[author_es]],autorest[author_es],autorest[language_la])</f>
        <v>Lingua Sinica</v>
      </c>
      <c r="M6" t="str">
        <f>_xlfn.XLOOKUP(frasest[[#This Row],[author_es]],autorest[author_es],autorest[nation_es])</f>
        <v>China</v>
      </c>
      <c r="N6" t="str">
        <f>_xlfn.XLOOKUP(frasest[[#This Row],[author_es]],autorest[author_es],autorest[nation_la])</f>
        <v>Sinae</v>
      </c>
      <c r="O6" t="str">
        <f>_xlfn.XLOOKUP(frasest[[#This Row],[author_es]],autorest[author_es],autorest[age_es])</f>
        <v>Epoca Desconocida</v>
      </c>
      <c r="P6" t="str">
        <f>_xlfn.XLOOKUP(frasest[[#This Row],[author_es]],autorest[author_es],autorest[age_la])</f>
        <v>Epocha Ignota</v>
      </c>
      <c r="Q6" t="str">
        <f>_xlfn.XLOOKUP(frasest[[#This Row],[author_es]],autorest[author_es],autorest[image])</f>
        <v>https://i.ibb.co/qLfpZm6h/china.png</v>
      </c>
      <c r="R6">
        <f>_xlfn.XLOOKUP(frasest[[#This Row],[author_es]],autorest[author_es],autorest[image_atr])</f>
        <v>0</v>
      </c>
    </row>
    <row r="7" spans="1:18" ht="18">
      <c r="A7">
        <v>6</v>
      </c>
      <c r="B7" t="s">
        <v>37</v>
      </c>
      <c r="C7" t="s">
        <v>38</v>
      </c>
      <c r="D7" s="2" t="s">
        <v>39</v>
      </c>
      <c r="E7" t="s">
        <v>40</v>
      </c>
      <c r="F7" t="s">
        <v>41</v>
      </c>
      <c r="G7" t="str">
        <f>_xlfn.XLOOKUP(frasest[[#This Row],[author_es]],autorest[author_es],autorest[author_la])</f>
        <v>Biblia Sacra</v>
      </c>
      <c r="H7" t="str">
        <f>_xlfn.XLOOKUP(frasest[[#This Row],[author_es]],autorest[author_es],autorest[bio_es])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7" t="str">
        <f>_xlfn.XLOOKUP(frasest[[#This Row],[author_es]],autorest[author_es],autorest[bio_la])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7" t="str">
        <f>_xlfn.XLOOKUP(frasest[[#This Row],[author_es]],autorest[author_es],autorest[iso3691])</f>
        <v>he</v>
      </c>
      <c r="K7" t="str">
        <f>_xlfn.XLOOKUP(frasest[[#This Row],[author_es]],autorest[author_es],autorest[language_es])</f>
        <v>Hebreo</v>
      </c>
      <c r="L7" t="str">
        <f>_xlfn.XLOOKUP(frasest[[#This Row],[author_es]],autorest[author_es],autorest[language_la])</f>
        <v>Lingua Hebraica</v>
      </c>
      <c r="M7" t="str">
        <f>_xlfn.XLOOKUP(frasest[[#This Row],[author_es]],autorest[author_es],autorest[nation_es])</f>
        <v>Israel</v>
      </c>
      <c r="N7" t="str">
        <f>_xlfn.XLOOKUP(frasest[[#This Row],[author_es]],autorest[author_es],autorest[nation_la])</f>
        <v>Israel</v>
      </c>
      <c r="O7" t="str">
        <f>_xlfn.XLOOKUP(frasest[[#This Row],[author_es]],autorest[author_es],autorest[age_es])</f>
        <v>Edad Antigua</v>
      </c>
      <c r="P7" t="str">
        <f>_xlfn.XLOOKUP(frasest[[#This Row],[author_es]],autorest[author_es],autorest[age_la])</f>
        <v>Antiquitas</v>
      </c>
      <c r="Q7" t="str">
        <f>_xlfn.XLOOKUP(frasest[[#This Row],[author_es]],autorest[author_es],autorest[image])</f>
        <v>https://i.ibb.co/mF9zsdM5/bible.png</v>
      </c>
      <c r="R7">
        <f>_xlfn.XLOOKUP(frasest[[#This Row],[author_es]],autorest[author_es],autorest[image_atr])</f>
        <v>0</v>
      </c>
    </row>
    <row r="8" spans="1:18">
      <c r="A8">
        <v>7</v>
      </c>
      <c r="B8" t="s">
        <v>42</v>
      </c>
      <c r="C8" t="s">
        <v>43</v>
      </c>
      <c r="D8" t="s">
        <v>44</v>
      </c>
      <c r="E8" t="s">
        <v>40</v>
      </c>
      <c r="F8" t="s">
        <v>45</v>
      </c>
      <c r="G8" t="str">
        <f>_xlfn.XLOOKUP(frasest[[#This Row],[author_es]],autorest[author_es],autorest[author_la])</f>
        <v>Biblia Sacra</v>
      </c>
      <c r="H8" t="str">
        <f>_xlfn.XLOOKUP(frasest[[#This Row],[author_es]],autorest[author_es],autorest[bio_es])</f>
        <v>La Biblia es el conjunto de libros sagrados del judaísmo y el cristianismo, compuesta por el Antiguo Testamento (escrito aproximadamente entre 1445 a.C. y 400 a.C.) y el Nuevo Testamento (escrito entre 40 d.C. y 95 d.C.). Fue redactada por múltiples autores a lo largo de aproximadamente 1500 años, incluyendo profetas, apóstoles, sacerdotes y escribas.</v>
      </c>
      <c r="I8" t="str">
        <f>_xlfn.XLOOKUP(frasest[[#This Row],[author_es]],autorest[author_es],autorest[bio_la])</f>
        <v>Liber Scripturae Sacrae est collectio librorum iudaicae et christianae religionis, quae ex Vetere Testamento (circiter inter 1445 a.C. et 400 a.C. scripta) et Novo Testamento (circiter inter 40 d.C. et 95 d.C. scripta) constat. A multis auctoribus per circiter mille et quingenta annos scripta est, prophetis, apostolis, sacerdotibus et scribis inclusi.</v>
      </c>
      <c r="J8" t="str">
        <f>_xlfn.XLOOKUP(frasest[[#This Row],[author_es]],autorest[author_es],autorest[iso3691])</f>
        <v>he</v>
      </c>
      <c r="K8" t="str">
        <f>_xlfn.XLOOKUP(frasest[[#This Row],[author_es]],autorest[author_es],autorest[language_es])</f>
        <v>Hebreo</v>
      </c>
      <c r="L8" t="str">
        <f>_xlfn.XLOOKUP(frasest[[#This Row],[author_es]],autorest[author_es],autorest[language_la])</f>
        <v>Lingua Hebraica</v>
      </c>
      <c r="M8" t="str">
        <f>_xlfn.XLOOKUP(frasest[[#This Row],[author_es]],autorest[author_es],autorest[nation_es])</f>
        <v>Israel</v>
      </c>
      <c r="N8" t="str">
        <f>_xlfn.XLOOKUP(frasest[[#This Row],[author_es]],autorest[author_es],autorest[nation_la])</f>
        <v>Israel</v>
      </c>
      <c r="O8" t="str">
        <f>_xlfn.XLOOKUP(frasest[[#This Row],[author_es]],autorest[author_es],autorest[age_es])</f>
        <v>Edad Antigua</v>
      </c>
      <c r="P8" t="str">
        <f>_xlfn.XLOOKUP(frasest[[#This Row],[author_es]],autorest[author_es],autorest[age_la])</f>
        <v>Antiquitas</v>
      </c>
      <c r="Q8" t="str">
        <f>_xlfn.XLOOKUP(frasest[[#This Row],[author_es]],autorest[author_es],autorest[image])</f>
        <v>https://i.ibb.co/mF9zsdM5/bible.png</v>
      </c>
      <c r="R8">
        <f>_xlfn.XLOOKUP(frasest[[#This Row],[author_es]],autorest[author_es],autorest[image_atr])</f>
        <v>0</v>
      </c>
    </row>
    <row r="9" spans="1:18">
      <c r="A9">
        <v>8</v>
      </c>
      <c r="B9" t="s">
        <v>46</v>
      </c>
      <c r="C9" t="s">
        <v>47</v>
      </c>
      <c r="D9" t="s">
        <v>48</v>
      </c>
      <c r="E9" t="s">
        <v>49</v>
      </c>
      <c r="F9" t="s">
        <v>50</v>
      </c>
      <c r="G9" t="str">
        <f>_xlfn.XLOOKUP(frasest[[#This Row],[author_es]],autorest[author_es],autorest[author_la])</f>
        <v>Renatus Cartesius</v>
      </c>
      <c r="H9" t="str">
        <f>_xlfn.XLOOKUP(frasest[[#This Row],[author_es]],autorest[author_es],autorest[bio_es])</f>
        <v>Filósofo y matemático francés.</v>
      </c>
      <c r="I9" t="str">
        <f>_xlfn.XLOOKUP(frasest[[#This Row],[author_es]],autorest[author_es],autorest[bio_la])</f>
        <v>Philosophus et mathematicus Francogallicus.</v>
      </c>
      <c r="J9" t="str">
        <f>_xlfn.XLOOKUP(frasest[[#This Row],[author_es]],autorest[author_es],autorest[iso3691])</f>
        <v>la</v>
      </c>
      <c r="K9" t="str">
        <f>_xlfn.XLOOKUP(frasest[[#This Row],[author_es]],autorest[author_es],autorest[language_es])</f>
        <v>Latín</v>
      </c>
      <c r="L9" t="str">
        <f>_xlfn.XLOOKUP(frasest[[#This Row],[author_es]],autorest[author_es],autorest[language_la])</f>
        <v>Lingua Latina</v>
      </c>
      <c r="M9" t="str">
        <f>_xlfn.XLOOKUP(frasest[[#This Row],[author_es]],autorest[author_es],autorest[nation_es])</f>
        <v>Francia</v>
      </c>
      <c r="N9" t="str">
        <f>_xlfn.XLOOKUP(frasest[[#This Row],[author_es]],autorest[author_es],autorest[nation_la])</f>
        <v>Francia</v>
      </c>
      <c r="O9" t="str">
        <f>_xlfn.XLOOKUP(frasest[[#This Row],[author_es]],autorest[author_es],autorest[age_es])</f>
        <v>Edad Moderna</v>
      </c>
      <c r="P9" t="str">
        <f>_xlfn.XLOOKUP(frasest[[#This Row],[author_es]],autorest[author_es],autorest[age_la])</f>
        <v>Nova Aetas</v>
      </c>
      <c r="Q9" t="str">
        <f>_xlfn.XLOOKUP(frasest[[#This Row],[author_es]],autorest[author_es],autorest[image])</f>
        <v>https://i.ibb.co/pjycYzXh/descartes.png</v>
      </c>
      <c r="R9">
        <f>_xlfn.XLOOKUP(frasest[[#This Row],[author_es]],autorest[author_es],autorest[image_atr])</f>
        <v>0</v>
      </c>
    </row>
    <row r="10" spans="1:18">
      <c r="A10">
        <v>9</v>
      </c>
      <c r="B10" t="s">
        <v>51</v>
      </c>
      <c r="C10" t="s">
        <v>52</v>
      </c>
      <c r="D10" t="s">
        <v>52</v>
      </c>
      <c r="E10" t="s">
        <v>53</v>
      </c>
      <c r="F10" t="s">
        <v>54</v>
      </c>
      <c r="G10" t="str">
        <f>_xlfn.XLOOKUP(frasest[[#This Row],[author_es]],autorest[author_es],autorest[author_la])</f>
        <v>Franciscus Bacon</v>
      </c>
      <c r="H10" t="str">
        <f>_xlfn.XLOOKUP(frasest[[#This Row],[author_es]],autorest[author_es],autorest[bio_es])</f>
        <v>Filósofo y estadista inglés, autor de "El conocimiento es poder".</v>
      </c>
      <c r="I10" t="str">
        <f>_xlfn.XLOOKUP(frasest[[#This Row],[author_es]],autorest[author_es],autorest[bio_la])</f>
        <v>Philosophus et civis Anglicus, auctor "Scientia potentia est".</v>
      </c>
      <c r="J10" t="str">
        <f>_xlfn.XLOOKUP(frasest[[#This Row],[author_es]],autorest[author_es],autorest[iso3691])</f>
        <v>en</v>
      </c>
      <c r="K10" t="str">
        <f>_xlfn.XLOOKUP(frasest[[#This Row],[author_es]],autorest[author_es],autorest[language_es])</f>
        <v>Inglés</v>
      </c>
      <c r="L10" t="str">
        <f>_xlfn.XLOOKUP(frasest[[#This Row],[author_es]],autorest[author_es],autorest[language_la])</f>
        <v>Lingua Anglica</v>
      </c>
      <c r="M10" t="str">
        <f>_xlfn.XLOOKUP(frasest[[#This Row],[author_es]],autorest[author_es],autorest[nation_es])</f>
        <v>Reino Unido</v>
      </c>
      <c r="N10" t="str">
        <f>_xlfn.XLOOKUP(frasest[[#This Row],[author_es]],autorest[author_es],autorest[nation_la])</f>
        <v>Regnum Unitum</v>
      </c>
      <c r="O10" t="str">
        <f>_xlfn.XLOOKUP(frasest[[#This Row],[author_es]],autorest[author_es],autorest[age_es])</f>
        <v>Edad Moderna</v>
      </c>
      <c r="P10" t="str">
        <f>_xlfn.XLOOKUP(frasest[[#This Row],[author_es]],autorest[author_es],autorest[age_la])</f>
        <v>Nova Aetas</v>
      </c>
      <c r="Q10" t="str">
        <f>_xlfn.XLOOKUP(frasest[[#This Row],[author_es]],autorest[author_es],autorest[image])</f>
        <v>https://i.ibb.co/xtWthbfv/bacon.png</v>
      </c>
      <c r="R10">
        <f>_xlfn.XLOOKUP(frasest[[#This Row],[author_es]],autorest[author_es],autorest[image_atr])</f>
        <v>0</v>
      </c>
    </row>
    <row r="11" spans="1:18">
      <c r="A11">
        <v>10</v>
      </c>
      <c r="B11" t="s">
        <v>55</v>
      </c>
      <c r="C11" t="s">
        <v>56</v>
      </c>
      <c r="D11" t="s">
        <v>56</v>
      </c>
      <c r="E11" t="s">
        <v>57</v>
      </c>
      <c r="F11" t="s">
        <v>58</v>
      </c>
      <c r="G11" t="str">
        <f>_xlfn.XLOOKUP(frasest[[#This Row],[author_es]],autorest[author_es],autorest[author_la])</f>
        <v>Aurelius Augustinus</v>
      </c>
      <c r="H11" t="str">
        <f>_xlfn.XLOOKUP(frasest[[#This Row],[author_es]],autorest[author_es],autorest[bio_es])</f>
        <v>Filósofo y teólogo cristiano.</v>
      </c>
      <c r="I11" t="str">
        <f>_xlfn.XLOOKUP(frasest[[#This Row],[author_es]],autorest[author_es],autorest[bio_la])</f>
        <v>Philosophus et theologus Christianus.</v>
      </c>
      <c r="J11" t="str">
        <f>_xlfn.XLOOKUP(frasest[[#This Row],[author_es]],autorest[author_es],autorest[iso3691])</f>
        <v>la</v>
      </c>
      <c r="K11" t="str">
        <f>_xlfn.XLOOKUP(frasest[[#This Row],[author_es]],autorest[author_es],autorest[language_es])</f>
        <v>Latín</v>
      </c>
      <c r="L11" t="str">
        <f>_xlfn.XLOOKUP(frasest[[#This Row],[author_es]],autorest[author_es],autorest[language_la])</f>
        <v>Lingua Latina</v>
      </c>
      <c r="M11" t="str">
        <f>_xlfn.XLOOKUP(frasest[[#This Row],[author_es]],autorest[author_es],autorest[nation_es])</f>
        <v>Roma</v>
      </c>
      <c r="N11" t="str">
        <f>_xlfn.XLOOKUP(frasest[[#This Row],[author_es]],autorest[author_es],autorest[nation_la])</f>
        <v>Roma</v>
      </c>
      <c r="O11" t="str">
        <f>_xlfn.XLOOKUP(frasest[[#This Row],[author_es]],autorest[author_es],autorest[age_es])</f>
        <v>Edad Antigua</v>
      </c>
      <c r="P11" t="str">
        <f>_xlfn.XLOOKUP(frasest[[#This Row],[author_es]],autorest[author_es],autorest[age_la])</f>
        <v>Antiquitas</v>
      </c>
      <c r="Q11" t="str">
        <f>_xlfn.XLOOKUP(frasest[[#This Row],[author_es]],autorest[author_es],autorest[image])</f>
        <v>https://i.ibb.co/chhLXqTZ/agustin.png</v>
      </c>
      <c r="R11">
        <f>_xlfn.XLOOKUP(frasest[[#This Row],[author_es]],autorest[author_es],autorest[image_atr])</f>
        <v>0</v>
      </c>
    </row>
    <row r="12" spans="1:18">
      <c r="A12">
        <v>11</v>
      </c>
      <c r="B12" t="s">
        <v>59</v>
      </c>
      <c r="C12" t="s">
        <v>60</v>
      </c>
      <c r="D12" t="s">
        <v>61</v>
      </c>
      <c r="E12" t="s">
        <v>62</v>
      </c>
      <c r="F12" t="s">
        <v>63</v>
      </c>
      <c r="G12" t="str">
        <f>_xlfn.XLOOKUP(frasest[[#This Row],[author_es]],autorest[author_es],autorest[author_la])</f>
        <v>Daleus Carnegieus</v>
      </c>
      <c r="H12" t="str">
        <f>_xlfn.XLOOKUP(frasest[[#This Row],[author_es]],autorest[author_es],autorest[bio_es])</f>
        <v>Escritor y conferencista estadounidense, autor de libros de desarrollo personal.</v>
      </c>
      <c r="I12" t="str">
        <f>_xlfn.XLOOKUP(frasest[[#This Row],[author_es]],autorest[author_es],autorest[bio_la])</f>
        <v>Scriba et orator Americanus, auctor librorum de progressu personali.</v>
      </c>
      <c r="J12" t="str">
        <f>_xlfn.XLOOKUP(frasest[[#This Row],[author_es]],autorest[author_es],autorest[iso3691])</f>
        <v>en</v>
      </c>
      <c r="K12" t="str">
        <f>_xlfn.XLOOKUP(frasest[[#This Row],[author_es]],autorest[author_es],autorest[language_es])</f>
        <v>Inglés</v>
      </c>
      <c r="L12" t="str">
        <f>_xlfn.XLOOKUP(frasest[[#This Row],[author_es]],autorest[author_es],autorest[language_la])</f>
        <v>Lingua Anglica</v>
      </c>
      <c r="M12" t="str">
        <f>_xlfn.XLOOKUP(frasest[[#This Row],[author_es]],autorest[author_es],autorest[nation_es])</f>
        <v>Estados Unidos</v>
      </c>
      <c r="N12" t="str">
        <f>_xlfn.XLOOKUP(frasest[[#This Row],[author_es]],autorest[author_es],autorest[nation_la])</f>
        <v>Civitates Foederatae Americae</v>
      </c>
      <c r="O12" t="str">
        <f>_xlfn.XLOOKUP(frasest[[#This Row],[author_es]],autorest[author_es],autorest[age_es])</f>
        <v>Edad Contemporánea</v>
      </c>
      <c r="P12" t="str">
        <f>_xlfn.XLOOKUP(frasest[[#This Row],[author_es]],autorest[author_es],autorest[age_la])</f>
        <v>Aetas Contemporanea</v>
      </c>
      <c r="Q12" t="str">
        <f>_xlfn.XLOOKUP(frasest[[#This Row],[author_es]],autorest[author_es],autorest[image])</f>
        <v>https://i.ibb.co/BFB74pj/carnegie.png</v>
      </c>
      <c r="R12">
        <f>_xlfn.XLOOKUP(frasest[[#This Row],[author_es]],autorest[author_es],autorest[image_atr])</f>
        <v>0</v>
      </c>
    </row>
    <row r="13" spans="1:18">
      <c r="A13">
        <v>12</v>
      </c>
      <c r="B13" t="s">
        <v>64</v>
      </c>
      <c r="C13" t="s">
        <v>65</v>
      </c>
      <c r="D13" t="s">
        <v>64</v>
      </c>
      <c r="E13" t="s">
        <v>24</v>
      </c>
      <c r="G13" t="str">
        <f>_xlfn.XLOOKUP(frasest[[#This Row],[author_es]],autorest[author_es],autorest[author_la])</f>
        <v>Sententia Hispanica</v>
      </c>
      <c r="H13" t="str">
        <f>_xlfn.XLOOKUP(frasest[[#This Row],[author_es]],autorest[author_es],autorest[bio_es])</f>
        <v>Refranes populares de la tradición oral hispana que expresan de forma breve y ingeniosa enseñanzas prácticas sobre la vida cotidiana.</v>
      </c>
      <c r="I13" t="str">
        <f>_xlfn.XLOOKUP(frasest[[#This Row],[author_es]],autorest[author_es],autorest[bio_la])</f>
        <v>Collectio sententiarum Hispanicarum.</v>
      </c>
      <c r="J13" t="str">
        <f>_xlfn.XLOOKUP(frasest[[#This Row],[author_es]],autorest[author_es],autorest[iso3691])</f>
        <v>es</v>
      </c>
      <c r="K13" t="str">
        <f>_xlfn.XLOOKUP(frasest[[#This Row],[author_es]],autorest[author_es],autorest[language_es])</f>
        <v>Español</v>
      </c>
      <c r="L13" t="str">
        <f>_xlfn.XLOOKUP(frasest[[#This Row],[author_es]],autorest[author_es],autorest[language_la])</f>
        <v>Lingua Hispanica</v>
      </c>
      <c r="M13" t="str">
        <f>_xlfn.XLOOKUP(frasest[[#This Row],[author_es]],autorest[author_es],autorest[nation_es])</f>
        <v>España</v>
      </c>
      <c r="N13" t="str">
        <f>_xlfn.XLOOKUP(frasest[[#This Row],[author_es]],autorest[author_es],autorest[nation_la])</f>
        <v>Hispania</v>
      </c>
      <c r="O13" t="str">
        <f>_xlfn.XLOOKUP(frasest[[#This Row],[author_es]],autorest[author_es],autorest[age_es])</f>
        <v>Epoca Desconocida</v>
      </c>
      <c r="P13" t="str">
        <f>_xlfn.XLOOKUP(frasest[[#This Row],[author_es]],autorest[author_es],autorest[age_la])</f>
        <v>Epocha Ignota</v>
      </c>
      <c r="Q13" t="str">
        <f>_xlfn.XLOOKUP(frasest[[#This Row],[author_es]],autorest[author_es],autorest[image])</f>
        <v>https://i.ibb.co/Y4f7TZWm/espa-a.png</v>
      </c>
      <c r="R13">
        <f>_xlfn.XLOOKUP(frasest[[#This Row],[author_es]],autorest[author_es],autorest[image_atr])</f>
        <v>0</v>
      </c>
    </row>
    <row r="14" spans="1:18">
      <c r="A14">
        <v>13</v>
      </c>
      <c r="B14" t="s">
        <v>66</v>
      </c>
      <c r="C14" t="s">
        <v>67</v>
      </c>
      <c r="D14" t="s">
        <v>67</v>
      </c>
      <c r="E14" t="s">
        <v>68</v>
      </c>
      <c r="F14" t="s">
        <v>69</v>
      </c>
      <c r="G14" t="str">
        <f>_xlfn.XLOOKUP(frasest[[#This Row],[author_es]],autorest[author_es],autorest[author_la])</f>
        <v>Quintus Horatius Flaccus</v>
      </c>
      <c r="H14" t="str">
        <f>_xlfn.XLOOKUP(frasest[[#This Row],[author_es]],autorest[author_es],autorest[bio_es])</f>
        <v>Poeta lírico romano, autor de "Carpe diem".</v>
      </c>
      <c r="I14" t="str">
        <f>_xlfn.XLOOKUP(frasest[[#This Row],[author_es]],autorest[author_es],autorest[bio_la])</f>
        <v>Poeta lyricus Romanus, auctor "Carpe diem".</v>
      </c>
      <c r="J14" t="str">
        <f>_xlfn.XLOOKUP(frasest[[#This Row],[author_es]],autorest[author_es],autorest[iso3691])</f>
        <v>la</v>
      </c>
      <c r="K14" t="str">
        <f>_xlfn.XLOOKUP(frasest[[#This Row],[author_es]],autorest[author_es],autorest[language_es])</f>
        <v>Latín</v>
      </c>
      <c r="L14" t="str">
        <f>_xlfn.XLOOKUP(frasest[[#This Row],[author_es]],autorest[author_es],autorest[language_la])</f>
        <v>Lingua Latina</v>
      </c>
      <c r="M14" t="str">
        <f>_xlfn.XLOOKUP(frasest[[#This Row],[author_es]],autorest[author_es],autorest[nation_es])</f>
        <v>Roma</v>
      </c>
      <c r="N14" t="str">
        <f>_xlfn.XLOOKUP(frasest[[#This Row],[author_es]],autorest[author_es],autorest[nation_la])</f>
        <v>Roma</v>
      </c>
      <c r="O14" t="str">
        <f>_xlfn.XLOOKUP(frasest[[#This Row],[author_es]],autorest[author_es],autorest[age_es])</f>
        <v>Edad Antigua</v>
      </c>
      <c r="P14" t="str">
        <f>_xlfn.XLOOKUP(frasest[[#This Row],[author_es]],autorest[author_es],autorest[age_la])</f>
        <v>Antiquitas</v>
      </c>
      <c r="Q14" t="str">
        <f>_xlfn.XLOOKUP(frasest[[#This Row],[author_es]],autorest[author_es],autorest[image])</f>
        <v>https://i.ibb.co/KjBfHkQ2/horacio.png</v>
      </c>
      <c r="R14">
        <f>_xlfn.XLOOKUP(frasest[[#This Row],[author_es]],autorest[author_es],autorest[image_atr])</f>
        <v>0</v>
      </c>
    </row>
    <row r="15" spans="1:18">
      <c r="A15">
        <v>14</v>
      </c>
      <c r="B15" t="s">
        <v>70</v>
      </c>
      <c r="C15" t="s">
        <v>71</v>
      </c>
      <c r="D15" t="s">
        <v>72</v>
      </c>
      <c r="E15" t="s">
        <v>73</v>
      </c>
      <c r="F15" t="s">
        <v>74</v>
      </c>
      <c r="G15" t="str">
        <f>_xlfn.XLOOKUP(frasest[[#This Row],[author_es]],autorest[author_es],autorest[author_la])</f>
        <v>Gulielmus Shakespeare</v>
      </c>
      <c r="H15" t="str">
        <f>_xlfn.XLOOKUP(frasest[[#This Row],[author_es]],autorest[author_es],autorest[bio_es])</f>
        <v>Dramaturgo y poeta inglés, autor de Hamlet.</v>
      </c>
      <c r="I15" t="str">
        <f>_xlfn.XLOOKUP(frasest[[#This Row],[author_es]],autorest[author_es],autorest[bio_la])</f>
        <v>Dramaturgus et poeta Anglicus, auctor "Hamlet".</v>
      </c>
      <c r="J15" t="str">
        <f>_xlfn.XLOOKUP(frasest[[#This Row],[author_es]],autorest[author_es],autorest[iso3691])</f>
        <v>en</v>
      </c>
      <c r="K15" t="str">
        <f>_xlfn.XLOOKUP(frasest[[#This Row],[author_es]],autorest[author_es],autorest[language_es])</f>
        <v>Inglés</v>
      </c>
      <c r="L15" t="str">
        <f>_xlfn.XLOOKUP(frasest[[#This Row],[author_es]],autorest[author_es],autorest[language_la])</f>
        <v>Lingua Anglica</v>
      </c>
      <c r="M15" t="str">
        <f>_xlfn.XLOOKUP(frasest[[#This Row],[author_es]],autorest[author_es],autorest[nation_es])</f>
        <v>Reino Unido</v>
      </c>
      <c r="N15" t="str">
        <f>_xlfn.XLOOKUP(frasest[[#This Row],[author_es]],autorest[author_es],autorest[nation_la])</f>
        <v>Regnum Unitum</v>
      </c>
      <c r="O15" t="str">
        <f>_xlfn.XLOOKUP(frasest[[#This Row],[author_es]],autorest[author_es],autorest[age_es])</f>
        <v>Edad Moderna</v>
      </c>
      <c r="P15" t="str">
        <f>_xlfn.XLOOKUP(frasest[[#This Row],[author_es]],autorest[author_es],autorest[age_la])</f>
        <v>Nova Aetas</v>
      </c>
      <c r="Q15" t="str">
        <f>_xlfn.XLOOKUP(frasest[[#This Row],[author_es]],autorest[author_es],autorest[image])</f>
        <v>https://i.ibb.co/MDGnQ1yJ/shakespeare.png</v>
      </c>
      <c r="R15">
        <f>_xlfn.XLOOKUP(frasest[[#This Row],[author_es]],autorest[author_es],autorest[image_atr])</f>
        <v>0</v>
      </c>
    </row>
    <row r="16" spans="1:18">
      <c r="A16">
        <v>15</v>
      </c>
      <c r="B16" t="s">
        <v>75</v>
      </c>
      <c r="C16" t="s">
        <v>76</v>
      </c>
      <c r="D16" t="s">
        <v>75</v>
      </c>
      <c r="E16" t="s">
        <v>24</v>
      </c>
      <c r="G16" t="str">
        <f>_xlfn.XLOOKUP(frasest[[#This Row],[author_es]],autorest[author_es],autorest[author_la])</f>
        <v>Sententia Hispanica</v>
      </c>
      <c r="H16" t="str">
        <f>_xlfn.XLOOKUP(frasest[[#This Row],[author_es]],autorest[author_es],autorest[bio_es])</f>
        <v>Refranes populares de la tradición oral hispana que expresan de forma breve y ingeniosa enseñanzas prácticas sobre la vida cotidiana.</v>
      </c>
      <c r="I16" t="str">
        <f>_xlfn.XLOOKUP(frasest[[#This Row],[author_es]],autorest[author_es],autorest[bio_la])</f>
        <v>Collectio sententiarum Hispanicarum.</v>
      </c>
      <c r="J16" t="str">
        <f>_xlfn.XLOOKUP(frasest[[#This Row],[author_es]],autorest[author_es],autorest[iso3691])</f>
        <v>es</v>
      </c>
      <c r="K16" t="str">
        <f>_xlfn.XLOOKUP(frasest[[#This Row],[author_es]],autorest[author_es],autorest[language_es])</f>
        <v>Español</v>
      </c>
      <c r="L16" t="str">
        <f>_xlfn.XLOOKUP(frasest[[#This Row],[author_es]],autorest[author_es],autorest[language_la])</f>
        <v>Lingua Hispanica</v>
      </c>
      <c r="M16" t="str">
        <f>_xlfn.XLOOKUP(frasest[[#This Row],[author_es]],autorest[author_es],autorest[nation_es])</f>
        <v>España</v>
      </c>
      <c r="N16" t="str">
        <f>_xlfn.XLOOKUP(frasest[[#This Row],[author_es]],autorest[author_es],autorest[nation_la])</f>
        <v>Hispania</v>
      </c>
      <c r="O16" t="str">
        <f>_xlfn.XLOOKUP(frasest[[#This Row],[author_es]],autorest[author_es],autorest[age_es])</f>
        <v>Epoca Desconocida</v>
      </c>
      <c r="P16" t="str">
        <f>_xlfn.XLOOKUP(frasest[[#This Row],[author_es]],autorest[author_es],autorest[age_la])</f>
        <v>Epocha Ignota</v>
      </c>
      <c r="Q16" t="str">
        <f>_xlfn.XLOOKUP(frasest[[#This Row],[author_es]],autorest[author_es],autorest[image])</f>
        <v>https://i.ibb.co/Y4f7TZWm/espa-a.png</v>
      </c>
      <c r="R16">
        <f>_xlfn.XLOOKUP(frasest[[#This Row],[author_es]],autorest[author_es],autorest[image_atr])</f>
        <v>0</v>
      </c>
    </row>
    <row r="17" spans="1:18">
      <c r="A17">
        <v>16</v>
      </c>
      <c r="B17" t="s">
        <v>77</v>
      </c>
      <c r="C17" t="s">
        <v>78</v>
      </c>
      <c r="D17" s="1" t="s">
        <v>79</v>
      </c>
      <c r="E17" t="s">
        <v>36</v>
      </c>
      <c r="G17" t="str">
        <f>_xlfn.XLOOKUP(frasest[[#This Row],[author_es]],autorest[author_es],autorest[author_la])</f>
        <v>Proverbium Sinense</v>
      </c>
      <c r="H17" t="str">
        <f>_xlfn.XLOOKUP(frasest[[#This Row],[author_es]],autorest[author_es],autorest[bio_es])</f>
        <v>Conjunto de proverbios tradicionales de la cultura china que transmiten sabiduría popular, valores morales y enseñanzas prácticas transmitidas oralmente durante siglos.</v>
      </c>
      <c r="I17" t="str">
        <f>_xlfn.XLOOKUP(frasest[[#This Row],[author_es]],autorest[author_es],autorest[bio_la])</f>
        <v>Collectio sententiarum Sinensium, magnopere in cultura tradita.</v>
      </c>
      <c r="J17" t="str">
        <f>_xlfn.XLOOKUP(frasest[[#This Row],[author_es]],autorest[author_es],autorest[iso3691])</f>
        <v>zh</v>
      </c>
      <c r="K17" t="str">
        <f>_xlfn.XLOOKUP(frasest[[#This Row],[author_es]],autorest[author_es],autorest[language_es])</f>
        <v>Chino</v>
      </c>
      <c r="L17" t="str">
        <f>_xlfn.XLOOKUP(frasest[[#This Row],[author_es]],autorest[author_es],autorest[language_la])</f>
        <v>Lingua Sinica</v>
      </c>
      <c r="M17" t="str">
        <f>_xlfn.XLOOKUP(frasest[[#This Row],[author_es]],autorest[author_es],autorest[nation_es])</f>
        <v>China</v>
      </c>
      <c r="N17" t="str">
        <f>_xlfn.XLOOKUP(frasest[[#This Row],[author_es]],autorest[author_es],autorest[nation_la])</f>
        <v>Sinae</v>
      </c>
      <c r="O17" t="str">
        <f>_xlfn.XLOOKUP(frasest[[#This Row],[author_es]],autorest[author_es],autorest[age_es])</f>
        <v>Epoca Desconocida</v>
      </c>
      <c r="P17" t="str">
        <f>_xlfn.XLOOKUP(frasest[[#This Row],[author_es]],autorest[author_es],autorest[age_la])</f>
        <v>Epocha Ignota</v>
      </c>
      <c r="Q17" t="str">
        <f>_xlfn.XLOOKUP(frasest[[#This Row],[author_es]],autorest[author_es],autorest[image])</f>
        <v>https://i.ibb.co/qLfpZm6h/china.png</v>
      </c>
      <c r="R17">
        <f>_xlfn.XLOOKUP(frasest[[#This Row],[author_es]],autorest[author_es],autorest[image_atr])</f>
        <v>0</v>
      </c>
    </row>
    <row r="18" spans="1:18">
      <c r="A18">
        <v>17</v>
      </c>
      <c r="B18" t="s">
        <v>80</v>
      </c>
      <c r="C18" t="s">
        <v>81</v>
      </c>
      <c r="D18" t="s">
        <v>81</v>
      </c>
      <c r="E18" t="s">
        <v>82</v>
      </c>
      <c r="F18" t="s">
        <v>83</v>
      </c>
      <c r="G18" t="str">
        <f>_xlfn.XLOOKUP(frasest[[#This Row],[author_es]],autorest[author_es],autorest[author_la])</f>
        <v>Gaius Iulius Caesar</v>
      </c>
      <c r="H18" t="str">
        <f>_xlfn.XLOOKUP(frasest[[#This Row],[author_es]],autorest[author_es],autorest[bio_es])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I18" t="str">
        <f>_xlfn.XLOOKUP(frasest[[#This Row],[author_es]],autorest[author_es],autorest[bio_la])</f>
        <v>Politicus, miles et scriptor Romanus. Finitum Rei Publicae et ascensus Imperii. Galliam vicit, Rubiconem transiit anno 49 a.C., bellum civile incepit, dictator perpetuus factus. Interfectus est die 15 Martii 44 a.C.</v>
      </c>
      <c r="J18" t="str">
        <f>_xlfn.XLOOKUP(frasest[[#This Row],[author_es]],autorest[author_es],autorest[iso3691])</f>
        <v>la</v>
      </c>
      <c r="K18" t="str">
        <f>_xlfn.XLOOKUP(frasest[[#This Row],[author_es]],autorest[author_es],autorest[language_es])</f>
        <v>Latín</v>
      </c>
      <c r="L18" t="str">
        <f>_xlfn.XLOOKUP(frasest[[#This Row],[author_es]],autorest[author_es],autorest[language_la])</f>
        <v>Lingua Latina</v>
      </c>
      <c r="M18" t="str">
        <f>_xlfn.XLOOKUP(frasest[[#This Row],[author_es]],autorest[author_es],autorest[nation_es])</f>
        <v>Roma</v>
      </c>
      <c r="N18" t="str">
        <f>_xlfn.XLOOKUP(frasest[[#This Row],[author_es]],autorest[author_es],autorest[nation_la])</f>
        <v>Roma</v>
      </c>
      <c r="O18" t="str">
        <f>_xlfn.XLOOKUP(frasest[[#This Row],[author_es]],autorest[author_es],autorest[age_es])</f>
        <v>Edad Antigua</v>
      </c>
      <c r="P18" t="str">
        <f>_xlfn.XLOOKUP(frasest[[#This Row],[author_es]],autorest[author_es],autorest[age_la])</f>
        <v>Antiquitas</v>
      </c>
      <c r="Q18" t="str">
        <f>_xlfn.XLOOKUP(frasest[[#This Row],[author_es]],autorest[author_es],autorest[image])</f>
        <v>https://i.ibb.co/7dbHBQ9X/juliocesar.png</v>
      </c>
      <c r="R18">
        <f>_xlfn.XLOOKUP(frasest[[#This Row],[author_es]],autorest[author_es],autorest[image_atr])</f>
        <v>0</v>
      </c>
    </row>
    <row r="19" spans="1:18">
      <c r="A19">
        <v>18</v>
      </c>
      <c r="B19" t="s">
        <v>84</v>
      </c>
      <c r="C19" t="s">
        <v>85</v>
      </c>
      <c r="D19" t="s">
        <v>86</v>
      </c>
      <c r="E19" t="s">
        <v>87</v>
      </c>
      <c r="F19" t="s">
        <v>88</v>
      </c>
      <c r="G19" t="str">
        <f>_xlfn.XLOOKUP(frasest[[#This Row],[author_es]],autorest[author_es],autorest[author_la])</f>
        <v>Parmenides</v>
      </c>
      <c r="H19" t="str">
        <f>_xlfn.XLOOKUP(frasest[[#This Row],[author_es]],autorest[author_es],autorest[bio_es])</f>
        <v>Filósofo presocrático griego, fundador de la escuela eleática. Defendió la idea de la permanencia del ser y que nada surge de la nada.</v>
      </c>
      <c r="I19" t="str">
        <f>_xlfn.XLOOKUP(frasest[[#This Row],[author_es]],autorest[author_es],autorest[bio_la])</f>
        <v>Philosophus Praesocraticus Graecus, schola Eleatica conditor. Ideam constantiae entis defendit, nihil ex nihilo oriri.</v>
      </c>
      <c r="J19" t="str">
        <f>_xlfn.XLOOKUP(frasest[[#This Row],[author_es]],autorest[author_es],autorest[iso3691])</f>
        <v>la</v>
      </c>
      <c r="K19" t="str">
        <f>_xlfn.XLOOKUP(frasest[[#This Row],[author_es]],autorest[author_es],autorest[language_es])</f>
        <v>Latín</v>
      </c>
      <c r="L19" t="str">
        <f>_xlfn.XLOOKUP(frasest[[#This Row],[author_es]],autorest[author_es],autorest[language_la])</f>
        <v>Lingua Latina</v>
      </c>
      <c r="M19" t="str">
        <f>_xlfn.XLOOKUP(frasest[[#This Row],[author_es]],autorest[author_es],autorest[nation_es])</f>
        <v>Grecia</v>
      </c>
      <c r="N19" t="str">
        <f>_xlfn.XLOOKUP(frasest[[#This Row],[author_es]],autorest[author_es],autorest[nation_la])</f>
        <v>Graecia</v>
      </c>
      <c r="O19" t="str">
        <f>_xlfn.XLOOKUP(frasest[[#This Row],[author_es]],autorest[author_es],autorest[age_es])</f>
        <v>Edad Antigua</v>
      </c>
      <c r="P19" t="str">
        <f>_xlfn.XLOOKUP(frasest[[#This Row],[author_es]],autorest[author_es],autorest[age_la])</f>
        <v>Antiquitas</v>
      </c>
      <c r="Q19" t="str">
        <f>_xlfn.XLOOKUP(frasest[[#This Row],[author_es]],autorest[author_es],autorest[image])</f>
        <v>https://i.ibb.co/8DHGWSZc/parmenides.png</v>
      </c>
      <c r="R19">
        <f>_xlfn.XLOOKUP(frasest[[#This Row],[author_es]],autorest[author_es],autorest[image_atr])</f>
        <v>0</v>
      </c>
    </row>
    <row r="20" spans="1:18">
      <c r="A20">
        <v>19</v>
      </c>
      <c r="B20" t="s">
        <v>89</v>
      </c>
      <c r="C20" t="s">
        <v>90</v>
      </c>
      <c r="D20" s="1" t="s">
        <v>91</v>
      </c>
      <c r="E20" t="s">
        <v>36</v>
      </c>
      <c r="G20" t="str">
        <f>_xlfn.XLOOKUP(frasest[[#This Row],[author_es]],autorest[author_es],autorest[author_la])</f>
        <v>Proverbium Sinense</v>
      </c>
      <c r="H20" t="str">
        <f>_xlfn.XLOOKUP(frasest[[#This Row],[author_es]],autorest[author_es],autorest[bio_es])</f>
        <v>Conjunto de proverbios tradicionales de la cultura china que transmiten sabiduría popular, valores morales y enseñanzas prácticas transmitidas oralmente durante siglos.</v>
      </c>
      <c r="I20" t="str">
        <f>_xlfn.XLOOKUP(frasest[[#This Row],[author_es]],autorest[author_es],autorest[bio_la])</f>
        <v>Collectio sententiarum Sinensium, magnopere in cultura tradita.</v>
      </c>
      <c r="J20" t="str">
        <f>_xlfn.XLOOKUP(frasest[[#This Row],[author_es]],autorest[author_es],autorest[iso3691])</f>
        <v>zh</v>
      </c>
      <c r="K20" t="str">
        <f>_xlfn.XLOOKUP(frasest[[#This Row],[author_es]],autorest[author_es],autorest[language_es])</f>
        <v>Chino</v>
      </c>
      <c r="L20" t="str">
        <f>_xlfn.XLOOKUP(frasest[[#This Row],[author_es]],autorest[author_es],autorest[language_la])</f>
        <v>Lingua Sinica</v>
      </c>
      <c r="M20" t="str">
        <f>_xlfn.XLOOKUP(frasest[[#This Row],[author_es]],autorest[author_es],autorest[nation_es])</f>
        <v>China</v>
      </c>
      <c r="N20" t="str">
        <f>_xlfn.XLOOKUP(frasest[[#This Row],[author_es]],autorest[author_es],autorest[nation_la])</f>
        <v>Sinae</v>
      </c>
      <c r="O20" t="str">
        <f>_xlfn.XLOOKUP(frasest[[#This Row],[author_es]],autorest[author_es],autorest[age_es])</f>
        <v>Epoca Desconocida</v>
      </c>
      <c r="P20" t="str">
        <f>_xlfn.XLOOKUP(frasest[[#This Row],[author_es]],autorest[author_es],autorest[age_la])</f>
        <v>Epocha Ignota</v>
      </c>
      <c r="Q20" t="str">
        <f>_xlfn.XLOOKUP(frasest[[#This Row],[author_es]],autorest[author_es],autorest[image])</f>
        <v>https://i.ibb.co/qLfpZm6h/china.png</v>
      </c>
      <c r="R20">
        <f>_xlfn.XLOOKUP(frasest[[#This Row],[author_es]],autorest[author_es],autorest[image_atr])</f>
        <v>0</v>
      </c>
    </row>
    <row r="21" spans="1:18">
      <c r="A21">
        <v>20</v>
      </c>
      <c r="B21" t="s">
        <v>92</v>
      </c>
      <c r="C21" t="s">
        <v>93</v>
      </c>
      <c r="D21" s="1" t="s">
        <v>94</v>
      </c>
      <c r="E21" t="s">
        <v>95</v>
      </c>
      <c r="F21" t="s">
        <v>96</v>
      </c>
      <c r="G21" t="str">
        <f>_xlfn.XLOOKUP(frasest[[#This Row],[author_es]],autorest[author_es],autorest[author_la])</f>
        <v>Confucius</v>
      </c>
      <c r="H21" t="str">
        <f>_xlfn.XLOOKUP(frasest[[#This Row],[author_es]],autorest[author_es],autorest[bio_es])</f>
        <v>Filósofo y maestro chino, fundador del confucianismo. Sus enseñanzas influyeron profundamente en la cultura, ética y política de China.</v>
      </c>
      <c r="I21" t="str">
        <f>_xlfn.XLOOKUP(frasest[[#This Row],[author_es]],autorest[author_es],autorest[bio_la])</f>
        <v>Philosophus et magister Sinensis, confucianismi conditor. Doctrinae eius in culturam, ethicam et politicam Sinensem profunde influentes.</v>
      </c>
      <c r="J21" t="str">
        <f>_xlfn.XLOOKUP(frasest[[#This Row],[author_es]],autorest[author_es],autorest[iso3691])</f>
        <v>zh</v>
      </c>
      <c r="K21" t="str">
        <f>_xlfn.XLOOKUP(frasest[[#This Row],[author_es]],autorest[author_es],autorest[language_es])</f>
        <v>Chino</v>
      </c>
      <c r="L21" t="str">
        <f>_xlfn.XLOOKUP(frasest[[#This Row],[author_es]],autorest[author_es],autorest[language_la])</f>
        <v>Lingua Sinica</v>
      </c>
      <c r="M21" t="str">
        <f>_xlfn.XLOOKUP(frasest[[#This Row],[author_es]],autorest[author_es],autorest[nation_es])</f>
        <v>China</v>
      </c>
      <c r="N21" t="str">
        <f>_xlfn.XLOOKUP(frasest[[#This Row],[author_es]],autorest[author_es],autorest[nation_la])</f>
        <v>Sinae</v>
      </c>
      <c r="O21" t="str">
        <f>_xlfn.XLOOKUP(frasest[[#This Row],[author_es]],autorest[author_es],autorest[age_es])</f>
        <v>Edad Antigua</v>
      </c>
      <c r="P21" t="str">
        <f>_xlfn.XLOOKUP(frasest[[#This Row],[author_es]],autorest[author_es],autorest[age_la])</f>
        <v>Antiquitas</v>
      </c>
      <c r="Q21" t="str">
        <f>_xlfn.XLOOKUP(frasest[[#This Row],[author_es]],autorest[author_es],autorest[image])</f>
        <v>https://i.ibb.co/tjXTLg8/confucio.png</v>
      </c>
      <c r="R21">
        <f>_xlfn.XLOOKUP(frasest[[#This Row],[author_es]],autorest[author_es],autorest[image_atr])</f>
        <v>0</v>
      </c>
    </row>
    <row r="22" spans="1:18">
      <c r="A22">
        <v>21</v>
      </c>
      <c r="B22" t="s">
        <v>97</v>
      </c>
      <c r="C22" t="s">
        <v>98</v>
      </c>
      <c r="D22" s="1" t="s">
        <v>99</v>
      </c>
      <c r="E22" t="s">
        <v>95</v>
      </c>
      <c r="F22" t="s">
        <v>100</v>
      </c>
      <c r="G22" t="str">
        <f>_xlfn.XLOOKUP(frasest[[#This Row],[author_es]],autorest[author_es],autorest[author_la])</f>
        <v>Confucius</v>
      </c>
      <c r="H22" t="str">
        <f>_xlfn.XLOOKUP(frasest[[#This Row],[author_es]],autorest[author_es],autorest[bio_es])</f>
        <v>Filósofo y maestro chino, fundador del confucianismo. Sus enseñanzas influyeron profundamente en la cultura, ética y política de China.</v>
      </c>
      <c r="I22" t="str">
        <f>_xlfn.XLOOKUP(frasest[[#This Row],[author_es]],autorest[author_es],autorest[bio_la])</f>
        <v>Philosophus et magister Sinensis, confucianismi conditor. Doctrinae eius in culturam, ethicam et politicam Sinensem profunde influentes.</v>
      </c>
      <c r="J22" t="str">
        <f>_xlfn.XLOOKUP(frasest[[#This Row],[author_es]],autorest[author_es],autorest[iso3691])</f>
        <v>zh</v>
      </c>
      <c r="K22" t="str">
        <f>_xlfn.XLOOKUP(frasest[[#This Row],[author_es]],autorest[author_es],autorest[language_es])</f>
        <v>Chino</v>
      </c>
      <c r="L22" t="str">
        <f>_xlfn.XLOOKUP(frasest[[#This Row],[author_es]],autorest[author_es],autorest[language_la])</f>
        <v>Lingua Sinica</v>
      </c>
      <c r="M22" t="str">
        <f>_xlfn.XLOOKUP(frasest[[#This Row],[author_es]],autorest[author_es],autorest[nation_es])</f>
        <v>China</v>
      </c>
      <c r="N22" t="str">
        <f>_xlfn.XLOOKUP(frasest[[#This Row],[author_es]],autorest[author_es],autorest[nation_la])</f>
        <v>Sinae</v>
      </c>
      <c r="O22" t="str">
        <f>_xlfn.XLOOKUP(frasest[[#This Row],[author_es]],autorest[author_es],autorest[age_es])</f>
        <v>Edad Antigua</v>
      </c>
      <c r="P22" t="str">
        <f>_xlfn.XLOOKUP(frasest[[#This Row],[author_es]],autorest[author_es],autorest[age_la])</f>
        <v>Antiquitas</v>
      </c>
      <c r="Q22" t="str">
        <f>_xlfn.XLOOKUP(frasest[[#This Row],[author_es]],autorest[author_es],autorest[image])</f>
        <v>https://i.ibb.co/tjXTLg8/confucio.png</v>
      </c>
      <c r="R22">
        <f>_xlfn.XLOOKUP(frasest[[#This Row],[author_es]],autorest[author_es],autorest[image_atr])</f>
        <v>0</v>
      </c>
    </row>
    <row r="23" spans="1:18">
      <c r="A23">
        <v>22</v>
      </c>
      <c r="B23" t="s">
        <v>101</v>
      </c>
      <c r="C23" t="s">
        <v>102</v>
      </c>
      <c r="D23" s="1" t="s">
        <v>103</v>
      </c>
      <c r="E23" t="s">
        <v>95</v>
      </c>
      <c r="F23" t="s">
        <v>104</v>
      </c>
      <c r="G23" t="str">
        <f>_xlfn.XLOOKUP(frasest[[#This Row],[author_es]],autorest[author_es],autorest[author_la])</f>
        <v>Confucius</v>
      </c>
      <c r="H23" t="str">
        <f>_xlfn.XLOOKUP(frasest[[#This Row],[author_es]],autorest[author_es],autorest[bio_es])</f>
        <v>Filósofo y maestro chino, fundador del confucianismo. Sus enseñanzas influyeron profundamente en la cultura, ética y política de China.</v>
      </c>
      <c r="I23" t="str">
        <f>_xlfn.XLOOKUP(frasest[[#This Row],[author_es]],autorest[author_es],autorest[bio_la])</f>
        <v>Philosophus et magister Sinensis, confucianismi conditor. Doctrinae eius in culturam, ethicam et politicam Sinensem profunde influentes.</v>
      </c>
      <c r="J23" t="str">
        <f>_xlfn.XLOOKUP(frasest[[#This Row],[author_es]],autorest[author_es],autorest[iso3691])</f>
        <v>zh</v>
      </c>
      <c r="K23" t="str">
        <f>_xlfn.XLOOKUP(frasest[[#This Row],[author_es]],autorest[author_es],autorest[language_es])</f>
        <v>Chino</v>
      </c>
      <c r="L23" t="str">
        <f>_xlfn.XLOOKUP(frasest[[#This Row],[author_es]],autorest[author_es],autorest[language_la])</f>
        <v>Lingua Sinica</v>
      </c>
      <c r="M23" t="str">
        <f>_xlfn.XLOOKUP(frasest[[#This Row],[author_es]],autorest[author_es],autorest[nation_es])</f>
        <v>China</v>
      </c>
      <c r="N23" t="str">
        <f>_xlfn.XLOOKUP(frasest[[#This Row],[author_es]],autorest[author_es],autorest[nation_la])</f>
        <v>Sinae</v>
      </c>
      <c r="O23" t="str">
        <f>_xlfn.XLOOKUP(frasest[[#This Row],[author_es]],autorest[author_es],autorest[age_es])</f>
        <v>Edad Antigua</v>
      </c>
      <c r="P23" t="str">
        <f>_xlfn.XLOOKUP(frasest[[#This Row],[author_es]],autorest[author_es],autorest[age_la])</f>
        <v>Antiquitas</v>
      </c>
      <c r="Q23" t="str">
        <f>_xlfn.XLOOKUP(frasest[[#This Row],[author_es]],autorest[author_es],autorest[image])</f>
        <v>https://i.ibb.co/tjXTLg8/confucio.png</v>
      </c>
      <c r="R23">
        <f>_xlfn.XLOOKUP(frasest[[#This Row],[author_es]],autorest[author_es],autorest[image_atr])</f>
        <v>0</v>
      </c>
    </row>
    <row r="24" spans="1:18">
      <c r="A24">
        <v>23</v>
      </c>
      <c r="B24" t="s">
        <v>105</v>
      </c>
      <c r="C24" t="s">
        <v>106</v>
      </c>
      <c r="D24" t="s">
        <v>106</v>
      </c>
      <c r="E24" t="s">
        <v>107</v>
      </c>
      <c r="F24" t="s">
        <v>108</v>
      </c>
      <c r="G24" t="str">
        <f>_xlfn.XLOOKUP(frasest[[#This Row],[author_es]],autorest[author_es],autorest[author_la])</f>
        <v>Lucius Annaeus Seneca</v>
      </c>
      <c r="H24" t="str">
        <f>_xlfn.XLOOKUP(frasest[[#This Row],[author_es]],autorest[author_es],autorest[bio_es])</f>
        <v>Filósofo, escritor y político romano, representante del estoicismo. Autor de numerosas cartas y tratados morales.</v>
      </c>
      <c r="I24" t="str">
        <f>_xlfn.XLOOKUP(frasest[[#This Row],[author_es]],autorest[author_es],autorest[bio_la])</f>
        <v>Philosophus, scriptor et politicus Romanus, stoicismus repraesentans. Multas epistulas et tractatus morales scripsit.</v>
      </c>
      <c r="J24" t="str">
        <f>_xlfn.XLOOKUP(frasest[[#This Row],[author_es]],autorest[author_es],autorest[iso3691])</f>
        <v>la</v>
      </c>
      <c r="K24" t="str">
        <f>_xlfn.XLOOKUP(frasest[[#This Row],[author_es]],autorest[author_es],autorest[language_es])</f>
        <v>Latín</v>
      </c>
      <c r="L24" t="str">
        <f>_xlfn.XLOOKUP(frasest[[#This Row],[author_es]],autorest[author_es],autorest[language_la])</f>
        <v>Lingua Latina</v>
      </c>
      <c r="M24" t="str">
        <f>_xlfn.XLOOKUP(frasest[[#This Row],[author_es]],autorest[author_es],autorest[nation_es])</f>
        <v>Roma</v>
      </c>
      <c r="N24" t="str">
        <f>_xlfn.XLOOKUP(frasest[[#This Row],[author_es]],autorest[author_es],autorest[nation_la])</f>
        <v>Roma</v>
      </c>
      <c r="O24" t="str">
        <f>_xlfn.XLOOKUP(frasest[[#This Row],[author_es]],autorest[author_es],autorest[age_es])</f>
        <v>Edad Antigua</v>
      </c>
      <c r="P24" t="str">
        <f>_xlfn.XLOOKUP(frasest[[#This Row],[author_es]],autorest[author_es],autorest[age_la])</f>
        <v>Antiquitas</v>
      </c>
      <c r="Q24" t="str">
        <f>_xlfn.XLOOKUP(frasest[[#This Row],[author_es]],autorest[author_es],autorest[image])</f>
        <v>https://i.ibb.co/35c3QS9J/seneca.png</v>
      </c>
      <c r="R24">
        <f>_xlfn.XLOOKUP(frasest[[#This Row],[author_es]],autorest[author_es],autorest[image_atr])</f>
        <v>0</v>
      </c>
    </row>
    <row r="25" spans="1:18">
      <c r="A25">
        <v>24</v>
      </c>
      <c r="B25" t="s">
        <v>109</v>
      </c>
      <c r="C25" t="s">
        <v>110</v>
      </c>
      <c r="D25" t="s">
        <v>110</v>
      </c>
      <c r="E25" t="s">
        <v>107</v>
      </c>
      <c r="F25" t="s">
        <v>111</v>
      </c>
      <c r="G25" t="str">
        <f>_xlfn.XLOOKUP(frasest[[#This Row],[author_es]],autorest[author_es],autorest[author_la])</f>
        <v>Lucius Annaeus Seneca</v>
      </c>
      <c r="H25" t="str">
        <f>_xlfn.XLOOKUP(frasest[[#This Row],[author_es]],autorest[author_es],autorest[bio_es])</f>
        <v>Filósofo, escritor y político romano, representante del estoicismo. Autor de numerosas cartas y tratados morales.</v>
      </c>
      <c r="I25" t="str">
        <f>_xlfn.XLOOKUP(frasest[[#This Row],[author_es]],autorest[author_es],autorest[bio_la])</f>
        <v>Philosophus, scriptor et politicus Romanus, stoicismus repraesentans. Multas epistulas et tractatus morales scripsit.</v>
      </c>
      <c r="J25" t="str">
        <f>_xlfn.XLOOKUP(frasest[[#This Row],[author_es]],autorest[author_es],autorest[iso3691])</f>
        <v>la</v>
      </c>
      <c r="K25" t="str">
        <f>_xlfn.XLOOKUP(frasest[[#This Row],[author_es]],autorest[author_es],autorest[language_es])</f>
        <v>Latín</v>
      </c>
      <c r="L25" t="str">
        <f>_xlfn.XLOOKUP(frasest[[#This Row],[author_es]],autorest[author_es],autorest[language_la])</f>
        <v>Lingua Latina</v>
      </c>
      <c r="M25" t="str">
        <f>_xlfn.XLOOKUP(frasest[[#This Row],[author_es]],autorest[author_es],autorest[nation_es])</f>
        <v>Roma</v>
      </c>
      <c r="N25" t="str">
        <f>_xlfn.XLOOKUP(frasest[[#This Row],[author_es]],autorest[author_es],autorest[nation_la])</f>
        <v>Roma</v>
      </c>
      <c r="O25" t="str">
        <f>_xlfn.XLOOKUP(frasest[[#This Row],[author_es]],autorest[author_es],autorest[age_es])</f>
        <v>Edad Antigua</v>
      </c>
      <c r="P25" t="str">
        <f>_xlfn.XLOOKUP(frasest[[#This Row],[author_es]],autorest[author_es],autorest[age_la])</f>
        <v>Antiquitas</v>
      </c>
      <c r="Q25" t="str">
        <f>_xlfn.XLOOKUP(frasest[[#This Row],[author_es]],autorest[author_es],autorest[image])</f>
        <v>https://i.ibb.co/35c3QS9J/seneca.png</v>
      </c>
      <c r="R25">
        <f>_xlfn.XLOOKUP(frasest[[#This Row],[author_es]],autorest[author_es],autorest[image_atr])</f>
        <v>0</v>
      </c>
    </row>
    <row r="26" spans="1:18">
      <c r="A26">
        <v>25</v>
      </c>
      <c r="B26" t="s">
        <v>112</v>
      </c>
      <c r="C26" t="s">
        <v>113</v>
      </c>
      <c r="D26" t="s">
        <v>114</v>
      </c>
      <c r="E26" t="s">
        <v>107</v>
      </c>
      <c r="F26" t="s">
        <v>115</v>
      </c>
      <c r="G26" t="str">
        <f>_xlfn.XLOOKUP(frasest[[#This Row],[author_es]],autorest[author_es],autorest[author_la])</f>
        <v>Lucius Annaeus Seneca</v>
      </c>
      <c r="H26" t="str">
        <f>_xlfn.XLOOKUP(frasest[[#This Row],[author_es]],autorest[author_es],autorest[bio_es])</f>
        <v>Filósofo, escritor y político romano, representante del estoicismo. Autor de numerosas cartas y tratados morales.</v>
      </c>
      <c r="I26" t="str">
        <f>_xlfn.XLOOKUP(frasest[[#This Row],[author_es]],autorest[author_es],autorest[bio_la])</f>
        <v>Philosophus, scriptor et politicus Romanus, stoicismus repraesentans. Multas epistulas et tractatus morales scripsit.</v>
      </c>
      <c r="J26" t="str">
        <f>_xlfn.XLOOKUP(frasest[[#This Row],[author_es]],autorest[author_es],autorest[iso3691])</f>
        <v>la</v>
      </c>
      <c r="K26" t="str">
        <f>_xlfn.XLOOKUP(frasest[[#This Row],[author_es]],autorest[author_es],autorest[language_es])</f>
        <v>Latín</v>
      </c>
      <c r="L26" t="str">
        <f>_xlfn.XLOOKUP(frasest[[#This Row],[author_es]],autorest[author_es],autorest[language_la])</f>
        <v>Lingua Latina</v>
      </c>
      <c r="M26" t="str">
        <f>_xlfn.XLOOKUP(frasest[[#This Row],[author_es]],autorest[author_es],autorest[nation_es])</f>
        <v>Roma</v>
      </c>
      <c r="N26" t="str">
        <f>_xlfn.XLOOKUP(frasest[[#This Row],[author_es]],autorest[author_es],autorest[nation_la])</f>
        <v>Roma</v>
      </c>
      <c r="O26" t="str">
        <f>_xlfn.XLOOKUP(frasest[[#This Row],[author_es]],autorest[author_es],autorest[age_es])</f>
        <v>Edad Antigua</v>
      </c>
      <c r="P26" t="str">
        <f>_xlfn.XLOOKUP(frasest[[#This Row],[author_es]],autorest[author_es],autorest[age_la])</f>
        <v>Antiquitas</v>
      </c>
      <c r="Q26" t="str">
        <f>_xlfn.XLOOKUP(frasest[[#This Row],[author_es]],autorest[author_es],autorest[image])</f>
        <v>https://i.ibb.co/35c3QS9J/seneca.png</v>
      </c>
      <c r="R26">
        <f>_xlfn.XLOOKUP(frasest[[#This Row],[author_es]],autorest[author_es],autorest[image_atr])</f>
        <v>0</v>
      </c>
    </row>
    <row r="27" spans="1:18">
      <c r="A27">
        <v>26</v>
      </c>
      <c r="B27" t="s">
        <v>116</v>
      </c>
      <c r="C27" t="s">
        <v>117</v>
      </c>
      <c r="D27" t="s">
        <v>118</v>
      </c>
      <c r="E27" t="s">
        <v>107</v>
      </c>
      <c r="F27" t="s">
        <v>119</v>
      </c>
      <c r="G27" t="str">
        <f>_xlfn.XLOOKUP(frasest[[#This Row],[author_es]],autorest[author_es],autorest[author_la])</f>
        <v>Lucius Annaeus Seneca</v>
      </c>
      <c r="H27" t="str">
        <f>_xlfn.XLOOKUP(frasest[[#This Row],[author_es]],autorest[author_es],autorest[bio_es])</f>
        <v>Filósofo, escritor y político romano, representante del estoicismo. Autor de numerosas cartas y tratados morales.</v>
      </c>
      <c r="I27" t="str">
        <f>_xlfn.XLOOKUP(frasest[[#This Row],[author_es]],autorest[author_es],autorest[bio_la])</f>
        <v>Philosophus, scriptor et politicus Romanus, stoicismus repraesentans. Multas epistulas et tractatus morales scripsit.</v>
      </c>
      <c r="J27" t="str">
        <f>_xlfn.XLOOKUP(frasest[[#This Row],[author_es]],autorest[author_es],autorest[iso3691])</f>
        <v>la</v>
      </c>
      <c r="K27" t="str">
        <f>_xlfn.XLOOKUP(frasest[[#This Row],[author_es]],autorest[author_es],autorest[language_es])</f>
        <v>Latín</v>
      </c>
      <c r="L27" t="str">
        <f>_xlfn.XLOOKUP(frasest[[#This Row],[author_es]],autorest[author_es],autorest[language_la])</f>
        <v>Lingua Latina</v>
      </c>
      <c r="M27" t="str">
        <f>_xlfn.XLOOKUP(frasest[[#This Row],[author_es]],autorest[author_es],autorest[nation_es])</f>
        <v>Roma</v>
      </c>
      <c r="N27" t="str">
        <f>_xlfn.XLOOKUP(frasest[[#This Row],[author_es]],autorest[author_es],autorest[nation_la])</f>
        <v>Roma</v>
      </c>
      <c r="O27" t="str">
        <f>_xlfn.XLOOKUP(frasest[[#This Row],[author_es]],autorest[author_es],autorest[age_es])</f>
        <v>Edad Antigua</v>
      </c>
      <c r="P27" t="str">
        <f>_xlfn.XLOOKUP(frasest[[#This Row],[author_es]],autorest[author_es],autorest[age_la])</f>
        <v>Antiquitas</v>
      </c>
      <c r="Q27" t="str">
        <f>_xlfn.XLOOKUP(frasest[[#This Row],[author_es]],autorest[author_es],autorest[image])</f>
        <v>https://i.ibb.co/35c3QS9J/seneca.png</v>
      </c>
      <c r="R27">
        <f>_xlfn.XLOOKUP(frasest[[#This Row],[author_es]],autorest[author_es],autorest[image_atr])</f>
        <v>0</v>
      </c>
    </row>
    <row r="28" spans="1:18">
      <c r="A28">
        <v>27</v>
      </c>
      <c r="B28" t="s">
        <v>120</v>
      </c>
      <c r="C28" t="s">
        <v>121</v>
      </c>
      <c r="D28" t="s">
        <v>121</v>
      </c>
      <c r="E28" t="s">
        <v>122</v>
      </c>
      <c r="F28" t="s">
        <v>123</v>
      </c>
      <c r="G28" t="str">
        <f>_xlfn.XLOOKUP(frasest[[#This Row],[author_es]],autorest[author_es],autorest[author_la])</f>
        <v>Publius Cornelius Tacitus</v>
      </c>
      <c r="H28" t="str">
        <f>_xlfn.XLOOKUP(frasest[[#This Row],[author_es]],autorest[author_es],autorest[bio_es])</f>
        <v>Gayo o Publio Cornelio Tácito fue un político, orador e historiador romano considerado uno de los más grandes escritores de la historiografía romana. Nació alrededor del año 56 d.C., probablemente en la Galia Narbonense o el norte de Italia, y murió hacia el 120 d.C. Desarrolló una brillante carrera política llegando a ser cónsul en el 97 d.C. y procónsul de Asia entre 112-113 d.C. Sus obras más importantes son los Anales, que narran la historia del Imperio Romano desde la muerte de Augusto hasta Nerón (14-68 d.C.), y las Historias, que abarcan desde el año 69 al 96 d.C. También escribió Germania, una obra etnográfica sobre las tribus germánicas.</v>
      </c>
      <c r="I28" t="str">
        <f>_xlfn.XLOOKUP(frasest[[#This Row],[author_es]],autorest[author_es],autorest[bio_la])</f>
        <v>Gaius vel Publius Cornelius Tacitus fuit politicus, orator et historicus Romanus consideratus unus ex maximis scriptoribus historiographiae Romanae. Natus est circiter annum LVI p.C., probabiliter in Gallia Narbonensi vel Italia septentrionali, et mortuus est circiter annum CXX p.C. Cursum honorum fulgentem perfecit ut consul anno XCVII p.C. et proconsul Asiae inter annos CXII-CXIII p.C. Opera eius praecipua sunt Annales, qui narrant historiam Imperii Romani a morte Augusti usque ad Neronem (XIV-LXVIII p.C.), et Historiae, quae annos LXIX ad XCVI p.C. comprehendunt. Etiam scripsit Germaniam, opus ethnographicum de tribubus Germanicis.</v>
      </c>
      <c r="J28" t="str">
        <f>_xlfn.XLOOKUP(frasest[[#This Row],[author_es]],autorest[author_es],autorest[iso3691])</f>
        <v>la</v>
      </c>
      <c r="K28" t="str">
        <f>_xlfn.XLOOKUP(frasest[[#This Row],[author_es]],autorest[author_es],autorest[language_es])</f>
        <v>Latín</v>
      </c>
      <c r="L28" t="str">
        <f>_xlfn.XLOOKUP(frasest[[#This Row],[author_es]],autorest[author_es],autorest[language_la])</f>
        <v>Lingua Latina</v>
      </c>
      <c r="M28" t="str">
        <f>_xlfn.XLOOKUP(frasest[[#This Row],[author_es]],autorest[author_es],autorest[nation_es])</f>
        <v>Roma</v>
      </c>
      <c r="N28" t="str">
        <f>_xlfn.XLOOKUP(frasest[[#This Row],[author_es]],autorest[author_es],autorest[nation_la])</f>
        <v>Roma</v>
      </c>
      <c r="O28" t="str">
        <f>_xlfn.XLOOKUP(frasest[[#This Row],[author_es]],autorest[author_es],autorest[age_es])</f>
        <v>Edad Antigua</v>
      </c>
      <c r="P28" t="str">
        <f>_xlfn.XLOOKUP(frasest[[#This Row],[author_es]],autorest[author_es],autorest[age_la])</f>
        <v>Antiquitas</v>
      </c>
      <c r="Q28" t="str">
        <f>_xlfn.XLOOKUP(frasest[[#This Row],[author_es]],autorest[author_es],autorest[image])</f>
        <v>https://i.ibb.co/x8MJCvrr/tacito.png</v>
      </c>
      <c r="R28">
        <f>_xlfn.XLOOKUP(frasest[[#This Row],[author_es]],autorest[author_es],autorest[image_atr])</f>
        <v>0</v>
      </c>
    </row>
    <row r="29" spans="1:18">
      <c r="A29">
        <v>28</v>
      </c>
      <c r="B29" t="s">
        <v>124</v>
      </c>
      <c r="C29" t="s">
        <v>125</v>
      </c>
      <c r="D29" t="s">
        <v>126</v>
      </c>
      <c r="E29" t="s">
        <v>53</v>
      </c>
      <c r="F29" t="s">
        <v>54</v>
      </c>
      <c r="G29" t="str">
        <f>_xlfn.XLOOKUP(frasest[[#This Row],[author_es]],autorest[author_es],autorest[author_la])</f>
        <v>Franciscus Bacon</v>
      </c>
      <c r="H29" t="str">
        <f>_xlfn.XLOOKUP(frasest[[#This Row],[author_es]],autorest[author_es],autorest[bio_es])</f>
        <v>Filósofo y estadista inglés, autor de "El conocimiento es poder".</v>
      </c>
      <c r="I29" t="str">
        <f>_xlfn.XLOOKUP(frasest[[#This Row],[author_es]],autorest[author_es],autorest[bio_la])</f>
        <v>Philosophus et civis Anglicus, auctor "Scientia potentia est".</v>
      </c>
      <c r="J29" t="str">
        <f>_xlfn.XLOOKUP(frasest[[#This Row],[author_es]],autorest[author_es],autorest[iso3691])</f>
        <v>en</v>
      </c>
      <c r="K29" t="str">
        <f>_xlfn.XLOOKUP(frasest[[#This Row],[author_es]],autorest[author_es],autorest[language_es])</f>
        <v>Inglés</v>
      </c>
      <c r="L29" t="str">
        <f>_xlfn.XLOOKUP(frasest[[#This Row],[author_es]],autorest[author_es],autorest[language_la])</f>
        <v>Lingua Anglica</v>
      </c>
      <c r="M29" t="str">
        <f>_xlfn.XLOOKUP(frasest[[#This Row],[author_es]],autorest[author_es],autorest[nation_es])</f>
        <v>Reino Unido</v>
      </c>
      <c r="N29" t="str">
        <f>_xlfn.XLOOKUP(frasest[[#This Row],[author_es]],autorest[author_es],autorest[nation_la])</f>
        <v>Regnum Unitum</v>
      </c>
      <c r="O29" t="str">
        <f>_xlfn.XLOOKUP(frasest[[#This Row],[author_es]],autorest[author_es],autorest[age_es])</f>
        <v>Edad Moderna</v>
      </c>
      <c r="P29" t="str">
        <f>_xlfn.XLOOKUP(frasest[[#This Row],[author_es]],autorest[author_es],autorest[age_la])</f>
        <v>Nova Aetas</v>
      </c>
      <c r="Q29" t="str">
        <f>_xlfn.XLOOKUP(frasest[[#This Row],[author_es]],autorest[author_es],autorest[image])</f>
        <v>https://i.ibb.co/xtWthbfv/bacon.png</v>
      </c>
      <c r="R29">
        <f>_xlfn.XLOOKUP(frasest[[#This Row],[author_es]],autorest[author_es],autorest[image_atr])</f>
        <v>0</v>
      </c>
    </row>
    <row r="30" spans="1:18">
      <c r="A30">
        <v>29</v>
      </c>
      <c r="B30" t="s">
        <v>127</v>
      </c>
      <c r="C30" t="s">
        <v>128</v>
      </c>
      <c r="D30" s="1" t="s">
        <v>129</v>
      </c>
      <c r="E30" t="s">
        <v>36</v>
      </c>
      <c r="G30" t="str">
        <f>_xlfn.XLOOKUP(frasest[[#This Row],[author_es]],autorest[author_es],autorest[author_la])</f>
        <v>Proverbium Sinense</v>
      </c>
      <c r="H30" t="str">
        <f>_xlfn.XLOOKUP(frasest[[#This Row],[author_es]],autorest[author_es],autorest[bio_es])</f>
        <v>Conjunto de proverbios tradicionales de la cultura china que transmiten sabiduría popular, valores morales y enseñanzas prácticas transmitidas oralmente durante siglos.</v>
      </c>
      <c r="I30" t="str">
        <f>_xlfn.XLOOKUP(frasest[[#This Row],[author_es]],autorest[author_es],autorest[bio_la])</f>
        <v>Collectio sententiarum Sinensium, magnopere in cultura tradita.</v>
      </c>
      <c r="J30" t="str">
        <f>_xlfn.XLOOKUP(frasest[[#This Row],[author_es]],autorest[author_es],autorest[iso3691])</f>
        <v>zh</v>
      </c>
      <c r="K30" t="str">
        <f>_xlfn.XLOOKUP(frasest[[#This Row],[author_es]],autorest[author_es],autorest[language_es])</f>
        <v>Chino</v>
      </c>
      <c r="L30" t="str">
        <f>_xlfn.XLOOKUP(frasest[[#This Row],[author_es]],autorest[author_es],autorest[language_la])</f>
        <v>Lingua Sinica</v>
      </c>
      <c r="M30" t="str">
        <f>_xlfn.XLOOKUP(frasest[[#This Row],[author_es]],autorest[author_es],autorest[nation_es])</f>
        <v>China</v>
      </c>
      <c r="N30" t="str">
        <f>_xlfn.XLOOKUP(frasest[[#This Row],[author_es]],autorest[author_es],autorest[nation_la])</f>
        <v>Sinae</v>
      </c>
      <c r="O30" t="str">
        <f>_xlfn.XLOOKUP(frasest[[#This Row],[author_es]],autorest[author_es],autorest[age_es])</f>
        <v>Epoca Desconocida</v>
      </c>
      <c r="P30" t="str">
        <f>_xlfn.XLOOKUP(frasest[[#This Row],[author_es]],autorest[author_es],autorest[age_la])</f>
        <v>Epocha Ignota</v>
      </c>
      <c r="Q30" t="str">
        <f>_xlfn.XLOOKUP(frasest[[#This Row],[author_es]],autorest[author_es],autorest[image])</f>
        <v>https://i.ibb.co/qLfpZm6h/china.png</v>
      </c>
      <c r="R30">
        <f>_xlfn.XLOOKUP(frasest[[#This Row],[author_es]],autorest[author_es],autorest[image_atr])</f>
        <v>0</v>
      </c>
    </row>
    <row r="31" spans="1:18">
      <c r="A31">
        <v>30</v>
      </c>
      <c r="B31" t="s">
        <v>130</v>
      </c>
      <c r="C31" t="s">
        <v>131</v>
      </c>
      <c r="D31" s="1" t="s">
        <v>132</v>
      </c>
      <c r="E31" t="s">
        <v>36</v>
      </c>
      <c r="G31" t="str">
        <f>_xlfn.XLOOKUP(frasest[[#This Row],[author_es]],autorest[author_es],autorest[author_la])</f>
        <v>Proverbium Sinense</v>
      </c>
      <c r="H31" t="str">
        <f>_xlfn.XLOOKUP(frasest[[#This Row],[author_es]],autorest[author_es],autorest[bio_es])</f>
        <v>Conjunto de proverbios tradicionales de la cultura china que transmiten sabiduría popular, valores morales y enseñanzas prácticas transmitidas oralmente durante siglos.</v>
      </c>
      <c r="I31" t="str">
        <f>_xlfn.XLOOKUP(frasest[[#This Row],[author_es]],autorest[author_es],autorest[bio_la])</f>
        <v>Collectio sententiarum Sinensium, magnopere in cultura tradita.</v>
      </c>
      <c r="J31" t="str">
        <f>_xlfn.XLOOKUP(frasest[[#This Row],[author_es]],autorest[author_es],autorest[iso3691])</f>
        <v>zh</v>
      </c>
      <c r="K31" t="str">
        <f>_xlfn.XLOOKUP(frasest[[#This Row],[author_es]],autorest[author_es],autorest[language_es])</f>
        <v>Chino</v>
      </c>
      <c r="L31" t="str">
        <f>_xlfn.XLOOKUP(frasest[[#This Row],[author_es]],autorest[author_es],autorest[language_la])</f>
        <v>Lingua Sinica</v>
      </c>
      <c r="M31" t="str">
        <f>_xlfn.XLOOKUP(frasest[[#This Row],[author_es]],autorest[author_es],autorest[nation_es])</f>
        <v>China</v>
      </c>
      <c r="N31" t="str">
        <f>_xlfn.XLOOKUP(frasest[[#This Row],[author_es]],autorest[author_es],autorest[nation_la])</f>
        <v>Sinae</v>
      </c>
      <c r="O31" t="str">
        <f>_xlfn.XLOOKUP(frasest[[#This Row],[author_es]],autorest[author_es],autorest[age_es])</f>
        <v>Epoca Desconocida</v>
      </c>
      <c r="P31" t="str">
        <f>_xlfn.XLOOKUP(frasest[[#This Row],[author_es]],autorest[author_es],autorest[age_la])</f>
        <v>Epocha Ignota</v>
      </c>
      <c r="Q31" t="str">
        <f>_xlfn.XLOOKUP(frasest[[#This Row],[author_es]],autorest[author_es],autorest[image])</f>
        <v>https://i.ibb.co/qLfpZm6h/china.png</v>
      </c>
      <c r="R31">
        <f>_xlfn.XLOOKUP(frasest[[#This Row],[author_es]],autorest[author_es],autorest[image_atr])</f>
        <v>0</v>
      </c>
    </row>
    <row r="32" spans="1:18">
      <c r="A32">
        <v>31</v>
      </c>
      <c r="B32" t="s">
        <v>133</v>
      </c>
      <c r="C32" t="s">
        <v>134</v>
      </c>
      <c r="D32" s="1" t="s">
        <v>135</v>
      </c>
      <c r="E32" t="s">
        <v>36</v>
      </c>
      <c r="G32" t="str">
        <f>_xlfn.XLOOKUP(frasest[[#This Row],[author_es]],autorest[author_es],autorest[author_la])</f>
        <v>Proverbium Sinense</v>
      </c>
      <c r="H32" t="str">
        <f>_xlfn.XLOOKUP(frasest[[#This Row],[author_es]],autorest[author_es],autorest[bio_es])</f>
        <v>Conjunto de proverbios tradicionales de la cultura china que transmiten sabiduría popular, valores morales y enseñanzas prácticas transmitidas oralmente durante siglos.</v>
      </c>
      <c r="I32" t="str">
        <f>_xlfn.XLOOKUP(frasest[[#This Row],[author_es]],autorest[author_es],autorest[bio_la])</f>
        <v>Collectio sententiarum Sinensium, magnopere in cultura tradita.</v>
      </c>
      <c r="J32" t="str">
        <f>_xlfn.XLOOKUP(frasest[[#This Row],[author_es]],autorest[author_es],autorest[iso3691])</f>
        <v>zh</v>
      </c>
      <c r="K32" t="str">
        <f>_xlfn.XLOOKUP(frasest[[#This Row],[author_es]],autorest[author_es],autorest[language_es])</f>
        <v>Chino</v>
      </c>
      <c r="L32" t="str">
        <f>_xlfn.XLOOKUP(frasest[[#This Row],[author_es]],autorest[author_es],autorest[language_la])</f>
        <v>Lingua Sinica</v>
      </c>
      <c r="M32" t="str">
        <f>_xlfn.XLOOKUP(frasest[[#This Row],[author_es]],autorest[author_es],autorest[nation_es])</f>
        <v>China</v>
      </c>
      <c r="N32" t="str">
        <f>_xlfn.XLOOKUP(frasest[[#This Row],[author_es]],autorest[author_es],autorest[nation_la])</f>
        <v>Sinae</v>
      </c>
      <c r="O32" t="str">
        <f>_xlfn.XLOOKUP(frasest[[#This Row],[author_es]],autorest[author_es],autorest[age_es])</f>
        <v>Epoca Desconocida</v>
      </c>
      <c r="P32" t="str">
        <f>_xlfn.XLOOKUP(frasest[[#This Row],[author_es]],autorest[author_es],autorest[age_la])</f>
        <v>Epocha Ignota</v>
      </c>
      <c r="Q32" t="str">
        <f>_xlfn.XLOOKUP(frasest[[#This Row],[author_es]],autorest[author_es],autorest[image])</f>
        <v>https://i.ibb.co/qLfpZm6h/china.png</v>
      </c>
      <c r="R32">
        <f>_xlfn.XLOOKUP(frasest[[#This Row],[author_es]],autorest[author_es],autorest[image_atr])</f>
        <v>0</v>
      </c>
    </row>
    <row r="33" spans="1:18">
      <c r="A33">
        <v>32</v>
      </c>
      <c r="B33" t="s">
        <v>136</v>
      </c>
      <c r="C33" t="s">
        <v>137</v>
      </c>
      <c r="D33" s="1" t="s">
        <v>138</v>
      </c>
      <c r="E33" t="s">
        <v>36</v>
      </c>
      <c r="G33" t="str">
        <f>_xlfn.XLOOKUP(frasest[[#This Row],[author_es]],autorest[author_es],autorest[author_la])</f>
        <v>Proverbium Sinense</v>
      </c>
      <c r="H33" t="str">
        <f>_xlfn.XLOOKUP(frasest[[#This Row],[author_es]],autorest[author_es],autorest[bio_es])</f>
        <v>Conjunto de proverbios tradicionales de la cultura china que transmiten sabiduría popular, valores morales y enseñanzas prácticas transmitidas oralmente durante siglos.</v>
      </c>
      <c r="I33" t="str">
        <f>_xlfn.XLOOKUP(frasest[[#This Row],[author_es]],autorest[author_es],autorest[bio_la])</f>
        <v>Collectio sententiarum Sinensium, magnopere in cultura tradita.</v>
      </c>
      <c r="J33" t="str">
        <f>_xlfn.XLOOKUP(frasest[[#This Row],[author_es]],autorest[author_es],autorest[iso3691])</f>
        <v>zh</v>
      </c>
      <c r="K33" t="str">
        <f>_xlfn.XLOOKUP(frasest[[#This Row],[author_es]],autorest[author_es],autorest[language_es])</f>
        <v>Chino</v>
      </c>
      <c r="L33" t="str">
        <f>_xlfn.XLOOKUP(frasest[[#This Row],[author_es]],autorest[author_es],autorest[language_la])</f>
        <v>Lingua Sinica</v>
      </c>
      <c r="M33" t="str">
        <f>_xlfn.XLOOKUP(frasest[[#This Row],[author_es]],autorest[author_es],autorest[nation_es])</f>
        <v>China</v>
      </c>
      <c r="N33" t="str">
        <f>_xlfn.XLOOKUP(frasest[[#This Row],[author_es]],autorest[author_es],autorest[nation_la])</f>
        <v>Sinae</v>
      </c>
      <c r="O33" t="str">
        <f>_xlfn.XLOOKUP(frasest[[#This Row],[author_es]],autorest[author_es],autorest[age_es])</f>
        <v>Epoca Desconocida</v>
      </c>
      <c r="P33" t="str">
        <f>_xlfn.XLOOKUP(frasest[[#This Row],[author_es]],autorest[author_es],autorest[age_la])</f>
        <v>Epocha Ignota</v>
      </c>
      <c r="Q33" t="str">
        <f>_xlfn.XLOOKUP(frasest[[#This Row],[author_es]],autorest[author_es],autorest[image])</f>
        <v>https://i.ibb.co/qLfpZm6h/china.png</v>
      </c>
      <c r="R33">
        <f>_xlfn.XLOOKUP(frasest[[#This Row],[author_es]],autorest[author_es],autorest[image_atr])</f>
        <v>0</v>
      </c>
    </row>
    <row r="34" spans="1:18">
      <c r="A34">
        <v>33</v>
      </c>
      <c r="B34" t="s">
        <v>139</v>
      </c>
      <c r="C34" t="s">
        <v>140</v>
      </c>
      <c r="D34" s="1" t="s">
        <v>141</v>
      </c>
      <c r="E34" t="s">
        <v>36</v>
      </c>
      <c r="G34" t="str">
        <f>_xlfn.XLOOKUP(frasest[[#This Row],[author_es]],autorest[author_es],autorest[author_la])</f>
        <v>Proverbium Sinense</v>
      </c>
      <c r="H34" t="str">
        <f>_xlfn.XLOOKUP(frasest[[#This Row],[author_es]],autorest[author_es],autorest[bio_es])</f>
        <v>Conjunto de proverbios tradicionales de la cultura china que transmiten sabiduría popular, valores morales y enseñanzas prácticas transmitidas oralmente durante siglos.</v>
      </c>
      <c r="I34" t="str">
        <f>_xlfn.XLOOKUP(frasest[[#This Row],[author_es]],autorest[author_es],autorest[bio_la])</f>
        <v>Collectio sententiarum Sinensium, magnopere in cultura tradita.</v>
      </c>
      <c r="J34" t="str">
        <f>_xlfn.XLOOKUP(frasest[[#This Row],[author_es]],autorest[author_es],autorest[iso3691])</f>
        <v>zh</v>
      </c>
      <c r="K34" t="str">
        <f>_xlfn.XLOOKUP(frasest[[#This Row],[author_es]],autorest[author_es],autorest[language_es])</f>
        <v>Chino</v>
      </c>
      <c r="L34" t="str">
        <f>_xlfn.XLOOKUP(frasest[[#This Row],[author_es]],autorest[author_es],autorest[language_la])</f>
        <v>Lingua Sinica</v>
      </c>
      <c r="M34" t="str">
        <f>_xlfn.XLOOKUP(frasest[[#This Row],[author_es]],autorest[author_es],autorest[nation_es])</f>
        <v>China</v>
      </c>
      <c r="N34" t="str">
        <f>_xlfn.XLOOKUP(frasest[[#This Row],[author_es]],autorest[author_es],autorest[nation_la])</f>
        <v>Sinae</v>
      </c>
      <c r="O34" t="str">
        <f>_xlfn.XLOOKUP(frasest[[#This Row],[author_es]],autorest[author_es],autorest[age_es])</f>
        <v>Epoca Desconocida</v>
      </c>
      <c r="P34" t="str">
        <f>_xlfn.XLOOKUP(frasest[[#This Row],[author_es]],autorest[author_es],autorest[age_la])</f>
        <v>Epocha Ignota</v>
      </c>
      <c r="Q34" t="str">
        <f>_xlfn.XLOOKUP(frasest[[#This Row],[author_es]],autorest[author_es],autorest[image])</f>
        <v>https://i.ibb.co/qLfpZm6h/china.png</v>
      </c>
      <c r="R34">
        <f>_xlfn.XLOOKUP(frasest[[#This Row],[author_es]],autorest[author_es],autorest[image_atr])</f>
        <v>0</v>
      </c>
    </row>
    <row r="35" spans="1:18">
      <c r="A35">
        <v>34</v>
      </c>
      <c r="B35" t="s">
        <v>97</v>
      </c>
      <c r="C35" t="s">
        <v>98</v>
      </c>
      <c r="D35" s="1" t="s">
        <v>142</v>
      </c>
      <c r="E35" t="s">
        <v>36</v>
      </c>
      <c r="G35" t="str">
        <f>_xlfn.XLOOKUP(frasest[[#This Row],[author_es]],autorest[author_es],autorest[author_la])</f>
        <v>Proverbium Sinense</v>
      </c>
      <c r="H35" t="str">
        <f>_xlfn.XLOOKUP(frasest[[#This Row],[author_es]],autorest[author_es],autorest[bio_es])</f>
        <v>Conjunto de proverbios tradicionales de la cultura china que transmiten sabiduría popular, valores morales y enseñanzas prácticas transmitidas oralmente durante siglos.</v>
      </c>
      <c r="I35" t="str">
        <f>_xlfn.XLOOKUP(frasest[[#This Row],[author_es]],autorest[author_es],autorest[bio_la])</f>
        <v>Collectio sententiarum Sinensium, magnopere in cultura tradita.</v>
      </c>
      <c r="J35" t="str">
        <f>_xlfn.XLOOKUP(frasest[[#This Row],[author_es]],autorest[author_es],autorest[iso3691])</f>
        <v>zh</v>
      </c>
      <c r="K35" t="str">
        <f>_xlfn.XLOOKUP(frasest[[#This Row],[author_es]],autorest[author_es],autorest[language_es])</f>
        <v>Chino</v>
      </c>
      <c r="L35" t="str">
        <f>_xlfn.XLOOKUP(frasest[[#This Row],[author_es]],autorest[author_es],autorest[language_la])</f>
        <v>Lingua Sinica</v>
      </c>
      <c r="M35" t="str">
        <f>_xlfn.XLOOKUP(frasest[[#This Row],[author_es]],autorest[author_es],autorest[nation_es])</f>
        <v>China</v>
      </c>
      <c r="N35" t="str">
        <f>_xlfn.XLOOKUP(frasest[[#This Row],[author_es]],autorest[author_es],autorest[nation_la])</f>
        <v>Sinae</v>
      </c>
      <c r="O35" t="str">
        <f>_xlfn.XLOOKUP(frasest[[#This Row],[author_es]],autorest[author_es],autorest[age_es])</f>
        <v>Epoca Desconocida</v>
      </c>
      <c r="P35" t="str">
        <f>_xlfn.XLOOKUP(frasest[[#This Row],[author_es]],autorest[author_es],autorest[age_la])</f>
        <v>Epocha Ignota</v>
      </c>
      <c r="Q35" t="str">
        <f>_xlfn.XLOOKUP(frasest[[#This Row],[author_es]],autorest[author_es],autorest[image])</f>
        <v>https://i.ibb.co/qLfpZm6h/china.png</v>
      </c>
      <c r="R35">
        <f>_xlfn.XLOOKUP(frasest[[#This Row],[author_es]],autorest[author_es],autorest[image_atr])</f>
        <v>0</v>
      </c>
    </row>
    <row r="36" spans="1:18">
      <c r="A36">
        <v>35</v>
      </c>
      <c r="B36" t="s">
        <v>143</v>
      </c>
      <c r="C36" t="s">
        <v>144</v>
      </c>
      <c r="D36" s="1" t="s">
        <v>145</v>
      </c>
      <c r="E36" t="s">
        <v>36</v>
      </c>
      <c r="G36" t="str">
        <f>_xlfn.XLOOKUP(frasest[[#This Row],[author_es]],autorest[author_es],autorest[author_la])</f>
        <v>Proverbium Sinense</v>
      </c>
      <c r="H36" t="str">
        <f>_xlfn.XLOOKUP(frasest[[#This Row],[author_es]],autorest[author_es],autorest[bio_es])</f>
        <v>Conjunto de proverbios tradicionales de la cultura china que transmiten sabiduría popular, valores morales y enseñanzas prácticas transmitidas oralmente durante siglos.</v>
      </c>
      <c r="I36" t="str">
        <f>_xlfn.XLOOKUP(frasest[[#This Row],[author_es]],autorest[author_es],autorest[bio_la])</f>
        <v>Collectio sententiarum Sinensium, magnopere in cultura tradita.</v>
      </c>
      <c r="J36" t="str">
        <f>_xlfn.XLOOKUP(frasest[[#This Row],[author_es]],autorest[author_es],autorest[iso3691])</f>
        <v>zh</v>
      </c>
      <c r="K36" t="str">
        <f>_xlfn.XLOOKUP(frasest[[#This Row],[author_es]],autorest[author_es],autorest[language_es])</f>
        <v>Chino</v>
      </c>
      <c r="L36" t="str">
        <f>_xlfn.XLOOKUP(frasest[[#This Row],[author_es]],autorest[author_es],autorest[language_la])</f>
        <v>Lingua Sinica</v>
      </c>
      <c r="M36" t="str">
        <f>_xlfn.XLOOKUP(frasest[[#This Row],[author_es]],autorest[author_es],autorest[nation_es])</f>
        <v>China</v>
      </c>
      <c r="N36" t="str">
        <f>_xlfn.XLOOKUP(frasest[[#This Row],[author_es]],autorest[author_es],autorest[nation_la])</f>
        <v>Sinae</v>
      </c>
      <c r="O36" t="str">
        <f>_xlfn.XLOOKUP(frasest[[#This Row],[author_es]],autorest[author_es],autorest[age_es])</f>
        <v>Epoca Desconocida</v>
      </c>
      <c r="P36" t="str">
        <f>_xlfn.XLOOKUP(frasest[[#This Row],[author_es]],autorest[author_es],autorest[age_la])</f>
        <v>Epocha Ignota</v>
      </c>
      <c r="Q36" t="str">
        <f>_xlfn.XLOOKUP(frasest[[#This Row],[author_es]],autorest[author_es],autorest[image])</f>
        <v>https://i.ibb.co/qLfpZm6h/china.png</v>
      </c>
      <c r="R36">
        <f>_xlfn.XLOOKUP(frasest[[#This Row],[author_es]],autorest[author_es],autorest[image_atr])</f>
        <v>0</v>
      </c>
    </row>
    <row r="37" spans="1:18">
      <c r="A37">
        <v>36</v>
      </c>
      <c r="B37" t="s">
        <v>146</v>
      </c>
      <c r="C37" t="s">
        <v>147</v>
      </c>
      <c r="D37" s="1" t="s">
        <v>148</v>
      </c>
      <c r="E37" t="s">
        <v>28</v>
      </c>
      <c r="G37" t="str">
        <f>_xlfn.XLOOKUP(frasest[[#This Row],[author_es]],autorest[author_es],autorest[author_la])</f>
        <v>Proverbium Iaponicum</v>
      </c>
      <c r="H37" t="str">
        <f>_xlfn.XLOOKUP(frasest[[#This Row],[author_es]],autorest[author_es],autorest[bio_es])</f>
        <v>Expresiones tradicionales de la cultura japonesa que resumen enseñanzas morales, filosóficas y prácticas derivadas del budismo, el sintoísmo y la experiencia popular.</v>
      </c>
      <c r="I37" t="str">
        <f>_xlfn.XLOOKUP(frasest[[#This Row],[author_es]],autorest[author_es],autorest[bio_la])</f>
        <v>Collectio sententiarum Iaponicarum.</v>
      </c>
      <c r="J37" t="str">
        <f>_xlfn.XLOOKUP(frasest[[#This Row],[author_es]],autorest[author_es],autorest[iso3691])</f>
        <v>ja</v>
      </c>
      <c r="K37" t="str">
        <f>_xlfn.XLOOKUP(frasest[[#This Row],[author_es]],autorest[author_es],autorest[language_es])</f>
        <v>Japonés</v>
      </c>
      <c r="L37" t="str">
        <f>_xlfn.XLOOKUP(frasest[[#This Row],[author_es]],autorest[author_es],autorest[language_la])</f>
        <v>Lingua Iaponica</v>
      </c>
      <c r="M37" t="str">
        <f>_xlfn.XLOOKUP(frasest[[#This Row],[author_es]],autorest[author_es],autorest[nation_es])</f>
        <v>Japón</v>
      </c>
      <c r="N37" t="str">
        <f>_xlfn.XLOOKUP(frasest[[#This Row],[author_es]],autorest[author_es],autorest[nation_la])</f>
        <v>Iaponia</v>
      </c>
      <c r="O37" t="str">
        <f>_xlfn.XLOOKUP(frasest[[#This Row],[author_es]],autorest[author_es],autorest[age_es])</f>
        <v>Epoca Desconocida</v>
      </c>
      <c r="P37" t="str">
        <f>_xlfn.XLOOKUP(frasest[[#This Row],[author_es]],autorest[author_es],autorest[age_la])</f>
        <v>Epocha Ignota</v>
      </c>
      <c r="Q37" t="str">
        <f>_xlfn.XLOOKUP(frasest[[#This Row],[author_es]],autorest[author_es],autorest[image])</f>
        <v>https://i.ibb.co/svZg6Fc2/japon.png</v>
      </c>
      <c r="R37">
        <f>_xlfn.XLOOKUP(frasest[[#This Row],[author_es]],autorest[author_es],autorest[image_atr])</f>
        <v>0</v>
      </c>
    </row>
    <row r="38" spans="1:18">
      <c r="A38">
        <v>37</v>
      </c>
      <c r="B38" t="s">
        <v>149</v>
      </c>
      <c r="C38" t="s">
        <v>150</v>
      </c>
      <c r="D38" s="1" t="s">
        <v>151</v>
      </c>
      <c r="E38" t="s">
        <v>28</v>
      </c>
      <c r="G38" t="str">
        <f>_xlfn.XLOOKUP(frasest[[#This Row],[author_es]],autorest[author_es],autorest[author_la])</f>
        <v>Proverbium Iaponicum</v>
      </c>
      <c r="H38" t="str">
        <f>_xlfn.XLOOKUP(frasest[[#This Row],[author_es]],autorest[author_es],autorest[bio_es])</f>
        <v>Expresiones tradicionales de la cultura japonesa que resumen enseñanzas morales, filosóficas y prácticas derivadas del budismo, el sintoísmo y la experiencia popular.</v>
      </c>
      <c r="I38" t="str">
        <f>_xlfn.XLOOKUP(frasest[[#This Row],[author_es]],autorest[author_es],autorest[bio_la])</f>
        <v>Collectio sententiarum Iaponicarum.</v>
      </c>
      <c r="J38" t="str">
        <f>_xlfn.XLOOKUP(frasest[[#This Row],[author_es]],autorest[author_es],autorest[iso3691])</f>
        <v>ja</v>
      </c>
      <c r="K38" t="str">
        <f>_xlfn.XLOOKUP(frasest[[#This Row],[author_es]],autorest[author_es],autorest[language_es])</f>
        <v>Japonés</v>
      </c>
      <c r="L38" t="str">
        <f>_xlfn.XLOOKUP(frasest[[#This Row],[author_es]],autorest[author_es],autorest[language_la])</f>
        <v>Lingua Iaponica</v>
      </c>
      <c r="M38" t="str">
        <f>_xlfn.XLOOKUP(frasest[[#This Row],[author_es]],autorest[author_es],autorest[nation_es])</f>
        <v>Japón</v>
      </c>
      <c r="N38" t="str">
        <f>_xlfn.XLOOKUP(frasest[[#This Row],[author_es]],autorest[author_es],autorest[nation_la])</f>
        <v>Iaponia</v>
      </c>
      <c r="O38" t="str">
        <f>_xlfn.XLOOKUP(frasest[[#This Row],[author_es]],autorest[author_es],autorest[age_es])</f>
        <v>Epoca Desconocida</v>
      </c>
      <c r="P38" t="str">
        <f>_xlfn.XLOOKUP(frasest[[#This Row],[author_es]],autorest[author_es],autorest[age_la])</f>
        <v>Epocha Ignota</v>
      </c>
      <c r="Q38" t="str">
        <f>_xlfn.XLOOKUP(frasest[[#This Row],[author_es]],autorest[author_es],autorest[image])</f>
        <v>https://i.ibb.co/svZg6Fc2/japon.png</v>
      </c>
      <c r="R38">
        <f>_xlfn.XLOOKUP(frasest[[#This Row],[author_es]],autorest[author_es],autorest[image_atr])</f>
        <v>0</v>
      </c>
    </row>
    <row r="39" spans="1:18">
      <c r="A39">
        <v>38</v>
      </c>
      <c r="B39" t="s">
        <v>152</v>
      </c>
      <c r="C39" t="s">
        <v>153</v>
      </c>
      <c r="D39" s="1" t="s">
        <v>154</v>
      </c>
      <c r="E39" t="s">
        <v>28</v>
      </c>
      <c r="G39" t="str">
        <f>_xlfn.XLOOKUP(frasest[[#This Row],[author_es]],autorest[author_es],autorest[author_la])</f>
        <v>Proverbium Iaponicum</v>
      </c>
      <c r="H39" t="str">
        <f>_xlfn.XLOOKUP(frasest[[#This Row],[author_es]],autorest[author_es],autorest[bio_es])</f>
        <v>Expresiones tradicionales de la cultura japonesa que resumen enseñanzas morales, filosóficas y prácticas derivadas del budismo, el sintoísmo y la experiencia popular.</v>
      </c>
      <c r="I39" t="str">
        <f>_xlfn.XLOOKUP(frasest[[#This Row],[author_es]],autorest[author_es],autorest[bio_la])</f>
        <v>Collectio sententiarum Iaponicarum.</v>
      </c>
      <c r="J39" t="str">
        <f>_xlfn.XLOOKUP(frasest[[#This Row],[author_es]],autorest[author_es],autorest[iso3691])</f>
        <v>ja</v>
      </c>
      <c r="K39" t="str">
        <f>_xlfn.XLOOKUP(frasest[[#This Row],[author_es]],autorest[author_es],autorest[language_es])</f>
        <v>Japonés</v>
      </c>
      <c r="L39" t="str">
        <f>_xlfn.XLOOKUP(frasest[[#This Row],[author_es]],autorest[author_es],autorest[language_la])</f>
        <v>Lingua Iaponica</v>
      </c>
      <c r="M39" t="str">
        <f>_xlfn.XLOOKUP(frasest[[#This Row],[author_es]],autorest[author_es],autorest[nation_es])</f>
        <v>Japón</v>
      </c>
      <c r="N39" t="str">
        <f>_xlfn.XLOOKUP(frasest[[#This Row],[author_es]],autorest[author_es],autorest[nation_la])</f>
        <v>Iaponia</v>
      </c>
      <c r="O39" t="str">
        <f>_xlfn.XLOOKUP(frasest[[#This Row],[author_es]],autorest[author_es],autorest[age_es])</f>
        <v>Epoca Desconocida</v>
      </c>
      <c r="P39" t="str">
        <f>_xlfn.XLOOKUP(frasest[[#This Row],[author_es]],autorest[author_es],autorest[age_la])</f>
        <v>Epocha Ignota</v>
      </c>
      <c r="Q39" t="str">
        <f>_xlfn.XLOOKUP(frasest[[#This Row],[author_es]],autorest[author_es],autorest[image])</f>
        <v>https://i.ibb.co/svZg6Fc2/japon.png</v>
      </c>
      <c r="R39">
        <f>_xlfn.XLOOKUP(frasest[[#This Row],[author_es]],autorest[author_es],autorest[image_atr])</f>
        <v>0</v>
      </c>
    </row>
    <row r="40" spans="1:18">
      <c r="A40">
        <v>39</v>
      </c>
      <c r="B40" t="s">
        <v>155</v>
      </c>
      <c r="C40" t="s">
        <v>156</v>
      </c>
      <c r="D40" s="1" t="s">
        <v>157</v>
      </c>
      <c r="E40" t="s">
        <v>28</v>
      </c>
      <c r="G40" t="str">
        <f>_xlfn.XLOOKUP(frasest[[#This Row],[author_es]],autorest[author_es],autorest[author_la])</f>
        <v>Proverbium Iaponicum</v>
      </c>
      <c r="H40" t="str">
        <f>_xlfn.XLOOKUP(frasest[[#This Row],[author_es]],autorest[author_es],autorest[bio_es])</f>
        <v>Expresiones tradicionales de la cultura japonesa que resumen enseñanzas morales, filosóficas y prácticas derivadas del budismo, el sintoísmo y la experiencia popular.</v>
      </c>
      <c r="I40" t="str">
        <f>_xlfn.XLOOKUP(frasest[[#This Row],[author_es]],autorest[author_es],autorest[bio_la])</f>
        <v>Collectio sententiarum Iaponicarum.</v>
      </c>
      <c r="J40" t="str">
        <f>_xlfn.XLOOKUP(frasest[[#This Row],[author_es]],autorest[author_es],autorest[iso3691])</f>
        <v>ja</v>
      </c>
      <c r="K40" t="str">
        <f>_xlfn.XLOOKUP(frasest[[#This Row],[author_es]],autorest[author_es],autorest[language_es])</f>
        <v>Japonés</v>
      </c>
      <c r="L40" t="str">
        <f>_xlfn.XLOOKUP(frasest[[#This Row],[author_es]],autorest[author_es],autorest[language_la])</f>
        <v>Lingua Iaponica</v>
      </c>
      <c r="M40" t="str">
        <f>_xlfn.XLOOKUP(frasest[[#This Row],[author_es]],autorest[author_es],autorest[nation_es])</f>
        <v>Japón</v>
      </c>
      <c r="N40" t="str">
        <f>_xlfn.XLOOKUP(frasest[[#This Row],[author_es]],autorest[author_es],autorest[nation_la])</f>
        <v>Iaponia</v>
      </c>
      <c r="O40" t="str">
        <f>_xlfn.XLOOKUP(frasest[[#This Row],[author_es]],autorest[author_es],autorest[age_es])</f>
        <v>Epoca Desconocida</v>
      </c>
      <c r="P40" t="str">
        <f>_xlfn.XLOOKUP(frasest[[#This Row],[author_es]],autorest[author_es],autorest[age_la])</f>
        <v>Epocha Ignota</v>
      </c>
      <c r="Q40" t="str">
        <f>_xlfn.XLOOKUP(frasest[[#This Row],[author_es]],autorest[author_es],autorest[image])</f>
        <v>https://i.ibb.co/svZg6Fc2/japon.png</v>
      </c>
      <c r="R40">
        <f>_xlfn.XLOOKUP(frasest[[#This Row],[author_es]],autorest[author_es],autorest[image_atr])</f>
        <v>0</v>
      </c>
    </row>
    <row r="41" spans="1:18">
      <c r="A41">
        <v>40</v>
      </c>
      <c r="B41" t="s">
        <v>158</v>
      </c>
      <c r="C41" t="s">
        <v>159</v>
      </c>
      <c r="D41" s="1" t="s">
        <v>160</v>
      </c>
      <c r="E41" t="s">
        <v>28</v>
      </c>
      <c r="G41" t="str">
        <f>_xlfn.XLOOKUP(frasest[[#This Row],[author_es]],autorest[author_es],autorest[author_la])</f>
        <v>Proverbium Iaponicum</v>
      </c>
      <c r="H41" t="str">
        <f>_xlfn.XLOOKUP(frasest[[#This Row],[author_es]],autorest[author_es],autorest[bio_es])</f>
        <v>Expresiones tradicionales de la cultura japonesa que resumen enseñanzas morales, filosóficas y prácticas derivadas del budismo, el sintoísmo y la experiencia popular.</v>
      </c>
      <c r="I41" t="str">
        <f>_xlfn.XLOOKUP(frasest[[#This Row],[author_es]],autorest[author_es],autorest[bio_la])</f>
        <v>Collectio sententiarum Iaponicarum.</v>
      </c>
      <c r="J41" t="str">
        <f>_xlfn.XLOOKUP(frasest[[#This Row],[author_es]],autorest[author_es],autorest[iso3691])</f>
        <v>ja</v>
      </c>
      <c r="K41" t="str">
        <f>_xlfn.XLOOKUP(frasest[[#This Row],[author_es]],autorest[author_es],autorest[language_es])</f>
        <v>Japonés</v>
      </c>
      <c r="L41" t="str">
        <f>_xlfn.XLOOKUP(frasest[[#This Row],[author_es]],autorest[author_es],autorest[language_la])</f>
        <v>Lingua Iaponica</v>
      </c>
      <c r="M41" t="str">
        <f>_xlfn.XLOOKUP(frasest[[#This Row],[author_es]],autorest[author_es],autorest[nation_es])</f>
        <v>Japón</v>
      </c>
      <c r="N41" t="str">
        <f>_xlfn.XLOOKUP(frasest[[#This Row],[author_es]],autorest[author_es],autorest[nation_la])</f>
        <v>Iaponia</v>
      </c>
      <c r="O41" t="str">
        <f>_xlfn.XLOOKUP(frasest[[#This Row],[author_es]],autorest[author_es],autorest[age_es])</f>
        <v>Epoca Desconocida</v>
      </c>
      <c r="P41" t="str">
        <f>_xlfn.XLOOKUP(frasest[[#This Row],[author_es]],autorest[author_es],autorest[age_la])</f>
        <v>Epocha Ignota</v>
      </c>
      <c r="Q41" t="str">
        <f>_xlfn.XLOOKUP(frasest[[#This Row],[author_es]],autorest[author_es],autorest[image])</f>
        <v>https://i.ibb.co/svZg6Fc2/japon.png</v>
      </c>
      <c r="R41">
        <f>_xlfn.XLOOKUP(frasest[[#This Row],[author_es]],autorest[author_es],autorest[image_atr])</f>
        <v>0</v>
      </c>
    </row>
    <row r="42" spans="1:18">
      <c r="A42">
        <v>41</v>
      </c>
      <c r="B42" t="s">
        <v>161</v>
      </c>
      <c r="C42" t="s">
        <v>162</v>
      </c>
      <c r="D42" s="1" t="s">
        <v>163</v>
      </c>
      <c r="E42" t="s">
        <v>28</v>
      </c>
      <c r="G42" t="str">
        <f>_xlfn.XLOOKUP(frasest[[#This Row],[author_es]],autorest[author_es],autorest[author_la])</f>
        <v>Proverbium Iaponicum</v>
      </c>
      <c r="H42" t="str">
        <f>_xlfn.XLOOKUP(frasest[[#This Row],[author_es]],autorest[author_es],autorest[bio_es])</f>
        <v>Expresiones tradicionales de la cultura japonesa que resumen enseñanzas morales, filosóficas y prácticas derivadas del budismo, el sintoísmo y la experiencia popular.</v>
      </c>
      <c r="I42" t="str">
        <f>_xlfn.XLOOKUP(frasest[[#This Row],[author_es]],autorest[author_es],autorest[bio_la])</f>
        <v>Collectio sententiarum Iaponicarum.</v>
      </c>
      <c r="J42" t="str">
        <f>_xlfn.XLOOKUP(frasest[[#This Row],[author_es]],autorest[author_es],autorest[iso3691])</f>
        <v>ja</v>
      </c>
      <c r="K42" t="str">
        <f>_xlfn.XLOOKUP(frasest[[#This Row],[author_es]],autorest[author_es],autorest[language_es])</f>
        <v>Japonés</v>
      </c>
      <c r="L42" t="str">
        <f>_xlfn.XLOOKUP(frasest[[#This Row],[author_es]],autorest[author_es],autorest[language_la])</f>
        <v>Lingua Iaponica</v>
      </c>
      <c r="M42" t="str">
        <f>_xlfn.XLOOKUP(frasest[[#This Row],[author_es]],autorest[author_es],autorest[nation_es])</f>
        <v>Japón</v>
      </c>
      <c r="N42" t="str">
        <f>_xlfn.XLOOKUP(frasest[[#This Row],[author_es]],autorest[author_es],autorest[nation_la])</f>
        <v>Iaponia</v>
      </c>
      <c r="O42" t="str">
        <f>_xlfn.XLOOKUP(frasest[[#This Row],[author_es]],autorest[author_es],autorest[age_es])</f>
        <v>Epoca Desconocida</v>
      </c>
      <c r="P42" t="str">
        <f>_xlfn.XLOOKUP(frasest[[#This Row],[author_es]],autorest[author_es],autorest[age_la])</f>
        <v>Epocha Ignota</v>
      </c>
      <c r="Q42" t="str">
        <f>_xlfn.XLOOKUP(frasest[[#This Row],[author_es]],autorest[author_es],autorest[image])</f>
        <v>https://i.ibb.co/svZg6Fc2/japon.png</v>
      </c>
      <c r="R42">
        <f>_xlfn.XLOOKUP(frasest[[#This Row],[author_es]],autorest[author_es],autorest[image_atr])</f>
        <v>0</v>
      </c>
    </row>
    <row r="43" spans="1:18">
      <c r="A43">
        <v>42</v>
      </c>
      <c r="B43" t="s">
        <v>164</v>
      </c>
      <c r="C43" t="s">
        <v>165</v>
      </c>
      <c r="D43" s="1" t="s">
        <v>166</v>
      </c>
      <c r="E43" t="s">
        <v>28</v>
      </c>
      <c r="G43" t="str">
        <f>_xlfn.XLOOKUP(frasest[[#This Row],[author_es]],autorest[author_es],autorest[author_la])</f>
        <v>Proverbium Iaponicum</v>
      </c>
      <c r="H43" t="str">
        <f>_xlfn.XLOOKUP(frasest[[#This Row],[author_es]],autorest[author_es],autorest[bio_es])</f>
        <v>Expresiones tradicionales de la cultura japonesa que resumen enseñanzas morales, filosóficas y prácticas derivadas del budismo, el sintoísmo y la experiencia popular.</v>
      </c>
      <c r="I43" t="str">
        <f>_xlfn.XLOOKUP(frasest[[#This Row],[author_es]],autorest[author_es],autorest[bio_la])</f>
        <v>Collectio sententiarum Iaponicarum.</v>
      </c>
      <c r="J43" t="str">
        <f>_xlfn.XLOOKUP(frasest[[#This Row],[author_es]],autorest[author_es],autorest[iso3691])</f>
        <v>ja</v>
      </c>
      <c r="K43" t="str">
        <f>_xlfn.XLOOKUP(frasest[[#This Row],[author_es]],autorest[author_es],autorest[language_es])</f>
        <v>Japonés</v>
      </c>
      <c r="L43" t="str">
        <f>_xlfn.XLOOKUP(frasest[[#This Row],[author_es]],autorest[author_es],autorest[language_la])</f>
        <v>Lingua Iaponica</v>
      </c>
      <c r="M43" t="str">
        <f>_xlfn.XLOOKUP(frasest[[#This Row],[author_es]],autorest[author_es],autorest[nation_es])</f>
        <v>Japón</v>
      </c>
      <c r="N43" t="str">
        <f>_xlfn.XLOOKUP(frasest[[#This Row],[author_es]],autorest[author_es],autorest[nation_la])</f>
        <v>Iaponia</v>
      </c>
      <c r="O43" t="str">
        <f>_xlfn.XLOOKUP(frasest[[#This Row],[author_es]],autorest[author_es],autorest[age_es])</f>
        <v>Epoca Desconocida</v>
      </c>
      <c r="P43" t="str">
        <f>_xlfn.XLOOKUP(frasest[[#This Row],[author_es]],autorest[author_es],autorest[age_la])</f>
        <v>Epocha Ignota</v>
      </c>
      <c r="Q43" t="str">
        <f>_xlfn.XLOOKUP(frasest[[#This Row],[author_es]],autorest[author_es],autorest[image])</f>
        <v>https://i.ibb.co/svZg6Fc2/japon.png</v>
      </c>
      <c r="R43">
        <f>_xlfn.XLOOKUP(frasest[[#This Row],[author_es]],autorest[author_es],autorest[image_atr])</f>
        <v>0</v>
      </c>
    </row>
    <row r="44" spans="1:18">
      <c r="A44">
        <v>43</v>
      </c>
      <c r="B44" t="s">
        <v>167</v>
      </c>
      <c r="C44" t="s">
        <v>106</v>
      </c>
      <c r="D44" t="s">
        <v>106</v>
      </c>
      <c r="E44" t="s">
        <v>107</v>
      </c>
      <c r="F44" t="s">
        <v>108</v>
      </c>
      <c r="G44" t="str">
        <f>_xlfn.XLOOKUP(frasest[[#This Row],[author_es]],autorest[author_es],autorest[author_la])</f>
        <v>Lucius Annaeus Seneca</v>
      </c>
      <c r="H44" t="str">
        <f>_xlfn.XLOOKUP(frasest[[#This Row],[author_es]],autorest[author_es],autorest[bio_es])</f>
        <v>Filósofo, escritor y político romano, representante del estoicismo. Autor de numerosas cartas y tratados morales.</v>
      </c>
      <c r="I44" t="str">
        <f>_xlfn.XLOOKUP(frasest[[#This Row],[author_es]],autorest[author_es],autorest[bio_la])</f>
        <v>Philosophus, scriptor et politicus Romanus, stoicismus repraesentans. Multas epistulas et tractatus morales scripsit.</v>
      </c>
      <c r="J44" t="str">
        <f>_xlfn.XLOOKUP(frasest[[#This Row],[author_es]],autorest[author_es],autorest[iso3691])</f>
        <v>la</v>
      </c>
      <c r="K44" t="str">
        <f>_xlfn.XLOOKUP(frasest[[#This Row],[author_es]],autorest[author_es],autorest[language_es])</f>
        <v>Latín</v>
      </c>
      <c r="L44" t="str">
        <f>_xlfn.XLOOKUP(frasest[[#This Row],[author_es]],autorest[author_es],autorest[language_la])</f>
        <v>Lingua Latina</v>
      </c>
      <c r="M44" t="str">
        <f>_xlfn.XLOOKUP(frasest[[#This Row],[author_es]],autorest[author_es],autorest[nation_es])</f>
        <v>Roma</v>
      </c>
      <c r="N44" t="str">
        <f>_xlfn.XLOOKUP(frasest[[#This Row],[author_es]],autorest[author_es],autorest[nation_la])</f>
        <v>Roma</v>
      </c>
      <c r="O44" t="str">
        <f>_xlfn.XLOOKUP(frasest[[#This Row],[author_es]],autorest[author_es],autorest[age_es])</f>
        <v>Edad Antigua</v>
      </c>
      <c r="P44" t="str">
        <f>_xlfn.XLOOKUP(frasest[[#This Row],[author_es]],autorest[author_es],autorest[age_la])</f>
        <v>Antiquitas</v>
      </c>
      <c r="Q44" t="str">
        <f>_xlfn.XLOOKUP(frasest[[#This Row],[author_es]],autorest[author_es],autorest[image])</f>
        <v>https://i.ibb.co/35c3QS9J/seneca.png</v>
      </c>
      <c r="R44">
        <f>_xlfn.XLOOKUP(frasest[[#This Row],[author_es]],autorest[author_es],autorest[image_atr])</f>
        <v>0</v>
      </c>
    </row>
    <row r="45" spans="1:18">
      <c r="A45">
        <v>44</v>
      </c>
      <c r="B45" t="s">
        <v>168</v>
      </c>
      <c r="C45" t="s">
        <v>110</v>
      </c>
      <c r="D45" t="s">
        <v>110</v>
      </c>
      <c r="E45" t="s">
        <v>107</v>
      </c>
      <c r="F45" t="s">
        <v>111</v>
      </c>
      <c r="G45" t="str">
        <f>_xlfn.XLOOKUP(frasest[[#This Row],[author_es]],autorest[author_es],autorest[author_la])</f>
        <v>Lucius Annaeus Seneca</v>
      </c>
      <c r="H45" t="str">
        <f>_xlfn.XLOOKUP(frasest[[#This Row],[author_es]],autorest[author_es],autorest[bio_es])</f>
        <v>Filósofo, escritor y político romano, representante del estoicismo. Autor de numerosas cartas y tratados morales.</v>
      </c>
      <c r="I45" t="str">
        <f>_xlfn.XLOOKUP(frasest[[#This Row],[author_es]],autorest[author_es],autorest[bio_la])</f>
        <v>Philosophus, scriptor et politicus Romanus, stoicismus repraesentans. Multas epistulas et tractatus morales scripsit.</v>
      </c>
      <c r="J45" t="str">
        <f>_xlfn.XLOOKUP(frasest[[#This Row],[author_es]],autorest[author_es],autorest[iso3691])</f>
        <v>la</v>
      </c>
      <c r="K45" t="str">
        <f>_xlfn.XLOOKUP(frasest[[#This Row],[author_es]],autorest[author_es],autorest[language_es])</f>
        <v>Latín</v>
      </c>
      <c r="L45" t="str">
        <f>_xlfn.XLOOKUP(frasest[[#This Row],[author_es]],autorest[author_es],autorest[language_la])</f>
        <v>Lingua Latina</v>
      </c>
      <c r="M45" t="str">
        <f>_xlfn.XLOOKUP(frasest[[#This Row],[author_es]],autorest[author_es],autorest[nation_es])</f>
        <v>Roma</v>
      </c>
      <c r="N45" t="str">
        <f>_xlfn.XLOOKUP(frasest[[#This Row],[author_es]],autorest[author_es],autorest[nation_la])</f>
        <v>Roma</v>
      </c>
      <c r="O45" t="str">
        <f>_xlfn.XLOOKUP(frasest[[#This Row],[author_es]],autorest[author_es],autorest[age_es])</f>
        <v>Edad Antigua</v>
      </c>
      <c r="P45" t="str">
        <f>_xlfn.XLOOKUP(frasest[[#This Row],[author_es]],autorest[author_es],autorest[age_la])</f>
        <v>Antiquitas</v>
      </c>
      <c r="Q45" t="str">
        <f>_xlfn.XLOOKUP(frasest[[#This Row],[author_es]],autorest[author_es],autorest[image])</f>
        <v>https://i.ibb.co/35c3QS9J/seneca.png</v>
      </c>
      <c r="R45">
        <f>_xlfn.XLOOKUP(frasest[[#This Row],[author_es]],autorest[author_es],autorest[image_atr])</f>
        <v>0</v>
      </c>
    </row>
    <row r="46" spans="1:18">
      <c r="A46">
        <v>45</v>
      </c>
      <c r="B46" t="s">
        <v>169</v>
      </c>
      <c r="C46" t="s">
        <v>113</v>
      </c>
      <c r="D46" t="s">
        <v>113</v>
      </c>
      <c r="E46" t="s">
        <v>107</v>
      </c>
      <c r="F46" t="s">
        <v>115</v>
      </c>
      <c r="G46" t="str">
        <f>_xlfn.XLOOKUP(frasest[[#This Row],[author_es]],autorest[author_es],autorest[author_la])</f>
        <v>Lucius Annaeus Seneca</v>
      </c>
      <c r="H46" t="str">
        <f>_xlfn.XLOOKUP(frasest[[#This Row],[author_es]],autorest[author_es],autorest[bio_es])</f>
        <v>Filósofo, escritor y político romano, representante del estoicismo. Autor de numerosas cartas y tratados morales.</v>
      </c>
      <c r="I46" t="str">
        <f>_xlfn.XLOOKUP(frasest[[#This Row],[author_es]],autorest[author_es],autorest[bio_la])</f>
        <v>Philosophus, scriptor et politicus Romanus, stoicismus repraesentans. Multas epistulas et tractatus morales scripsit.</v>
      </c>
      <c r="J46" t="str">
        <f>_xlfn.XLOOKUP(frasest[[#This Row],[author_es]],autorest[author_es],autorest[iso3691])</f>
        <v>la</v>
      </c>
      <c r="K46" t="str">
        <f>_xlfn.XLOOKUP(frasest[[#This Row],[author_es]],autorest[author_es],autorest[language_es])</f>
        <v>Latín</v>
      </c>
      <c r="L46" t="str">
        <f>_xlfn.XLOOKUP(frasest[[#This Row],[author_es]],autorest[author_es],autorest[language_la])</f>
        <v>Lingua Latina</v>
      </c>
      <c r="M46" t="str">
        <f>_xlfn.XLOOKUP(frasest[[#This Row],[author_es]],autorest[author_es],autorest[nation_es])</f>
        <v>Roma</v>
      </c>
      <c r="N46" t="str">
        <f>_xlfn.XLOOKUP(frasest[[#This Row],[author_es]],autorest[author_es],autorest[nation_la])</f>
        <v>Roma</v>
      </c>
      <c r="O46" t="str">
        <f>_xlfn.XLOOKUP(frasest[[#This Row],[author_es]],autorest[author_es],autorest[age_es])</f>
        <v>Edad Antigua</v>
      </c>
      <c r="P46" t="str">
        <f>_xlfn.XLOOKUP(frasest[[#This Row],[author_es]],autorest[author_es],autorest[age_la])</f>
        <v>Antiquitas</v>
      </c>
      <c r="Q46" t="str">
        <f>_xlfn.XLOOKUP(frasest[[#This Row],[author_es]],autorest[author_es],autorest[image])</f>
        <v>https://i.ibb.co/35c3QS9J/seneca.png</v>
      </c>
      <c r="R46">
        <f>_xlfn.XLOOKUP(frasest[[#This Row],[author_es]],autorest[author_es],autorest[image_atr])</f>
        <v>0</v>
      </c>
    </row>
    <row r="47" spans="1:18">
      <c r="A47">
        <v>46</v>
      </c>
      <c r="B47" t="s">
        <v>116</v>
      </c>
      <c r="C47" t="s">
        <v>118</v>
      </c>
      <c r="D47" t="s">
        <v>118</v>
      </c>
      <c r="E47" t="s">
        <v>107</v>
      </c>
      <c r="F47" t="s">
        <v>119</v>
      </c>
      <c r="G47" t="str">
        <f>_xlfn.XLOOKUP(frasest[[#This Row],[author_es]],autorest[author_es],autorest[author_la])</f>
        <v>Lucius Annaeus Seneca</v>
      </c>
      <c r="H47" t="str">
        <f>_xlfn.XLOOKUP(frasest[[#This Row],[author_es]],autorest[author_es],autorest[bio_es])</f>
        <v>Filósofo, escritor y político romano, representante del estoicismo. Autor de numerosas cartas y tratados morales.</v>
      </c>
      <c r="I47" t="str">
        <f>_xlfn.XLOOKUP(frasest[[#This Row],[author_es]],autorest[author_es],autorest[bio_la])</f>
        <v>Philosophus, scriptor et politicus Romanus, stoicismus repraesentans. Multas epistulas et tractatus morales scripsit.</v>
      </c>
      <c r="J47" t="str">
        <f>_xlfn.XLOOKUP(frasest[[#This Row],[author_es]],autorest[author_es],autorest[iso3691])</f>
        <v>la</v>
      </c>
      <c r="K47" t="str">
        <f>_xlfn.XLOOKUP(frasest[[#This Row],[author_es]],autorest[author_es],autorest[language_es])</f>
        <v>Latín</v>
      </c>
      <c r="L47" t="str">
        <f>_xlfn.XLOOKUP(frasest[[#This Row],[author_es]],autorest[author_es],autorest[language_la])</f>
        <v>Lingua Latina</v>
      </c>
      <c r="M47" t="str">
        <f>_xlfn.XLOOKUP(frasest[[#This Row],[author_es]],autorest[author_es],autorest[nation_es])</f>
        <v>Roma</v>
      </c>
      <c r="N47" t="str">
        <f>_xlfn.XLOOKUP(frasest[[#This Row],[author_es]],autorest[author_es],autorest[nation_la])</f>
        <v>Roma</v>
      </c>
      <c r="O47" t="str">
        <f>_xlfn.XLOOKUP(frasest[[#This Row],[author_es]],autorest[author_es],autorest[age_es])</f>
        <v>Edad Antigua</v>
      </c>
      <c r="P47" t="str">
        <f>_xlfn.XLOOKUP(frasest[[#This Row],[author_es]],autorest[author_es],autorest[age_la])</f>
        <v>Antiquitas</v>
      </c>
      <c r="Q47" t="str">
        <f>_xlfn.XLOOKUP(frasest[[#This Row],[author_es]],autorest[author_es],autorest[image])</f>
        <v>https://i.ibb.co/35c3QS9J/seneca.png</v>
      </c>
      <c r="R47">
        <f>_xlfn.XLOOKUP(frasest[[#This Row],[author_es]],autorest[author_es],autorest[image_atr])</f>
        <v>0</v>
      </c>
    </row>
    <row r="48" spans="1:18">
      <c r="A48">
        <v>47</v>
      </c>
      <c r="B48" t="s">
        <v>170</v>
      </c>
      <c r="C48" t="s">
        <v>171</v>
      </c>
      <c r="D48" t="s">
        <v>171</v>
      </c>
      <c r="E48" t="s">
        <v>172</v>
      </c>
      <c r="F48" t="s">
        <v>173</v>
      </c>
      <c r="G48" t="str">
        <f>_xlfn.XLOOKUP(frasest[[#This Row],[author_es]],autorest[author_es],autorest[author_la])</f>
        <v>Thomas Aquinas</v>
      </c>
      <c r="H48" t="str">
        <f>_xlfn.XLOOKUP(frasest[[#This Row],[author_es]],autorest[author_es],autorest[bio_es])</f>
        <v>Filósofo y teólogo italiano, representante de la Escolástica. Autor de la "Summa Theologica".</v>
      </c>
      <c r="I48" t="str">
        <f>_xlfn.XLOOKUP(frasest[[#This Row],[author_es]],autorest[author_es],autorest[bio_la])</f>
        <v>Philosophus et theologus Italicus, Scholasticae repraesentans. Auctor "Summa Theologica".</v>
      </c>
      <c r="J48" t="str">
        <f>_xlfn.XLOOKUP(frasest[[#This Row],[author_es]],autorest[author_es],autorest[iso3691])</f>
        <v>la</v>
      </c>
      <c r="K48" t="str">
        <f>_xlfn.XLOOKUP(frasest[[#This Row],[author_es]],autorest[author_es],autorest[language_es])</f>
        <v>Latín</v>
      </c>
      <c r="L48" t="str">
        <f>_xlfn.XLOOKUP(frasest[[#This Row],[author_es]],autorest[author_es],autorest[language_la])</f>
        <v>Lingua Latina</v>
      </c>
      <c r="M48" t="str">
        <f>_xlfn.XLOOKUP(frasest[[#This Row],[author_es]],autorest[author_es],autorest[nation_es])</f>
        <v>Italia</v>
      </c>
      <c r="N48" t="str">
        <f>_xlfn.XLOOKUP(frasest[[#This Row],[author_es]],autorest[author_es],autorest[nation_la])</f>
        <v>Italia</v>
      </c>
      <c r="O48" t="str">
        <f>_xlfn.XLOOKUP(frasest[[#This Row],[author_es]],autorest[author_es],autorest[age_es])</f>
        <v>Edad Media</v>
      </c>
      <c r="P48" t="str">
        <f>_xlfn.XLOOKUP(frasest[[#This Row],[author_es]],autorest[author_es],autorest[age_la])</f>
        <v>Medium Aevum</v>
      </c>
      <c r="Q48" t="str">
        <f>_xlfn.XLOOKUP(frasest[[#This Row],[author_es]],autorest[author_es],autorest[image])</f>
        <v>https://i.ibb.co/wG8jHsv/tomasaquino.png</v>
      </c>
      <c r="R48">
        <f>_xlfn.XLOOKUP(frasest[[#This Row],[author_es]],autorest[author_es],autorest[image_atr])</f>
        <v>0</v>
      </c>
    </row>
    <row r="49" spans="1:18">
      <c r="A49">
        <v>48</v>
      </c>
      <c r="B49" t="s">
        <v>174</v>
      </c>
      <c r="C49" t="s">
        <v>175</v>
      </c>
      <c r="D49" t="s">
        <v>175</v>
      </c>
      <c r="E49" t="s">
        <v>172</v>
      </c>
      <c r="F49" t="s">
        <v>176</v>
      </c>
      <c r="G49" t="str">
        <f>_xlfn.XLOOKUP(frasest[[#This Row],[author_es]],autorest[author_es],autorest[author_la])</f>
        <v>Thomas Aquinas</v>
      </c>
      <c r="H49" t="str">
        <f>_xlfn.XLOOKUP(frasest[[#This Row],[author_es]],autorest[author_es],autorest[bio_es])</f>
        <v>Filósofo y teólogo italiano, representante de la Escolástica. Autor de la "Summa Theologica".</v>
      </c>
      <c r="I49" t="str">
        <f>_xlfn.XLOOKUP(frasest[[#This Row],[author_es]],autorest[author_es],autorest[bio_la])</f>
        <v>Philosophus et theologus Italicus, Scholasticae repraesentans. Auctor "Summa Theologica".</v>
      </c>
      <c r="J49" t="str">
        <f>_xlfn.XLOOKUP(frasest[[#This Row],[author_es]],autorest[author_es],autorest[iso3691])</f>
        <v>la</v>
      </c>
      <c r="K49" t="str">
        <f>_xlfn.XLOOKUP(frasest[[#This Row],[author_es]],autorest[author_es],autorest[language_es])</f>
        <v>Latín</v>
      </c>
      <c r="L49" t="str">
        <f>_xlfn.XLOOKUP(frasest[[#This Row],[author_es]],autorest[author_es],autorest[language_la])</f>
        <v>Lingua Latina</v>
      </c>
      <c r="M49" t="str">
        <f>_xlfn.XLOOKUP(frasest[[#This Row],[author_es]],autorest[author_es],autorest[nation_es])</f>
        <v>Italia</v>
      </c>
      <c r="N49" t="str">
        <f>_xlfn.XLOOKUP(frasest[[#This Row],[author_es]],autorest[author_es],autorest[nation_la])</f>
        <v>Italia</v>
      </c>
      <c r="O49" t="str">
        <f>_xlfn.XLOOKUP(frasest[[#This Row],[author_es]],autorest[author_es],autorest[age_es])</f>
        <v>Edad Media</v>
      </c>
      <c r="P49" t="str">
        <f>_xlfn.XLOOKUP(frasest[[#This Row],[author_es]],autorest[author_es],autorest[age_la])</f>
        <v>Medium Aevum</v>
      </c>
      <c r="Q49" t="str">
        <f>_xlfn.XLOOKUP(frasest[[#This Row],[author_es]],autorest[author_es],autorest[image])</f>
        <v>https://i.ibb.co/wG8jHsv/tomasaquino.png</v>
      </c>
      <c r="R49">
        <f>_xlfn.XLOOKUP(frasest[[#This Row],[author_es]],autorest[author_es],autorest[image_atr])</f>
        <v>0</v>
      </c>
    </row>
    <row r="50" spans="1:18">
      <c r="A50">
        <v>49</v>
      </c>
      <c r="B50" t="s">
        <v>177</v>
      </c>
      <c r="C50" t="s">
        <v>178</v>
      </c>
      <c r="D50" t="s">
        <v>178</v>
      </c>
      <c r="E50" t="s">
        <v>172</v>
      </c>
      <c r="F50" t="s">
        <v>179</v>
      </c>
      <c r="G50" t="str">
        <f>_xlfn.XLOOKUP(frasest[[#This Row],[author_es]],autorest[author_es],autorest[author_la])</f>
        <v>Thomas Aquinas</v>
      </c>
      <c r="H50" t="str">
        <f>_xlfn.XLOOKUP(frasest[[#This Row],[author_es]],autorest[author_es],autorest[bio_es])</f>
        <v>Filósofo y teólogo italiano, representante de la Escolástica. Autor de la "Summa Theologica".</v>
      </c>
      <c r="I50" t="str">
        <f>_xlfn.XLOOKUP(frasest[[#This Row],[author_es]],autorest[author_es],autorest[bio_la])</f>
        <v>Philosophus et theologus Italicus, Scholasticae repraesentans. Auctor "Summa Theologica".</v>
      </c>
      <c r="J50" t="str">
        <f>_xlfn.XLOOKUP(frasest[[#This Row],[author_es]],autorest[author_es],autorest[iso3691])</f>
        <v>la</v>
      </c>
      <c r="K50" t="str">
        <f>_xlfn.XLOOKUP(frasest[[#This Row],[author_es]],autorest[author_es],autorest[language_es])</f>
        <v>Latín</v>
      </c>
      <c r="L50" t="str">
        <f>_xlfn.XLOOKUP(frasest[[#This Row],[author_es]],autorest[author_es],autorest[language_la])</f>
        <v>Lingua Latina</v>
      </c>
      <c r="M50" t="str">
        <f>_xlfn.XLOOKUP(frasest[[#This Row],[author_es]],autorest[author_es],autorest[nation_es])</f>
        <v>Italia</v>
      </c>
      <c r="N50" t="str">
        <f>_xlfn.XLOOKUP(frasest[[#This Row],[author_es]],autorest[author_es],autorest[nation_la])</f>
        <v>Italia</v>
      </c>
      <c r="O50" t="str">
        <f>_xlfn.XLOOKUP(frasest[[#This Row],[author_es]],autorest[author_es],autorest[age_es])</f>
        <v>Edad Media</v>
      </c>
      <c r="P50" t="str">
        <f>_xlfn.XLOOKUP(frasest[[#This Row],[author_es]],autorest[author_es],autorest[age_la])</f>
        <v>Medium Aevum</v>
      </c>
      <c r="Q50" t="str">
        <f>_xlfn.XLOOKUP(frasest[[#This Row],[author_es]],autorest[author_es],autorest[image])</f>
        <v>https://i.ibb.co/wG8jHsv/tomasaquino.png</v>
      </c>
      <c r="R50">
        <f>_xlfn.XLOOKUP(frasest[[#This Row],[author_es]],autorest[author_es],autorest[image_atr])</f>
        <v>0</v>
      </c>
    </row>
    <row r="51" spans="1:18">
      <c r="A51">
        <v>50</v>
      </c>
      <c r="B51" t="s">
        <v>180</v>
      </c>
      <c r="C51" t="s">
        <v>181</v>
      </c>
      <c r="D51" t="s">
        <v>181</v>
      </c>
      <c r="E51" t="s">
        <v>172</v>
      </c>
      <c r="F51" t="s">
        <v>182</v>
      </c>
      <c r="G51" t="str">
        <f>_xlfn.XLOOKUP(frasest[[#This Row],[author_es]],autorest[author_es],autorest[author_la])</f>
        <v>Thomas Aquinas</v>
      </c>
      <c r="H51" t="str">
        <f>_xlfn.XLOOKUP(frasest[[#This Row],[author_es]],autorest[author_es],autorest[bio_es])</f>
        <v>Filósofo y teólogo italiano, representante de la Escolástica. Autor de la "Summa Theologica".</v>
      </c>
      <c r="I51" t="str">
        <f>_xlfn.XLOOKUP(frasest[[#This Row],[author_es]],autorest[author_es],autorest[bio_la])</f>
        <v>Philosophus et theologus Italicus, Scholasticae repraesentans. Auctor "Summa Theologica".</v>
      </c>
      <c r="J51" t="str">
        <f>_xlfn.XLOOKUP(frasest[[#This Row],[author_es]],autorest[author_es],autorest[iso3691])</f>
        <v>la</v>
      </c>
      <c r="K51" t="str">
        <f>_xlfn.XLOOKUP(frasest[[#This Row],[author_es]],autorest[author_es],autorest[language_es])</f>
        <v>Latín</v>
      </c>
      <c r="L51" t="str">
        <f>_xlfn.XLOOKUP(frasest[[#This Row],[author_es]],autorest[author_es],autorest[language_la])</f>
        <v>Lingua Latina</v>
      </c>
      <c r="M51" t="str">
        <f>_xlfn.XLOOKUP(frasest[[#This Row],[author_es]],autorest[author_es],autorest[nation_es])</f>
        <v>Italia</v>
      </c>
      <c r="N51" t="str">
        <f>_xlfn.XLOOKUP(frasest[[#This Row],[author_es]],autorest[author_es],autorest[nation_la])</f>
        <v>Italia</v>
      </c>
      <c r="O51" t="str">
        <f>_xlfn.XLOOKUP(frasest[[#This Row],[author_es]],autorest[author_es],autorest[age_es])</f>
        <v>Edad Media</v>
      </c>
      <c r="P51" t="str">
        <f>_xlfn.XLOOKUP(frasest[[#This Row],[author_es]],autorest[author_es],autorest[age_la])</f>
        <v>Medium Aevum</v>
      </c>
      <c r="Q51" t="str">
        <f>_xlfn.XLOOKUP(frasest[[#This Row],[author_es]],autorest[author_es],autorest[image])</f>
        <v>https://i.ibb.co/wG8jHsv/tomasaquino.png</v>
      </c>
      <c r="R51">
        <f>_xlfn.XLOOKUP(frasest[[#This Row],[author_es]],autorest[author_es],autorest[image_atr])</f>
        <v>0</v>
      </c>
    </row>
    <row r="52" spans="1:18">
      <c r="A52">
        <v>51</v>
      </c>
      <c r="B52" t="s">
        <v>183</v>
      </c>
      <c r="C52" t="s">
        <v>184</v>
      </c>
      <c r="D52" t="s">
        <v>184</v>
      </c>
      <c r="E52" t="s">
        <v>172</v>
      </c>
      <c r="F52" t="s">
        <v>185</v>
      </c>
      <c r="G52" t="str">
        <f>_xlfn.XLOOKUP(frasest[[#This Row],[author_es]],autorest[author_es],autorest[author_la])</f>
        <v>Thomas Aquinas</v>
      </c>
      <c r="H52" t="str">
        <f>_xlfn.XLOOKUP(frasest[[#This Row],[author_es]],autorest[author_es],autorest[bio_es])</f>
        <v>Filósofo y teólogo italiano, representante de la Escolástica. Autor de la "Summa Theologica".</v>
      </c>
      <c r="I52" t="str">
        <f>_xlfn.XLOOKUP(frasest[[#This Row],[author_es]],autorest[author_es],autorest[bio_la])</f>
        <v>Philosophus et theologus Italicus, Scholasticae repraesentans. Auctor "Summa Theologica".</v>
      </c>
      <c r="J52" t="str">
        <f>_xlfn.XLOOKUP(frasest[[#This Row],[author_es]],autorest[author_es],autorest[iso3691])</f>
        <v>la</v>
      </c>
      <c r="K52" t="str">
        <f>_xlfn.XLOOKUP(frasest[[#This Row],[author_es]],autorest[author_es],autorest[language_es])</f>
        <v>Latín</v>
      </c>
      <c r="L52" t="str">
        <f>_xlfn.XLOOKUP(frasest[[#This Row],[author_es]],autorest[author_es],autorest[language_la])</f>
        <v>Lingua Latina</v>
      </c>
      <c r="M52" t="str">
        <f>_xlfn.XLOOKUP(frasest[[#This Row],[author_es]],autorest[author_es],autorest[nation_es])</f>
        <v>Italia</v>
      </c>
      <c r="N52" t="str">
        <f>_xlfn.XLOOKUP(frasest[[#This Row],[author_es]],autorest[author_es],autorest[nation_la])</f>
        <v>Italia</v>
      </c>
      <c r="O52" t="str">
        <f>_xlfn.XLOOKUP(frasest[[#This Row],[author_es]],autorest[author_es],autorest[age_es])</f>
        <v>Edad Media</v>
      </c>
      <c r="P52" t="str">
        <f>_xlfn.XLOOKUP(frasest[[#This Row],[author_es]],autorest[author_es],autorest[age_la])</f>
        <v>Medium Aevum</v>
      </c>
      <c r="Q52" t="str">
        <f>_xlfn.XLOOKUP(frasest[[#This Row],[author_es]],autorest[author_es],autorest[image])</f>
        <v>https://i.ibb.co/wG8jHsv/tomasaquino.png</v>
      </c>
      <c r="R52">
        <f>_xlfn.XLOOKUP(frasest[[#This Row],[author_es]],autorest[author_es],autorest[image_atr])</f>
        <v>0</v>
      </c>
    </row>
    <row r="53" spans="1:18">
      <c r="A53">
        <v>52</v>
      </c>
      <c r="B53" t="s">
        <v>186</v>
      </c>
      <c r="C53" t="s">
        <v>187</v>
      </c>
      <c r="D53" t="s">
        <v>188</v>
      </c>
      <c r="E53" t="s">
        <v>189</v>
      </c>
      <c r="F53" t="s">
        <v>190</v>
      </c>
      <c r="G53" t="str">
        <f>_xlfn.XLOOKUP(frasest[[#This Row],[author_es]],autorest[author_es],autorest[author_la])</f>
        <v>Friedrich Nietzsche</v>
      </c>
      <c r="H53" t="str">
        <f>_xlfn.XLOOKUP(frasest[[#This Row],[author_es]],autorest[author_es],autorest[bio_es])</f>
        <v>Filósofo, poeta y filólogo alemán. Autor de obras como "Así habló Zaratustra" y "Más allá del bien y del mal".</v>
      </c>
      <c r="I53" t="str">
        <f>_xlfn.XLOOKUP(frasest[[#This Row],[author_es]],autorest[author_es],autorest[bio_la])</f>
        <v>Philosophus, poeta et philologus Germanicus, auctor operum ut "Ita loquutus est Zarathustra" et "Ultra bonum et malum".</v>
      </c>
      <c r="J53" t="str">
        <f>_xlfn.XLOOKUP(frasest[[#This Row],[author_es]],autorest[author_es],autorest[iso3691])</f>
        <v>de</v>
      </c>
      <c r="K53" t="str">
        <f>_xlfn.XLOOKUP(frasest[[#This Row],[author_es]],autorest[author_es],autorest[language_es])</f>
        <v>Alemán</v>
      </c>
      <c r="L53" t="str">
        <f>_xlfn.XLOOKUP(frasest[[#This Row],[author_es]],autorest[author_es],autorest[language_la])</f>
        <v>Lingua Germanica</v>
      </c>
      <c r="M53" t="str">
        <f>_xlfn.XLOOKUP(frasest[[#This Row],[author_es]],autorest[author_es],autorest[nation_es])</f>
        <v>Alemania</v>
      </c>
      <c r="N53" t="str">
        <f>_xlfn.XLOOKUP(frasest[[#This Row],[author_es]],autorest[author_es],autorest[nation_la])</f>
        <v>Germania</v>
      </c>
      <c r="O53" t="str">
        <f>_xlfn.XLOOKUP(frasest[[#This Row],[author_es]],autorest[author_es],autorest[age_es])</f>
        <v>Edad Contemporánea</v>
      </c>
      <c r="P53" t="str">
        <f>_xlfn.XLOOKUP(frasest[[#This Row],[author_es]],autorest[author_es],autorest[age_la])</f>
        <v>Aetas Contemporanea</v>
      </c>
      <c r="Q53" t="str">
        <f>_xlfn.XLOOKUP(frasest[[#This Row],[author_es]],autorest[author_es],autorest[image])</f>
        <v>https://i.ibb.co/N6jnVDp7/nietzsche.png</v>
      </c>
      <c r="R53">
        <f>_xlfn.XLOOKUP(frasest[[#This Row],[author_es]],autorest[author_es],autorest[image_atr])</f>
        <v>0</v>
      </c>
    </row>
    <row r="54" spans="1:18">
      <c r="A54">
        <v>53</v>
      </c>
      <c r="B54" t="s">
        <v>191</v>
      </c>
      <c r="C54" t="s">
        <v>192</v>
      </c>
      <c r="D54" t="s">
        <v>193</v>
      </c>
      <c r="E54" t="s">
        <v>189</v>
      </c>
      <c r="F54" t="s">
        <v>194</v>
      </c>
      <c r="G54" t="str">
        <f>_xlfn.XLOOKUP(frasest[[#This Row],[author_es]],autorest[author_es],autorest[author_la])</f>
        <v>Friedrich Nietzsche</v>
      </c>
      <c r="H54" t="str">
        <f>_xlfn.XLOOKUP(frasest[[#This Row],[author_es]],autorest[author_es],autorest[bio_es])</f>
        <v>Filósofo, poeta y filólogo alemán. Autor de obras como "Así habló Zaratustra" y "Más allá del bien y del mal".</v>
      </c>
      <c r="I54" t="str">
        <f>_xlfn.XLOOKUP(frasest[[#This Row],[author_es]],autorest[author_es],autorest[bio_la])</f>
        <v>Philosophus, poeta et philologus Germanicus, auctor operum ut "Ita loquutus est Zarathustra" et "Ultra bonum et malum".</v>
      </c>
      <c r="J54" t="str">
        <f>_xlfn.XLOOKUP(frasest[[#This Row],[author_es]],autorest[author_es],autorest[iso3691])</f>
        <v>de</v>
      </c>
      <c r="K54" t="str">
        <f>_xlfn.XLOOKUP(frasest[[#This Row],[author_es]],autorest[author_es],autorest[language_es])</f>
        <v>Alemán</v>
      </c>
      <c r="L54" t="str">
        <f>_xlfn.XLOOKUP(frasest[[#This Row],[author_es]],autorest[author_es],autorest[language_la])</f>
        <v>Lingua Germanica</v>
      </c>
      <c r="M54" t="str">
        <f>_xlfn.XLOOKUP(frasest[[#This Row],[author_es]],autorest[author_es],autorest[nation_es])</f>
        <v>Alemania</v>
      </c>
      <c r="N54" t="str">
        <f>_xlfn.XLOOKUP(frasest[[#This Row],[author_es]],autorest[author_es],autorest[nation_la])</f>
        <v>Germania</v>
      </c>
      <c r="O54" t="str">
        <f>_xlfn.XLOOKUP(frasest[[#This Row],[author_es]],autorest[author_es],autorest[age_es])</f>
        <v>Edad Contemporánea</v>
      </c>
      <c r="P54" t="str">
        <f>_xlfn.XLOOKUP(frasest[[#This Row],[author_es]],autorest[author_es],autorest[age_la])</f>
        <v>Aetas Contemporanea</v>
      </c>
      <c r="Q54" t="str">
        <f>_xlfn.XLOOKUP(frasest[[#This Row],[author_es]],autorest[author_es],autorest[image])</f>
        <v>https://i.ibb.co/N6jnVDp7/nietzsche.png</v>
      </c>
      <c r="R54">
        <f>_xlfn.XLOOKUP(frasest[[#This Row],[author_es]],autorest[author_es],autorest[image_atr])</f>
        <v>0</v>
      </c>
    </row>
    <row r="55" spans="1:18">
      <c r="A55">
        <v>54</v>
      </c>
      <c r="B55" t="s">
        <v>195</v>
      </c>
      <c r="C55" t="s">
        <v>196</v>
      </c>
      <c r="D55" t="s">
        <v>197</v>
      </c>
      <c r="E55" t="s">
        <v>189</v>
      </c>
      <c r="F55" t="s">
        <v>198</v>
      </c>
      <c r="G55" t="str">
        <f>_xlfn.XLOOKUP(frasest[[#This Row],[author_es]],autorest[author_es],autorest[author_la])</f>
        <v>Friedrich Nietzsche</v>
      </c>
      <c r="H55" t="str">
        <f>_xlfn.XLOOKUP(frasest[[#This Row],[author_es]],autorest[author_es],autorest[bio_es])</f>
        <v>Filósofo, poeta y filólogo alemán. Autor de obras como "Así habló Zaratustra" y "Más allá del bien y del mal".</v>
      </c>
      <c r="I55" t="str">
        <f>_xlfn.XLOOKUP(frasest[[#This Row],[author_es]],autorest[author_es],autorest[bio_la])</f>
        <v>Philosophus, poeta et philologus Germanicus, auctor operum ut "Ita loquutus est Zarathustra" et "Ultra bonum et malum".</v>
      </c>
      <c r="J55" t="str">
        <f>_xlfn.XLOOKUP(frasest[[#This Row],[author_es]],autorest[author_es],autorest[iso3691])</f>
        <v>de</v>
      </c>
      <c r="K55" t="str">
        <f>_xlfn.XLOOKUP(frasest[[#This Row],[author_es]],autorest[author_es],autorest[language_es])</f>
        <v>Alemán</v>
      </c>
      <c r="L55" t="str">
        <f>_xlfn.XLOOKUP(frasest[[#This Row],[author_es]],autorest[author_es],autorest[language_la])</f>
        <v>Lingua Germanica</v>
      </c>
      <c r="M55" t="str">
        <f>_xlfn.XLOOKUP(frasest[[#This Row],[author_es]],autorest[author_es],autorest[nation_es])</f>
        <v>Alemania</v>
      </c>
      <c r="N55" t="str">
        <f>_xlfn.XLOOKUP(frasest[[#This Row],[author_es]],autorest[author_es],autorest[nation_la])</f>
        <v>Germania</v>
      </c>
      <c r="O55" t="str">
        <f>_xlfn.XLOOKUP(frasest[[#This Row],[author_es]],autorest[author_es],autorest[age_es])</f>
        <v>Edad Contemporánea</v>
      </c>
      <c r="P55" t="str">
        <f>_xlfn.XLOOKUP(frasest[[#This Row],[author_es]],autorest[author_es],autorest[age_la])</f>
        <v>Aetas Contemporanea</v>
      </c>
      <c r="Q55" t="str">
        <f>_xlfn.XLOOKUP(frasest[[#This Row],[author_es]],autorest[author_es],autorest[image])</f>
        <v>https://i.ibb.co/N6jnVDp7/nietzsche.png</v>
      </c>
      <c r="R55">
        <f>_xlfn.XLOOKUP(frasest[[#This Row],[author_es]],autorest[author_es],autorest[image_atr])</f>
        <v>0</v>
      </c>
    </row>
    <row r="56" spans="1:18">
      <c r="A56">
        <v>55</v>
      </c>
      <c r="B56" t="s">
        <v>199</v>
      </c>
      <c r="C56" t="s">
        <v>200</v>
      </c>
      <c r="D56" t="s">
        <v>201</v>
      </c>
      <c r="E56" t="s">
        <v>189</v>
      </c>
      <c r="F56" t="s">
        <v>202</v>
      </c>
      <c r="G56" t="str">
        <f>_xlfn.XLOOKUP(frasest[[#This Row],[author_es]],autorest[author_es],autorest[author_la])</f>
        <v>Friedrich Nietzsche</v>
      </c>
      <c r="H56" t="str">
        <f>_xlfn.XLOOKUP(frasest[[#This Row],[author_es]],autorest[author_es],autorest[bio_es])</f>
        <v>Filósofo, poeta y filólogo alemán. Autor de obras como "Así habló Zaratustra" y "Más allá del bien y del mal".</v>
      </c>
      <c r="I56" t="str">
        <f>_xlfn.XLOOKUP(frasest[[#This Row],[author_es]],autorest[author_es],autorest[bio_la])</f>
        <v>Philosophus, poeta et philologus Germanicus, auctor operum ut "Ita loquutus est Zarathustra" et "Ultra bonum et malum".</v>
      </c>
      <c r="J56" t="str">
        <f>_xlfn.XLOOKUP(frasest[[#This Row],[author_es]],autorest[author_es],autorest[iso3691])</f>
        <v>de</v>
      </c>
      <c r="K56" t="str">
        <f>_xlfn.XLOOKUP(frasest[[#This Row],[author_es]],autorest[author_es],autorest[language_es])</f>
        <v>Alemán</v>
      </c>
      <c r="L56" t="str">
        <f>_xlfn.XLOOKUP(frasest[[#This Row],[author_es]],autorest[author_es],autorest[language_la])</f>
        <v>Lingua Germanica</v>
      </c>
      <c r="M56" t="str">
        <f>_xlfn.XLOOKUP(frasest[[#This Row],[author_es]],autorest[author_es],autorest[nation_es])</f>
        <v>Alemania</v>
      </c>
      <c r="N56" t="str">
        <f>_xlfn.XLOOKUP(frasest[[#This Row],[author_es]],autorest[author_es],autorest[nation_la])</f>
        <v>Germania</v>
      </c>
      <c r="O56" t="str">
        <f>_xlfn.XLOOKUP(frasest[[#This Row],[author_es]],autorest[author_es],autorest[age_es])</f>
        <v>Edad Contemporánea</v>
      </c>
      <c r="P56" t="str">
        <f>_xlfn.XLOOKUP(frasest[[#This Row],[author_es]],autorest[author_es],autorest[age_la])</f>
        <v>Aetas Contemporanea</v>
      </c>
      <c r="Q56" t="str">
        <f>_xlfn.XLOOKUP(frasest[[#This Row],[author_es]],autorest[author_es],autorest[image])</f>
        <v>https://i.ibb.co/N6jnVDp7/nietzsche.png</v>
      </c>
      <c r="R56">
        <f>_xlfn.XLOOKUP(frasest[[#This Row],[author_es]],autorest[author_es],autorest[image_atr])</f>
        <v>0</v>
      </c>
    </row>
    <row r="57" spans="1:18">
      <c r="A57">
        <v>56</v>
      </c>
      <c r="B57" t="s">
        <v>203</v>
      </c>
      <c r="C57" t="s">
        <v>204</v>
      </c>
      <c r="D57" t="s">
        <v>205</v>
      </c>
      <c r="E57" t="s">
        <v>189</v>
      </c>
      <c r="F57" t="s">
        <v>206</v>
      </c>
      <c r="G57" t="str">
        <f>_xlfn.XLOOKUP(frasest[[#This Row],[author_es]],autorest[author_es],autorest[author_la])</f>
        <v>Friedrich Nietzsche</v>
      </c>
      <c r="H57" t="str">
        <f>_xlfn.XLOOKUP(frasest[[#This Row],[author_es]],autorest[author_es],autorest[bio_es])</f>
        <v>Filósofo, poeta y filólogo alemán. Autor de obras como "Así habló Zaratustra" y "Más allá del bien y del mal".</v>
      </c>
      <c r="I57" t="str">
        <f>_xlfn.XLOOKUP(frasest[[#This Row],[author_es]],autorest[author_es],autorest[bio_la])</f>
        <v>Philosophus, poeta et philologus Germanicus, auctor operum ut "Ita loquutus est Zarathustra" et "Ultra bonum et malum".</v>
      </c>
      <c r="J57" t="str">
        <f>_xlfn.XLOOKUP(frasest[[#This Row],[author_es]],autorest[author_es],autorest[iso3691])</f>
        <v>de</v>
      </c>
      <c r="K57" t="str">
        <f>_xlfn.XLOOKUP(frasest[[#This Row],[author_es]],autorest[author_es],autorest[language_es])</f>
        <v>Alemán</v>
      </c>
      <c r="L57" t="str">
        <f>_xlfn.XLOOKUP(frasest[[#This Row],[author_es]],autorest[author_es],autorest[language_la])</f>
        <v>Lingua Germanica</v>
      </c>
      <c r="M57" t="str">
        <f>_xlfn.XLOOKUP(frasest[[#This Row],[author_es]],autorest[author_es],autorest[nation_es])</f>
        <v>Alemania</v>
      </c>
      <c r="N57" t="str">
        <f>_xlfn.XLOOKUP(frasest[[#This Row],[author_es]],autorest[author_es],autorest[nation_la])</f>
        <v>Germania</v>
      </c>
      <c r="O57" t="str">
        <f>_xlfn.XLOOKUP(frasest[[#This Row],[author_es]],autorest[author_es],autorest[age_es])</f>
        <v>Edad Contemporánea</v>
      </c>
      <c r="P57" t="str">
        <f>_xlfn.XLOOKUP(frasest[[#This Row],[author_es]],autorest[author_es],autorest[age_la])</f>
        <v>Aetas Contemporanea</v>
      </c>
      <c r="Q57" t="str">
        <f>_xlfn.XLOOKUP(frasest[[#This Row],[author_es]],autorest[author_es],autorest[image])</f>
        <v>https://i.ibb.co/N6jnVDp7/nietzsche.png</v>
      </c>
      <c r="R57">
        <f>_xlfn.XLOOKUP(frasest[[#This Row],[author_es]],autorest[author_es],autorest[image_atr])</f>
        <v>0</v>
      </c>
    </row>
    <row r="58" spans="1:18">
      <c r="A58">
        <v>57</v>
      </c>
      <c r="B58" t="s">
        <v>207</v>
      </c>
      <c r="C58" t="s">
        <v>208</v>
      </c>
      <c r="D58" t="s">
        <v>209</v>
      </c>
      <c r="E58" t="s">
        <v>210</v>
      </c>
      <c r="F58" t="s">
        <v>211</v>
      </c>
      <c r="G58" t="str">
        <f>_xlfn.XLOOKUP(frasest[[#This Row],[author_es]],autorest[author_es],autorest[author_la])</f>
        <v>Gilbert Keith Chesterton</v>
      </c>
      <c r="H58" t="str">
        <f>_xlfn.XLOOKUP(frasest[[#This Row],[author_es]],autorest[author_es],autorest[bio_es])</f>
        <v>Escritor, poeta, filósofo y periodista inglés. Famoso por sus ensayos, cuentos de misterio y defensa del cristianismo.</v>
      </c>
      <c r="I58" t="str">
        <f>_xlfn.XLOOKUP(frasest[[#This Row],[author_es]],autorest[author_es],autorest[bio_la])</f>
        <v>Scriba, poeta, philosophus et diurnarius Anglicus. Notus pro essayis, fabulis mysteriis et Christianismi defensione.</v>
      </c>
      <c r="J58" t="str">
        <f>_xlfn.XLOOKUP(frasest[[#This Row],[author_es]],autorest[author_es],autorest[iso3691])</f>
        <v>en</v>
      </c>
      <c r="K58" t="str">
        <f>_xlfn.XLOOKUP(frasest[[#This Row],[author_es]],autorest[author_es],autorest[language_es])</f>
        <v>Inglés</v>
      </c>
      <c r="L58" t="str">
        <f>_xlfn.XLOOKUP(frasest[[#This Row],[author_es]],autorest[author_es],autorest[language_la])</f>
        <v>Lingua Anglica</v>
      </c>
      <c r="M58" t="str">
        <f>_xlfn.XLOOKUP(frasest[[#This Row],[author_es]],autorest[author_es],autorest[nation_es])</f>
        <v>Reino Unido</v>
      </c>
      <c r="N58" t="str">
        <f>_xlfn.XLOOKUP(frasest[[#This Row],[author_es]],autorest[author_es],autorest[nation_la])</f>
        <v>Regnum Unitum</v>
      </c>
      <c r="O58" t="str">
        <f>_xlfn.XLOOKUP(frasest[[#This Row],[author_es]],autorest[author_es],autorest[age_es])</f>
        <v>Edad Contemporánea</v>
      </c>
      <c r="P58" t="str">
        <f>_xlfn.XLOOKUP(frasest[[#This Row],[author_es]],autorest[author_es],autorest[age_la])</f>
        <v>Aetas Contemporanea</v>
      </c>
      <c r="Q58" t="str">
        <f>_xlfn.XLOOKUP(frasest[[#This Row],[author_es]],autorest[author_es],autorest[image])</f>
        <v>https://i.ibb.co/9mGNtTcT/chesterton.png</v>
      </c>
      <c r="R58">
        <f>_xlfn.XLOOKUP(frasest[[#This Row],[author_es]],autorest[author_es],autorest[image_atr])</f>
        <v>0</v>
      </c>
    </row>
    <row r="59" spans="1:18">
      <c r="A59">
        <v>58</v>
      </c>
      <c r="B59" t="s">
        <v>212</v>
      </c>
      <c r="C59" t="s">
        <v>213</v>
      </c>
      <c r="D59" t="s">
        <v>214</v>
      </c>
      <c r="E59" t="s">
        <v>210</v>
      </c>
      <c r="F59" t="s">
        <v>215</v>
      </c>
      <c r="G59" t="str">
        <f>_xlfn.XLOOKUP(frasest[[#This Row],[author_es]],autorest[author_es],autorest[author_la])</f>
        <v>Gilbert Keith Chesterton</v>
      </c>
      <c r="H59" t="str">
        <f>_xlfn.XLOOKUP(frasest[[#This Row],[author_es]],autorest[author_es],autorest[bio_es])</f>
        <v>Escritor, poeta, filósofo y periodista inglés. Famoso por sus ensayos, cuentos de misterio y defensa del cristianismo.</v>
      </c>
      <c r="I59" t="str">
        <f>_xlfn.XLOOKUP(frasest[[#This Row],[author_es]],autorest[author_es],autorest[bio_la])</f>
        <v>Scriba, poeta, philosophus et diurnarius Anglicus. Notus pro essayis, fabulis mysteriis et Christianismi defensione.</v>
      </c>
      <c r="J59" t="str">
        <f>_xlfn.XLOOKUP(frasest[[#This Row],[author_es]],autorest[author_es],autorest[iso3691])</f>
        <v>en</v>
      </c>
      <c r="K59" t="str">
        <f>_xlfn.XLOOKUP(frasest[[#This Row],[author_es]],autorest[author_es],autorest[language_es])</f>
        <v>Inglés</v>
      </c>
      <c r="L59" t="str">
        <f>_xlfn.XLOOKUP(frasest[[#This Row],[author_es]],autorest[author_es],autorest[language_la])</f>
        <v>Lingua Anglica</v>
      </c>
      <c r="M59" t="str">
        <f>_xlfn.XLOOKUP(frasest[[#This Row],[author_es]],autorest[author_es],autorest[nation_es])</f>
        <v>Reino Unido</v>
      </c>
      <c r="N59" t="str">
        <f>_xlfn.XLOOKUP(frasest[[#This Row],[author_es]],autorest[author_es],autorest[nation_la])</f>
        <v>Regnum Unitum</v>
      </c>
      <c r="O59" t="str">
        <f>_xlfn.XLOOKUP(frasest[[#This Row],[author_es]],autorest[author_es],autorest[age_es])</f>
        <v>Edad Contemporánea</v>
      </c>
      <c r="P59" t="str">
        <f>_xlfn.XLOOKUP(frasest[[#This Row],[author_es]],autorest[author_es],autorest[age_la])</f>
        <v>Aetas Contemporanea</v>
      </c>
      <c r="Q59" t="str">
        <f>_xlfn.XLOOKUP(frasest[[#This Row],[author_es]],autorest[author_es],autorest[image])</f>
        <v>https://i.ibb.co/9mGNtTcT/chesterton.png</v>
      </c>
      <c r="R59">
        <f>_xlfn.XLOOKUP(frasest[[#This Row],[author_es]],autorest[author_es],autorest[image_atr])</f>
        <v>0</v>
      </c>
    </row>
    <row r="60" spans="1:18">
      <c r="A60">
        <v>59</v>
      </c>
      <c r="B60" t="s">
        <v>216</v>
      </c>
      <c r="C60" t="s">
        <v>217</v>
      </c>
      <c r="D60" t="s">
        <v>218</v>
      </c>
      <c r="E60" t="s">
        <v>210</v>
      </c>
      <c r="F60" t="s">
        <v>211</v>
      </c>
      <c r="G60" t="str">
        <f>_xlfn.XLOOKUP(frasest[[#This Row],[author_es]],autorest[author_es],autorest[author_la])</f>
        <v>Gilbert Keith Chesterton</v>
      </c>
      <c r="H60" t="str">
        <f>_xlfn.XLOOKUP(frasest[[#This Row],[author_es]],autorest[author_es],autorest[bio_es])</f>
        <v>Escritor, poeta, filósofo y periodista inglés. Famoso por sus ensayos, cuentos de misterio y defensa del cristianismo.</v>
      </c>
      <c r="I60" t="str">
        <f>_xlfn.XLOOKUP(frasest[[#This Row],[author_es]],autorest[author_es],autorest[bio_la])</f>
        <v>Scriba, poeta, philosophus et diurnarius Anglicus. Notus pro essayis, fabulis mysteriis et Christianismi defensione.</v>
      </c>
      <c r="J60" t="str">
        <f>_xlfn.XLOOKUP(frasest[[#This Row],[author_es]],autorest[author_es],autorest[iso3691])</f>
        <v>en</v>
      </c>
      <c r="K60" t="str">
        <f>_xlfn.XLOOKUP(frasest[[#This Row],[author_es]],autorest[author_es],autorest[language_es])</f>
        <v>Inglés</v>
      </c>
      <c r="L60" t="str">
        <f>_xlfn.XLOOKUP(frasest[[#This Row],[author_es]],autorest[author_es],autorest[language_la])</f>
        <v>Lingua Anglica</v>
      </c>
      <c r="M60" t="str">
        <f>_xlfn.XLOOKUP(frasest[[#This Row],[author_es]],autorest[author_es],autorest[nation_es])</f>
        <v>Reino Unido</v>
      </c>
      <c r="N60" t="str">
        <f>_xlfn.XLOOKUP(frasest[[#This Row],[author_es]],autorest[author_es],autorest[nation_la])</f>
        <v>Regnum Unitum</v>
      </c>
      <c r="O60" t="str">
        <f>_xlfn.XLOOKUP(frasest[[#This Row],[author_es]],autorest[author_es],autorest[age_es])</f>
        <v>Edad Contemporánea</v>
      </c>
      <c r="P60" t="str">
        <f>_xlfn.XLOOKUP(frasest[[#This Row],[author_es]],autorest[author_es],autorest[age_la])</f>
        <v>Aetas Contemporanea</v>
      </c>
      <c r="Q60" t="str">
        <f>_xlfn.XLOOKUP(frasest[[#This Row],[author_es]],autorest[author_es],autorest[image])</f>
        <v>https://i.ibb.co/9mGNtTcT/chesterton.png</v>
      </c>
      <c r="R60">
        <f>_xlfn.XLOOKUP(frasest[[#This Row],[author_es]],autorest[author_es],autorest[image_atr])</f>
        <v>0</v>
      </c>
    </row>
    <row r="61" spans="1:18">
      <c r="A61">
        <v>60</v>
      </c>
      <c r="B61" t="s">
        <v>219</v>
      </c>
      <c r="C61" t="s">
        <v>220</v>
      </c>
      <c r="D61" t="s">
        <v>221</v>
      </c>
      <c r="E61" t="s">
        <v>210</v>
      </c>
      <c r="F61" t="s">
        <v>222</v>
      </c>
      <c r="G61" t="str">
        <f>_xlfn.XLOOKUP(frasest[[#This Row],[author_es]],autorest[author_es],autorest[author_la])</f>
        <v>Gilbert Keith Chesterton</v>
      </c>
      <c r="H61" t="str">
        <f>_xlfn.XLOOKUP(frasest[[#This Row],[author_es]],autorest[author_es],autorest[bio_es])</f>
        <v>Escritor, poeta, filósofo y periodista inglés. Famoso por sus ensayos, cuentos de misterio y defensa del cristianismo.</v>
      </c>
      <c r="I61" t="str">
        <f>_xlfn.XLOOKUP(frasest[[#This Row],[author_es]],autorest[author_es],autorest[bio_la])</f>
        <v>Scriba, poeta, philosophus et diurnarius Anglicus. Notus pro essayis, fabulis mysteriis et Christianismi defensione.</v>
      </c>
      <c r="J61" t="str">
        <f>_xlfn.XLOOKUP(frasest[[#This Row],[author_es]],autorest[author_es],autorest[iso3691])</f>
        <v>en</v>
      </c>
      <c r="K61" t="str">
        <f>_xlfn.XLOOKUP(frasest[[#This Row],[author_es]],autorest[author_es],autorest[language_es])</f>
        <v>Inglés</v>
      </c>
      <c r="L61" t="str">
        <f>_xlfn.XLOOKUP(frasest[[#This Row],[author_es]],autorest[author_es],autorest[language_la])</f>
        <v>Lingua Anglica</v>
      </c>
      <c r="M61" t="str">
        <f>_xlfn.XLOOKUP(frasest[[#This Row],[author_es]],autorest[author_es],autorest[nation_es])</f>
        <v>Reino Unido</v>
      </c>
      <c r="N61" t="str">
        <f>_xlfn.XLOOKUP(frasest[[#This Row],[author_es]],autorest[author_es],autorest[nation_la])</f>
        <v>Regnum Unitum</v>
      </c>
      <c r="O61" t="str">
        <f>_xlfn.XLOOKUP(frasest[[#This Row],[author_es]],autorest[author_es],autorest[age_es])</f>
        <v>Edad Contemporánea</v>
      </c>
      <c r="P61" t="str">
        <f>_xlfn.XLOOKUP(frasest[[#This Row],[author_es]],autorest[author_es],autorest[age_la])</f>
        <v>Aetas Contemporanea</v>
      </c>
      <c r="Q61" t="str">
        <f>_xlfn.XLOOKUP(frasest[[#This Row],[author_es]],autorest[author_es],autorest[image])</f>
        <v>https://i.ibb.co/9mGNtTcT/chesterton.png</v>
      </c>
      <c r="R61">
        <f>_xlfn.XLOOKUP(frasest[[#This Row],[author_es]],autorest[author_es],autorest[image_atr])</f>
        <v>0</v>
      </c>
    </row>
    <row r="62" spans="1:18">
      <c r="A62">
        <v>61</v>
      </c>
      <c r="B62" t="s">
        <v>223</v>
      </c>
      <c r="C62" t="s">
        <v>224</v>
      </c>
      <c r="D62" t="s">
        <v>225</v>
      </c>
      <c r="E62" t="s">
        <v>210</v>
      </c>
      <c r="F62" t="s">
        <v>226</v>
      </c>
      <c r="G62" t="str">
        <f>_xlfn.XLOOKUP(frasest[[#This Row],[author_es]],autorest[author_es],autorest[author_la])</f>
        <v>Gilbert Keith Chesterton</v>
      </c>
      <c r="H62" t="str">
        <f>_xlfn.XLOOKUP(frasest[[#This Row],[author_es]],autorest[author_es],autorest[bio_es])</f>
        <v>Escritor, poeta, filósofo y periodista inglés. Famoso por sus ensayos, cuentos de misterio y defensa del cristianismo.</v>
      </c>
      <c r="I62" t="str">
        <f>_xlfn.XLOOKUP(frasest[[#This Row],[author_es]],autorest[author_es],autorest[bio_la])</f>
        <v>Scriba, poeta, philosophus et diurnarius Anglicus. Notus pro essayis, fabulis mysteriis et Christianismi defensione.</v>
      </c>
      <c r="J62" t="str">
        <f>_xlfn.XLOOKUP(frasest[[#This Row],[author_es]],autorest[author_es],autorest[iso3691])</f>
        <v>en</v>
      </c>
      <c r="K62" t="str">
        <f>_xlfn.XLOOKUP(frasest[[#This Row],[author_es]],autorest[author_es],autorest[language_es])</f>
        <v>Inglés</v>
      </c>
      <c r="L62" t="str">
        <f>_xlfn.XLOOKUP(frasest[[#This Row],[author_es]],autorest[author_es],autorest[language_la])</f>
        <v>Lingua Anglica</v>
      </c>
      <c r="M62" t="str">
        <f>_xlfn.XLOOKUP(frasest[[#This Row],[author_es]],autorest[author_es],autorest[nation_es])</f>
        <v>Reino Unido</v>
      </c>
      <c r="N62" t="str">
        <f>_xlfn.XLOOKUP(frasest[[#This Row],[author_es]],autorest[author_es],autorest[nation_la])</f>
        <v>Regnum Unitum</v>
      </c>
      <c r="O62" t="str">
        <f>_xlfn.XLOOKUP(frasest[[#This Row],[author_es]],autorest[author_es],autorest[age_es])</f>
        <v>Edad Contemporánea</v>
      </c>
      <c r="P62" t="str">
        <f>_xlfn.XLOOKUP(frasest[[#This Row],[author_es]],autorest[author_es],autorest[age_la])</f>
        <v>Aetas Contemporanea</v>
      </c>
      <c r="Q62" t="str">
        <f>_xlfn.XLOOKUP(frasest[[#This Row],[author_es]],autorest[author_es],autorest[image])</f>
        <v>https://i.ibb.co/9mGNtTcT/chesterton.png</v>
      </c>
      <c r="R62">
        <f>_xlfn.XLOOKUP(frasest[[#This Row],[author_es]],autorest[author_es],autorest[image_atr])</f>
        <v>0</v>
      </c>
    </row>
    <row r="63" spans="1:18">
      <c r="A63">
        <v>62</v>
      </c>
      <c r="B63" t="s">
        <v>227</v>
      </c>
      <c r="C63" t="s">
        <v>228</v>
      </c>
      <c r="D63" t="s">
        <v>229</v>
      </c>
      <c r="E63" t="s">
        <v>230</v>
      </c>
      <c r="F63" t="s">
        <v>231</v>
      </c>
      <c r="G63" t="str">
        <f>_xlfn.XLOOKUP(frasest[[#This Row],[author_es]],autorest[author_es],autorest[author_la])</f>
        <v>Ioannes Paulus II</v>
      </c>
      <c r="H63" t="str">
        <f>_xlfn.XLOOKUP(frasest[[#This Row],[author_es]],autorest[author_es],autorest[bio_es])</f>
        <v>Papa de la Iglesia Católica desde 1978 hasta 2005. Destacado por su labor pastoral, defensa de la vida y los derechos humanos.</v>
      </c>
      <c r="I63" t="str">
        <f>_xlfn.XLOOKUP(frasest[[#This Row],[author_es]],autorest[author_es],autorest[bio_la])</f>
        <v>Papa Ecclesiae Catholicae ab anno 1978 usque 2005. Labor pastoral, vitae tutela et iura humana praecipuus.</v>
      </c>
      <c r="J63" t="str">
        <f>_xlfn.XLOOKUP(frasest[[#This Row],[author_es]],autorest[author_es],autorest[iso3691])</f>
        <v>la</v>
      </c>
      <c r="K63" t="str">
        <f>_xlfn.XLOOKUP(frasest[[#This Row],[author_es]],autorest[author_es],autorest[language_es])</f>
        <v>Latín</v>
      </c>
      <c r="L63" t="str">
        <f>_xlfn.XLOOKUP(frasest[[#This Row],[author_es]],autorest[author_es],autorest[language_la])</f>
        <v>Lingua Latina</v>
      </c>
      <c r="M63" t="str">
        <f>_xlfn.XLOOKUP(frasest[[#This Row],[author_es]],autorest[author_es],autorest[nation_es])</f>
        <v>Polonia</v>
      </c>
      <c r="N63" t="str">
        <f>_xlfn.XLOOKUP(frasest[[#This Row],[author_es]],autorest[author_es],autorest[nation_la])</f>
        <v>Polonia</v>
      </c>
      <c r="O63" t="str">
        <f>_xlfn.XLOOKUP(frasest[[#This Row],[author_es]],autorest[author_es],autorest[age_es])</f>
        <v>Edad Contemporánea</v>
      </c>
      <c r="P63" t="str">
        <f>_xlfn.XLOOKUP(frasest[[#This Row],[author_es]],autorest[author_es],autorest[age_la])</f>
        <v>Aetas Contemporanea</v>
      </c>
      <c r="Q63" t="str">
        <f>_xlfn.XLOOKUP(frasest[[#This Row],[author_es]],autorest[author_es],autorest[image])</f>
        <v>https://i.ibb.co/tMz7wVTz/juanpabloii.png</v>
      </c>
      <c r="R63">
        <f>_xlfn.XLOOKUP(frasest[[#This Row],[author_es]],autorest[author_es],autorest[image_atr])</f>
        <v>0</v>
      </c>
    </row>
    <row r="64" spans="1:18">
      <c r="A64">
        <v>63</v>
      </c>
      <c r="B64" t="s">
        <v>232</v>
      </c>
      <c r="C64" t="s">
        <v>233</v>
      </c>
      <c r="D64" t="s">
        <v>233</v>
      </c>
      <c r="E64" t="s">
        <v>230</v>
      </c>
      <c r="F64" t="s">
        <v>234</v>
      </c>
      <c r="G64" t="str">
        <f>_xlfn.XLOOKUP(frasest[[#This Row],[author_es]],autorest[author_es],autorest[author_la])</f>
        <v>Ioannes Paulus II</v>
      </c>
      <c r="H64" t="str">
        <f>_xlfn.XLOOKUP(frasest[[#This Row],[author_es]],autorest[author_es],autorest[bio_es])</f>
        <v>Papa de la Iglesia Católica desde 1978 hasta 2005. Destacado por su labor pastoral, defensa de la vida y los derechos humanos.</v>
      </c>
      <c r="I64" t="str">
        <f>_xlfn.XLOOKUP(frasest[[#This Row],[author_es]],autorest[author_es],autorest[bio_la])</f>
        <v>Papa Ecclesiae Catholicae ab anno 1978 usque 2005. Labor pastoral, vitae tutela et iura humana praecipuus.</v>
      </c>
      <c r="J64" t="str">
        <f>_xlfn.XLOOKUP(frasest[[#This Row],[author_es]],autorest[author_es],autorest[iso3691])</f>
        <v>la</v>
      </c>
      <c r="K64" t="str">
        <f>_xlfn.XLOOKUP(frasest[[#This Row],[author_es]],autorest[author_es],autorest[language_es])</f>
        <v>Latín</v>
      </c>
      <c r="L64" t="str">
        <f>_xlfn.XLOOKUP(frasest[[#This Row],[author_es]],autorest[author_es],autorest[language_la])</f>
        <v>Lingua Latina</v>
      </c>
      <c r="M64" t="str">
        <f>_xlfn.XLOOKUP(frasest[[#This Row],[author_es]],autorest[author_es],autorest[nation_es])</f>
        <v>Polonia</v>
      </c>
      <c r="N64" t="str">
        <f>_xlfn.XLOOKUP(frasest[[#This Row],[author_es]],autorest[author_es],autorest[nation_la])</f>
        <v>Polonia</v>
      </c>
      <c r="O64" t="str">
        <f>_xlfn.XLOOKUP(frasest[[#This Row],[author_es]],autorest[author_es],autorest[age_es])</f>
        <v>Edad Contemporánea</v>
      </c>
      <c r="P64" t="str">
        <f>_xlfn.XLOOKUP(frasest[[#This Row],[author_es]],autorest[author_es],autorest[age_la])</f>
        <v>Aetas Contemporanea</v>
      </c>
      <c r="Q64" t="str">
        <f>_xlfn.XLOOKUP(frasest[[#This Row],[author_es]],autorest[author_es],autorest[image])</f>
        <v>https://i.ibb.co/tMz7wVTz/juanpabloii.png</v>
      </c>
      <c r="R64">
        <f>_xlfn.XLOOKUP(frasest[[#This Row],[author_es]],autorest[author_es],autorest[image_atr])</f>
        <v>0</v>
      </c>
    </row>
    <row r="65" spans="1:18">
      <c r="A65">
        <v>64</v>
      </c>
      <c r="B65" t="s">
        <v>235</v>
      </c>
      <c r="C65" t="s">
        <v>236</v>
      </c>
      <c r="D65" t="s">
        <v>236</v>
      </c>
      <c r="E65" t="s">
        <v>230</v>
      </c>
      <c r="F65" t="s">
        <v>237</v>
      </c>
      <c r="G65" t="str">
        <f>_xlfn.XLOOKUP(frasest[[#This Row],[author_es]],autorest[author_es],autorest[author_la])</f>
        <v>Ioannes Paulus II</v>
      </c>
      <c r="H65" t="str">
        <f>_xlfn.XLOOKUP(frasest[[#This Row],[author_es]],autorest[author_es],autorest[bio_es])</f>
        <v>Papa de la Iglesia Católica desde 1978 hasta 2005. Destacado por su labor pastoral, defensa de la vida y los derechos humanos.</v>
      </c>
      <c r="I65" t="str">
        <f>_xlfn.XLOOKUP(frasest[[#This Row],[author_es]],autorest[author_es],autorest[bio_la])</f>
        <v>Papa Ecclesiae Catholicae ab anno 1978 usque 2005. Labor pastoral, vitae tutela et iura humana praecipuus.</v>
      </c>
      <c r="J65" t="str">
        <f>_xlfn.XLOOKUP(frasest[[#This Row],[author_es]],autorest[author_es],autorest[iso3691])</f>
        <v>la</v>
      </c>
      <c r="K65" t="str">
        <f>_xlfn.XLOOKUP(frasest[[#This Row],[author_es]],autorest[author_es],autorest[language_es])</f>
        <v>Latín</v>
      </c>
      <c r="L65" t="str">
        <f>_xlfn.XLOOKUP(frasest[[#This Row],[author_es]],autorest[author_es],autorest[language_la])</f>
        <v>Lingua Latina</v>
      </c>
      <c r="M65" t="str">
        <f>_xlfn.XLOOKUP(frasest[[#This Row],[author_es]],autorest[author_es],autorest[nation_es])</f>
        <v>Polonia</v>
      </c>
      <c r="N65" t="str">
        <f>_xlfn.XLOOKUP(frasest[[#This Row],[author_es]],autorest[author_es],autorest[nation_la])</f>
        <v>Polonia</v>
      </c>
      <c r="O65" t="str">
        <f>_xlfn.XLOOKUP(frasest[[#This Row],[author_es]],autorest[author_es],autorest[age_es])</f>
        <v>Edad Contemporánea</v>
      </c>
      <c r="P65" t="str">
        <f>_xlfn.XLOOKUP(frasest[[#This Row],[author_es]],autorest[author_es],autorest[age_la])</f>
        <v>Aetas Contemporanea</v>
      </c>
      <c r="Q65" t="str">
        <f>_xlfn.XLOOKUP(frasest[[#This Row],[author_es]],autorest[author_es],autorest[image])</f>
        <v>https://i.ibb.co/tMz7wVTz/juanpabloii.png</v>
      </c>
      <c r="R65">
        <f>_xlfn.XLOOKUP(frasest[[#This Row],[author_es]],autorest[author_es],autorest[image_atr])</f>
        <v>0</v>
      </c>
    </row>
    <row r="66" spans="1:18">
      <c r="A66">
        <v>65</v>
      </c>
      <c r="B66" t="s">
        <v>238</v>
      </c>
      <c r="C66" t="s">
        <v>239</v>
      </c>
      <c r="D66" t="s">
        <v>239</v>
      </c>
      <c r="E66" t="s">
        <v>230</v>
      </c>
      <c r="F66" t="s">
        <v>240</v>
      </c>
      <c r="G66" t="str">
        <f>_xlfn.XLOOKUP(frasest[[#This Row],[author_es]],autorest[author_es],autorest[author_la])</f>
        <v>Ioannes Paulus II</v>
      </c>
      <c r="H66" t="str">
        <f>_xlfn.XLOOKUP(frasest[[#This Row],[author_es]],autorest[author_es],autorest[bio_es])</f>
        <v>Papa de la Iglesia Católica desde 1978 hasta 2005. Destacado por su labor pastoral, defensa de la vida y los derechos humanos.</v>
      </c>
      <c r="I66" t="str">
        <f>_xlfn.XLOOKUP(frasest[[#This Row],[author_es]],autorest[author_es],autorest[bio_la])</f>
        <v>Papa Ecclesiae Catholicae ab anno 1978 usque 2005. Labor pastoral, vitae tutela et iura humana praecipuus.</v>
      </c>
      <c r="J66" t="str">
        <f>_xlfn.XLOOKUP(frasest[[#This Row],[author_es]],autorest[author_es],autorest[iso3691])</f>
        <v>la</v>
      </c>
      <c r="K66" t="str">
        <f>_xlfn.XLOOKUP(frasest[[#This Row],[author_es]],autorest[author_es],autorest[language_es])</f>
        <v>Latín</v>
      </c>
      <c r="L66" t="str">
        <f>_xlfn.XLOOKUP(frasest[[#This Row],[author_es]],autorest[author_es],autorest[language_la])</f>
        <v>Lingua Latina</v>
      </c>
      <c r="M66" t="str">
        <f>_xlfn.XLOOKUP(frasest[[#This Row],[author_es]],autorest[author_es],autorest[nation_es])</f>
        <v>Polonia</v>
      </c>
      <c r="N66" t="str">
        <f>_xlfn.XLOOKUP(frasest[[#This Row],[author_es]],autorest[author_es],autorest[nation_la])</f>
        <v>Polonia</v>
      </c>
      <c r="O66" t="str">
        <f>_xlfn.XLOOKUP(frasest[[#This Row],[author_es]],autorest[author_es],autorest[age_es])</f>
        <v>Edad Contemporánea</v>
      </c>
      <c r="P66" t="str">
        <f>_xlfn.XLOOKUP(frasest[[#This Row],[author_es]],autorest[author_es],autorest[age_la])</f>
        <v>Aetas Contemporanea</v>
      </c>
      <c r="Q66" t="str">
        <f>_xlfn.XLOOKUP(frasest[[#This Row],[author_es]],autorest[author_es],autorest[image])</f>
        <v>https://i.ibb.co/tMz7wVTz/juanpabloii.png</v>
      </c>
      <c r="R66">
        <f>_xlfn.XLOOKUP(frasest[[#This Row],[author_es]],autorest[author_es],autorest[image_atr])</f>
        <v>0</v>
      </c>
    </row>
    <row r="67" spans="1:18">
      <c r="A67">
        <v>66</v>
      </c>
      <c r="B67" t="s">
        <v>241</v>
      </c>
      <c r="C67" t="s">
        <v>242</v>
      </c>
      <c r="D67" t="s">
        <v>243</v>
      </c>
      <c r="E67" t="s">
        <v>230</v>
      </c>
      <c r="F67" t="s">
        <v>244</v>
      </c>
      <c r="G67" t="str">
        <f>_xlfn.XLOOKUP(frasest[[#This Row],[author_es]],autorest[author_es],autorest[author_la])</f>
        <v>Ioannes Paulus II</v>
      </c>
      <c r="H67" t="str">
        <f>_xlfn.XLOOKUP(frasest[[#This Row],[author_es]],autorest[author_es],autorest[bio_es])</f>
        <v>Papa de la Iglesia Católica desde 1978 hasta 2005. Destacado por su labor pastoral, defensa de la vida y los derechos humanos.</v>
      </c>
      <c r="I67" t="str">
        <f>_xlfn.XLOOKUP(frasest[[#This Row],[author_es]],autorest[author_es],autorest[bio_la])</f>
        <v>Papa Ecclesiae Catholicae ab anno 1978 usque 2005. Labor pastoral, vitae tutela et iura humana praecipuus.</v>
      </c>
      <c r="J67" t="str">
        <f>_xlfn.XLOOKUP(frasest[[#This Row],[author_es]],autorest[author_es],autorest[iso3691])</f>
        <v>la</v>
      </c>
      <c r="K67" t="str">
        <f>_xlfn.XLOOKUP(frasest[[#This Row],[author_es]],autorest[author_es],autorest[language_es])</f>
        <v>Latín</v>
      </c>
      <c r="L67" t="str">
        <f>_xlfn.XLOOKUP(frasest[[#This Row],[author_es]],autorest[author_es],autorest[language_la])</f>
        <v>Lingua Latina</v>
      </c>
      <c r="M67" t="str">
        <f>_xlfn.XLOOKUP(frasest[[#This Row],[author_es]],autorest[author_es],autorest[nation_es])</f>
        <v>Polonia</v>
      </c>
      <c r="N67" t="str">
        <f>_xlfn.XLOOKUP(frasest[[#This Row],[author_es]],autorest[author_es],autorest[nation_la])</f>
        <v>Polonia</v>
      </c>
      <c r="O67" t="str">
        <f>_xlfn.XLOOKUP(frasest[[#This Row],[author_es]],autorest[author_es],autorest[age_es])</f>
        <v>Edad Contemporánea</v>
      </c>
      <c r="P67" t="str">
        <f>_xlfn.XLOOKUP(frasest[[#This Row],[author_es]],autorest[author_es],autorest[age_la])</f>
        <v>Aetas Contemporanea</v>
      </c>
      <c r="Q67" t="str">
        <f>_xlfn.XLOOKUP(frasest[[#This Row],[author_es]],autorest[author_es],autorest[image])</f>
        <v>https://i.ibb.co/tMz7wVTz/juanpabloii.png</v>
      </c>
      <c r="R67">
        <f>_xlfn.XLOOKUP(frasest[[#This Row],[author_es]],autorest[author_es],autorest[image_atr])</f>
        <v>0</v>
      </c>
    </row>
    <row r="68" spans="1:18">
      <c r="A68">
        <v>67</v>
      </c>
      <c r="B68" t="s">
        <v>245</v>
      </c>
      <c r="C68" t="s">
        <v>246</v>
      </c>
      <c r="D68" t="s">
        <v>246</v>
      </c>
      <c r="E68" t="s">
        <v>230</v>
      </c>
      <c r="F68" t="s">
        <v>247</v>
      </c>
      <c r="G68" t="str">
        <f>_xlfn.XLOOKUP(frasest[[#This Row],[author_es]],autorest[author_es],autorest[author_la])</f>
        <v>Ioannes Paulus II</v>
      </c>
      <c r="H68" t="str">
        <f>_xlfn.XLOOKUP(frasest[[#This Row],[author_es]],autorest[author_es],autorest[bio_es])</f>
        <v>Papa de la Iglesia Católica desde 1978 hasta 2005. Destacado por su labor pastoral, defensa de la vida y los derechos humanos.</v>
      </c>
      <c r="I68" t="str">
        <f>_xlfn.XLOOKUP(frasest[[#This Row],[author_es]],autorest[author_es],autorest[bio_la])</f>
        <v>Papa Ecclesiae Catholicae ab anno 1978 usque 2005. Labor pastoral, vitae tutela et iura humana praecipuus.</v>
      </c>
      <c r="J68" t="str">
        <f>_xlfn.XLOOKUP(frasest[[#This Row],[author_es]],autorest[author_es],autorest[iso3691])</f>
        <v>la</v>
      </c>
      <c r="K68" t="str">
        <f>_xlfn.XLOOKUP(frasest[[#This Row],[author_es]],autorest[author_es],autorest[language_es])</f>
        <v>Latín</v>
      </c>
      <c r="L68" t="str">
        <f>_xlfn.XLOOKUP(frasest[[#This Row],[author_es]],autorest[author_es],autorest[language_la])</f>
        <v>Lingua Latina</v>
      </c>
      <c r="M68" t="str">
        <f>_xlfn.XLOOKUP(frasest[[#This Row],[author_es]],autorest[author_es],autorest[nation_es])</f>
        <v>Polonia</v>
      </c>
      <c r="N68" t="str">
        <f>_xlfn.XLOOKUP(frasest[[#This Row],[author_es]],autorest[author_es],autorest[nation_la])</f>
        <v>Polonia</v>
      </c>
      <c r="O68" t="str">
        <f>_xlfn.XLOOKUP(frasest[[#This Row],[author_es]],autorest[author_es],autorest[age_es])</f>
        <v>Edad Contemporánea</v>
      </c>
      <c r="P68" t="str">
        <f>_xlfn.XLOOKUP(frasest[[#This Row],[author_es]],autorest[author_es],autorest[age_la])</f>
        <v>Aetas Contemporanea</v>
      </c>
      <c r="Q68" t="str">
        <f>_xlfn.XLOOKUP(frasest[[#This Row],[author_es]],autorest[author_es],autorest[image])</f>
        <v>https://i.ibb.co/tMz7wVTz/juanpabloii.png</v>
      </c>
      <c r="R68">
        <f>_xlfn.XLOOKUP(frasest[[#This Row],[author_es]],autorest[author_es],autorest[image_atr])</f>
        <v>0</v>
      </c>
    </row>
    <row r="69" spans="1:18">
      <c r="A69">
        <v>68</v>
      </c>
      <c r="B69" t="s">
        <v>248</v>
      </c>
      <c r="C69" t="s">
        <v>249</v>
      </c>
      <c r="D69" t="s">
        <v>249</v>
      </c>
      <c r="E69" t="s">
        <v>230</v>
      </c>
      <c r="F69" t="s">
        <v>250</v>
      </c>
      <c r="G69" t="str">
        <f>_xlfn.XLOOKUP(frasest[[#This Row],[author_es]],autorest[author_es],autorest[author_la])</f>
        <v>Ioannes Paulus II</v>
      </c>
      <c r="H69" t="str">
        <f>_xlfn.XLOOKUP(frasest[[#This Row],[author_es]],autorest[author_es],autorest[bio_es])</f>
        <v>Papa de la Iglesia Católica desde 1978 hasta 2005. Destacado por su labor pastoral, defensa de la vida y los derechos humanos.</v>
      </c>
      <c r="I69" t="str">
        <f>_xlfn.XLOOKUP(frasest[[#This Row],[author_es]],autorest[author_es],autorest[bio_la])</f>
        <v>Papa Ecclesiae Catholicae ab anno 1978 usque 2005. Labor pastoral, vitae tutela et iura humana praecipuus.</v>
      </c>
      <c r="J69" t="str">
        <f>_xlfn.XLOOKUP(frasest[[#This Row],[author_es]],autorest[author_es],autorest[iso3691])</f>
        <v>la</v>
      </c>
      <c r="K69" t="str">
        <f>_xlfn.XLOOKUP(frasest[[#This Row],[author_es]],autorest[author_es],autorest[language_es])</f>
        <v>Latín</v>
      </c>
      <c r="L69" t="str">
        <f>_xlfn.XLOOKUP(frasest[[#This Row],[author_es]],autorest[author_es],autorest[language_la])</f>
        <v>Lingua Latina</v>
      </c>
      <c r="M69" t="str">
        <f>_xlfn.XLOOKUP(frasest[[#This Row],[author_es]],autorest[author_es],autorest[nation_es])</f>
        <v>Polonia</v>
      </c>
      <c r="N69" t="str">
        <f>_xlfn.XLOOKUP(frasest[[#This Row],[author_es]],autorest[author_es],autorest[nation_la])</f>
        <v>Polonia</v>
      </c>
      <c r="O69" t="str">
        <f>_xlfn.XLOOKUP(frasest[[#This Row],[author_es]],autorest[author_es],autorest[age_es])</f>
        <v>Edad Contemporánea</v>
      </c>
      <c r="P69" t="str">
        <f>_xlfn.XLOOKUP(frasest[[#This Row],[author_es]],autorest[author_es],autorest[age_la])</f>
        <v>Aetas Contemporanea</v>
      </c>
      <c r="Q69" t="str">
        <f>_xlfn.XLOOKUP(frasest[[#This Row],[author_es]],autorest[author_es],autorest[image])</f>
        <v>https://i.ibb.co/tMz7wVTz/juanpabloii.png</v>
      </c>
      <c r="R69">
        <f>_xlfn.XLOOKUP(frasest[[#This Row],[author_es]],autorest[author_es],autorest[image_atr])</f>
        <v>0</v>
      </c>
    </row>
    <row r="70" spans="1:18">
      <c r="A70">
        <v>69</v>
      </c>
      <c r="B70" t="s">
        <v>251</v>
      </c>
      <c r="C70" t="s">
        <v>252</v>
      </c>
      <c r="D70" t="s">
        <v>253</v>
      </c>
      <c r="E70" t="s">
        <v>230</v>
      </c>
      <c r="F70" t="s">
        <v>234</v>
      </c>
      <c r="G70" t="str">
        <f>_xlfn.XLOOKUP(frasest[[#This Row],[author_es]],autorest[author_es],autorest[author_la])</f>
        <v>Ioannes Paulus II</v>
      </c>
      <c r="H70" t="str">
        <f>_xlfn.XLOOKUP(frasest[[#This Row],[author_es]],autorest[author_es],autorest[bio_es])</f>
        <v>Papa de la Iglesia Católica desde 1978 hasta 2005. Destacado por su labor pastoral, defensa de la vida y los derechos humanos.</v>
      </c>
      <c r="I70" t="str">
        <f>_xlfn.XLOOKUP(frasest[[#This Row],[author_es]],autorest[author_es],autorest[bio_la])</f>
        <v>Papa Ecclesiae Catholicae ab anno 1978 usque 2005. Labor pastoral, vitae tutela et iura humana praecipuus.</v>
      </c>
      <c r="J70" t="str">
        <f>_xlfn.XLOOKUP(frasest[[#This Row],[author_es]],autorest[author_es],autorest[iso3691])</f>
        <v>la</v>
      </c>
      <c r="K70" t="str">
        <f>_xlfn.XLOOKUP(frasest[[#This Row],[author_es]],autorest[author_es],autorest[language_es])</f>
        <v>Latín</v>
      </c>
      <c r="L70" t="str">
        <f>_xlfn.XLOOKUP(frasest[[#This Row],[author_es]],autorest[author_es],autorest[language_la])</f>
        <v>Lingua Latina</v>
      </c>
      <c r="M70" t="str">
        <f>_xlfn.XLOOKUP(frasest[[#This Row],[author_es]],autorest[author_es],autorest[nation_es])</f>
        <v>Polonia</v>
      </c>
      <c r="N70" t="str">
        <f>_xlfn.XLOOKUP(frasest[[#This Row],[author_es]],autorest[author_es],autorest[nation_la])</f>
        <v>Polonia</v>
      </c>
      <c r="O70" t="str">
        <f>_xlfn.XLOOKUP(frasest[[#This Row],[author_es]],autorest[author_es],autorest[age_es])</f>
        <v>Edad Contemporánea</v>
      </c>
      <c r="P70" t="str">
        <f>_xlfn.XLOOKUP(frasest[[#This Row],[author_es]],autorest[author_es],autorest[age_la])</f>
        <v>Aetas Contemporanea</v>
      </c>
      <c r="Q70" t="str">
        <f>_xlfn.XLOOKUP(frasest[[#This Row],[author_es]],autorest[author_es],autorest[image])</f>
        <v>https://i.ibb.co/tMz7wVTz/juanpabloii.png</v>
      </c>
      <c r="R70">
        <f>_xlfn.XLOOKUP(frasest[[#This Row],[author_es]],autorest[author_es],autorest[image_atr])</f>
        <v>0</v>
      </c>
    </row>
    <row r="71" spans="1:18">
      <c r="A71">
        <v>70</v>
      </c>
      <c r="B71" t="s">
        <v>254</v>
      </c>
      <c r="C71" t="s">
        <v>255</v>
      </c>
      <c r="D71" t="s">
        <v>255</v>
      </c>
      <c r="E71" t="s">
        <v>230</v>
      </c>
      <c r="F71" t="s">
        <v>256</v>
      </c>
      <c r="G71" t="str">
        <f>_xlfn.XLOOKUP(frasest[[#This Row],[author_es]],autorest[author_es],autorest[author_la])</f>
        <v>Ioannes Paulus II</v>
      </c>
      <c r="H71" t="str">
        <f>_xlfn.XLOOKUP(frasest[[#This Row],[author_es]],autorest[author_es],autorest[bio_es])</f>
        <v>Papa de la Iglesia Católica desde 1978 hasta 2005. Destacado por su labor pastoral, defensa de la vida y los derechos humanos.</v>
      </c>
      <c r="I71" t="str">
        <f>_xlfn.XLOOKUP(frasest[[#This Row],[author_es]],autorest[author_es],autorest[bio_la])</f>
        <v>Papa Ecclesiae Catholicae ab anno 1978 usque 2005. Labor pastoral, vitae tutela et iura humana praecipuus.</v>
      </c>
      <c r="J71" t="str">
        <f>_xlfn.XLOOKUP(frasest[[#This Row],[author_es]],autorest[author_es],autorest[iso3691])</f>
        <v>la</v>
      </c>
      <c r="K71" t="str">
        <f>_xlfn.XLOOKUP(frasest[[#This Row],[author_es]],autorest[author_es],autorest[language_es])</f>
        <v>Latín</v>
      </c>
      <c r="L71" t="str">
        <f>_xlfn.XLOOKUP(frasest[[#This Row],[author_es]],autorest[author_es],autorest[language_la])</f>
        <v>Lingua Latina</v>
      </c>
      <c r="M71" t="str">
        <f>_xlfn.XLOOKUP(frasest[[#This Row],[author_es]],autorest[author_es],autorest[nation_es])</f>
        <v>Polonia</v>
      </c>
      <c r="N71" t="str">
        <f>_xlfn.XLOOKUP(frasest[[#This Row],[author_es]],autorest[author_es],autorest[nation_la])</f>
        <v>Polonia</v>
      </c>
      <c r="O71" t="str">
        <f>_xlfn.XLOOKUP(frasest[[#This Row],[author_es]],autorest[author_es],autorest[age_es])</f>
        <v>Edad Contemporánea</v>
      </c>
      <c r="P71" t="str">
        <f>_xlfn.XLOOKUP(frasest[[#This Row],[author_es]],autorest[author_es],autorest[age_la])</f>
        <v>Aetas Contemporanea</v>
      </c>
      <c r="Q71" t="str">
        <f>_xlfn.XLOOKUP(frasest[[#This Row],[author_es]],autorest[author_es],autorest[image])</f>
        <v>https://i.ibb.co/tMz7wVTz/juanpabloii.png</v>
      </c>
      <c r="R71">
        <f>_xlfn.XLOOKUP(frasest[[#This Row],[author_es]],autorest[author_es],autorest[image_atr])</f>
        <v>0</v>
      </c>
    </row>
    <row r="72" spans="1:18">
      <c r="A72">
        <v>71</v>
      </c>
      <c r="B72" t="s">
        <v>257</v>
      </c>
      <c r="C72" t="s">
        <v>258</v>
      </c>
      <c r="D72" t="s">
        <v>258</v>
      </c>
      <c r="E72" t="s">
        <v>230</v>
      </c>
      <c r="F72" t="s">
        <v>259</v>
      </c>
      <c r="G72" t="str">
        <f>_xlfn.XLOOKUP(frasest[[#This Row],[author_es]],autorest[author_es],autorest[author_la])</f>
        <v>Ioannes Paulus II</v>
      </c>
      <c r="H72" t="str">
        <f>_xlfn.XLOOKUP(frasest[[#This Row],[author_es]],autorest[author_es],autorest[bio_es])</f>
        <v>Papa de la Iglesia Católica desde 1978 hasta 2005. Destacado por su labor pastoral, defensa de la vida y los derechos humanos.</v>
      </c>
      <c r="I72" t="str">
        <f>_xlfn.XLOOKUP(frasest[[#This Row],[author_es]],autorest[author_es],autorest[bio_la])</f>
        <v>Papa Ecclesiae Catholicae ab anno 1978 usque 2005. Labor pastoral, vitae tutela et iura humana praecipuus.</v>
      </c>
      <c r="J72" t="str">
        <f>_xlfn.XLOOKUP(frasest[[#This Row],[author_es]],autorest[author_es],autorest[iso3691])</f>
        <v>la</v>
      </c>
      <c r="K72" t="str">
        <f>_xlfn.XLOOKUP(frasest[[#This Row],[author_es]],autorest[author_es],autorest[language_es])</f>
        <v>Latín</v>
      </c>
      <c r="L72" t="str">
        <f>_xlfn.XLOOKUP(frasest[[#This Row],[author_es]],autorest[author_es],autorest[language_la])</f>
        <v>Lingua Latina</v>
      </c>
      <c r="M72" t="str">
        <f>_xlfn.XLOOKUP(frasest[[#This Row],[author_es]],autorest[author_es],autorest[nation_es])</f>
        <v>Polonia</v>
      </c>
      <c r="N72" t="str">
        <f>_xlfn.XLOOKUP(frasest[[#This Row],[author_es]],autorest[author_es],autorest[nation_la])</f>
        <v>Polonia</v>
      </c>
      <c r="O72" t="str">
        <f>_xlfn.XLOOKUP(frasest[[#This Row],[author_es]],autorest[author_es],autorest[age_es])</f>
        <v>Edad Contemporánea</v>
      </c>
      <c r="P72" t="str">
        <f>_xlfn.XLOOKUP(frasest[[#This Row],[author_es]],autorest[author_es],autorest[age_la])</f>
        <v>Aetas Contemporanea</v>
      </c>
      <c r="Q72" t="str">
        <f>_xlfn.XLOOKUP(frasest[[#This Row],[author_es]],autorest[author_es],autorest[image])</f>
        <v>https://i.ibb.co/tMz7wVTz/juanpabloii.png</v>
      </c>
      <c r="R72">
        <f>_xlfn.XLOOKUP(frasest[[#This Row],[author_es]],autorest[author_es],autorest[image_atr])</f>
        <v>0</v>
      </c>
    </row>
    <row r="73" spans="1:18">
      <c r="A73">
        <v>72</v>
      </c>
      <c r="B73" t="s">
        <v>260</v>
      </c>
      <c r="C73" t="s">
        <v>261</v>
      </c>
      <c r="D73" t="s">
        <v>261</v>
      </c>
      <c r="E73" t="s">
        <v>262</v>
      </c>
      <c r="F73" t="s">
        <v>263</v>
      </c>
      <c r="G73" t="str">
        <f>_xlfn.XLOOKUP(frasest[[#This Row],[author_es]],autorest[author_es],autorest[author_la])</f>
        <v>Sanctus Ioannes Baptista de La Salle</v>
      </c>
      <c r="H73" t="str">
        <f>_xlfn.XLOOKUP(frasest[[#This Row],[author_es]],autorest[author_es],autorest[bio_es])</f>
        <v>Sacerdote francés y fundador de los Hermanos de las Escuelas Cristianas, dedicados a la educación cristiana de los jóvenes, especialmente pobres.</v>
      </c>
      <c r="I73" t="str">
        <f>_xlfn.XLOOKUP(frasest[[#This Row],[author_es]],autorest[author_es],autorest[bio_la])</f>
        <v>Sacerdos Francogallicus, fratres Scholarium Christianorum fundator. Iuvenes praecipue pauperes educavit.</v>
      </c>
      <c r="J73" t="str">
        <f>_xlfn.XLOOKUP(frasest[[#This Row],[author_es]],autorest[author_es],autorest[iso3691])</f>
        <v>la</v>
      </c>
      <c r="K73" t="str">
        <f>_xlfn.XLOOKUP(frasest[[#This Row],[author_es]],autorest[author_es],autorest[language_es])</f>
        <v>Latín</v>
      </c>
      <c r="L73" t="str">
        <f>_xlfn.XLOOKUP(frasest[[#This Row],[author_es]],autorest[author_es],autorest[language_la])</f>
        <v>Lingua Latina</v>
      </c>
      <c r="M73" t="str">
        <f>_xlfn.XLOOKUP(frasest[[#This Row],[author_es]],autorest[author_es],autorest[nation_es])</f>
        <v>Francia</v>
      </c>
      <c r="N73" t="str">
        <f>_xlfn.XLOOKUP(frasest[[#This Row],[author_es]],autorest[author_es],autorest[nation_la])</f>
        <v>Francia</v>
      </c>
      <c r="O73" t="str">
        <f>_xlfn.XLOOKUP(frasest[[#This Row],[author_es]],autorest[author_es],autorest[age_es])</f>
        <v>Edad Moderna</v>
      </c>
      <c r="P73" t="str">
        <f>_xlfn.XLOOKUP(frasest[[#This Row],[author_es]],autorest[author_es],autorest[age_la])</f>
        <v>Nova Aetas</v>
      </c>
      <c r="Q73" t="str">
        <f>_xlfn.XLOOKUP(frasest[[#This Row],[author_es]],autorest[author_es],autorest[image])</f>
        <v>https://i.ibb.co/20M9HWkV/lasalle.png</v>
      </c>
      <c r="R73">
        <f>_xlfn.XLOOKUP(frasest[[#This Row],[author_es]],autorest[author_es],autorest[image_atr])</f>
        <v>0</v>
      </c>
    </row>
    <row r="74" spans="1:18" ht="18">
      <c r="A74">
        <v>73</v>
      </c>
      <c r="B74" t="s">
        <v>264</v>
      </c>
      <c r="C74" t="s">
        <v>265</v>
      </c>
      <c r="D74" s="3" t="s">
        <v>266</v>
      </c>
      <c r="E74" t="s">
        <v>267</v>
      </c>
      <c r="G74" t="str">
        <f>_xlfn.XLOOKUP(frasest[[#This Row],[author_es]],autorest[author_es],autorest[author_la])</f>
        <v>Proverbium Arabica</v>
      </c>
      <c r="H74" t="str">
        <f>_xlfn.XLOOKUP(frasest[[#This Row],[author_es]],autorest[author_es],autorest[bio_es])</f>
        <v>Proverbios tradicionales de la cultura árabe que transmiten valores de hospitalidad, honor, paciencia y sabiduría práctica.</v>
      </c>
      <c r="I74" t="str">
        <f>_xlfn.XLOOKUP(frasest[[#This Row],[author_es]],autorest[author_es],autorest[bio_la])</f>
        <v>Collectio sententiarum Arabicarum.</v>
      </c>
      <c r="J74" t="str">
        <f>_xlfn.XLOOKUP(frasest[[#This Row],[author_es]],autorest[author_es],autorest[iso3691])</f>
        <v>ar</v>
      </c>
      <c r="K74" t="str">
        <f>_xlfn.XLOOKUP(frasest[[#This Row],[author_es]],autorest[author_es],autorest[language_es])</f>
        <v>Árabe</v>
      </c>
      <c r="L74" t="str">
        <f>_xlfn.XLOOKUP(frasest[[#This Row],[author_es]],autorest[author_es],autorest[language_la])</f>
        <v>Lingua Arabica</v>
      </c>
      <c r="M74" t="str">
        <f>_xlfn.XLOOKUP(frasest[[#This Row],[author_es]],autorest[author_es],autorest[nation_es])</f>
        <v>Arabia Saudita</v>
      </c>
      <c r="N74" t="str">
        <f>_xlfn.XLOOKUP(frasest[[#This Row],[author_es]],autorest[author_es],autorest[nation_la])</f>
        <v>Arabia Saudita</v>
      </c>
      <c r="O74" t="str">
        <f>_xlfn.XLOOKUP(frasest[[#This Row],[author_es]],autorest[author_es],autorest[age_es])</f>
        <v>Epoca Desconocida</v>
      </c>
      <c r="P74" t="str">
        <f>_xlfn.XLOOKUP(frasest[[#This Row],[author_es]],autorest[author_es],autorest[age_la])</f>
        <v>Epocha Ignota</v>
      </c>
      <c r="Q74" t="str">
        <f>_xlfn.XLOOKUP(frasest[[#This Row],[author_es]],autorest[author_es],autorest[image])</f>
        <v>https://i.ibb.co/1fdqG2fh/arabia.png</v>
      </c>
      <c r="R74">
        <f>_xlfn.XLOOKUP(frasest[[#This Row],[author_es]],autorest[author_es],autorest[image_atr])</f>
        <v>0</v>
      </c>
    </row>
    <row r="75" spans="1:18" ht="18">
      <c r="A75">
        <v>74</v>
      </c>
      <c r="B75" t="s">
        <v>268</v>
      </c>
      <c r="C75" t="s">
        <v>269</v>
      </c>
      <c r="D75" s="3" t="s">
        <v>270</v>
      </c>
      <c r="E75" t="s">
        <v>267</v>
      </c>
      <c r="G75" t="str">
        <f>_xlfn.XLOOKUP(frasest[[#This Row],[author_es]],autorest[author_es],autorest[author_la])</f>
        <v>Proverbium Arabica</v>
      </c>
      <c r="H75" t="str">
        <f>_xlfn.XLOOKUP(frasest[[#This Row],[author_es]],autorest[author_es],autorest[bio_es])</f>
        <v>Proverbios tradicionales de la cultura árabe que transmiten valores de hospitalidad, honor, paciencia y sabiduría práctica.</v>
      </c>
      <c r="I75" t="str">
        <f>_xlfn.XLOOKUP(frasest[[#This Row],[author_es]],autorest[author_es],autorest[bio_la])</f>
        <v>Collectio sententiarum Arabicarum.</v>
      </c>
      <c r="J75" t="str">
        <f>_xlfn.XLOOKUP(frasest[[#This Row],[author_es]],autorest[author_es],autorest[iso3691])</f>
        <v>ar</v>
      </c>
      <c r="K75" t="str">
        <f>_xlfn.XLOOKUP(frasest[[#This Row],[author_es]],autorest[author_es],autorest[language_es])</f>
        <v>Árabe</v>
      </c>
      <c r="L75" t="str">
        <f>_xlfn.XLOOKUP(frasest[[#This Row],[author_es]],autorest[author_es],autorest[language_la])</f>
        <v>Lingua Arabica</v>
      </c>
      <c r="M75" t="str">
        <f>_xlfn.XLOOKUP(frasest[[#This Row],[author_es]],autorest[author_es],autorest[nation_es])</f>
        <v>Arabia Saudita</v>
      </c>
      <c r="N75" t="str">
        <f>_xlfn.XLOOKUP(frasest[[#This Row],[author_es]],autorest[author_es],autorest[nation_la])</f>
        <v>Arabia Saudita</v>
      </c>
      <c r="O75" t="str">
        <f>_xlfn.XLOOKUP(frasest[[#This Row],[author_es]],autorest[author_es],autorest[age_es])</f>
        <v>Epoca Desconocida</v>
      </c>
      <c r="P75" t="str">
        <f>_xlfn.XLOOKUP(frasest[[#This Row],[author_es]],autorest[author_es],autorest[age_la])</f>
        <v>Epocha Ignota</v>
      </c>
      <c r="Q75" t="str">
        <f>_xlfn.XLOOKUP(frasest[[#This Row],[author_es]],autorest[author_es],autorest[image])</f>
        <v>https://i.ibb.co/1fdqG2fh/arabia.png</v>
      </c>
      <c r="R75">
        <f>_xlfn.XLOOKUP(frasest[[#This Row],[author_es]],autorest[author_es],autorest[image_atr])</f>
        <v>0</v>
      </c>
    </row>
    <row r="76" spans="1:18" ht="18">
      <c r="A76">
        <v>75</v>
      </c>
      <c r="B76" t="s">
        <v>271</v>
      </c>
      <c r="C76" t="s">
        <v>272</v>
      </c>
      <c r="D76" s="3" t="s">
        <v>273</v>
      </c>
      <c r="E76" t="s">
        <v>267</v>
      </c>
      <c r="G76" t="str">
        <f>_xlfn.XLOOKUP(frasest[[#This Row],[author_es]],autorest[author_es],autorest[author_la])</f>
        <v>Proverbium Arabica</v>
      </c>
      <c r="H76" t="str">
        <f>_xlfn.XLOOKUP(frasest[[#This Row],[author_es]],autorest[author_es],autorest[bio_es])</f>
        <v>Proverbios tradicionales de la cultura árabe que transmiten valores de hospitalidad, honor, paciencia y sabiduría práctica.</v>
      </c>
      <c r="I76" t="str">
        <f>_xlfn.XLOOKUP(frasest[[#This Row],[author_es]],autorest[author_es],autorest[bio_la])</f>
        <v>Collectio sententiarum Arabicarum.</v>
      </c>
      <c r="J76" t="str">
        <f>_xlfn.XLOOKUP(frasest[[#This Row],[author_es]],autorest[author_es],autorest[iso3691])</f>
        <v>ar</v>
      </c>
      <c r="K76" t="str">
        <f>_xlfn.XLOOKUP(frasest[[#This Row],[author_es]],autorest[author_es],autorest[language_es])</f>
        <v>Árabe</v>
      </c>
      <c r="L76" t="str">
        <f>_xlfn.XLOOKUP(frasest[[#This Row],[author_es]],autorest[author_es],autorest[language_la])</f>
        <v>Lingua Arabica</v>
      </c>
      <c r="M76" t="str">
        <f>_xlfn.XLOOKUP(frasest[[#This Row],[author_es]],autorest[author_es],autorest[nation_es])</f>
        <v>Arabia Saudita</v>
      </c>
      <c r="N76" t="str">
        <f>_xlfn.XLOOKUP(frasest[[#This Row],[author_es]],autorest[author_es],autorest[nation_la])</f>
        <v>Arabia Saudita</v>
      </c>
      <c r="O76" t="str">
        <f>_xlfn.XLOOKUP(frasest[[#This Row],[author_es]],autorest[author_es],autorest[age_es])</f>
        <v>Epoca Desconocida</v>
      </c>
      <c r="P76" t="str">
        <f>_xlfn.XLOOKUP(frasest[[#This Row],[author_es]],autorest[author_es],autorest[age_la])</f>
        <v>Epocha Ignota</v>
      </c>
      <c r="Q76" t="str">
        <f>_xlfn.XLOOKUP(frasest[[#This Row],[author_es]],autorest[author_es],autorest[image])</f>
        <v>https://i.ibb.co/1fdqG2fh/arabia.png</v>
      </c>
      <c r="R76">
        <f>_xlfn.XLOOKUP(frasest[[#This Row],[author_es]],autorest[author_es],autorest[image_atr])</f>
        <v>0</v>
      </c>
    </row>
    <row r="77" spans="1:18" ht="18">
      <c r="A77">
        <v>76</v>
      </c>
      <c r="B77" t="s">
        <v>274</v>
      </c>
      <c r="C77" t="s">
        <v>275</v>
      </c>
      <c r="D77" s="3" t="s">
        <v>276</v>
      </c>
      <c r="E77" t="s">
        <v>267</v>
      </c>
      <c r="G77" t="str">
        <f>_xlfn.XLOOKUP(frasest[[#This Row],[author_es]],autorest[author_es],autorest[author_la])</f>
        <v>Proverbium Arabica</v>
      </c>
      <c r="H77" t="str">
        <f>_xlfn.XLOOKUP(frasest[[#This Row],[author_es]],autorest[author_es],autorest[bio_es])</f>
        <v>Proverbios tradicionales de la cultura árabe que transmiten valores de hospitalidad, honor, paciencia y sabiduría práctica.</v>
      </c>
      <c r="I77" t="str">
        <f>_xlfn.XLOOKUP(frasest[[#This Row],[author_es]],autorest[author_es],autorest[bio_la])</f>
        <v>Collectio sententiarum Arabicarum.</v>
      </c>
      <c r="J77" t="str">
        <f>_xlfn.XLOOKUP(frasest[[#This Row],[author_es]],autorest[author_es],autorest[iso3691])</f>
        <v>ar</v>
      </c>
      <c r="K77" t="str">
        <f>_xlfn.XLOOKUP(frasest[[#This Row],[author_es]],autorest[author_es],autorest[language_es])</f>
        <v>Árabe</v>
      </c>
      <c r="L77" t="str">
        <f>_xlfn.XLOOKUP(frasest[[#This Row],[author_es]],autorest[author_es],autorest[language_la])</f>
        <v>Lingua Arabica</v>
      </c>
      <c r="M77" t="str">
        <f>_xlfn.XLOOKUP(frasest[[#This Row],[author_es]],autorest[author_es],autorest[nation_es])</f>
        <v>Arabia Saudita</v>
      </c>
      <c r="N77" t="str">
        <f>_xlfn.XLOOKUP(frasest[[#This Row],[author_es]],autorest[author_es],autorest[nation_la])</f>
        <v>Arabia Saudita</v>
      </c>
      <c r="O77" t="str">
        <f>_xlfn.XLOOKUP(frasest[[#This Row],[author_es]],autorest[author_es],autorest[age_es])</f>
        <v>Epoca Desconocida</v>
      </c>
      <c r="P77" t="str">
        <f>_xlfn.XLOOKUP(frasest[[#This Row],[author_es]],autorest[author_es],autorest[age_la])</f>
        <v>Epocha Ignota</v>
      </c>
      <c r="Q77" t="str">
        <f>_xlfn.XLOOKUP(frasest[[#This Row],[author_es]],autorest[author_es],autorest[image])</f>
        <v>https://i.ibb.co/1fdqG2fh/arabia.png</v>
      </c>
      <c r="R77">
        <f>_xlfn.XLOOKUP(frasest[[#This Row],[author_es]],autorest[author_es],autorest[image_atr])</f>
        <v>0</v>
      </c>
    </row>
    <row r="78" spans="1:18" ht="18">
      <c r="A78">
        <v>77</v>
      </c>
      <c r="B78" t="s">
        <v>277</v>
      </c>
      <c r="C78" t="s">
        <v>278</v>
      </c>
      <c r="D78" s="3" t="s">
        <v>279</v>
      </c>
      <c r="E78" t="s">
        <v>267</v>
      </c>
      <c r="G78" t="str">
        <f>_xlfn.XLOOKUP(frasest[[#This Row],[author_es]],autorest[author_es],autorest[author_la])</f>
        <v>Proverbium Arabica</v>
      </c>
      <c r="H78" t="str">
        <f>_xlfn.XLOOKUP(frasest[[#This Row],[author_es]],autorest[author_es],autorest[bio_es])</f>
        <v>Proverbios tradicionales de la cultura árabe que transmiten valores de hospitalidad, honor, paciencia y sabiduría práctica.</v>
      </c>
      <c r="I78" t="str">
        <f>_xlfn.XLOOKUP(frasest[[#This Row],[author_es]],autorest[author_es],autorest[bio_la])</f>
        <v>Collectio sententiarum Arabicarum.</v>
      </c>
      <c r="J78" t="str">
        <f>_xlfn.XLOOKUP(frasest[[#This Row],[author_es]],autorest[author_es],autorest[iso3691])</f>
        <v>ar</v>
      </c>
      <c r="K78" t="str">
        <f>_xlfn.XLOOKUP(frasest[[#This Row],[author_es]],autorest[author_es],autorest[language_es])</f>
        <v>Árabe</v>
      </c>
      <c r="L78" t="str">
        <f>_xlfn.XLOOKUP(frasest[[#This Row],[author_es]],autorest[author_es],autorest[language_la])</f>
        <v>Lingua Arabica</v>
      </c>
      <c r="M78" t="str">
        <f>_xlfn.XLOOKUP(frasest[[#This Row],[author_es]],autorest[author_es],autorest[nation_es])</f>
        <v>Arabia Saudita</v>
      </c>
      <c r="N78" t="str">
        <f>_xlfn.XLOOKUP(frasest[[#This Row],[author_es]],autorest[author_es],autorest[nation_la])</f>
        <v>Arabia Saudita</v>
      </c>
      <c r="O78" t="str">
        <f>_xlfn.XLOOKUP(frasest[[#This Row],[author_es]],autorest[author_es],autorest[age_es])</f>
        <v>Epoca Desconocida</v>
      </c>
      <c r="P78" t="str">
        <f>_xlfn.XLOOKUP(frasest[[#This Row],[author_es]],autorest[author_es],autorest[age_la])</f>
        <v>Epocha Ignota</v>
      </c>
      <c r="Q78" t="str">
        <f>_xlfn.XLOOKUP(frasest[[#This Row],[author_es]],autorest[author_es],autorest[image])</f>
        <v>https://i.ibb.co/1fdqG2fh/arabia.png</v>
      </c>
      <c r="R78">
        <f>_xlfn.XLOOKUP(frasest[[#This Row],[author_es]],autorest[author_es],autorest[image_atr])</f>
        <v>0</v>
      </c>
    </row>
    <row r="79" spans="1:18" ht="18">
      <c r="A79">
        <v>78</v>
      </c>
      <c r="B79" t="s">
        <v>280</v>
      </c>
      <c r="C79" t="s">
        <v>281</v>
      </c>
      <c r="D79" s="3" t="s">
        <v>282</v>
      </c>
      <c r="E79" t="s">
        <v>267</v>
      </c>
      <c r="G79" t="str">
        <f>_xlfn.XLOOKUP(frasest[[#This Row],[author_es]],autorest[author_es],autorest[author_la])</f>
        <v>Proverbium Arabica</v>
      </c>
      <c r="H79" t="str">
        <f>_xlfn.XLOOKUP(frasest[[#This Row],[author_es]],autorest[author_es],autorest[bio_es])</f>
        <v>Proverbios tradicionales de la cultura árabe que transmiten valores de hospitalidad, honor, paciencia y sabiduría práctica.</v>
      </c>
      <c r="I79" t="str">
        <f>_xlfn.XLOOKUP(frasest[[#This Row],[author_es]],autorest[author_es],autorest[bio_la])</f>
        <v>Collectio sententiarum Arabicarum.</v>
      </c>
      <c r="J79" t="str">
        <f>_xlfn.XLOOKUP(frasest[[#This Row],[author_es]],autorest[author_es],autorest[iso3691])</f>
        <v>ar</v>
      </c>
      <c r="K79" t="str">
        <f>_xlfn.XLOOKUP(frasest[[#This Row],[author_es]],autorest[author_es],autorest[language_es])</f>
        <v>Árabe</v>
      </c>
      <c r="L79" t="str">
        <f>_xlfn.XLOOKUP(frasest[[#This Row],[author_es]],autorest[author_es],autorest[language_la])</f>
        <v>Lingua Arabica</v>
      </c>
      <c r="M79" t="str">
        <f>_xlfn.XLOOKUP(frasest[[#This Row],[author_es]],autorest[author_es],autorest[nation_es])</f>
        <v>Arabia Saudita</v>
      </c>
      <c r="N79" t="str">
        <f>_xlfn.XLOOKUP(frasest[[#This Row],[author_es]],autorest[author_es],autorest[nation_la])</f>
        <v>Arabia Saudita</v>
      </c>
      <c r="O79" t="str">
        <f>_xlfn.XLOOKUP(frasest[[#This Row],[author_es]],autorest[author_es],autorest[age_es])</f>
        <v>Epoca Desconocida</v>
      </c>
      <c r="P79" t="str">
        <f>_xlfn.XLOOKUP(frasest[[#This Row],[author_es]],autorest[author_es],autorest[age_la])</f>
        <v>Epocha Ignota</v>
      </c>
      <c r="Q79" t="str">
        <f>_xlfn.XLOOKUP(frasest[[#This Row],[author_es]],autorest[author_es],autorest[image])</f>
        <v>https://i.ibb.co/1fdqG2fh/arabia.png</v>
      </c>
      <c r="R79">
        <f>_xlfn.XLOOKUP(frasest[[#This Row],[author_es]],autorest[author_es],autorest[image_atr])</f>
        <v>0</v>
      </c>
    </row>
    <row r="80" spans="1:18" ht="18">
      <c r="A80">
        <v>79</v>
      </c>
      <c r="B80" t="s">
        <v>283</v>
      </c>
      <c r="C80" t="s">
        <v>284</v>
      </c>
      <c r="D80" s="3" t="s">
        <v>285</v>
      </c>
      <c r="E80" t="s">
        <v>267</v>
      </c>
      <c r="G80" t="str">
        <f>_xlfn.XLOOKUP(frasest[[#This Row],[author_es]],autorest[author_es],autorest[author_la])</f>
        <v>Proverbium Arabica</v>
      </c>
      <c r="H80" t="str">
        <f>_xlfn.XLOOKUP(frasest[[#This Row],[author_es]],autorest[author_es],autorest[bio_es])</f>
        <v>Proverbios tradicionales de la cultura árabe que transmiten valores de hospitalidad, honor, paciencia y sabiduría práctica.</v>
      </c>
      <c r="I80" t="str">
        <f>_xlfn.XLOOKUP(frasest[[#This Row],[author_es]],autorest[author_es],autorest[bio_la])</f>
        <v>Collectio sententiarum Arabicarum.</v>
      </c>
      <c r="J80" t="str">
        <f>_xlfn.XLOOKUP(frasest[[#This Row],[author_es]],autorest[author_es],autorest[iso3691])</f>
        <v>ar</v>
      </c>
      <c r="K80" t="str">
        <f>_xlfn.XLOOKUP(frasest[[#This Row],[author_es]],autorest[author_es],autorest[language_es])</f>
        <v>Árabe</v>
      </c>
      <c r="L80" t="str">
        <f>_xlfn.XLOOKUP(frasest[[#This Row],[author_es]],autorest[author_es],autorest[language_la])</f>
        <v>Lingua Arabica</v>
      </c>
      <c r="M80" t="str">
        <f>_xlfn.XLOOKUP(frasest[[#This Row],[author_es]],autorest[author_es],autorest[nation_es])</f>
        <v>Arabia Saudita</v>
      </c>
      <c r="N80" t="str">
        <f>_xlfn.XLOOKUP(frasest[[#This Row],[author_es]],autorest[author_es],autorest[nation_la])</f>
        <v>Arabia Saudita</v>
      </c>
      <c r="O80" t="str">
        <f>_xlfn.XLOOKUP(frasest[[#This Row],[author_es]],autorest[author_es],autorest[age_es])</f>
        <v>Epoca Desconocida</v>
      </c>
      <c r="P80" t="str">
        <f>_xlfn.XLOOKUP(frasest[[#This Row],[author_es]],autorest[author_es],autorest[age_la])</f>
        <v>Epocha Ignota</v>
      </c>
      <c r="Q80" t="str">
        <f>_xlfn.XLOOKUP(frasest[[#This Row],[author_es]],autorest[author_es],autorest[image])</f>
        <v>https://i.ibb.co/1fdqG2fh/arabia.png</v>
      </c>
      <c r="R80">
        <f>_xlfn.XLOOKUP(frasest[[#This Row],[author_es]],autorest[author_es],autorest[image_atr])</f>
        <v>0</v>
      </c>
    </row>
    <row r="81" spans="1:18" ht="18">
      <c r="A81">
        <v>80</v>
      </c>
      <c r="B81" t="s">
        <v>286</v>
      </c>
      <c r="C81" t="s">
        <v>287</v>
      </c>
      <c r="D81" s="3" t="s">
        <v>288</v>
      </c>
      <c r="E81" t="s">
        <v>267</v>
      </c>
      <c r="G81" t="str">
        <f>_xlfn.XLOOKUP(frasest[[#This Row],[author_es]],autorest[author_es],autorest[author_la])</f>
        <v>Proverbium Arabica</v>
      </c>
      <c r="H81" t="str">
        <f>_xlfn.XLOOKUP(frasest[[#This Row],[author_es]],autorest[author_es],autorest[bio_es])</f>
        <v>Proverbios tradicionales de la cultura árabe que transmiten valores de hospitalidad, honor, paciencia y sabiduría práctica.</v>
      </c>
      <c r="I81" t="str">
        <f>_xlfn.XLOOKUP(frasest[[#This Row],[author_es]],autorest[author_es],autorest[bio_la])</f>
        <v>Collectio sententiarum Arabicarum.</v>
      </c>
      <c r="J81" t="str">
        <f>_xlfn.XLOOKUP(frasest[[#This Row],[author_es]],autorest[author_es],autorest[iso3691])</f>
        <v>ar</v>
      </c>
      <c r="K81" t="str">
        <f>_xlfn.XLOOKUP(frasest[[#This Row],[author_es]],autorest[author_es],autorest[language_es])</f>
        <v>Árabe</v>
      </c>
      <c r="L81" t="str">
        <f>_xlfn.XLOOKUP(frasest[[#This Row],[author_es]],autorest[author_es],autorest[language_la])</f>
        <v>Lingua Arabica</v>
      </c>
      <c r="M81" t="str">
        <f>_xlfn.XLOOKUP(frasest[[#This Row],[author_es]],autorest[author_es],autorest[nation_es])</f>
        <v>Arabia Saudita</v>
      </c>
      <c r="N81" t="str">
        <f>_xlfn.XLOOKUP(frasest[[#This Row],[author_es]],autorest[author_es],autorest[nation_la])</f>
        <v>Arabia Saudita</v>
      </c>
      <c r="O81" t="str">
        <f>_xlfn.XLOOKUP(frasest[[#This Row],[author_es]],autorest[author_es],autorest[age_es])</f>
        <v>Epoca Desconocida</v>
      </c>
      <c r="P81" t="str">
        <f>_xlfn.XLOOKUP(frasest[[#This Row],[author_es]],autorest[author_es],autorest[age_la])</f>
        <v>Epocha Ignota</v>
      </c>
      <c r="Q81" t="str">
        <f>_xlfn.XLOOKUP(frasest[[#This Row],[author_es]],autorest[author_es],autorest[image])</f>
        <v>https://i.ibb.co/1fdqG2fh/arabia.png</v>
      </c>
      <c r="R81">
        <f>_xlfn.XLOOKUP(frasest[[#This Row],[author_es]],autorest[author_es],autorest[image_atr])</f>
        <v>0</v>
      </c>
    </row>
    <row r="82" spans="1:18" ht="18">
      <c r="A82">
        <v>81</v>
      </c>
      <c r="B82" t="s">
        <v>289</v>
      </c>
      <c r="C82" t="s">
        <v>290</v>
      </c>
      <c r="D82" s="3" t="s">
        <v>291</v>
      </c>
      <c r="E82" t="s">
        <v>267</v>
      </c>
      <c r="G82" t="str">
        <f>_xlfn.XLOOKUP(frasest[[#This Row],[author_es]],autorest[author_es],autorest[author_la])</f>
        <v>Proverbium Arabica</v>
      </c>
      <c r="H82" t="str">
        <f>_xlfn.XLOOKUP(frasest[[#This Row],[author_es]],autorest[author_es],autorest[bio_es])</f>
        <v>Proverbios tradicionales de la cultura árabe que transmiten valores de hospitalidad, honor, paciencia y sabiduría práctica.</v>
      </c>
      <c r="I82" t="str">
        <f>_xlfn.XLOOKUP(frasest[[#This Row],[author_es]],autorest[author_es],autorest[bio_la])</f>
        <v>Collectio sententiarum Arabicarum.</v>
      </c>
      <c r="J82" t="str">
        <f>_xlfn.XLOOKUP(frasest[[#This Row],[author_es]],autorest[author_es],autorest[iso3691])</f>
        <v>ar</v>
      </c>
      <c r="K82" t="str">
        <f>_xlfn.XLOOKUP(frasest[[#This Row],[author_es]],autorest[author_es],autorest[language_es])</f>
        <v>Árabe</v>
      </c>
      <c r="L82" t="str">
        <f>_xlfn.XLOOKUP(frasest[[#This Row],[author_es]],autorest[author_es],autorest[language_la])</f>
        <v>Lingua Arabica</v>
      </c>
      <c r="M82" t="str">
        <f>_xlfn.XLOOKUP(frasest[[#This Row],[author_es]],autorest[author_es],autorest[nation_es])</f>
        <v>Arabia Saudita</v>
      </c>
      <c r="N82" t="str">
        <f>_xlfn.XLOOKUP(frasest[[#This Row],[author_es]],autorest[author_es],autorest[nation_la])</f>
        <v>Arabia Saudita</v>
      </c>
      <c r="O82" t="str">
        <f>_xlfn.XLOOKUP(frasest[[#This Row],[author_es]],autorest[author_es],autorest[age_es])</f>
        <v>Epoca Desconocida</v>
      </c>
      <c r="P82" t="str">
        <f>_xlfn.XLOOKUP(frasest[[#This Row],[author_es]],autorest[author_es],autorest[age_la])</f>
        <v>Epocha Ignota</v>
      </c>
      <c r="Q82" t="str">
        <f>_xlfn.XLOOKUP(frasest[[#This Row],[author_es]],autorest[author_es],autorest[image])</f>
        <v>https://i.ibb.co/1fdqG2fh/arabia.png</v>
      </c>
      <c r="R82">
        <f>_xlfn.XLOOKUP(frasest[[#This Row],[author_es]],autorest[author_es],autorest[image_atr])</f>
        <v>0</v>
      </c>
    </row>
    <row r="83" spans="1:18" ht="18">
      <c r="A83">
        <v>82</v>
      </c>
      <c r="B83" t="s">
        <v>292</v>
      </c>
      <c r="C83" t="s">
        <v>293</v>
      </c>
      <c r="D83" s="3" t="s">
        <v>294</v>
      </c>
      <c r="E83" t="s">
        <v>267</v>
      </c>
      <c r="G83" t="str">
        <f>_xlfn.XLOOKUP(frasest[[#This Row],[author_es]],autorest[author_es],autorest[author_la])</f>
        <v>Proverbium Arabica</v>
      </c>
      <c r="H83" t="str">
        <f>_xlfn.XLOOKUP(frasest[[#This Row],[author_es]],autorest[author_es],autorest[bio_es])</f>
        <v>Proverbios tradicionales de la cultura árabe que transmiten valores de hospitalidad, honor, paciencia y sabiduría práctica.</v>
      </c>
      <c r="I83" t="str">
        <f>_xlfn.XLOOKUP(frasest[[#This Row],[author_es]],autorest[author_es],autorest[bio_la])</f>
        <v>Collectio sententiarum Arabicarum.</v>
      </c>
      <c r="J83" t="str">
        <f>_xlfn.XLOOKUP(frasest[[#This Row],[author_es]],autorest[author_es],autorest[iso3691])</f>
        <v>ar</v>
      </c>
      <c r="K83" t="str">
        <f>_xlfn.XLOOKUP(frasest[[#This Row],[author_es]],autorest[author_es],autorest[language_es])</f>
        <v>Árabe</v>
      </c>
      <c r="L83" t="str">
        <f>_xlfn.XLOOKUP(frasest[[#This Row],[author_es]],autorest[author_es],autorest[language_la])</f>
        <v>Lingua Arabica</v>
      </c>
      <c r="M83" t="str">
        <f>_xlfn.XLOOKUP(frasest[[#This Row],[author_es]],autorest[author_es],autorest[nation_es])</f>
        <v>Arabia Saudita</v>
      </c>
      <c r="N83" t="str">
        <f>_xlfn.XLOOKUP(frasest[[#This Row],[author_es]],autorest[author_es],autorest[nation_la])</f>
        <v>Arabia Saudita</v>
      </c>
      <c r="O83" t="str">
        <f>_xlfn.XLOOKUP(frasest[[#This Row],[author_es]],autorest[author_es],autorest[age_es])</f>
        <v>Epoca Desconocida</v>
      </c>
      <c r="P83" t="str">
        <f>_xlfn.XLOOKUP(frasest[[#This Row],[author_es]],autorest[author_es],autorest[age_la])</f>
        <v>Epocha Ignota</v>
      </c>
      <c r="Q83" t="str">
        <f>_xlfn.XLOOKUP(frasest[[#This Row],[author_es]],autorest[author_es],autorest[image])</f>
        <v>https://i.ibb.co/1fdqG2fh/arabia.png</v>
      </c>
      <c r="R83">
        <f>_xlfn.XLOOKUP(frasest[[#This Row],[author_es]],autorest[author_es],autorest[image_atr])</f>
        <v>0</v>
      </c>
    </row>
    <row r="84" spans="1:18" ht="18">
      <c r="A84">
        <v>83</v>
      </c>
      <c r="B84" t="s">
        <v>295</v>
      </c>
      <c r="C84" t="s">
        <v>296</v>
      </c>
      <c r="D84" s="3" t="s">
        <v>297</v>
      </c>
      <c r="E84" t="s">
        <v>298</v>
      </c>
      <c r="G84" t="str">
        <f>_xlfn.XLOOKUP(frasest[[#This Row],[author_es]],autorest[author_es],autorest[author_la])</f>
        <v>Proverbium Indica</v>
      </c>
      <c r="H84" t="str">
        <f>_xlfn.XLOOKUP(frasest[[#This Row],[author_es]],autorest[author_es],autorest[bio_es])</f>
        <v>Dichos tradicionales de la India que reflejan principios espirituales, filosóficos y morales influidos por el hinduismo y las tradiciones védicas.</v>
      </c>
      <c r="I84" t="str">
        <f>_xlfn.XLOOKUP(frasest[[#This Row],[author_es]],autorest[author_es],autorest[bio_la])</f>
        <v>Collectio sententiarum Indicarum.</v>
      </c>
      <c r="J84" t="str">
        <f>_xlfn.XLOOKUP(frasest[[#This Row],[author_es]],autorest[author_es],autorest[iso3691])</f>
        <v>hi</v>
      </c>
      <c r="K84" t="str">
        <f>_xlfn.XLOOKUP(frasest[[#This Row],[author_es]],autorest[author_es],autorest[language_es])</f>
        <v>Hindi</v>
      </c>
      <c r="L84" t="str">
        <f>_xlfn.XLOOKUP(frasest[[#This Row],[author_es]],autorest[author_es],autorest[language_la])</f>
        <v>Lingua Indica</v>
      </c>
      <c r="M84" t="str">
        <f>_xlfn.XLOOKUP(frasest[[#This Row],[author_es]],autorest[author_es],autorest[nation_es])</f>
        <v>India</v>
      </c>
      <c r="N84" t="str">
        <f>_xlfn.XLOOKUP(frasest[[#This Row],[author_es]],autorest[author_es],autorest[nation_la])</f>
        <v>India</v>
      </c>
      <c r="O84" t="str">
        <f>_xlfn.XLOOKUP(frasest[[#This Row],[author_es]],autorest[author_es],autorest[age_es])</f>
        <v>Epoca Desconocida</v>
      </c>
      <c r="P84" t="str">
        <f>_xlfn.XLOOKUP(frasest[[#This Row],[author_es]],autorest[author_es],autorest[age_la])</f>
        <v>Epocha Ignota</v>
      </c>
      <c r="Q84" t="str">
        <f>_xlfn.XLOOKUP(frasest[[#This Row],[author_es]],autorest[author_es],autorest[image])</f>
        <v>https://i.ibb.co/84cDNBHX/india.png</v>
      </c>
      <c r="R84">
        <f>_xlfn.XLOOKUP(frasest[[#This Row],[author_es]],autorest[author_es],autorest[image_atr])</f>
        <v>0</v>
      </c>
    </row>
    <row r="85" spans="1:18" ht="18">
      <c r="A85">
        <v>84</v>
      </c>
      <c r="B85" t="s">
        <v>299</v>
      </c>
      <c r="C85" t="s">
        <v>300</v>
      </c>
      <c r="D85" s="3" t="s">
        <v>301</v>
      </c>
      <c r="E85" t="s">
        <v>298</v>
      </c>
      <c r="G85" t="str">
        <f>_xlfn.XLOOKUP(frasest[[#This Row],[author_es]],autorest[author_es],autorest[author_la])</f>
        <v>Proverbium Indica</v>
      </c>
      <c r="H85" t="str">
        <f>_xlfn.XLOOKUP(frasest[[#This Row],[author_es]],autorest[author_es],autorest[bio_es])</f>
        <v>Dichos tradicionales de la India que reflejan principios espirituales, filosóficos y morales influidos por el hinduismo y las tradiciones védicas.</v>
      </c>
      <c r="I85" t="str">
        <f>_xlfn.XLOOKUP(frasest[[#This Row],[author_es]],autorest[author_es],autorest[bio_la])</f>
        <v>Collectio sententiarum Indicarum.</v>
      </c>
      <c r="J85" t="str">
        <f>_xlfn.XLOOKUP(frasest[[#This Row],[author_es]],autorest[author_es],autorest[iso3691])</f>
        <v>hi</v>
      </c>
      <c r="K85" t="str">
        <f>_xlfn.XLOOKUP(frasest[[#This Row],[author_es]],autorest[author_es],autorest[language_es])</f>
        <v>Hindi</v>
      </c>
      <c r="L85" t="str">
        <f>_xlfn.XLOOKUP(frasest[[#This Row],[author_es]],autorest[author_es],autorest[language_la])</f>
        <v>Lingua Indica</v>
      </c>
      <c r="M85" t="str">
        <f>_xlfn.XLOOKUP(frasest[[#This Row],[author_es]],autorest[author_es],autorest[nation_es])</f>
        <v>India</v>
      </c>
      <c r="N85" t="str">
        <f>_xlfn.XLOOKUP(frasest[[#This Row],[author_es]],autorest[author_es],autorest[nation_la])</f>
        <v>India</v>
      </c>
      <c r="O85" t="str">
        <f>_xlfn.XLOOKUP(frasest[[#This Row],[author_es]],autorest[author_es],autorest[age_es])</f>
        <v>Epoca Desconocida</v>
      </c>
      <c r="P85" t="str">
        <f>_xlfn.XLOOKUP(frasest[[#This Row],[author_es]],autorest[author_es],autorest[age_la])</f>
        <v>Epocha Ignota</v>
      </c>
      <c r="Q85" t="str">
        <f>_xlfn.XLOOKUP(frasest[[#This Row],[author_es]],autorest[author_es],autorest[image])</f>
        <v>https://i.ibb.co/84cDNBHX/india.png</v>
      </c>
      <c r="R85">
        <f>_xlfn.XLOOKUP(frasest[[#This Row],[author_es]],autorest[author_es],autorest[image_atr])</f>
        <v>0</v>
      </c>
    </row>
    <row r="86" spans="1:18" ht="18">
      <c r="A86">
        <v>85</v>
      </c>
      <c r="B86" t="s">
        <v>302</v>
      </c>
      <c r="C86" t="s">
        <v>303</v>
      </c>
      <c r="D86" s="3" t="s">
        <v>304</v>
      </c>
      <c r="E86" t="s">
        <v>298</v>
      </c>
      <c r="G86" t="str">
        <f>_xlfn.XLOOKUP(frasest[[#This Row],[author_es]],autorest[author_es],autorest[author_la])</f>
        <v>Proverbium Indica</v>
      </c>
      <c r="H86" t="str">
        <f>_xlfn.XLOOKUP(frasest[[#This Row],[author_es]],autorest[author_es],autorest[bio_es])</f>
        <v>Dichos tradicionales de la India que reflejan principios espirituales, filosóficos y morales influidos por el hinduismo y las tradiciones védicas.</v>
      </c>
      <c r="I86" t="str">
        <f>_xlfn.XLOOKUP(frasest[[#This Row],[author_es]],autorest[author_es],autorest[bio_la])</f>
        <v>Collectio sententiarum Indicarum.</v>
      </c>
      <c r="J86" t="str">
        <f>_xlfn.XLOOKUP(frasest[[#This Row],[author_es]],autorest[author_es],autorest[iso3691])</f>
        <v>hi</v>
      </c>
      <c r="K86" t="str">
        <f>_xlfn.XLOOKUP(frasest[[#This Row],[author_es]],autorest[author_es],autorest[language_es])</f>
        <v>Hindi</v>
      </c>
      <c r="L86" t="str">
        <f>_xlfn.XLOOKUP(frasest[[#This Row],[author_es]],autorest[author_es],autorest[language_la])</f>
        <v>Lingua Indica</v>
      </c>
      <c r="M86" t="str">
        <f>_xlfn.XLOOKUP(frasest[[#This Row],[author_es]],autorest[author_es],autorest[nation_es])</f>
        <v>India</v>
      </c>
      <c r="N86" t="str">
        <f>_xlfn.XLOOKUP(frasest[[#This Row],[author_es]],autorest[author_es],autorest[nation_la])</f>
        <v>India</v>
      </c>
      <c r="O86" t="str">
        <f>_xlfn.XLOOKUP(frasest[[#This Row],[author_es]],autorest[author_es],autorest[age_es])</f>
        <v>Epoca Desconocida</v>
      </c>
      <c r="P86" t="str">
        <f>_xlfn.XLOOKUP(frasest[[#This Row],[author_es]],autorest[author_es],autorest[age_la])</f>
        <v>Epocha Ignota</v>
      </c>
      <c r="Q86" t="str">
        <f>_xlfn.XLOOKUP(frasest[[#This Row],[author_es]],autorest[author_es],autorest[image])</f>
        <v>https://i.ibb.co/84cDNBHX/india.png</v>
      </c>
      <c r="R86">
        <f>_xlfn.XLOOKUP(frasest[[#This Row],[author_es]],autorest[author_es],autorest[image_atr])</f>
        <v>0</v>
      </c>
    </row>
    <row r="87" spans="1:18" ht="18">
      <c r="A87">
        <v>86</v>
      </c>
      <c r="B87" t="s">
        <v>305</v>
      </c>
      <c r="C87" t="s">
        <v>306</v>
      </c>
      <c r="D87" s="3" t="s">
        <v>307</v>
      </c>
      <c r="E87" t="s">
        <v>298</v>
      </c>
      <c r="G87" t="str">
        <f>_xlfn.XLOOKUP(frasest[[#This Row],[author_es]],autorest[author_es],autorest[author_la])</f>
        <v>Proverbium Indica</v>
      </c>
      <c r="H87" t="str">
        <f>_xlfn.XLOOKUP(frasest[[#This Row],[author_es]],autorest[author_es],autorest[bio_es])</f>
        <v>Dichos tradicionales de la India que reflejan principios espirituales, filosóficos y morales influidos por el hinduismo y las tradiciones védicas.</v>
      </c>
      <c r="I87" t="str">
        <f>_xlfn.XLOOKUP(frasest[[#This Row],[author_es]],autorest[author_es],autorest[bio_la])</f>
        <v>Collectio sententiarum Indicarum.</v>
      </c>
      <c r="J87" t="str">
        <f>_xlfn.XLOOKUP(frasest[[#This Row],[author_es]],autorest[author_es],autorest[iso3691])</f>
        <v>hi</v>
      </c>
      <c r="K87" t="str">
        <f>_xlfn.XLOOKUP(frasest[[#This Row],[author_es]],autorest[author_es],autorest[language_es])</f>
        <v>Hindi</v>
      </c>
      <c r="L87" t="str">
        <f>_xlfn.XLOOKUP(frasest[[#This Row],[author_es]],autorest[author_es],autorest[language_la])</f>
        <v>Lingua Indica</v>
      </c>
      <c r="M87" t="str">
        <f>_xlfn.XLOOKUP(frasest[[#This Row],[author_es]],autorest[author_es],autorest[nation_es])</f>
        <v>India</v>
      </c>
      <c r="N87" t="str">
        <f>_xlfn.XLOOKUP(frasest[[#This Row],[author_es]],autorest[author_es],autorest[nation_la])</f>
        <v>India</v>
      </c>
      <c r="O87" t="str">
        <f>_xlfn.XLOOKUP(frasest[[#This Row],[author_es]],autorest[author_es],autorest[age_es])</f>
        <v>Epoca Desconocida</v>
      </c>
      <c r="P87" t="str">
        <f>_xlfn.XLOOKUP(frasest[[#This Row],[author_es]],autorest[author_es],autorest[age_la])</f>
        <v>Epocha Ignota</v>
      </c>
      <c r="Q87" t="str">
        <f>_xlfn.XLOOKUP(frasest[[#This Row],[author_es]],autorest[author_es],autorest[image])</f>
        <v>https://i.ibb.co/84cDNBHX/india.png</v>
      </c>
      <c r="R87">
        <f>_xlfn.XLOOKUP(frasest[[#This Row],[author_es]],autorest[author_es],autorest[image_atr])</f>
        <v>0</v>
      </c>
    </row>
    <row r="88" spans="1:18" ht="18">
      <c r="A88">
        <v>87</v>
      </c>
      <c r="B88" t="s">
        <v>308</v>
      </c>
      <c r="C88" t="s">
        <v>309</v>
      </c>
      <c r="D88" s="3" t="s">
        <v>310</v>
      </c>
      <c r="E88" t="s">
        <v>298</v>
      </c>
      <c r="G88" t="str">
        <f>_xlfn.XLOOKUP(frasest[[#This Row],[author_es]],autorest[author_es],autorest[author_la])</f>
        <v>Proverbium Indica</v>
      </c>
      <c r="H88" t="str">
        <f>_xlfn.XLOOKUP(frasest[[#This Row],[author_es]],autorest[author_es],autorest[bio_es])</f>
        <v>Dichos tradicionales de la India que reflejan principios espirituales, filosóficos y morales influidos por el hinduismo y las tradiciones védicas.</v>
      </c>
      <c r="I88" t="str">
        <f>_xlfn.XLOOKUP(frasest[[#This Row],[author_es]],autorest[author_es],autorest[bio_la])</f>
        <v>Collectio sententiarum Indicarum.</v>
      </c>
      <c r="J88" t="str">
        <f>_xlfn.XLOOKUP(frasest[[#This Row],[author_es]],autorest[author_es],autorest[iso3691])</f>
        <v>hi</v>
      </c>
      <c r="K88" t="str">
        <f>_xlfn.XLOOKUP(frasest[[#This Row],[author_es]],autorest[author_es],autorest[language_es])</f>
        <v>Hindi</v>
      </c>
      <c r="L88" t="str">
        <f>_xlfn.XLOOKUP(frasest[[#This Row],[author_es]],autorest[author_es],autorest[language_la])</f>
        <v>Lingua Indica</v>
      </c>
      <c r="M88" t="str">
        <f>_xlfn.XLOOKUP(frasest[[#This Row],[author_es]],autorest[author_es],autorest[nation_es])</f>
        <v>India</v>
      </c>
      <c r="N88" t="str">
        <f>_xlfn.XLOOKUP(frasest[[#This Row],[author_es]],autorest[author_es],autorest[nation_la])</f>
        <v>India</v>
      </c>
      <c r="O88" t="str">
        <f>_xlfn.XLOOKUP(frasest[[#This Row],[author_es]],autorest[author_es],autorest[age_es])</f>
        <v>Epoca Desconocida</v>
      </c>
      <c r="P88" t="str">
        <f>_xlfn.XLOOKUP(frasest[[#This Row],[author_es]],autorest[author_es],autorest[age_la])</f>
        <v>Epocha Ignota</v>
      </c>
      <c r="Q88" t="str">
        <f>_xlfn.XLOOKUP(frasest[[#This Row],[author_es]],autorest[author_es],autorest[image])</f>
        <v>https://i.ibb.co/84cDNBHX/india.png</v>
      </c>
      <c r="R88">
        <f>_xlfn.XLOOKUP(frasest[[#This Row],[author_es]],autorest[author_es],autorest[image_atr])</f>
        <v>0</v>
      </c>
    </row>
    <row r="89" spans="1:18" ht="18">
      <c r="A89">
        <v>88</v>
      </c>
      <c r="B89" t="s">
        <v>311</v>
      </c>
      <c r="C89" t="s">
        <v>312</v>
      </c>
      <c r="D89" s="3" t="s">
        <v>313</v>
      </c>
      <c r="E89" t="s">
        <v>298</v>
      </c>
      <c r="G89" t="str">
        <f>_xlfn.XLOOKUP(frasest[[#This Row],[author_es]],autorest[author_es],autorest[author_la])</f>
        <v>Proverbium Indica</v>
      </c>
      <c r="H89" t="str">
        <f>_xlfn.XLOOKUP(frasest[[#This Row],[author_es]],autorest[author_es],autorest[bio_es])</f>
        <v>Dichos tradicionales de la India que reflejan principios espirituales, filosóficos y morales influidos por el hinduismo y las tradiciones védicas.</v>
      </c>
      <c r="I89" t="str">
        <f>_xlfn.XLOOKUP(frasest[[#This Row],[author_es]],autorest[author_es],autorest[bio_la])</f>
        <v>Collectio sententiarum Indicarum.</v>
      </c>
      <c r="J89" t="str">
        <f>_xlfn.XLOOKUP(frasest[[#This Row],[author_es]],autorest[author_es],autorest[iso3691])</f>
        <v>hi</v>
      </c>
      <c r="K89" t="str">
        <f>_xlfn.XLOOKUP(frasest[[#This Row],[author_es]],autorest[author_es],autorest[language_es])</f>
        <v>Hindi</v>
      </c>
      <c r="L89" t="str">
        <f>_xlfn.XLOOKUP(frasest[[#This Row],[author_es]],autorest[author_es],autorest[language_la])</f>
        <v>Lingua Indica</v>
      </c>
      <c r="M89" t="str">
        <f>_xlfn.XLOOKUP(frasest[[#This Row],[author_es]],autorest[author_es],autorest[nation_es])</f>
        <v>India</v>
      </c>
      <c r="N89" t="str">
        <f>_xlfn.XLOOKUP(frasest[[#This Row],[author_es]],autorest[author_es],autorest[nation_la])</f>
        <v>India</v>
      </c>
      <c r="O89" t="str">
        <f>_xlfn.XLOOKUP(frasest[[#This Row],[author_es]],autorest[author_es],autorest[age_es])</f>
        <v>Epoca Desconocida</v>
      </c>
      <c r="P89" t="str">
        <f>_xlfn.XLOOKUP(frasest[[#This Row],[author_es]],autorest[author_es],autorest[age_la])</f>
        <v>Epocha Ignota</v>
      </c>
      <c r="Q89" t="str">
        <f>_xlfn.XLOOKUP(frasest[[#This Row],[author_es]],autorest[author_es],autorest[image])</f>
        <v>https://i.ibb.co/84cDNBHX/india.png</v>
      </c>
      <c r="R89">
        <f>_xlfn.XLOOKUP(frasest[[#This Row],[author_es]],autorest[author_es],autorest[image_atr])</f>
        <v>0</v>
      </c>
    </row>
    <row r="90" spans="1:18" ht="18">
      <c r="A90">
        <v>89</v>
      </c>
      <c r="B90" t="s">
        <v>314</v>
      </c>
      <c r="C90" t="s">
        <v>315</v>
      </c>
      <c r="D90" s="3" t="s">
        <v>316</v>
      </c>
      <c r="E90" t="s">
        <v>298</v>
      </c>
      <c r="G90" t="str">
        <f>_xlfn.XLOOKUP(frasest[[#This Row],[author_es]],autorest[author_es],autorest[author_la])</f>
        <v>Proverbium Indica</v>
      </c>
      <c r="H90" t="str">
        <f>_xlfn.XLOOKUP(frasest[[#This Row],[author_es]],autorest[author_es],autorest[bio_es])</f>
        <v>Dichos tradicionales de la India que reflejan principios espirituales, filosóficos y morales influidos por el hinduismo y las tradiciones védicas.</v>
      </c>
      <c r="I90" t="str">
        <f>_xlfn.XLOOKUP(frasest[[#This Row],[author_es]],autorest[author_es],autorest[bio_la])</f>
        <v>Collectio sententiarum Indicarum.</v>
      </c>
      <c r="J90" t="str">
        <f>_xlfn.XLOOKUP(frasest[[#This Row],[author_es]],autorest[author_es],autorest[iso3691])</f>
        <v>hi</v>
      </c>
      <c r="K90" t="str">
        <f>_xlfn.XLOOKUP(frasest[[#This Row],[author_es]],autorest[author_es],autorest[language_es])</f>
        <v>Hindi</v>
      </c>
      <c r="L90" t="str">
        <f>_xlfn.XLOOKUP(frasest[[#This Row],[author_es]],autorest[author_es],autorest[language_la])</f>
        <v>Lingua Indica</v>
      </c>
      <c r="M90" t="str">
        <f>_xlfn.XLOOKUP(frasest[[#This Row],[author_es]],autorest[author_es],autorest[nation_es])</f>
        <v>India</v>
      </c>
      <c r="N90" t="str">
        <f>_xlfn.XLOOKUP(frasest[[#This Row],[author_es]],autorest[author_es],autorest[nation_la])</f>
        <v>India</v>
      </c>
      <c r="O90" t="str">
        <f>_xlfn.XLOOKUP(frasest[[#This Row],[author_es]],autorest[author_es],autorest[age_es])</f>
        <v>Epoca Desconocida</v>
      </c>
      <c r="P90" t="str">
        <f>_xlfn.XLOOKUP(frasest[[#This Row],[author_es]],autorest[author_es],autorest[age_la])</f>
        <v>Epocha Ignota</v>
      </c>
      <c r="Q90" t="str">
        <f>_xlfn.XLOOKUP(frasest[[#This Row],[author_es]],autorest[author_es],autorest[image])</f>
        <v>https://i.ibb.co/84cDNBHX/india.png</v>
      </c>
      <c r="R90">
        <f>_xlfn.XLOOKUP(frasest[[#This Row],[author_es]],autorest[author_es],autorest[image_atr])</f>
        <v>0</v>
      </c>
    </row>
    <row r="91" spans="1:18" ht="18">
      <c r="A91">
        <v>90</v>
      </c>
      <c r="B91" t="s">
        <v>317</v>
      </c>
      <c r="C91" t="s">
        <v>318</v>
      </c>
      <c r="D91" s="3" t="s">
        <v>319</v>
      </c>
      <c r="E91" t="s">
        <v>298</v>
      </c>
      <c r="G91" t="str">
        <f>_xlfn.XLOOKUP(frasest[[#This Row],[author_es]],autorest[author_es],autorest[author_la])</f>
        <v>Proverbium Indica</v>
      </c>
      <c r="H91" t="str">
        <f>_xlfn.XLOOKUP(frasest[[#This Row],[author_es]],autorest[author_es],autorest[bio_es])</f>
        <v>Dichos tradicionales de la India que reflejan principios espirituales, filosóficos y morales influidos por el hinduismo y las tradiciones védicas.</v>
      </c>
      <c r="I91" t="str">
        <f>_xlfn.XLOOKUP(frasest[[#This Row],[author_es]],autorest[author_es],autorest[bio_la])</f>
        <v>Collectio sententiarum Indicarum.</v>
      </c>
      <c r="J91" t="str">
        <f>_xlfn.XLOOKUP(frasest[[#This Row],[author_es]],autorest[author_es],autorest[iso3691])</f>
        <v>hi</v>
      </c>
      <c r="K91" t="str">
        <f>_xlfn.XLOOKUP(frasest[[#This Row],[author_es]],autorest[author_es],autorest[language_es])</f>
        <v>Hindi</v>
      </c>
      <c r="L91" t="str">
        <f>_xlfn.XLOOKUP(frasest[[#This Row],[author_es]],autorest[author_es],autorest[language_la])</f>
        <v>Lingua Indica</v>
      </c>
      <c r="M91" t="str">
        <f>_xlfn.XLOOKUP(frasest[[#This Row],[author_es]],autorest[author_es],autorest[nation_es])</f>
        <v>India</v>
      </c>
      <c r="N91" t="str">
        <f>_xlfn.XLOOKUP(frasest[[#This Row],[author_es]],autorest[author_es],autorest[nation_la])</f>
        <v>India</v>
      </c>
      <c r="O91" t="str">
        <f>_xlfn.XLOOKUP(frasest[[#This Row],[author_es]],autorest[author_es],autorest[age_es])</f>
        <v>Epoca Desconocida</v>
      </c>
      <c r="P91" t="str">
        <f>_xlfn.XLOOKUP(frasest[[#This Row],[author_es]],autorest[author_es],autorest[age_la])</f>
        <v>Epocha Ignota</v>
      </c>
      <c r="Q91" t="str">
        <f>_xlfn.XLOOKUP(frasest[[#This Row],[author_es]],autorest[author_es],autorest[image])</f>
        <v>https://i.ibb.co/84cDNBHX/india.png</v>
      </c>
      <c r="R91">
        <f>_xlfn.XLOOKUP(frasest[[#This Row],[author_es]],autorest[author_es],autorest[image_atr])</f>
        <v>0</v>
      </c>
    </row>
    <row r="92" spans="1:18" ht="18">
      <c r="A92">
        <v>91</v>
      </c>
      <c r="B92" t="s">
        <v>320</v>
      </c>
      <c r="C92" t="s">
        <v>321</v>
      </c>
      <c r="D92" s="3" t="s">
        <v>322</v>
      </c>
      <c r="E92" t="s">
        <v>298</v>
      </c>
      <c r="G92" t="str">
        <f>_xlfn.XLOOKUP(frasest[[#This Row],[author_es]],autorest[author_es],autorest[author_la])</f>
        <v>Proverbium Indica</v>
      </c>
      <c r="H92" t="str">
        <f>_xlfn.XLOOKUP(frasest[[#This Row],[author_es]],autorest[author_es],autorest[bio_es])</f>
        <v>Dichos tradicionales de la India que reflejan principios espirituales, filosóficos y morales influidos por el hinduismo y las tradiciones védicas.</v>
      </c>
      <c r="I92" t="str">
        <f>_xlfn.XLOOKUP(frasest[[#This Row],[author_es]],autorest[author_es],autorest[bio_la])</f>
        <v>Collectio sententiarum Indicarum.</v>
      </c>
      <c r="J92" t="str">
        <f>_xlfn.XLOOKUP(frasest[[#This Row],[author_es]],autorest[author_es],autorest[iso3691])</f>
        <v>hi</v>
      </c>
      <c r="K92" t="str">
        <f>_xlfn.XLOOKUP(frasest[[#This Row],[author_es]],autorest[author_es],autorest[language_es])</f>
        <v>Hindi</v>
      </c>
      <c r="L92" t="str">
        <f>_xlfn.XLOOKUP(frasest[[#This Row],[author_es]],autorest[author_es],autorest[language_la])</f>
        <v>Lingua Indica</v>
      </c>
      <c r="M92" t="str">
        <f>_xlfn.XLOOKUP(frasest[[#This Row],[author_es]],autorest[author_es],autorest[nation_es])</f>
        <v>India</v>
      </c>
      <c r="N92" t="str">
        <f>_xlfn.XLOOKUP(frasest[[#This Row],[author_es]],autorest[author_es],autorest[nation_la])</f>
        <v>India</v>
      </c>
      <c r="O92" t="str">
        <f>_xlfn.XLOOKUP(frasest[[#This Row],[author_es]],autorest[author_es],autorest[age_es])</f>
        <v>Epoca Desconocida</v>
      </c>
      <c r="P92" t="str">
        <f>_xlfn.XLOOKUP(frasest[[#This Row],[author_es]],autorest[author_es],autorest[age_la])</f>
        <v>Epocha Ignota</v>
      </c>
      <c r="Q92" t="str">
        <f>_xlfn.XLOOKUP(frasest[[#This Row],[author_es]],autorest[author_es],autorest[image])</f>
        <v>https://i.ibb.co/84cDNBHX/india.png</v>
      </c>
      <c r="R92">
        <f>_xlfn.XLOOKUP(frasest[[#This Row],[author_es]],autorest[author_es],autorest[image_atr])</f>
        <v>0</v>
      </c>
    </row>
    <row r="93" spans="1:18" ht="18">
      <c r="A93">
        <v>92</v>
      </c>
      <c r="B93" t="s">
        <v>323</v>
      </c>
      <c r="C93" t="s">
        <v>324</v>
      </c>
      <c r="D93" s="3" t="s">
        <v>325</v>
      </c>
      <c r="E93" t="s">
        <v>298</v>
      </c>
      <c r="G93" t="str">
        <f>_xlfn.XLOOKUP(frasest[[#This Row],[author_es]],autorest[author_es],autorest[author_la])</f>
        <v>Proverbium Indica</v>
      </c>
      <c r="H93" t="str">
        <f>_xlfn.XLOOKUP(frasest[[#This Row],[author_es]],autorest[author_es],autorest[bio_es])</f>
        <v>Dichos tradicionales de la India que reflejan principios espirituales, filosóficos y morales influidos por el hinduismo y las tradiciones védicas.</v>
      </c>
      <c r="I93" t="str">
        <f>_xlfn.XLOOKUP(frasest[[#This Row],[author_es]],autorest[author_es],autorest[bio_la])</f>
        <v>Collectio sententiarum Indicarum.</v>
      </c>
      <c r="J93" t="str">
        <f>_xlfn.XLOOKUP(frasest[[#This Row],[author_es]],autorest[author_es],autorest[iso3691])</f>
        <v>hi</v>
      </c>
      <c r="K93" t="str">
        <f>_xlfn.XLOOKUP(frasest[[#This Row],[author_es]],autorest[author_es],autorest[language_es])</f>
        <v>Hindi</v>
      </c>
      <c r="L93" t="str">
        <f>_xlfn.XLOOKUP(frasest[[#This Row],[author_es]],autorest[author_es],autorest[language_la])</f>
        <v>Lingua Indica</v>
      </c>
      <c r="M93" t="str">
        <f>_xlfn.XLOOKUP(frasest[[#This Row],[author_es]],autorest[author_es],autorest[nation_es])</f>
        <v>India</v>
      </c>
      <c r="N93" t="str">
        <f>_xlfn.XLOOKUP(frasest[[#This Row],[author_es]],autorest[author_es],autorest[nation_la])</f>
        <v>India</v>
      </c>
      <c r="O93" t="str">
        <f>_xlfn.XLOOKUP(frasest[[#This Row],[author_es]],autorest[author_es],autorest[age_es])</f>
        <v>Epoca Desconocida</v>
      </c>
      <c r="P93" t="str">
        <f>_xlfn.XLOOKUP(frasest[[#This Row],[author_es]],autorest[author_es],autorest[age_la])</f>
        <v>Epocha Ignota</v>
      </c>
      <c r="Q93" t="str">
        <f>_xlfn.XLOOKUP(frasest[[#This Row],[author_es]],autorest[author_es],autorest[image])</f>
        <v>https://i.ibb.co/84cDNBHX/india.png</v>
      </c>
      <c r="R93">
        <f>_xlfn.XLOOKUP(frasest[[#This Row],[author_es]],autorest[author_es],autorest[image_atr])</f>
        <v>0</v>
      </c>
    </row>
    <row r="94" spans="1:18">
      <c r="A94">
        <v>93</v>
      </c>
      <c r="B94" t="s">
        <v>326</v>
      </c>
      <c r="C94" t="s">
        <v>327</v>
      </c>
      <c r="D94" t="s">
        <v>328</v>
      </c>
      <c r="E94" t="s">
        <v>329</v>
      </c>
      <c r="F94" t="s">
        <v>330</v>
      </c>
      <c r="G94" t="str">
        <f>_xlfn.XLOOKUP(frasest[[#This Row],[author_es]],autorest[author_es],autorest[author_la])</f>
        <v>Oswaldus Spengler</v>
      </c>
      <c r="H94" t="str">
        <f>_xlfn.XLOOKUP(frasest[[#This Row],[author_es]],autorest[author_es],autorest[bio_es])</f>
        <v>Filósofo e historiador alemán, autor de "La decadencia de Occidente".</v>
      </c>
      <c r="I94" t="str">
        <f>_xlfn.XLOOKUP(frasest[[#This Row],[author_es]],autorest[author_es],autorest[bio_la])</f>
        <v>Philosophus et historicus Germanicus, auctor "Occidentis Decadentia".</v>
      </c>
      <c r="J94" t="str">
        <f>_xlfn.XLOOKUP(frasest[[#This Row],[author_es]],autorest[author_es],autorest[iso3691])</f>
        <v>de</v>
      </c>
      <c r="K94" t="str">
        <f>_xlfn.XLOOKUP(frasest[[#This Row],[author_es]],autorest[author_es],autorest[language_es])</f>
        <v>Alemán</v>
      </c>
      <c r="L94" t="str">
        <f>_xlfn.XLOOKUP(frasest[[#This Row],[author_es]],autorest[author_es],autorest[language_la])</f>
        <v>Lingua Germanica</v>
      </c>
      <c r="M94" t="str">
        <f>_xlfn.XLOOKUP(frasest[[#This Row],[author_es]],autorest[author_es],autorest[nation_es])</f>
        <v>Alemania</v>
      </c>
      <c r="N94" t="str">
        <f>_xlfn.XLOOKUP(frasest[[#This Row],[author_es]],autorest[author_es],autorest[nation_la])</f>
        <v>Germania</v>
      </c>
      <c r="O94" t="str">
        <f>_xlfn.XLOOKUP(frasest[[#This Row],[author_es]],autorest[author_es],autorest[age_es])</f>
        <v>Edad Contemporánea</v>
      </c>
      <c r="P94" t="str">
        <f>_xlfn.XLOOKUP(frasest[[#This Row],[author_es]],autorest[author_es],autorest[age_la])</f>
        <v>Aetas Contemporanea</v>
      </c>
      <c r="Q94" t="str">
        <f>_xlfn.XLOOKUP(frasest[[#This Row],[author_es]],autorest[author_es],autorest[image])</f>
        <v>https://i.ibb.co/jFsMGCC/spengler.png</v>
      </c>
      <c r="R94">
        <f>_xlfn.XLOOKUP(frasest[[#This Row],[author_es]],autorest[author_es],autorest[image_atr])</f>
        <v>0</v>
      </c>
    </row>
    <row r="95" spans="1:18">
      <c r="A95">
        <v>94</v>
      </c>
      <c r="B95" t="s">
        <v>331</v>
      </c>
      <c r="C95" t="s">
        <v>332</v>
      </c>
      <c r="D95" t="s">
        <v>333</v>
      </c>
      <c r="E95" t="s">
        <v>329</v>
      </c>
      <c r="F95" t="s">
        <v>330</v>
      </c>
      <c r="G95" t="str">
        <f>_xlfn.XLOOKUP(frasest[[#This Row],[author_es]],autorest[author_es],autorest[author_la])</f>
        <v>Oswaldus Spengler</v>
      </c>
      <c r="H95" t="str">
        <f>_xlfn.XLOOKUP(frasest[[#This Row],[author_es]],autorest[author_es],autorest[bio_es])</f>
        <v>Filósofo e historiador alemán, autor de "La decadencia de Occidente".</v>
      </c>
      <c r="I95" t="str">
        <f>_xlfn.XLOOKUP(frasest[[#This Row],[author_es]],autorest[author_es],autorest[bio_la])</f>
        <v>Philosophus et historicus Germanicus, auctor "Occidentis Decadentia".</v>
      </c>
      <c r="J95" t="str">
        <f>_xlfn.XLOOKUP(frasest[[#This Row],[author_es]],autorest[author_es],autorest[iso3691])</f>
        <v>de</v>
      </c>
      <c r="K95" t="str">
        <f>_xlfn.XLOOKUP(frasest[[#This Row],[author_es]],autorest[author_es],autorest[language_es])</f>
        <v>Alemán</v>
      </c>
      <c r="L95" t="str">
        <f>_xlfn.XLOOKUP(frasest[[#This Row],[author_es]],autorest[author_es],autorest[language_la])</f>
        <v>Lingua Germanica</v>
      </c>
      <c r="M95" t="str">
        <f>_xlfn.XLOOKUP(frasest[[#This Row],[author_es]],autorest[author_es],autorest[nation_es])</f>
        <v>Alemania</v>
      </c>
      <c r="N95" t="str">
        <f>_xlfn.XLOOKUP(frasest[[#This Row],[author_es]],autorest[author_es],autorest[nation_la])</f>
        <v>Germania</v>
      </c>
      <c r="O95" t="str">
        <f>_xlfn.XLOOKUP(frasest[[#This Row],[author_es]],autorest[author_es],autorest[age_es])</f>
        <v>Edad Contemporánea</v>
      </c>
      <c r="P95" t="str">
        <f>_xlfn.XLOOKUP(frasest[[#This Row],[author_es]],autorest[author_es],autorest[age_la])</f>
        <v>Aetas Contemporanea</v>
      </c>
      <c r="Q95" t="str">
        <f>_xlfn.XLOOKUP(frasest[[#This Row],[author_es]],autorest[author_es],autorest[image])</f>
        <v>https://i.ibb.co/jFsMGCC/spengler.png</v>
      </c>
      <c r="R95">
        <f>_xlfn.XLOOKUP(frasest[[#This Row],[author_es]],autorest[author_es],autorest[image_atr])</f>
        <v>0</v>
      </c>
    </row>
    <row r="96" spans="1:18">
      <c r="A96">
        <v>95</v>
      </c>
      <c r="B96" t="s">
        <v>334</v>
      </c>
      <c r="C96" t="s">
        <v>335</v>
      </c>
      <c r="D96" t="s">
        <v>336</v>
      </c>
      <c r="E96" t="s">
        <v>329</v>
      </c>
      <c r="F96" t="s">
        <v>330</v>
      </c>
      <c r="G96" t="str">
        <f>_xlfn.XLOOKUP(frasest[[#This Row],[author_es]],autorest[author_es],autorest[author_la])</f>
        <v>Oswaldus Spengler</v>
      </c>
      <c r="H96" t="str">
        <f>_xlfn.XLOOKUP(frasest[[#This Row],[author_es]],autorest[author_es],autorest[bio_es])</f>
        <v>Filósofo e historiador alemán, autor de "La decadencia de Occidente".</v>
      </c>
      <c r="I96" t="str">
        <f>_xlfn.XLOOKUP(frasest[[#This Row],[author_es]],autorest[author_es],autorest[bio_la])</f>
        <v>Philosophus et historicus Germanicus, auctor "Occidentis Decadentia".</v>
      </c>
      <c r="J96" t="str">
        <f>_xlfn.XLOOKUP(frasest[[#This Row],[author_es]],autorest[author_es],autorest[iso3691])</f>
        <v>de</v>
      </c>
      <c r="K96" t="str">
        <f>_xlfn.XLOOKUP(frasest[[#This Row],[author_es]],autorest[author_es],autorest[language_es])</f>
        <v>Alemán</v>
      </c>
      <c r="L96" t="str">
        <f>_xlfn.XLOOKUP(frasest[[#This Row],[author_es]],autorest[author_es],autorest[language_la])</f>
        <v>Lingua Germanica</v>
      </c>
      <c r="M96" t="str">
        <f>_xlfn.XLOOKUP(frasest[[#This Row],[author_es]],autorest[author_es],autorest[nation_es])</f>
        <v>Alemania</v>
      </c>
      <c r="N96" t="str">
        <f>_xlfn.XLOOKUP(frasest[[#This Row],[author_es]],autorest[author_es],autorest[nation_la])</f>
        <v>Germania</v>
      </c>
      <c r="O96" t="str">
        <f>_xlfn.XLOOKUP(frasest[[#This Row],[author_es]],autorest[author_es],autorest[age_es])</f>
        <v>Edad Contemporánea</v>
      </c>
      <c r="P96" t="str">
        <f>_xlfn.XLOOKUP(frasest[[#This Row],[author_es]],autorest[author_es],autorest[age_la])</f>
        <v>Aetas Contemporanea</v>
      </c>
      <c r="Q96" t="str">
        <f>_xlfn.XLOOKUP(frasest[[#This Row],[author_es]],autorest[author_es],autorest[image])</f>
        <v>https://i.ibb.co/jFsMGCC/spengler.png</v>
      </c>
      <c r="R96">
        <f>_xlfn.XLOOKUP(frasest[[#This Row],[author_es]],autorest[author_es],autorest[image_atr])</f>
        <v>0</v>
      </c>
    </row>
    <row r="97" spans="1:18">
      <c r="A97">
        <v>96</v>
      </c>
      <c r="B97" t="s">
        <v>337</v>
      </c>
      <c r="C97" t="s">
        <v>338</v>
      </c>
      <c r="D97" t="s">
        <v>339</v>
      </c>
      <c r="E97" t="s">
        <v>329</v>
      </c>
      <c r="F97" t="s">
        <v>340</v>
      </c>
      <c r="G97" t="str">
        <f>_xlfn.XLOOKUP(frasest[[#This Row],[author_es]],autorest[author_es],autorest[author_la])</f>
        <v>Oswaldus Spengler</v>
      </c>
      <c r="H97" t="str">
        <f>_xlfn.XLOOKUP(frasest[[#This Row],[author_es]],autorest[author_es],autorest[bio_es])</f>
        <v>Filósofo e historiador alemán, autor de "La decadencia de Occidente".</v>
      </c>
      <c r="I97" t="str">
        <f>_xlfn.XLOOKUP(frasest[[#This Row],[author_es]],autorest[author_es],autorest[bio_la])</f>
        <v>Philosophus et historicus Germanicus, auctor "Occidentis Decadentia".</v>
      </c>
      <c r="J97" t="str">
        <f>_xlfn.XLOOKUP(frasest[[#This Row],[author_es]],autorest[author_es],autorest[iso3691])</f>
        <v>de</v>
      </c>
      <c r="K97" t="str">
        <f>_xlfn.XLOOKUP(frasest[[#This Row],[author_es]],autorest[author_es],autorest[language_es])</f>
        <v>Alemán</v>
      </c>
      <c r="L97" t="str">
        <f>_xlfn.XLOOKUP(frasest[[#This Row],[author_es]],autorest[author_es],autorest[language_la])</f>
        <v>Lingua Germanica</v>
      </c>
      <c r="M97" t="str">
        <f>_xlfn.XLOOKUP(frasest[[#This Row],[author_es]],autorest[author_es],autorest[nation_es])</f>
        <v>Alemania</v>
      </c>
      <c r="N97" t="str">
        <f>_xlfn.XLOOKUP(frasest[[#This Row],[author_es]],autorest[author_es],autorest[nation_la])</f>
        <v>Germania</v>
      </c>
      <c r="O97" t="str">
        <f>_xlfn.XLOOKUP(frasest[[#This Row],[author_es]],autorest[author_es],autorest[age_es])</f>
        <v>Edad Contemporánea</v>
      </c>
      <c r="P97" t="str">
        <f>_xlfn.XLOOKUP(frasest[[#This Row],[author_es]],autorest[author_es],autorest[age_la])</f>
        <v>Aetas Contemporanea</v>
      </c>
      <c r="Q97" t="str">
        <f>_xlfn.XLOOKUP(frasest[[#This Row],[author_es]],autorest[author_es],autorest[image])</f>
        <v>https://i.ibb.co/jFsMGCC/spengler.png</v>
      </c>
      <c r="R97">
        <f>_xlfn.XLOOKUP(frasest[[#This Row],[author_es]],autorest[author_es],autorest[image_atr])</f>
        <v>0</v>
      </c>
    </row>
    <row r="98" spans="1:18">
      <c r="A98">
        <v>97</v>
      </c>
      <c r="B98" t="s">
        <v>341</v>
      </c>
      <c r="C98" t="s">
        <v>342</v>
      </c>
      <c r="D98" t="s">
        <v>343</v>
      </c>
      <c r="E98" t="s">
        <v>329</v>
      </c>
      <c r="F98" t="s">
        <v>330</v>
      </c>
      <c r="G98" t="str">
        <f>_xlfn.XLOOKUP(frasest[[#This Row],[author_es]],autorest[author_es],autorest[author_la])</f>
        <v>Oswaldus Spengler</v>
      </c>
      <c r="H98" t="str">
        <f>_xlfn.XLOOKUP(frasest[[#This Row],[author_es]],autorest[author_es],autorest[bio_es])</f>
        <v>Filósofo e historiador alemán, autor de "La decadencia de Occidente".</v>
      </c>
      <c r="I98" t="str">
        <f>_xlfn.XLOOKUP(frasest[[#This Row],[author_es]],autorest[author_es],autorest[bio_la])</f>
        <v>Philosophus et historicus Germanicus, auctor "Occidentis Decadentia".</v>
      </c>
      <c r="J98" t="str">
        <f>_xlfn.XLOOKUP(frasest[[#This Row],[author_es]],autorest[author_es],autorest[iso3691])</f>
        <v>de</v>
      </c>
      <c r="K98" t="str">
        <f>_xlfn.XLOOKUP(frasest[[#This Row],[author_es]],autorest[author_es],autorest[language_es])</f>
        <v>Alemán</v>
      </c>
      <c r="L98" t="str">
        <f>_xlfn.XLOOKUP(frasest[[#This Row],[author_es]],autorest[author_es],autorest[language_la])</f>
        <v>Lingua Germanica</v>
      </c>
      <c r="M98" t="str">
        <f>_xlfn.XLOOKUP(frasest[[#This Row],[author_es]],autorest[author_es],autorest[nation_es])</f>
        <v>Alemania</v>
      </c>
      <c r="N98" t="str">
        <f>_xlfn.XLOOKUP(frasest[[#This Row],[author_es]],autorest[author_es],autorest[nation_la])</f>
        <v>Germania</v>
      </c>
      <c r="O98" t="str">
        <f>_xlfn.XLOOKUP(frasest[[#This Row],[author_es]],autorest[author_es],autorest[age_es])</f>
        <v>Edad Contemporánea</v>
      </c>
      <c r="P98" t="str">
        <f>_xlfn.XLOOKUP(frasest[[#This Row],[author_es]],autorest[author_es],autorest[age_la])</f>
        <v>Aetas Contemporanea</v>
      </c>
      <c r="Q98" t="str">
        <f>_xlfn.XLOOKUP(frasest[[#This Row],[author_es]],autorest[author_es],autorest[image])</f>
        <v>https://i.ibb.co/jFsMGCC/spengler.png</v>
      </c>
      <c r="R98">
        <f>_xlfn.XLOOKUP(frasest[[#This Row],[author_es]],autorest[author_es],autorest[image_atr])</f>
        <v>0</v>
      </c>
    </row>
    <row r="99" spans="1:18">
      <c r="A99">
        <v>98</v>
      </c>
      <c r="B99" t="s">
        <v>344</v>
      </c>
      <c r="C99" t="s">
        <v>345</v>
      </c>
      <c r="D99" t="s">
        <v>344</v>
      </c>
      <c r="E99" t="s">
        <v>346</v>
      </c>
      <c r="F99" t="s">
        <v>347</v>
      </c>
      <c r="G99" t="str">
        <f>_xlfn.XLOOKUP(frasest[[#This Row],[author_es]],autorest[author_es],autorest[author_la])</f>
        <v>Michael Cervantes</v>
      </c>
      <c r="H99" t="str">
        <f>_xlfn.XLOOKUP(frasest[[#This Row],[author_es]],autorest[author_es],autorest[bio_es])</f>
        <v>Novelista, poeta y dramaturgo español, autor de "Don Quijote de la Mancha".</v>
      </c>
      <c r="I99" t="str">
        <f>_xlfn.XLOOKUP(frasest[[#This Row],[author_es]],autorest[author_es],autorest[bio_la])</f>
        <v>Scriba, poeta et dramatist Hispanicus, auctor "Don Quixote de la Mancha".</v>
      </c>
      <c r="J99" t="str">
        <f>_xlfn.XLOOKUP(frasest[[#This Row],[author_es]],autorest[author_es],autorest[iso3691])</f>
        <v>es</v>
      </c>
      <c r="K99" t="str">
        <f>_xlfn.XLOOKUP(frasest[[#This Row],[author_es]],autorest[author_es],autorest[language_es])</f>
        <v>Español</v>
      </c>
      <c r="L99" t="str">
        <f>_xlfn.XLOOKUP(frasest[[#This Row],[author_es]],autorest[author_es],autorest[language_la])</f>
        <v>Lingua Hispanica</v>
      </c>
      <c r="M99" t="str">
        <f>_xlfn.XLOOKUP(frasest[[#This Row],[author_es]],autorest[author_es],autorest[nation_es])</f>
        <v>España</v>
      </c>
      <c r="N99" t="str">
        <f>_xlfn.XLOOKUP(frasest[[#This Row],[author_es]],autorest[author_es],autorest[nation_la])</f>
        <v>Hispania</v>
      </c>
      <c r="O99" t="str">
        <f>_xlfn.XLOOKUP(frasest[[#This Row],[author_es]],autorest[author_es],autorest[age_es])</f>
        <v>Edad Moderna</v>
      </c>
      <c r="P99" t="str">
        <f>_xlfn.XLOOKUP(frasest[[#This Row],[author_es]],autorest[author_es],autorest[age_la])</f>
        <v>Nova Aetas</v>
      </c>
      <c r="Q99" t="str">
        <f>_xlfn.XLOOKUP(frasest[[#This Row],[author_es]],autorest[author_es],autorest[image])</f>
        <v>https://i.ibb.co/7d8RNgBb/cervantes.png</v>
      </c>
      <c r="R99">
        <f>_xlfn.XLOOKUP(frasest[[#This Row],[author_es]],autorest[author_es],autorest[image_atr])</f>
        <v>0</v>
      </c>
    </row>
    <row r="100" spans="1:18">
      <c r="A100">
        <v>99</v>
      </c>
      <c r="B100" t="s">
        <v>348</v>
      </c>
      <c r="C100" t="s">
        <v>349</v>
      </c>
      <c r="D100" t="s">
        <v>348</v>
      </c>
      <c r="E100" t="s">
        <v>346</v>
      </c>
      <c r="F100" t="s">
        <v>350</v>
      </c>
      <c r="G100" t="str">
        <f>_xlfn.XLOOKUP(frasest[[#This Row],[author_es]],autorest[author_es],autorest[author_la])</f>
        <v>Michael Cervantes</v>
      </c>
      <c r="H100" t="str">
        <f>_xlfn.XLOOKUP(frasest[[#This Row],[author_es]],autorest[author_es],autorest[bio_es])</f>
        <v>Novelista, poeta y dramaturgo español, autor de "Don Quijote de la Mancha".</v>
      </c>
      <c r="I100" t="str">
        <f>_xlfn.XLOOKUP(frasest[[#This Row],[author_es]],autorest[author_es],autorest[bio_la])</f>
        <v>Scriba, poeta et dramatist Hispanicus, auctor "Don Quixote de la Mancha".</v>
      </c>
      <c r="J100" t="str">
        <f>_xlfn.XLOOKUP(frasest[[#This Row],[author_es]],autorest[author_es],autorest[iso3691])</f>
        <v>es</v>
      </c>
      <c r="K100" t="str">
        <f>_xlfn.XLOOKUP(frasest[[#This Row],[author_es]],autorest[author_es],autorest[language_es])</f>
        <v>Español</v>
      </c>
      <c r="L100" t="str">
        <f>_xlfn.XLOOKUP(frasest[[#This Row],[author_es]],autorest[author_es],autorest[language_la])</f>
        <v>Lingua Hispanica</v>
      </c>
      <c r="M100" t="str">
        <f>_xlfn.XLOOKUP(frasest[[#This Row],[author_es]],autorest[author_es],autorest[nation_es])</f>
        <v>España</v>
      </c>
      <c r="N100" t="str">
        <f>_xlfn.XLOOKUP(frasest[[#This Row],[author_es]],autorest[author_es],autorest[nation_la])</f>
        <v>Hispania</v>
      </c>
      <c r="O100" t="str">
        <f>_xlfn.XLOOKUP(frasest[[#This Row],[author_es]],autorest[author_es],autorest[age_es])</f>
        <v>Edad Moderna</v>
      </c>
      <c r="P100" t="str">
        <f>_xlfn.XLOOKUP(frasest[[#This Row],[author_es]],autorest[author_es],autorest[age_la])</f>
        <v>Nova Aetas</v>
      </c>
      <c r="Q100" t="str">
        <f>_xlfn.XLOOKUP(frasest[[#This Row],[author_es]],autorest[author_es],autorest[image])</f>
        <v>https://i.ibb.co/7d8RNgBb/cervantes.png</v>
      </c>
      <c r="R100">
        <f>_xlfn.XLOOKUP(frasest[[#This Row],[author_es]],autorest[author_es],autorest[image_atr])</f>
        <v>0</v>
      </c>
    </row>
    <row r="101" spans="1:18">
      <c r="A101">
        <v>100</v>
      </c>
      <c r="B101" t="s">
        <v>351</v>
      </c>
      <c r="C101" t="s">
        <v>352</v>
      </c>
      <c r="D101" t="s">
        <v>351</v>
      </c>
      <c r="E101" t="s">
        <v>346</v>
      </c>
      <c r="F101" t="s">
        <v>353</v>
      </c>
      <c r="G101" t="str">
        <f>_xlfn.XLOOKUP(frasest[[#This Row],[author_es]],autorest[author_es],autorest[author_la])</f>
        <v>Michael Cervantes</v>
      </c>
      <c r="H101" t="str">
        <f>_xlfn.XLOOKUP(frasest[[#This Row],[author_es]],autorest[author_es],autorest[bio_es])</f>
        <v>Novelista, poeta y dramaturgo español, autor de "Don Quijote de la Mancha".</v>
      </c>
      <c r="I101" t="str">
        <f>_xlfn.XLOOKUP(frasest[[#This Row],[author_es]],autorest[author_es],autorest[bio_la])</f>
        <v>Scriba, poeta et dramatist Hispanicus, auctor "Don Quixote de la Mancha".</v>
      </c>
      <c r="J101" t="str">
        <f>_xlfn.XLOOKUP(frasest[[#This Row],[author_es]],autorest[author_es],autorest[iso3691])</f>
        <v>es</v>
      </c>
      <c r="K101" t="str">
        <f>_xlfn.XLOOKUP(frasest[[#This Row],[author_es]],autorest[author_es],autorest[language_es])</f>
        <v>Español</v>
      </c>
      <c r="L101" t="str">
        <f>_xlfn.XLOOKUP(frasest[[#This Row],[author_es]],autorest[author_es],autorest[language_la])</f>
        <v>Lingua Hispanica</v>
      </c>
      <c r="M101" t="str">
        <f>_xlfn.XLOOKUP(frasest[[#This Row],[author_es]],autorest[author_es],autorest[nation_es])</f>
        <v>España</v>
      </c>
      <c r="N101" t="str">
        <f>_xlfn.XLOOKUP(frasest[[#This Row],[author_es]],autorest[author_es],autorest[nation_la])</f>
        <v>Hispania</v>
      </c>
      <c r="O101" t="str">
        <f>_xlfn.XLOOKUP(frasest[[#This Row],[author_es]],autorest[author_es],autorest[age_es])</f>
        <v>Edad Moderna</v>
      </c>
      <c r="P101" t="str">
        <f>_xlfn.XLOOKUP(frasest[[#This Row],[author_es]],autorest[author_es],autorest[age_la])</f>
        <v>Nova Aetas</v>
      </c>
      <c r="Q101" t="str">
        <f>_xlfn.XLOOKUP(frasest[[#This Row],[author_es]],autorest[author_es],autorest[image])</f>
        <v>https://i.ibb.co/7d8RNgBb/cervantes.png</v>
      </c>
      <c r="R101">
        <f>_xlfn.XLOOKUP(frasest[[#This Row],[author_es]],autorest[author_es],autorest[image_atr])</f>
        <v>0</v>
      </c>
    </row>
    <row r="102" spans="1:18">
      <c r="A102">
        <v>101</v>
      </c>
      <c r="B102" t="s">
        <v>354</v>
      </c>
      <c r="C102" t="s">
        <v>355</v>
      </c>
      <c r="D102" t="s">
        <v>354</v>
      </c>
      <c r="E102" t="s">
        <v>346</v>
      </c>
      <c r="F102" t="s">
        <v>353</v>
      </c>
      <c r="G102" t="str">
        <f>_xlfn.XLOOKUP(frasest[[#This Row],[author_es]],autorest[author_es],autorest[author_la])</f>
        <v>Michael Cervantes</v>
      </c>
      <c r="H102" t="str">
        <f>_xlfn.XLOOKUP(frasest[[#This Row],[author_es]],autorest[author_es],autorest[bio_es])</f>
        <v>Novelista, poeta y dramaturgo español, autor de "Don Quijote de la Mancha".</v>
      </c>
      <c r="I102" t="str">
        <f>_xlfn.XLOOKUP(frasest[[#This Row],[author_es]],autorest[author_es],autorest[bio_la])</f>
        <v>Scriba, poeta et dramatist Hispanicus, auctor "Don Quixote de la Mancha".</v>
      </c>
      <c r="J102" t="str">
        <f>_xlfn.XLOOKUP(frasest[[#This Row],[author_es]],autorest[author_es],autorest[iso3691])</f>
        <v>es</v>
      </c>
      <c r="K102" t="str">
        <f>_xlfn.XLOOKUP(frasest[[#This Row],[author_es]],autorest[author_es],autorest[language_es])</f>
        <v>Español</v>
      </c>
      <c r="L102" t="str">
        <f>_xlfn.XLOOKUP(frasest[[#This Row],[author_es]],autorest[author_es],autorest[language_la])</f>
        <v>Lingua Hispanica</v>
      </c>
      <c r="M102" t="str">
        <f>_xlfn.XLOOKUP(frasest[[#This Row],[author_es]],autorest[author_es],autorest[nation_es])</f>
        <v>España</v>
      </c>
      <c r="N102" t="str">
        <f>_xlfn.XLOOKUP(frasest[[#This Row],[author_es]],autorest[author_es],autorest[nation_la])</f>
        <v>Hispania</v>
      </c>
      <c r="O102" t="str">
        <f>_xlfn.XLOOKUP(frasest[[#This Row],[author_es]],autorest[author_es],autorest[age_es])</f>
        <v>Edad Moderna</v>
      </c>
      <c r="P102" t="str">
        <f>_xlfn.XLOOKUP(frasest[[#This Row],[author_es]],autorest[author_es],autorest[age_la])</f>
        <v>Nova Aetas</v>
      </c>
      <c r="Q102" t="str">
        <f>_xlfn.XLOOKUP(frasest[[#This Row],[author_es]],autorest[author_es],autorest[image])</f>
        <v>https://i.ibb.co/7d8RNgBb/cervantes.png</v>
      </c>
      <c r="R102">
        <f>_xlfn.XLOOKUP(frasest[[#This Row],[author_es]],autorest[author_es],autorest[image_atr])</f>
        <v>0</v>
      </c>
    </row>
    <row r="103" spans="1:18">
      <c r="A103">
        <v>102</v>
      </c>
      <c r="B103" t="s">
        <v>356</v>
      </c>
      <c r="C103" t="s">
        <v>357</v>
      </c>
      <c r="D103" t="s">
        <v>356</v>
      </c>
      <c r="E103" t="s">
        <v>346</v>
      </c>
      <c r="F103" t="s">
        <v>358</v>
      </c>
      <c r="G103" t="str">
        <f>_xlfn.XLOOKUP(frasest[[#This Row],[author_es]],autorest[author_es],autorest[author_la])</f>
        <v>Michael Cervantes</v>
      </c>
      <c r="H103" t="str">
        <f>_xlfn.XLOOKUP(frasest[[#This Row],[author_es]],autorest[author_es],autorest[bio_es])</f>
        <v>Novelista, poeta y dramaturgo español, autor de "Don Quijote de la Mancha".</v>
      </c>
      <c r="I103" t="str">
        <f>_xlfn.XLOOKUP(frasest[[#This Row],[author_es]],autorest[author_es],autorest[bio_la])</f>
        <v>Scriba, poeta et dramatist Hispanicus, auctor "Don Quixote de la Mancha".</v>
      </c>
      <c r="J103" t="str">
        <f>_xlfn.XLOOKUP(frasest[[#This Row],[author_es]],autorest[author_es],autorest[iso3691])</f>
        <v>es</v>
      </c>
      <c r="K103" t="str">
        <f>_xlfn.XLOOKUP(frasest[[#This Row],[author_es]],autorest[author_es],autorest[language_es])</f>
        <v>Español</v>
      </c>
      <c r="L103" t="str">
        <f>_xlfn.XLOOKUP(frasest[[#This Row],[author_es]],autorest[author_es],autorest[language_la])</f>
        <v>Lingua Hispanica</v>
      </c>
      <c r="M103" t="str">
        <f>_xlfn.XLOOKUP(frasest[[#This Row],[author_es]],autorest[author_es],autorest[nation_es])</f>
        <v>España</v>
      </c>
      <c r="N103" t="str">
        <f>_xlfn.XLOOKUP(frasest[[#This Row],[author_es]],autorest[author_es],autorest[nation_la])</f>
        <v>Hispania</v>
      </c>
      <c r="O103" t="str">
        <f>_xlfn.XLOOKUP(frasest[[#This Row],[author_es]],autorest[author_es],autorest[age_es])</f>
        <v>Edad Moderna</v>
      </c>
      <c r="P103" t="str">
        <f>_xlfn.XLOOKUP(frasest[[#This Row],[author_es]],autorest[author_es],autorest[age_la])</f>
        <v>Nova Aetas</v>
      </c>
      <c r="Q103" t="str">
        <f>_xlfn.XLOOKUP(frasest[[#This Row],[author_es]],autorest[author_es],autorest[image])</f>
        <v>https://i.ibb.co/7d8RNgBb/cervantes.png</v>
      </c>
      <c r="R103">
        <f>_xlfn.XLOOKUP(frasest[[#This Row],[author_es]],autorest[author_es],autorest[image_atr])</f>
        <v>0</v>
      </c>
    </row>
    <row r="104" spans="1:18">
      <c r="A104">
        <v>103</v>
      </c>
      <c r="B104" t="s">
        <v>359</v>
      </c>
      <c r="C104" t="s">
        <v>360</v>
      </c>
      <c r="D104" t="s">
        <v>359</v>
      </c>
      <c r="E104" t="s">
        <v>346</v>
      </c>
      <c r="F104" t="s">
        <v>361</v>
      </c>
      <c r="G104" t="str">
        <f>_xlfn.XLOOKUP(frasest[[#This Row],[author_es]],autorest[author_es],autorest[author_la])</f>
        <v>Michael Cervantes</v>
      </c>
      <c r="H104" t="str">
        <f>_xlfn.XLOOKUP(frasest[[#This Row],[author_es]],autorest[author_es],autorest[bio_es])</f>
        <v>Novelista, poeta y dramaturgo español, autor de "Don Quijote de la Mancha".</v>
      </c>
      <c r="I104" t="str">
        <f>_xlfn.XLOOKUP(frasest[[#This Row],[author_es]],autorest[author_es],autorest[bio_la])</f>
        <v>Scriba, poeta et dramatist Hispanicus, auctor "Don Quixote de la Mancha".</v>
      </c>
      <c r="J104" t="str">
        <f>_xlfn.XLOOKUP(frasest[[#This Row],[author_es]],autorest[author_es],autorest[iso3691])</f>
        <v>es</v>
      </c>
      <c r="K104" t="str">
        <f>_xlfn.XLOOKUP(frasest[[#This Row],[author_es]],autorest[author_es],autorest[language_es])</f>
        <v>Español</v>
      </c>
      <c r="L104" t="str">
        <f>_xlfn.XLOOKUP(frasest[[#This Row],[author_es]],autorest[author_es],autorest[language_la])</f>
        <v>Lingua Hispanica</v>
      </c>
      <c r="M104" t="str">
        <f>_xlfn.XLOOKUP(frasest[[#This Row],[author_es]],autorest[author_es],autorest[nation_es])</f>
        <v>España</v>
      </c>
      <c r="N104" t="str">
        <f>_xlfn.XLOOKUP(frasest[[#This Row],[author_es]],autorest[author_es],autorest[nation_la])</f>
        <v>Hispania</v>
      </c>
      <c r="O104" t="str">
        <f>_xlfn.XLOOKUP(frasest[[#This Row],[author_es]],autorest[author_es],autorest[age_es])</f>
        <v>Edad Moderna</v>
      </c>
      <c r="P104" t="str">
        <f>_xlfn.XLOOKUP(frasest[[#This Row],[author_es]],autorest[author_es],autorest[age_la])</f>
        <v>Nova Aetas</v>
      </c>
      <c r="Q104" t="str">
        <f>_xlfn.XLOOKUP(frasest[[#This Row],[author_es]],autorest[author_es],autorest[image])</f>
        <v>https://i.ibb.co/7d8RNgBb/cervantes.png</v>
      </c>
      <c r="R104">
        <f>_xlfn.XLOOKUP(frasest[[#This Row],[author_es]],autorest[author_es],autorest[image_atr])</f>
        <v>0</v>
      </c>
    </row>
    <row r="105" spans="1:18">
      <c r="A105">
        <v>104</v>
      </c>
      <c r="B105" t="s">
        <v>362</v>
      </c>
      <c r="C105" t="s">
        <v>363</v>
      </c>
      <c r="D105" t="s">
        <v>362</v>
      </c>
      <c r="E105" t="s">
        <v>346</v>
      </c>
      <c r="F105" t="s">
        <v>364</v>
      </c>
      <c r="G105" t="str">
        <f>_xlfn.XLOOKUP(frasest[[#This Row],[author_es]],autorest[author_es],autorest[author_la])</f>
        <v>Michael Cervantes</v>
      </c>
      <c r="H105" t="str">
        <f>_xlfn.XLOOKUP(frasest[[#This Row],[author_es]],autorest[author_es],autorest[bio_es])</f>
        <v>Novelista, poeta y dramaturgo español, autor de "Don Quijote de la Mancha".</v>
      </c>
      <c r="I105" t="str">
        <f>_xlfn.XLOOKUP(frasest[[#This Row],[author_es]],autorest[author_es],autorest[bio_la])</f>
        <v>Scriba, poeta et dramatist Hispanicus, auctor "Don Quixote de la Mancha".</v>
      </c>
      <c r="J105" t="str">
        <f>_xlfn.XLOOKUP(frasest[[#This Row],[author_es]],autorest[author_es],autorest[iso3691])</f>
        <v>es</v>
      </c>
      <c r="K105" t="str">
        <f>_xlfn.XLOOKUP(frasest[[#This Row],[author_es]],autorest[author_es],autorest[language_es])</f>
        <v>Español</v>
      </c>
      <c r="L105" t="str">
        <f>_xlfn.XLOOKUP(frasest[[#This Row],[author_es]],autorest[author_es],autorest[language_la])</f>
        <v>Lingua Hispanica</v>
      </c>
      <c r="M105" t="str">
        <f>_xlfn.XLOOKUP(frasest[[#This Row],[author_es]],autorest[author_es],autorest[nation_es])</f>
        <v>España</v>
      </c>
      <c r="N105" t="str">
        <f>_xlfn.XLOOKUP(frasest[[#This Row],[author_es]],autorest[author_es],autorest[nation_la])</f>
        <v>Hispania</v>
      </c>
      <c r="O105" t="str">
        <f>_xlfn.XLOOKUP(frasest[[#This Row],[author_es]],autorest[author_es],autorest[age_es])</f>
        <v>Edad Moderna</v>
      </c>
      <c r="P105" t="str">
        <f>_xlfn.XLOOKUP(frasest[[#This Row],[author_es]],autorest[author_es],autorest[age_la])</f>
        <v>Nova Aetas</v>
      </c>
      <c r="Q105" t="str">
        <f>_xlfn.XLOOKUP(frasest[[#This Row],[author_es]],autorest[author_es],autorest[image])</f>
        <v>https://i.ibb.co/7d8RNgBb/cervantes.png</v>
      </c>
      <c r="R105">
        <f>_xlfn.XLOOKUP(frasest[[#This Row],[author_es]],autorest[author_es],autorest[image_atr])</f>
        <v>0</v>
      </c>
    </row>
    <row r="106" spans="1:18">
      <c r="A106">
        <v>105</v>
      </c>
      <c r="B106" t="s">
        <v>365</v>
      </c>
      <c r="C106" t="s">
        <v>366</v>
      </c>
      <c r="D106" t="s">
        <v>365</v>
      </c>
      <c r="E106" t="s">
        <v>346</v>
      </c>
      <c r="F106" t="s">
        <v>367</v>
      </c>
      <c r="G106" t="str">
        <f>_xlfn.XLOOKUP(frasest[[#This Row],[author_es]],autorest[author_es],autorest[author_la])</f>
        <v>Michael Cervantes</v>
      </c>
      <c r="H106" t="str">
        <f>_xlfn.XLOOKUP(frasest[[#This Row],[author_es]],autorest[author_es],autorest[bio_es])</f>
        <v>Novelista, poeta y dramaturgo español, autor de "Don Quijote de la Mancha".</v>
      </c>
      <c r="I106" t="str">
        <f>_xlfn.XLOOKUP(frasest[[#This Row],[author_es]],autorest[author_es],autorest[bio_la])</f>
        <v>Scriba, poeta et dramatist Hispanicus, auctor "Don Quixote de la Mancha".</v>
      </c>
      <c r="J106" t="str">
        <f>_xlfn.XLOOKUP(frasest[[#This Row],[author_es]],autorest[author_es],autorest[iso3691])</f>
        <v>es</v>
      </c>
      <c r="K106" t="str">
        <f>_xlfn.XLOOKUP(frasest[[#This Row],[author_es]],autorest[author_es],autorest[language_es])</f>
        <v>Español</v>
      </c>
      <c r="L106" t="str">
        <f>_xlfn.XLOOKUP(frasest[[#This Row],[author_es]],autorest[author_es],autorest[language_la])</f>
        <v>Lingua Hispanica</v>
      </c>
      <c r="M106" t="str">
        <f>_xlfn.XLOOKUP(frasest[[#This Row],[author_es]],autorest[author_es],autorest[nation_es])</f>
        <v>España</v>
      </c>
      <c r="N106" t="str">
        <f>_xlfn.XLOOKUP(frasest[[#This Row],[author_es]],autorest[author_es],autorest[nation_la])</f>
        <v>Hispania</v>
      </c>
      <c r="O106" t="str">
        <f>_xlfn.XLOOKUP(frasest[[#This Row],[author_es]],autorest[author_es],autorest[age_es])</f>
        <v>Edad Moderna</v>
      </c>
      <c r="P106" t="str">
        <f>_xlfn.XLOOKUP(frasest[[#This Row],[author_es]],autorest[author_es],autorest[age_la])</f>
        <v>Nova Aetas</v>
      </c>
      <c r="Q106" t="str">
        <f>_xlfn.XLOOKUP(frasest[[#This Row],[author_es]],autorest[author_es],autorest[image])</f>
        <v>https://i.ibb.co/7d8RNgBb/cervantes.png</v>
      </c>
      <c r="R106">
        <f>_xlfn.XLOOKUP(frasest[[#This Row],[author_es]],autorest[author_es],autorest[image_atr])</f>
        <v>0</v>
      </c>
    </row>
    <row r="107" spans="1:18">
      <c r="A107">
        <v>106</v>
      </c>
      <c r="B107" t="s">
        <v>368</v>
      </c>
      <c r="C107" t="s">
        <v>369</v>
      </c>
      <c r="D107" t="s">
        <v>368</v>
      </c>
      <c r="E107" t="s">
        <v>346</v>
      </c>
      <c r="F107" t="s">
        <v>364</v>
      </c>
      <c r="G107" t="str">
        <f>_xlfn.XLOOKUP(frasest[[#This Row],[author_es]],autorest[author_es],autorest[author_la])</f>
        <v>Michael Cervantes</v>
      </c>
      <c r="H107" t="str">
        <f>_xlfn.XLOOKUP(frasest[[#This Row],[author_es]],autorest[author_es],autorest[bio_es])</f>
        <v>Novelista, poeta y dramaturgo español, autor de "Don Quijote de la Mancha".</v>
      </c>
      <c r="I107" t="str">
        <f>_xlfn.XLOOKUP(frasest[[#This Row],[author_es]],autorest[author_es],autorest[bio_la])</f>
        <v>Scriba, poeta et dramatist Hispanicus, auctor "Don Quixote de la Mancha".</v>
      </c>
      <c r="J107" t="str">
        <f>_xlfn.XLOOKUP(frasest[[#This Row],[author_es]],autorest[author_es],autorest[iso3691])</f>
        <v>es</v>
      </c>
      <c r="K107" t="str">
        <f>_xlfn.XLOOKUP(frasest[[#This Row],[author_es]],autorest[author_es],autorest[language_es])</f>
        <v>Español</v>
      </c>
      <c r="L107" t="str">
        <f>_xlfn.XLOOKUP(frasest[[#This Row],[author_es]],autorest[author_es],autorest[language_la])</f>
        <v>Lingua Hispanica</v>
      </c>
      <c r="M107" t="str">
        <f>_xlfn.XLOOKUP(frasest[[#This Row],[author_es]],autorest[author_es],autorest[nation_es])</f>
        <v>España</v>
      </c>
      <c r="N107" t="str">
        <f>_xlfn.XLOOKUP(frasest[[#This Row],[author_es]],autorest[author_es],autorest[nation_la])</f>
        <v>Hispania</v>
      </c>
      <c r="O107" t="str">
        <f>_xlfn.XLOOKUP(frasest[[#This Row],[author_es]],autorest[author_es],autorest[age_es])</f>
        <v>Edad Moderna</v>
      </c>
      <c r="P107" t="str">
        <f>_xlfn.XLOOKUP(frasest[[#This Row],[author_es]],autorest[author_es],autorest[age_la])</f>
        <v>Nova Aetas</v>
      </c>
      <c r="Q107" t="str">
        <f>_xlfn.XLOOKUP(frasest[[#This Row],[author_es]],autorest[author_es],autorest[image])</f>
        <v>https://i.ibb.co/7d8RNgBb/cervantes.png</v>
      </c>
      <c r="R107">
        <f>_xlfn.XLOOKUP(frasest[[#This Row],[author_es]],autorest[author_es],autorest[image_atr])</f>
        <v>0</v>
      </c>
    </row>
    <row r="108" spans="1:18">
      <c r="A108">
        <v>107</v>
      </c>
      <c r="B108" t="s">
        <v>370</v>
      </c>
      <c r="C108" t="s">
        <v>371</v>
      </c>
      <c r="D108" t="s">
        <v>371</v>
      </c>
      <c r="E108" t="s">
        <v>57</v>
      </c>
      <c r="F108" t="s">
        <v>372</v>
      </c>
      <c r="G108" t="str">
        <f>_xlfn.XLOOKUP(frasest[[#This Row],[author_es]],autorest[author_es],autorest[author_la])</f>
        <v>Aurelius Augustinus</v>
      </c>
      <c r="H108" t="str">
        <f>_xlfn.XLOOKUP(frasest[[#This Row],[author_es]],autorest[author_es],autorest[bio_es])</f>
        <v>Filósofo y teólogo cristiano.</v>
      </c>
      <c r="I108" t="str">
        <f>_xlfn.XLOOKUP(frasest[[#This Row],[author_es]],autorest[author_es],autorest[bio_la])</f>
        <v>Philosophus et theologus Christianus.</v>
      </c>
      <c r="J108" t="str">
        <f>_xlfn.XLOOKUP(frasest[[#This Row],[author_es]],autorest[author_es],autorest[iso3691])</f>
        <v>la</v>
      </c>
      <c r="K108" t="str">
        <f>_xlfn.XLOOKUP(frasest[[#This Row],[author_es]],autorest[author_es],autorest[language_es])</f>
        <v>Latín</v>
      </c>
      <c r="L108" t="str">
        <f>_xlfn.XLOOKUP(frasest[[#This Row],[author_es]],autorest[author_es],autorest[language_la])</f>
        <v>Lingua Latina</v>
      </c>
      <c r="M108" t="str">
        <f>_xlfn.XLOOKUP(frasest[[#This Row],[author_es]],autorest[author_es],autorest[nation_es])</f>
        <v>Roma</v>
      </c>
      <c r="N108" t="str">
        <f>_xlfn.XLOOKUP(frasest[[#This Row],[author_es]],autorest[author_es],autorest[nation_la])</f>
        <v>Roma</v>
      </c>
      <c r="O108" t="str">
        <f>_xlfn.XLOOKUP(frasest[[#This Row],[author_es]],autorest[author_es],autorest[age_es])</f>
        <v>Edad Antigua</v>
      </c>
      <c r="P108" t="str">
        <f>_xlfn.XLOOKUP(frasest[[#This Row],[author_es]],autorest[author_es],autorest[age_la])</f>
        <v>Antiquitas</v>
      </c>
      <c r="Q108" t="str">
        <f>_xlfn.XLOOKUP(frasest[[#This Row],[author_es]],autorest[author_es],autorest[image])</f>
        <v>https://i.ibb.co/chhLXqTZ/agustin.png</v>
      </c>
      <c r="R108">
        <f>_xlfn.XLOOKUP(frasest[[#This Row],[author_es]],autorest[author_es],autorest[image_atr])</f>
        <v>0</v>
      </c>
    </row>
    <row r="109" spans="1:18">
      <c r="A109">
        <v>108</v>
      </c>
      <c r="B109" t="s">
        <v>373</v>
      </c>
      <c r="C109" s="4" t="s">
        <v>374</v>
      </c>
      <c r="D109" t="s">
        <v>375</v>
      </c>
      <c r="E109" t="s">
        <v>376</v>
      </c>
      <c r="F109" t="s">
        <v>377</v>
      </c>
      <c r="G109" t="str">
        <f>_xlfn.XLOOKUP(frasest[[#This Row],[author_es]],autorest[author_es],autorest[author_la])</f>
        <v>Nelsonus Mandela</v>
      </c>
      <c r="H109" t="str">
        <f>_xlfn.XLOOKUP(frasest[[#This Row],[author_es]],autorest[author_es],autorest[bio_es])</f>
        <v>Político y activista sudafricano, primer presidente negro de Sudáfrica y líder contra el apartheid.</v>
      </c>
      <c r="I109" t="str">
        <f>_xlfn.XLOOKUP(frasest[[#This Row],[author_es]],autorest[author_es],autorest[bio_la])</f>
        <v>Politicus et activist Africanus Australis, primus praeses niger et apartheid adversator.</v>
      </c>
      <c r="J109" t="str">
        <f>_xlfn.XLOOKUP(frasest[[#This Row],[author_es]],autorest[author_es],autorest[iso3691])</f>
        <v>en</v>
      </c>
      <c r="K109" t="str">
        <f>_xlfn.XLOOKUP(frasest[[#This Row],[author_es]],autorest[author_es],autorest[language_es])</f>
        <v>Inglés</v>
      </c>
      <c r="L109" t="str">
        <f>_xlfn.XLOOKUP(frasest[[#This Row],[author_es]],autorest[author_es],autorest[language_la])</f>
        <v>Lingua Anglica</v>
      </c>
      <c r="M109" t="str">
        <f>_xlfn.XLOOKUP(frasest[[#This Row],[author_es]],autorest[author_es],autorest[nation_es])</f>
        <v>Sudáfrica</v>
      </c>
      <c r="N109" t="str">
        <f>_xlfn.XLOOKUP(frasest[[#This Row],[author_es]],autorest[author_es],autorest[nation_la])</f>
        <v>Africa Australis</v>
      </c>
      <c r="O109" t="str">
        <f>_xlfn.XLOOKUP(frasest[[#This Row],[author_es]],autorest[author_es],autorest[age_es])</f>
        <v>Edad Contemporánea</v>
      </c>
      <c r="P109" t="str">
        <f>_xlfn.XLOOKUP(frasest[[#This Row],[author_es]],autorest[author_es],autorest[age_la])</f>
        <v>Aetas Contemporanea</v>
      </c>
      <c r="Q109" t="str">
        <f>_xlfn.XLOOKUP(frasest[[#This Row],[author_es]],autorest[author_es],autorest[image])</f>
        <v>https://i.ibb.co/qYBzbNJH/mandela.png</v>
      </c>
      <c r="R109">
        <f>_xlfn.XLOOKUP(frasest[[#This Row],[author_es]],autorest[author_es],autorest[image_atr])</f>
        <v>0</v>
      </c>
    </row>
    <row r="110" spans="1:18">
      <c r="A110">
        <v>109</v>
      </c>
      <c r="B110" t="s">
        <v>378</v>
      </c>
      <c r="C110" t="s">
        <v>379</v>
      </c>
      <c r="D110" t="s">
        <v>380</v>
      </c>
      <c r="E110" t="s">
        <v>381</v>
      </c>
      <c r="F110" t="s">
        <v>382</v>
      </c>
      <c r="G110" t="str">
        <f>_xlfn.XLOOKUP(frasest[[#This Row],[author_es]],autorest[author_es],autorest[author_la])</f>
        <v>Mohandas Gandhi</v>
      </c>
      <c r="H110" t="str">
        <f>_xlfn.XLOOKUP(frasest[[#This Row],[author_es]],autorest[author_es],autorest[bio_es])</f>
        <v>Líder político y espiritual de India, impulsor de la resistencia no violenta.</v>
      </c>
      <c r="I110" t="str">
        <f>_xlfn.XLOOKUP(frasest[[#This Row],[author_es]],autorest[author_es],autorest[bio_la])</f>
        <v>Dux politicis et spiritualis Indiae, resistentiam non violentam promovere.</v>
      </c>
      <c r="J110" t="str">
        <f>_xlfn.XLOOKUP(frasest[[#This Row],[author_es]],autorest[author_es],autorest[iso3691])</f>
        <v>en</v>
      </c>
      <c r="K110" t="str">
        <f>_xlfn.XLOOKUP(frasest[[#This Row],[author_es]],autorest[author_es],autorest[language_es])</f>
        <v>Inglés</v>
      </c>
      <c r="L110" t="str">
        <f>_xlfn.XLOOKUP(frasest[[#This Row],[author_es]],autorest[author_es],autorest[language_la])</f>
        <v>Lingua Anglica</v>
      </c>
      <c r="M110" t="str">
        <f>_xlfn.XLOOKUP(frasest[[#This Row],[author_es]],autorest[author_es],autorest[nation_es])</f>
        <v>India</v>
      </c>
      <c r="N110" t="str">
        <f>_xlfn.XLOOKUP(frasest[[#This Row],[author_es]],autorest[author_es],autorest[nation_la])</f>
        <v>India</v>
      </c>
      <c r="O110" t="str">
        <f>_xlfn.XLOOKUP(frasest[[#This Row],[author_es]],autorest[author_es],autorest[age_es])</f>
        <v>Edad Contemporánea</v>
      </c>
      <c r="P110" t="str">
        <f>_xlfn.XLOOKUP(frasest[[#This Row],[author_es]],autorest[author_es],autorest[age_la])</f>
        <v>Aetas Contemporanea</v>
      </c>
      <c r="Q110" t="str">
        <f>_xlfn.XLOOKUP(frasest[[#This Row],[author_es]],autorest[author_es],autorest[image])</f>
        <v>https://i.ibb.co/hFVyv04H/gandhi.png</v>
      </c>
      <c r="R110">
        <f>_xlfn.XLOOKUP(frasest[[#This Row],[author_es]],autorest[author_es],autorest[image_atr])</f>
        <v>0</v>
      </c>
    </row>
    <row r="111" spans="1:18">
      <c r="A111">
        <v>110</v>
      </c>
      <c r="B111" t="s">
        <v>383</v>
      </c>
      <c r="C111" t="s">
        <v>384</v>
      </c>
      <c r="D111" t="s">
        <v>385</v>
      </c>
      <c r="E111" t="s">
        <v>386</v>
      </c>
      <c r="F111" t="s">
        <v>387</v>
      </c>
      <c r="G111" t="str">
        <f>_xlfn.XLOOKUP(frasest[[#This Row],[author_es]],autorest[author_es],autorest[author_la])</f>
        <v>Albertus Einstein</v>
      </c>
      <c r="H111" t="str">
        <f>_xlfn.XLOOKUP(frasest[[#This Row],[author_es]],autorest[author_es],autorest[bio_es])</f>
        <v>Físico teórico alemán, desarrolló la teoría de la relatividad.</v>
      </c>
      <c r="I111" t="str">
        <f>_xlfn.XLOOKUP(frasest[[#This Row],[author_es]],autorest[author_es],autorest[bio_la])</f>
        <v>Physicus theoreticus Germanicus, theoriam relativitatis excogitavit.</v>
      </c>
      <c r="J111" t="str">
        <f>_xlfn.XLOOKUP(frasest[[#This Row],[author_es]],autorest[author_es],autorest[iso3691])</f>
        <v>en</v>
      </c>
      <c r="K111" t="str">
        <f>_xlfn.XLOOKUP(frasest[[#This Row],[author_es]],autorest[author_es],autorest[language_es])</f>
        <v>Inglés</v>
      </c>
      <c r="L111" t="str">
        <f>_xlfn.XLOOKUP(frasest[[#This Row],[author_es]],autorest[author_es],autorest[language_la])</f>
        <v>Lingua Anglica</v>
      </c>
      <c r="M111" t="str">
        <f>_xlfn.XLOOKUP(frasest[[#This Row],[author_es]],autorest[author_es],autorest[nation_es])</f>
        <v>Alemania</v>
      </c>
      <c r="N111" t="str">
        <f>_xlfn.XLOOKUP(frasest[[#This Row],[author_es]],autorest[author_es],autorest[nation_la])</f>
        <v>Germania</v>
      </c>
      <c r="O111" t="str">
        <f>_xlfn.XLOOKUP(frasest[[#This Row],[author_es]],autorest[author_es],autorest[age_es])</f>
        <v>Edad Contemporánea</v>
      </c>
      <c r="P111" t="str">
        <f>_xlfn.XLOOKUP(frasest[[#This Row],[author_es]],autorest[author_es],autorest[age_la])</f>
        <v>Aetas Contemporanea</v>
      </c>
      <c r="Q111" t="str">
        <f>_xlfn.XLOOKUP(frasest[[#This Row],[author_es]],autorest[author_es],autorest[image])</f>
        <v>https://i.ibb.co/XkSxyZyF/einstein.png</v>
      </c>
      <c r="R111">
        <f>_xlfn.XLOOKUP(frasest[[#This Row],[author_es]],autorest[author_es],autorest[image_atr])</f>
        <v>0</v>
      </c>
    </row>
    <row r="112" spans="1:18">
      <c r="A112">
        <v>111</v>
      </c>
      <c r="B112" t="s">
        <v>388</v>
      </c>
      <c r="C112" t="s">
        <v>389</v>
      </c>
      <c r="D112" t="s">
        <v>390</v>
      </c>
      <c r="E112" t="s">
        <v>391</v>
      </c>
      <c r="F112" t="s">
        <v>392</v>
      </c>
      <c r="G112" t="str">
        <f>_xlfn.XLOOKUP(frasest[[#This Row],[author_es]],autorest[author_es],autorest[author_la])</f>
        <v>Martin Luther King</v>
      </c>
      <c r="H112" t="str">
        <f>_xlfn.XLOOKUP(frasest[[#This Row],[author_es]],autorest[author_es],autorest[bio_es])</f>
        <v>Líder del movimiento por los derechos civiles en Estados Unidos y activista por la igualdad racial.</v>
      </c>
      <c r="I112" t="str">
        <f>_xlfn.XLOOKUP(frasest[[#This Row],[author_es]],autorest[author_es],autorest[bio_la])</f>
        <v>Dux iurium civilium et activist aequalitatis racialium in Civitatibus Foederatis.</v>
      </c>
      <c r="J112" t="str">
        <f>_xlfn.XLOOKUP(frasest[[#This Row],[author_es]],autorest[author_es],autorest[iso3691])</f>
        <v>en</v>
      </c>
      <c r="K112" t="str">
        <f>_xlfn.XLOOKUP(frasest[[#This Row],[author_es]],autorest[author_es],autorest[language_es])</f>
        <v>Inglés</v>
      </c>
      <c r="L112" t="str">
        <f>_xlfn.XLOOKUP(frasest[[#This Row],[author_es]],autorest[author_es],autorest[language_la])</f>
        <v>Lingua Anglica</v>
      </c>
      <c r="M112" t="str">
        <f>_xlfn.XLOOKUP(frasest[[#This Row],[author_es]],autorest[author_es],autorest[nation_es])</f>
        <v>Estados Unidos</v>
      </c>
      <c r="N112" t="str">
        <f>_xlfn.XLOOKUP(frasest[[#This Row],[author_es]],autorest[author_es],autorest[nation_la])</f>
        <v>Civitates Foederatae Americae</v>
      </c>
      <c r="O112" t="str">
        <f>_xlfn.XLOOKUP(frasest[[#This Row],[author_es]],autorest[author_es],autorest[age_es])</f>
        <v>Edad Contemporánea</v>
      </c>
      <c r="P112" t="str">
        <f>_xlfn.XLOOKUP(frasest[[#This Row],[author_es]],autorest[author_es],autorest[age_la])</f>
        <v>Aetas Contemporanea</v>
      </c>
      <c r="Q112" t="str">
        <f>_xlfn.XLOOKUP(frasest[[#This Row],[author_es]],autorest[author_es],autorest[image])</f>
        <v>https://i.ibb.co/GBYRvH9/king.png</v>
      </c>
      <c r="R112">
        <f>_xlfn.XLOOKUP(frasest[[#This Row],[author_es]],autorest[author_es],autorest[image_atr])</f>
        <v>0</v>
      </c>
    </row>
    <row r="113" spans="1:18">
      <c r="A113">
        <v>112</v>
      </c>
      <c r="B113" t="s">
        <v>393</v>
      </c>
      <c r="C113" t="s">
        <v>394</v>
      </c>
      <c r="D113" t="s">
        <v>395</v>
      </c>
      <c r="E113" t="s">
        <v>396</v>
      </c>
      <c r="F113" t="s">
        <v>397</v>
      </c>
      <c r="G113" t="str">
        <f>_xlfn.XLOOKUP(frasest[[#This Row],[author_es]],autorest[author_es],autorest[author_la])</f>
        <v>Ioannes Dewey</v>
      </c>
      <c r="H113" t="str">
        <f>_xlfn.XLOOKUP(frasest[[#This Row],[author_es]],autorest[author_es],autorest[bio_es])</f>
        <v>Filósofo y pedagogo estadounidense, defensor de la educación progresista.</v>
      </c>
      <c r="I113" t="str">
        <f>_xlfn.XLOOKUP(frasest[[#This Row],[author_es]],autorest[author_es],autorest[bio_la])</f>
        <v>Philosophus et paedagogus Americanus, educationem progressivam defendens.</v>
      </c>
      <c r="J113" t="str">
        <f>_xlfn.XLOOKUP(frasest[[#This Row],[author_es]],autorest[author_es],autorest[iso3691])</f>
        <v>en</v>
      </c>
      <c r="K113" t="str">
        <f>_xlfn.XLOOKUP(frasest[[#This Row],[author_es]],autorest[author_es],autorest[language_es])</f>
        <v>Inglés</v>
      </c>
      <c r="L113" t="str">
        <f>_xlfn.XLOOKUP(frasest[[#This Row],[author_es]],autorest[author_es],autorest[language_la])</f>
        <v>Lingua Anglica</v>
      </c>
      <c r="M113" t="str">
        <f>_xlfn.XLOOKUP(frasest[[#This Row],[author_es]],autorest[author_es],autorest[nation_es])</f>
        <v>Estados Unidos</v>
      </c>
      <c r="N113" t="str">
        <f>_xlfn.XLOOKUP(frasest[[#This Row],[author_es]],autorest[author_es],autorest[nation_la])</f>
        <v>Civitates Foederatae Americae</v>
      </c>
      <c r="O113" t="str">
        <f>_xlfn.XLOOKUP(frasest[[#This Row],[author_es]],autorest[author_es],autorest[age_es])</f>
        <v>Edad Contemporánea</v>
      </c>
      <c r="P113" t="str">
        <f>_xlfn.XLOOKUP(frasest[[#This Row],[author_es]],autorest[author_es],autorest[age_la])</f>
        <v>Aetas Contemporanea</v>
      </c>
      <c r="Q113" t="str">
        <f>_xlfn.XLOOKUP(frasest[[#This Row],[author_es]],autorest[author_es],autorest[image])</f>
        <v>https://i.ibb.co/C5cSzJyL/dewey.png</v>
      </c>
      <c r="R113">
        <f>_xlfn.XLOOKUP(frasest[[#This Row],[author_es]],autorest[author_es],autorest[image_atr])</f>
        <v>0</v>
      </c>
    </row>
    <row r="114" spans="1:18">
      <c r="A114">
        <v>113</v>
      </c>
      <c r="B114" t="s">
        <v>398</v>
      </c>
      <c r="C114" t="s">
        <v>399</v>
      </c>
      <c r="D114" t="s">
        <v>400</v>
      </c>
      <c r="E114" t="s">
        <v>401</v>
      </c>
      <c r="F114" t="s">
        <v>402</v>
      </c>
      <c r="G114" t="str">
        <f>_xlfn.XLOOKUP(frasest[[#This Row],[author_es]],autorest[author_es],autorest[author_la])</f>
        <v>Benjaminus Franklin</v>
      </c>
      <c r="H114" t="str">
        <f>_xlfn.XLOOKUP(frasest[[#This Row],[author_es]],autorest[author_es],autorest[bio_es])</f>
        <v>Político, científico y escritor estadounidense, uno de los Padres Fundadores de Estados Unidos.</v>
      </c>
      <c r="I114" t="str">
        <f>_xlfn.XLOOKUP(frasest[[#This Row],[author_es]],autorest[author_es],autorest[bio_la])</f>
        <v>Politicus, sapiens et scriptor Americanus, unus ex Patribus Fundatoribus.</v>
      </c>
      <c r="J114" t="str">
        <f>_xlfn.XLOOKUP(frasest[[#This Row],[author_es]],autorest[author_es],autorest[iso3691])</f>
        <v>en</v>
      </c>
      <c r="K114" t="str">
        <f>_xlfn.XLOOKUP(frasest[[#This Row],[author_es]],autorest[author_es],autorest[language_es])</f>
        <v>Inglés</v>
      </c>
      <c r="L114" t="str">
        <f>_xlfn.XLOOKUP(frasest[[#This Row],[author_es]],autorest[author_es],autorest[language_la])</f>
        <v>Lingua Anglica</v>
      </c>
      <c r="M114" t="str">
        <f>_xlfn.XLOOKUP(frasest[[#This Row],[author_es]],autorest[author_es],autorest[nation_es])</f>
        <v>Estados Unidos</v>
      </c>
      <c r="N114" t="str">
        <f>_xlfn.XLOOKUP(frasest[[#This Row],[author_es]],autorest[author_es],autorest[nation_la])</f>
        <v>Civitates Foederatae Americae</v>
      </c>
      <c r="O114" t="str">
        <f>_xlfn.XLOOKUP(frasest[[#This Row],[author_es]],autorest[author_es],autorest[age_es])</f>
        <v>Edad Moderna</v>
      </c>
      <c r="P114" t="str">
        <f>_xlfn.XLOOKUP(frasest[[#This Row],[author_es]],autorest[author_es],autorest[age_la])</f>
        <v>Nova Aetas</v>
      </c>
      <c r="Q114" t="str">
        <f>_xlfn.XLOOKUP(frasest[[#This Row],[author_es]],autorest[author_es],autorest[image])</f>
        <v>https://i.ibb.co/d08LLy25/franklin.png</v>
      </c>
      <c r="R114">
        <f>_xlfn.XLOOKUP(frasest[[#This Row],[author_es]],autorest[author_es],autorest[image_atr])</f>
        <v>0</v>
      </c>
    </row>
    <row r="115" spans="1:18">
      <c r="A115">
        <v>114</v>
      </c>
      <c r="B115" t="s">
        <v>403</v>
      </c>
      <c r="C115" t="s">
        <v>404</v>
      </c>
      <c r="D115" t="s">
        <v>405</v>
      </c>
      <c r="E115" t="s">
        <v>406</v>
      </c>
      <c r="F115" t="s">
        <v>407</v>
      </c>
      <c r="G115" t="str">
        <f>_xlfn.XLOOKUP(frasest[[#This Row],[author_es]],autorest[author_es],autorest[author_la])</f>
        <v>Leonardus Vincius</v>
      </c>
      <c r="H115" t="str">
        <f>_xlfn.XLOOKUP(frasest[[#This Row],[author_es]],autorest[author_es],autorest[bio_es])</f>
        <v>Artista, inventor y científico italiano del Renacimiento.</v>
      </c>
      <c r="I115" t="str">
        <f>_xlfn.XLOOKUP(frasest[[#This Row],[author_es]],autorest[author_es],autorest[bio_la])</f>
        <v>Artifex, inventor et physicus Italicus Renaissance.</v>
      </c>
      <c r="J115" t="str">
        <f>_xlfn.XLOOKUP(frasest[[#This Row],[author_es]],autorest[author_es],autorest[iso3691])</f>
        <v>la</v>
      </c>
      <c r="K115" t="str">
        <f>_xlfn.XLOOKUP(frasest[[#This Row],[author_es]],autorest[author_es],autorest[language_es])</f>
        <v>Latín</v>
      </c>
      <c r="L115" t="str">
        <f>_xlfn.XLOOKUP(frasest[[#This Row],[author_es]],autorest[author_es],autorest[language_la])</f>
        <v>Lingua Latina</v>
      </c>
      <c r="M115" t="str">
        <f>_xlfn.XLOOKUP(frasest[[#This Row],[author_es]],autorest[author_es],autorest[nation_es])</f>
        <v>Italia</v>
      </c>
      <c r="N115" t="str">
        <f>_xlfn.XLOOKUP(frasest[[#This Row],[author_es]],autorest[author_es],autorest[nation_la])</f>
        <v>Italia</v>
      </c>
      <c r="O115" t="str">
        <f>_xlfn.XLOOKUP(frasest[[#This Row],[author_es]],autorest[author_es],autorest[age_es])</f>
        <v>Edad Media</v>
      </c>
      <c r="P115" t="str">
        <f>_xlfn.XLOOKUP(frasest[[#This Row],[author_es]],autorest[author_es],autorest[age_la])</f>
        <v>Medium Aevum</v>
      </c>
      <c r="Q115" t="str">
        <f>_xlfn.XLOOKUP(frasest[[#This Row],[author_es]],autorest[author_es],autorest[image])</f>
        <v>https://i.ibb.co/prKj8Gtz/davinci.png</v>
      </c>
      <c r="R115">
        <f>_xlfn.XLOOKUP(frasest[[#This Row],[author_es]],autorest[author_es],autorest[image_atr])</f>
        <v>0</v>
      </c>
    </row>
    <row r="116" spans="1:18">
      <c r="A116">
        <v>115</v>
      </c>
      <c r="B116" t="s">
        <v>408</v>
      </c>
      <c r="C116" t="s">
        <v>409</v>
      </c>
      <c r="D116" s="1" t="s">
        <v>410</v>
      </c>
      <c r="E116" t="s">
        <v>95</v>
      </c>
      <c r="F116" t="s">
        <v>411</v>
      </c>
      <c r="G116" t="str">
        <f>_xlfn.XLOOKUP(frasest[[#This Row],[author_es]],autorest[author_es],autorest[author_la])</f>
        <v>Confucius</v>
      </c>
      <c r="H116" t="str">
        <f>_xlfn.XLOOKUP(frasest[[#This Row],[author_es]],autorest[author_es],autorest[bio_es])</f>
        <v>Filósofo y maestro chino, fundador del confucianismo. Sus enseñanzas influyeron profundamente en la cultura, ética y política de China.</v>
      </c>
      <c r="I116" t="str">
        <f>_xlfn.XLOOKUP(frasest[[#This Row],[author_es]],autorest[author_es],autorest[bio_la])</f>
        <v>Philosophus et magister Sinensis, confucianismi conditor. Doctrinae eius in culturam, ethicam et politicam Sinensem profunde influentes.</v>
      </c>
      <c r="J116" t="str">
        <f>_xlfn.XLOOKUP(frasest[[#This Row],[author_es]],autorest[author_es],autorest[iso3691])</f>
        <v>zh</v>
      </c>
      <c r="K116" t="str">
        <f>_xlfn.XLOOKUP(frasest[[#This Row],[author_es]],autorest[author_es],autorest[language_es])</f>
        <v>Chino</v>
      </c>
      <c r="L116" t="str">
        <f>_xlfn.XLOOKUP(frasest[[#This Row],[author_es]],autorest[author_es],autorest[language_la])</f>
        <v>Lingua Sinica</v>
      </c>
      <c r="M116" t="str">
        <f>_xlfn.XLOOKUP(frasest[[#This Row],[author_es]],autorest[author_es],autorest[nation_es])</f>
        <v>China</v>
      </c>
      <c r="N116" t="str">
        <f>_xlfn.XLOOKUP(frasest[[#This Row],[author_es]],autorest[author_es],autorest[nation_la])</f>
        <v>Sinae</v>
      </c>
      <c r="O116" t="str">
        <f>_xlfn.XLOOKUP(frasest[[#This Row],[author_es]],autorest[author_es],autorest[age_es])</f>
        <v>Edad Antigua</v>
      </c>
      <c r="P116" t="str">
        <f>_xlfn.XLOOKUP(frasest[[#This Row],[author_es]],autorest[author_es],autorest[age_la])</f>
        <v>Antiquitas</v>
      </c>
      <c r="Q116" t="str">
        <f>_xlfn.XLOOKUP(frasest[[#This Row],[author_es]],autorest[author_es],autorest[image])</f>
        <v>https://i.ibb.co/tjXTLg8/confucio.png</v>
      </c>
      <c r="R116">
        <f>_xlfn.XLOOKUP(frasest[[#This Row],[author_es]],autorest[author_es],autorest[image_atr])</f>
        <v>0</v>
      </c>
    </row>
    <row r="117" spans="1:18" ht="18">
      <c r="A117">
        <v>116</v>
      </c>
      <c r="B117" t="s">
        <v>412</v>
      </c>
      <c r="C117" t="s">
        <v>413</v>
      </c>
      <c r="D117" s="3" t="s">
        <v>414</v>
      </c>
      <c r="E117" t="s">
        <v>415</v>
      </c>
      <c r="G117" t="str">
        <f>_xlfn.XLOOKUP(frasest[[#This Row],[author_es]],autorest[author_es],autorest[author_la])</f>
        <v>Proverbium Tibetanum</v>
      </c>
      <c r="H117" t="str">
        <f>_xlfn.XLOOKUP(frasest[[#This Row],[author_es]],autorest[author_es],autorest[bio_es])</f>
        <v>Proverbios de la tradición tibetana inspirados en la filosofía budista, centrados en la compasión, la impermanencia y el equilibrio interior.</v>
      </c>
      <c r="I117" t="str">
        <f>_xlfn.XLOOKUP(frasest[[#This Row],[author_es]],autorest[author_es],autorest[bio_la])</f>
        <v>Collectio sententiarum Tibeticarum.</v>
      </c>
      <c r="J117" t="str">
        <f>_xlfn.XLOOKUP(frasest[[#This Row],[author_es]],autorest[author_es],autorest[iso3691])</f>
        <v>bo</v>
      </c>
      <c r="K117" t="str">
        <f>_xlfn.XLOOKUP(frasest[[#This Row],[author_es]],autorest[author_es],autorest[language_es])</f>
        <v>Tibetano</v>
      </c>
      <c r="L117" t="str">
        <f>_xlfn.XLOOKUP(frasest[[#This Row],[author_es]],autorest[author_es],autorest[language_la])</f>
        <v>Lingua Tibetica</v>
      </c>
      <c r="M117" t="str">
        <f>_xlfn.XLOOKUP(frasest[[#This Row],[author_es]],autorest[author_es],autorest[nation_es])</f>
        <v>Tíbet</v>
      </c>
      <c r="N117" t="str">
        <f>_xlfn.XLOOKUP(frasest[[#This Row],[author_es]],autorest[author_es],autorest[nation_la])</f>
        <v>Thibetum</v>
      </c>
      <c r="O117" t="str">
        <f>_xlfn.XLOOKUP(frasest[[#This Row],[author_es]],autorest[author_es],autorest[age_es])</f>
        <v>Epoca Desconocida</v>
      </c>
      <c r="P117" t="str">
        <f>_xlfn.XLOOKUP(frasest[[#This Row],[author_es]],autorest[author_es],autorest[age_la])</f>
        <v>Epocha Ignota</v>
      </c>
      <c r="Q117" t="str">
        <f>_xlfn.XLOOKUP(frasest[[#This Row],[author_es]],autorest[author_es],autorest[image])</f>
        <v>https://i.ibb.co/G4YNT7DT/tibet.png</v>
      </c>
      <c r="R117">
        <f>_xlfn.XLOOKUP(frasest[[#This Row],[author_es]],autorest[author_es],autorest[image_atr])</f>
        <v>0</v>
      </c>
    </row>
    <row r="118" spans="1:18">
      <c r="A118">
        <v>117</v>
      </c>
      <c r="B118" t="s">
        <v>416</v>
      </c>
      <c r="C118" t="s">
        <v>417</v>
      </c>
      <c r="D118" t="s">
        <v>418</v>
      </c>
      <c r="E118" t="s">
        <v>419</v>
      </c>
      <c r="F118" t="s">
        <v>420</v>
      </c>
      <c r="G118" t="str">
        <f>_xlfn.XLOOKUP(frasest[[#This Row],[author_es]],autorest[author_es],autorest[author_la])</f>
        <v>Thales Miletaeus</v>
      </c>
      <c r="H118"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18" t="str">
        <f>_xlfn.XLOOKUP(frasest[[#This Row],[author_es]],autorest[author_es],autorest[bio_la])</f>
        <v>Philosophus Graecus Praesocraticus Miletaeus, primus philosophus Occidentis et unus ex Septem Sapientibus. Praedixit eclipsis solis anno 585 a.C. et aquam substantiam primordialem proposuit.</v>
      </c>
      <c r="J118" t="str">
        <f>_xlfn.XLOOKUP(frasest[[#This Row],[author_es]],autorest[author_es],autorest[iso3691])</f>
        <v>el</v>
      </c>
      <c r="K118" t="str">
        <f>_xlfn.XLOOKUP(frasest[[#This Row],[author_es]],autorest[author_es],autorest[language_es])</f>
        <v>Griego</v>
      </c>
      <c r="L118" t="str">
        <f>_xlfn.XLOOKUP(frasest[[#This Row],[author_es]],autorest[author_es],autorest[language_la])</f>
        <v>Lingua Graeca</v>
      </c>
      <c r="M118" t="str">
        <f>_xlfn.XLOOKUP(frasest[[#This Row],[author_es]],autorest[author_es],autorest[nation_es])</f>
        <v>Grecia</v>
      </c>
      <c r="N118" t="str">
        <f>_xlfn.XLOOKUP(frasest[[#This Row],[author_es]],autorest[author_es],autorest[nation_la])</f>
        <v>Graecia</v>
      </c>
      <c r="O118" t="str">
        <f>_xlfn.XLOOKUP(frasest[[#This Row],[author_es]],autorest[author_es],autorest[age_es])</f>
        <v>Edad Antigua</v>
      </c>
      <c r="P118" t="str">
        <f>_xlfn.XLOOKUP(frasest[[#This Row],[author_es]],autorest[author_es],autorest[age_la])</f>
        <v>Antiquitas</v>
      </c>
      <c r="Q118" t="str">
        <f>_xlfn.XLOOKUP(frasest[[#This Row],[author_es]],autorest[author_es],autorest[image])</f>
        <v>https://i.ibb.co/qLzHP6XJ/tales.png</v>
      </c>
      <c r="R118">
        <f>_xlfn.XLOOKUP(frasest[[#This Row],[author_es]],autorest[author_es],autorest[image_atr])</f>
        <v>0</v>
      </c>
    </row>
    <row r="119" spans="1:18">
      <c r="A119">
        <v>118</v>
      </c>
      <c r="B119" t="s">
        <v>421</v>
      </c>
      <c r="C119" t="s">
        <v>422</v>
      </c>
      <c r="D119" t="s">
        <v>423</v>
      </c>
      <c r="E119" t="s">
        <v>419</v>
      </c>
      <c r="F119" t="s">
        <v>424</v>
      </c>
      <c r="G119" t="str">
        <f>_xlfn.XLOOKUP(frasest[[#This Row],[author_es]],autorest[author_es],autorest[author_la])</f>
        <v>Thales Miletaeus</v>
      </c>
      <c r="H119"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19" t="str">
        <f>_xlfn.XLOOKUP(frasest[[#This Row],[author_es]],autorest[author_es],autorest[bio_la])</f>
        <v>Philosophus Graecus Praesocraticus Miletaeus, primus philosophus Occidentis et unus ex Septem Sapientibus. Praedixit eclipsis solis anno 585 a.C. et aquam substantiam primordialem proposuit.</v>
      </c>
      <c r="J119" t="str">
        <f>_xlfn.XLOOKUP(frasest[[#This Row],[author_es]],autorest[author_es],autorest[iso3691])</f>
        <v>el</v>
      </c>
      <c r="K119" t="str">
        <f>_xlfn.XLOOKUP(frasest[[#This Row],[author_es]],autorest[author_es],autorest[language_es])</f>
        <v>Griego</v>
      </c>
      <c r="L119" t="str">
        <f>_xlfn.XLOOKUP(frasest[[#This Row],[author_es]],autorest[author_es],autorest[language_la])</f>
        <v>Lingua Graeca</v>
      </c>
      <c r="M119" t="str">
        <f>_xlfn.XLOOKUP(frasest[[#This Row],[author_es]],autorest[author_es],autorest[nation_es])</f>
        <v>Grecia</v>
      </c>
      <c r="N119" t="str">
        <f>_xlfn.XLOOKUP(frasest[[#This Row],[author_es]],autorest[author_es],autorest[nation_la])</f>
        <v>Graecia</v>
      </c>
      <c r="O119" t="str">
        <f>_xlfn.XLOOKUP(frasest[[#This Row],[author_es]],autorest[author_es],autorest[age_es])</f>
        <v>Edad Antigua</v>
      </c>
      <c r="P119" t="str">
        <f>_xlfn.XLOOKUP(frasest[[#This Row],[author_es]],autorest[author_es],autorest[age_la])</f>
        <v>Antiquitas</v>
      </c>
      <c r="Q119" t="str">
        <f>_xlfn.XLOOKUP(frasest[[#This Row],[author_es]],autorest[author_es],autorest[image])</f>
        <v>https://i.ibb.co/qLzHP6XJ/tales.png</v>
      </c>
      <c r="R119">
        <f>_xlfn.XLOOKUP(frasest[[#This Row],[author_es]],autorest[author_es],autorest[image_atr])</f>
        <v>0</v>
      </c>
    </row>
    <row r="120" spans="1:18">
      <c r="A120">
        <v>119</v>
      </c>
      <c r="B120" t="s">
        <v>425</v>
      </c>
      <c r="C120" t="s">
        <v>426</v>
      </c>
      <c r="D120" t="s">
        <v>427</v>
      </c>
      <c r="E120" t="s">
        <v>419</v>
      </c>
      <c r="F120" t="s">
        <v>428</v>
      </c>
      <c r="G120" t="str">
        <f>_xlfn.XLOOKUP(frasest[[#This Row],[author_es]],autorest[author_es],autorest[author_la])</f>
        <v>Thales Miletaeus</v>
      </c>
      <c r="H120"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0" t="str">
        <f>_xlfn.XLOOKUP(frasest[[#This Row],[author_es]],autorest[author_es],autorest[bio_la])</f>
        <v>Philosophus Graecus Praesocraticus Miletaeus, primus philosophus Occidentis et unus ex Septem Sapientibus. Praedixit eclipsis solis anno 585 a.C. et aquam substantiam primordialem proposuit.</v>
      </c>
      <c r="J120" t="str">
        <f>_xlfn.XLOOKUP(frasest[[#This Row],[author_es]],autorest[author_es],autorest[iso3691])</f>
        <v>el</v>
      </c>
      <c r="K120" t="str">
        <f>_xlfn.XLOOKUP(frasest[[#This Row],[author_es]],autorest[author_es],autorest[language_es])</f>
        <v>Griego</v>
      </c>
      <c r="L120" t="str">
        <f>_xlfn.XLOOKUP(frasest[[#This Row],[author_es]],autorest[author_es],autorest[language_la])</f>
        <v>Lingua Graeca</v>
      </c>
      <c r="M120" t="str">
        <f>_xlfn.XLOOKUP(frasest[[#This Row],[author_es]],autorest[author_es],autorest[nation_es])</f>
        <v>Grecia</v>
      </c>
      <c r="N120" t="str">
        <f>_xlfn.XLOOKUP(frasest[[#This Row],[author_es]],autorest[author_es],autorest[nation_la])</f>
        <v>Graecia</v>
      </c>
      <c r="O120" t="str">
        <f>_xlfn.XLOOKUP(frasest[[#This Row],[author_es]],autorest[author_es],autorest[age_es])</f>
        <v>Edad Antigua</v>
      </c>
      <c r="P120" t="str">
        <f>_xlfn.XLOOKUP(frasest[[#This Row],[author_es]],autorest[author_es],autorest[age_la])</f>
        <v>Antiquitas</v>
      </c>
      <c r="Q120" t="str">
        <f>_xlfn.XLOOKUP(frasest[[#This Row],[author_es]],autorest[author_es],autorest[image])</f>
        <v>https://i.ibb.co/qLzHP6XJ/tales.png</v>
      </c>
      <c r="R120">
        <f>_xlfn.XLOOKUP(frasest[[#This Row],[author_es]],autorest[author_es],autorest[image_atr])</f>
        <v>0</v>
      </c>
    </row>
    <row r="121" spans="1:18">
      <c r="A121">
        <v>120</v>
      </c>
      <c r="B121" t="s">
        <v>429</v>
      </c>
      <c r="C121" t="s">
        <v>430</v>
      </c>
      <c r="D121" t="s">
        <v>431</v>
      </c>
      <c r="E121" t="s">
        <v>419</v>
      </c>
      <c r="F121" t="s">
        <v>432</v>
      </c>
      <c r="G121" t="str">
        <f>_xlfn.XLOOKUP(frasest[[#This Row],[author_es]],autorest[author_es],autorest[author_la])</f>
        <v>Thales Miletaeus</v>
      </c>
      <c r="H121"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1" t="str">
        <f>_xlfn.XLOOKUP(frasest[[#This Row],[author_es]],autorest[author_es],autorest[bio_la])</f>
        <v>Philosophus Graecus Praesocraticus Miletaeus, primus philosophus Occidentis et unus ex Septem Sapientibus. Praedixit eclipsis solis anno 585 a.C. et aquam substantiam primordialem proposuit.</v>
      </c>
      <c r="J121" t="str">
        <f>_xlfn.XLOOKUP(frasest[[#This Row],[author_es]],autorest[author_es],autorest[iso3691])</f>
        <v>el</v>
      </c>
      <c r="K121" t="str">
        <f>_xlfn.XLOOKUP(frasest[[#This Row],[author_es]],autorest[author_es],autorest[language_es])</f>
        <v>Griego</v>
      </c>
      <c r="L121" t="str">
        <f>_xlfn.XLOOKUP(frasest[[#This Row],[author_es]],autorest[author_es],autorest[language_la])</f>
        <v>Lingua Graeca</v>
      </c>
      <c r="M121" t="str">
        <f>_xlfn.XLOOKUP(frasest[[#This Row],[author_es]],autorest[author_es],autorest[nation_es])</f>
        <v>Grecia</v>
      </c>
      <c r="N121" t="str">
        <f>_xlfn.XLOOKUP(frasest[[#This Row],[author_es]],autorest[author_es],autorest[nation_la])</f>
        <v>Graecia</v>
      </c>
      <c r="O121" t="str">
        <f>_xlfn.XLOOKUP(frasest[[#This Row],[author_es]],autorest[author_es],autorest[age_es])</f>
        <v>Edad Antigua</v>
      </c>
      <c r="P121" t="str">
        <f>_xlfn.XLOOKUP(frasest[[#This Row],[author_es]],autorest[author_es],autorest[age_la])</f>
        <v>Antiquitas</v>
      </c>
      <c r="Q121" t="str">
        <f>_xlfn.XLOOKUP(frasest[[#This Row],[author_es]],autorest[author_es],autorest[image])</f>
        <v>https://i.ibb.co/qLzHP6XJ/tales.png</v>
      </c>
      <c r="R121">
        <f>_xlfn.XLOOKUP(frasest[[#This Row],[author_es]],autorest[author_es],autorest[image_atr])</f>
        <v>0</v>
      </c>
    </row>
    <row r="122" spans="1:18">
      <c r="A122">
        <v>121</v>
      </c>
      <c r="B122" t="s">
        <v>433</v>
      </c>
      <c r="C122" t="s">
        <v>434</v>
      </c>
      <c r="D122" t="s">
        <v>435</v>
      </c>
      <c r="E122" t="s">
        <v>419</v>
      </c>
      <c r="F122" t="s">
        <v>436</v>
      </c>
      <c r="G122" t="str">
        <f>_xlfn.XLOOKUP(frasest[[#This Row],[author_es]],autorest[author_es],autorest[author_la])</f>
        <v>Thales Miletaeus</v>
      </c>
      <c r="H122"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2" t="str">
        <f>_xlfn.XLOOKUP(frasest[[#This Row],[author_es]],autorest[author_es],autorest[bio_la])</f>
        <v>Philosophus Graecus Praesocraticus Miletaeus, primus philosophus Occidentis et unus ex Septem Sapientibus. Praedixit eclipsis solis anno 585 a.C. et aquam substantiam primordialem proposuit.</v>
      </c>
      <c r="J122" t="str">
        <f>_xlfn.XLOOKUP(frasest[[#This Row],[author_es]],autorest[author_es],autorest[iso3691])</f>
        <v>el</v>
      </c>
      <c r="K122" t="str">
        <f>_xlfn.XLOOKUP(frasest[[#This Row],[author_es]],autorest[author_es],autorest[language_es])</f>
        <v>Griego</v>
      </c>
      <c r="L122" t="str">
        <f>_xlfn.XLOOKUP(frasest[[#This Row],[author_es]],autorest[author_es],autorest[language_la])</f>
        <v>Lingua Graeca</v>
      </c>
      <c r="M122" t="str">
        <f>_xlfn.XLOOKUP(frasest[[#This Row],[author_es]],autorest[author_es],autorest[nation_es])</f>
        <v>Grecia</v>
      </c>
      <c r="N122" t="str">
        <f>_xlfn.XLOOKUP(frasest[[#This Row],[author_es]],autorest[author_es],autorest[nation_la])</f>
        <v>Graecia</v>
      </c>
      <c r="O122" t="str">
        <f>_xlfn.XLOOKUP(frasest[[#This Row],[author_es]],autorest[author_es],autorest[age_es])</f>
        <v>Edad Antigua</v>
      </c>
      <c r="P122" t="str">
        <f>_xlfn.XLOOKUP(frasest[[#This Row],[author_es]],autorest[author_es],autorest[age_la])</f>
        <v>Antiquitas</v>
      </c>
      <c r="Q122" t="str">
        <f>_xlfn.XLOOKUP(frasest[[#This Row],[author_es]],autorest[author_es],autorest[image])</f>
        <v>https://i.ibb.co/qLzHP6XJ/tales.png</v>
      </c>
      <c r="R122">
        <f>_xlfn.XLOOKUP(frasest[[#This Row],[author_es]],autorest[author_es],autorest[image_atr])</f>
        <v>0</v>
      </c>
    </row>
    <row r="123" spans="1:18">
      <c r="A123">
        <v>122</v>
      </c>
      <c r="B123" t="s">
        <v>437</v>
      </c>
      <c r="C123" t="s">
        <v>438</v>
      </c>
      <c r="D123" t="s">
        <v>439</v>
      </c>
      <c r="E123" t="s">
        <v>419</v>
      </c>
      <c r="F123" t="s">
        <v>440</v>
      </c>
      <c r="G123" t="str">
        <f>_xlfn.XLOOKUP(frasest[[#This Row],[author_es]],autorest[author_es],autorest[author_la])</f>
        <v>Thales Miletaeus</v>
      </c>
      <c r="H123"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3" t="str">
        <f>_xlfn.XLOOKUP(frasest[[#This Row],[author_es]],autorest[author_es],autorest[bio_la])</f>
        <v>Philosophus Graecus Praesocraticus Miletaeus, primus philosophus Occidentis et unus ex Septem Sapientibus. Praedixit eclipsis solis anno 585 a.C. et aquam substantiam primordialem proposuit.</v>
      </c>
      <c r="J123" t="str">
        <f>_xlfn.XLOOKUP(frasest[[#This Row],[author_es]],autorest[author_es],autorest[iso3691])</f>
        <v>el</v>
      </c>
      <c r="K123" t="str">
        <f>_xlfn.XLOOKUP(frasest[[#This Row],[author_es]],autorest[author_es],autorest[language_es])</f>
        <v>Griego</v>
      </c>
      <c r="L123" t="str">
        <f>_xlfn.XLOOKUP(frasest[[#This Row],[author_es]],autorest[author_es],autorest[language_la])</f>
        <v>Lingua Graeca</v>
      </c>
      <c r="M123" t="str">
        <f>_xlfn.XLOOKUP(frasest[[#This Row],[author_es]],autorest[author_es],autorest[nation_es])</f>
        <v>Grecia</v>
      </c>
      <c r="N123" t="str">
        <f>_xlfn.XLOOKUP(frasest[[#This Row],[author_es]],autorest[author_es],autorest[nation_la])</f>
        <v>Graecia</v>
      </c>
      <c r="O123" t="str">
        <f>_xlfn.XLOOKUP(frasest[[#This Row],[author_es]],autorest[author_es],autorest[age_es])</f>
        <v>Edad Antigua</v>
      </c>
      <c r="P123" t="str">
        <f>_xlfn.XLOOKUP(frasest[[#This Row],[author_es]],autorest[author_es],autorest[age_la])</f>
        <v>Antiquitas</v>
      </c>
      <c r="Q123" t="str">
        <f>_xlfn.XLOOKUP(frasest[[#This Row],[author_es]],autorest[author_es],autorest[image])</f>
        <v>https://i.ibb.co/qLzHP6XJ/tales.png</v>
      </c>
      <c r="R123">
        <f>_xlfn.XLOOKUP(frasest[[#This Row],[author_es]],autorest[author_es],autorest[image_atr])</f>
        <v>0</v>
      </c>
    </row>
    <row r="124" spans="1:18">
      <c r="A124">
        <v>123</v>
      </c>
      <c r="B124" t="s">
        <v>441</v>
      </c>
      <c r="C124" t="s">
        <v>442</v>
      </c>
      <c r="D124" t="s">
        <v>443</v>
      </c>
      <c r="E124" t="s">
        <v>419</v>
      </c>
      <c r="F124" t="s">
        <v>444</v>
      </c>
      <c r="G124" t="str">
        <f>_xlfn.XLOOKUP(frasest[[#This Row],[author_es]],autorest[author_es],autorest[author_la])</f>
        <v>Thales Miletaeus</v>
      </c>
      <c r="H124"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4" t="str">
        <f>_xlfn.XLOOKUP(frasest[[#This Row],[author_es]],autorest[author_es],autorest[bio_la])</f>
        <v>Philosophus Graecus Praesocraticus Miletaeus, primus philosophus Occidentis et unus ex Septem Sapientibus. Praedixit eclipsis solis anno 585 a.C. et aquam substantiam primordialem proposuit.</v>
      </c>
      <c r="J124" t="str">
        <f>_xlfn.XLOOKUP(frasest[[#This Row],[author_es]],autorest[author_es],autorest[iso3691])</f>
        <v>el</v>
      </c>
      <c r="K124" t="str">
        <f>_xlfn.XLOOKUP(frasest[[#This Row],[author_es]],autorest[author_es],autorest[language_es])</f>
        <v>Griego</v>
      </c>
      <c r="L124" t="str">
        <f>_xlfn.XLOOKUP(frasest[[#This Row],[author_es]],autorest[author_es],autorest[language_la])</f>
        <v>Lingua Graeca</v>
      </c>
      <c r="M124" t="str">
        <f>_xlfn.XLOOKUP(frasest[[#This Row],[author_es]],autorest[author_es],autorest[nation_es])</f>
        <v>Grecia</v>
      </c>
      <c r="N124" t="str">
        <f>_xlfn.XLOOKUP(frasest[[#This Row],[author_es]],autorest[author_es],autorest[nation_la])</f>
        <v>Graecia</v>
      </c>
      <c r="O124" t="str">
        <f>_xlfn.XLOOKUP(frasest[[#This Row],[author_es]],autorest[author_es],autorest[age_es])</f>
        <v>Edad Antigua</v>
      </c>
      <c r="P124" t="str">
        <f>_xlfn.XLOOKUP(frasest[[#This Row],[author_es]],autorest[author_es],autorest[age_la])</f>
        <v>Antiquitas</v>
      </c>
      <c r="Q124" t="str">
        <f>_xlfn.XLOOKUP(frasest[[#This Row],[author_es]],autorest[author_es],autorest[image])</f>
        <v>https://i.ibb.co/qLzHP6XJ/tales.png</v>
      </c>
      <c r="R124">
        <f>_xlfn.XLOOKUP(frasest[[#This Row],[author_es]],autorest[author_es],autorest[image_atr])</f>
        <v>0</v>
      </c>
    </row>
    <row r="125" spans="1:18">
      <c r="A125">
        <v>124</v>
      </c>
      <c r="B125" t="s">
        <v>445</v>
      </c>
      <c r="C125" t="s">
        <v>446</v>
      </c>
      <c r="D125" t="s">
        <v>447</v>
      </c>
      <c r="E125" t="s">
        <v>419</v>
      </c>
      <c r="F125" t="s">
        <v>448</v>
      </c>
      <c r="G125" t="str">
        <f>_xlfn.XLOOKUP(frasest[[#This Row],[author_es]],autorest[author_es],autorest[author_la])</f>
        <v>Thales Miletaeus</v>
      </c>
      <c r="H125"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5" t="str">
        <f>_xlfn.XLOOKUP(frasest[[#This Row],[author_es]],autorest[author_es],autorest[bio_la])</f>
        <v>Philosophus Graecus Praesocraticus Miletaeus, primus philosophus Occidentis et unus ex Septem Sapientibus. Praedixit eclipsis solis anno 585 a.C. et aquam substantiam primordialem proposuit.</v>
      </c>
      <c r="J125" t="str">
        <f>_xlfn.XLOOKUP(frasest[[#This Row],[author_es]],autorest[author_es],autorest[iso3691])</f>
        <v>el</v>
      </c>
      <c r="K125" t="str">
        <f>_xlfn.XLOOKUP(frasest[[#This Row],[author_es]],autorest[author_es],autorest[language_es])</f>
        <v>Griego</v>
      </c>
      <c r="L125" t="str">
        <f>_xlfn.XLOOKUP(frasest[[#This Row],[author_es]],autorest[author_es],autorest[language_la])</f>
        <v>Lingua Graeca</v>
      </c>
      <c r="M125" t="str">
        <f>_xlfn.XLOOKUP(frasest[[#This Row],[author_es]],autorest[author_es],autorest[nation_es])</f>
        <v>Grecia</v>
      </c>
      <c r="N125" t="str">
        <f>_xlfn.XLOOKUP(frasest[[#This Row],[author_es]],autorest[author_es],autorest[nation_la])</f>
        <v>Graecia</v>
      </c>
      <c r="O125" t="str">
        <f>_xlfn.XLOOKUP(frasest[[#This Row],[author_es]],autorest[author_es],autorest[age_es])</f>
        <v>Edad Antigua</v>
      </c>
      <c r="P125" t="str">
        <f>_xlfn.XLOOKUP(frasest[[#This Row],[author_es]],autorest[author_es],autorest[age_la])</f>
        <v>Antiquitas</v>
      </c>
      <c r="Q125" t="str">
        <f>_xlfn.XLOOKUP(frasest[[#This Row],[author_es]],autorest[author_es],autorest[image])</f>
        <v>https://i.ibb.co/qLzHP6XJ/tales.png</v>
      </c>
      <c r="R125">
        <f>_xlfn.XLOOKUP(frasest[[#This Row],[author_es]],autorest[author_es],autorest[image_atr])</f>
        <v>0</v>
      </c>
    </row>
    <row r="126" spans="1:18">
      <c r="A126">
        <v>125</v>
      </c>
      <c r="B126" t="s">
        <v>449</v>
      </c>
      <c r="C126" t="s">
        <v>450</v>
      </c>
      <c r="D126" t="s">
        <v>451</v>
      </c>
      <c r="E126" t="s">
        <v>419</v>
      </c>
      <c r="F126" t="s">
        <v>452</v>
      </c>
      <c r="G126" t="str">
        <f>_xlfn.XLOOKUP(frasest[[#This Row],[author_es]],autorest[author_es],autorest[author_la])</f>
        <v>Thales Miletaeus</v>
      </c>
      <c r="H126"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6" t="str">
        <f>_xlfn.XLOOKUP(frasest[[#This Row],[author_es]],autorest[author_es],autorest[bio_la])</f>
        <v>Philosophus Graecus Praesocraticus Miletaeus, primus philosophus Occidentis et unus ex Septem Sapientibus. Praedixit eclipsis solis anno 585 a.C. et aquam substantiam primordialem proposuit.</v>
      </c>
      <c r="J126" t="str">
        <f>_xlfn.XLOOKUP(frasest[[#This Row],[author_es]],autorest[author_es],autorest[iso3691])</f>
        <v>el</v>
      </c>
      <c r="K126" t="str">
        <f>_xlfn.XLOOKUP(frasest[[#This Row],[author_es]],autorest[author_es],autorest[language_es])</f>
        <v>Griego</v>
      </c>
      <c r="L126" t="str">
        <f>_xlfn.XLOOKUP(frasest[[#This Row],[author_es]],autorest[author_es],autorest[language_la])</f>
        <v>Lingua Graeca</v>
      </c>
      <c r="M126" t="str">
        <f>_xlfn.XLOOKUP(frasest[[#This Row],[author_es]],autorest[author_es],autorest[nation_es])</f>
        <v>Grecia</v>
      </c>
      <c r="N126" t="str">
        <f>_xlfn.XLOOKUP(frasest[[#This Row],[author_es]],autorest[author_es],autorest[nation_la])</f>
        <v>Graecia</v>
      </c>
      <c r="O126" t="str">
        <f>_xlfn.XLOOKUP(frasest[[#This Row],[author_es]],autorest[author_es],autorest[age_es])</f>
        <v>Edad Antigua</v>
      </c>
      <c r="P126" t="str">
        <f>_xlfn.XLOOKUP(frasest[[#This Row],[author_es]],autorest[author_es],autorest[age_la])</f>
        <v>Antiquitas</v>
      </c>
      <c r="Q126" t="str">
        <f>_xlfn.XLOOKUP(frasest[[#This Row],[author_es]],autorest[author_es],autorest[image])</f>
        <v>https://i.ibb.co/qLzHP6XJ/tales.png</v>
      </c>
      <c r="R126">
        <f>_xlfn.XLOOKUP(frasest[[#This Row],[author_es]],autorest[author_es],autorest[image_atr])</f>
        <v>0</v>
      </c>
    </row>
    <row r="127" spans="1:18">
      <c r="A127">
        <v>126</v>
      </c>
      <c r="B127" t="s">
        <v>453</v>
      </c>
      <c r="C127" t="s">
        <v>454</v>
      </c>
      <c r="D127" t="s">
        <v>455</v>
      </c>
      <c r="E127" t="s">
        <v>419</v>
      </c>
      <c r="F127" t="s">
        <v>456</v>
      </c>
      <c r="G127" t="str">
        <f>_xlfn.XLOOKUP(frasest[[#This Row],[author_es]],autorest[author_es],autorest[author_la])</f>
        <v>Thales Miletaeus</v>
      </c>
      <c r="H127" t="str">
        <f>_xlfn.XLOOKUP(frasest[[#This Row],[author_es]],autorest[author_es],autorest[bio_es])</f>
        <v>Filósofo griego presocrático de Mileto, considerado el primer filósofo de Occidente y uno de los Siete Sabios. Predijo el eclipse solar del 585 a.C. y propuso que el agua es la sustancia primordial.</v>
      </c>
      <c r="I127" t="str">
        <f>_xlfn.XLOOKUP(frasest[[#This Row],[author_es]],autorest[author_es],autorest[bio_la])</f>
        <v>Philosophus Graecus Praesocraticus Miletaeus, primus philosophus Occidentis et unus ex Septem Sapientibus. Praedixit eclipsis solis anno 585 a.C. et aquam substantiam primordialem proposuit.</v>
      </c>
      <c r="J127" t="str">
        <f>_xlfn.XLOOKUP(frasest[[#This Row],[author_es]],autorest[author_es],autorest[iso3691])</f>
        <v>el</v>
      </c>
      <c r="K127" t="str">
        <f>_xlfn.XLOOKUP(frasest[[#This Row],[author_es]],autorest[author_es],autorest[language_es])</f>
        <v>Griego</v>
      </c>
      <c r="L127" t="str">
        <f>_xlfn.XLOOKUP(frasest[[#This Row],[author_es]],autorest[author_es],autorest[language_la])</f>
        <v>Lingua Graeca</v>
      </c>
      <c r="M127" t="str">
        <f>_xlfn.XLOOKUP(frasest[[#This Row],[author_es]],autorest[author_es],autorest[nation_es])</f>
        <v>Grecia</v>
      </c>
      <c r="N127" t="str">
        <f>_xlfn.XLOOKUP(frasest[[#This Row],[author_es]],autorest[author_es],autorest[nation_la])</f>
        <v>Graecia</v>
      </c>
      <c r="O127" t="str">
        <f>_xlfn.XLOOKUP(frasest[[#This Row],[author_es]],autorest[author_es],autorest[age_es])</f>
        <v>Edad Antigua</v>
      </c>
      <c r="P127" t="str">
        <f>_xlfn.XLOOKUP(frasest[[#This Row],[author_es]],autorest[author_es],autorest[age_la])</f>
        <v>Antiquitas</v>
      </c>
      <c r="Q127" t="str">
        <f>_xlfn.XLOOKUP(frasest[[#This Row],[author_es]],autorest[author_es],autorest[image])</f>
        <v>https://i.ibb.co/qLzHP6XJ/tales.png</v>
      </c>
      <c r="R127">
        <f>_xlfn.XLOOKUP(frasest[[#This Row],[author_es]],autorest[author_es],autorest[image_atr])</f>
        <v>0</v>
      </c>
    </row>
    <row r="128" spans="1:18">
      <c r="A128">
        <v>127</v>
      </c>
      <c r="B128" t="s">
        <v>457</v>
      </c>
      <c r="C128" t="s">
        <v>458</v>
      </c>
      <c r="D128" t="s">
        <v>459</v>
      </c>
      <c r="E128" t="s">
        <v>460</v>
      </c>
      <c r="F128" t="s">
        <v>461</v>
      </c>
      <c r="G128" t="str">
        <f>_xlfn.XLOOKUP(frasest[[#This Row],[author_es]],autorest[author_es],autorest[author_la])</f>
        <v>Epicurus</v>
      </c>
      <c r="H128" t="str">
        <f>_xlfn.XLOOKUP(frasest[[#This Row],[author_es]],autorest[author_es],autorest[bio_es])</f>
        <v>Filósofo griego de la Edad Antigua, fundador del epicureísmo, que defendía la búsqueda racional del placer moderado como camino a la felicidad.</v>
      </c>
      <c r="I128" t="str">
        <f>_xlfn.XLOOKUP(frasest[[#This Row],[author_es]],autorest[author_es],autorest[bio_la])</f>
        <v>Philosophus Graecus Antiquitatis, scholae Epicureae conditor, qui voluptatem moderatam ratione quaesitam viam ad felicitatem esse docebat.</v>
      </c>
      <c r="J128" t="str">
        <f>_xlfn.XLOOKUP(frasest[[#This Row],[author_es]],autorest[author_es],autorest[iso3691])</f>
        <v>el</v>
      </c>
      <c r="K128" t="str">
        <f>_xlfn.XLOOKUP(frasest[[#This Row],[author_es]],autorest[author_es],autorest[language_es])</f>
        <v>Griego</v>
      </c>
      <c r="L128" t="str">
        <f>_xlfn.XLOOKUP(frasest[[#This Row],[author_es]],autorest[author_es],autorest[language_la])</f>
        <v>Lingua Graeca</v>
      </c>
      <c r="M128" t="str">
        <f>_xlfn.XLOOKUP(frasest[[#This Row],[author_es]],autorest[author_es],autorest[nation_es])</f>
        <v>Grecia</v>
      </c>
      <c r="N128" t="str">
        <f>_xlfn.XLOOKUP(frasest[[#This Row],[author_es]],autorest[author_es],autorest[nation_la])</f>
        <v>Graecia</v>
      </c>
      <c r="O128" t="str">
        <f>_xlfn.XLOOKUP(frasest[[#This Row],[author_es]],autorest[author_es],autorest[age_es])</f>
        <v>Edad Antigua</v>
      </c>
      <c r="P128" t="str">
        <f>_xlfn.XLOOKUP(frasest[[#This Row],[author_es]],autorest[author_es],autorest[age_la])</f>
        <v>Antiquitas</v>
      </c>
      <c r="Q128" t="str">
        <f>_xlfn.XLOOKUP(frasest[[#This Row],[author_es]],autorest[author_es],autorest[image])</f>
        <v>https://i.ibb.co/dsQnnqJw/epicuro.png</v>
      </c>
      <c r="R128">
        <f>_xlfn.XLOOKUP(frasest[[#This Row],[author_es]],autorest[author_es],autorest[image_atr])</f>
        <v>0</v>
      </c>
    </row>
    <row r="129" spans="1:18">
      <c r="A129">
        <v>128</v>
      </c>
      <c r="B129" t="s">
        <v>462</v>
      </c>
      <c r="C129" t="s">
        <v>463</v>
      </c>
      <c r="D129" t="s">
        <v>464</v>
      </c>
      <c r="E129" t="s">
        <v>460</v>
      </c>
      <c r="F129" t="s">
        <v>465</v>
      </c>
      <c r="G129" t="str">
        <f>_xlfn.XLOOKUP(frasest[[#This Row],[author_es]],autorest[author_es],autorest[author_la])</f>
        <v>Epicurus</v>
      </c>
      <c r="H129" t="str">
        <f>_xlfn.XLOOKUP(frasest[[#This Row],[author_es]],autorest[author_es],autorest[bio_es])</f>
        <v>Filósofo griego de la Edad Antigua, fundador del epicureísmo, que defendía la búsqueda racional del placer moderado como camino a la felicidad.</v>
      </c>
      <c r="I129" t="str">
        <f>_xlfn.XLOOKUP(frasest[[#This Row],[author_es]],autorest[author_es],autorest[bio_la])</f>
        <v>Philosophus Graecus Antiquitatis, scholae Epicureae conditor, qui voluptatem moderatam ratione quaesitam viam ad felicitatem esse docebat.</v>
      </c>
      <c r="J129" t="str">
        <f>_xlfn.XLOOKUP(frasest[[#This Row],[author_es]],autorest[author_es],autorest[iso3691])</f>
        <v>el</v>
      </c>
      <c r="K129" t="str">
        <f>_xlfn.XLOOKUP(frasest[[#This Row],[author_es]],autorest[author_es],autorest[language_es])</f>
        <v>Griego</v>
      </c>
      <c r="L129" t="str">
        <f>_xlfn.XLOOKUP(frasest[[#This Row],[author_es]],autorest[author_es],autorest[language_la])</f>
        <v>Lingua Graeca</v>
      </c>
      <c r="M129" t="str">
        <f>_xlfn.XLOOKUP(frasest[[#This Row],[author_es]],autorest[author_es],autorest[nation_es])</f>
        <v>Grecia</v>
      </c>
      <c r="N129" t="str">
        <f>_xlfn.XLOOKUP(frasest[[#This Row],[author_es]],autorest[author_es],autorest[nation_la])</f>
        <v>Graecia</v>
      </c>
      <c r="O129" t="str">
        <f>_xlfn.XLOOKUP(frasest[[#This Row],[author_es]],autorest[author_es],autorest[age_es])</f>
        <v>Edad Antigua</v>
      </c>
      <c r="P129" t="str">
        <f>_xlfn.XLOOKUP(frasest[[#This Row],[author_es]],autorest[author_es],autorest[age_la])</f>
        <v>Antiquitas</v>
      </c>
      <c r="Q129" t="str">
        <f>_xlfn.XLOOKUP(frasest[[#This Row],[author_es]],autorest[author_es],autorest[image])</f>
        <v>https://i.ibb.co/dsQnnqJw/epicuro.png</v>
      </c>
      <c r="R129">
        <f>_xlfn.XLOOKUP(frasest[[#This Row],[author_es]],autorest[author_es],autorest[image_atr])</f>
        <v>0</v>
      </c>
    </row>
    <row r="130" spans="1:18">
      <c r="A130">
        <v>129</v>
      </c>
      <c r="B130" t="s">
        <v>466</v>
      </c>
      <c r="C130" t="s">
        <v>467</v>
      </c>
      <c r="D130" t="s">
        <v>468</v>
      </c>
      <c r="E130" t="s">
        <v>460</v>
      </c>
      <c r="F130" t="s">
        <v>469</v>
      </c>
      <c r="G130" t="str">
        <f>_xlfn.XLOOKUP(frasest[[#This Row],[author_es]],autorest[author_es],autorest[author_la])</f>
        <v>Epicurus</v>
      </c>
      <c r="H130" t="str">
        <f>_xlfn.XLOOKUP(frasest[[#This Row],[author_es]],autorest[author_es],autorest[bio_es])</f>
        <v>Filósofo griego de la Edad Antigua, fundador del epicureísmo, que defendía la búsqueda racional del placer moderado como camino a la felicidad.</v>
      </c>
      <c r="I130" t="str">
        <f>_xlfn.XLOOKUP(frasest[[#This Row],[author_es]],autorest[author_es],autorest[bio_la])</f>
        <v>Philosophus Graecus Antiquitatis, scholae Epicureae conditor, qui voluptatem moderatam ratione quaesitam viam ad felicitatem esse docebat.</v>
      </c>
      <c r="J130" t="str">
        <f>_xlfn.XLOOKUP(frasest[[#This Row],[author_es]],autorest[author_es],autorest[iso3691])</f>
        <v>el</v>
      </c>
      <c r="K130" t="str">
        <f>_xlfn.XLOOKUP(frasest[[#This Row],[author_es]],autorest[author_es],autorest[language_es])</f>
        <v>Griego</v>
      </c>
      <c r="L130" t="str">
        <f>_xlfn.XLOOKUP(frasest[[#This Row],[author_es]],autorest[author_es],autorest[language_la])</f>
        <v>Lingua Graeca</v>
      </c>
      <c r="M130" t="str">
        <f>_xlfn.XLOOKUP(frasest[[#This Row],[author_es]],autorest[author_es],autorest[nation_es])</f>
        <v>Grecia</v>
      </c>
      <c r="N130" t="str">
        <f>_xlfn.XLOOKUP(frasest[[#This Row],[author_es]],autorest[author_es],autorest[nation_la])</f>
        <v>Graecia</v>
      </c>
      <c r="O130" t="str">
        <f>_xlfn.XLOOKUP(frasest[[#This Row],[author_es]],autorest[author_es],autorest[age_es])</f>
        <v>Edad Antigua</v>
      </c>
      <c r="P130" t="str">
        <f>_xlfn.XLOOKUP(frasest[[#This Row],[author_es]],autorest[author_es],autorest[age_la])</f>
        <v>Antiquitas</v>
      </c>
      <c r="Q130" t="str">
        <f>_xlfn.XLOOKUP(frasest[[#This Row],[author_es]],autorest[author_es],autorest[image])</f>
        <v>https://i.ibb.co/dsQnnqJw/epicuro.png</v>
      </c>
      <c r="R130">
        <f>_xlfn.XLOOKUP(frasest[[#This Row],[author_es]],autorest[author_es],autorest[image_atr])</f>
        <v>0</v>
      </c>
    </row>
    <row r="131" spans="1:18">
      <c r="A131">
        <v>130</v>
      </c>
      <c r="B131" t="s">
        <v>470</v>
      </c>
      <c r="C131" t="s">
        <v>471</v>
      </c>
      <c r="D131" t="s">
        <v>472</v>
      </c>
      <c r="E131" t="s">
        <v>460</v>
      </c>
      <c r="F131" t="s">
        <v>473</v>
      </c>
      <c r="G131" t="str">
        <f>_xlfn.XLOOKUP(frasest[[#This Row],[author_es]],autorest[author_es],autorest[author_la])</f>
        <v>Epicurus</v>
      </c>
      <c r="H131" t="str">
        <f>_xlfn.XLOOKUP(frasest[[#This Row],[author_es]],autorest[author_es],autorest[bio_es])</f>
        <v>Filósofo griego de la Edad Antigua, fundador del epicureísmo, que defendía la búsqueda racional del placer moderado como camino a la felicidad.</v>
      </c>
      <c r="I131" t="str">
        <f>_xlfn.XLOOKUP(frasest[[#This Row],[author_es]],autorest[author_es],autorest[bio_la])</f>
        <v>Philosophus Graecus Antiquitatis, scholae Epicureae conditor, qui voluptatem moderatam ratione quaesitam viam ad felicitatem esse docebat.</v>
      </c>
      <c r="J131" t="str">
        <f>_xlfn.XLOOKUP(frasest[[#This Row],[author_es]],autorest[author_es],autorest[iso3691])</f>
        <v>el</v>
      </c>
      <c r="K131" t="str">
        <f>_xlfn.XLOOKUP(frasest[[#This Row],[author_es]],autorest[author_es],autorest[language_es])</f>
        <v>Griego</v>
      </c>
      <c r="L131" t="str">
        <f>_xlfn.XLOOKUP(frasest[[#This Row],[author_es]],autorest[author_es],autorest[language_la])</f>
        <v>Lingua Graeca</v>
      </c>
      <c r="M131" t="str">
        <f>_xlfn.XLOOKUP(frasest[[#This Row],[author_es]],autorest[author_es],autorest[nation_es])</f>
        <v>Grecia</v>
      </c>
      <c r="N131" t="str">
        <f>_xlfn.XLOOKUP(frasest[[#This Row],[author_es]],autorest[author_es],autorest[nation_la])</f>
        <v>Graecia</v>
      </c>
      <c r="O131" t="str">
        <f>_xlfn.XLOOKUP(frasest[[#This Row],[author_es]],autorest[author_es],autorest[age_es])</f>
        <v>Edad Antigua</v>
      </c>
      <c r="P131" t="str">
        <f>_xlfn.XLOOKUP(frasest[[#This Row],[author_es]],autorest[author_es],autorest[age_la])</f>
        <v>Antiquitas</v>
      </c>
      <c r="Q131" t="str">
        <f>_xlfn.XLOOKUP(frasest[[#This Row],[author_es]],autorest[author_es],autorest[image])</f>
        <v>https://i.ibb.co/dsQnnqJw/epicuro.png</v>
      </c>
      <c r="R131">
        <f>_xlfn.XLOOKUP(frasest[[#This Row],[author_es]],autorest[author_es],autorest[image_atr])</f>
        <v>0</v>
      </c>
    </row>
    <row r="132" spans="1:18">
      <c r="A132">
        <v>131</v>
      </c>
      <c r="B132" t="s">
        <v>474</v>
      </c>
      <c r="C132" t="s">
        <v>475</v>
      </c>
      <c r="D132" t="s">
        <v>476</v>
      </c>
      <c r="E132" t="s">
        <v>460</v>
      </c>
      <c r="F132" t="s">
        <v>477</v>
      </c>
      <c r="G132" t="str">
        <f>_xlfn.XLOOKUP(frasest[[#This Row],[author_es]],autorest[author_es],autorest[author_la])</f>
        <v>Epicurus</v>
      </c>
      <c r="H132" t="str">
        <f>_xlfn.XLOOKUP(frasest[[#This Row],[author_es]],autorest[author_es],autorest[bio_es])</f>
        <v>Filósofo griego de la Edad Antigua, fundador del epicureísmo, que defendía la búsqueda racional del placer moderado como camino a la felicidad.</v>
      </c>
      <c r="I132" t="str">
        <f>_xlfn.XLOOKUP(frasest[[#This Row],[author_es]],autorest[author_es],autorest[bio_la])</f>
        <v>Philosophus Graecus Antiquitatis, scholae Epicureae conditor, qui voluptatem moderatam ratione quaesitam viam ad felicitatem esse docebat.</v>
      </c>
      <c r="J132" t="str">
        <f>_xlfn.XLOOKUP(frasest[[#This Row],[author_es]],autorest[author_es],autorest[iso3691])</f>
        <v>el</v>
      </c>
      <c r="K132" t="str">
        <f>_xlfn.XLOOKUP(frasest[[#This Row],[author_es]],autorest[author_es],autorest[language_es])</f>
        <v>Griego</v>
      </c>
      <c r="L132" t="str">
        <f>_xlfn.XLOOKUP(frasest[[#This Row],[author_es]],autorest[author_es],autorest[language_la])</f>
        <v>Lingua Graeca</v>
      </c>
      <c r="M132" t="str">
        <f>_xlfn.XLOOKUP(frasest[[#This Row],[author_es]],autorest[author_es],autorest[nation_es])</f>
        <v>Grecia</v>
      </c>
      <c r="N132" t="str">
        <f>_xlfn.XLOOKUP(frasest[[#This Row],[author_es]],autorest[author_es],autorest[nation_la])</f>
        <v>Graecia</v>
      </c>
      <c r="O132" t="str">
        <f>_xlfn.XLOOKUP(frasest[[#This Row],[author_es]],autorest[author_es],autorest[age_es])</f>
        <v>Edad Antigua</v>
      </c>
      <c r="P132" t="str">
        <f>_xlfn.XLOOKUP(frasest[[#This Row],[author_es]],autorest[author_es],autorest[age_la])</f>
        <v>Antiquitas</v>
      </c>
      <c r="Q132" t="str">
        <f>_xlfn.XLOOKUP(frasest[[#This Row],[author_es]],autorest[author_es],autorest[image])</f>
        <v>https://i.ibb.co/dsQnnqJw/epicuro.png</v>
      </c>
      <c r="R132">
        <f>_xlfn.XLOOKUP(frasest[[#This Row],[author_es]],autorest[author_es],autorest[image_atr])</f>
        <v>0</v>
      </c>
    </row>
    <row r="133" spans="1:18">
      <c r="A133">
        <v>132</v>
      </c>
      <c r="B133" t="s">
        <v>478</v>
      </c>
      <c r="C133" t="s">
        <v>479</v>
      </c>
      <c r="D133" t="s">
        <v>480</v>
      </c>
      <c r="E133" t="s">
        <v>460</v>
      </c>
      <c r="F133" t="s">
        <v>481</v>
      </c>
      <c r="G133" t="str">
        <f>_xlfn.XLOOKUP(frasest[[#This Row],[author_es]],autorest[author_es],autorest[author_la])</f>
        <v>Epicurus</v>
      </c>
      <c r="H133" t="str">
        <f>_xlfn.XLOOKUP(frasest[[#This Row],[author_es]],autorest[author_es],autorest[bio_es])</f>
        <v>Filósofo griego de la Edad Antigua, fundador del epicureísmo, que defendía la búsqueda racional del placer moderado como camino a la felicidad.</v>
      </c>
      <c r="I133" t="str">
        <f>_xlfn.XLOOKUP(frasest[[#This Row],[author_es]],autorest[author_es],autorest[bio_la])</f>
        <v>Philosophus Graecus Antiquitatis, scholae Epicureae conditor, qui voluptatem moderatam ratione quaesitam viam ad felicitatem esse docebat.</v>
      </c>
      <c r="J133" t="str">
        <f>_xlfn.XLOOKUP(frasest[[#This Row],[author_es]],autorest[author_es],autorest[iso3691])</f>
        <v>el</v>
      </c>
      <c r="K133" t="str">
        <f>_xlfn.XLOOKUP(frasest[[#This Row],[author_es]],autorest[author_es],autorest[language_es])</f>
        <v>Griego</v>
      </c>
      <c r="L133" t="str">
        <f>_xlfn.XLOOKUP(frasest[[#This Row],[author_es]],autorest[author_es],autorest[language_la])</f>
        <v>Lingua Graeca</v>
      </c>
      <c r="M133" t="str">
        <f>_xlfn.XLOOKUP(frasest[[#This Row],[author_es]],autorest[author_es],autorest[nation_es])</f>
        <v>Grecia</v>
      </c>
      <c r="N133" t="str">
        <f>_xlfn.XLOOKUP(frasest[[#This Row],[author_es]],autorest[author_es],autorest[nation_la])</f>
        <v>Graecia</v>
      </c>
      <c r="O133" t="str">
        <f>_xlfn.XLOOKUP(frasest[[#This Row],[author_es]],autorest[author_es],autorest[age_es])</f>
        <v>Edad Antigua</v>
      </c>
      <c r="P133" t="str">
        <f>_xlfn.XLOOKUP(frasest[[#This Row],[author_es]],autorest[author_es],autorest[age_la])</f>
        <v>Antiquitas</v>
      </c>
      <c r="Q133" t="str">
        <f>_xlfn.XLOOKUP(frasest[[#This Row],[author_es]],autorest[author_es],autorest[image])</f>
        <v>https://i.ibb.co/dsQnnqJw/epicuro.png</v>
      </c>
      <c r="R133">
        <f>_xlfn.XLOOKUP(frasest[[#This Row],[author_es]],autorest[author_es],autorest[image_atr])</f>
        <v>0</v>
      </c>
    </row>
    <row r="134" spans="1:18">
      <c r="A134">
        <v>133</v>
      </c>
      <c r="B134" t="s">
        <v>482</v>
      </c>
      <c r="C134" t="s">
        <v>483</v>
      </c>
      <c r="D134" t="s">
        <v>484</v>
      </c>
      <c r="E134" t="s">
        <v>460</v>
      </c>
      <c r="F134" t="s">
        <v>485</v>
      </c>
      <c r="G134" t="str">
        <f>_xlfn.XLOOKUP(frasest[[#This Row],[author_es]],autorest[author_es],autorest[author_la])</f>
        <v>Epicurus</v>
      </c>
      <c r="H134" t="str">
        <f>_xlfn.XLOOKUP(frasest[[#This Row],[author_es]],autorest[author_es],autorest[bio_es])</f>
        <v>Filósofo griego de la Edad Antigua, fundador del epicureísmo, que defendía la búsqueda racional del placer moderado como camino a la felicidad.</v>
      </c>
      <c r="I134" t="str">
        <f>_xlfn.XLOOKUP(frasest[[#This Row],[author_es]],autorest[author_es],autorest[bio_la])</f>
        <v>Philosophus Graecus Antiquitatis, scholae Epicureae conditor, qui voluptatem moderatam ratione quaesitam viam ad felicitatem esse docebat.</v>
      </c>
      <c r="J134" t="str">
        <f>_xlfn.XLOOKUP(frasest[[#This Row],[author_es]],autorest[author_es],autorest[iso3691])</f>
        <v>el</v>
      </c>
      <c r="K134" t="str">
        <f>_xlfn.XLOOKUP(frasest[[#This Row],[author_es]],autorest[author_es],autorest[language_es])</f>
        <v>Griego</v>
      </c>
      <c r="L134" t="str">
        <f>_xlfn.XLOOKUP(frasest[[#This Row],[author_es]],autorest[author_es],autorest[language_la])</f>
        <v>Lingua Graeca</v>
      </c>
      <c r="M134" t="str">
        <f>_xlfn.XLOOKUP(frasest[[#This Row],[author_es]],autorest[author_es],autorest[nation_es])</f>
        <v>Grecia</v>
      </c>
      <c r="N134" t="str">
        <f>_xlfn.XLOOKUP(frasest[[#This Row],[author_es]],autorest[author_es],autorest[nation_la])</f>
        <v>Graecia</v>
      </c>
      <c r="O134" t="str">
        <f>_xlfn.XLOOKUP(frasest[[#This Row],[author_es]],autorest[author_es],autorest[age_es])</f>
        <v>Edad Antigua</v>
      </c>
      <c r="P134" t="str">
        <f>_xlfn.XLOOKUP(frasest[[#This Row],[author_es]],autorest[author_es],autorest[age_la])</f>
        <v>Antiquitas</v>
      </c>
      <c r="Q134" t="str">
        <f>_xlfn.XLOOKUP(frasest[[#This Row],[author_es]],autorest[author_es],autorest[image])</f>
        <v>https://i.ibb.co/dsQnnqJw/epicuro.png</v>
      </c>
      <c r="R134">
        <f>_xlfn.XLOOKUP(frasest[[#This Row],[author_es]],autorest[author_es],autorest[image_atr])</f>
        <v>0</v>
      </c>
    </row>
    <row r="135" spans="1:18">
      <c r="A135">
        <v>134</v>
      </c>
      <c r="B135" t="s">
        <v>486</v>
      </c>
      <c r="C135" t="s">
        <v>487</v>
      </c>
      <c r="D135" t="s">
        <v>488</v>
      </c>
      <c r="E135" t="s">
        <v>460</v>
      </c>
      <c r="F135" t="s">
        <v>489</v>
      </c>
      <c r="G135" t="str">
        <f>_xlfn.XLOOKUP(frasest[[#This Row],[author_es]],autorest[author_es],autorest[author_la])</f>
        <v>Epicurus</v>
      </c>
      <c r="H135" t="str">
        <f>_xlfn.XLOOKUP(frasest[[#This Row],[author_es]],autorest[author_es],autorest[bio_es])</f>
        <v>Filósofo griego de la Edad Antigua, fundador del epicureísmo, que defendía la búsqueda racional del placer moderado como camino a la felicidad.</v>
      </c>
      <c r="I135" t="str">
        <f>_xlfn.XLOOKUP(frasest[[#This Row],[author_es]],autorest[author_es],autorest[bio_la])</f>
        <v>Philosophus Graecus Antiquitatis, scholae Epicureae conditor, qui voluptatem moderatam ratione quaesitam viam ad felicitatem esse docebat.</v>
      </c>
      <c r="J135" t="str">
        <f>_xlfn.XLOOKUP(frasest[[#This Row],[author_es]],autorest[author_es],autorest[iso3691])</f>
        <v>el</v>
      </c>
      <c r="K135" t="str">
        <f>_xlfn.XLOOKUP(frasest[[#This Row],[author_es]],autorest[author_es],autorest[language_es])</f>
        <v>Griego</v>
      </c>
      <c r="L135" t="str">
        <f>_xlfn.XLOOKUP(frasest[[#This Row],[author_es]],autorest[author_es],autorest[language_la])</f>
        <v>Lingua Graeca</v>
      </c>
      <c r="M135" t="str">
        <f>_xlfn.XLOOKUP(frasest[[#This Row],[author_es]],autorest[author_es],autorest[nation_es])</f>
        <v>Grecia</v>
      </c>
      <c r="N135" t="str">
        <f>_xlfn.XLOOKUP(frasest[[#This Row],[author_es]],autorest[author_es],autorest[nation_la])</f>
        <v>Graecia</v>
      </c>
      <c r="O135" t="str">
        <f>_xlfn.XLOOKUP(frasest[[#This Row],[author_es]],autorest[author_es],autorest[age_es])</f>
        <v>Edad Antigua</v>
      </c>
      <c r="P135" t="str">
        <f>_xlfn.XLOOKUP(frasest[[#This Row],[author_es]],autorest[author_es],autorest[age_la])</f>
        <v>Antiquitas</v>
      </c>
      <c r="Q135" t="str">
        <f>_xlfn.XLOOKUP(frasest[[#This Row],[author_es]],autorest[author_es],autorest[image])</f>
        <v>https://i.ibb.co/dsQnnqJw/epicuro.png</v>
      </c>
      <c r="R135">
        <f>_xlfn.XLOOKUP(frasest[[#This Row],[author_es]],autorest[author_es],autorest[image_atr])</f>
        <v>0</v>
      </c>
    </row>
    <row r="136" spans="1:18">
      <c r="A136">
        <v>135</v>
      </c>
      <c r="B136" t="s">
        <v>490</v>
      </c>
      <c r="C136" t="s">
        <v>491</v>
      </c>
      <c r="D136" t="s">
        <v>492</v>
      </c>
      <c r="E136" t="s">
        <v>460</v>
      </c>
      <c r="F136" t="s">
        <v>493</v>
      </c>
      <c r="G136" t="str">
        <f>_xlfn.XLOOKUP(frasest[[#This Row],[author_es]],autorest[author_es],autorest[author_la])</f>
        <v>Epicurus</v>
      </c>
      <c r="H136" t="str">
        <f>_xlfn.XLOOKUP(frasest[[#This Row],[author_es]],autorest[author_es],autorest[bio_es])</f>
        <v>Filósofo griego de la Edad Antigua, fundador del epicureísmo, que defendía la búsqueda racional del placer moderado como camino a la felicidad.</v>
      </c>
      <c r="I136" t="str">
        <f>_xlfn.XLOOKUP(frasest[[#This Row],[author_es]],autorest[author_es],autorest[bio_la])</f>
        <v>Philosophus Graecus Antiquitatis, scholae Epicureae conditor, qui voluptatem moderatam ratione quaesitam viam ad felicitatem esse docebat.</v>
      </c>
      <c r="J136" t="str">
        <f>_xlfn.XLOOKUP(frasest[[#This Row],[author_es]],autorest[author_es],autorest[iso3691])</f>
        <v>el</v>
      </c>
      <c r="K136" t="str">
        <f>_xlfn.XLOOKUP(frasest[[#This Row],[author_es]],autorest[author_es],autorest[language_es])</f>
        <v>Griego</v>
      </c>
      <c r="L136" t="str">
        <f>_xlfn.XLOOKUP(frasest[[#This Row],[author_es]],autorest[author_es],autorest[language_la])</f>
        <v>Lingua Graeca</v>
      </c>
      <c r="M136" t="str">
        <f>_xlfn.XLOOKUP(frasest[[#This Row],[author_es]],autorest[author_es],autorest[nation_es])</f>
        <v>Grecia</v>
      </c>
      <c r="N136" t="str">
        <f>_xlfn.XLOOKUP(frasest[[#This Row],[author_es]],autorest[author_es],autorest[nation_la])</f>
        <v>Graecia</v>
      </c>
      <c r="O136" t="str">
        <f>_xlfn.XLOOKUP(frasest[[#This Row],[author_es]],autorest[author_es],autorest[age_es])</f>
        <v>Edad Antigua</v>
      </c>
      <c r="P136" t="str">
        <f>_xlfn.XLOOKUP(frasest[[#This Row],[author_es]],autorest[author_es],autorest[age_la])</f>
        <v>Antiquitas</v>
      </c>
      <c r="Q136" t="str">
        <f>_xlfn.XLOOKUP(frasest[[#This Row],[author_es]],autorest[author_es],autorest[image])</f>
        <v>https://i.ibb.co/dsQnnqJw/epicuro.png</v>
      </c>
      <c r="R136">
        <f>_xlfn.XLOOKUP(frasest[[#This Row],[author_es]],autorest[author_es],autorest[image_atr])</f>
        <v>0</v>
      </c>
    </row>
    <row r="137" spans="1:18">
      <c r="A137">
        <v>136</v>
      </c>
      <c r="B137" t="s">
        <v>494</v>
      </c>
      <c r="C137" t="s">
        <v>495</v>
      </c>
      <c r="D137" t="s">
        <v>496</v>
      </c>
      <c r="E137" t="s">
        <v>460</v>
      </c>
      <c r="F137" t="s">
        <v>497</v>
      </c>
      <c r="G137" t="str">
        <f>_xlfn.XLOOKUP(frasest[[#This Row],[author_es]],autorest[author_es],autorest[author_la])</f>
        <v>Epicurus</v>
      </c>
      <c r="H137" t="str">
        <f>_xlfn.XLOOKUP(frasest[[#This Row],[author_es]],autorest[author_es],autorest[bio_es])</f>
        <v>Filósofo griego de la Edad Antigua, fundador del epicureísmo, que defendía la búsqueda racional del placer moderado como camino a la felicidad.</v>
      </c>
      <c r="I137" t="str">
        <f>_xlfn.XLOOKUP(frasest[[#This Row],[author_es]],autorest[author_es],autorest[bio_la])</f>
        <v>Philosophus Graecus Antiquitatis, scholae Epicureae conditor, qui voluptatem moderatam ratione quaesitam viam ad felicitatem esse docebat.</v>
      </c>
      <c r="J137" t="str">
        <f>_xlfn.XLOOKUP(frasest[[#This Row],[author_es]],autorest[author_es],autorest[iso3691])</f>
        <v>el</v>
      </c>
      <c r="K137" t="str">
        <f>_xlfn.XLOOKUP(frasest[[#This Row],[author_es]],autorest[author_es],autorest[language_es])</f>
        <v>Griego</v>
      </c>
      <c r="L137" t="str">
        <f>_xlfn.XLOOKUP(frasest[[#This Row],[author_es]],autorest[author_es],autorest[language_la])</f>
        <v>Lingua Graeca</v>
      </c>
      <c r="M137" t="str">
        <f>_xlfn.XLOOKUP(frasest[[#This Row],[author_es]],autorest[author_es],autorest[nation_es])</f>
        <v>Grecia</v>
      </c>
      <c r="N137" t="str">
        <f>_xlfn.XLOOKUP(frasest[[#This Row],[author_es]],autorest[author_es],autorest[nation_la])</f>
        <v>Graecia</v>
      </c>
      <c r="O137" t="str">
        <f>_xlfn.XLOOKUP(frasest[[#This Row],[author_es]],autorest[author_es],autorest[age_es])</f>
        <v>Edad Antigua</v>
      </c>
      <c r="P137" t="str">
        <f>_xlfn.XLOOKUP(frasest[[#This Row],[author_es]],autorest[author_es],autorest[age_la])</f>
        <v>Antiquitas</v>
      </c>
      <c r="Q137" t="str">
        <f>_xlfn.XLOOKUP(frasest[[#This Row],[author_es]],autorest[author_es],autorest[image])</f>
        <v>https://i.ibb.co/dsQnnqJw/epicuro.png</v>
      </c>
      <c r="R137">
        <f>_xlfn.XLOOKUP(frasest[[#This Row],[author_es]],autorest[author_es],autorest[image_atr])</f>
        <v>0</v>
      </c>
    </row>
    <row r="138" spans="1:18">
      <c r="A138">
        <v>137</v>
      </c>
      <c r="B138" t="s">
        <v>498</v>
      </c>
      <c r="C138" t="s">
        <v>499</v>
      </c>
      <c r="D138" t="s">
        <v>500</v>
      </c>
      <c r="E138" t="s">
        <v>501</v>
      </c>
      <c r="F138" t="s">
        <v>502</v>
      </c>
      <c r="G138" t="str">
        <f>_xlfn.XLOOKUP(frasest[[#This Row],[author_es]],autorest[author_es],autorest[author_la])</f>
        <v>Marcus Aurelius</v>
      </c>
      <c r="H138" t="str">
        <f>_xlfn.XLOOKUP(frasest[[#This Row],[author_es]],autorest[author_es],autorest[bio_es])</f>
        <v>Emperador romano y filósofo estoico de la Edad Antigua, autor de las “Meditaciones”, obra clave del estoicismo práctico.</v>
      </c>
      <c r="I138" t="str">
        <f>_xlfn.XLOOKUP(frasest[[#This Row],[author_es]],autorest[author_es],autorest[bio_la])</f>
        <v>Imperator Romanus et philosophus Stoicus Antiquitatis, auctor “Meditationum”, operis maximi in praxi Stoica.</v>
      </c>
      <c r="J138" t="str">
        <f>_xlfn.XLOOKUP(frasest[[#This Row],[author_es]],autorest[author_es],autorest[iso3691])</f>
        <v>el</v>
      </c>
      <c r="K138" t="str">
        <f>_xlfn.XLOOKUP(frasest[[#This Row],[author_es]],autorest[author_es],autorest[language_es])</f>
        <v>Griego</v>
      </c>
      <c r="L138" t="str">
        <f>_xlfn.XLOOKUP(frasest[[#This Row],[author_es]],autorest[author_es],autorest[language_la])</f>
        <v>Lingua Graeca</v>
      </c>
      <c r="M138" t="str">
        <f>_xlfn.XLOOKUP(frasest[[#This Row],[author_es]],autorest[author_es],autorest[nation_es])</f>
        <v>Roma</v>
      </c>
      <c r="N138" t="str">
        <f>_xlfn.XLOOKUP(frasest[[#This Row],[author_es]],autorest[author_es],autorest[nation_la])</f>
        <v>Roma</v>
      </c>
      <c r="O138" t="str">
        <f>_xlfn.XLOOKUP(frasest[[#This Row],[author_es]],autorest[author_es],autorest[age_es])</f>
        <v>Edad Antigua</v>
      </c>
      <c r="P138" t="str">
        <f>_xlfn.XLOOKUP(frasest[[#This Row],[author_es]],autorest[author_es],autorest[age_la])</f>
        <v>Antiquitas</v>
      </c>
      <c r="Q138" t="str">
        <f>_xlfn.XLOOKUP(frasest[[#This Row],[author_es]],autorest[author_es],autorest[image])</f>
        <v>https://i.ibb.co/0p8F8QbX/marcoaurelio.png</v>
      </c>
      <c r="R138">
        <f>_xlfn.XLOOKUP(frasest[[#This Row],[author_es]],autorest[author_es],autorest[image_atr])</f>
        <v>0</v>
      </c>
    </row>
    <row r="139" spans="1:18">
      <c r="A139">
        <v>138</v>
      </c>
      <c r="B139" t="s">
        <v>503</v>
      </c>
      <c r="C139" t="s">
        <v>504</v>
      </c>
      <c r="D139" t="s">
        <v>505</v>
      </c>
      <c r="E139" t="s">
        <v>501</v>
      </c>
      <c r="F139" t="s">
        <v>506</v>
      </c>
      <c r="G139" t="str">
        <f>_xlfn.XLOOKUP(frasest[[#This Row],[author_es]],autorest[author_es],autorest[author_la])</f>
        <v>Marcus Aurelius</v>
      </c>
      <c r="H139" t="str">
        <f>_xlfn.XLOOKUP(frasest[[#This Row],[author_es]],autorest[author_es],autorest[bio_es])</f>
        <v>Emperador romano y filósofo estoico de la Edad Antigua, autor de las “Meditaciones”, obra clave del estoicismo práctico.</v>
      </c>
      <c r="I139" t="str">
        <f>_xlfn.XLOOKUP(frasest[[#This Row],[author_es]],autorest[author_es],autorest[bio_la])</f>
        <v>Imperator Romanus et philosophus Stoicus Antiquitatis, auctor “Meditationum”, operis maximi in praxi Stoica.</v>
      </c>
      <c r="J139" t="str">
        <f>_xlfn.XLOOKUP(frasest[[#This Row],[author_es]],autorest[author_es],autorest[iso3691])</f>
        <v>el</v>
      </c>
      <c r="K139" t="str">
        <f>_xlfn.XLOOKUP(frasest[[#This Row],[author_es]],autorest[author_es],autorest[language_es])</f>
        <v>Griego</v>
      </c>
      <c r="L139" t="str">
        <f>_xlfn.XLOOKUP(frasest[[#This Row],[author_es]],autorest[author_es],autorest[language_la])</f>
        <v>Lingua Graeca</v>
      </c>
      <c r="M139" t="str">
        <f>_xlfn.XLOOKUP(frasest[[#This Row],[author_es]],autorest[author_es],autorest[nation_es])</f>
        <v>Roma</v>
      </c>
      <c r="N139" t="str">
        <f>_xlfn.XLOOKUP(frasest[[#This Row],[author_es]],autorest[author_es],autorest[nation_la])</f>
        <v>Roma</v>
      </c>
      <c r="O139" t="str">
        <f>_xlfn.XLOOKUP(frasest[[#This Row],[author_es]],autorest[author_es],autorest[age_es])</f>
        <v>Edad Antigua</v>
      </c>
      <c r="P139" t="str">
        <f>_xlfn.XLOOKUP(frasest[[#This Row],[author_es]],autorest[author_es],autorest[age_la])</f>
        <v>Antiquitas</v>
      </c>
      <c r="Q139" t="str">
        <f>_xlfn.XLOOKUP(frasest[[#This Row],[author_es]],autorest[author_es],autorest[image])</f>
        <v>https://i.ibb.co/0p8F8QbX/marcoaurelio.png</v>
      </c>
      <c r="R139">
        <f>_xlfn.XLOOKUP(frasest[[#This Row],[author_es]],autorest[author_es],autorest[image_atr])</f>
        <v>0</v>
      </c>
    </row>
    <row r="140" spans="1:18">
      <c r="A140">
        <v>139</v>
      </c>
      <c r="B140" t="s">
        <v>507</v>
      </c>
      <c r="C140" t="s">
        <v>508</v>
      </c>
      <c r="D140" t="s">
        <v>509</v>
      </c>
      <c r="E140" t="s">
        <v>501</v>
      </c>
      <c r="F140" t="s">
        <v>510</v>
      </c>
      <c r="G140" t="str">
        <f>_xlfn.XLOOKUP(frasest[[#This Row],[author_es]],autorest[author_es],autorest[author_la])</f>
        <v>Marcus Aurelius</v>
      </c>
      <c r="H140" t="str">
        <f>_xlfn.XLOOKUP(frasest[[#This Row],[author_es]],autorest[author_es],autorest[bio_es])</f>
        <v>Emperador romano y filósofo estoico de la Edad Antigua, autor de las “Meditaciones”, obra clave del estoicismo práctico.</v>
      </c>
      <c r="I140" t="str">
        <f>_xlfn.XLOOKUP(frasest[[#This Row],[author_es]],autorest[author_es],autorest[bio_la])</f>
        <v>Imperator Romanus et philosophus Stoicus Antiquitatis, auctor “Meditationum”, operis maximi in praxi Stoica.</v>
      </c>
      <c r="J140" t="str">
        <f>_xlfn.XLOOKUP(frasest[[#This Row],[author_es]],autorest[author_es],autorest[iso3691])</f>
        <v>el</v>
      </c>
      <c r="K140" t="str">
        <f>_xlfn.XLOOKUP(frasest[[#This Row],[author_es]],autorest[author_es],autorest[language_es])</f>
        <v>Griego</v>
      </c>
      <c r="L140" t="str">
        <f>_xlfn.XLOOKUP(frasest[[#This Row],[author_es]],autorest[author_es],autorest[language_la])</f>
        <v>Lingua Graeca</v>
      </c>
      <c r="M140" t="str">
        <f>_xlfn.XLOOKUP(frasest[[#This Row],[author_es]],autorest[author_es],autorest[nation_es])</f>
        <v>Roma</v>
      </c>
      <c r="N140" t="str">
        <f>_xlfn.XLOOKUP(frasest[[#This Row],[author_es]],autorest[author_es],autorest[nation_la])</f>
        <v>Roma</v>
      </c>
      <c r="O140" t="str">
        <f>_xlfn.XLOOKUP(frasest[[#This Row],[author_es]],autorest[author_es],autorest[age_es])</f>
        <v>Edad Antigua</v>
      </c>
      <c r="P140" t="str">
        <f>_xlfn.XLOOKUP(frasest[[#This Row],[author_es]],autorest[author_es],autorest[age_la])</f>
        <v>Antiquitas</v>
      </c>
      <c r="Q140" t="str">
        <f>_xlfn.XLOOKUP(frasest[[#This Row],[author_es]],autorest[author_es],autorest[image])</f>
        <v>https://i.ibb.co/0p8F8QbX/marcoaurelio.png</v>
      </c>
      <c r="R140">
        <f>_xlfn.XLOOKUP(frasest[[#This Row],[author_es]],autorest[author_es],autorest[image_atr])</f>
        <v>0</v>
      </c>
    </row>
    <row r="141" spans="1:18">
      <c r="A141">
        <v>140</v>
      </c>
      <c r="B141" t="s">
        <v>511</v>
      </c>
      <c r="C141" t="s">
        <v>512</v>
      </c>
      <c r="D141" t="s">
        <v>513</v>
      </c>
      <c r="E141" t="s">
        <v>501</v>
      </c>
      <c r="F141" t="s">
        <v>514</v>
      </c>
      <c r="G141" t="str">
        <f>_xlfn.XLOOKUP(frasest[[#This Row],[author_es]],autorest[author_es],autorest[author_la])</f>
        <v>Marcus Aurelius</v>
      </c>
      <c r="H141" t="str">
        <f>_xlfn.XLOOKUP(frasest[[#This Row],[author_es]],autorest[author_es],autorest[bio_es])</f>
        <v>Emperador romano y filósofo estoico de la Edad Antigua, autor de las “Meditaciones”, obra clave del estoicismo práctico.</v>
      </c>
      <c r="I141" t="str">
        <f>_xlfn.XLOOKUP(frasest[[#This Row],[author_es]],autorest[author_es],autorest[bio_la])</f>
        <v>Imperator Romanus et philosophus Stoicus Antiquitatis, auctor “Meditationum”, operis maximi in praxi Stoica.</v>
      </c>
      <c r="J141" t="str">
        <f>_xlfn.XLOOKUP(frasest[[#This Row],[author_es]],autorest[author_es],autorest[iso3691])</f>
        <v>el</v>
      </c>
      <c r="K141" t="str">
        <f>_xlfn.XLOOKUP(frasest[[#This Row],[author_es]],autorest[author_es],autorest[language_es])</f>
        <v>Griego</v>
      </c>
      <c r="L141" t="str">
        <f>_xlfn.XLOOKUP(frasest[[#This Row],[author_es]],autorest[author_es],autorest[language_la])</f>
        <v>Lingua Graeca</v>
      </c>
      <c r="M141" t="str">
        <f>_xlfn.XLOOKUP(frasest[[#This Row],[author_es]],autorest[author_es],autorest[nation_es])</f>
        <v>Roma</v>
      </c>
      <c r="N141" t="str">
        <f>_xlfn.XLOOKUP(frasest[[#This Row],[author_es]],autorest[author_es],autorest[nation_la])</f>
        <v>Roma</v>
      </c>
      <c r="O141" t="str">
        <f>_xlfn.XLOOKUP(frasest[[#This Row],[author_es]],autorest[author_es],autorest[age_es])</f>
        <v>Edad Antigua</v>
      </c>
      <c r="P141" t="str">
        <f>_xlfn.XLOOKUP(frasest[[#This Row],[author_es]],autorest[author_es],autorest[age_la])</f>
        <v>Antiquitas</v>
      </c>
      <c r="Q141" t="str">
        <f>_xlfn.XLOOKUP(frasest[[#This Row],[author_es]],autorest[author_es],autorest[image])</f>
        <v>https://i.ibb.co/0p8F8QbX/marcoaurelio.png</v>
      </c>
      <c r="R141">
        <f>_xlfn.XLOOKUP(frasest[[#This Row],[author_es]],autorest[author_es],autorest[image_atr])</f>
        <v>0</v>
      </c>
    </row>
    <row r="142" spans="1:18">
      <c r="A142">
        <v>141</v>
      </c>
      <c r="B142" t="s">
        <v>515</v>
      </c>
      <c r="C142" t="s">
        <v>516</v>
      </c>
      <c r="D142" t="s">
        <v>517</v>
      </c>
      <c r="E142" t="s">
        <v>501</v>
      </c>
      <c r="F142" t="s">
        <v>518</v>
      </c>
      <c r="G142" t="str">
        <f>_xlfn.XLOOKUP(frasest[[#This Row],[author_es]],autorest[author_es],autorest[author_la])</f>
        <v>Marcus Aurelius</v>
      </c>
      <c r="H142" t="str">
        <f>_xlfn.XLOOKUP(frasest[[#This Row],[author_es]],autorest[author_es],autorest[bio_es])</f>
        <v>Emperador romano y filósofo estoico de la Edad Antigua, autor de las “Meditaciones”, obra clave del estoicismo práctico.</v>
      </c>
      <c r="I142" t="str">
        <f>_xlfn.XLOOKUP(frasest[[#This Row],[author_es]],autorest[author_es],autorest[bio_la])</f>
        <v>Imperator Romanus et philosophus Stoicus Antiquitatis, auctor “Meditationum”, operis maximi in praxi Stoica.</v>
      </c>
      <c r="J142" t="str">
        <f>_xlfn.XLOOKUP(frasest[[#This Row],[author_es]],autorest[author_es],autorest[iso3691])</f>
        <v>el</v>
      </c>
      <c r="K142" t="str">
        <f>_xlfn.XLOOKUP(frasest[[#This Row],[author_es]],autorest[author_es],autorest[language_es])</f>
        <v>Griego</v>
      </c>
      <c r="L142" t="str">
        <f>_xlfn.XLOOKUP(frasest[[#This Row],[author_es]],autorest[author_es],autorest[language_la])</f>
        <v>Lingua Graeca</v>
      </c>
      <c r="M142" t="str">
        <f>_xlfn.XLOOKUP(frasest[[#This Row],[author_es]],autorest[author_es],autorest[nation_es])</f>
        <v>Roma</v>
      </c>
      <c r="N142" t="str">
        <f>_xlfn.XLOOKUP(frasest[[#This Row],[author_es]],autorest[author_es],autorest[nation_la])</f>
        <v>Roma</v>
      </c>
      <c r="O142" t="str">
        <f>_xlfn.XLOOKUP(frasest[[#This Row],[author_es]],autorest[author_es],autorest[age_es])</f>
        <v>Edad Antigua</v>
      </c>
      <c r="P142" t="str">
        <f>_xlfn.XLOOKUP(frasest[[#This Row],[author_es]],autorest[author_es],autorest[age_la])</f>
        <v>Antiquitas</v>
      </c>
      <c r="Q142" t="str">
        <f>_xlfn.XLOOKUP(frasest[[#This Row],[author_es]],autorest[author_es],autorest[image])</f>
        <v>https://i.ibb.co/0p8F8QbX/marcoaurelio.png</v>
      </c>
      <c r="R142">
        <f>_xlfn.XLOOKUP(frasest[[#This Row],[author_es]],autorest[author_es],autorest[image_atr])</f>
        <v>0</v>
      </c>
    </row>
    <row r="143" spans="1:18">
      <c r="A143">
        <v>142</v>
      </c>
      <c r="B143" t="s">
        <v>519</v>
      </c>
      <c r="C143" t="s">
        <v>520</v>
      </c>
      <c r="D143" t="s">
        <v>521</v>
      </c>
      <c r="E143" t="s">
        <v>501</v>
      </c>
      <c r="F143" t="s">
        <v>522</v>
      </c>
      <c r="G143" t="str">
        <f>_xlfn.XLOOKUP(frasest[[#This Row],[author_es]],autorest[author_es],autorest[author_la])</f>
        <v>Marcus Aurelius</v>
      </c>
      <c r="H143" t="str">
        <f>_xlfn.XLOOKUP(frasest[[#This Row],[author_es]],autorest[author_es],autorest[bio_es])</f>
        <v>Emperador romano y filósofo estoico de la Edad Antigua, autor de las “Meditaciones”, obra clave del estoicismo práctico.</v>
      </c>
      <c r="I143" t="str">
        <f>_xlfn.XLOOKUP(frasest[[#This Row],[author_es]],autorest[author_es],autorest[bio_la])</f>
        <v>Imperator Romanus et philosophus Stoicus Antiquitatis, auctor “Meditationum”, operis maximi in praxi Stoica.</v>
      </c>
      <c r="J143" t="str">
        <f>_xlfn.XLOOKUP(frasest[[#This Row],[author_es]],autorest[author_es],autorest[iso3691])</f>
        <v>el</v>
      </c>
      <c r="K143" t="str">
        <f>_xlfn.XLOOKUP(frasest[[#This Row],[author_es]],autorest[author_es],autorest[language_es])</f>
        <v>Griego</v>
      </c>
      <c r="L143" t="str">
        <f>_xlfn.XLOOKUP(frasest[[#This Row],[author_es]],autorest[author_es],autorest[language_la])</f>
        <v>Lingua Graeca</v>
      </c>
      <c r="M143" t="str">
        <f>_xlfn.XLOOKUP(frasest[[#This Row],[author_es]],autorest[author_es],autorest[nation_es])</f>
        <v>Roma</v>
      </c>
      <c r="N143" t="str">
        <f>_xlfn.XLOOKUP(frasest[[#This Row],[author_es]],autorest[author_es],autorest[nation_la])</f>
        <v>Roma</v>
      </c>
      <c r="O143" t="str">
        <f>_xlfn.XLOOKUP(frasest[[#This Row],[author_es]],autorest[author_es],autorest[age_es])</f>
        <v>Edad Antigua</v>
      </c>
      <c r="P143" t="str">
        <f>_xlfn.XLOOKUP(frasest[[#This Row],[author_es]],autorest[author_es],autorest[age_la])</f>
        <v>Antiquitas</v>
      </c>
      <c r="Q143" t="str">
        <f>_xlfn.XLOOKUP(frasest[[#This Row],[author_es]],autorest[author_es],autorest[image])</f>
        <v>https://i.ibb.co/0p8F8QbX/marcoaurelio.png</v>
      </c>
      <c r="R143">
        <f>_xlfn.XLOOKUP(frasest[[#This Row],[author_es]],autorest[author_es],autorest[image_atr])</f>
        <v>0</v>
      </c>
    </row>
    <row r="144" spans="1:18">
      <c r="A144">
        <v>143</v>
      </c>
      <c r="B144" t="s">
        <v>523</v>
      </c>
      <c r="C144" t="s">
        <v>524</v>
      </c>
      <c r="D144" t="s">
        <v>525</v>
      </c>
      <c r="E144" t="s">
        <v>501</v>
      </c>
      <c r="F144" t="s">
        <v>526</v>
      </c>
      <c r="G144" t="str">
        <f>_xlfn.XLOOKUP(frasest[[#This Row],[author_es]],autorest[author_es],autorest[author_la])</f>
        <v>Marcus Aurelius</v>
      </c>
      <c r="H144" t="str">
        <f>_xlfn.XLOOKUP(frasest[[#This Row],[author_es]],autorest[author_es],autorest[bio_es])</f>
        <v>Emperador romano y filósofo estoico de la Edad Antigua, autor de las “Meditaciones”, obra clave del estoicismo práctico.</v>
      </c>
      <c r="I144" t="str">
        <f>_xlfn.XLOOKUP(frasest[[#This Row],[author_es]],autorest[author_es],autorest[bio_la])</f>
        <v>Imperator Romanus et philosophus Stoicus Antiquitatis, auctor “Meditationum”, operis maximi in praxi Stoica.</v>
      </c>
      <c r="J144" t="str">
        <f>_xlfn.XLOOKUP(frasest[[#This Row],[author_es]],autorest[author_es],autorest[iso3691])</f>
        <v>el</v>
      </c>
      <c r="K144" t="str">
        <f>_xlfn.XLOOKUP(frasest[[#This Row],[author_es]],autorest[author_es],autorest[language_es])</f>
        <v>Griego</v>
      </c>
      <c r="L144" t="str">
        <f>_xlfn.XLOOKUP(frasest[[#This Row],[author_es]],autorest[author_es],autorest[language_la])</f>
        <v>Lingua Graeca</v>
      </c>
      <c r="M144" t="str">
        <f>_xlfn.XLOOKUP(frasest[[#This Row],[author_es]],autorest[author_es],autorest[nation_es])</f>
        <v>Roma</v>
      </c>
      <c r="N144" t="str">
        <f>_xlfn.XLOOKUP(frasest[[#This Row],[author_es]],autorest[author_es],autorest[nation_la])</f>
        <v>Roma</v>
      </c>
      <c r="O144" t="str">
        <f>_xlfn.XLOOKUP(frasest[[#This Row],[author_es]],autorest[author_es],autorest[age_es])</f>
        <v>Edad Antigua</v>
      </c>
      <c r="P144" t="str">
        <f>_xlfn.XLOOKUP(frasest[[#This Row],[author_es]],autorest[author_es],autorest[age_la])</f>
        <v>Antiquitas</v>
      </c>
      <c r="Q144" t="str">
        <f>_xlfn.XLOOKUP(frasest[[#This Row],[author_es]],autorest[author_es],autorest[image])</f>
        <v>https://i.ibb.co/0p8F8QbX/marcoaurelio.png</v>
      </c>
      <c r="R144">
        <f>_xlfn.XLOOKUP(frasest[[#This Row],[author_es]],autorest[author_es],autorest[image_atr])</f>
        <v>0</v>
      </c>
    </row>
    <row r="145" spans="1:18">
      <c r="A145">
        <v>144</v>
      </c>
      <c r="B145" t="s">
        <v>527</v>
      </c>
      <c r="C145" t="s">
        <v>528</v>
      </c>
      <c r="D145" t="s">
        <v>529</v>
      </c>
      <c r="E145" t="s">
        <v>501</v>
      </c>
      <c r="F145" t="s">
        <v>502</v>
      </c>
      <c r="G145" t="str">
        <f>_xlfn.XLOOKUP(frasest[[#This Row],[author_es]],autorest[author_es],autorest[author_la])</f>
        <v>Marcus Aurelius</v>
      </c>
      <c r="H145" t="str">
        <f>_xlfn.XLOOKUP(frasest[[#This Row],[author_es]],autorest[author_es],autorest[bio_es])</f>
        <v>Emperador romano y filósofo estoico de la Edad Antigua, autor de las “Meditaciones”, obra clave del estoicismo práctico.</v>
      </c>
      <c r="I145" t="str">
        <f>_xlfn.XLOOKUP(frasest[[#This Row],[author_es]],autorest[author_es],autorest[bio_la])</f>
        <v>Imperator Romanus et philosophus Stoicus Antiquitatis, auctor “Meditationum”, operis maximi in praxi Stoica.</v>
      </c>
      <c r="J145" t="str">
        <f>_xlfn.XLOOKUP(frasest[[#This Row],[author_es]],autorest[author_es],autorest[iso3691])</f>
        <v>el</v>
      </c>
      <c r="K145" t="str">
        <f>_xlfn.XLOOKUP(frasest[[#This Row],[author_es]],autorest[author_es],autorest[language_es])</f>
        <v>Griego</v>
      </c>
      <c r="L145" t="str">
        <f>_xlfn.XLOOKUP(frasest[[#This Row],[author_es]],autorest[author_es],autorest[language_la])</f>
        <v>Lingua Graeca</v>
      </c>
      <c r="M145" t="str">
        <f>_xlfn.XLOOKUP(frasest[[#This Row],[author_es]],autorest[author_es],autorest[nation_es])</f>
        <v>Roma</v>
      </c>
      <c r="N145" t="str">
        <f>_xlfn.XLOOKUP(frasest[[#This Row],[author_es]],autorest[author_es],autorest[nation_la])</f>
        <v>Roma</v>
      </c>
      <c r="O145" t="str">
        <f>_xlfn.XLOOKUP(frasest[[#This Row],[author_es]],autorest[author_es],autorest[age_es])</f>
        <v>Edad Antigua</v>
      </c>
      <c r="P145" t="str">
        <f>_xlfn.XLOOKUP(frasest[[#This Row],[author_es]],autorest[author_es],autorest[age_la])</f>
        <v>Antiquitas</v>
      </c>
      <c r="Q145" t="str">
        <f>_xlfn.XLOOKUP(frasest[[#This Row],[author_es]],autorest[author_es],autorest[image])</f>
        <v>https://i.ibb.co/0p8F8QbX/marcoaurelio.png</v>
      </c>
      <c r="R145">
        <f>_xlfn.XLOOKUP(frasest[[#This Row],[author_es]],autorest[author_es],autorest[image_atr])</f>
        <v>0</v>
      </c>
    </row>
    <row r="146" spans="1:18">
      <c r="A146">
        <v>145</v>
      </c>
      <c r="B146" t="s">
        <v>530</v>
      </c>
      <c r="C146" t="s">
        <v>531</v>
      </c>
      <c r="D146" t="s">
        <v>532</v>
      </c>
      <c r="E146" t="s">
        <v>501</v>
      </c>
      <c r="F146" t="s">
        <v>533</v>
      </c>
      <c r="G146" t="str">
        <f>_xlfn.XLOOKUP(frasest[[#This Row],[author_es]],autorest[author_es],autorest[author_la])</f>
        <v>Marcus Aurelius</v>
      </c>
      <c r="H146" t="str">
        <f>_xlfn.XLOOKUP(frasest[[#This Row],[author_es]],autorest[author_es],autorest[bio_es])</f>
        <v>Emperador romano y filósofo estoico de la Edad Antigua, autor de las “Meditaciones”, obra clave del estoicismo práctico.</v>
      </c>
      <c r="I146" t="str">
        <f>_xlfn.XLOOKUP(frasest[[#This Row],[author_es]],autorest[author_es],autorest[bio_la])</f>
        <v>Imperator Romanus et philosophus Stoicus Antiquitatis, auctor “Meditationum”, operis maximi in praxi Stoica.</v>
      </c>
      <c r="J146" t="str">
        <f>_xlfn.XLOOKUP(frasest[[#This Row],[author_es]],autorest[author_es],autorest[iso3691])</f>
        <v>el</v>
      </c>
      <c r="K146" t="str">
        <f>_xlfn.XLOOKUP(frasest[[#This Row],[author_es]],autorest[author_es],autorest[language_es])</f>
        <v>Griego</v>
      </c>
      <c r="L146" t="str">
        <f>_xlfn.XLOOKUP(frasest[[#This Row],[author_es]],autorest[author_es],autorest[language_la])</f>
        <v>Lingua Graeca</v>
      </c>
      <c r="M146" t="str">
        <f>_xlfn.XLOOKUP(frasest[[#This Row],[author_es]],autorest[author_es],autorest[nation_es])</f>
        <v>Roma</v>
      </c>
      <c r="N146" t="str">
        <f>_xlfn.XLOOKUP(frasest[[#This Row],[author_es]],autorest[author_es],autorest[nation_la])</f>
        <v>Roma</v>
      </c>
      <c r="O146" t="str">
        <f>_xlfn.XLOOKUP(frasest[[#This Row],[author_es]],autorest[author_es],autorest[age_es])</f>
        <v>Edad Antigua</v>
      </c>
      <c r="P146" t="str">
        <f>_xlfn.XLOOKUP(frasest[[#This Row],[author_es]],autorest[author_es],autorest[age_la])</f>
        <v>Antiquitas</v>
      </c>
      <c r="Q146" t="str">
        <f>_xlfn.XLOOKUP(frasest[[#This Row],[author_es]],autorest[author_es],autorest[image])</f>
        <v>https://i.ibb.co/0p8F8QbX/marcoaurelio.png</v>
      </c>
      <c r="R146">
        <f>_xlfn.XLOOKUP(frasest[[#This Row],[author_es]],autorest[author_es],autorest[image_atr])</f>
        <v>0</v>
      </c>
    </row>
    <row r="147" spans="1:18">
      <c r="A147">
        <v>146</v>
      </c>
      <c r="B147" t="s">
        <v>534</v>
      </c>
      <c r="C147" t="s">
        <v>535</v>
      </c>
      <c r="D147" t="s">
        <v>536</v>
      </c>
      <c r="E147" t="s">
        <v>501</v>
      </c>
      <c r="F147" t="s">
        <v>537</v>
      </c>
      <c r="G147" t="str">
        <f>_xlfn.XLOOKUP(frasest[[#This Row],[author_es]],autorest[author_es],autorest[author_la])</f>
        <v>Marcus Aurelius</v>
      </c>
      <c r="H147" t="str">
        <f>_xlfn.XLOOKUP(frasest[[#This Row],[author_es]],autorest[author_es],autorest[bio_es])</f>
        <v>Emperador romano y filósofo estoico de la Edad Antigua, autor de las “Meditaciones”, obra clave del estoicismo práctico.</v>
      </c>
      <c r="I147" t="str">
        <f>_xlfn.XLOOKUP(frasest[[#This Row],[author_es]],autorest[author_es],autorest[bio_la])</f>
        <v>Imperator Romanus et philosophus Stoicus Antiquitatis, auctor “Meditationum”, operis maximi in praxi Stoica.</v>
      </c>
      <c r="J147" t="str">
        <f>_xlfn.XLOOKUP(frasest[[#This Row],[author_es]],autorest[author_es],autorest[iso3691])</f>
        <v>el</v>
      </c>
      <c r="K147" t="str">
        <f>_xlfn.XLOOKUP(frasest[[#This Row],[author_es]],autorest[author_es],autorest[language_es])</f>
        <v>Griego</v>
      </c>
      <c r="L147" t="str">
        <f>_xlfn.XLOOKUP(frasest[[#This Row],[author_es]],autorest[author_es],autorest[language_la])</f>
        <v>Lingua Graeca</v>
      </c>
      <c r="M147" t="str">
        <f>_xlfn.XLOOKUP(frasest[[#This Row],[author_es]],autorest[author_es],autorest[nation_es])</f>
        <v>Roma</v>
      </c>
      <c r="N147" t="str">
        <f>_xlfn.XLOOKUP(frasest[[#This Row],[author_es]],autorest[author_es],autorest[nation_la])</f>
        <v>Roma</v>
      </c>
      <c r="O147" t="str">
        <f>_xlfn.XLOOKUP(frasest[[#This Row],[author_es]],autorest[author_es],autorest[age_es])</f>
        <v>Edad Antigua</v>
      </c>
      <c r="P147" t="str">
        <f>_xlfn.XLOOKUP(frasest[[#This Row],[author_es]],autorest[author_es],autorest[age_la])</f>
        <v>Antiquitas</v>
      </c>
      <c r="Q147" t="str">
        <f>_xlfn.XLOOKUP(frasest[[#This Row],[author_es]],autorest[author_es],autorest[image])</f>
        <v>https://i.ibb.co/0p8F8QbX/marcoaurelio.png</v>
      </c>
      <c r="R147">
        <f>_xlfn.XLOOKUP(frasest[[#This Row],[author_es]],autorest[author_es],autorest[image_atr])</f>
        <v>0</v>
      </c>
    </row>
    <row r="148" spans="1:18">
      <c r="A148">
        <v>147</v>
      </c>
      <c r="B148" t="s">
        <v>538</v>
      </c>
      <c r="C148" t="s">
        <v>539</v>
      </c>
      <c r="D148" t="s">
        <v>540</v>
      </c>
      <c r="E148" t="s">
        <v>541</v>
      </c>
      <c r="F148" t="s">
        <v>542</v>
      </c>
      <c r="G148" t="str">
        <f>_xlfn.XLOOKUP(frasest[[#This Row],[author_es]],autorest[author_es],autorest[author_la])</f>
        <v>Plato</v>
      </c>
      <c r="H148" t="str">
        <f>_xlfn.XLOOKUP(frasest[[#This Row],[author_es]],autorest[author_es],autorest[bio_es])</f>
        <v>Filósofo griego de la Edad Antigua, discípulo de Sócrates y maestro de Aristóteles, fundador de la Academia de Atenas.</v>
      </c>
      <c r="I148" t="str">
        <f>_xlfn.XLOOKUP(frasest[[#This Row],[author_es]],autorest[author_es],autorest[bio_la])</f>
        <v>Philosophus Graecus Antiquitatis, discipulus Socratis et magister Aristotelis, Academiae Atheniensis conditor.</v>
      </c>
      <c r="J148" t="str">
        <f>_xlfn.XLOOKUP(frasest[[#This Row],[author_es]],autorest[author_es],autorest[iso3691])</f>
        <v>el</v>
      </c>
      <c r="K148" t="str">
        <f>_xlfn.XLOOKUP(frasest[[#This Row],[author_es]],autorest[author_es],autorest[language_es])</f>
        <v>Griego</v>
      </c>
      <c r="L148" t="str">
        <f>_xlfn.XLOOKUP(frasest[[#This Row],[author_es]],autorest[author_es],autorest[language_la])</f>
        <v>Lingua Graeca</v>
      </c>
      <c r="M148" t="str">
        <f>_xlfn.XLOOKUP(frasest[[#This Row],[author_es]],autorest[author_es],autorest[nation_es])</f>
        <v>Grecia</v>
      </c>
      <c r="N148" t="str">
        <f>_xlfn.XLOOKUP(frasest[[#This Row],[author_es]],autorest[author_es],autorest[nation_la])</f>
        <v>Graecia</v>
      </c>
      <c r="O148" t="str">
        <f>_xlfn.XLOOKUP(frasest[[#This Row],[author_es]],autorest[author_es],autorest[age_es])</f>
        <v>Edad Antigua</v>
      </c>
      <c r="P148" t="str">
        <f>_xlfn.XLOOKUP(frasest[[#This Row],[author_es]],autorest[author_es],autorest[age_la])</f>
        <v>Antiquitas</v>
      </c>
      <c r="Q148" t="str">
        <f>_xlfn.XLOOKUP(frasest[[#This Row],[author_es]],autorest[author_es],autorest[image])</f>
        <v>https://i.ibb.co/VcxD11Wm/platon.png</v>
      </c>
      <c r="R148">
        <f>_xlfn.XLOOKUP(frasest[[#This Row],[author_es]],autorest[author_es],autorest[image_atr])</f>
        <v>0</v>
      </c>
    </row>
    <row r="149" spans="1:18">
      <c r="A149">
        <v>148</v>
      </c>
      <c r="B149" t="s">
        <v>543</v>
      </c>
      <c r="C149" t="s">
        <v>544</v>
      </c>
      <c r="D149" t="s">
        <v>545</v>
      </c>
      <c r="E149" t="s">
        <v>541</v>
      </c>
      <c r="F149" t="s">
        <v>546</v>
      </c>
      <c r="G149" t="str">
        <f>_xlfn.XLOOKUP(frasest[[#This Row],[author_es]],autorest[author_es],autorest[author_la])</f>
        <v>Plato</v>
      </c>
      <c r="H149" t="str">
        <f>_xlfn.XLOOKUP(frasest[[#This Row],[author_es]],autorest[author_es],autorest[bio_es])</f>
        <v>Filósofo griego de la Edad Antigua, discípulo de Sócrates y maestro de Aristóteles, fundador de la Academia de Atenas.</v>
      </c>
      <c r="I149" t="str">
        <f>_xlfn.XLOOKUP(frasest[[#This Row],[author_es]],autorest[author_es],autorest[bio_la])</f>
        <v>Philosophus Graecus Antiquitatis, discipulus Socratis et magister Aristotelis, Academiae Atheniensis conditor.</v>
      </c>
      <c r="J149" t="str">
        <f>_xlfn.XLOOKUP(frasest[[#This Row],[author_es]],autorest[author_es],autorest[iso3691])</f>
        <v>el</v>
      </c>
      <c r="K149" t="str">
        <f>_xlfn.XLOOKUP(frasest[[#This Row],[author_es]],autorest[author_es],autorest[language_es])</f>
        <v>Griego</v>
      </c>
      <c r="L149" t="str">
        <f>_xlfn.XLOOKUP(frasest[[#This Row],[author_es]],autorest[author_es],autorest[language_la])</f>
        <v>Lingua Graeca</v>
      </c>
      <c r="M149" t="str">
        <f>_xlfn.XLOOKUP(frasest[[#This Row],[author_es]],autorest[author_es],autorest[nation_es])</f>
        <v>Grecia</v>
      </c>
      <c r="N149" t="str">
        <f>_xlfn.XLOOKUP(frasest[[#This Row],[author_es]],autorest[author_es],autorest[nation_la])</f>
        <v>Graecia</v>
      </c>
      <c r="O149" t="str">
        <f>_xlfn.XLOOKUP(frasest[[#This Row],[author_es]],autorest[author_es],autorest[age_es])</f>
        <v>Edad Antigua</v>
      </c>
      <c r="P149" t="str">
        <f>_xlfn.XLOOKUP(frasest[[#This Row],[author_es]],autorest[author_es],autorest[age_la])</f>
        <v>Antiquitas</v>
      </c>
      <c r="Q149" t="str">
        <f>_xlfn.XLOOKUP(frasest[[#This Row],[author_es]],autorest[author_es],autorest[image])</f>
        <v>https://i.ibb.co/VcxD11Wm/platon.png</v>
      </c>
      <c r="R149">
        <f>_xlfn.XLOOKUP(frasest[[#This Row],[author_es]],autorest[author_es],autorest[image_atr])</f>
        <v>0</v>
      </c>
    </row>
    <row r="150" spans="1:18">
      <c r="A150">
        <v>149</v>
      </c>
      <c r="B150" t="s">
        <v>547</v>
      </c>
      <c r="C150" t="s">
        <v>548</v>
      </c>
      <c r="D150" t="s">
        <v>549</v>
      </c>
      <c r="E150" t="s">
        <v>541</v>
      </c>
      <c r="F150" t="s">
        <v>550</v>
      </c>
      <c r="G150" t="str">
        <f>_xlfn.XLOOKUP(frasest[[#This Row],[author_es]],autorest[author_es],autorest[author_la])</f>
        <v>Plato</v>
      </c>
      <c r="H150" t="str">
        <f>_xlfn.XLOOKUP(frasest[[#This Row],[author_es]],autorest[author_es],autorest[bio_es])</f>
        <v>Filósofo griego de la Edad Antigua, discípulo de Sócrates y maestro de Aristóteles, fundador de la Academia de Atenas.</v>
      </c>
      <c r="I150" t="str">
        <f>_xlfn.XLOOKUP(frasest[[#This Row],[author_es]],autorest[author_es],autorest[bio_la])</f>
        <v>Philosophus Graecus Antiquitatis, discipulus Socratis et magister Aristotelis, Academiae Atheniensis conditor.</v>
      </c>
      <c r="J150" t="str">
        <f>_xlfn.XLOOKUP(frasest[[#This Row],[author_es]],autorest[author_es],autorest[iso3691])</f>
        <v>el</v>
      </c>
      <c r="K150" t="str">
        <f>_xlfn.XLOOKUP(frasest[[#This Row],[author_es]],autorest[author_es],autorest[language_es])</f>
        <v>Griego</v>
      </c>
      <c r="L150" t="str">
        <f>_xlfn.XLOOKUP(frasest[[#This Row],[author_es]],autorest[author_es],autorest[language_la])</f>
        <v>Lingua Graeca</v>
      </c>
      <c r="M150" t="str">
        <f>_xlfn.XLOOKUP(frasest[[#This Row],[author_es]],autorest[author_es],autorest[nation_es])</f>
        <v>Grecia</v>
      </c>
      <c r="N150" t="str">
        <f>_xlfn.XLOOKUP(frasest[[#This Row],[author_es]],autorest[author_es],autorest[nation_la])</f>
        <v>Graecia</v>
      </c>
      <c r="O150" t="str">
        <f>_xlfn.XLOOKUP(frasest[[#This Row],[author_es]],autorest[author_es],autorest[age_es])</f>
        <v>Edad Antigua</v>
      </c>
      <c r="P150" t="str">
        <f>_xlfn.XLOOKUP(frasest[[#This Row],[author_es]],autorest[author_es],autorest[age_la])</f>
        <v>Antiquitas</v>
      </c>
      <c r="Q150" t="str">
        <f>_xlfn.XLOOKUP(frasest[[#This Row],[author_es]],autorest[author_es],autorest[image])</f>
        <v>https://i.ibb.co/VcxD11Wm/platon.png</v>
      </c>
      <c r="R150">
        <f>_xlfn.XLOOKUP(frasest[[#This Row],[author_es]],autorest[author_es],autorest[image_atr])</f>
        <v>0</v>
      </c>
    </row>
    <row r="151" spans="1:18">
      <c r="A151">
        <v>150</v>
      </c>
      <c r="B151" t="s">
        <v>551</v>
      </c>
      <c r="C151" t="s">
        <v>552</v>
      </c>
      <c r="D151" t="s">
        <v>553</v>
      </c>
      <c r="E151" t="s">
        <v>541</v>
      </c>
      <c r="F151" t="s">
        <v>554</v>
      </c>
      <c r="G151" t="str">
        <f>_xlfn.XLOOKUP(frasest[[#This Row],[author_es]],autorest[author_es],autorest[author_la])</f>
        <v>Plato</v>
      </c>
      <c r="H151" t="str">
        <f>_xlfn.XLOOKUP(frasest[[#This Row],[author_es]],autorest[author_es],autorest[bio_es])</f>
        <v>Filósofo griego de la Edad Antigua, discípulo de Sócrates y maestro de Aristóteles, fundador de la Academia de Atenas.</v>
      </c>
      <c r="I151" t="str">
        <f>_xlfn.XLOOKUP(frasest[[#This Row],[author_es]],autorest[author_es],autorest[bio_la])</f>
        <v>Philosophus Graecus Antiquitatis, discipulus Socratis et magister Aristotelis, Academiae Atheniensis conditor.</v>
      </c>
      <c r="J151" t="str">
        <f>_xlfn.XLOOKUP(frasest[[#This Row],[author_es]],autorest[author_es],autorest[iso3691])</f>
        <v>el</v>
      </c>
      <c r="K151" t="str">
        <f>_xlfn.XLOOKUP(frasest[[#This Row],[author_es]],autorest[author_es],autorest[language_es])</f>
        <v>Griego</v>
      </c>
      <c r="L151" t="str">
        <f>_xlfn.XLOOKUP(frasest[[#This Row],[author_es]],autorest[author_es],autorest[language_la])</f>
        <v>Lingua Graeca</v>
      </c>
      <c r="M151" t="str">
        <f>_xlfn.XLOOKUP(frasest[[#This Row],[author_es]],autorest[author_es],autorest[nation_es])</f>
        <v>Grecia</v>
      </c>
      <c r="N151" t="str">
        <f>_xlfn.XLOOKUP(frasest[[#This Row],[author_es]],autorest[author_es],autorest[nation_la])</f>
        <v>Graecia</v>
      </c>
      <c r="O151" t="str">
        <f>_xlfn.XLOOKUP(frasest[[#This Row],[author_es]],autorest[author_es],autorest[age_es])</f>
        <v>Edad Antigua</v>
      </c>
      <c r="P151" t="str">
        <f>_xlfn.XLOOKUP(frasest[[#This Row],[author_es]],autorest[author_es],autorest[age_la])</f>
        <v>Antiquitas</v>
      </c>
      <c r="Q151" t="str">
        <f>_xlfn.XLOOKUP(frasest[[#This Row],[author_es]],autorest[author_es],autorest[image])</f>
        <v>https://i.ibb.co/VcxD11Wm/platon.png</v>
      </c>
      <c r="R151">
        <f>_xlfn.XLOOKUP(frasest[[#This Row],[author_es]],autorest[author_es],autorest[image_atr])</f>
        <v>0</v>
      </c>
    </row>
    <row r="152" spans="1:18">
      <c r="A152">
        <v>151</v>
      </c>
      <c r="B152" t="s">
        <v>555</v>
      </c>
      <c r="C152" t="s">
        <v>556</v>
      </c>
      <c r="D152" t="s">
        <v>557</v>
      </c>
      <c r="E152" t="s">
        <v>541</v>
      </c>
      <c r="F152" t="s">
        <v>558</v>
      </c>
      <c r="G152" t="str">
        <f>_xlfn.XLOOKUP(frasest[[#This Row],[author_es]],autorest[author_es],autorest[author_la])</f>
        <v>Plato</v>
      </c>
      <c r="H152" t="str">
        <f>_xlfn.XLOOKUP(frasest[[#This Row],[author_es]],autorest[author_es],autorest[bio_es])</f>
        <v>Filósofo griego de la Edad Antigua, discípulo de Sócrates y maestro de Aristóteles, fundador de la Academia de Atenas.</v>
      </c>
      <c r="I152" t="str">
        <f>_xlfn.XLOOKUP(frasest[[#This Row],[author_es]],autorest[author_es],autorest[bio_la])</f>
        <v>Philosophus Graecus Antiquitatis, discipulus Socratis et magister Aristotelis, Academiae Atheniensis conditor.</v>
      </c>
      <c r="J152" t="str">
        <f>_xlfn.XLOOKUP(frasest[[#This Row],[author_es]],autorest[author_es],autorest[iso3691])</f>
        <v>el</v>
      </c>
      <c r="K152" t="str">
        <f>_xlfn.XLOOKUP(frasest[[#This Row],[author_es]],autorest[author_es],autorest[language_es])</f>
        <v>Griego</v>
      </c>
      <c r="L152" t="str">
        <f>_xlfn.XLOOKUP(frasest[[#This Row],[author_es]],autorest[author_es],autorest[language_la])</f>
        <v>Lingua Graeca</v>
      </c>
      <c r="M152" t="str">
        <f>_xlfn.XLOOKUP(frasest[[#This Row],[author_es]],autorest[author_es],autorest[nation_es])</f>
        <v>Grecia</v>
      </c>
      <c r="N152" t="str">
        <f>_xlfn.XLOOKUP(frasest[[#This Row],[author_es]],autorest[author_es],autorest[nation_la])</f>
        <v>Graecia</v>
      </c>
      <c r="O152" t="str">
        <f>_xlfn.XLOOKUP(frasest[[#This Row],[author_es]],autorest[author_es],autorest[age_es])</f>
        <v>Edad Antigua</v>
      </c>
      <c r="P152" t="str">
        <f>_xlfn.XLOOKUP(frasest[[#This Row],[author_es]],autorest[author_es],autorest[age_la])</f>
        <v>Antiquitas</v>
      </c>
      <c r="Q152" t="str">
        <f>_xlfn.XLOOKUP(frasest[[#This Row],[author_es]],autorest[author_es],autorest[image])</f>
        <v>https://i.ibb.co/VcxD11Wm/platon.png</v>
      </c>
      <c r="R152">
        <f>_xlfn.XLOOKUP(frasest[[#This Row],[author_es]],autorest[author_es],autorest[image_atr])</f>
        <v>0</v>
      </c>
    </row>
    <row r="153" spans="1:18">
      <c r="A153">
        <v>152</v>
      </c>
      <c r="B153" t="s">
        <v>559</v>
      </c>
      <c r="C153" t="s">
        <v>560</v>
      </c>
      <c r="D153" t="s">
        <v>561</v>
      </c>
      <c r="E153" t="s">
        <v>541</v>
      </c>
      <c r="F153" t="s">
        <v>562</v>
      </c>
      <c r="G153" t="str">
        <f>_xlfn.XLOOKUP(frasest[[#This Row],[author_es]],autorest[author_es],autorest[author_la])</f>
        <v>Plato</v>
      </c>
      <c r="H153" t="str">
        <f>_xlfn.XLOOKUP(frasest[[#This Row],[author_es]],autorest[author_es],autorest[bio_es])</f>
        <v>Filósofo griego de la Edad Antigua, discípulo de Sócrates y maestro de Aristóteles, fundador de la Academia de Atenas.</v>
      </c>
      <c r="I153" t="str">
        <f>_xlfn.XLOOKUP(frasest[[#This Row],[author_es]],autorest[author_es],autorest[bio_la])</f>
        <v>Philosophus Graecus Antiquitatis, discipulus Socratis et magister Aristotelis, Academiae Atheniensis conditor.</v>
      </c>
      <c r="J153" t="str">
        <f>_xlfn.XLOOKUP(frasest[[#This Row],[author_es]],autorest[author_es],autorest[iso3691])</f>
        <v>el</v>
      </c>
      <c r="K153" t="str">
        <f>_xlfn.XLOOKUP(frasest[[#This Row],[author_es]],autorest[author_es],autorest[language_es])</f>
        <v>Griego</v>
      </c>
      <c r="L153" t="str">
        <f>_xlfn.XLOOKUP(frasest[[#This Row],[author_es]],autorest[author_es],autorest[language_la])</f>
        <v>Lingua Graeca</v>
      </c>
      <c r="M153" t="str">
        <f>_xlfn.XLOOKUP(frasest[[#This Row],[author_es]],autorest[author_es],autorest[nation_es])</f>
        <v>Grecia</v>
      </c>
      <c r="N153" t="str">
        <f>_xlfn.XLOOKUP(frasest[[#This Row],[author_es]],autorest[author_es],autorest[nation_la])</f>
        <v>Graecia</v>
      </c>
      <c r="O153" t="str">
        <f>_xlfn.XLOOKUP(frasest[[#This Row],[author_es]],autorest[author_es],autorest[age_es])</f>
        <v>Edad Antigua</v>
      </c>
      <c r="P153" t="str">
        <f>_xlfn.XLOOKUP(frasest[[#This Row],[author_es]],autorest[author_es],autorest[age_la])</f>
        <v>Antiquitas</v>
      </c>
      <c r="Q153" t="str">
        <f>_xlfn.XLOOKUP(frasest[[#This Row],[author_es]],autorest[author_es],autorest[image])</f>
        <v>https://i.ibb.co/VcxD11Wm/platon.png</v>
      </c>
      <c r="R153">
        <f>_xlfn.XLOOKUP(frasest[[#This Row],[author_es]],autorest[author_es],autorest[image_atr])</f>
        <v>0</v>
      </c>
    </row>
    <row r="154" spans="1:18">
      <c r="A154">
        <v>153</v>
      </c>
      <c r="B154" t="s">
        <v>563</v>
      </c>
      <c r="C154" t="s">
        <v>564</v>
      </c>
      <c r="D154" t="s">
        <v>565</v>
      </c>
      <c r="E154" t="s">
        <v>541</v>
      </c>
      <c r="F154" t="s">
        <v>566</v>
      </c>
      <c r="G154" t="str">
        <f>_xlfn.XLOOKUP(frasest[[#This Row],[author_es]],autorest[author_es],autorest[author_la])</f>
        <v>Plato</v>
      </c>
      <c r="H154" t="str">
        <f>_xlfn.XLOOKUP(frasest[[#This Row],[author_es]],autorest[author_es],autorest[bio_es])</f>
        <v>Filósofo griego de la Edad Antigua, discípulo de Sócrates y maestro de Aristóteles, fundador de la Academia de Atenas.</v>
      </c>
      <c r="I154" t="str">
        <f>_xlfn.XLOOKUP(frasest[[#This Row],[author_es]],autorest[author_es],autorest[bio_la])</f>
        <v>Philosophus Graecus Antiquitatis, discipulus Socratis et magister Aristotelis, Academiae Atheniensis conditor.</v>
      </c>
      <c r="J154" t="str">
        <f>_xlfn.XLOOKUP(frasest[[#This Row],[author_es]],autorest[author_es],autorest[iso3691])</f>
        <v>el</v>
      </c>
      <c r="K154" t="str">
        <f>_xlfn.XLOOKUP(frasest[[#This Row],[author_es]],autorest[author_es],autorest[language_es])</f>
        <v>Griego</v>
      </c>
      <c r="L154" t="str">
        <f>_xlfn.XLOOKUP(frasest[[#This Row],[author_es]],autorest[author_es],autorest[language_la])</f>
        <v>Lingua Graeca</v>
      </c>
      <c r="M154" t="str">
        <f>_xlfn.XLOOKUP(frasest[[#This Row],[author_es]],autorest[author_es],autorest[nation_es])</f>
        <v>Grecia</v>
      </c>
      <c r="N154" t="str">
        <f>_xlfn.XLOOKUP(frasest[[#This Row],[author_es]],autorest[author_es],autorest[nation_la])</f>
        <v>Graecia</v>
      </c>
      <c r="O154" t="str">
        <f>_xlfn.XLOOKUP(frasest[[#This Row],[author_es]],autorest[author_es],autorest[age_es])</f>
        <v>Edad Antigua</v>
      </c>
      <c r="P154" t="str">
        <f>_xlfn.XLOOKUP(frasest[[#This Row],[author_es]],autorest[author_es],autorest[age_la])</f>
        <v>Antiquitas</v>
      </c>
      <c r="Q154" t="str">
        <f>_xlfn.XLOOKUP(frasest[[#This Row],[author_es]],autorest[author_es],autorest[image])</f>
        <v>https://i.ibb.co/VcxD11Wm/platon.png</v>
      </c>
      <c r="R154">
        <f>_xlfn.XLOOKUP(frasest[[#This Row],[author_es]],autorest[author_es],autorest[image_atr])</f>
        <v>0</v>
      </c>
    </row>
    <row r="155" spans="1:18">
      <c r="A155">
        <v>154</v>
      </c>
      <c r="B155" t="s">
        <v>567</v>
      </c>
      <c r="C155" t="s">
        <v>568</v>
      </c>
      <c r="D155" t="s">
        <v>569</v>
      </c>
      <c r="E155" t="s">
        <v>541</v>
      </c>
      <c r="F155" t="s">
        <v>570</v>
      </c>
      <c r="G155" t="str">
        <f>_xlfn.XLOOKUP(frasest[[#This Row],[author_es]],autorest[author_es],autorest[author_la])</f>
        <v>Plato</v>
      </c>
      <c r="H155" t="str">
        <f>_xlfn.XLOOKUP(frasest[[#This Row],[author_es]],autorest[author_es],autorest[bio_es])</f>
        <v>Filósofo griego de la Edad Antigua, discípulo de Sócrates y maestro de Aristóteles, fundador de la Academia de Atenas.</v>
      </c>
      <c r="I155" t="str">
        <f>_xlfn.XLOOKUP(frasest[[#This Row],[author_es]],autorest[author_es],autorest[bio_la])</f>
        <v>Philosophus Graecus Antiquitatis, discipulus Socratis et magister Aristotelis, Academiae Atheniensis conditor.</v>
      </c>
      <c r="J155" t="str">
        <f>_xlfn.XLOOKUP(frasest[[#This Row],[author_es]],autorest[author_es],autorest[iso3691])</f>
        <v>el</v>
      </c>
      <c r="K155" t="str">
        <f>_xlfn.XLOOKUP(frasest[[#This Row],[author_es]],autorest[author_es],autorest[language_es])</f>
        <v>Griego</v>
      </c>
      <c r="L155" t="str">
        <f>_xlfn.XLOOKUP(frasest[[#This Row],[author_es]],autorest[author_es],autorest[language_la])</f>
        <v>Lingua Graeca</v>
      </c>
      <c r="M155" t="str">
        <f>_xlfn.XLOOKUP(frasest[[#This Row],[author_es]],autorest[author_es],autorest[nation_es])</f>
        <v>Grecia</v>
      </c>
      <c r="N155" t="str">
        <f>_xlfn.XLOOKUP(frasest[[#This Row],[author_es]],autorest[author_es],autorest[nation_la])</f>
        <v>Graecia</v>
      </c>
      <c r="O155" t="str">
        <f>_xlfn.XLOOKUP(frasest[[#This Row],[author_es]],autorest[author_es],autorest[age_es])</f>
        <v>Edad Antigua</v>
      </c>
      <c r="P155" t="str">
        <f>_xlfn.XLOOKUP(frasest[[#This Row],[author_es]],autorest[author_es],autorest[age_la])</f>
        <v>Antiquitas</v>
      </c>
      <c r="Q155" t="str">
        <f>_xlfn.XLOOKUP(frasest[[#This Row],[author_es]],autorest[author_es],autorest[image])</f>
        <v>https://i.ibb.co/VcxD11Wm/platon.png</v>
      </c>
      <c r="R155">
        <f>_xlfn.XLOOKUP(frasest[[#This Row],[author_es]],autorest[author_es],autorest[image_atr])</f>
        <v>0</v>
      </c>
    </row>
    <row r="156" spans="1:18">
      <c r="A156">
        <v>155</v>
      </c>
      <c r="B156" t="s">
        <v>571</v>
      </c>
      <c r="C156" t="s">
        <v>572</v>
      </c>
      <c r="D156" t="s">
        <v>573</v>
      </c>
      <c r="E156" t="s">
        <v>541</v>
      </c>
      <c r="F156" t="s">
        <v>574</v>
      </c>
      <c r="G156" t="str">
        <f>_xlfn.XLOOKUP(frasest[[#This Row],[author_es]],autorest[author_es],autorest[author_la])</f>
        <v>Plato</v>
      </c>
      <c r="H156" t="str">
        <f>_xlfn.XLOOKUP(frasest[[#This Row],[author_es]],autorest[author_es],autorest[bio_es])</f>
        <v>Filósofo griego de la Edad Antigua, discípulo de Sócrates y maestro de Aristóteles, fundador de la Academia de Atenas.</v>
      </c>
      <c r="I156" t="str">
        <f>_xlfn.XLOOKUP(frasest[[#This Row],[author_es]],autorest[author_es],autorest[bio_la])</f>
        <v>Philosophus Graecus Antiquitatis, discipulus Socratis et magister Aristotelis, Academiae Atheniensis conditor.</v>
      </c>
      <c r="J156" t="str">
        <f>_xlfn.XLOOKUP(frasest[[#This Row],[author_es]],autorest[author_es],autorest[iso3691])</f>
        <v>el</v>
      </c>
      <c r="K156" t="str">
        <f>_xlfn.XLOOKUP(frasest[[#This Row],[author_es]],autorest[author_es],autorest[language_es])</f>
        <v>Griego</v>
      </c>
      <c r="L156" t="str">
        <f>_xlfn.XLOOKUP(frasest[[#This Row],[author_es]],autorest[author_es],autorest[language_la])</f>
        <v>Lingua Graeca</v>
      </c>
      <c r="M156" t="str">
        <f>_xlfn.XLOOKUP(frasest[[#This Row],[author_es]],autorest[author_es],autorest[nation_es])</f>
        <v>Grecia</v>
      </c>
      <c r="N156" t="str">
        <f>_xlfn.XLOOKUP(frasest[[#This Row],[author_es]],autorest[author_es],autorest[nation_la])</f>
        <v>Graecia</v>
      </c>
      <c r="O156" t="str">
        <f>_xlfn.XLOOKUP(frasest[[#This Row],[author_es]],autorest[author_es],autorest[age_es])</f>
        <v>Edad Antigua</v>
      </c>
      <c r="P156" t="str">
        <f>_xlfn.XLOOKUP(frasest[[#This Row],[author_es]],autorest[author_es],autorest[age_la])</f>
        <v>Antiquitas</v>
      </c>
      <c r="Q156" t="str">
        <f>_xlfn.XLOOKUP(frasest[[#This Row],[author_es]],autorest[author_es],autorest[image])</f>
        <v>https://i.ibb.co/VcxD11Wm/platon.png</v>
      </c>
      <c r="R156">
        <f>_xlfn.XLOOKUP(frasest[[#This Row],[author_es]],autorest[author_es],autorest[image_atr])</f>
        <v>0</v>
      </c>
    </row>
    <row r="157" spans="1:18">
      <c r="A157">
        <v>156</v>
      </c>
      <c r="B157" t="s">
        <v>575</v>
      </c>
      <c r="C157" t="s">
        <v>576</v>
      </c>
      <c r="D157" t="s">
        <v>577</v>
      </c>
      <c r="E157" t="s">
        <v>541</v>
      </c>
      <c r="F157" t="s">
        <v>578</v>
      </c>
      <c r="G157" t="str">
        <f>_xlfn.XLOOKUP(frasest[[#This Row],[author_es]],autorest[author_es],autorest[author_la])</f>
        <v>Plato</v>
      </c>
      <c r="H157" t="str">
        <f>_xlfn.XLOOKUP(frasest[[#This Row],[author_es]],autorest[author_es],autorest[bio_es])</f>
        <v>Filósofo griego de la Edad Antigua, discípulo de Sócrates y maestro de Aristóteles, fundador de la Academia de Atenas.</v>
      </c>
      <c r="I157" t="str">
        <f>_xlfn.XLOOKUP(frasest[[#This Row],[author_es]],autorest[author_es],autorest[bio_la])</f>
        <v>Philosophus Graecus Antiquitatis, discipulus Socratis et magister Aristotelis, Academiae Atheniensis conditor.</v>
      </c>
      <c r="J157" t="str">
        <f>_xlfn.XLOOKUP(frasest[[#This Row],[author_es]],autorest[author_es],autorest[iso3691])</f>
        <v>el</v>
      </c>
      <c r="K157" t="str">
        <f>_xlfn.XLOOKUP(frasest[[#This Row],[author_es]],autorest[author_es],autorest[language_es])</f>
        <v>Griego</v>
      </c>
      <c r="L157" t="str">
        <f>_xlfn.XLOOKUP(frasest[[#This Row],[author_es]],autorest[author_es],autorest[language_la])</f>
        <v>Lingua Graeca</v>
      </c>
      <c r="M157" t="str">
        <f>_xlfn.XLOOKUP(frasest[[#This Row],[author_es]],autorest[author_es],autorest[nation_es])</f>
        <v>Grecia</v>
      </c>
      <c r="N157" t="str">
        <f>_xlfn.XLOOKUP(frasest[[#This Row],[author_es]],autorest[author_es],autorest[nation_la])</f>
        <v>Graecia</v>
      </c>
      <c r="O157" t="str">
        <f>_xlfn.XLOOKUP(frasest[[#This Row],[author_es]],autorest[author_es],autorest[age_es])</f>
        <v>Edad Antigua</v>
      </c>
      <c r="P157" t="str">
        <f>_xlfn.XLOOKUP(frasest[[#This Row],[author_es]],autorest[author_es],autorest[age_la])</f>
        <v>Antiquitas</v>
      </c>
      <c r="Q157" t="str">
        <f>_xlfn.XLOOKUP(frasest[[#This Row],[author_es]],autorest[author_es],autorest[image])</f>
        <v>https://i.ibb.co/VcxD11Wm/platon.png</v>
      </c>
      <c r="R157">
        <f>_xlfn.XLOOKUP(frasest[[#This Row],[author_es]],autorest[author_es],autorest[image_atr])</f>
        <v>0</v>
      </c>
    </row>
    <row r="158" spans="1:18">
      <c r="A158">
        <v>157</v>
      </c>
      <c r="B158" t="s">
        <v>579</v>
      </c>
      <c r="C158" t="s">
        <v>580</v>
      </c>
      <c r="D158" t="s">
        <v>581</v>
      </c>
      <c r="E158" t="s">
        <v>582</v>
      </c>
      <c r="F158" t="s">
        <v>583</v>
      </c>
      <c r="G158" t="str">
        <f>_xlfn.XLOOKUP(frasest[[#This Row],[author_es]],autorest[author_es],autorest[author_la])</f>
        <v>Aristoteles</v>
      </c>
      <c r="H158" t="str">
        <f>_xlfn.XLOOKUP(frasest[[#This Row],[author_es]],autorest[author_es],autorest[bio_es])</f>
        <v>Filósofo griego de la Edad Antigua, discípulo de Platón y maestro de Alejandro Magno, figura central del pensamiento lógico, ético y metafísico.</v>
      </c>
      <c r="I158" t="str">
        <f>_xlfn.XLOOKUP(frasest[[#This Row],[author_es]],autorest[author_es],autorest[bio_la])</f>
        <v>Philosophus Graecus Antiquitatis, discipulus Platonis et magister Alexandri Magni, pars maxima in logica, ethica et metaphysica.</v>
      </c>
      <c r="J158" t="str">
        <f>_xlfn.XLOOKUP(frasest[[#This Row],[author_es]],autorest[author_es],autorest[iso3691])</f>
        <v>el</v>
      </c>
      <c r="K158" t="str">
        <f>_xlfn.XLOOKUP(frasest[[#This Row],[author_es]],autorest[author_es],autorest[language_es])</f>
        <v>Griego</v>
      </c>
      <c r="L158" t="str">
        <f>_xlfn.XLOOKUP(frasest[[#This Row],[author_es]],autorest[author_es],autorest[language_la])</f>
        <v>Lingua Graeca</v>
      </c>
      <c r="M158" t="str">
        <f>_xlfn.XLOOKUP(frasest[[#This Row],[author_es]],autorest[author_es],autorest[nation_es])</f>
        <v>Grecia</v>
      </c>
      <c r="N158" t="str">
        <f>_xlfn.XLOOKUP(frasest[[#This Row],[author_es]],autorest[author_es],autorest[nation_la])</f>
        <v>Graecia</v>
      </c>
      <c r="O158" t="str">
        <f>_xlfn.XLOOKUP(frasest[[#This Row],[author_es]],autorest[author_es],autorest[age_es])</f>
        <v>Edad Antigua</v>
      </c>
      <c r="P158" t="str">
        <f>_xlfn.XLOOKUP(frasest[[#This Row],[author_es]],autorest[author_es],autorest[age_la])</f>
        <v>Antiquitas</v>
      </c>
      <c r="Q158" t="str">
        <f>_xlfn.XLOOKUP(frasest[[#This Row],[author_es]],autorest[author_es],autorest[image])</f>
        <v>https://i.ibb.co/gZpf6w2B/aristoteles.png</v>
      </c>
      <c r="R158">
        <f>_xlfn.XLOOKUP(frasest[[#This Row],[author_es]],autorest[author_es],autorest[image_atr])</f>
        <v>0</v>
      </c>
    </row>
    <row r="159" spans="1:18">
      <c r="A159">
        <v>158</v>
      </c>
      <c r="B159" t="s">
        <v>584</v>
      </c>
      <c r="C159" t="s">
        <v>585</v>
      </c>
      <c r="D159" t="s">
        <v>586</v>
      </c>
      <c r="E159" t="s">
        <v>582</v>
      </c>
      <c r="F159" t="s">
        <v>587</v>
      </c>
      <c r="G159" t="str">
        <f>_xlfn.XLOOKUP(frasest[[#This Row],[author_es]],autorest[author_es],autorest[author_la])</f>
        <v>Aristoteles</v>
      </c>
      <c r="H159" t="str">
        <f>_xlfn.XLOOKUP(frasest[[#This Row],[author_es]],autorest[author_es],autorest[bio_es])</f>
        <v>Filósofo griego de la Edad Antigua, discípulo de Platón y maestro de Alejandro Magno, figura central del pensamiento lógico, ético y metafísico.</v>
      </c>
      <c r="I159" t="str">
        <f>_xlfn.XLOOKUP(frasest[[#This Row],[author_es]],autorest[author_es],autorest[bio_la])</f>
        <v>Philosophus Graecus Antiquitatis, discipulus Platonis et magister Alexandri Magni, pars maxima in logica, ethica et metaphysica.</v>
      </c>
      <c r="J159" t="str">
        <f>_xlfn.XLOOKUP(frasest[[#This Row],[author_es]],autorest[author_es],autorest[iso3691])</f>
        <v>el</v>
      </c>
      <c r="K159" t="str">
        <f>_xlfn.XLOOKUP(frasest[[#This Row],[author_es]],autorest[author_es],autorest[language_es])</f>
        <v>Griego</v>
      </c>
      <c r="L159" t="str">
        <f>_xlfn.XLOOKUP(frasest[[#This Row],[author_es]],autorest[author_es],autorest[language_la])</f>
        <v>Lingua Graeca</v>
      </c>
      <c r="M159" t="str">
        <f>_xlfn.XLOOKUP(frasest[[#This Row],[author_es]],autorest[author_es],autorest[nation_es])</f>
        <v>Grecia</v>
      </c>
      <c r="N159" t="str">
        <f>_xlfn.XLOOKUP(frasest[[#This Row],[author_es]],autorest[author_es],autorest[nation_la])</f>
        <v>Graecia</v>
      </c>
      <c r="O159" t="str">
        <f>_xlfn.XLOOKUP(frasest[[#This Row],[author_es]],autorest[author_es],autorest[age_es])</f>
        <v>Edad Antigua</v>
      </c>
      <c r="P159" t="str">
        <f>_xlfn.XLOOKUP(frasest[[#This Row],[author_es]],autorest[author_es],autorest[age_la])</f>
        <v>Antiquitas</v>
      </c>
      <c r="Q159" t="str">
        <f>_xlfn.XLOOKUP(frasest[[#This Row],[author_es]],autorest[author_es],autorest[image])</f>
        <v>https://i.ibb.co/gZpf6w2B/aristoteles.png</v>
      </c>
      <c r="R159">
        <f>_xlfn.XLOOKUP(frasest[[#This Row],[author_es]],autorest[author_es],autorest[image_atr])</f>
        <v>0</v>
      </c>
    </row>
    <row r="160" spans="1:18">
      <c r="A160">
        <v>159</v>
      </c>
      <c r="B160" t="s">
        <v>588</v>
      </c>
      <c r="C160" t="s">
        <v>589</v>
      </c>
      <c r="D160" t="s">
        <v>590</v>
      </c>
      <c r="E160" t="s">
        <v>582</v>
      </c>
      <c r="F160" t="s">
        <v>591</v>
      </c>
      <c r="G160" t="str">
        <f>_xlfn.XLOOKUP(frasest[[#This Row],[author_es]],autorest[author_es],autorest[author_la])</f>
        <v>Aristoteles</v>
      </c>
      <c r="H160" t="str">
        <f>_xlfn.XLOOKUP(frasest[[#This Row],[author_es]],autorest[author_es],autorest[bio_es])</f>
        <v>Filósofo griego de la Edad Antigua, discípulo de Platón y maestro de Alejandro Magno, figura central del pensamiento lógico, ético y metafísico.</v>
      </c>
      <c r="I160" t="str">
        <f>_xlfn.XLOOKUP(frasest[[#This Row],[author_es]],autorest[author_es],autorest[bio_la])</f>
        <v>Philosophus Graecus Antiquitatis, discipulus Platonis et magister Alexandri Magni, pars maxima in logica, ethica et metaphysica.</v>
      </c>
      <c r="J160" t="str">
        <f>_xlfn.XLOOKUP(frasest[[#This Row],[author_es]],autorest[author_es],autorest[iso3691])</f>
        <v>el</v>
      </c>
      <c r="K160" t="str">
        <f>_xlfn.XLOOKUP(frasest[[#This Row],[author_es]],autorest[author_es],autorest[language_es])</f>
        <v>Griego</v>
      </c>
      <c r="L160" t="str">
        <f>_xlfn.XLOOKUP(frasest[[#This Row],[author_es]],autorest[author_es],autorest[language_la])</f>
        <v>Lingua Graeca</v>
      </c>
      <c r="M160" t="str">
        <f>_xlfn.XLOOKUP(frasest[[#This Row],[author_es]],autorest[author_es],autorest[nation_es])</f>
        <v>Grecia</v>
      </c>
      <c r="N160" t="str">
        <f>_xlfn.XLOOKUP(frasest[[#This Row],[author_es]],autorest[author_es],autorest[nation_la])</f>
        <v>Graecia</v>
      </c>
      <c r="O160" t="str">
        <f>_xlfn.XLOOKUP(frasest[[#This Row],[author_es]],autorest[author_es],autorest[age_es])</f>
        <v>Edad Antigua</v>
      </c>
      <c r="P160" t="str">
        <f>_xlfn.XLOOKUP(frasest[[#This Row],[author_es]],autorest[author_es],autorest[age_la])</f>
        <v>Antiquitas</v>
      </c>
      <c r="Q160" t="str">
        <f>_xlfn.XLOOKUP(frasest[[#This Row],[author_es]],autorest[author_es],autorest[image])</f>
        <v>https://i.ibb.co/gZpf6w2B/aristoteles.png</v>
      </c>
      <c r="R160">
        <f>_xlfn.XLOOKUP(frasest[[#This Row],[author_es]],autorest[author_es],autorest[image_atr])</f>
        <v>0</v>
      </c>
    </row>
    <row r="161" spans="1:18">
      <c r="A161">
        <v>160</v>
      </c>
      <c r="B161" t="s">
        <v>592</v>
      </c>
      <c r="C161" t="s">
        <v>593</v>
      </c>
      <c r="D161" t="s">
        <v>594</v>
      </c>
      <c r="E161" t="s">
        <v>582</v>
      </c>
      <c r="F161" t="s">
        <v>595</v>
      </c>
      <c r="G161" t="str">
        <f>_xlfn.XLOOKUP(frasest[[#This Row],[author_es]],autorest[author_es],autorest[author_la])</f>
        <v>Aristoteles</v>
      </c>
      <c r="H161" t="str">
        <f>_xlfn.XLOOKUP(frasest[[#This Row],[author_es]],autorest[author_es],autorest[bio_es])</f>
        <v>Filósofo griego de la Edad Antigua, discípulo de Platón y maestro de Alejandro Magno, figura central del pensamiento lógico, ético y metafísico.</v>
      </c>
      <c r="I161" t="str">
        <f>_xlfn.XLOOKUP(frasest[[#This Row],[author_es]],autorest[author_es],autorest[bio_la])</f>
        <v>Philosophus Graecus Antiquitatis, discipulus Platonis et magister Alexandri Magni, pars maxima in logica, ethica et metaphysica.</v>
      </c>
      <c r="J161" t="str">
        <f>_xlfn.XLOOKUP(frasest[[#This Row],[author_es]],autorest[author_es],autorest[iso3691])</f>
        <v>el</v>
      </c>
      <c r="K161" t="str">
        <f>_xlfn.XLOOKUP(frasest[[#This Row],[author_es]],autorest[author_es],autorest[language_es])</f>
        <v>Griego</v>
      </c>
      <c r="L161" t="str">
        <f>_xlfn.XLOOKUP(frasest[[#This Row],[author_es]],autorest[author_es],autorest[language_la])</f>
        <v>Lingua Graeca</v>
      </c>
      <c r="M161" t="str">
        <f>_xlfn.XLOOKUP(frasest[[#This Row],[author_es]],autorest[author_es],autorest[nation_es])</f>
        <v>Grecia</v>
      </c>
      <c r="N161" t="str">
        <f>_xlfn.XLOOKUP(frasest[[#This Row],[author_es]],autorest[author_es],autorest[nation_la])</f>
        <v>Graecia</v>
      </c>
      <c r="O161" t="str">
        <f>_xlfn.XLOOKUP(frasest[[#This Row],[author_es]],autorest[author_es],autorest[age_es])</f>
        <v>Edad Antigua</v>
      </c>
      <c r="P161" t="str">
        <f>_xlfn.XLOOKUP(frasest[[#This Row],[author_es]],autorest[author_es],autorest[age_la])</f>
        <v>Antiquitas</v>
      </c>
      <c r="Q161" t="str">
        <f>_xlfn.XLOOKUP(frasest[[#This Row],[author_es]],autorest[author_es],autorest[image])</f>
        <v>https://i.ibb.co/gZpf6w2B/aristoteles.png</v>
      </c>
      <c r="R161">
        <f>_xlfn.XLOOKUP(frasest[[#This Row],[author_es]],autorest[author_es],autorest[image_atr])</f>
        <v>0</v>
      </c>
    </row>
    <row r="162" spans="1:18">
      <c r="A162">
        <v>161</v>
      </c>
      <c r="B162" t="s">
        <v>596</v>
      </c>
      <c r="C162" t="s">
        <v>597</v>
      </c>
      <c r="D162" t="s">
        <v>598</v>
      </c>
      <c r="E162" t="s">
        <v>582</v>
      </c>
      <c r="F162" t="s">
        <v>599</v>
      </c>
      <c r="G162" t="str">
        <f>_xlfn.XLOOKUP(frasest[[#This Row],[author_es]],autorest[author_es],autorest[author_la])</f>
        <v>Aristoteles</v>
      </c>
      <c r="H162" t="str">
        <f>_xlfn.XLOOKUP(frasest[[#This Row],[author_es]],autorest[author_es],autorest[bio_es])</f>
        <v>Filósofo griego de la Edad Antigua, discípulo de Platón y maestro de Alejandro Magno, figura central del pensamiento lógico, ético y metafísico.</v>
      </c>
      <c r="I162" t="str">
        <f>_xlfn.XLOOKUP(frasest[[#This Row],[author_es]],autorest[author_es],autorest[bio_la])</f>
        <v>Philosophus Graecus Antiquitatis, discipulus Platonis et magister Alexandri Magni, pars maxima in logica, ethica et metaphysica.</v>
      </c>
      <c r="J162" t="str">
        <f>_xlfn.XLOOKUP(frasest[[#This Row],[author_es]],autorest[author_es],autorest[iso3691])</f>
        <v>el</v>
      </c>
      <c r="K162" t="str">
        <f>_xlfn.XLOOKUP(frasest[[#This Row],[author_es]],autorest[author_es],autorest[language_es])</f>
        <v>Griego</v>
      </c>
      <c r="L162" t="str">
        <f>_xlfn.XLOOKUP(frasest[[#This Row],[author_es]],autorest[author_es],autorest[language_la])</f>
        <v>Lingua Graeca</v>
      </c>
      <c r="M162" t="str">
        <f>_xlfn.XLOOKUP(frasest[[#This Row],[author_es]],autorest[author_es],autorest[nation_es])</f>
        <v>Grecia</v>
      </c>
      <c r="N162" t="str">
        <f>_xlfn.XLOOKUP(frasest[[#This Row],[author_es]],autorest[author_es],autorest[nation_la])</f>
        <v>Graecia</v>
      </c>
      <c r="O162" t="str">
        <f>_xlfn.XLOOKUP(frasest[[#This Row],[author_es]],autorest[author_es],autorest[age_es])</f>
        <v>Edad Antigua</v>
      </c>
      <c r="P162" t="str">
        <f>_xlfn.XLOOKUP(frasest[[#This Row],[author_es]],autorest[author_es],autorest[age_la])</f>
        <v>Antiquitas</v>
      </c>
      <c r="Q162" t="str">
        <f>_xlfn.XLOOKUP(frasest[[#This Row],[author_es]],autorest[author_es],autorest[image])</f>
        <v>https://i.ibb.co/gZpf6w2B/aristoteles.png</v>
      </c>
      <c r="R162">
        <f>_xlfn.XLOOKUP(frasest[[#This Row],[author_es]],autorest[author_es],autorest[image_atr])</f>
        <v>0</v>
      </c>
    </row>
    <row r="163" spans="1:18">
      <c r="A163">
        <v>162</v>
      </c>
      <c r="B163" t="s">
        <v>600</v>
      </c>
      <c r="C163" t="s">
        <v>601</v>
      </c>
      <c r="D163" t="s">
        <v>602</v>
      </c>
      <c r="E163" t="s">
        <v>582</v>
      </c>
      <c r="F163" t="s">
        <v>603</v>
      </c>
      <c r="G163" t="str">
        <f>_xlfn.XLOOKUP(frasest[[#This Row],[author_es]],autorest[author_es],autorest[author_la])</f>
        <v>Aristoteles</v>
      </c>
      <c r="H163" t="str">
        <f>_xlfn.XLOOKUP(frasest[[#This Row],[author_es]],autorest[author_es],autorest[bio_es])</f>
        <v>Filósofo griego de la Edad Antigua, discípulo de Platón y maestro de Alejandro Magno, figura central del pensamiento lógico, ético y metafísico.</v>
      </c>
      <c r="I163" t="str">
        <f>_xlfn.XLOOKUP(frasest[[#This Row],[author_es]],autorest[author_es],autorest[bio_la])</f>
        <v>Philosophus Graecus Antiquitatis, discipulus Platonis et magister Alexandri Magni, pars maxima in logica, ethica et metaphysica.</v>
      </c>
      <c r="J163" t="str">
        <f>_xlfn.XLOOKUP(frasest[[#This Row],[author_es]],autorest[author_es],autorest[iso3691])</f>
        <v>el</v>
      </c>
      <c r="K163" t="str">
        <f>_xlfn.XLOOKUP(frasest[[#This Row],[author_es]],autorest[author_es],autorest[language_es])</f>
        <v>Griego</v>
      </c>
      <c r="L163" t="str">
        <f>_xlfn.XLOOKUP(frasest[[#This Row],[author_es]],autorest[author_es],autorest[language_la])</f>
        <v>Lingua Graeca</v>
      </c>
      <c r="M163" t="str">
        <f>_xlfn.XLOOKUP(frasest[[#This Row],[author_es]],autorest[author_es],autorest[nation_es])</f>
        <v>Grecia</v>
      </c>
      <c r="N163" t="str">
        <f>_xlfn.XLOOKUP(frasest[[#This Row],[author_es]],autorest[author_es],autorest[nation_la])</f>
        <v>Graecia</v>
      </c>
      <c r="O163" t="str">
        <f>_xlfn.XLOOKUP(frasest[[#This Row],[author_es]],autorest[author_es],autorest[age_es])</f>
        <v>Edad Antigua</v>
      </c>
      <c r="P163" t="str">
        <f>_xlfn.XLOOKUP(frasest[[#This Row],[author_es]],autorest[author_es],autorest[age_la])</f>
        <v>Antiquitas</v>
      </c>
      <c r="Q163" t="str">
        <f>_xlfn.XLOOKUP(frasest[[#This Row],[author_es]],autorest[author_es],autorest[image])</f>
        <v>https://i.ibb.co/gZpf6w2B/aristoteles.png</v>
      </c>
      <c r="R163">
        <f>_xlfn.XLOOKUP(frasest[[#This Row],[author_es]],autorest[author_es],autorest[image_atr])</f>
        <v>0</v>
      </c>
    </row>
    <row r="164" spans="1:18">
      <c r="A164">
        <v>163</v>
      </c>
      <c r="B164" t="s">
        <v>604</v>
      </c>
      <c r="C164" t="s">
        <v>605</v>
      </c>
      <c r="D164" t="s">
        <v>606</v>
      </c>
      <c r="E164" t="s">
        <v>582</v>
      </c>
      <c r="F164" t="s">
        <v>607</v>
      </c>
      <c r="G164" t="str">
        <f>_xlfn.XLOOKUP(frasest[[#This Row],[author_es]],autorest[author_es],autorest[author_la])</f>
        <v>Aristoteles</v>
      </c>
      <c r="H164" t="str">
        <f>_xlfn.XLOOKUP(frasest[[#This Row],[author_es]],autorest[author_es],autorest[bio_es])</f>
        <v>Filósofo griego de la Edad Antigua, discípulo de Platón y maestro de Alejandro Magno, figura central del pensamiento lógico, ético y metafísico.</v>
      </c>
      <c r="I164" t="str">
        <f>_xlfn.XLOOKUP(frasest[[#This Row],[author_es]],autorest[author_es],autorest[bio_la])</f>
        <v>Philosophus Graecus Antiquitatis, discipulus Platonis et magister Alexandri Magni, pars maxima in logica, ethica et metaphysica.</v>
      </c>
      <c r="J164" t="str">
        <f>_xlfn.XLOOKUP(frasest[[#This Row],[author_es]],autorest[author_es],autorest[iso3691])</f>
        <v>el</v>
      </c>
      <c r="K164" t="str">
        <f>_xlfn.XLOOKUP(frasest[[#This Row],[author_es]],autorest[author_es],autorest[language_es])</f>
        <v>Griego</v>
      </c>
      <c r="L164" t="str">
        <f>_xlfn.XLOOKUP(frasest[[#This Row],[author_es]],autorest[author_es],autorest[language_la])</f>
        <v>Lingua Graeca</v>
      </c>
      <c r="M164" t="str">
        <f>_xlfn.XLOOKUP(frasest[[#This Row],[author_es]],autorest[author_es],autorest[nation_es])</f>
        <v>Grecia</v>
      </c>
      <c r="N164" t="str">
        <f>_xlfn.XLOOKUP(frasest[[#This Row],[author_es]],autorest[author_es],autorest[nation_la])</f>
        <v>Graecia</v>
      </c>
      <c r="O164" t="str">
        <f>_xlfn.XLOOKUP(frasest[[#This Row],[author_es]],autorest[author_es],autorest[age_es])</f>
        <v>Edad Antigua</v>
      </c>
      <c r="P164" t="str">
        <f>_xlfn.XLOOKUP(frasest[[#This Row],[author_es]],autorest[author_es],autorest[age_la])</f>
        <v>Antiquitas</v>
      </c>
      <c r="Q164" t="str">
        <f>_xlfn.XLOOKUP(frasest[[#This Row],[author_es]],autorest[author_es],autorest[image])</f>
        <v>https://i.ibb.co/gZpf6w2B/aristoteles.png</v>
      </c>
      <c r="R164">
        <f>_xlfn.XLOOKUP(frasest[[#This Row],[author_es]],autorest[author_es],autorest[image_atr])</f>
        <v>0</v>
      </c>
    </row>
    <row r="165" spans="1:18">
      <c r="A165">
        <v>164</v>
      </c>
      <c r="B165" t="s">
        <v>608</v>
      </c>
      <c r="C165" t="s">
        <v>609</v>
      </c>
      <c r="D165" t="s">
        <v>610</v>
      </c>
      <c r="E165" t="s">
        <v>582</v>
      </c>
      <c r="F165" t="s">
        <v>611</v>
      </c>
      <c r="G165" t="str">
        <f>_xlfn.XLOOKUP(frasest[[#This Row],[author_es]],autorest[author_es],autorest[author_la])</f>
        <v>Aristoteles</v>
      </c>
      <c r="H165" t="str">
        <f>_xlfn.XLOOKUP(frasest[[#This Row],[author_es]],autorest[author_es],autorest[bio_es])</f>
        <v>Filósofo griego de la Edad Antigua, discípulo de Platón y maestro de Alejandro Magno, figura central del pensamiento lógico, ético y metafísico.</v>
      </c>
      <c r="I165" t="str">
        <f>_xlfn.XLOOKUP(frasest[[#This Row],[author_es]],autorest[author_es],autorest[bio_la])</f>
        <v>Philosophus Graecus Antiquitatis, discipulus Platonis et magister Alexandri Magni, pars maxima in logica, ethica et metaphysica.</v>
      </c>
      <c r="J165" t="str">
        <f>_xlfn.XLOOKUP(frasest[[#This Row],[author_es]],autorest[author_es],autorest[iso3691])</f>
        <v>el</v>
      </c>
      <c r="K165" t="str">
        <f>_xlfn.XLOOKUP(frasest[[#This Row],[author_es]],autorest[author_es],autorest[language_es])</f>
        <v>Griego</v>
      </c>
      <c r="L165" t="str">
        <f>_xlfn.XLOOKUP(frasest[[#This Row],[author_es]],autorest[author_es],autorest[language_la])</f>
        <v>Lingua Graeca</v>
      </c>
      <c r="M165" t="str">
        <f>_xlfn.XLOOKUP(frasest[[#This Row],[author_es]],autorest[author_es],autorest[nation_es])</f>
        <v>Grecia</v>
      </c>
      <c r="N165" t="str">
        <f>_xlfn.XLOOKUP(frasest[[#This Row],[author_es]],autorest[author_es],autorest[nation_la])</f>
        <v>Graecia</v>
      </c>
      <c r="O165" t="str">
        <f>_xlfn.XLOOKUP(frasest[[#This Row],[author_es]],autorest[author_es],autorest[age_es])</f>
        <v>Edad Antigua</v>
      </c>
      <c r="P165" t="str">
        <f>_xlfn.XLOOKUP(frasest[[#This Row],[author_es]],autorest[author_es],autorest[age_la])</f>
        <v>Antiquitas</v>
      </c>
      <c r="Q165" t="str">
        <f>_xlfn.XLOOKUP(frasest[[#This Row],[author_es]],autorest[author_es],autorest[image])</f>
        <v>https://i.ibb.co/gZpf6w2B/aristoteles.png</v>
      </c>
      <c r="R165">
        <f>_xlfn.XLOOKUP(frasest[[#This Row],[author_es]],autorest[author_es],autorest[image_atr])</f>
        <v>0</v>
      </c>
    </row>
    <row r="166" spans="1:18">
      <c r="A166">
        <v>165</v>
      </c>
      <c r="B166" t="s">
        <v>612</v>
      </c>
      <c r="C166" t="s">
        <v>613</v>
      </c>
      <c r="D166" t="s">
        <v>614</v>
      </c>
      <c r="E166" t="s">
        <v>582</v>
      </c>
      <c r="F166" t="s">
        <v>615</v>
      </c>
      <c r="G166" t="str">
        <f>_xlfn.XLOOKUP(frasest[[#This Row],[author_es]],autorest[author_es],autorest[author_la])</f>
        <v>Aristoteles</v>
      </c>
      <c r="H166" t="str">
        <f>_xlfn.XLOOKUP(frasest[[#This Row],[author_es]],autorest[author_es],autorest[bio_es])</f>
        <v>Filósofo griego de la Edad Antigua, discípulo de Platón y maestro de Alejandro Magno, figura central del pensamiento lógico, ético y metafísico.</v>
      </c>
      <c r="I166" t="str">
        <f>_xlfn.XLOOKUP(frasest[[#This Row],[author_es]],autorest[author_es],autorest[bio_la])</f>
        <v>Philosophus Graecus Antiquitatis, discipulus Platonis et magister Alexandri Magni, pars maxima in logica, ethica et metaphysica.</v>
      </c>
      <c r="J166" t="str">
        <f>_xlfn.XLOOKUP(frasest[[#This Row],[author_es]],autorest[author_es],autorest[iso3691])</f>
        <v>el</v>
      </c>
      <c r="K166" t="str">
        <f>_xlfn.XLOOKUP(frasest[[#This Row],[author_es]],autorest[author_es],autorest[language_es])</f>
        <v>Griego</v>
      </c>
      <c r="L166" t="str">
        <f>_xlfn.XLOOKUP(frasest[[#This Row],[author_es]],autorest[author_es],autorest[language_la])</f>
        <v>Lingua Graeca</v>
      </c>
      <c r="M166" t="str">
        <f>_xlfn.XLOOKUP(frasest[[#This Row],[author_es]],autorest[author_es],autorest[nation_es])</f>
        <v>Grecia</v>
      </c>
      <c r="N166" t="str">
        <f>_xlfn.XLOOKUP(frasest[[#This Row],[author_es]],autorest[author_es],autorest[nation_la])</f>
        <v>Graecia</v>
      </c>
      <c r="O166" t="str">
        <f>_xlfn.XLOOKUP(frasest[[#This Row],[author_es]],autorest[author_es],autorest[age_es])</f>
        <v>Edad Antigua</v>
      </c>
      <c r="P166" t="str">
        <f>_xlfn.XLOOKUP(frasest[[#This Row],[author_es]],autorest[author_es],autorest[age_la])</f>
        <v>Antiquitas</v>
      </c>
      <c r="Q166" t="str">
        <f>_xlfn.XLOOKUP(frasest[[#This Row],[author_es]],autorest[author_es],autorest[image])</f>
        <v>https://i.ibb.co/gZpf6w2B/aristoteles.png</v>
      </c>
      <c r="R166">
        <f>_xlfn.XLOOKUP(frasest[[#This Row],[author_es]],autorest[author_es],autorest[image_atr])</f>
        <v>0</v>
      </c>
    </row>
    <row r="167" spans="1:18">
      <c r="A167">
        <v>166</v>
      </c>
      <c r="B167" t="s">
        <v>616</v>
      </c>
      <c r="C167" t="s">
        <v>617</v>
      </c>
      <c r="D167" t="s">
        <v>618</v>
      </c>
      <c r="E167" t="s">
        <v>582</v>
      </c>
      <c r="F167" t="s">
        <v>619</v>
      </c>
      <c r="G167" t="str">
        <f>_xlfn.XLOOKUP(frasest[[#This Row],[author_es]],autorest[author_es],autorest[author_la])</f>
        <v>Aristoteles</v>
      </c>
      <c r="H167" t="str">
        <f>_xlfn.XLOOKUP(frasest[[#This Row],[author_es]],autorest[author_es],autorest[bio_es])</f>
        <v>Filósofo griego de la Edad Antigua, discípulo de Platón y maestro de Alejandro Magno, figura central del pensamiento lógico, ético y metafísico.</v>
      </c>
      <c r="I167" t="str">
        <f>_xlfn.XLOOKUP(frasest[[#This Row],[author_es]],autorest[author_es],autorest[bio_la])</f>
        <v>Philosophus Graecus Antiquitatis, discipulus Platonis et magister Alexandri Magni, pars maxima in logica, ethica et metaphysica.</v>
      </c>
      <c r="J167" t="str">
        <f>_xlfn.XLOOKUP(frasest[[#This Row],[author_es]],autorest[author_es],autorest[iso3691])</f>
        <v>el</v>
      </c>
      <c r="K167" t="str">
        <f>_xlfn.XLOOKUP(frasest[[#This Row],[author_es]],autorest[author_es],autorest[language_es])</f>
        <v>Griego</v>
      </c>
      <c r="L167" t="str">
        <f>_xlfn.XLOOKUP(frasest[[#This Row],[author_es]],autorest[author_es],autorest[language_la])</f>
        <v>Lingua Graeca</v>
      </c>
      <c r="M167" t="str">
        <f>_xlfn.XLOOKUP(frasest[[#This Row],[author_es]],autorest[author_es],autorest[nation_es])</f>
        <v>Grecia</v>
      </c>
      <c r="N167" t="str">
        <f>_xlfn.XLOOKUP(frasest[[#This Row],[author_es]],autorest[author_es],autorest[nation_la])</f>
        <v>Graecia</v>
      </c>
      <c r="O167" t="str">
        <f>_xlfn.XLOOKUP(frasest[[#This Row],[author_es]],autorest[author_es],autorest[age_es])</f>
        <v>Edad Antigua</v>
      </c>
      <c r="P167" t="str">
        <f>_xlfn.XLOOKUP(frasest[[#This Row],[author_es]],autorest[author_es],autorest[age_la])</f>
        <v>Antiquitas</v>
      </c>
      <c r="Q167" t="str">
        <f>_xlfn.XLOOKUP(frasest[[#This Row],[author_es]],autorest[author_es],autorest[image])</f>
        <v>https://i.ibb.co/gZpf6w2B/aristoteles.png</v>
      </c>
      <c r="R167">
        <f>_xlfn.XLOOKUP(frasest[[#This Row],[author_es]],autorest[author_es],autorest[image_atr])</f>
        <v>0</v>
      </c>
    </row>
    <row r="168" spans="1:18">
      <c r="A168">
        <v>167</v>
      </c>
      <c r="B168" t="s">
        <v>620</v>
      </c>
      <c r="C168" t="s">
        <v>621</v>
      </c>
      <c r="D168" t="s">
        <v>622</v>
      </c>
      <c r="E168" t="s">
        <v>623</v>
      </c>
      <c r="F168" t="s">
        <v>624</v>
      </c>
      <c r="G168" t="str">
        <f>_xlfn.XLOOKUP(frasest[[#This Row],[author_es]],autorest[author_es],autorest[author_la])</f>
        <v>Pythagoras</v>
      </c>
      <c r="H168" t="str">
        <f>_xlfn.XLOOKUP(frasest[[#This Row],[author_es]],autorest[author_es],autorest[bio_es])</f>
        <v>Filósofo y matemático griego de Samos, fundador del pitagorismo. Propuso la inmortalidad del alma, la transmigración y el número como principio de la realidad.</v>
      </c>
      <c r="I168" t="str">
        <f>_xlfn.XLOOKUP(frasest[[#This Row],[author_es]],autorest[author_es],autorest[bio_la])</f>
        <v>Philosophus et mathematicus Graecus Samius, pythagorismi conditor. Immortalitatem animae, transmigrationem et numerum principium rerum proposuit.</v>
      </c>
      <c r="J168" t="str">
        <f>_xlfn.XLOOKUP(frasest[[#This Row],[author_es]],autorest[author_es],autorest[iso3691])</f>
        <v>el</v>
      </c>
      <c r="K168" t="str">
        <f>_xlfn.XLOOKUP(frasest[[#This Row],[author_es]],autorest[author_es],autorest[language_es])</f>
        <v>Griego</v>
      </c>
      <c r="L168" t="str">
        <f>_xlfn.XLOOKUP(frasest[[#This Row],[author_es]],autorest[author_es],autorest[language_la])</f>
        <v>Lingua Graeca</v>
      </c>
      <c r="M168" t="str">
        <f>_xlfn.XLOOKUP(frasest[[#This Row],[author_es]],autorest[author_es],autorest[nation_es])</f>
        <v>Grecia</v>
      </c>
      <c r="N168" t="str">
        <f>_xlfn.XLOOKUP(frasest[[#This Row],[author_es]],autorest[author_es],autorest[nation_la])</f>
        <v>Graecia</v>
      </c>
      <c r="O168" t="str">
        <f>_xlfn.XLOOKUP(frasest[[#This Row],[author_es]],autorest[author_es],autorest[age_es])</f>
        <v>Edad Antigua</v>
      </c>
      <c r="P168" t="str">
        <f>_xlfn.XLOOKUP(frasest[[#This Row],[author_es]],autorest[author_es],autorest[age_la])</f>
        <v>Antiquitas</v>
      </c>
      <c r="Q168" t="str">
        <f>_xlfn.XLOOKUP(frasest[[#This Row],[author_es]],autorest[author_es],autorest[image])</f>
        <v>https://i.ibb.co/MyYJ15Jw/Pitagoras.png</v>
      </c>
      <c r="R168">
        <f>_xlfn.XLOOKUP(frasest[[#This Row],[author_es]],autorest[author_es],autorest[image_atr])</f>
        <v>0</v>
      </c>
    </row>
    <row r="169" spans="1:18">
      <c r="A169">
        <v>168</v>
      </c>
      <c r="B169" t="s">
        <v>625</v>
      </c>
      <c r="C169" t="s">
        <v>626</v>
      </c>
      <c r="D169" t="s">
        <v>627</v>
      </c>
      <c r="E169" t="s">
        <v>623</v>
      </c>
      <c r="F169" t="s">
        <v>628</v>
      </c>
      <c r="G169" t="str">
        <f>_xlfn.XLOOKUP(frasest[[#This Row],[author_es]],autorest[author_es],autorest[author_la])</f>
        <v>Pythagoras</v>
      </c>
      <c r="H169" t="str">
        <f>_xlfn.XLOOKUP(frasest[[#This Row],[author_es]],autorest[author_es],autorest[bio_es])</f>
        <v>Filósofo y matemático griego de Samos, fundador del pitagorismo. Propuso la inmortalidad del alma, la transmigración y el número como principio de la realidad.</v>
      </c>
      <c r="I169" t="str">
        <f>_xlfn.XLOOKUP(frasest[[#This Row],[author_es]],autorest[author_es],autorest[bio_la])</f>
        <v>Philosophus et mathematicus Graecus Samius, pythagorismi conditor. Immortalitatem animae, transmigrationem et numerum principium rerum proposuit.</v>
      </c>
      <c r="J169" t="str">
        <f>_xlfn.XLOOKUP(frasest[[#This Row],[author_es]],autorest[author_es],autorest[iso3691])</f>
        <v>el</v>
      </c>
      <c r="K169" t="str">
        <f>_xlfn.XLOOKUP(frasest[[#This Row],[author_es]],autorest[author_es],autorest[language_es])</f>
        <v>Griego</v>
      </c>
      <c r="L169" t="str">
        <f>_xlfn.XLOOKUP(frasest[[#This Row],[author_es]],autorest[author_es],autorest[language_la])</f>
        <v>Lingua Graeca</v>
      </c>
      <c r="M169" t="str">
        <f>_xlfn.XLOOKUP(frasest[[#This Row],[author_es]],autorest[author_es],autorest[nation_es])</f>
        <v>Grecia</v>
      </c>
      <c r="N169" t="str">
        <f>_xlfn.XLOOKUP(frasest[[#This Row],[author_es]],autorest[author_es],autorest[nation_la])</f>
        <v>Graecia</v>
      </c>
      <c r="O169" t="str">
        <f>_xlfn.XLOOKUP(frasest[[#This Row],[author_es]],autorest[author_es],autorest[age_es])</f>
        <v>Edad Antigua</v>
      </c>
      <c r="P169" t="str">
        <f>_xlfn.XLOOKUP(frasest[[#This Row],[author_es]],autorest[author_es],autorest[age_la])</f>
        <v>Antiquitas</v>
      </c>
      <c r="Q169" t="str">
        <f>_xlfn.XLOOKUP(frasest[[#This Row],[author_es]],autorest[author_es],autorest[image])</f>
        <v>https://i.ibb.co/MyYJ15Jw/Pitagoras.png</v>
      </c>
      <c r="R169">
        <f>_xlfn.XLOOKUP(frasest[[#This Row],[author_es]],autorest[author_es],autorest[image_atr])</f>
        <v>0</v>
      </c>
    </row>
    <row r="170" spans="1:18">
      <c r="A170">
        <v>169</v>
      </c>
      <c r="B170" t="s">
        <v>629</v>
      </c>
      <c r="C170" t="s">
        <v>630</v>
      </c>
      <c r="D170" t="s">
        <v>631</v>
      </c>
      <c r="E170" t="s">
        <v>623</v>
      </c>
      <c r="F170" t="s">
        <v>632</v>
      </c>
      <c r="G170" t="str">
        <f>_xlfn.XLOOKUP(frasest[[#This Row],[author_es]],autorest[author_es],autorest[author_la])</f>
        <v>Pythagoras</v>
      </c>
      <c r="H170" t="str">
        <f>_xlfn.XLOOKUP(frasest[[#This Row],[author_es]],autorest[author_es],autorest[bio_es])</f>
        <v>Filósofo y matemático griego de Samos, fundador del pitagorismo. Propuso la inmortalidad del alma, la transmigración y el número como principio de la realidad.</v>
      </c>
      <c r="I170" t="str">
        <f>_xlfn.XLOOKUP(frasest[[#This Row],[author_es]],autorest[author_es],autorest[bio_la])</f>
        <v>Philosophus et mathematicus Graecus Samius, pythagorismi conditor. Immortalitatem animae, transmigrationem et numerum principium rerum proposuit.</v>
      </c>
      <c r="J170" t="str">
        <f>_xlfn.XLOOKUP(frasest[[#This Row],[author_es]],autorest[author_es],autorest[iso3691])</f>
        <v>el</v>
      </c>
      <c r="K170" t="str">
        <f>_xlfn.XLOOKUP(frasest[[#This Row],[author_es]],autorest[author_es],autorest[language_es])</f>
        <v>Griego</v>
      </c>
      <c r="L170" t="str">
        <f>_xlfn.XLOOKUP(frasest[[#This Row],[author_es]],autorest[author_es],autorest[language_la])</f>
        <v>Lingua Graeca</v>
      </c>
      <c r="M170" t="str">
        <f>_xlfn.XLOOKUP(frasest[[#This Row],[author_es]],autorest[author_es],autorest[nation_es])</f>
        <v>Grecia</v>
      </c>
      <c r="N170" t="str">
        <f>_xlfn.XLOOKUP(frasest[[#This Row],[author_es]],autorest[author_es],autorest[nation_la])</f>
        <v>Graecia</v>
      </c>
      <c r="O170" t="str">
        <f>_xlfn.XLOOKUP(frasest[[#This Row],[author_es]],autorest[author_es],autorest[age_es])</f>
        <v>Edad Antigua</v>
      </c>
      <c r="P170" t="str">
        <f>_xlfn.XLOOKUP(frasest[[#This Row],[author_es]],autorest[author_es],autorest[age_la])</f>
        <v>Antiquitas</v>
      </c>
      <c r="Q170" t="str">
        <f>_xlfn.XLOOKUP(frasest[[#This Row],[author_es]],autorest[author_es],autorest[image])</f>
        <v>https://i.ibb.co/MyYJ15Jw/Pitagoras.png</v>
      </c>
      <c r="R170">
        <f>_xlfn.XLOOKUP(frasest[[#This Row],[author_es]],autorest[author_es],autorest[image_atr])</f>
        <v>0</v>
      </c>
    </row>
    <row r="171" spans="1:18">
      <c r="A171">
        <v>170</v>
      </c>
      <c r="B171" t="s">
        <v>633</v>
      </c>
      <c r="C171" t="s">
        <v>634</v>
      </c>
      <c r="D171" t="s">
        <v>635</v>
      </c>
      <c r="E171" t="s">
        <v>623</v>
      </c>
      <c r="F171" t="s">
        <v>636</v>
      </c>
      <c r="G171" t="str">
        <f>_xlfn.XLOOKUP(frasest[[#This Row],[author_es]],autorest[author_es],autorest[author_la])</f>
        <v>Pythagoras</v>
      </c>
      <c r="H171" t="str">
        <f>_xlfn.XLOOKUP(frasest[[#This Row],[author_es]],autorest[author_es],autorest[bio_es])</f>
        <v>Filósofo y matemático griego de Samos, fundador del pitagorismo. Propuso la inmortalidad del alma, la transmigración y el número como principio de la realidad.</v>
      </c>
      <c r="I171" t="str">
        <f>_xlfn.XLOOKUP(frasest[[#This Row],[author_es]],autorest[author_es],autorest[bio_la])</f>
        <v>Philosophus et mathematicus Graecus Samius, pythagorismi conditor. Immortalitatem animae, transmigrationem et numerum principium rerum proposuit.</v>
      </c>
      <c r="J171" t="str">
        <f>_xlfn.XLOOKUP(frasest[[#This Row],[author_es]],autorest[author_es],autorest[iso3691])</f>
        <v>el</v>
      </c>
      <c r="K171" t="str">
        <f>_xlfn.XLOOKUP(frasest[[#This Row],[author_es]],autorest[author_es],autorest[language_es])</f>
        <v>Griego</v>
      </c>
      <c r="L171" t="str">
        <f>_xlfn.XLOOKUP(frasest[[#This Row],[author_es]],autorest[author_es],autorest[language_la])</f>
        <v>Lingua Graeca</v>
      </c>
      <c r="M171" t="str">
        <f>_xlfn.XLOOKUP(frasest[[#This Row],[author_es]],autorest[author_es],autorest[nation_es])</f>
        <v>Grecia</v>
      </c>
      <c r="N171" t="str">
        <f>_xlfn.XLOOKUP(frasest[[#This Row],[author_es]],autorest[author_es],autorest[nation_la])</f>
        <v>Graecia</v>
      </c>
      <c r="O171" t="str">
        <f>_xlfn.XLOOKUP(frasest[[#This Row],[author_es]],autorest[author_es],autorest[age_es])</f>
        <v>Edad Antigua</v>
      </c>
      <c r="P171" t="str">
        <f>_xlfn.XLOOKUP(frasest[[#This Row],[author_es]],autorest[author_es],autorest[age_la])</f>
        <v>Antiquitas</v>
      </c>
      <c r="Q171" t="str">
        <f>_xlfn.XLOOKUP(frasest[[#This Row],[author_es]],autorest[author_es],autorest[image])</f>
        <v>https://i.ibb.co/MyYJ15Jw/Pitagoras.png</v>
      </c>
      <c r="R171">
        <f>_xlfn.XLOOKUP(frasest[[#This Row],[author_es]],autorest[author_es],autorest[image_atr])</f>
        <v>0</v>
      </c>
    </row>
    <row r="172" spans="1:18">
      <c r="A172">
        <v>171</v>
      </c>
      <c r="B172" t="s">
        <v>637</v>
      </c>
      <c r="C172" t="s">
        <v>638</v>
      </c>
      <c r="D172" t="s">
        <v>639</v>
      </c>
      <c r="E172" t="s">
        <v>623</v>
      </c>
      <c r="F172" t="s">
        <v>640</v>
      </c>
      <c r="G172" t="str">
        <f>_xlfn.XLOOKUP(frasest[[#This Row],[author_es]],autorest[author_es],autorest[author_la])</f>
        <v>Pythagoras</v>
      </c>
      <c r="H172" t="str">
        <f>_xlfn.XLOOKUP(frasest[[#This Row],[author_es]],autorest[author_es],autorest[bio_es])</f>
        <v>Filósofo y matemático griego de Samos, fundador del pitagorismo. Propuso la inmortalidad del alma, la transmigración y el número como principio de la realidad.</v>
      </c>
      <c r="I172" t="str">
        <f>_xlfn.XLOOKUP(frasest[[#This Row],[author_es]],autorest[author_es],autorest[bio_la])</f>
        <v>Philosophus et mathematicus Graecus Samius, pythagorismi conditor. Immortalitatem animae, transmigrationem et numerum principium rerum proposuit.</v>
      </c>
      <c r="J172" t="str">
        <f>_xlfn.XLOOKUP(frasest[[#This Row],[author_es]],autorest[author_es],autorest[iso3691])</f>
        <v>el</v>
      </c>
      <c r="K172" t="str">
        <f>_xlfn.XLOOKUP(frasest[[#This Row],[author_es]],autorest[author_es],autorest[language_es])</f>
        <v>Griego</v>
      </c>
      <c r="L172" t="str">
        <f>_xlfn.XLOOKUP(frasest[[#This Row],[author_es]],autorest[author_es],autorest[language_la])</f>
        <v>Lingua Graeca</v>
      </c>
      <c r="M172" t="str">
        <f>_xlfn.XLOOKUP(frasest[[#This Row],[author_es]],autorest[author_es],autorest[nation_es])</f>
        <v>Grecia</v>
      </c>
      <c r="N172" t="str">
        <f>_xlfn.XLOOKUP(frasest[[#This Row],[author_es]],autorest[author_es],autorest[nation_la])</f>
        <v>Graecia</v>
      </c>
      <c r="O172" t="str">
        <f>_xlfn.XLOOKUP(frasest[[#This Row],[author_es]],autorest[author_es],autorest[age_es])</f>
        <v>Edad Antigua</v>
      </c>
      <c r="P172" t="str">
        <f>_xlfn.XLOOKUP(frasest[[#This Row],[author_es]],autorest[author_es],autorest[age_la])</f>
        <v>Antiquitas</v>
      </c>
      <c r="Q172" t="str">
        <f>_xlfn.XLOOKUP(frasest[[#This Row],[author_es]],autorest[author_es],autorest[image])</f>
        <v>https://i.ibb.co/MyYJ15Jw/Pitagoras.png</v>
      </c>
      <c r="R172">
        <f>_xlfn.XLOOKUP(frasest[[#This Row],[author_es]],autorest[author_es],autorest[image_atr])</f>
        <v>0</v>
      </c>
    </row>
    <row r="173" spans="1:18">
      <c r="A173">
        <v>172</v>
      </c>
      <c r="B173" t="s">
        <v>641</v>
      </c>
      <c r="C173" t="s">
        <v>642</v>
      </c>
      <c r="D173" t="s">
        <v>643</v>
      </c>
      <c r="E173" t="s">
        <v>623</v>
      </c>
      <c r="F173" t="s">
        <v>644</v>
      </c>
      <c r="G173" t="str">
        <f>_xlfn.XLOOKUP(frasest[[#This Row],[author_es]],autorest[author_es],autorest[author_la])</f>
        <v>Pythagoras</v>
      </c>
      <c r="H173" t="str">
        <f>_xlfn.XLOOKUP(frasest[[#This Row],[author_es]],autorest[author_es],autorest[bio_es])</f>
        <v>Filósofo y matemático griego de Samos, fundador del pitagorismo. Propuso la inmortalidad del alma, la transmigración y el número como principio de la realidad.</v>
      </c>
      <c r="I173" t="str">
        <f>_xlfn.XLOOKUP(frasest[[#This Row],[author_es]],autorest[author_es],autorest[bio_la])</f>
        <v>Philosophus et mathematicus Graecus Samius, pythagorismi conditor. Immortalitatem animae, transmigrationem et numerum principium rerum proposuit.</v>
      </c>
      <c r="J173" t="str">
        <f>_xlfn.XLOOKUP(frasest[[#This Row],[author_es]],autorest[author_es],autorest[iso3691])</f>
        <v>el</v>
      </c>
      <c r="K173" t="str">
        <f>_xlfn.XLOOKUP(frasest[[#This Row],[author_es]],autorest[author_es],autorest[language_es])</f>
        <v>Griego</v>
      </c>
      <c r="L173" t="str">
        <f>_xlfn.XLOOKUP(frasest[[#This Row],[author_es]],autorest[author_es],autorest[language_la])</f>
        <v>Lingua Graeca</v>
      </c>
      <c r="M173" t="str">
        <f>_xlfn.XLOOKUP(frasest[[#This Row],[author_es]],autorest[author_es],autorest[nation_es])</f>
        <v>Grecia</v>
      </c>
      <c r="N173" t="str">
        <f>_xlfn.XLOOKUP(frasest[[#This Row],[author_es]],autorest[author_es],autorest[nation_la])</f>
        <v>Graecia</v>
      </c>
      <c r="O173" t="str">
        <f>_xlfn.XLOOKUP(frasest[[#This Row],[author_es]],autorest[author_es],autorest[age_es])</f>
        <v>Edad Antigua</v>
      </c>
      <c r="P173" t="str">
        <f>_xlfn.XLOOKUP(frasest[[#This Row],[author_es]],autorest[author_es],autorest[age_la])</f>
        <v>Antiquitas</v>
      </c>
      <c r="Q173" t="str">
        <f>_xlfn.XLOOKUP(frasest[[#This Row],[author_es]],autorest[author_es],autorest[image])</f>
        <v>https://i.ibb.co/MyYJ15Jw/Pitagoras.png</v>
      </c>
      <c r="R173">
        <f>_xlfn.XLOOKUP(frasest[[#This Row],[author_es]],autorest[author_es],autorest[image_atr])</f>
        <v>0</v>
      </c>
    </row>
    <row r="174" spans="1:18">
      <c r="A174">
        <v>173</v>
      </c>
      <c r="B174" t="s">
        <v>645</v>
      </c>
      <c r="C174" t="s">
        <v>646</v>
      </c>
      <c r="D174" t="s">
        <v>647</v>
      </c>
      <c r="E174" t="s">
        <v>623</v>
      </c>
      <c r="F174" t="s">
        <v>648</v>
      </c>
      <c r="G174" t="str">
        <f>_xlfn.XLOOKUP(frasest[[#This Row],[author_es]],autorest[author_es],autorest[author_la])</f>
        <v>Pythagoras</v>
      </c>
      <c r="H174" t="str">
        <f>_xlfn.XLOOKUP(frasest[[#This Row],[author_es]],autorest[author_es],autorest[bio_es])</f>
        <v>Filósofo y matemático griego de Samos, fundador del pitagorismo. Propuso la inmortalidad del alma, la transmigración y el número como principio de la realidad.</v>
      </c>
      <c r="I174" t="str">
        <f>_xlfn.XLOOKUP(frasest[[#This Row],[author_es]],autorest[author_es],autorest[bio_la])</f>
        <v>Philosophus et mathematicus Graecus Samius, pythagorismi conditor. Immortalitatem animae, transmigrationem et numerum principium rerum proposuit.</v>
      </c>
      <c r="J174" t="str">
        <f>_xlfn.XLOOKUP(frasest[[#This Row],[author_es]],autorest[author_es],autorest[iso3691])</f>
        <v>el</v>
      </c>
      <c r="K174" t="str">
        <f>_xlfn.XLOOKUP(frasest[[#This Row],[author_es]],autorest[author_es],autorest[language_es])</f>
        <v>Griego</v>
      </c>
      <c r="L174" t="str">
        <f>_xlfn.XLOOKUP(frasest[[#This Row],[author_es]],autorest[author_es],autorest[language_la])</f>
        <v>Lingua Graeca</v>
      </c>
      <c r="M174" t="str">
        <f>_xlfn.XLOOKUP(frasest[[#This Row],[author_es]],autorest[author_es],autorest[nation_es])</f>
        <v>Grecia</v>
      </c>
      <c r="N174" t="str">
        <f>_xlfn.XLOOKUP(frasest[[#This Row],[author_es]],autorest[author_es],autorest[nation_la])</f>
        <v>Graecia</v>
      </c>
      <c r="O174" t="str">
        <f>_xlfn.XLOOKUP(frasest[[#This Row],[author_es]],autorest[author_es],autorest[age_es])</f>
        <v>Edad Antigua</v>
      </c>
      <c r="P174" t="str">
        <f>_xlfn.XLOOKUP(frasest[[#This Row],[author_es]],autorest[author_es],autorest[age_la])</f>
        <v>Antiquitas</v>
      </c>
      <c r="Q174" t="str">
        <f>_xlfn.XLOOKUP(frasest[[#This Row],[author_es]],autorest[author_es],autorest[image])</f>
        <v>https://i.ibb.co/MyYJ15Jw/Pitagoras.png</v>
      </c>
      <c r="R174">
        <f>_xlfn.XLOOKUP(frasest[[#This Row],[author_es]],autorest[author_es],autorest[image_atr])</f>
        <v>0</v>
      </c>
    </row>
    <row r="175" spans="1:18">
      <c r="A175">
        <v>174</v>
      </c>
      <c r="B175" t="s">
        <v>649</v>
      </c>
      <c r="C175" t="s">
        <v>650</v>
      </c>
      <c r="D175" t="s">
        <v>651</v>
      </c>
      <c r="E175" t="s">
        <v>623</v>
      </c>
      <c r="F175" t="s">
        <v>652</v>
      </c>
      <c r="G175" t="str">
        <f>_xlfn.XLOOKUP(frasest[[#This Row],[author_es]],autorest[author_es],autorest[author_la])</f>
        <v>Pythagoras</v>
      </c>
      <c r="H175" t="str">
        <f>_xlfn.XLOOKUP(frasest[[#This Row],[author_es]],autorest[author_es],autorest[bio_es])</f>
        <v>Filósofo y matemático griego de Samos, fundador del pitagorismo. Propuso la inmortalidad del alma, la transmigración y el número como principio de la realidad.</v>
      </c>
      <c r="I175" t="str">
        <f>_xlfn.XLOOKUP(frasest[[#This Row],[author_es]],autorest[author_es],autorest[bio_la])</f>
        <v>Philosophus et mathematicus Graecus Samius, pythagorismi conditor. Immortalitatem animae, transmigrationem et numerum principium rerum proposuit.</v>
      </c>
      <c r="J175" t="str">
        <f>_xlfn.XLOOKUP(frasest[[#This Row],[author_es]],autorest[author_es],autorest[iso3691])</f>
        <v>el</v>
      </c>
      <c r="K175" t="str">
        <f>_xlfn.XLOOKUP(frasest[[#This Row],[author_es]],autorest[author_es],autorest[language_es])</f>
        <v>Griego</v>
      </c>
      <c r="L175" t="str">
        <f>_xlfn.XLOOKUP(frasest[[#This Row],[author_es]],autorest[author_es],autorest[language_la])</f>
        <v>Lingua Graeca</v>
      </c>
      <c r="M175" t="str">
        <f>_xlfn.XLOOKUP(frasest[[#This Row],[author_es]],autorest[author_es],autorest[nation_es])</f>
        <v>Grecia</v>
      </c>
      <c r="N175" t="str">
        <f>_xlfn.XLOOKUP(frasest[[#This Row],[author_es]],autorest[author_es],autorest[nation_la])</f>
        <v>Graecia</v>
      </c>
      <c r="O175" t="str">
        <f>_xlfn.XLOOKUP(frasest[[#This Row],[author_es]],autorest[author_es],autorest[age_es])</f>
        <v>Edad Antigua</v>
      </c>
      <c r="P175" t="str">
        <f>_xlfn.XLOOKUP(frasest[[#This Row],[author_es]],autorest[author_es],autorest[age_la])</f>
        <v>Antiquitas</v>
      </c>
      <c r="Q175" t="str">
        <f>_xlfn.XLOOKUP(frasest[[#This Row],[author_es]],autorest[author_es],autorest[image])</f>
        <v>https://i.ibb.co/MyYJ15Jw/Pitagoras.png</v>
      </c>
      <c r="R175">
        <f>_xlfn.XLOOKUP(frasest[[#This Row],[author_es]],autorest[author_es],autorest[image_atr])</f>
        <v>0</v>
      </c>
    </row>
    <row r="176" spans="1:18">
      <c r="A176">
        <v>175</v>
      </c>
      <c r="B176" t="s">
        <v>653</v>
      </c>
      <c r="C176" t="s">
        <v>654</v>
      </c>
      <c r="D176" t="s">
        <v>655</v>
      </c>
      <c r="E176" t="s">
        <v>623</v>
      </c>
      <c r="F176" t="s">
        <v>656</v>
      </c>
      <c r="G176" t="str">
        <f>_xlfn.XLOOKUP(frasest[[#This Row],[author_es]],autorest[author_es],autorest[author_la])</f>
        <v>Pythagoras</v>
      </c>
      <c r="H176" t="str">
        <f>_xlfn.XLOOKUP(frasest[[#This Row],[author_es]],autorest[author_es],autorest[bio_es])</f>
        <v>Filósofo y matemático griego de Samos, fundador del pitagorismo. Propuso la inmortalidad del alma, la transmigración y el número como principio de la realidad.</v>
      </c>
      <c r="I176" t="str">
        <f>_xlfn.XLOOKUP(frasest[[#This Row],[author_es]],autorest[author_es],autorest[bio_la])</f>
        <v>Philosophus et mathematicus Graecus Samius, pythagorismi conditor. Immortalitatem animae, transmigrationem et numerum principium rerum proposuit.</v>
      </c>
      <c r="J176" t="str">
        <f>_xlfn.XLOOKUP(frasest[[#This Row],[author_es]],autorest[author_es],autorest[iso3691])</f>
        <v>el</v>
      </c>
      <c r="K176" t="str">
        <f>_xlfn.XLOOKUP(frasest[[#This Row],[author_es]],autorest[author_es],autorest[language_es])</f>
        <v>Griego</v>
      </c>
      <c r="L176" t="str">
        <f>_xlfn.XLOOKUP(frasest[[#This Row],[author_es]],autorest[author_es],autorest[language_la])</f>
        <v>Lingua Graeca</v>
      </c>
      <c r="M176" t="str">
        <f>_xlfn.XLOOKUP(frasest[[#This Row],[author_es]],autorest[author_es],autorest[nation_es])</f>
        <v>Grecia</v>
      </c>
      <c r="N176" t="str">
        <f>_xlfn.XLOOKUP(frasest[[#This Row],[author_es]],autorest[author_es],autorest[nation_la])</f>
        <v>Graecia</v>
      </c>
      <c r="O176" t="str">
        <f>_xlfn.XLOOKUP(frasest[[#This Row],[author_es]],autorest[author_es],autorest[age_es])</f>
        <v>Edad Antigua</v>
      </c>
      <c r="P176" t="str">
        <f>_xlfn.XLOOKUP(frasest[[#This Row],[author_es]],autorest[author_es],autorest[age_la])</f>
        <v>Antiquitas</v>
      </c>
      <c r="Q176" t="str">
        <f>_xlfn.XLOOKUP(frasest[[#This Row],[author_es]],autorest[author_es],autorest[image])</f>
        <v>https://i.ibb.co/MyYJ15Jw/Pitagoras.png</v>
      </c>
      <c r="R176">
        <f>_xlfn.XLOOKUP(frasest[[#This Row],[author_es]],autorest[author_es],autorest[image_atr])</f>
        <v>0</v>
      </c>
    </row>
    <row r="177" spans="1:18">
      <c r="A177">
        <v>176</v>
      </c>
      <c r="B177" t="s">
        <v>657</v>
      </c>
      <c r="C177" t="s">
        <v>658</v>
      </c>
      <c r="D177" t="s">
        <v>659</v>
      </c>
      <c r="E177" t="s">
        <v>623</v>
      </c>
      <c r="F177" t="s">
        <v>660</v>
      </c>
      <c r="G177" t="str">
        <f>_xlfn.XLOOKUP(frasest[[#This Row],[author_es]],autorest[author_es],autorest[author_la])</f>
        <v>Pythagoras</v>
      </c>
      <c r="H177" t="str">
        <f>_xlfn.XLOOKUP(frasest[[#This Row],[author_es]],autorest[author_es],autorest[bio_es])</f>
        <v>Filósofo y matemático griego de Samos, fundador del pitagorismo. Propuso la inmortalidad del alma, la transmigración y el número como principio de la realidad.</v>
      </c>
      <c r="I177" t="str">
        <f>_xlfn.XLOOKUP(frasest[[#This Row],[author_es]],autorest[author_es],autorest[bio_la])</f>
        <v>Philosophus et mathematicus Graecus Samius, pythagorismi conditor. Immortalitatem animae, transmigrationem et numerum principium rerum proposuit.</v>
      </c>
      <c r="J177" t="str">
        <f>_xlfn.XLOOKUP(frasest[[#This Row],[author_es]],autorest[author_es],autorest[iso3691])</f>
        <v>el</v>
      </c>
      <c r="K177" t="str">
        <f>_xlfn.XLOOKUP(frasest[[#This Row],[author_es]],autorest[author_es],autorest[language_es])</f>
        <v>Griego</v>
      </c>
      <c r="L177" t="str">
        <f>_xlfn.XLOOKUP(frasest[[#This Row],[author_es]],autorest[author_es],autorest[language_la])</f>
        <v>Lingua Graeca</v>
      </c>
      <c r="M177" t="str">
        <f>_xlfn.XLOOKUP(frasest[[#This Row],[author_es]],autorest[author_es],autorest[nation_es])</f>
        <v>Grecia</v>
      </c>
      <c r="N177" t="str">
        <f>_xlfn.XLOOKUP(frasest[[#This Row],[author_es]],autorest[author_es],autorest[nation_la])</f>
        <v>Graecia</v>
      </c>
      <c r="O177" t="str">
        <f>_xlfn.XLOOKUP(frasest[[#This Row],[author_es]],autorest[author_es],autorest[age_es])</f>
        <v>Edad Antigua</v>
      </c>
      <c r="P177" t="str">
        <f>_xlfn.XLOOKUP(frasest[[#This Row],[author_es]],autorest[author_es],autorest[age_la])</f>
        <v>Antiquitas</v>
      </c>
      <c r="Q177" t="str">
        <f>_xlfn.XLOOKUP(frasest[[#This Row],[author_es]],autorest[author_es],autorest[image])</f>
        <v>https://i.ibb.co/MyYJ15Jw/Pitagoras.png</v>
      </c>
      <c r="R177">
        <f>_xlfn.XLOOKUP(frasest[[#This Row],[author_es]],autorest[author_es],autorest[image_atr])</f>
        <v>0</v>
      </c>
    </row>
    <row r="178" spans="1:18">
      <c r="A178">
        <v>177</v>
      </c>
      <c r="B178" t="s">
        <v>661</v>
      </c>
      <c r="C178" t="s">
        <v>662</v>
      </c>
      <c r="D178" t="s">
        <v>663</v>
      </c>
      <c r="E178" t="s">
        <v>664</v>
      </c>
      <c r="F178" t="s">
        <v>665</v>
      </c>
      <c r="G178" t="str">
        <f>_xlfn.XLOOKUP(frasest[[#This Row],[author_es]],autorest[author_es],autorest[author_la])</f>
        <v>Heraclitus</v>
      </c>
      <c r="H178" t="str">
        <f>_xlfn.XLOOKUP(frasest[[#This Row],[author_es]],autorest[author_es],autorest[bio_es])</f>
        <v>Filósofo presocrático griego de Éfeso. Propuso el flujo perpetuo de la realidad (panta rhei) y el fuego como elemento primordial.</v>
      </c>
      <c r="I178" t="str">
        <f>_xlfn.XLOOKUP(frasest[[#This Row],[author_es]],autorest[author_es],autorest[bio_la])</f>
        <v>Philosophus Praesocraticus Graecus Ephesius. Fluxum perpetuum rerum (panta rhei) et ignem elementum primordiale proposuit.</v>
      </c>
      <c r="J178" t="str">
        <f>_xlfn.XLOOKUP(frasest[[#This Row],[author_es]],autorest[author_es],autorest[iso3691])</f>
        <v>el</v>
      </c>
      <c r="K178" t="str">
        <f>_xlfn.XLOOKUP(frasest[[#This Row],[author_es]],autorest[author_es],autorest[language_es])</f>
        <v>Griego</v>
      </c>
      <c r="L178" t="str">
        <f>_xlfn.XLOOKUP(frasest[[#This Row],[author_es]],autorest[author_es],autorest[language_la])</f>
        <v>Lingua Graeca</v>
      </c>
      <c r="M178" t="str">
        <f>_xlfn.XLOOKUP(frasest[[#This Row],[author_es]],autorest[author_es],autorest[nation_es])</f>
        <v>Grecia</v>
      </c>
      <c r="N178" t="str">
        <f>_xlfn.XLOOKUP(frasest[[#This Row],[author_es]],autorest[author_es],autorest[nation_la])</f>
        <v>Graecia</v>
      </c>
      <c r="O178" t="str">
        <f>_xlfn.XLOOKUP(frasest[[#This Row],[author_es]],autorest[author_es],autorest[age_es])</f>
        <v>Edad Antigua</v>
      </c>
      <c r="P178" t="str">
        <f>_xlfn.XLOOKUP(frasest[[#This Row],[author_es]],autorest[author_es],autorest[age_la])</f>
        <v>Antiquitas</v>
      </c>
      <c r="Q178" t="str">
        <f>_xlfn.XLOOKUP(frasest[[#This Row],[author_es]],autorest[author_es],autorest[image])</f>
        <v>https://i.ibb.co/0p0Gxf3S/heraclito.png</v>
      </c>
      <c r="R178">
        <f>_xlfn.XLOOKUP(frasest[[#This Row],[author_es]],autorest[author_es],autorest[image_atr])</f>
        <v>0</v>
      </c>
    </row>
    <row r="179" spans="1:18">
      <c r="A179">
        <v>178</v>
      </c>
      <c r="B179" t="s">
        <v>666</v>
      </c>
      <c r="C179" t="s">
        <v>667</v>
      </c>
      <c r="D179" t="s">
        <v>668</v>
      </c>
      <c r="E179" t="s">
        <v>664</v>
      </c>
      <c r="F179" t="s">
        <v>665</v>
      </c>
      <c r="G179" t="str">
        <f>_xlfn.XLOOKUP(frasest[[#This Row],[author_es]],autorest[author_es],autorest[author_la])</f>
        <v>Heraclitus</v>
      </c>
      <c r="H179" t="str">
        <f>_xlfn.XLOOKUP(frasest[[#This Row],[author_es]],autorest[author_es],autorest[bio_es])</f>
        <v>Filósofo presocrático griego de Éfeso. Propuso el flujo perpetuo de la realidad (panta rhei) y el fuego como elemento primordial.</v>
      </c>
      <c r="I179" t="str">
        <f>_xlfn.XLOOKUP(frasest[[#This Row],[author_es]],autorest[author_es],autorest[bio_la])</f>
        <v>Philosophus Praesocraticus Graecus Ephesius. Fluxum perpetuum rerum (panta rhei) et ignem elementum primordiale proposuit.</v>
      </c>
      <c r="J179" t="str">
        <f>_xlfn.XLOOKUP(frasest[[#This Row],[author_es]],autorest[author_es],autorest[iso3691])</f>
        <v>el</v>
      </c>
      <c r="K179" t="str">
        <f>_xlfn.XLOOKUP(frasest[[#This Row],[author_es]],autorest[author_es],autorest[language_es])</f>
        <v>Griego</v>
      </c>
      <c r="L179" t="str">
        <f>_xlfn.XLOOKUP(frasest[[#This Row],[author_es]],autorest[author_es],autorest[language_la])</f>
        <v>Lingua Graeca</v>
      </c>
      <c r="M179" t="str">
        <f>_xlfn.XLOOKUP(frasest[[#This Row],[author_es]],autorest[author_es],autorest[nation_es])</f>
        <v>Grecia</v>
      </c>
      <c r="N179" t="str">
        <f>_xlfn.XLOOKUP(frasest[[#This Row],[author_es]],autorest[author_es],autorest[nation_la])</f>
        <v>Graecia</v>
      </c>
      <c r="O179" t="str">
        <f>_xlfn.XLOOKUP(frasest[[#This Row],[author_es]],autorest[author_es],autorest[age_es])</f>
        <v>Edad Antigua</v>
      </c>
      <c r="P179" t="str">
        <f>_xlfn.XLOOKUP(frasest[[#This Row],[author_es]],autorest[author_es],autorest[age_la])</f>
        <v>Antiquitas</v>
      </c>
      <c r="Q179" t="str">
        <f>_xlfn.XLOOKUP(frasest[[#This Row],[author_es]],autorest[author_es],autorest[image])</f>
        <v>https://i.ibb.co/0p0Gxf3S/heraclito.png</v>
      </c>
      <c r="R179">
        <f>_xlfn.XLOOKUP(frasest[[#This Row],[author_es]],autorest[author_es],autorest[image_atr])</f>
        <v>0</v>
      </c>
    </row>
    <row r="180" spans="1:18">
      <c r="A180">
        <v>179</v>
      </c>
      <c r="B180" t="s">
        <v>669</v>
      </c>
      <c r="C180" t="s">
        <v>670</v>
      </c>
      <c r="D180" t="s">
        <v>671</v>
      </c>
      <c r="E180" t="s">
        <v>664</v>
      </c>
      <c r="F180" t="s">
        <v>672</v>
      </c>
      <c r="G180" t="str">
        <f>_xlfn.XLOOKUP(frasest[[#This Row],[author_es]],autorest[author_es],autorest[author_la])</f>
        <v>Heraclitus</v>
      </c>
      <c r="H180" t="str">
        <f>_xlfn.XLOOKUP(frasest[[#This Row],[author_es]],autorest[author_es],autorest[bio_es])</f>
        <v>Filósofo presocrático griego de Éfeso. Propuso el flujo perpetuo de la realidad (panta rhei) y el fuego como elemento primordial.</v>
      </c>
      <c r="I180" t="str">
        <f>_xlfn.XLOOKUP(frasest[[#This Row],[author_es]],autorest[author_es],autorest[bio_la])</f>
        <v>Philosophus Praesocraticus Graecus Ephesius. Fluxum perpetuum rerum (panta rhei) et ignem elementum primordiale proposuit.</v>
      </c>
      <c r="J180" t="str">
        <f>_xlfn.XLOOKUP(frasest[[#This Row],[author_es]],autorest[author_es],autorest[iso3691])</f>
        <v>el</v>
      </c>
      <c r="K180" t="str">
        <f>_xlfn.XLOOKUP(frasest[[#This Row],[author_es]],autorest[author_es],autorest[language_es])</f>
        <v>Griego</v>
      </c>
      <c r="L180" t="str">
        <f>_xlfn.XLOOKUP(frasest[[#This Row],[author_es]],autorest[author_es],autorest[language_la])</f>
        <v>Lingua Graeca</v>
      </c>
      <c r="M180" t="str">
        <f>_xlfn.XLOOKUP(frasest[[#This Row],[author_es]],autorest[author_es],autorest[nation_es])</f>
        <v>Grecia</v>
      </c>
      <c r="N180" t="str">
        <f>_xlfn.XLOOKUP(frasest[[#This Row],[author_es]],autorest[author_es],autorest[nation_la])</f>
        <v>Graecia</v>
      </c>
      <c r="O180" t="str">
        <f>_xlfn.XLOOKUP(frasest[[#This Row],[author_es]],autorest[author_es],autorest[age_es])</f>
        <v>Edad Antigua</v>
      </c>
      <c r="P180" t="str">
        <f>_xlfn.XLOOKUP(frasest[[#This Row],[author_es]],autorest[author_es],autorest[age_la])</f>
        <v>Antiquitas</v>
      </c>
      <c r="Q180" t="str">
        <f>_xlfn.XLOOKUP(frasest[[#This Row],[author_es]],autorest[author_es],autorest[image])</f>
        <v>https://i.ibb.co/0p0Gxf3S/heraclito.png</v>
      </c>
      <c r="R180">
        <f>_xlfn.XLOOKUP(frasest[[#This Row],[author_es]],autorest[author_es],autorest[image_atr])</f>
        <v>0</v>
      </c>
    </row>
    <row r="181" spans="1:18">
      <c r="A181">
        <v>180</v>
      </c>
      <c r="B181" t="s">
        <v>673</v>
      </c>
      <c r="C181" t="s">
        <v>674</v>
      </c>
      <c r="D181" t="s">
        <v>675</v>
      </c>
      <c r="E181" t="s">
        <v>664</v>
      </c>
      <c r="F181" t="s">
        <v>676</v>
      </c>
      <c r="G181" t="str">
        <f>_xlfn.XLOOKUP(frasest[[#This Row],[author_es]],autorest[author_es],autorest[author_la])</f>
        <v>Heraclitus</v>
      </c>
      <c r="H181" t="str">
        <f>_xlfn.XLOOKUP(frasest[[#This Row],[author_es]],autorest[author_es],autorest[bio_es])</f>
        <v>Filósofo presocrático griego de Éfeso. Propuso el flujo perpetuo de la realidad (panta rhei) y el fuego como elemento primordial.</v>
      </c>
      <c r="I181" t="str">
        <f>_xlfn.XLOOKUP(frasest[[#This Row],[author_es]],autorest[author_es],autorest[bio_la])</f>
        <v>Philosophus Praesocraticus Graecus Ephesius. Fluxum perpetuum rerum (panta rhei) et ignem elementum primordiale proposuit.</v>
      </c>
      <c r="J181" t="str">
        <f>_xlfn.XLOOKUP(frasest[[#This Row],[author_es]],autorest[author_es],autorest[iso3691])</f>
        <v>el</v>
      </c>
      <c r="K181" t="str">
        <f>_xlfn.XLOOKUP(frasest[[#This Row],[author_es]],autorest[author_es],autorest[language_es])</f>
        <v>Griego</v>
      </c>
      <c r="L181" t="str">
        <f>_xlfn.XLOOKUP(frasest[[#This Row],[author_es]],autorest[author_es],autorest[language_la])</f>
        <v>Lingua Graeca</v>
      </c>
      <c r="M181" t="str">
        <f>_xlfn.XLOOKUP(frasest[[#This Row],[author_es]],autorest[author_es],autorest[nation_es])</f>
        <v>Grecia</v>
      </c>
      <c r="N181" t="str">
        <f>_xlfn.XLOOKUP(frasest[[#This Row],[author_es]],autorest[author_es],autorest[nation_la])</f>
        <v>Graecia</v>
      </c>
      <c r="O181" t="str">
        <f>_xlfn.XLOOKUP(frasest[[#This Row],[author_es]],autorest[author_es],autorest[age_es])</f>
        <v>Edad Antigua</v>
      </c>
      <c r="P181" t="str">
        <f>_xlfn.XLOOKUP(frasest[[#This Row],[author_es]],autorest[author_es],autorest[age_la])</f>
        <v>Antiquitas</v>
      </c>
      <c r="Q181" t="str">
        <f>_xlfn.XLOOKUP(frasest[[#This Row],[author_es]],autorest[author_es],autorest[image])</f>
        <v>https://i.ibb.co/0p0Gxf3S/heraclito.png</v>
      </c>
      <c r="R181">
        <f>_xlfn.XLOOKUP(frasest[[#This Row],[author_es]],autorest[author_es],autorest[image_atr])</f>
        <v>0</v>
      </c>
    </row>
    <row r="182" spans="1:18">
      <c r="A182">
        <v>181</v>
      </c>
      <c r="B182" t="s">
        <v>677</v>
      </c>
      <c r="C182" t="s">
        <v>678</v>
      </c>
      <c r="D182" t="s">
        <v>679</v>
      </c>
      <c r="E182" t="s">
        <v>664</v>
      </c>
      <c r="F182" t="s">
        <v>680</v>
      </c>
      <c r="G182" t="str">
        <f>_xlfn.XLOOKUP(frasest[[#This Row],[author_es]],autorest[author_es],autorest[author_la])</f>
        <v>Heraclitus</v>
      </c>
      <c r="H182" t="str">
        <f>_xlfn.XLOOKUP(frasest[[#This Row],[author_es]],autorest[author_es],autorest[bio_es])</f>
        <v>Filósofo presocrático griego de Éfeso. Propuso el flujo perpetuo de la realidad (panta rhei) y el fuego como elemento primordial.</v>
      </c>
      <c r="I182" t="str">
        <f>_xlfn.XLOOKUP(frasest[[#This Row],[author_es]],autorest[author_es],autorest[bio_la])</f>
        <v>Philosophus Praesocraticus Graecus Ephesius. Fluxum perpetuum rerum (panta rhei) et ignem elementum primordiale proposuit.</v>
      </c>
      <c r="J182" t="str">
        <f>_xlfn.XLOOKUP(frasest[[#This Row],[author_es]],autorest[author_es],autorest[iso3691])</f>
        <v>el</v>
      </c>
      <c r="K182" t="str">
        <f>_xlfn.XLOOKUP(frasest[[#This Row],[author_es]],autorest[author_es],autorest[language_es])</f>
        <v>Griego</v>
      </c>
      <c r="L182" t="str">
        <f>_xlfn.XLOOKUP(frasest[[#This Row],[author_es]],autorest[author_es],autorest[language_la])</f>
        <v>Lingua Graeca</v>
      </c>
      <c r="M182" t="str">
        <f>_xlfn.XLOOKUP(frasest[[#This Row],[author_es]],autorest[author_es],autorest[nation_es])</f>
        <v>Grecia</v>
      </c>
      <c r="N182" t="str">
        <f>_xlfn.XLOOKUP(frasest[[#This Row],[author_es]],autorest[author_es],autorest[nation_la])</f>
        <v>Graecia</v>
      </c>
      <c r="O182" t="str">
        <f>_xlfn.XLOOKUP(frasest[[#This Row],[author_es]],autorest[author_es],autorest[age_es])</f>
        <v>Edad Antigua</v>
      </c>
      <c r="P182" t="str">
        <f>_xlfn.XLOOKUP(frasest[[#This Row],[author_es]],autorest[author_es],autorest[age_la])</f>
        <v>Antiquitas</v>
      </c>
      <c r="Q182" t="str">
        <f>_xlfn.XLOOKUP(frasest[[#This Row],[author_es]],autorest[author_es],autorest[image])</f>
        <v>https://i.ibb.co/0p0Gxf3S/heraclito.png</v>
      </c>
      <c r="R182">
        <f>_xlfn.XLOOKUP(frasest[[#This Row],[author_es]],autorest[author_es],autorest[image_atr])</f>
        <v>0</v>
      </c>
    </row>
    <row r="183" spans="1:18">
      <c r="A183">
        <v>182</v>
      </c>
      <c r="B183" t="s">
        <v>681</v>
      </c>
      <c r="C183" t="s">
        <v>682</v>
      </c>
      <c r="D183" t="s">
        <v>683</v>
      </c>
      <c r="E183" t="s">
        <v>664</v>
      </c>
      <c r="F183" t="s">
        <v>684</v>
      </c>
      <c r="G183" t="str">
        <f>_xlfn.XLOOKUP(frasest[[#This Row],[author_es]],autorest[author_es],autorest[author_la])</f>
        <v>Heraclitus</v>
      </c>
      <c r="H183" t="str">
        <f>_xlfn.XLOOKUP(frasest[[#This Row],[author_es]],autorest[author_es],autorest[bio_es])</f>
        <v>Filósofo presocrático griego de Éfeso. Propuso el flujo perpetuo de la realidad (panta rhei) y el fuego como elemento primordial.</v>
      </c>
      <c r="I183" t="str">
        <f>_xlfn.XLOOKUP(frasest[[#This Row],[author_es]],autorest[author_es],autorest[bio_la])</f>
        <v>Philosophus Praesocraticus Graecus Ephesius. Fluxum perpetuum rerum (panta rhei) et ignem elementum primordiale proposuit.</v>
      </c>
      <c r="J183" t="str">
        <f>_xlfn.XLOOKUP(frasest[[#This Row],[author_es]],autorest[author_es],autorest[iso3691])</f>
        <v>el</v>
      </c>
      <c r="K183" t="str">
        <f>_xlfn.XLOOKUP(frasest[[#This Row],[author_es]],autorest[author_es],autorest[language_es])</f>
        <v>Griego</v>
      </c>
      <c r="L183" t="str">
        <f>_xlfn.XLOOKUP(frasest[[#This Row],[author_es]],autorest[author_es],autorest[language_la])</f>
        <v>Lingua Graeca</v>
      </c>
      <c r="M183" t="str">
        <f>_xlfn.XLOOKUP(frasest[[#This Row],[author_es]],autorest[author_es],autorest[nation_es])</f>
        <v>Grecia</v>
      </c>
      <c r="N183" t="str">
        <f>_xlfn.XLOOKUP(frasest[[#This Row],[author_es]],autorest[author_es],autorest[nation_la])</f>
        <v>Graecia</v>
      </c>
      <c r="O183" t="str">
        <f>_xlfn.XLOOKUP(frasest[[#This Row],[author_es]],autorest[author_es],autorest[age_es])</f>
        <v>Edad Antigua</v>
      </c>
      <c r="P183" t="str">
        <f>_xlfn.XLOOKUP(frasest[[#This Row],[author_es]],autorest[author_es],autorest[age_la])</f>
        <v>Antiquitas</v>
      </c>
      <c r="Q183" t="str">
        <f>_xlfn.XLOOKUP(frasest[[#This Row],[author_es]],autorest[author_es],autorest[image])</f>
        <v>https://i.ibb.co/0p0Gxf3S/heraclito.png</v>
      </c>
      <c r="R183">
        <f>_xlfn.XLOOKUP(frasest[[#This Row],[author_es]],autorest[author_es],autorest[image_atr])</f>
        <v>0</v>
      </c>
    </row>
    <row r="184" spans="1:18">
      <c r="A184">
        <v>183</v>
      </c>
      <c r="B184" t="s">
        <v>685</v>
      </c>
      <c r="C184" t="s">
        <v>686</v>
      </c>
      <c r="D184" t="s">
        <v>687</v>
      </c>
      <c r="E184" t="s">
        <v>664</v>
      </c>
      <c r="F184" t="s">
        <v>688</v>
      </c>
      <c r="G184" t="str">
        <f>_xlfn.XLOOKUP(frasest[[#This Row],[author_es]],autorest[author_es],autorest[author_la])</f>
        <v>Heraclitus</v>
      </c>
      <c r="H184" t="str">
        <f>_xlfn.XLOOKUP(frasest[[#This Row],[author_es]],autorest[author_es],autorest[bio_es])</f>
        <v>Filósofo presocrático griego de Éfeso. Propuso el flujo perpetuo de la realidad (panta rhei) y el fuego como elemento primordial.</v>
      </c>
      <c r="I184" t="str">
        <f>_xlfn.XLOOKUP(frasest[[#This Row],[author_es]],autorest[author_es],autorest[bio_la])</f>
        <v>Philosophus Praesocraticus Graecus Ephesius. Fluxum perpetuum rerum (panta rhei) et ignem elementum primordiale proposuit.</v>
      </c>
      <c r="J184" t="str">
        <f>_xlfn.XLOOKUP(frasest[[#This Row],[author_es]],autorest[author_es],autorest[iso3691])</f>
        <v>el</v>
      </c>
      <c r="K184" t="str">
        <f>_xlfn.XLOOKUP(frasest[[#This Row],[author_es]],autorest[author_es],autorest[language_es])</f>
        <v>Griego</v>
      </c>
      <c r="L184" t="str">
        <f>_xlfn.XLOOKUP(frasest[[#This Row],[author_es]],autorest[author_es],autorest[language_la])</f>
        <v>Lingua Graeca</v>
      </c>
      <c r="M184" t="str">
        <f>_xlfn.XLOOKUP(frasest[[#This Row],[author_es]],autorest[author_es],autorest[nation_es])</f>
        <v>Grecia</v>
      </c>
      <c r="N184" t="str">
        <f>_xlfn.XLOOKUP(frasest[[#This Row],[author_es]],autorest[author_es],autorest[nation_la])</f>
        <v>Graecia</v>
      </c>
      <c r="O184" t="str">
        <f>_xlfn.XLOOKUP(frasest[[#This Row],[author_es]],autorest[author_es],autorest[age_es])</f>
        <v>Edad Antigua</v>
      </c>
      <c r="P184" t="str">
        <f>_xlfn.XLOOKUP(frasest[[#This Row],[author_es]],autorest[author_es],autorest[age_la])</f>
        <v>Antiquitas</v>
      </c>
      <c r="Q184" t="str">
        <f>_xlfn.XLOOKUP(frasest[[#This Row],[author_es]],autorest[author_es],autorest[image])</f>
        <v>https://i.ibb.co/0p0Gxf3S/heraclito.png</v>
      </c>
      <c r="R184">
        <f>_xlfn.XLOOKUP(frasest[[#This Row],[author_es]],autorest[author_es],autorest[image_atr])</f>
        <v>0</v>
      </c>
    </row>
    <row r="185" spans="1:18">
      <c r="A185">
        <v>184</v>
      </c>
      <c r="B185" t="s">
        <v>689</v>
      </c>
      <c r="C185" t="s">
        <v>690</v>
      </c>
      <c r="D185" t="s">
        <v>691</v>
      </c>
      <c r="E185" t="s">
        <v>664</v>
      </c>
      <c r="F185" t="s">
        <v>692</v>
      </c>
      <c r="G185" t="str">
        <f>_xlfn.XLOOKUP(frasest[[#This Row],[author_es]],autorest[author_es],autorest[author_la])</f>
        <v>Heraclitus</v>
      </c>
      <c r="H185" t="str">
        <f>_xlfn.XLOOKUP(frasest[[#This Row],[author_es]],autorest[author_es],autorest[bio_es])</f>
        <v>Filósofo presocrático griego de Éfeso. Propuso el flujo perpetuo de la realidad (panta rhei) y el fuego como elemento primordial.</v>
      </c>
      <c r="I185" t="str">
        <f>_xlfn.XLOOKUP(frasest[[#This Row],[author_es]],autorest[author_es],autorest[bio_la])</f>
        <v>Philosophus Praesocraticus Graecus Ephesius. Fluxum perpetuum rerum (panta rhei) et ignem elementum primordiale proposuit.</v>
      </c>
      <c r="J185" t="str">
        <f>_xlfn.XLOOKUP(frasest[[#This Row],[author_es]],autorest[author_es],autorest[iso3691])</f>
        <v>el</v>
      </c>
      <c r="K185" t="str">
        <f>_xlfn.XLOOKUP(frasest[[#This Row],[author_es]],autorest[author_es],autorest[language_es])</f>
        <v>Griego</v>
      </c>
      <c r="L185" t="str">
        <f>_xlfn.XLOOKUP(frasest[[#This Row],[author_es]],autorest[author_es],autorest[language_la])</f>
        <v>Lingua Graeca</v>
      </c>
      <c r="M185" t="str">
        <f>_xlfn.XLOOKUP(frasest[[#This Row],[author_es]],autorest[author_es],autorest[nation_es])</f>
        <v>Grecia</v>
      </c>
      <c r="N185" t="str">
        <f>_xlfn.XLOOKUP(frasest[[#This Row],[author_es]],autorest[author_es],autorest[nation_la])</f>
        <v>Graecia</v>
      </c>
      <c r="O185" t="str">
        <f>_xlfn.XLOOKUP(frasest[[#This Row],[author_es]],autorest[author_es],autorest[age_es])</f>
        <v>Edad Antigua</v>
      </c>
      <c r="P185" t="str">
        <f>_xlfn.XLOOKUP(frasest[[#This Row],[author_es]],autorest[author_es],autorest[age_la])</f>
        <v>Antiquitas</v>
      </c>
      <c r="Q185" t="str">
        <f>_xlfn.XLOOKUP(frasest[[#This Row],[author_es]],autorest[author_es],autorest[image])</f>
        <v>https://i.ibb.co/0p0Gxf3S/heraclito.png</v>
      </c>
      <c r="R185">
        <f>_xlfn.XLOOKUP(frasest[[#This Row],[author_es]],autorest[author_es],autorest[image_atr])</f>
        <v>0</v>
      </c>
    </row>
    <row r="186" spans="1:18">
      <c r="A186">
        <v>185</v>
      </c>
      <c r="B186" t="s">
        <v>693</v>
      </c>
      <c r="C186" t="s">
        <v>694</v>
      </c>
      <c r="D186" t="s">
        <v>695</v>
      </c>
      <c r="E186" t="s">
        <v>664</v>
      </c>
      <c r="F186" t="s">
        <v>696</v>
      </c>
      <c r="G186" t="str">
        <f>_xlfn.XLOOKUP(frasest[[#This Row],[author_es]],autorest[author_es],autorest[author_la])</f>
        <v>Heraclitus</v>
      </c>
      <c r="H186" t="str">
        <f>_xlfn.XLOOKUP(frasest[[#This Row],[author_es]],autorest[author_es],autorest[bio_es])</f>
        <v>Filósofo presocrático griego de Éfeso. Propuso el flujo perpetuo de la realidad (panta rhei) y el fuego como elemento primordial.</v>
      </c>
      <c r="I186" t="str">
        <f>_xlfn.XLOOKUP(frasest[[#This Row],[author_es]],autorest[author_es],autorest[bio_la])</f>
        <v>Philosophus Praesocraticus Graecus Ephesius. Fluxum perpetuum rerum (panta rhei) et ignem elementum primordiale proposuit.</v>
      </c>
      <c r="J186" t="str">
        <f>_xlfn.XLOOKUP(frasest[[#This Row],[author_es]],autorest[author_es],autorest[iso3691])</f>
        <v>el</v>
      </c>
      <c r="K186" t="str">
        <f>_xlfn.XLOOKUP(frasest[[#This Row],[author_es]],autorest[author_es],autorest[language_es])</f>
        <v>Griego</v>
      </c>
      <c r="L186" t="str">
        <f>_xlfn.XLOOKUP(frasest[[#This Row],[author_es]],autorest[author_es],autorest[language_la])</f>
        <v>Lingua Graeca</v>
      </c>
      <c r="M186" t="str">
        <f>_xlfn.XLOOKUP(frasest[[#This Row],[author_es]],autorest[author_es],autorest[nation_es])</f>
        <v>Grecia</v>
      </c>
      <c r="N186" t="str">
        <f>_xlfn.XLOOKUP(frasest[[#This Row],[author_es]],autorest[author_es],autorest[nation_la])</f>
        <v>Graecia</v>
      </c>
      <c r="O186" t="str">
        <f>_xlfn.XLOOKUP(frasest[[#This Row],[author_es]],autorest[author_es],autorest[age_es])</f>
        <v>Edad Antigua</v>
      </c>
      <c r="P186" t="str">
        <f>_xlfn.XLOOKUP(frasest[[#This Row],[author_es]],autorest[author_es],autorest[age_la])</f>
        <v>Antiquitas</v>
      </c>
      <c r="Q186" t="str">
        <f>_xlfn.XLOOKUP(frasest[[#This Row],[author_es]],autorest[author_es],autorest[image])</f>
        <v>https://i.ibb.co/0p0Gxf3S/heraclito.png</v>
      </c>
      <c r="R186">
        <f>_xlfn.XLOOKUP(frasest[[#This Row],[author_es]],autorest[author_es],autorest[image_atr])</f>
        <v>0</v>
      </c>
    </row>
    <row r="187" spans="1:18">
      <c r="A187">
        <v>186</v>
      </c>
      <c r="B187" t="s">
        <v>697</v>
      </c>
      <c r="C187" t="s">
        <v>698</v>
      </c>
      <c r="D187" t="s">
        <v>699</v>
      </c>
      <c r="E187" t="s">
        <v>664</v>
      </c>
      <c r="F187" t="s">
        <v>700</v>
      </c>
      <c r="G187" t="str">
        <f>_xlfn.XLOOKUP(frasest[[#This Row],[author_es]],autorest[author_es],autorest[author_la])</f>
        <v>Heraclitus</v>
      </c>
      <c r="H187" t="str">
        <f>_xlfn.XLOOKUP(frasest[[#This Row],[author_es]],autorest[author_es],autorest[bio_es])</f>
        <v>Filósofo presocrático griego de Éfeso. Propuso el flujo perpetuo de la realidad (panta rhei) y el fuego como elemento primordial.</v>
      </c>
      <c r="I187" t="str">
        <f>_xlfn.XLOOKUP(frasest[[#This Row],[author_es]],autorest[author_es],autorest[bio_la])</f>
        <v>Philosophus Praesocraticus Graecus Ephesius. Fluxum perpetuum rerum (panta rhei) et ignem elementum primordiale proposuit.</v>
      </c>
      <c r="J187" t="str">
        <f>_xlfn.XLOOKUP(frasest[[#This Row],[author_es]],autorest[author_es],autorest[iso3691])</f>
        <v>el</v>
      </c>
      <c r="K187" t="str">
        <f>_xlfn.XLOOKUP(frasest[[#This Row],[author_es]],autorest[author_es],autorest[language_es])</f>
        <v>Griego</v>
      </c>
      <c r="L187" t="str">
        <f>_xlfn.XLOOKUP(frasest[[#This Row],[author_es]],autorest[author_es],autorest[language_la])</f>
        <v>Lingua Graeca</v>
      </c>
      <c r="M187" t="str">
        <f>_xlfn.XLOOKUP(frasest[[#This Row],[author_es]],autorest[author_es],autorest[nation_es])</f>
        <v>Grecia</v>
      </c>
      <c r="N187" t="str">
        <f>_xlfn.XLOOKUP(frasest[[#This Row],[author_es]],autorest[author_es],autorest[nation_la])</f>
        <v>Graecia</v>
      </c>
      <c r="O187" t="str">
        <f>_xlfn.XLOOKUP(frasest[[#This Row],[author_es]],autorest[author_es],autorest[age_es])</f>
        <v>Edad Antigua</v>
      </c>
      <c r="P187" t="str">
        <f>_xlfn.XLOOKUP(frasest[[#This Row],[author_es]],autorest[author_es],autorest[age_la])</f>
        <v>Antiquitas</v>
      </c>
      <c r="Q187" t="str">
        <f>_xlfn.XLOOKUP(frasest[[#This Row],[author_es]],autorest[author_es],autorest[image])</f>
        <v>https://i.ibb.co/0p0Gxf3S/heraclito.png</v>
      </c>
      <c r="R187">
        <f>_xlfn.XLOOKUP(frasest[[#This Row],[author_es]],autorest[author_es],autorest[image_atr])</f>
        <v>0</v>
      </c>
    </row>
    <row r="188" spans="1:18">
      <c r="A188">
        <v>187</v>
      </c>
      <c r="B188" t="s">
        <v>701</v>
      </c>
      <c r="C188" t="s">
        <v>702</v>
      </c>
      <c r="D188" t="s">
        <v>703</v>
      </c>
      <c r="E188" t="s">
        <v>704</v>
      </c>
      <c r="F188" t="s">
        <v>705</v>
      </c>
      <c r="G188" t="str">
        <f>_xlfn.XLOOKUP(frasest[[#This Row],[author_es]],autorest[author_es],autorest[author_la])</f>
        <v>Socrates</v>
      </c>
      <c r="H188" t="str">
        <f>_xlfn.XLOOKUP(frasest[[#This Row],[author_es]],autorest[author_es],autorest[bio_es])</f>
        <v>Filósofo griego de Atenas, fundador de la filosofía moral occidental. Maestro de Platón, desarrolló el método mayéutico. Fue condenado a muerte por impiedad.</v>
      </c>
      <c r="I188" t="str">
        <f>_xlfn.XLOOKUP(frasest[[#This Row],[author_es]],autorest[author_es],autorest[bio_la])</f>
        <v>Philosophus Graecus Atheniensis, philosophiae moralis Occidentalis conditor. Magister Platonis, methodum maieuticam elaboravit. Morte damnatus propter impietatem.</v>
      </c>
      <c r="J188" t="str">
        <f>_xlfn.XLOOKUP(frasest[[#This Row],[author_es]],autorest[author_es],autorest[iso3691])</f>
        <v>el</v>
      </c>
      <c r="K188" t="str">
        <f>_xlfn.XLOOKUP(frasest[[#This Row],[author_es]],autorest[author_es],autorest[language_es])</f>
        <v>Griego</v>
      </c>
      <c r="L188" t="str">
        <f>_xlfn.XLOOKUP(frasest[[#This Row],[author_es]],autorest[author_es],autorest[language_la])</f>
        <v>Lingua Graeca</v>
      </c>
      <c r="M188" t="str">
        <f>_xlfn.XLOOKUP(frasest[[#This Row],[author_es]],autorest[author_es],autorest[nation_es])</f>
        <v>Grecia</v>
      </c>
      <c r="N188" t="str">
        <f>_xlfn.XLOOKUP(frasest[[#This Row],[author_es]],autorest[author_es],autorest[nation_la])</f>
        <v>Graecia</v>
      </c>
      <c r="O188" t="str">
        <f>_xlfn.XLOOKUP(frasest[[#This Row],[author_es]],autorest[author_es],autorest[age_es])</f>
        <v>Edad Antigua</v>
      </c>
      <c r="P188" t="str">
        <f>_xlfn.XLOOKUP(frasest[[#This Row],[author_es]],autorest[author_es],autorest[age_la])</f>
        <v>Antiquitas</v>
      </c>
      <c r="Q188" t="str">
        <f>_xlfn.XLOOKUP(frasest[[#This Row],[author_es]],autorest[author_es],autorest[image])</f>
        <v>https://i.ibb.co/hJtF2qzm/socrates.png</v>
      </c>
      <c r="R188">
        <f>_xlfn.XLOOKUP(frasest[[#This Row],[author_es]],autorest[author_es],autorest[image_atr])</f>
        <v>0</v>
      </c>
    </row>
    <row r="189" spans="1:18">
      <c r="A189">
        <v>188</v>
      </c>
      <c r="B189" t="s">
        <v>449</v>
      </c>
      <c r="C189" t="s">
        <v>706</v>
      </c>
      <c r="D189" t="s">
        <v>707</v>
      </c>
      <c r="E189" t="s">
        <v>704</v>
      </c>
      <c r="F189" t="s">
        <v>708</v>
      </c>
      <c r="G189" t="str">
        <f>_xlfn.XLOOKUP(frasest[[#This Row],[author_es]],autorest[author_es],autorest[author_la])</f>
        <v>Socrates</v>
      </c>
      <c r="H189" t="str">
        <f>_xlfn.XLOOKUP(frasest[[#This Row],[author_es]],autorest[author_es],autorest[bio_es])</f>
        <v>Filósofo griego de Atenas, fundador de la filosofía moral occidental. Maestro de Platón, desarrolló el método mayéutico. Fue condenado a muerte por impiedad.</v>
      </c>
      <c r="I189" t="str">
        <f>_xlfn.XLOOKUP(frasest[[#This Row],[author_es]],autorest[author_es],autorest[bio_la])</f>
        <v>Philosophus Graecus Atheniensis, philosophiae moralis Occidentalis conditor. Magister Platonis, methodum maieuticam elaboravit. Morte damnatus propter impietatem.</v>
      </c>
      <c r="J189" t="str">
        <f>_xlfn.XLOOKUP(frasest[[#This Row],[author_es]],autorest[author_es],autorest[iso3691])</f>
        <v>el</v>
      </c>
      <c r="K189" t="str">
        <f>_xlfn.XLOOKUP(frasest[[#This Row],[author_es]],autorest[author_es],autorest[language_es])</f>
        <v>Griego</v>
      </c>
      <c r="L189" t="str">
        <f>_xlfn.XLOOKUP(frasest[[#This Row],[author_es]],autorest[author_es],autorest[language_la])</f>
        <v>Lingua Graeca</v>
      </c>
      <c r="M189" t="str">
        <f>_xlfn.XLOOKUP(frasest[[#This Row],[author_es]],autorest[author_es],autorest[nation_es])</f>
        <v>Grecia</v>
      </c>
      <c r="N189" t="str">
        <f>_xlfn.XLOOKUP(frasest[[#This Row],[author_es]],autorest[author_es],autorest[nation_la])</f>
        <v>Graecia</v>
      </c>
      <c r="O189" t="str">
        <f>_xlfn.XLOOKUP(frasest[[#This Row],[author_es]],autorest[author_es],autorest[age_es])</f>
        <v>Edad Antigua</v>
      </c>
      <c r="P189" t="str">
        <f>_xlfn.XLOOKUP(frasest[[#This Row],[author_es]],autorest[author_es],autorest[age_la])</f>
        <v>Antiquitas</v>
      </c>
      <c r="Q189" t="str">
        <f>_xlfn.XLOOKUP(frasest[[#This Row],[author_es]],autorest[author_es],autorest[image])</f>
        <v>https://i.ibb.co/hJtF2qzm/socrates.png</v>
      </c>
      <c r="R189">
        <f>_xlfn.XLOOKUP(frasest[[#This Row],[author_es]],autorest[author_es],autorest[image_atr])</f>
        <v>0</v>
      </c>
    </row>
    <row r="190" spans="1:18">
      <c r="A190">
        <v>189</v>
      </c>
      <c r="B190" t="s">
        <v>709</v>
      </c>
      <c r="C190" t="s">
        <v>710</v>
      </c>
      <c r="D190" t="s">
        <v>711</v>
      </c>
      <c r="E190" t="s">
        <v>704</v>
      </c>
      <c r="F190" t="s">
        <v>712</v>
      </c>
      <c r="G190" t="str">
        <f>_xlfn.XLOOKUP(frasest[[#This Row],[author_es]],autorest[author_es],autorest[author_la])</f>
        <v>Socrates</v>
      </c>
      <c r="H190" t="str">
        <f>_xlfn.XLOOKUP(frasest[[#This Row],[author_es]],autorest[author_es],autorest[bio_es])</f>
        <v>Filósofo griego de Atenas, fundador de la filosofía moral occidental. Maestro de Platón, desarrolló el método mayéutico. Fue condenado a muerte por impiedad.</v>
      </c>
      <c r="I190" t="str">
        <f>_xlfn.XLOOKUP(frasest[[#This Row],[author_es]],autorest[author_es],autorest[bio_la])</f>
        <v>Philosophus Graecus Atheniensis, philosophiae moralis Occidentalis conditor. Magister Platonis, methodum maieuticam elaboravit. Morte damnatus propter impietatem.</v>
      </c>
      <c r="J190" t="str">
        <f>_xlfn.XLOOKUP(frasest[[#This Row],[author_es]],autorest[author_es],autorest[iso3691])</f>
        <v>el</v>
      </c>
      <c r="K190" t="str">
        <f>_xlfn.XLOOKUP(frasest[[#This Row],[author_es]],autorest[author_es],autorest[language_es])</f>
        <v>Griego</v>
      </c>
      <c r="L190" t="str">
        <f>_xlfn.XLOOKUP(frasest[[#This Row],[author_es]],autorest[author_es],autorest[language_la])</f>
        <v>Lingua Graeca</v>
      </c>
      <c r="M190" t="str">
        <f>_xlfn.XLOOKUP(frasest[[#This Row],[author_es]],autorest[author_es],autorest[nation_es])</f>
        <v>Grecia</v>
      </c>
      <c r="N190" t="str">
        <f>_xlfn.XLOOKUP(frasest[[#This Row],[author_es]],autorest[author_es],autorest[nation_la])</f>
        <v>Graecia</v>
      </c>
      <c r="O190" t="str">
        <f>_xlfn.XLOOKUP(frasest[[#This Row],[author_es]],autorest[author_es],autorest[age_es])</f>
        <v>Edad Antigua</v>
      </c>
      <c r="P190" t="str">
        <f>_xlfn.XLOOKUP(frasest[[#This Row],[author_es]],autorest[author_es],autorest[age_la])</f>
        <v>Antiquitas</v>
      </c>
      <c r="Q190" t="str">
        <f>_xlfn.XLOOKUP(frasest[[#This Row],[author_es]],autorest[author_es],autorest[image])</f>
        <v>https://i.ibb.co/hJtF2qzm/socrates.png</v>
      </c>
      <c r="R190">
        <f>_xlfn.XLOOKUP(frasest[[#This Row],[author_es]],autorest[author_es],autorest[image_atr])</f>
        <v>0</v>
      </c>
    </row>
    <row r="191" spans="1:18">
      <c r="A191">
        <v>190</v>
      </c>
      <c r="B191" t="s">
        <v>713</v>
      </c>
      <c r="C191" t="s">
        <v>714</v>
      </c>
      <c r="D191" t="s">
        <v>715</v>
      </c>
      <c r="E191" t="s">
        <v>704</v>
      </c>
      <c r="F191" t="s">
        <v>716</v>
      </c>
      <c r="G191" t="str">
        <f>_xlfn.XLOOKUP(frasest[[#This Row],[author_es]],autorest[author_es],autorest[author_la])</f>
        <v>Socrates</v>
      </c>
      <c r="H191" t="str">
        <f>_xlfn.XLOOKUP(frasest[[#This Row],[author_es]],autorest[author_es],autorest[bio_es])</f>
        <v>Filósofo griego de Atenas, fundador de la filosofía moral occidental. Maestro de Platón, desarrolló el método mayéutico. Fue condenado a muerte por impiedad.</v>
      </c>
      <c r="I191" t="str">
        <f>_xlfn.XLOOKUP(frasest[[#This Row],[author_es]],autorest[author_es],autorest[bio_la])</f>
        <v>Philosophus Graecus Atheniensis, philosophiae moralis Occidentalis conditor. Magister Platonis, methodum maieuticam elaboravit. Morte damnatus propter impietatem.</v>
      </c>
      <c r="J191" t="str">
        <f>_xlfn.XLOOKUP(frasest[[#This Row],[author_es]],autorest[author_es],autorest[iso3691])</f>
        <v>el</v>
      </c>
      <c r="K191" t="str">
        <f>_xlfn.XLOOKUP(frasest[[#This Row],[author_es]],autorest[author_es],autorest[language_es])</f>
        <v>Griego</v>
      </c>
      <c r="L191" t="str">
        <f>_xlfn.XLOOKUP(frasest[[#This Row],[author_es]],autorest[author_es],autorest[language_la])</f>
        <v>Lingua Graeca</v>
      </c>
      <c r="M191" t="str">
        <f>_xlfn.XLOOKUP(frasest[[#This Row],[author_es]],autorest[author_es],autorest[nation_es])</f>
        <v>Grecia</v>
      </c>
      <c r="N191" t="str">
        <f>_xlfn.XLOOKUP(frasest[[#This Row],[author_es]],autorest[author_es],autorest[nation_la])</f>
        <v>Graecia</v>
      </c>
      <c r="O191" t="str">
        <f>_xlfn.XLOOKUP(frasest[[#This Row],[author_es]],autorest[author_es],autorest[age_es])</f>
        <v>Edad Antigua</v>
      </c>
      <c r="P191" t="str">
        <f>_xlfn.XLOOKUP(frasest[[#This Row],[author_es]],autorest[author_es],autorest[age_la])</f>
        <v>Antiquitas</v>
      </c>
      <c r="Q191" t="str">
        <f>_xlfn.XLOOKUP(frasest[[#This Row],[author_es]],autorest[author_es],autorest[image])</f>
        <v>https://i.ibb.co/hJtF2qzm/socrates.png</v>
      </c>
      <c r="R191">
        <f>_xlfn.XLOOKUP(frasest[[#This Row],[author_es]],autorest[author_es],autorest[image_atr])</f>
        <v>0</v>
      </c>
    </row>
    <row r="192" spans="1:18">
      <c r="A192">
        <v>191</v>
      </c>
      <c r="B192" t="s">
        <v>717</v>
      </c>
      <c r="C192" t="s">
        <v>718</v>
      </c>
      <c r="D192" t="s">
        <v>719</v>
      </c>
      <c r="E192" t="s">
        <v>704</v>
      </c>
      <c r="F192" t="s">
        <v>720</v>
      </c>
      <c r="G192" t="str">
        <f>_xlfn.XLOOKUP(frasest[[#This Row],[author_es]],autorest[author_es],autorest[author_la])</f>
        <v>Socrates</v>
      </c>
      <c r="H192" t="str">
        <f>_xlfn.XLOOKUP(frasest[[#This Row],[author_es]],autorest[author_es],autorest[bio_es])</f>
        <v>Filósofo griego de Atenas, fundador de la filosofía moral occidental. Maestro de Platón, desarrolló el método mayéutico. Fue condenado a muerte por impiedad.</v>
      </c>
      <c r="I192" t="str">
        <f>_xlfn.XLOOKUP(frasest[[#This Row],[author_es]],autorest[author_es],autorest[bio_la])</f>
        <v>Philosophus Graecus Atheniensis, philosophiae moralis Occidentalis conditor. Magister Platonis, methodum maieuticam elaboravit. Morte damnatus propter impietatem.</v>
      </c>
      <c r="J192" t="str">
        <f>_xlfn.XLOOKUP(frasest[[#This Row],[author_es]],autorest[author_es],autorest[iso3691])</f>
        <v>el</v>
      </c>
      <c r="K192" t="str">
        <f>_xlfn.XLOOKUP(frasest[[#This Row],[author_es]],autorest[author_es],autorest[language_es])</f>
        <v>Griego</v>
      </c>
      <c r="L192" t="str">
        <f>_xlfn.XLOOKUP(frasest[[#This Row],[author_es]],autorest[author_es],autorest[language_la])</f>
        <v>Lingua Graeca</v>
      </c>
      <c r="M192" t="str">
        <f>_xlfn.XLOOKUP(frasest[[#This Row],[author_es]],autorest[author_es],autorest[nation_es])</f>
        <v>Grecia</v>
      </c>
      <c r="N192" t="str">
        <f>_xlfn.XLOOKUP(frasest[[#This Row],[author_es]],autorest[author_es],autorest[nation_la])</f>
        <v>Graecia</v>
      </c>
      <c r="O192" t="str">
        <f>_xlfn.XLOOKUP(frasest[[#This Row],[author_es]],autorest[author_es],autorest[age_es])</f>
        <v>Edad Antigua</v>
      </c>
      <c r="P192" t="str">
        <f>_xlfn.XLOOKUP(frasest[[#This Row],[author_es]],autorest[author_es],autorest[age_la])</f>
        <v>Antiquitas</v>
      </c>
      <c r="Q192" t="str">
        <f>_xlfn.XLOOKUP(frasest[[#This Row],[author_es]],autorest[author_es],autorest[image])</f>
        <v>https://i.ibb.co/hJtF2qzm/socrates.png</v>
      </c>
      <c r="R192">
        <f>_xlfn.XLOOKUP(frasest[[#This Row],[author_es]],autorest[author_es],autorest[image_atr])</f>
        <v>0</v>
      </c>
    </row>
    <row r="193" spans="1:18">
      <c r="A193">
        <v>192</v>
      </c>
      <c r="B193" t="s">
        <v>721</v>
      </c>
      <c r="C193" t="s">
        <v>722</v>
      </c>
      <c r="D193" t="s">
        <v>723</v>
      </c>
      <c r="E193" t="s">
        <v>704</v>
      </c>
      <c r="F193" t="s">
        <v>724</v>
      </c>
      <c r="G193" t="str">
        <f>_xlfn.XLOOKUP(frasest[[#This Row],[author_es]],autorest[author_es],autorest[author_la])</f>
        <v>Socrates</v>
      </c>
      <c r="H193" t="str">
        <f>_xlfn.XLOOKUP(frasest[[#This Row],[author_es]],autorest[author_es],autorest[bio_es])</f>
        <v>Filósofo griego de Atenas, fundador de la filosofía moral occidental. Maestro de Platón, desarrolló el método mayéutico. Fue condenado a muerte por impiedad.</v>
      </c>
      <c r="I193" t="str">
        <f>_xlfn.XLOOKUP(frasest[[#This Row],[author_es]],autorest[author_es],autorest[bio_la])</f>
        <v>Philosophus Graecus Atheniensis, philosophiae moralis Occidentalis conditor. Magister Platonis, methodum maieuticam elaboravit. Morte damnatus propter impietatem.</v>
      </c>
      <c r="J193" t="str">
        <f>_xlfn.XLOOKUP(frasest[[#This Row],[author_es]],autorest[author_es],autorest[iso3691])</f>
        <v>el</v>
      </c>
      <c r="K193" t="str">
        <f>_xlfn.XLOOKUP(frasest[[#This Row],[author_es]],autorest[author_es],autorest[language_es])</f>
        <v>Griego</v>
      </c>
      <c r="L193" t="str">
        <f>_xlfn.XLOOKUP(frasest[[#This Row],[author_es]],autorest[author_es],autorest[language_la])</f>
        <v>Lingua Graeca</v>
      </c>
      <c r="M193" t="str">
        <f>_xlfn.XLOOKUP(frasest[[#This Row],[author_es]],autorest[author_es],autorest[nation_es])</f>
        <v>Grecia</v>
      </c>
      <c r="N193" t="str">
        <f>_xlfn.XLOOKUP(frasest[[#This Row],[author_es]],autorest[author_es],autorest[nation_la])</f>
        <v>Graecia</v>
      </c>
      <c r="O193" t="str">
        <f>_xlfn.XLOOKUP(frasest[[#This Row],[author_es]],autorest[author_es],autorest[age_es])</f>
        <v>Edad Antigua</v>
      </c>
      <c r="P193" t="str">
        <f>_xlfn.XLOOKUP(frasest[[#This Row],[author_es]],autorest[author_es],autorest[age_la])</f>
        <v>Antiquitas</v>
      </c>
      <c r="Q193" t="str">
        <f>_xlfn.XLOOKUP(frasest[[#This Row],[author_es]],autorest[author_es],autorest[image])</f>
        <v>https://i.ibb.co/hJtF2qzm/socrates.png</v>
      </c>
      <c r="R193">
        <f>_xlfn.XLOOKUP(frasest[[#This Row],[author_es]],autorest[author_es],autorest[image_atr])</f>
        <v>0</v>
      </c>
    </row>
    <row r="194" spans="1:18">
      <c r="A194">
        <v>193</v>
      </c>
      <c r="B194" t="s">
        <v>457</v>
      </c>
      <c r="C194" t="s">
        <v>725</v>
      </c>
      <c r="D194" t="s">
        <v>726</v>
      </c>
      <c r="E194" t="s">
        <v>704</v>
      </c>
      <c r="F194" t="s">
        <v>727</v>
      </c>
      <c r="G194" t="str">
        <f>_xlfn.XLOOKUP(frasest[[#This Row],[author_es]],autorest[author_es],autorest[author_la])</f>
        <v>Socrates</v>
      </c>
      <c r="H194" t="str">
        <f>_xlfn.XLOOKUP(frasest[[#This Row],[author_es]],autorest[author_es],autorest[bio_es])</f>
        <v>Filósofo griego de Atenas, fundador de la filosofía moral occidental. Maestro de Platón, desarrolló el método mayéutico. Fue condenado a muerte por impiedad.</v>
      </c>
      <c r="I194" t="str">
        <f>_xlfn.XLOOKUP(frasest[[#This Row],[author_es]],autorest[author_es],autorest[bio_la])</f>
        <v>Philosophus Graecus Atheniensis, philosophiae moralis Occidentalis conditor. Magister Platonis, methodum maieuticam elaboravit. Morte damnatus propter impietatem.</v>
      </c>
      <c r="J194" t="str">
        <f>_xlfn.XLOOKUP(frasest[[#This Row],[author_es]],autorest[author_es],autorest[iso3691])</f>
        <v>el</v>
      </c>
      <c r="K194" t="str">
        <f>_xlfn.XLOOKUP(frasest[[#This Row],[author_es]],autorest[author_es],autorest[language_es])</f>
        <v>Griego</v>
      </c>
      <c r="L194" t="str">
        <f>_xlfn.XLOOKUP(frasest[[#This Row],[author_es]],autorest[author_es],autorest[language_la])</f>
        <v>Lingua Graeca</v>
      </c>
      <c r="M194" t="str">
        <f>_xlfn.XLOOKUP(frasest[[#This Row],[author_es]],autorest[author_es],autorest[nation_es])</f>
        <v>Grecia</v>
      </c>
      <c r="N194" t="str">
        <f>_xlfn.XLOOKUP(frasest[[#This Row],[author_es]],autorest[author_es],autorest[nation_la])</f>
        <v>Graecia</v>
      </c>
      <c r="O194" t="str">
        <f>_xlfn.XLOOKUP(frasest[[#This Row],[author_es]],autorest[author_es],autorest[age_es])</f>
        <v>Edad Antigua</v>
      </c>
      <c r="P194" t="str">
        <f>_xlfn.XLOOKUP(frasest[[#This Row],[author_es]],autorest[author_es],autorest[age_la])</f>
        <v>Antiquitas</v>
      </c>
      <c r="Q194" t="str">
        <f>_xlfn.XLOOKUP(frasest[[#This Row],[author_es]],autorest[author_es],autorest[image])</f>
        <v>https://i.ibb.co/hJtF2qzm/socrates.png</v>
      </c>
      <c r="R194">
        <f>_xlfn.XLOOKUP(frasest[[#This Row],[author_es]],autorest[author_es],autorest[image_atr])</f>
        <v>0</v>
      </c>
    </row>
    <row r="195" spans="1:18">
      <c r="A195">
        <v>194</v>
      </c>
      <c r="B195" t="s">
        <v>728</v>
      </c>
      <c r="C195" t="s">
        <v>729</v>
      </c>
      <c r="D195" t="s">
        <v>730</v>
      </c>
      <c r="E195" t="s">
        <v>704</v>
      </c>
      <c r="F195" t="s">
        <v>705</v>
      </c>
      <c r="G195" t="str">
        <f>_xlfn.XLOOKUP(frasest[[#This Row],[author_es]],autorest[author_es],autorest[author_la])</f>
        <v>Socrates</v>
      </c>
      <c r="H195" t="str">
        <f>_xlfn.XLOOKUP(frasest[[#This Row],[author_es]],autorest[author_es],autorest[bio_es])</f>
        <v>Filósofo griego de Atenas, fundador de la filosofía moral occidental. Maestro de Platón, desarrolló el método mayéutico. Fue condenado a muerte por impiedad.</v>
      </c>
      <c r="I195" t="str">
        <f>_xlfn.XLOOKUP(frasest[[#This Row],[author_es]],autorest[author_es],autorest[bio_la])</f>
        <v>Philosophus Graecus Atheniensis, philosophiae moralis Occidentalis conditor. Magister Platonis, methodum maieuticam elaboravit. Morte damnatus propter impietatem.</v>
      </c>
      <c r="J195" t="str">
        <f>_xlfn.XLOOKUP(frasest[[#This Row],[author_es]],autorest[author_es],autorest[iso3691])</f>
        <v>el</v>
      </c>
      <c r="K195" t="str">
        <f>_xlfn.XLOOKUP(frasest[[#This Row],[author_es]],autorest[author_es],autorest[language_es])</f>
        <v>Griego</v>
      </c>
      <c r="L195" t="str">
        <f>_xlfn.XLOOKUP(frasest[[#This Row],[author_es]],autorest[author_es],autorest[language_la])</f>
        <v>Lingua Graeca</v>
      </c>
      <c r="M195" t="str">
        <f>_xlfn.XLOOKUP(frasest[[#This Row],[author_es]],autorest[author_es],autorest[nation_es])</f>
        <v>Grecia</v>
      </c>
      <c r="N195" t="str">
        <f>_xlfn.XLOOKUP(frasest[[#This Row],[author_es]],autorest[author_es],autorest[nation_la])</f>
        <v>Graecia</v>
      </c>
      <c r="O195" t="str">
        <f>_xlfn.XLOOKUP(frasest[[#This Row],[author_es]],autorest[author_es],autorest[age_es])</f>
        <v>Edad Antigua</v>
      </c>
      <c r="P195" t="str">
        <f>_xlfn.XLOOKUP(frasest[[#This Row],[author_es]],autorest[author_es],autorest[age_la])</f>
        <v>Antiquitas</v>
      </c>
      <c r="Q195" t="str">
        <f>_xlfn.XLOOKUP(frasest[[#This Row],[author_es]],autorest[author_es],autorest[image])</f>
        <v>https://i.ibb.co/hJtF2qzm/socrates.png</v>
      </c>
      <c r="R195">
        <f>_xlfn.XLOOKUP(frasest[[#This Row],[author_es]],autorest[author_es],autorest[image_atr])</f>
        <v>0</v>
      </c>
    </row>
    <row r="196" spans="1:18">
      <c r="A196">
        <v>195</v>
      </c>
      <c r="B196" t="s">
        <v>731</v>
      </c>
      <c r="C196" t="s">
        <v>732</v>
      </c>
      <c r="D196" t="s">
        <v>733</v>
      </c>
      <c r="E196" t="s">
        <v>704</v>
      </c>
      <c r="F196" t="s">
        <v>712</v>
      </c>
      <c r="G196" t="str">
        <f>_xlfn.XLOOKUP(frasest[[#This Row],[author_es]],autorest[author_es],autorest[author_la])</f>
        <v>Socrates</v>
      </c>
      <c r="H196" t="str">
        <f>_xlfn.XLOOKUP(frasest[[#This Row],[author_es]],autorest[author_es],autorest[bio_es])</f>
        <v>Filósofo griego de Atenas, fundador de la filosofía moral occidental. Maestro de Platón, desarrolló el método mayéutico. Fue condenado a muerte por impiedad.</v>
      </c>
      <c r="I196" t="str">
        <f>_xlfn.XLOOKUP(frasest[[#This Row],[author_es]],autorest[author_es],autorest[bio_la])</f>
        <v>Philosophus Graecus Atheniensis, philosophiae moralis Occidentalis conditor. Magister Platonis, methodum maieuticam elaboravit. Morte damnatus propter impietatem.</v>
      </c>
      <c r="J196" t="str">
        <f>_xlfn.XLOOKUP(frasest[[#This Row],[author_es]],autorest[author_es],autorest[iso3691])</f>
        <v>el</v>
      </c>
      <c r="K196" t="str">
        <f>_xlfn.XLOOKUP(frasest[[#This Row],[author_es]],autorest[author_es],autorest[language_es])</f>
        <v>Griego</v>
      </c>
      <c r="L196" t="str">
        <f>_xlfn.XLOOKUP(frasest[[#This Row],[author_es]],autorest[author_es],autorest[language_la])</f>
        <v>Lingua Graeca</v>
      </c>
      <c r="M196" t="str">
        <f>_xlfn.XLOOKUP(frasest[[#This Row],[author_es]],autorest[author_es],autorest[nation_es])</f>
        <v>Grecia</v>
      </c>
      <c r="N196" t="str">
        <f>_xlfn.XLOOKUP(frasest[[#This Row],[author_es]],autorest[author_es],autorest[nation_la])</f>
        <v>Graecia</v>
      </c>
      <c r="O196" t="str">
        <f>_xlfn.XLOOKUP(frasest[[#This Row],[author_es]],autorest[author_es],autorest[age_es])</f>
        <v>Edad Antigua</v>
      </c>
      <c r="P196" t="str">
        <f>_xlfn.XLOOKUP(frasest[[#This Row],[author_es]],autorest[author_es],autorest[age_la])</f>
        <v>Antiquitas</v>
      </c>
      <c r="Q196" t="str">
        <f>_xlfn.XLOOKUP(frasest[[#This Row],[author_es]],autorest[author_es],autorest[image])</f>
        <v>https://i.ibb.co/hJtF2qzm/socrates.png</v>
      </c>
      <c r="R196">
        <f>_xlfn.XLOOKUP(frasest[[#This Row],[author_es]],autorest[author_es],autorest[image_atr])</f>
        <v>0</v>
      </c>
    </row>
    <row r="197" spans="1:18">
      <c r="A197">
        <v>196</v>
      </c>
      <c r="B197" t="s">
        <v>734</v>
      </c>
      <c r="C197" t="s">
        <v>735</v>
      </c>
      <c r="D197" t="s">
        <v>736</v>
      </c>
      <c r="E197" t="s">
        <v>704</v>
      </c>
      <c r="F197" t="s">
        <v>712</v>
      </c>
      <c r="G197" t="str">
        <f>_xlfn.XLOOKUP(frasest[[#This Row],[author_es]],autorest[author_es],autorest[author_la])</f>
        <v>Socrates</v>
      </c>
      <c r="H197" t="str">
        <f>_xlfn.XLOOKUP(frasest[[#This Row],[author_es]],autorest[author_es],autorest[bio_es])</f>
        <v>Filósofo griego de Atenas, fundador de la filosofía moral occidental. Maestro de Platón, desarrolló el método mayéutico. Fue condenado a muerte por impiedad.</v>
      </c>
      <c r="I197" t="str">
        <f>_xlfn.XLOOKUP(frasest[[#This Row],[author_es]],autorest[author_es],autorest[bio_la])</f>
        <v>Philosophus Graecus Atheniensis, philosophiae moralis Occidentalis conditor. Magister Platonis, methodum maieuticam elaboravit. Morte damnatus propter impietatem.</v>
      </c>
      <c r="J197" t="str">
        <f>_xlfn.XLOOKUP(frasest[[#This Row],[author_es]],autorest[author_es],autorest[iso3691])</f>
        <v>el</v>
      </c>
      <c r="K197" t="str">
        <f>_xlfn.XLOOKUP(frasest[[#This Row],[author_es]],autorest[author_es],autorest[language_es])</f>
        <v>Griego</v>
      </c>
      <c r="L197" t="str">
        <f>_xlfn.XLOOKUP(frasest[[#This Row],[author_es]],autorest[author_es],autorest[language_la])</f>
        <v>Lingua Graeca</v>
      </c>
      <c r="M197" t="str">
        <f>_xlfn.XLOOKUP(frasest[[#This Row],[author_es]],autorest[author_es],autorest[nation_es])</f>
        <v>Grecia</v>
      </c>
      <c r="N197" t="str">
        <f>_xlfn.XLOOKUP(frasest[[#This Row],[author_es]],autorest[author_es],autorest[nation_la])</f>
        <v>Graecia</v>
      </c>
      <c r="O197" t="str">
        <f>_xlfn.XLOOKUP(frasest[[#This Row],[author_es]],autorest[author_es],autorest[age_es])</f>
        <v>Edad Antigua</v>
      </c>
      <c r="P197" t="str">
        <f>_xlfn.XLOOKUP(frasest[[#This Row],[author_es]],autorest[author_es],autorest[age_la])</f>
        <v>Antiquitas</v>
      </c>
      <c r="Q197" t="str">
        <f>_xlfn.XLOOKUP(frasest[[#This Row],[author_es]],autorest[author_es],autorest[image])</f>
        <v>https://i.ibb.co/hJtF2qzm/socrates.png</v>
      </c>
      <c r="R197">
        <f>_xlfn.XLOOKUP(frasest[[#This Row],[author_es]],autorest[author_es],autorest[image_atr])</f>
        <v>0</v>
      </c>
    </row>
    <row r="198" spans="1:18">
      <c r="A198">
        <v>197</v>
      </c>
      <c r="B198" t="s">
        <v>737</v>
      </c>
      <c r="C198" t="s">
        <v>738</v>
      </c>
      <c r="D198" t="s">
        <v>739</v>
      </c>
      <c r="E198" t="s">
        <v>740</v>
      </c>
      <c r="F198" t="s">
        <v>741</v>
      </c>
      <c r="G198" t="str">
        <f>_xlfn.XLOOKUP(frasest[[#This Row],[author_es]],autorest[author_es],autorest[author_la])</f>
        <v>Democritus</v>
      </c>
      <c r="H198" t="str">
        <f>_xlfn.XLOOKUP(frasest[[#This Row],[author_es]],autorest[author_es],autorest[bio_es])</f>
        <v>Filósofo griego de Abdera, fundador del atomismo junto a Leucipo. Propuso que el universo está compuesto por átomos indivisibles en el vacío.</v>
      </c>
      <c r="I198" t="str">
        <f>_xlfn.XLOOKUP(frasest[[#This Row],[author_es]],autorest[author_es],autorest[bio_la])</f>
        <v>Philosophus Graecus Abderita, atomismi conditor cum Leucippo. Universum ex atomis indivisibilibus in vacuo compositum proposuit.</v>
      </c>
      <c r="J198" t="str">
        <f>_xlfn.XLOOKUP(frasest[[#This Row],[author_es]],autorest[author_es],autorest[iso3691])</f>
        <v>el</v>
      </c>
      <c r="K198" t="str">
        <f>_xlfn.XLOOKUP(frasest[[#This Row],[author_es]],autorest[author_es],autorest[language_es])</f>
        <v>Griego</v>
      </c>
      <c r="L198" t="str">
        <f>_xlfn.XLOOKUP(frasest[[#This Row],[author_es]],autorest[author_es],autorest[language_la])</f>
        <v>Lingua Graeca</v>
      </c>
      <c r="M198" t="str">
        <f>_xlfn.XLOOKUP(frasest[[#This Row],[author_es]],autorest[author_es],autorest[nation_es])</f>
        <v>Grecia</v>
      </c>
      <c r="N198" t="str">
        <f>_xlfn.XLOOKUP(frasest[[#This Row],[author_es]],autorest[author_es],autorest[nation_la])</f>
        <v>Graecia</v>
      </c>
      <c r="O198" t="str">
        <f>_xlfn.XLOOKUP(frasest[[#This Row],[author_es]],autorest[author_es],autorest[age_es])</f>
        <v>Edad Antigua</v>
      </c>
      <c r="P198" t="str">
        <f>_xlfn.XLOOKUP(frasest[[#This Row],[author_es]],autorest[author_es],autorest[age_la])</f>
        <v>Antiquitas</v>
      </c>
      <c r="Q198" t="str">
        <f>_xlfn.XLOOKUP(frasest[[#This Row],[author_es]],autorest[author_es],autorest[image])</f>
        <v>https://i.ibb.co/FkWkGPTs/democrito.png</v>
      </c>
      <c r="R198">
        <f>_xlfn.XLOOKUP(frasest[[#This Row],[author_es]],autorest[author_es],autorest[image_atr])</f>
        <v>0</v>
      </c>
    </row>
    <row r="199" spans="1:18">
      <c r="A199">
        <v>198</v>
      </c>
      <c r="B199" t="s">
        <v>742</v>
      </c>
      <c r="C199" t="s">
        <v>743</v>
      </c>
      <c r="D199" t="s">
        <v>744</v>
      </c>
      <c r="E199" t="s">
        <v>740</v>
      </c>
      <c r="F199" t="s">
        <v>745</v>
      </c>
      <c r="G199" t="str">
        <f>_xlfn.XLOOKUP(frasest[[#This Row],[author_es]],autorest[author_es],autorest[author_la])</f>
        <v>Democritus</v>
      </c>
      <c r="H199" t="str">
        <f>_xlfn.XLOOKUP(frasest[[#This Row],[author_es]],autorest[author_es],autorest[bio_es])</f>
        <v>Filósofo griego de Abdera, fundador del atomismo junto a Leucipo. Propuso que el universo está compuesto por átomos indivisibles en el vacío.</v>
      </c>
      <c r="I199" t="str">
        <f>_xlfn.XLOOKUP(frasest[[#This Row],[author_es]],autorest[author_es],autorest[bio_la])</f>
        <v>Philosophus Graecus Abderita, atomismi conditor cum Leucippo. Universum ex atomis indivisibilibus in vacuo compositum proposuit.</v>
      </c>
      <c r="J199" t="str">
        <f>_xlfn.XLOOKUP(frasest[[#This Row],[author_es]],autorest[author_es],autorest[iso3691])</f>
        <v>el</v>
      </c>
      <c r="K199" t="str">
        <f>_xlfn.XLOOKUP(frasest[[#This Row],[author_es]],autorest[author_es],autorest[language_es])</f>
        <v>Griego</v>
      </c>
      <c r="L199" t="str">
        <f>_xlfn.XLOOKUP(frasest[[#This Row],[author_es]],autorest[author_es],autorest[language_la])</f>
        <v>Lingua Graeca</v>
      </c>
      <c r="M199" t="str">
        <f>_xlfn.XLOOKUP(frasest[[#This Row],[author_es]],autorest[author_es],autorest[nation_es])</f>
        <v>Grecia</v>
      </c>
      <c r="N199" t="str">
        <f>_xlfn.XLOOKUP(frasest[[#This Row],[author_es]],autorest[author_es],autorest[nation_la])</f>
        <v>Graecia</v>
      </c>
      <c r="O199" t="str">
        <f>_xlfn.XLOOKUP(frasest[[#This Row],[author_es]],autorest[author_es],autorest[age_es])</f>
        <v>Edad Antigua</v>
      </c>
      <c r="P199" t="str">
        <f>_xlfn.XLOOKUP(frasest[[#This Row],[author_es]],autorest[author_es],autorest[age_la])</f>
        <v>Antiquitas</v>
      </c>
      <c r="Q199" t="str">
        <f>_xlfn.XLOOKUP(frasest[[#This Row],[author_es]],autorest[author_es],autorest[image])</f>
        <v>https://i.ibb.co/FkWkGPTs/democrito.png</v>
      </c>
      <c r="R199">
        <f>_xlfn.XLOOKUP(frasest[[#This Row],[author_es]],autorest[author_es],autorest[image_atr])</f>
        <v>0</v>
      </c>
    </row>
    <row r="200" spans="1:18">
      <c r="A200">
        <v>199</v>
      </c>
      <c r="B200" t="s">
        <v>746</v>
      </c>
      <c r="C200" t="s">
        <v>747</v>
      </c>
      <c r="D200" t="s">
        <v>748</v>
      </c>
      <c r="E200" t="s">
        <v>740</v>
      </c>
      <c r="F200" t="s">
        <v>749</v>
      </c>
      <c r="G200" t="str">
        <f>_xlfn.XLOOKUP(frasest[[#This Row],[author_es]],autorest[author_es],autorest[author_la])</f>
        <v>Democritus</v>
      </c>
      <c r="H200" t="str">
        <f>_xlfn.XLOOKUP(frasest[[#This Row],[author_es]],autorest[author_es],autorest[bio_es])</f>
        <v>Filósofo griego de Abdera, fundador del atomismo junto a Leucipo. Propuso que el universo está compuesto por átomos indivisibles en el vacío.</v>
      </c>
      <c r="I200" t="str">
        <f>_xlfn.XLOOKUP(frasest[[#This Row],[author_es]],autorest[author_es],autorest[bio_la])</f>
        <v>Philosophus Graecus Abderita, atomismi conditor cum Leucippo. Universum ex atomis indivisibilibus in vacuo compositum proposuit.</v>
      </c>
      <c r="J200" t="str">
        <f>_xlfn.XLOOKUP(frasest[[#This Row],[author_es]],autorest[author_es],autorest[iso3691])</f>
        <v>el</v>
      </c>
      <c r="K200" t="str">
        <f>_xlfn.XLOOKUP(frasest[[#This Row],[author_es]],autorest[author_es],autorest[language_es])</f>
        <v>Griego</v>
      </c>
      <c r="L200" t="str">
        <f>_xlfn.XLOOKUP(frasest[[#This Row],[author_es]],autorest[author_es],autorest[language_la])</f>
        <v>Lingua Graeca</v>
      </c>
      <c r="M200" t="str">
        <f>_xlfn.XLOOKUP(frasest[[#This Row],[author_es]],autorest[author_es],autorest[nation_es])</f>
        <v>Grecia</v>
      </c>
      <c r="N200" t="str">
        <f>_xlfn.XLOOKUP(frasest[[#This Row],[author_es]],autorest[author_es],autorest[nation_la])</f>
        <v>Graecia</v>
      </c>
      <c r="O200" t="str">
        <f>_xlfn.XLOOKUP(frasest[[#This Row],[author_es]],autorest[author_es],autorest[age_es])</f>
        <v>Edad Antigua</v>
      </c>
      <c r="P200" t="str">
        <f>_xlfn.XLOOKUP(frasest[[#This Row],[author_es]],autorest[author_es],autorest[age_la])</f>
        <v>Antiquitas</v>
      </c>
      <c r="Q200" t="str">
        <f>_xlfn.XLOOKUP(frasest[[#This Row],[author_es]],autorest[author_es],autorest[image])</f>
        <v>https://i.ibb.co/FkWkGPTs/democrito.png</v>
      </c>
      <c r="R200">
        <f>_xlfn.XLOOKUP(frasest[[#This Row],[author_es]],autorest[author_es],autorest[image_atr])</f>
        <v>0</v>
      </c>
    </row>
    <row r="201" spans="1:18">
      <c r="A201">
        <v>200</v>
      </c>
      <c r="B201" t="s">
        <v>750</v>
      </c>
      <c r="C201" t="s">
        <v>751</v>
      </c>
      <c r="D201" t="s">
        <v>752</v>
      </c>
      <c r="E201" t="s">
        <v>740</v>
      </c>
      <c r="F201" t="s">
        <v>753</v>
      </c>
      <c r="G201" t="str">
        <f>_xlfn.XLOOKUP(frasest[[#This Row],[author_es]],autorest[author_es],autorest[author_la])</f>
        <v>Democritus</v>
      </c>
      <c r="H201" t="str">
        <f>_xlfn.XLOOKUP(frasest[[#This Row],[author_es]],autorest[author_es],autorest[bio_es])</f>
        <v>Filósofo griego de Abdera, fundador del atomismo junto a Leucipo. Propuso que el universo está compuesto por átomos indivisibles en el vacío.</v>
      </c>
      <c r="I201" t="str">
        <f>_xlfn.XLOOKUP(frasest[[#This Row],[author_es]],autorest[author_es],autorest[bio_la])</f>
        <v>Philosophus Graecus Abderita, atomismi conditor cum Leucippo. Universum ex atomis indivisibilibus in vacuo compositum proposuit.</v>
      </c>
      <c r="J201" t="str">
        <f>_xlfn.XLOOKUP(frasest[[#This Row],[author_es]],autorest[author_es],autorest[iso3691])</f>
        <v>el</v>
      </c>
      <c r="K201" t="str">
        <f>_xlfn.XLOOKUP(frasest[[#This Row],[author_es]],autorest[author_es],autorest[language_es])</f>
        <v>Griego</v>
      </c>
      <c r="L201" t="str">
        <f>_xlfn.XLOOKUP(frasest[[#This Row],[author_es]],autorest[author_es],autorest[language_la])</f>
        <v>Lingua Graeca</v>
      </c>
      <c r="M201" t="str">
        <f>_xlfn.XLOOKUP(frasest[[#This Row],[author_es]],autorest[author_es],autorest[nation_es])</f>
        <v>Grecia</v>
      </c>
      <c r="N201" t="str">
        <f>_xlfn.XLOOKUP(frasest[[#This Row],[author_es]],autorest[author_es],autorest[nation_la])</f>
        <v>Graecia</v>
      </c>
      <c r="O201" t="str">
        <f>_xlfn.XLOOKUP(frasest[[#This Row],[author_es]],autorest[author_es],autorest[age_es])</f>
        <v>Edad Antigua</v>
      </c>
      <c r="P201" t="str">
        <f>_xlfn.XLOOKUP(frasest[[#This Row],[author_es]],autorest[author_es],autorest[age_la])</f>
        <v>Antiquitas</v>
      </c>
      <c r="Q201" t="str">
        <f>_xlfn.XLOOKUP(frasest[[#This Row],[author_es]],autorest[author_es],autorest[image])</f>
        <v>https://i.ibb.co/FkWkGPTs/democrito.png</v>
      </c>
      <c r="R201">
        <f>_xlfn.XLOOKUP(frasest[[#This Row],[author_es]],autorest[author_es],autorest[image_atr])</f>
        <v>0</v>
      </c>
    </row>
    <row r="202" spans="1:18">
      <c r="A202">
        <v>201</v>
      </c>
      <c r="B202" t="s">
        <v>754</v>
      </c>
      <c r="C202" t="s">
        <v>755</v>
      </c>
      <c r="D202" t="s">
        <v>756</v>
      </c>
      <c r="E202" t="s">
        <v>740</v>
      </c>
      <c r="F202" t="s">
        <v>757</v>
      </c>
      <c r="G202" t="str">
        <f>_xlfn.XLOOKUP(frasest[[#This Row],[author_es]],autorest[author_es],autorest[author_la])</f>
        <v>Democritus</v>
      </c>
      <c r="H202" t="str">
        <f>_xlfn.XLOOKUP(frasest[[#This Row],[author_es]],autorest[author_es],autorest[bio_es])</f>
        <v>Filósofo griego de Abdera, fundador del atomismo junto a Leucipo. Propuso que el universo está compuesto por átomos indivisibles en el vacío.</v>
      </c>
      <c r="I202" t="str">
        <f>_xlfn.XLOOKUP(frasest[[#This Row],[author_es]],autorest[author_es],autorest[bio_la])</f>
        <v>Philosophus Graecus Abderita, atomismi conditor cum Leucippo. Universum ex atomis indivisibilibus in vacuo compositum proposuit.</v>
      </c>
      <c r="J202" t="str">
        <f>_xlfn.XLOOKUP(frasest[[#This Row],[author_es]],autorest[author_es],autorest[iso3691])</f>
        <v>el</v>
      </c>
      <c r="K202" t="str">
        <f>_xlfn.XLOOKUP(frasest[[#This Row],[author_es]],autorest[author_es],autorest[language_es])</f>
        <v>Griego</v>
      </c>
      <c r="L202" t="str">
        <f>_xlfn.XLOOKUP(frasest[[#This Row],[author_es]],autorest[author_es],autorest[language_la])</f>
        <v>Lingua Graeca</v>
      </c>
      <c r="M202" t="str">
        <f>_xlfn.XLOOKUP(frasest[[#This Row],[author_es]],autorest[author_es],autorest[nation_es])</f>
        <v>Grecia</v>
      </c>
      <c r="N202" t="str">
        <f>_xlfn.XLOOKUP(frasest[[#This Row],[author_es]],autorest[author_es],autorest[nation_la])</f>
        <v>Graecia</v>
      </c>
      <c r="O202" t="str">
        <f>_xlfn.XLOOKUP(frasest[[#This Row],[author_es]],autorest[author_es],autorest[age_es])</f>
        <v>Edad Antigua</v>
      </c>
      <c r="P202" t="str">
        <f>_xlfn.XLOOKUP(frasest[[#This Row],[author_es]],autorest[author_es],autorest[age_la])</f>
        <v>Antiquitas</v>
      </c>
      <c r="Q202" t="str">
        <f>_xlfn.XLOOKUP(frasest[[#This Row],[author_es]],autorest[author_es],autorest[image])</f>
        <v>https://i.ibb.co/FkWkGPTs/democrito.png</v>
      </c>
      <c r="R202">
        <f>_xlfn.XLOOKUP(frasest[[#This Row],[author_es]],autorest[author_es],autorest[image_atr])</f>
        <v>0</v>
      </c>
    </row>
    <row r="203" spans="1:18">
      <c r="A203">
        <v>202</v>
      </c>
      <c r="B203" t="s">
        <v>758</v>
      </c>
      <c r="C203" t="s">
        <v>759</v>
      </c>
      <c r="D203" t="s">
        <v>760</v>
      </c>
      <c r="E203" t="s">
        <v>740</v>
      </c>
      <c r="F203" t="s">
        <v>761</v>
      </c>
      <c r="G203" t="str">
        <f>_xlfn.XLOOKUP(frasest[[#This Row],[author_es]],autorest[author_es],autorest[author_la])</f>
        <v>Democritus</v>
      </c>
      <c r="H203" t="str">
        <f>_xlfn.XLOOKUP(frasest[[#This Row],[author_es]],autorest[author_es],autorest[bio_es])</f>
        <v>Filósofo griego de Abdera, fundador del atomismo junto a Leucipo. Propuso que el universo está compuesto por átomos indivisibles en el vacío.</v>
      </c>
      <c r="I203" t="str">
        <f>_xlfn.XLOOKUP(frasest[[#This Row],[author_es]],autorest[author_es],autorest[bio_la])</f>
        <v>Philosophus Graecus Abderita, atomismi conditor cum Leucippo. Universum ex atomis indivisibilibus in vacuo compositum proposuit.</v>
      </c>
      <c r="J203" t="str">
        <f>_xlfn.XLOOKUP(frasest[[#This Row],[author_es]],autorest[author_es],autorest[iso3691])</f>
        <v>el</v>
      </c>
      <c r="K203" t="str">
        <f>_xlfn.XLOOKUP(frasest[[#This Row],[author_es]],autorest[author_es],autorest[language_es])</f>
        <v>Griego</v>
      </c>
      <c r="L203" t="str">
        <f>_xlfn.XLOOKUP(frasest[[#This Row],[author_es]],autorest[author_es],autorest[language_la])</f>
        <v>Lingua Graeca</v>
      </c>
      <c r="M203" t="str">
        <f>_xlfn.XLOOKUP(frasest[[#This Row],[author_es]],autorest[author_es],autorest[nation_es])</f>
        <v>Grecia</v>
      </c>
      <c r="N203" t="str">
        <f>_xlfn.XLOOKUP(frasest[[#This Row],[author_es]],autorest[author_es],autorest[nation_la])</f>
        <v>Graecia</v>
      </c>
      <c r="O203" t="str">
        <f>_xlfn.XLOOKUP(frasest[[#This Row],[author_es]],autorest[author_es],autorest[age_es])</f>
        <v>Edad Antigua</v>
      </c>
      <c r="P203" t="str">
        <f>_xlfn.XLOOKUP(frasest[[#This Row],[author_es]],autorest[author_es],autorest[age_la])</f>
        <v>Antiquitas</v>
      </c>
      <c r="Q203" t="str">
        <f>_xlfn.XLOOKUP(frasest[[#This Row],[author_es]],autorest[author_es],autorest[image])</f>
        <v>https://i.ibb.co/FkWkGPTs/democrito.png</v>
      </c>
      <c r="R203">
        <f>_xlfn.XLOOKUP(frasest[[#This Row],[author_es]],autorest[author_es],autorest[image_atr])</f>
        <v>0</v>
      </c>
    </row>
    <row r="204" spans="1:18">
      <c r="A204">
        <v>203</v>
      </c>
      <c r="B204" t="s">
        <v>762</v>
      </c>
      <c r="C204" t="s">
        <v>763</v>
      </c>
      <c r="D204" t="s">
        <v>764</v>
      </c>
      <c r="E204" t="s">
        <v>740</v>
      </c>
      <c r="F204" t="s">
        <v>765</v>
      </c>
      <c r="G204" t="str">
        <f>_xlfn.XLOOKUP(frasest[[#This Row],[author_es]],autorest[author_es],autorest[author_la])</f>
        <v>Democritus</v>
      </c>
      <c r="H204" t="str">
        <f>_xlfn.XLOOKUP(frasest[[#This Row],[author_es]],autorest[author_es],autorest[bio_es])</f>
        <v>Filósofo griego de Abdera, fundador del atomismo junto a Leucipo. Propuso que el universo está compuesto por átomos indivisibles en el vacío.</v>
      </c>
      <c r="I204" t="str">
        <f>_xlfn.XLOOKUP(frasest[[#This Row],[author_es]],autorest[author_es],autorest[bio_la])</f>
        <v>Philosophus Graecus Abderita, atomismi conditor cum Leucippo. Universum ex atomis indivisibilibus in vacuo compositum proposuit.</v>
      </c>
      <c r="J204" t="str">
        <f>_xlfn.XLOOKUP(frasest[[#This Row],[author_es]],autorest[author_es],autorest[iso3691])</f>
        <v>el</v>
      </c>
      <c r="K204" t="str">
        <f>_xlfn.XLOOKUP(frasest[[#This Row],[author_es]],autorest[author_es],autorest[language_es])</f>
        <v>Griego</v>
      </c>
      <c r="L204" t="str">
        <f>_xlfn.XLOOKUP(frasest[[#This Row],[author_es]],autorest[author_es],autorest[language_la])</f>
        <v>Lingua Graeca</v>
      </c>
      <c r="M204" t="str">
        <f>_xlfn.XLOOKUP(frasest[[#This Row],[author_es]],autorest[author_es],autorest[nation_es])</f>
        <v>Grecia</v>
      </c>
      <c r="N204" t="str">
        <f>_xlfn.XLOOKUP(frasest[[#This Row],[author_es]],autorest[author_es],autorest[nation_la])</f>
        <v>Graecia</v>
      </c>
      <c r="O204" t="str">
        <f>_xlfn.XLOOKUP(frasest[[#This Row],[author_es]],autorest[author_es],autorest[age_es])</f>
        <v>Edad Antigua</v>
      </c>
      <c r="P204" t="str">
        <f>_xlfn.XLOOKUP(frasest[[#This Row],[author_es]],autorest[author_es],autorest[age_la])</f>
        <v>Antiquitas</v>
      </c>
      <c r="Q204" t="str">
        <f>_xlfn.XLOOKUP(frasest[[#This Row],[author_es]],autorest[author_es],autorest[image])</f>
        <v>https://i.ibb.co/FkWkGPTs/democrito.png</v>
      </c>
      <c r="R204">
        <f>_xlfn.XLOOKUP(frasest[[#This Row],[author_es]],autorest[author_es],autorest[image_atr])</f>
        <v>0</v>
      </c>
    </row>
    <row r="205" spans="1:18">
      <c r="A205">
        <v>204</v>
      </c>
      <c r="B205" t="s">
        <v>766</v>
      </c>
      <c r="C205" t="s">
        <v>767</v>
      </c>
      <c r="D205" t="s">
        <v>768</v>
      </c>
      <c r="E205" t="s">
        <v>740</v>
      </c>
      <c r="F205" t="s">
        <v>745</v>
      </c>
      <c r="G205" t="str">
        <f>_xlfn.XLOOKUP(frasest[[#This Row],[author_es]],autorest[author_es],autorest[author_la])</f>
        <v>Democritus</v>
      </c>
      <c r="H205" t="str">
        <f>_xlfn.XLOOKUP(frasest[[#This Row],[author_es]],autorest[author_es],autorest[bio_es])</f>
        <v>Filósofo griego de Abdera, fundador del atomismo junto a Leucipo. Propuso que el universo está compuesto por átomos indivisibles en el vacío.</v>
      </c>
      <c r="I205" t="str">
        <f>_xlfn.XLOOKUP(frasest[[#This Row],[author_es]],autorest[author_es],autorest[bio_la])</f>
        <v>Philosophus Graecus Abderita, atomismi conditor cum Leucippo. Universum ex atomis indivisibilibus in vacuo compositum proposuit.</v>
      </c>
      <c r="J205" t="str">
        <f>_xlfn.XLOOKUP(frasest[[#This Row],[author_es]],autorest[author_es],autorest[iso3691])</f>
        <v>el</v>
      </c>
      <c r="K205" t="str">
        <f>_xlfn.XLOOKUP(frasest[[#This Row],[author_es]],autorest[author_es],autorest[language_es])</f>
        <v>Griego</v>
      </c>
      <c r="L205" t="str">
        <f>_xlfn.XLOOKUP(frasest[[#This Row],[author_es]],autorest[author_es],autorest[language_la])</f>
        <v>Lingua Graeca</v>
      </c>
      <c r="M205" t="str">
        <f>_xlfn.XLOOKUP(frasest[[#This Row],[author_es]],autorest[author_es],autorest[nation_es])</f>
        <v>Grecia</v>
      </c>
      <c r="N205" t="str">
        <f>_xlfn.XLOOKUP(frasest[[#This Row],[author_es]],autorest[author_es],autorest[nation_la])</f>
        <v>Graecia</v>
      </c>
      <c r="O205" t="str">
        <f>_xlfn.XLOOKUP(frasest[[#This Row],[author_es]],autorest[author_es],autorest[age_es])</f>
        <v>Edad Antigua</v>
      </c>
      <c r="P205" t="str">
        <f>_xlfn.XLOOKUP(frasest[[#This Row],[author_es]],autorest[author_es],autorest[age_la])</f>
        <v>Antiquitas</v>
      </c>
      <c r="Q205" t="str">
        <f>_xlfn.XLOOKUP(frasest[[#This Row],[author_es]],autorest[author_es],autorest[image])</f>
        <v>https://i.ibb.co/FkWkGPTs/democrito.png</v>
      </c>
      <c r="R205">
        <f>_xlfn.XLOOKUP(frasest[[#This Row],[author_es]],autorest[author_es],autorest[image_atr])</f>
        <v>0</v>
      </c>
    </row>
    <row r="206" spans="1:18">
      <c r="A206">
        <v>205</v>
      </c>
      <c r="B206" t="s">
        <v>769</v>
      </c>
      <c r="C206" t="s">
        <v>770</v>
      </c>
      <c r="D206" t="s">
        <v>771</v>
      </c>
      <c r="E206" t="s">
        <v>740</v>
      </c>
      <c r="F206" t="s">
        <v>772</v>
      </c>
      <c r="G206" t="str">
        <f>_xlfn.XLOOKUP(frasest[[#This Row],[author_es]],autorest[author_es],autorest[author_la])</f>
        <v>Democritus</v>
      </c>
      <c r="H206" t="str">
        <f>_xlfn.XLOOKUP(frasest[[#This Row],[author_es]],autorest[author_es],autorest[bio_es])</f>
        <v>Filósofo griego de Abdera, fundador del atomismo junto a Leucipo. Propuso que el universo está compuesto por átomos indivisibles en el vacío.</v>
      </c>
      <c r="I206" t="str">
        <f>_xlfn.XLOOKUP(frasest[[#This Row],[author_es]],autorest[author_es],autorest[bio_la])</f>
        <v>Philosophus Graecus Abderita, atomismi conditor cum Leucippo. Universum ex atomis indivisibilibus in vacuo compositum proposuit.</v>
      </c>
      <c r="J206" t="str">
        <f>_xlfn.XLOOKUP(frasest[[#This Row],[author_es]],autorest[author_es],autorest[iso3691])</f>
        <v>el</v>
      </c>
      <c r="K206" t="str">
        <f>_xlfn.XLOOKUP(frasest[[#This Row],[author_es]],autorest[author_es],autorest[language_es])</f>
        <v>Griego</v>
      </c>
      <c r="L206" t="str">
        <f>_xlfn.XLOOKUP(frasest[[#This Row],[author_es]],autorest[author_es],autorest[language_la])</f>
        <v>Lingua Graeca</v>
      </c>
      <c r="M206" t="str">
        <f>_xlfn.XLOOKUP(frasest[[#This Row],[author_es]],autorest[author_es],autorest[nation_es])</f>
        <v>Grecia</v>
      </c>
      <c r="N206" t="str">
        <f>_xlfn.XLOOKUP(frasest[[#This Row],[author_es]],autorest[author_es],autorest[nation_la])</f>
        <v>Graecia</v>
      </c>
      <c r="O206" t="str">
        <f>_xlfn.XLOOKUP(frasest[[#This Row],[author_es]],autorest[author_es],autorest[age_es])</f>
        <v>Edad Antigua</v>
      </c>
      <c r="P206" t="str">
        <f>_xlfn.XLOOKUP(frasest[[#This Row],[author_es]],autorest[author_es],autorest[age_la])</f>
        <v>Antiquitas</v>
      </c>
      <c r="Q206" t="str">
        <f>_xlfn.XLOOKUP(frasest[[#This Row],[author_es]],autorest[author_es],autorest[image])</f>
        <v>https://i.ibb.co/FkWkGPTs/democrito.png</v>
      </c>
      <c r="R206">
        <f>_xlfn.XLOOKUP(frasest[[#This Row],[author_es]],autorest[author_es],autorest[image_atr])</f>
        <v>0</v>
      </c>
    </row>
    <row r="207" spans="1:18">
      <c r="A207">
        <v>206</v>
      </c>
      <c r="B207" t="s">
        <v>773</v>
      </c>
      <c r="C207" t="s">
        <v>774</v>
      </c>
      <c r="D207" t="s">
        <v>775</v>
      </c>
      <c r="E207" t="s">
        <v>740</v>
      </c>
      <c r="F207" t="s">
        <v>776</v>
      </c>
      <c r="G207" t="str">
        <f>_xlfn.XLOOKUP(frasest[[#This Row],[author_es]],autorest[author_es],autorest[author_la])</f>
        <v>Democritus</v>
      </c>
      <c r="H207" t="str">
        <f>_xlfn.XLOOKUP(frasest[[#This Row],[author_es]],autorest[author_es],autorest[bio_es])</f>
        <v>Filósofo griego de Abdera, fundador del atomismo junto a Leucipo. Propuso que el universo está compuesto por átomos indivisibles en el vacío.</v>
      </c>
      <c r="I207" t="str">
        <f>_xlfn.XLOOKUP(frasest[[#This Row],[author_es]],autorest[author_es],autorest[bio_la])</f>
        <v>Philosophus Graecus Abderita, atomismi conditor cum Leucippo. Universum ex atomis indivisibilibus in vacuo compositum proposuit.</v>
      </c>
      <c r="J207" t="str">
        <f>_xlfn.XLOOKUP(frasest[[#This Row],[author_es]],autorest[author_es],autorest[iso3691])</f>
        <v>el</v>
      </c>
      <c r="K207" t="str">
        <f>_xlfn.XLOOKUP(frasest[[#This Row],[author_es]],autorest[author_es],autorest[language_es])</f>
        <v>Griego</v>
      </c>
      <c r="L207" t="str">
        <f>_xlfn.XLOOKUP(frasest[[#This Row],[author_es]],autorest[author_es],autorest[language_la])</f>
        <v>Lingua Graeca</v>
      </c>
      <c r="M207" t="str">
        <f>_xlfn.XLOOKUP(frasest[[#This Row],[author_es]],autorest[author_es],autorest[nation_es])</f>
        <v>Grecia</v>
      </c>
      <c r="N207" t="str">
        <f>_xlfn.XLOOKUP(frasest[[#This Row],[author_es]],autorest[author_es],autorest[nation_la])</f>
        <v>Graecia</v>
      </c>
      <c r="O207" t="str">
        <f>_xlfn.XLOOKUP(frasest[[#This Row],[author_es]],autorest[author_es],autorest[age_es])</f>
        <v>Edad Antigua</v>
      </c>
      <c r="P207" t="str">
        <f>_xlfn.XLOOKUP(frasest[[#This Row],[author_es]],autorest[author_es],autorest[age_la])</f>
        <v>Antiquitas</v>
      </c>
      <c r="Q207" t="str">
        <f>_xlfn.XLOOKUP(frasest[[#This Row],[author_es]],autorest[author_es],autorest[image])</f>
        <v>https://i.ibb.co/FkWkGPTs/democrito.png</v>
      </c>
      <c r="R207">
        <f>_xlfn.XLOOKUP(frasest[[#This Row],[author_es]],autorest[author_es],autorest[image_atr])</f>
        <v>0</v>
      </c>
    </row>
    <row r="208" spans="1:18">
      <c r="A208">
        <v>207</v>
      </c>
      <c r="B208" t="s">
        <v>777</v>
      </c>
      <c r="C208" t="s">
        <v>778</v>
      </c>
      <c r="D208" t="s">
        <v>779</v>
      </c>
      <c r="E208" t="s">
        <v>780</v>
      </c>
      <c r="F208" t="s">
        <v>781</v>
      </c>
      <c r="G208" t="str">
        <f>_xlfn.XLOOKUP(frasest[[#This Row],[author_es]],autorest[author_es],autorest[author_la])</f>
        <v>Protagoras</v>
      </c>
      <c r="H208" t="str">
        <f>_xlfn.XLOOKUP(frasest[[#This Row],[author_es]],autorest[author_es],autorest[bio_es])</f>
        <v>Filósofo sofista griego de Abdera, precursor de la enseñanza retórica profesional. Autor de la máxima "El hombre es la medida de todas las cosas".</v>
      </c>
      <c r="I208" t="str">
        <f>_xlfn.XLOOKUP(frasest[[#This Row],[author_es]],autorest[author_es],autorest[bio_la])</f>
        <v>Philosophus sophista Graecus Abderita, rhetoricae artis professionalis praecursor. Auctor sententiae "Homo mensura omnium rerum est".</v>
      </c>
      <c r="J208" t="str">
        <f>_xlfn.XLOOKUP(frasest[[#This Row],[author_es]],autorest[author_es],autorest[iso3691])</f>
        <v>el</v>
      </c>
      <c r="K208" t="str">
        <f>_xlfn.XLOOKUP(frasest[[#This Row],[author_es]],autorest[author_es],autorest[language_es])</f>
        <v>Griego</v>
      </c>
      <c r="L208" t="str">
        <f>_xlfn.XLOOKUP(frasest[[#This Row],[author_es]],autorest[author_es],autorest[language_la])</f>
        <v>Lingua Graeca</v>
      </c>
      <c r="M208" t="str">
        <f>_xlfn.XLOOKUP(frasest[[#This Row],[author_es]],autorest[author_es],autorest[nation_es])</f>
        <v>Grecia</v>
      </c>
      <c r="N208" t="str">
        <f>_xlfn.XLOOKUP(frasest[[#This Row],[author_es]],autorest[author_es],autorest[nation_la])</f>
        <v>Graecia</v>
      </c>
      <c r="O208" t="str">
        <f>_xlfn.XLOOKUP(frasest[[#This Row],[author_es]],autorest[author_es],autorest[age_es])</f>
        <v>Edad Antigua</v>
      </c>
      <c r="P208" t="str">
        <f>_xlfn.XLOOKUP(frasest[[#This Row],[author_es]],autorest[author_es],autorest[age_la])</f>
        <v>Antiquitas</v>
      </c>
      <c r="Q208" t="str">
        <f>_xlfn.XLOOKUP(frasest[[#This Row],[author_es]],autorest[author_es],autorest[image])</f>
        <v>https://i.ibb.co/Q3vRf8m3/protagoras.png</v>
      </c>
      <c r="R208">
        <f>_xlfn.XLOOKUP(frasest[[#This Row],[author_es]],autorest[author_es],autorest[image_atr])</f>
        <v>0</v>
      </c>
    </row>
    <row r="209" spans="1:18">
      <c r="A209">
        <v>208</v>
      </c>
      <c r="B209" t="s">
        <v>782</v>
      </c>
      <c r="C209" t="s">
        <v>783</v>
      </c>
      <c r="D209" t="s">
        <v>784</v>
      </c>
      <c r="E209" t="s">
        <v>780</v>
      </c>
      <c r="F209" t="s">
        <v>785</v>
      </c>
      <c r="G209" t="str">
        <f>_xlfn.XLOOKUP(frasest[[#This Row],[author_es]],autorest[author_es],autorest[author_la])</f>
        <v>Protagoras</v>
      </c>
      <c r="H209" t="str">
        <f>_xlfn.XLOOKUP(frasest[[#This Row],[author_es]],autorest[author_es],autorest[bio_es])</f>
        <v>Filósofo sofista griego de Abdera, precursor de la enseñanza retórica profesional. Autor de la máxima "El hombre es la medida de todas las cosas".</v>
      </c>
      <c r="I209" t="str">
        <f>_xlfn.XLOOKUP(frasest[[#This Row],[author_es]],autorest[author_es],autorest[bio_la])</f>
        <v>Philosophus sophista Graecus Abderita, rhetoricae artis professionalis praecursor. Auctor sententiae "Homo mensura omnium rerum est".</v>
      </c>
      <c r="J209" t="str">
        <f>_xlfn.XLOOKUP(frasest[[#This Row],[author_es]],autorest[author_es],autorest[iso3691])</f>
        <v>el</v>
      </c>
      <c r="K209" t="str">
        <f>_xlfn.XLOOKUP(frasest[[#This Row],[author_es]],autorest[author_es],autorest[language_es])</f>
        <v>Griego</v>
      </c>
      <c r="L209" t="str">
        <f>_xlfn.XLOOKUP(frasest[[#This Row],[author_es]],autorest[author_es],autorest[language_la])</f>
        <v>Lingua Graeca</v>
      </c>
      <c r="M209" t="str">
        <f>_xlfn.XLOOKUP(frasest[[#This Row],[author_es]],autorest[author_es],autorest[nation_es])</f>
        <v>Grecia</v>
      </c>
      <c r="N209" t="str">
        <f>_xlfn.XLOOKUP(frasest[[#This Row],[author_es]],autorest[author_es],autorest[nation_la])</f>
        <v>Graecia</v>
      </c>
      <c r="O209" t="str">
        <f>_xlfn.XLOOKUP(frasest[[#This Row],[author_es]],autorest[author_es],autorest[age_es])</f>
        <v>Edad Antigua</v>
      </c>
      <c r="P209" t="str">
        <f>_xlfn.XLOOKUP(frasest[[#This Row],[author_es]],autorest[author_es],autorest[age_la])</f>
        <v>Antiquitas</v>
      </c>
      <c r="Q209" t="str">
        <f>_xlfn.XLOOKUP(frasest[[#This Row],[author_es]],autorest[author_es],autorest[image])</f>
        <v>https://i.ibb.co/Q3vRf8m3/protagoras.png</v>
      </c>
      <c r="R209">
        <f>_xlfn.XLOOKUP(frasest[[#This Row],[author_es]],autorest[author_es],autorest[image_atr])</f>
        <v>0</v>
      </c>
    </row>
    <row r="210" spans="1:18">
      <c r="A210">
        <v>209</v>
      </c>
      <c r="B210" t="s">
        <v>786</v>
      </c>
      <c r="C210" t="s">
        <v>787</v>
      </c>
      <c r="D210" t="s">
        <v>788</v>
      </c>
      <c r="E210" t="s">
        <v>780</v>
      </c>
      <c r="F210" t="s">
        <v>789</v>
      </c>
      <c r="G210" t="str">
        <f>_xlfn.XLOOKUP(frasest[[#This Row],[author_es]],autorest[author_es],autorest[author_la])</f>
        <v>Protagoras</v>
      </c>
      <c r="H210" t="str">
        <f>_xlfn.XLOOKUP(frasest[[#This Row],[author_es]],autorest[author_es],autorest[bio_es])</f>
        <v>Filósofo sofista griego de Abdera, precursor de la enseñanza retórica profesional. Autor de la máxima "El hombre es la medida de todas las cosas".</v>
      </c>
      <c r="I210" t="str">
        <f>_xlfn.XLOOKUP(frasest[[#This Row],[author_es]],autorest[author_es],autorest[bio_la])</f>
        <v>Philosophus sophista Graecus Abderita, rhetoricae artis professionalis praecursor. Auctor sententiae "Homo mensura omnium rerum est".</v>
      </c>
      <c r="J210" t="str">
        <f>_xlfn.XLOOKUP(frasest[[#This Row],[author_es]],autorest[author_es],autorest[iso3691])</f>
        <v>el</v>
      </c>
      <c r="K210" t="str">
        <f>_xlfn.XLOOKUP(frasest[[#This Row],[author_es]],autorest[author_es],autorest[language_es])</f>
        <v>Griego</v>
      </c>
      <c r="L210" t="str">
        <f>_xlfn.XLOOKUP(frasest[[#This Row],[author_es]],autorest[author_es],autorest[language_la])</f>
        <v>Lingua Graeca</v>
      </c>
      <c r="M210" t="str">
        <f>_xlfn.XLOOKUP(frasest[[#This Row],[author_es]],autorest[author_es],autorest[nation_es])</f>
        <v>Grecia</v>
      </c>
      <c r="N210" t="str">
        <f>_xlfn.XLOOKUP(frasest[[#This Row],[author_es]],autorest[author_es],autorest[nation_la])</f>
        <v>Graecia</v>
      </c>
      <c r="O210" t="str">
        <f>_xlfn.XLOOKUP(frasest[[#This Row],[author_es]],autorest[author_es],autorest[age_es])</f>
        <v>Edad Antigua</v>
      </c>
      <c r="P210" t="str">
        <f>_xlfn.XLOOKUP(frasest[[#This Row],[author_es]],autorest[author_es],autorest[age_la])</f>
        <v>Antiquitas</v>
      </c>
      <c r="Q210" t="str">
        <f>_xlfn.XLOOKUP(frasest[[#This Row],[author_es]],autorest[author_es],autorest[image])</f>
        <v>https://i.ibb.co/Q3vRf8m3/protagoras.png</v>
      </c>
      <c r="R210">
        <f>_xlfn.XLOOKUP(frasest[[#This Row],[author_es]],autorest[author_es],autorest[image_atr])</f>
        <v>0</v>
      </c>
    </row>
    <row r="211" spans="1:18">
      <c r="A211">
        <v>210</v>
      </c>
      <c r="B211" t="s">
        <v>790</v>
      </c>
      <c r="C211" t="s">
        <v>791</v>
      </c>
      <c r="D211" t="s">
        <v>792</v>
      </c>
      <c r="E211" t="s">
        <v>780</v>
      </c>
      <c r="F211" t="s">
        <v>793</v>
      </c>
      <c r="G211" t="str">
        <f>_xlfn.XLOOKUP(frasest[[#This Row],[author_es]],autorest[author_es],autorest[author_la])</f>
        <v>Protagoras</v>
      </c>
      <c r="H211" t="str">
        <f>_xlfn.XLOOKUP(frasest[[#This Row],[author_es]],autorest[author_es],autorest[bio_es])</f>
        <v>Filósofo sofista griego de Abdera, precursor de la enseñanza retórica profesional. Autor de la máxima "El hombre es la medida de todas las cosas".</v>
      </c>
      <c r="I211" t="str">
        <f>_xlfn.XLOOKUP(frasest[[#This Row],[author_es]],autorest[author_es],autorest[bio_la])</f>
        <v>Philosophus sophista Graecus Abderita, rhetoricae artis professionalis praecursor. Auctor sententiae "Homo mensura omnium rerum est".</v>
      </c>
      <c r="J211" t="str">
        <f>_xlfn.XLOOKUP(frasest[[#This Row],[author_es]],autorest[author_es],autorest[iso3691])</f>
        <v>el</v>
      </c>
      <c r="K211" t="str">
        <f>_xlfn.XLOOKUP(frasest[[#This Row],[author_es]],autorest[author_es],autorest[language_es])</f>
        <v>Griego</v>
      </c>
      <c r="L211" t="str">
        <f>_xlfn.XLOOKUP(frasest[[#This Row],[author_es]],autorest[author_es],autorest[language_la])</f>
        <v>Lingua Graeca</v>
      </c>
      <c r="M211" t="str">
        <f>_xlfn.XLOOKUP(frasest[[#This Row],[author_es]],autorest[author_es],autorest[nation_es])</f>
        <v>Grecia</v>
      </c>
      <c r="N211" t="str">
        <f>_xlfn.XLOOKUP(frasest[[#This Row],[author_es]],autorest[author_es],autorest[nation_la])</f>
        <v>Graecia</v>
      </c>
      <c r="O211" t="str">
        <f>_xlfn.XLOOKUP(frasest[[#This Row],[author_es]],autorest[author_es],autorest[age_es])</f>
        <v>Edad Antigua</v>
      </c>
      <c r="P211" t="str">
        <f>_xlfn.XLOOKUP(frasest[[#This Row],[author_es]],autorest[author_es],autorest[age_la])</f>
        <v>Antiquitas</v>
      </c>
      <c r="Q211" t="str">
        <f>_xlfn.XLOOKUP(frasest[[#This Row],[author_es]],autorest[author_es],autorest[image])</f>
        <v>https://i.ibb.co/Q3vRf8m3/protagoras.png</v>
      </c>
      <c r="R211">
        <f>_xlfn.XLOOKUP(frasest[[#This Row],[author_es]],autorest[author_es],autorest[image_atr])</f>
        <v>0</v>
      </c>
    </row>
    <row r="212" spans="1:18">
      <c r="A212">
        <v>211</v>
      </c>
      <c r="B212" t="s">
        <v>794</v>
      </c>
      <c r="C212" t="s">
        <v>795</v>
      </c>
      <c r="D212" t="s">
        <v>796</v>
      </c>
      <c r="E212" t="s">
        <v>780</v>
      </c>
      <c r="F212" t="s">
        <v>797</v>
      </c>
      <c r="G212" t="str">
        <f>_xlfn.XLOOKUP(frasest[[#This Row],[author_es]],autorest[author_es],autorest[author_la])</f>
        <v>Protagoras</v>
      </c>
      <c r="H212" t="str">
        <f>_xlfn.XLOOKUP(frasest[[#This Row],[author_es]],autorest[author_es],autorest[bio_es])</f>
        <v>Filósofo sofista griego de Abdera, precursor de la enseñanza retórica profesional. Autor de la máxima "El hombre es la medida de todas las cosas".</v>
      </c>
      <c r="I212" t="str">
        <f>_xlfn.XLOOKUP(frasest[[#This Row],[author_es]],autorest[author_es],autorest[bio_la])</f>
        <v>Philosophus sophista Graecus Abderita, rhetoricae artis professionalis praecursor. Auctor sententiae "Homo mensura omnium rerum est".</v>
      </c>
      <c r="J212" t="str">
        <f>_xlfn.XLOOKUP(frasest[[#This Row],[author_es]],autorest[author_es],autorest[iso3691])</f>
        <v>el</v>
      </c>
      <c r="K212" t="str">
        <f>_xlfn.XLOOKUP(frasest[[#This Row],[author_es]],autorest[author_es],autorest[language_es])</f>
        <v>Griego</v>
      </c>
      <c r="L212" t="str">
        <f>_xlfn.XLOOKUP(frasest[[#This Row],[author_es]],autorest[author_es],autorest[language_la])</f>
        <v>Lingua Graeca</v>
      </c>
      <c r="M212" t="str">
        <f>_xlfn.XLOOKUP(frasest[[#This Row],[author_es]],autorest[author_es],autorest[nation_es])</f>
        <v>Grecia</v>
      </c>
      <c r="N212" t="str">
        <f>_xlfn.XLOOKUP(frasest[[#This Row],[author_es]],autorest[author_es],autorest[nation_la])</f>
        <v>Graecia</v>
      </c>
      <c r="O212" t="str">
        <f>_xlfn.XLOOKUP(frasest[[#This Row],[author_es]],autorest[author_es],autorest[age_es])</f>
        <v>Edad Antigua</v>
      </c>
      <c r="P212" t="str">
        <f>_xlfn.XLOOKUP(frasest[[#This Row],[author_es]],autorest[author_es],autorest[age_la])</f>
        <v>Antiquitas</v>
      </c>
      <c r="Q212" t="str">
        <f>_xlfn.XLOOKUP(frasest[[#This Row],[author_es]],autorest[author_es],autorest[image])</f>
        <v>https://i.ibb.co/Q3vRf8m3/protagoras.png</v>
      </c>
      <c r="R212">
        <f>_xlfn.XLOOKUP(frasest[[#This Row],[author_es]],autorest[author_es],autorest[image_atr])</f>
        <v>0</v>
      </c>
    </row>
    <row r="213" spans="1:18">
      <c r="A213">
        <v>212</v>
      </c>
      <c r="B213" t="s">
        <v>798</v>
      </c>
      <c r="C213" t="s">
        <v>799</v>
      </c>
      <c r="D213" t="s">
        <v>800</v>
      </c>
      <c r="E213" t="s">
        <v>780</v>
      </c>
      <c r="F213" t="s">
        <v>801</v>
      </c>
      <c r="G213" t="str">
        <f>_xlfn.XLOOKUP(frasest[[#This Row],[author_es]],autorest[author_es],autorest[author_la])</f>
        <v>Protagoras</v>
      </c>
      <c r="H213" t="str">
        <f>_xlfn.XLOOKUP(frasest[[#This Row],[author_es]],autorest[author_es],autorest[bio_es])</f>
        <v>Filósofo sofista griego de Abdera, precursor de la enseñanza retórica profesional. Autor de la máxima "El hombre es la medida de todas las cosas".</v>
      </c>
      <c r="I213" t="str">
        <f>_xlfn.XLOOKUP(frasest[[#This Row],[author_es]],autorest[author_es],autorest[bio_la])</f>
        <v>Philosophus sophista Graecus Abderita, rhetoricae artis professionalis praecursor. Auctor sententiae "Homo mensura omnium rerum est".</v>
      </c>
      <c r="J213" t="str">
        <f>_xlfn.XLOOKUP(frasest[[#This Row],[author_es]],autorest[author_es],autorest[iso3691])</f>
        <v>el</v>
      </c>
      <c r="K213" t="str">
        <f>_xlfn.XLOOKUP(frasest[[#This Row],[author_es]],autorest[author_es],autorest[language_es])</f>
        <v>Griego</v>
      </c>
      <c r="L213" t="str">
        <f>_xlfn.XLOOKUP(frasest[[#This Row],[author_es]],autorest[author_es],autorest[language_la])</f>
        <v>Lingua Graeca</v>
      </c>
      <c r="M213" t="str">
        <f>_xlfn.XLOOKUP(frasest[[#This Row],[author_es]],autorest[author_es],autorest[nation_es])</f>
        <v>Grecia</v>
      </c>
      <c r="N213" t="str">
        <f>_xlfn.XLOOKUP(frasest[[#This Row],[author_es]],autorest[author_es],autorest[nation_la])</f>
        <v>Graecia</v>
      </c>
      <c r="O213" t="str">
        <f>_xlfn.XLOOKUP(frasest[[#This Row],[author_es]],autorest[author_es],autorest[age_es])</f>
        <v>Edad Antigua</v>
      </c>
      <c r="P213" t="str">
        <f>_xlfn.XLOOKUP(frasest[[#This Row],[author_es]],autorest[author_es],autorest[age_la])</f>
        <v>Antiquitas</v>
      </c>
      <c r="Q213" t="str">
        <f>_xlfn.XLOOKUP(frasest[[#This Row],[author_es]],autorest[author_es],autorest[image])</f>
        <v>https://i.ibb.co/Q3vRf8m3/protagoras.png</v>
      </c>
      <c r="R213">
        <f>_xlfn.XLOOKUP(frasest[[#This Row],[author_es]],autorest[author_es],autorest[image_atr])</f>
        <v>0</v>
      </c>
    </row>
    <row r="214" spans="1:18">
      <c r="A214">
        <v>213</v>
      </c>
      <c r="B214" t="s">
        <v>802</v>
      </c>
      <c r="C214" t="s">
        <v>803</v>
      </c>
      <c r="D214" t="s">
        <v>804</v>
      </c>
      <c r="E214" t="s">
        <v>780</v>
      </c>
      <c r="F214" t="s">
        <v>805</v>
      </c>
      <c r="G214" t="str">
        <f>_xlfn.XLOOKUP(frasest[[#This Row],[author_es]],autorest[author_es],autorest[author_la])</f>
        <v>Protagoras</v>
      </c>
      <c r="H214" t="str">
        <f>_xlfn.XLOOKUP(frasest[[#This Row],[author_es]],autorest[author_es],autorest[bio_es])</f>
        <v>Filósofo sofista griego de Abdera, precursor de la enseñanza retórica profesional. Autor de la máxima "El hombre es la medida de todas las cosas".</v>
      </c>
      <c r="I214" t="str">
        <f>_xlfn.XLOOKUP(frasest[[#This Row],[author_es]],autorest[author_es],autorest[bio_la])</f>
        <v>Philosophus sophista Graecus Abderita, rhetoricae artis professionalis praecursor. Auctor sententiae "Homo mensura omnium rerum est".</v>
      </c>
      <c r="J214" t="str">
        <f>_xlfn.XLOOKUP(frasest[[#This Row],[author_es]],autorest[author_es],autorest[iso3691])</f>
        <v>el</v>
      </c>
      <c r="K214" t="str">
        <f>_xlfn.XLOOKUP(frasest[[#This Row],[author_es]],autorest[author_es],autorest[language_es])</f>
        <v>Griego</v>
      </c>
      <c r="L214" t="str">
        <f>_xlfn.XLOOKUP(frasest[[#This Row],[author_es]],autorest[author_es],autorest[language_la])</f>
        <v>Lingua Graeca</v>
      </c>
      <c r="M214" t="str">
        <f>_xlfn.XLOOKUP(frasest[[#This Row],[author_es]],autorest[author_es],autorest[nation_es])</f>
        <v>Grecia</v>
      </c>
      <c r="N214" t="str">
        <f>_xlfn.XLOOKUP(frasest[[#This Row],[author_es]],autorest[author_es],autorest[nation_la])</f>
        <v>Graecia</v>
      </c>
      <c r="O214" t="str">
        <f>_xlfn.XLOOKUP(frasest[[#This Row],[author_es]],autorest[author_es],autorest[age_es])</f>
        <v>Edad Antigua</v>
      </c>
      <c r="P214" t="str">
        <f>_xlfn.XLOOKUP(frasest[[#This Row],[author_es]],autorest[author_es],autorest[age_la])</f>
        <v>Antiquitas</v>
      </c>
      <c r="Q214" t="str">
        <f>_xlfn.XLOOKUP(frasest[[#This Row],[author_es]],autorest[author_es],autorest[image])</f>
        <v>https://i.ibb.co/Q3vRf8m3/protagoras.png</v>
      </c>
      <c r="R214">
        <f>_xlfn.XLOOKUP(frasest[[#This Row],[author_es]],autorest[author_es],autorest[image_atr])</f>
        <v>0</v>
      </c>
    </row>
    <row r="215" spans="1:18">
      <c r="A215">
        <v>214</v>
      </c>
      <c r="B215" t="s">
        <v>806</v>
      </c>
      <c r="C215" t="s">
        <v>807</v>
      </c>
      <c r="D215" t="s">
        <v>808</v>
      </c>
      <c r="E215" t="s">
        <v>780</v>
      </c>
      <c r="F215" t="s">
        <v>809</v>
      </c>
      <c r="G215" t="str">
        <f>_xlfn.XLOOKUP(frasest[[#This Row],[author_es]],autorest[author_es],autorest[author_la])</f>
        <v>Protagoras</v>
      </c>
      <c r="H215" t="str">
        <f>_xlfn.XLOOKUP(frasest[[#This Row],[author_es]],autorest[author_es],autorest[bio_es])</f>
        <v>Filósofo sofista griego de Abdera, precursor de la enseñanza retórica profesional. Autor de la máxima "El hombre es la medida de todas las cosas".</v>
      </c>
      <c r="I215" t="str">
        <f>_xlfn.XLOOKUP(frasest[[#This Row],[author_es]],autorest[author_es],autorest[bio_la])</f>
        <v>Philosophus sophista Graecus Abderita, rhetoricae artis professionalis praecursor. Auctor sententiae "Homo mensura omnium rerum est".</v>
      </c>
      <c r="J215" t="str">
        <f>_xlfn.XLOOKUP(frasest[[#This Row],[author_es]],autorest[author_es],autorest[iso3691])</f>
        <v>el</v>
      </c>
      <c r="K215" t="str">
        <f>_xlfn.XLOOKUP(frasest[[#This Row],[author_es]],autorest[author_es],autorest[language_es])</f>
        <v>Griego</v>
      </c>
      <c r="L215" t="str">
        <f>_xlfn.XLOOKUP(frasest[[#This Row],[author_es]],autorest[author_es],autorest[language_la])</f>
        <v>Lingua Graeca</v>
      </c>
      <c r="M215" t="str">
        <f>_xlfn.XLOOKUP(frasest[[#This Row],[author_es]],autorest[author_es],autorest[nation_es])</f>
        <v>Grecia</v>
      </c>
      <c r="N215" t="str">
        <f>_xlfn.XLOOKUP(frasest[[#This Row],[author_es]],autorest[author_es],autorest[nation_la])</f>
        <v>Graecia</v>
      </c>
      <c r="O215" t="str">
        <f>_xlfn.XLOOKUP(frasest[[#This Row],[author_es]],autorest[author_es],autorest[age_es])</f>
        <v>Edad Antigua</v>
      </c>
      <c r="P215" t="str">
        <f>_xlfn.XLOOKUP(frasest[[#This Row],[author_es]],autorest[author_es],autorest[age_la])</f>
        <v>Antiquitas</v>
      </c>
      <c r="Q215" t="str">
        <f>_xlfn.XLOOKUP(frasest[[#This Row],[author_es]],autorest[author_es],autorest[image])</f>
        <v>https://i.ibb.co/Q3vRf8m3/protagoras.png</v>
      </c>
      <c r="R215">
        <f>_xlfn.XLOOKUP(frasest[[#This Row],[author_es]],autorest[author_es],autorest[image_atr])</f>
        <v>0</v>
      </c>
    </row>
    <row r="216" spans="1:18">
      <c r="A216">
        <v>215</v>
      </c>
      <c r="B216" t="s">
        <v>810</v>
      </c>
      <c r="C216" t="s">
        <v>811</v>
      </c>
      <c r="D216" t="s">
        <v>812</v>
      </c>
      <c r="E216" t="s">
        <v>780</v>
      </c>
      <c r="F216" t="s">
        <v>813</v>
      </c>
      <c r="G216" t="str">
        <f>_xlfn.XLOOKUP(frasest[[#This Row],[author_es]],autorest[author_es],autorest[author_la])</f>
        <v>Protagoras</v>
      </c>
      <c r="H216" t="str">
        <f>_xlfn.XLOOKUP(frasest[[#This Row],[author_es]],autorest[author_es],autorest[bio_es])</f>
        <v>Filósofo sofista griego de Abdera, precursor de la enseñanza retórica profesional. Autor de la máxima "El hombre es la medida de todas las cosas".</v>
      </c>
      <c r="I216" t="str">
        <f>_xlfn.XLOOKUP(frasest[[#This Row],[author_es]],autorest[author_es],autorest[bio_la])</f>
        <v>Philosophus sophista Graecus Abderita, rhetoricae artis professionalis praecursor. Auctor sententiae "Homo mensura omnium rerum est".</v>
      </c>
      <c r="J216" t="str">
        <f>_xlfn.XLOOKUP(frasest[[#This Row],[author_es]],autorest[author_es],autorest[iso3691])</f>
        <v>el</v>
      </c>
      <c r="K216" t="str">
        <f>_xlfn.XLOOKUP(frasest[[#This Row],[author_es]],autorest[author_es],autorest[language_es])</f>
        <v>Griego</v>
      </c>
      <c r="L216" t="str">
        <f>_xlfn.XLOOKUP(frasest[[#This Row],[author_es]],autorest[author_es],autorest[language_la])</f>
        <v>Lingua Graeca</v>
      </c>
      <c r="M216" t="str">
        <f>_xlfn.XLOOKUP(frasest[[#This Row],[author_es]],autorest[author_es],autorest[nation_es])</f>
        <v>Grecia</v>
      </c>
      <c r="N216" t="str">
        <f>_xlfn.XLOOKUP(frasest[[#This Row],[author_es]],autorest[author_es],autorest[nation_la])</f>
        <v>Graecia</v>
      </c>
      <c r="O216" t="str">
        <f>_xlfn.XLOOKUP(frasest[[#This Row],[author_es]],autorest[author_es],autorest[age_es])</f>
        <v>Edad Antigua</v>
      </c>
      <c r="P216" t="str">
        <f>_xlfn.XLOOKUP(frasest[[#This Row],[author_es]],autorest[author_es],autorest[age_la])</f>
        <v>Antiquitas</v>
      </c>
      <c r="Q216" t="str">
        <f>_xlfn.XLOOKUP(frasest[[#This Row],[author_es]],autorest[author_es],autorest[image])</f>
        <v>https://i.ibb.co/Q3vRf8m3/protagoras.png</v>
      </c>
      <c r="R216">
        <f>_xlfn.XLOOKUP(frasest[[#This Row],[author_es]],autorest[author_es],autorest[image_atr])</f>
        <v>0</v>
      </c>
    </row>
    <row r="217" spans="1:18">
      <c r="A217">
        <v>216</v>
      </c>
      <c r="B217" t="s">
        <v>814</v>
      </c>
      <c r="C217" t="s">
        <v>815</v>
      </c>
      <c r="D217" t="s">
        <v>816</v>
      </c>
      <c r="E217" t="s">
        <v>780</v>
      </c>
      <c r="F217" t="s">
        <v>817</v>
      </c>
      <c r="G217" t="str">
        <f>_xlfn.XLOOKUP(frasest[[#This Row],[author_es]],autorest[author_es],autorest[author_la])</f>
        <v>Protagoras</v>
      </c>
      <c r="H217" t="str">
        <f>_xlfn.XLOOKUP(frasest[[#This Row],[author_es]],autorest[author_es],autorest[bio_es])</f>
        <v>Filósofo sofista griego de Abdera, precursor de la enseñanza retórica profesional. Autor de la máxima "El hombre es la medida de todas las cosas".</v>
      </c>
      <c r="I217" t="str">
        <f>_xlfn.XLOOKUP(frasest[[#This Row],[author_es]],autorest[author_es],autorest[bio_la])</f>
        <v>Philosophus sophista Graecus Abderita, rhetoricae artis professionalis praecursor. Auctor sententiae "Homo mensura omnium rerum est".</v>
      </c>
      <c r="J217" t="str">
        <f>_xlfn.XLOOKUP(frasest[[#This Row],[author_es]],autorest[author_es],autorest[iso3691])</f>
        <v>el</v>
      </c>
      <c r="K217" t="str">
        <f>_xlfn.XLOOKUP(frasest[[#This Row],[author_es]],autorest[author_es],autorest[language_es])</f>
        <v>Griego</v>
      </c>
      <c r="L217" t="str">
        <f>_xlfn.XLOOKUP(frasest[[#This Row],[author_es]],autorest[author_es],autorest[language_la])</f>
        <v>Lingua Graeca</v>
      </c>
      <c r="M217" t="str">
        <f>_xlfn.XLOOKUP(frasest[[#This Row],[author_es]],autorest[author_es],autorest[nation_es])</f>
        <v>Grecia</v>
      </c>
      <c r="N217" t="str">
        <f>_xlfn.XLOOKUP(frasest[[#This Row],[author_es]],autorest[author_es],autorest[nation_la])</f>
        <v>Graecia</v>
      </c>
      <c r="O217" t="str">
        <f>_xlfn.XLOOKUP(frasest[[#This Row],[author_es]],autorest[author_es],autorest[age_es])</f>
        <v>Edad Antigua</v>
      </c>
      <c r="P217" t="str">
        <f>_xlfn.XLOOKUP(frasest[[#This Row],[author_es]],autorest[author_es],autorest[age_la])</f>
        <v>Antiquitas</v>
      </c>
      <c r="Q217" t="str">
        <f>_xlfn.XLOOKUP(frasest[[#This Row],[author_es]],autorest[author_es],autorest[image])</f>
        <v>https://i.ibb.co/Q3vRf8m3/protagoras.png</v>
      </c>
      <c r="R217">
        <f>_xlfn.XLOOKUP(frasest[[#This Row],[author_es]],autorest[author_es],autorest[image_atr])</f>
        <v>0</v>
      </c>
    </row>
    <row r="218" spans="1:18">
      <c r="A218">
        <v>217</v>
      </c>
      <c r="B218" t="s">
        <v>818</v>
      </c>
      <c r="C218" t="s">
        <v>819</v>
      </c>
      <c r="D218" t="s">
        <v>820</v>
      </c>
      <c r="E218" t="s">
        <v>821</v>
      </c>
      <c r="F218" t="s">
        <v>822</v>
      </c>
      <c r="G218" t="str">
        <f>_xlfn.XLOOKUP(frasest[[#This Row],[author_es]],autorest[author_es],autorest[author_la])</f>
        <v>Clemens Romanus</v>
      </c>
      <c r="H218" t="str">
        <f>_xlfn.XLOOKUP(frasest[[#This Row],[author_es]],autorest[author_es],autorest[bio_es])</f>
        <v>Cuarto papa de la Iglesia, Padre Apostólico y mártir. Autor de la carta a los Corintios, documento papal más antiguo después de las epístolas de San Pedro.</v>
      </c>
      <c r="I218" t="str">
        <f>_xlfn.XLOOKUP(frasest[[#This Row],[author_es]],autorest[author_es],autorest[bio_la])</f>
        <v>Quartus Papa Ecclesiae, Pater Apostolicus et martyr. Auctor epistulae ad Corinthios, documentum pontificale antiquissimum post epistulas Sancti Petri.</v>
      </c>
      <c r="J218" t="str">
        <f>_xlfn.XLOOKUP(frasest[[#This Row],[author_es]],autorest[author_es],autorest[iso3691])</f>
        <v>la</v>
      </c>
      <c r="K218" t="str">
        <f>_xlfn.XLOOKUP(frasest[[#This Row],[author_es]],autorest[author_es],autorest[language_es])</f>
        <v>Latín</v>
      </c>
      <c r="L218" t="str">
        <f>_xlfn.XLOOKUP(frasest[[#This Row],[author_es]],autorest[author_es],autorest[language_la])</f>
        <v>Lingua Latina</v>
      </c>
      <c r="M218" t="str">
        <f>_xlfn.XLOOKUP(frasest[[#This Row],[author_es]],autorest[author_es],autorest[nation_es])</f>
        <v>Roma</v>
      </c>
      <c r="N218" t="str">
        <f>_xlfn.XLOOKUP(frasest[[#This Row],[author_es]],autorest[author_es],autorest[nation_la])</f>
        <v>Roma</v>
      </c>
      <c r="O218" t="str">
        <f>_xlfn.XLOOKUP(frasest[[#This Row],[author_es]],autorest[author_es],autorest[age_es])</f>
        <v>Edad Antigua</v>
      </c>
      <c r="P218" t="str">
        <f>_xlfn.XLOOKUP(frasest[[#This Row],[author_es]],autorest[author_es],autorest[age_la])</f>
        <v>Antiquitas</v>
      </c>
      <c r="Q218" t="str">
        <f>_xlfn.XLOOKUP(frasest[[#This Row],[author_es]],autorest[author_es],autorest[image])</f>
        <v>https://i.ibb.co/TDXTVzjk/sanclemente.png</v>
      </c>
      <c r="R218">
        <f>_xlfn.XLOOKUP(frasest[[#This Row],[author_es]],autorest[author_es],autorest[image_atr])</f>
        <v>0</v>
      </c>
    </row>
    <row r="219" spans="1:18">
      <c r="A219">
        <v>218</v>
      </c>
      <c r="B219" t="s">
        <v>823</v>
      </c>
      <c r="C219" t="s">
        <v>824</v>
      </c>
      <c r="D219" t="s">
        <v>824</v>
      </c>
      <c r="E219" t="s">
        <v>821</v>
      </c>
      <c r="F219" t="s">
        <v>825</v>
      </c>
      <c r="G219" t="str">
        <f>_xlfn.XLOOKUP(frasest[[#This Row],[author_es]],autorest[author_es],autorest[author_la])</f>
        <v>Clemens Romanus</v>
      </c>
      <c r="H219" t="str">
        <f>_xlfn.XLOOKUP(frasest[[#This Row],[author_es]],autorest[author_es],autorest[bio_es])</f>
        <v>Cuarto papa de la Iglesia, Padre Apostólico y mártir. Autor de la carta a los Corintios, documento papal más antiguo después de las epístolas de San Pedro.</v>
      </c>
      <c r="I219" t="str">
        <f>_xlfn.XLOOKUP(frasest[[#This Row],[author_es]],autorest[author_es],autorest[bio_la])</f>
        <v>Quartus Papa Ecclesiae, Pater Apostolicus et martyr. Auctor epistulae ad Corinthios, documentum pontificale antiquissimum post epistulas Sancti Petri.</v>
      </c>
      <c r="J219" t="str">
        <f>_xlfn.XLOOKUP(frasest[[#This Row],[author_es]],autorest[author_es],autorest[iso3691])</f>
        <v>la</v>
      </c>
      <c r="K219" t="str">
        <f>_xlfn.XLOOKUP(frasest[[#This Row],[author_es]],autorest[author_es],autorest[language_es])</f>
        <v>Latín</v>
      </c>
      <c r="L219" t="str">
        <f>_xlfn.XLOOKUP(frasest[[#This Row],[author_es]],autorest[author_es],autorest[language_la])</f>
        <v>Lingua Latina</v>
      </c>
      <c r="M219" t="str">
        <f>_xlfn.XLOOKUP(frasest[[#This Row],[author_es]],autorest[author_es],autorest[nation_es])</f>
        <v>Roma</v>
      </c>
      <c r="N219" t="str">
        <f>_xlfn.XLOOKUP(frasest[[#This Row],[author_es]],autorest[author_es],autorest[nation_la])</f>
        <v>Roma</v>
      </c>
      <c r="O219" t="str">
        <f>_xlfn.XLOOKUP(frasest[[#This Row],[author_es]],autorest[author_es],autorest[age_es])</f>
        <v>Edad Antigua</v>
      </c>
      <c r="P219" t="str">
        <f>_xlfn.XLOOKUP(frasest[[#This Row],[author_es]],autorest[author_es],autorest[age_la])</f>
        <v>Antiquitas</v>
      </c>
      <c r="Q219" t="str">
        <f>_xlfn.XLOOKUP(frasest[[#This Row],[author_es]],autorest[author_es],autorest[image])</f>
        <v>https://i.ibb.co/TDXTVzjk/sanclemente.png</v>
      </c>
      <c r="R219">
        <f>_xlfn.XLOOKUP(frasest[[#This Row],[author_es]],autorest[author_es],autorest[image_atr])</f>
        <v>0</v>
      </c>
    </row>
    <row r="220" spans="1:18">
      <c r="A220">
        <v>219</v>
      </c>
      <c r="B220" t="s">
        <v>826</v>
      </c>
      <c r="C220" t="s">
        <v>827</v>
      </c>
      <c r="D220" t="s">
        <v>827</v>
      </c>
      <c r="E220" t="s">
        <v>821</v>
      </c>
      <c r="F220" t="s">
        <v>828</v>
      </c>
      <c r="G220" t="str">
        <f>_xlfn.XLOOKUP(frasest[[#This Row],[author_es]],autorest[author_es],autorest[author_la])</f>
        <v>Clemens Romanus</v>
      </c>
      <c r="H220" t="str">
        <f>_xlfn.XLOOKUP(frasest[[#This Row],[author_es]],autorest[author_es],autorest[bio_es])</f>
        <v>Cuarto papa de la Iglesia, Padre Apostólico y mártir. Autor de la carta a los Corintios, documento papal más antiguo después de las epístolas de San Pedro.</v>
      </c>
      <c r="I220" t="str">
        <f>_xlfn.XLOOKUP(frasest[[#This Row],[author_es]],autorest[author_es],autorest[bio_la])</f>
        <v>Quartus Papa Ecclesiae, Pater Apostolicus et martyr. Auctor epistulae ad Corinthios, documentum pontificale antiquissimum post epistulas Sancti Petri.</v>
      </c>
      <c r="J220" t="str">
        <f>_xlfn.XLOOKUP(frasest[[#This Row],[author_es]],autorest[author_es],autorest[iso3691])</f>
        <v>la</v>
      </c>
      <c r="K220" t="str">
        <f>_xlfn.XLOOKUP(frasest[[#This Row],[author_es]],autorest[author_es],autorest[language_es])</f>
        <v>Latín</v>
      </c>
      <c r="L220" t="str">
        <f>_xlfn.XLOOKUP(frasest[[#This Row],[author_es]],autorest[author_es],autorest[language_la])</f>
        <v>Lingua Latina</v>
      </c>
      <c r="M220" t="str">
        <f>_xlfn.XLOOKUP(frasest[[#This Row],[author_es]],autorest[author_es],autorest[nation_es])</f>
        <v>Roma</v>
      </c>
      <c r="N220" t="str">
        <f>_xlfn.XLOOKUP(frasest[[#This Row],[author_es]],autorest[author_es],autorest[nation_la])</f>
        <v>Roma</v>
      </c>
      <c r="O220" t="str">
        <f>_xlfn.XLOOKUP(frasest[[#This Row],[author_es]],autorest[author_es],autorest[age_es])</f>
        <v>Edad Antigua</v>
      </c>
      <c r="P220" t="str">
        <f>_xlfn.XLOOKUP(frasest[[#This Row],[author_es]],autorest[author_es],autorest[age_la])</f>
        <v>Antiquitas</v>
      </c>
      <c r="Q220" t="str">
        <f>_xlfn.XLOOKUP(frasest[[#This Row],[author_es]],autorest[author_es],autorest[image])</f>
        <v>https://i.ibb.co/TDXTVzjk/sanclemente.png</v>
      </c>
      <c r="R220">
        <f>_xlfn.XLOOKUP(frasest[[#This Row],[author_es]],autorest[author_es],autorest[image_atr])</f>
        <v>0</v>
      </c>
    </row>
    <row r="221" spans="1:18">
      <c r="A221">
        <v>220</v>
      </c>
      <c r="B221" t="s">
        <v>829</v>
      </c>
      <c r="C221" t="s">
        <v>830</v>
      </c>
      <c r="D221" t="s">
        <v>830</v>
      </c>
      <c r="E221" t="s">
        <v>821</v>
      </c>
      <c r="F221" t="s">
        <v>831</v>
      </c>
      <c r="G221" t="str">
        <f>_xlfn.XLOOKUP(frasest[[#This Row],[author_es]],autorest[author_es],autorest[author_la])</f>
        <v>Clemens Romanus</v>
      </c>
      <c r="H221" t="str">
        <f>_xlfn.XLOOKUP(frasest[[#This Row],[author_es]],autorest[author_es],autorest[bio_es])</f>
        <v>Cuarto papa de la Iglesia, Padre Apostólico y mártir. Autor de la carta a los Corintios, documento papal más antiguo después de las epístolas de San Pedro.</v>
      </c>
      <c r="I221" t="str">
        <f>_xlfn.XLOOKUP(frasest[[#This Row],[author_es]],autorest[author_es],autorest[bio_la])</f>
        <v>Quartus Papa Ecclesiae, Pater Apostolicus et martyr. Auctor epistulae ad Corinthios, documentum pontificale antiquissimum post epistulas Sancti Petri.</v>
      </c>
      <c r="J221" t="str">
        <f>_xlfn.XLOOKUP(frasest[[#This Row],[author_es]],autorest[author_es],autorest[iso3691])</f>
        <v>la</v>
      </c>
      <c r="K221" t="str">
        <f>_xlfn.XLOOKUP(frasest[[#This Row],[author_es]],autorest[author_es],autorest[language_es])</f>
        <v>Latín</v>
      </c>
      <c r="L221" t="str">
        <f>_xlfn.XLOOKUP(frasest[[#This Row],[author_es]],autorest[author_es],autorest[language_la])</f>
        <v>Lingua Latina</v>
      </c>
      <c r="M221" t="str">
        <f>_xlfn.XLOOKUP(frasest[[#This Row],[author_es]],autorest[author_es],autorest[nation_es])</f>
        <v>Roma</v>
      </c>
      <c r="N221" t="str">
        <f>_xlfn.XLOOKUP(frasest[[#This Row],[author_es]],autorest[author_es],autorest[nation_la])</f>
        <v>Roma</v>
      </c>
      <c r="O221" t="str">
        <f>_xlfn.XLOOKUP(frasest[[#This Row],[author_es]],autorest[author_es],autorest[age_es])</f>
        <v>Edad Antigua</v>
      </c>
      <c r="P221" t="str">
        <f>_xlfn.XLOOKUP(frasest[[#This Row],[author_es]],autorest[author_es],autorest[age_la])</f>
        <v>Antiquitas</v>
      </c>
      <c r="Q221" t="str">
        <f>_xlfn.XLOOKUP(frasest[[#This Row],[author_es]],autorest[author_es],autorest[image])</f>
        <v>https://i.ibb.co/TDXTVzjk/sanclemente.png</v>
      </c>
      <c r="R221">
        <f>_xlfn.XLOOKUP(frasest[[#This Row],[author_es]],autorest[author_es],autorest[image_atr])</f>
        <v>0</v>
      </c>
    </row>
    <row r="222" spans="1:18">
      <c r="A222">
        <v>221</v>
      </c>
      <c r="B222" t="s">
        <v>832</v>
      </c>
      <c r="C222" t="s">
        <v>833</v>
      </c>
      <c r="D222" t="s">
        <v>833</v>
      </c>
      <c r="E222" t="s">
        <v>821</v>
      </c>
      <c r="F222" t="s">
        <v>834</v>
      </c>
      <c r="G222" t="str">
        <f>_xlfn.XLOOKUP(frasest[[#This Row],[author_es]],autorest[author_es],autorest[author_la])</f>
        <v>Clemens Romanus</v>
      </c>
      <c r="H222" t="str">
        <f>_xlfn.XLOOKUP(frasest[[#This Row],[author_es]],autorest[author_es],autorest[bio_es])</f>
        <v>Cuarto papa de la Iglesia, Padre Apostólico y mártir. Autor de la carta a los Corintios, documento papal más antiguo después de las epístolas de San Pedro.</v>
      </c>
      <c r="I222" t="str">
        <f>_xlfn.XLOOKUP(frasest[[#This Row],[author_es]],autorest[author_es],autorest[bio_la])</f>
        <v>Quartus Papa Ecclesiae, Pater Apostolicus et martyr. Auctor epistulae ad Corinthios, documentum pontificale antiquissimum post epistulas Sancti Petri.</v>
      </c>
      <c r="J222" t="str">
        <f>_xlfn.XLOOKUP(frasest[[#This Row],[author_es]],autorest[author_es],autorest[iso3691])</f>
        <v>la</v>
      </c>
      <c r="K222" t="str">
        <f>_xlfn.XLOOKUP(frasest[[#This Row],[author_es]],autorest[author_es],autorest[language_es])</f>
        <v>Latín</v>
      </c>
      <c r="L222" t="str">
        <f>_xlfn.XLOOKUP(frasest[[#This Row],[author_es]],autorest[author_es],autorest[language_la])</f>
        <v>Lingua Latina</v>
      </c>
      <c r="M222" t="str">
        <f>_xlfn.XLOOKUP(frasest[[#This Row],[author_es]],autorest[author_es],autorest[nation_es])</f>
        <v>Roma</v>
      </c>
      <c r="N222" t="str">
        <f>_xlfn.XLOOKUP(frasest[[#This Row],[author_es]],autorest[author_es],autorest[nation_la])</f>
        <v>Roma</v>
      </c>
      <c r="O222" t="str">
        <f>_xlfn.XLOOKUP(frasest[[#This Row],[author_es]],autorest[author_es],autorest[age_es])</f>
        <v>Edad Antigua</v>
      </c>
      <c r="P222" t="str">
        <f>_xlfn.XLOOKUP(frasest[[#This Row],[author_es]],autorest[author_es],autorest[age_la])</f>
        <v>Antiquitas</v>
      </c>
      <c r="Q222" t="str">
        <f>_xlfn.XLOOKUP(frasest[[#This Row],[author_es]],autorest[author_es],autorest[image])</f>
        <v>https://i.ibb.co/TDXTVzjk/sanclemente.png</v>
      </c>
      <c r="R222">
        <f>_xlfn.XLOOKUP(frasest[[#This Row],[author_es]],autorest[author_es],autorest[image_atr])</f>
        <v>0</v>
      </c>
    </row>
    <row r="223" spans="1:18">
      <c r="A223">
        <v>222</v>
      </c>
      <c r="B223" t="s">
        <v>835</v>
      </c>
      <c r="C223" t="s">
        <v>836</v>
      </c>
      <c r="D223" t="s">
        <v>836</v>
      </c>
      <c r="E223" t="s">
        <v>821</v>
      </c>
      <c r="F223" t="s">
        <v>825</v>
      </c>
      <c r="G223" t="str">
        <f>_xlfn.XLOOKUP(frasest[[#This Row],[author_es]],autorest[author_es],autorest[author_la])</f>
        <v>Clemens Romanus</v>
      </c>
      <c r="H223" t="str">
        <f>_xlfn.XLOOKUP(frasest[[#This Row],[author_es]],autorest[author_es],autorest[bio_es])</f>
        <v>Cuarto papa de la Iglesia, Padre Apostólico y mártir. Autor de la carta a los Corintios, documento papal más antiguo después de las epístolas de San Pedro.</v>
      </c>
      <c r="I223" t="str">
        <f>_xlfn.XLOOKUP(frasest[[#This Row],[author_es]],autorest[author_es],autorest[bio_la])</f>
        <v>Quartus Papa Ecclesiae, Pater Apostolicus et martyr. Auctor epistulae ad Corinthios, documentum pontificale antiquissimum post epistulas Sancti Petri.</v>
      </c>
      <c r="J223" t="str">
        <f>_xlfn.XLOOKUP(frasest[[#This Row],[author_es]],autorest[author_es],autorest[iso3691])</f>
        <v>la</v>
      </c>
      <c r="K223" t="str">
        <f>_xlfn.XLOOKUP(frasest[[#This Row],[author_es]],autorest[author_es],autorest[language_es])</f>
        <v>Latín</v>
      </c>
      <c r="L223" t="str">
        <f>_xlfn.XLOOKUP(frasest[[#This Row],[author_es]],autorest[author_es],autorest[language_la])</f>
        <v>Lingua Latina</v>
      </c>
      <c r="M223" t="str">
        <f>_xlfn.XLOOKUP(frasest[[#This Row],[author_es]],autorest[author_es],autorest[nation_es])</f>
        <v>Roma</v>
      </c>
      <c r="N223" t="str">
        <f>_xlfn.XLOOKUP(frasest[[#This Row],[author_es]],autorest[author_es],autorest[nation_la])</f>
        <v>Roma</v>
      </c>
      <c r="O223" t="str">
        <f>_xlfn.XLOOKUP(frasest[[#This Row],[author_es]],autorest[author_es],autorest[age_es])</f>
        <v>Edad Antigua</v>
      </c>
      <c r="P223" t="str">
        <f>_xlfn.XLOOKUP(frasest[[#This Row],[author_es]],autorest[author_es],autorest[age_la])</f>
        <v>Antiquitas</v>
      </c>
      <c r="Q223" t="str">
        <f>_xlfn.XLOOKUP(frasest[[#This Row],[author_es]],autorest[author_es],autorest[image])</f>
        <v>https://i.ibb.co/TDXTVzjk/sanclemente.png</v>
      </c>
      <c r="R223">
        <f>_xlfn.XLOOKUP(frasest[[#This Row],[author_es]],autorest[author_es],autorest[image_atr])</f>
        <v>0</v>
      </c>
    </row>
    <row r="224" spans="1:18">
      <c r="A224">
        <v>223</v>
      </c>
      <c r="B224" t="s">
        <v>837</v>
      </c>
      <c r="C224" t="s">
        <v>838</v>
      </c>
      <c r="D224" t="s">
        <v>838</v>
      </c>
      <c r="E224" t="s">
        <v>821</v>
      </c>
      <c r="F224" t="s">
        <v>839</v>
      </c>
      <c r="G224" t="str">
        <f>_xlfn.XLOOKUP(frasest[[#This Row],[author_es]],autorest[author_es],autorest[author_la])</f>
        <v>Clemens Romanus</v>
      </c>
      <c r="H224" t="str">
        <f>_xlfn.XLOOKUP(frasest[[#This Row],[author_es]],autorest[author_es],autorest[bio_es])</f>
        <v>Cuarto papa de la Iglesia, Padre Apostólico y mártir. Autor de la carta a los Corintios, documento papal más antiguo después de las epístolas de San Pedro.</v>
      </c>
      <c r="I224" t="str">
        <f>_xlfn.XLOOKUP(frasest[[#This Row],[author_es]],autorest[author_es],autorest[bio_la])</f>
        <v>Quartus Papa Ecclesiae, Pater Apostolicus et martyr. Auctor epistulae ad Corinthios, documentum pontificale antiquissimum post epistulas Sancti Petri.</v>
      </c>
      <c r="J224" t="str">
        <f>_xlfn.XLOOKUP(frasest[[#This Row],[author_es]],autorest[author_es],autorest[iso3691])</f>
        <v>la</v>
      </c>
      <c r="K224" t="str">
        <f>_xlfn.XLOOKUP(frasest[[#This Row],[author_es]],autorest[author_es],autorest[language_es])</f>
        <v>Latín</v>
      </c>
      <c r="L224" t="str">
        <f>_xlfn.XLOOKUP(frasest[[#This Row],[author_es]],autorest[author_es],autorest[language_la])</f>
        <v>Lingua Latina</v>
      </c>
      <c r="M224" t="str">
        <f>_xlfn.XLOOKUP(frasest[[#This Row],[author_es]],autorest[author_es],autorest[nation_es])</f>
        <v>Roma</v>
      </c>
      <c r="N224" t="str">
        <f>_xlfn.XLOOKUP(frasest[[#This Row],[author_es]],autorest[author_es],autorest[nation_la])</f>
        <v>Roma</v>
      </c>
      <c r="O224" t="str">
        <f>_xlfn.XLOOKUP(frasest[[#This Row],[author_es]],autorest[author_es],autorest[age_es])</f>
        <v>Edad Antigua</v>
      </c>
      <c r="P224" t="str">
        <f>_xlfn.XLOOKUP(frasest[[#This Row],[author_es]],autorest[author_es],autorest[age_la])</f>
        <v>Antiquitas</v>
      </c>
      <c r="Q224" t="str">
        <f>_xlfn.XLOOKUP(frasest[[#This Row],[author_es]],autorest[author_es],autorest[image])</f>
        <v>https://i.ibb.co/TDXTVzjk/sanclemente.png</v>
      </c>
      <c r="R224">
        <f>_xlfn.XLOOKUP(frasest[[#This Row],[author_es]],autorest[author_es],autorest[image_atr])</f>
        <v>0</v>
      </c>
    </row>
    <row r="225" spans="1:18">
      <c r="A225">
        <v>224</v>
      </c>
      <c r="B225" t="s">
        <v>840</v>
      </c>
      <c r="C225" t="s">
        <v>841</v>
      </c>
      <c r="D225" t="s">
        <v>841</v>
      </c>
      <c r="E225" t="s">
        <v>821</v>
      </c>
      <c r="F225" t="s">
        <v>828</v>
      </c>
      <c r="G225" t="str">
        <f>_xlfn.XLOOKUP(frasest[[#This Row],[author_es]],autorest[author_es],autorest[author_la])</f>
        <v>Clemens Romanus</v>
      </c>
      <c r="H225" t="str">
        <f>_xlfn.XLOOKUP(frasest[[#This Row],[author_es]],autorest[author_es],autorest[bio_es])</f>
        <v>Cuarto papa de la Iglesia, Padre Apostólico y mártir. Autor de la carta a los Corintios, documento papal más antiguo después de las epístolas de San Pedro.</v>
      </c>
      <c r="I225" t="str">
        <f>_xlfn.XLOOKUP(frasest[[#This Row],[author_es]],autorest[author_es],autorest[bio_la])</f>
        <v>Quartus Papa Ecclesiae, Pater Apostolicus et martyr. Auctor epistulae ad Corinthios, documentum pontificale antiquissimum post epistulas Sancti Petri.</v>
      </c>
      <c r="J225" t="str">
        <f>_xlfn.XLOOKUP(frasest[[#This Row],[author_es]],autorest[author_es],autorest[iso3691])</f>
        <v>la</v>
      </c>
      <c r="K225" t="str">
        <f>_xlfn.XLOOKUP(frasest[[#This Row],[author_es]],autorest[author_es],autorest[language_es])</f>
        <v>Latín</v>
      </c>
      <c r="L225" t="str">
        <f>_xlfn.XLOOKUP(frasest[[#This Row],[author_es]],autorest[author_es],autorest[language_la])</f>
        <v>Lingua Latina</v>
      </c>
      <c r="M225" t="str">
        <f>_xlfn.XLOOKUP(frasest[[#This Row],[author_es]],autorest[author_es],autorest[nation_es])</f>
        <v>Roma</v>
      </c>
      <c r="N225" t="str">
        <f>_xlfn.XLOOKUP(frasest[[#This Row],[author_es]],autorest[author_es],autorest[nation_la])</f>
        <v>Roma</v>
      </c>
      <c r="O225" t="str">
        <f>_xlfn.XLOOKUP(frasest[[#This Row],[author_es]],autorest[author_es],autorest[age_es])</f>
        <v>Edad Antigua</v>
      </c>
      <c r="P225" t="str">
        <f>_xlfn.XLOOKUP(frasest[[#This Row],[author_es]],autorest[author_es],autorest[age_la])</f>
        <v>Antiquitas</v>
      </c>
      <c r="Q225" t="str">
        <f>_xlfn.XLOOKUP(frasest[[#This Row],[author_es]],autorest[author_es],autorest[image])</f>
        <v>https://i.ibb.co/TDXTVzjk/sanclemente.png</v>
      </c>
      <c r="R225">
        <f>_xlfn.XLOOKUP(frasest[[#This Row],[author_es]],autorest[author_es],autorest[image_atr])</f>
        <v>0</v>
      </c>
    </row>
    <row r="226" spans="1:18">
      <c r="A226">
        <v>225</v>
      </c>
      <c r="B226" t="s">
        <v>842</v>
      </c>
      <c r="C226" t="s">
        <v>843</v>
      </c>
      <c r="D226" t="s">
        <v>843</v>
      </c>
      <c r="E226" t="s">
        <v>821</v>
      </c>
      <c r="F226" t="s">
        <v>844</v>
      </c>
      <c r="G226" t="str">
        <f>_xlfn.XLOOKUP(frasest[[#This Row],[author_es]],autorest[author_es],autorest[author_la])</f>
        <v>Clemens Romanus</v>
      </c>
      <c r="H226" t="str">
        <f>_xlfn.XLOOKUP(frasest[[#This Row],[author_es]],autorest[author_es],autorest[bio_es])</f>
        <v>Cuarto papa de la Iglesia, Padre Apostólico y mártir. Autor de la carta a los Corintios, documento papal más antiguo después de las epístolas de San Pedro.</v>
      </c>
      <c r="I226" t="str">
        <f>_xlfn.XLOOKUP(frasest[[#This Row],[author_es]],autorest[author_es],autorest[bio_la])</f>
        <v>Quartus Papa Ecclesiae, Pater Apostolicus et martyr. Auctor epistulae ad Corinthios, documentum pontificale antiquissimum post epistulas Sancti Petri.</v>
      </c>
      <c r="J226" t="str">
        <f>_xlfn.XLOOKUP(frasest[[#This Row],[author_es]],autorest[author_es],autorest[iso3691])</f>
        <v>la</v>
      </c>
      <c r="K226" t="str">
        <f>_xlfn.XLOOKUP(frasest[[#This Row],[author_es]],autorest[author_es],autorest[language_es])</f>
        <v>Latín</v>
      </c>
      <c r="L226" t="str">
        <f>_xlfn.XLOOKUP(frasest[[#This Row],[author_es]],autorest[author_es],autorest[language_la])</f>
        <v>Lingua Latina</v>
      </c>
      <c r="M226" t="str">
        <f>_xlfn.XLOOKUP(frasest[[#This Row],[author_es]],autorest[author_es],autorest[nation_es])</f>
        <v>Roma</v>
      </c>
      <c r="N226" t="str">
        <f>_xlfn.XLOOKUP(frasest[[#This Row],[author_es]],autorest[author_es],autorest[nation_la])</f>
        <v>Roma</v>
      </c>
      <c r="O226" t="str">
        <f>_xlfn.XLOOKUP(frasest[[#This Row],[author_es]],autorest[author_es],autorest[age_es])</f>
        <v>Edad Antigua</v>
      </c>
      <c r="P226" t="str">
        <f>_xlfn.XLOOKUP(frasest[[#This Row],[author_es]],autorest[author_es],autorest[age_la])</f>
        <v>Antiquitas</v>
      </c>
      <c r="Q226" t="str">
        <f>_xlfn.XLOOKUP(frasest[[#This Row],[author_es]],autorest[author_es],autorest[image])</f>
        <v>https://i.ibb.co/TDXTVzjk/sanclemente.png</v>
      </c>
      <c r="R226">
        <f>_xlfn.XLOOKUP(frasest[[#This Row],[author_es]],autorest[author_es],autorest[image_atr])</f>
        <v>0</v>
      </c>
    </row>
    <row r="227" spans="1:18">
      <c r="A227">
        <v>226</v>
      </c>
      <c r="B227" t="s">
        <v>845</v>
      </c>
      <c r="C227" t="s">
        <v>846</v>
      </c>
      <c r="D227" t="s">
        <v>846</v>
      </c>
      <c r="E227" t="s">
        <v>821</v>
      </c>
      <c r="F227" t="s">
        <v>847</v>
      </c>
      <c r="G227" t="str">
        <f>_xlfn.XLOOKUP(frasest[[#This Row],[author_es]],autorest[author_es],autorest[author_la])</f>
        <v>Clemens Romanus</v>
      </c>
      <c r="H227" t="str">
        <f>_xlfn.XLOOKUP(frasest[[#This Row],[author_es]],autorest[author_es],autorest[bio_es])</f>
        <v>Cuarto papa de la Iglesia, Padre Apostólico y mártir. Autor de la carta a los Corintios, documento papal más antiguo después de las epístolas de San Pedro.</v>
      </c>
      <c r="I227" t="str">
        <f>_xlfn.XLOOKUP(frasest[[#This Row],[author_es]],autorest[author_es],autorest[bio_la])</f>
        <v>Quartus Papa Ecclesiae, Pater Apostolicus et martyr. Auctor epistulae ad Corinthios, documentum pontificale antiquissimum post epistulas Sancti Petri.</v>
      </c>
      <c r="J227" t="str">
        <f>_xlfn.XLOOKUP(frasest[[#This Row],[author_es]],autorest[author_es],autorest[iso3691])</f>
        <v>la</v>
      </c>
      <c r="K227" t="str">
        <f>_xlfn.XLOOKUP(frasest[[#This Row],[author_es]],autorest[author_es],autorest[language_es])</f>
        <v>Latín</v>
      </c>
      <c r="L227" t="str">
        <f>_xlfn.XLOOKUP(frasest[[#This Row],[author_es]],autorest[author_es],autorest[language_la])</f>
        <v>Lingua Latina</v>
      </c>
      <c r="M227" t="str">
        <f>_xlfn.XLOOKUP(frasest[[#This Row],[author_es]],autorest[author_es],autorest[nation_es])</f>
        <v>Roma</v>
      </c>
      <c r="N227" t="str">
        <f>_xlfn.XLOOKUP(frasest[[#This Row],[author_es]],autorest[author_es],autorest[nation_la])</f>
        <v>Roma</v>
      </c>
      <c r="O227" t="str">
        <f>_xlfn.XLOOKUP(frasest[[#This Row],[author_es]],autorest[author_es],autorest[age_es])</f>
        <v>Edad Antigua</v>
      </c>
      <c r="P227" t="str">
        <f>_xlfn.XLOOKUP(frasest[[#This Row],[author_es]],autorest[author_es],autorest[age_la])</f>
        <v>Antiquitas</v>
      </c>
      <c r="Q227" t="str">
        <f>_xlfn.XLOOKUP(frasest[[#This Row],[author_es]],autorest[author_es],autorest[image])</f>
        <v>https://i.ibb.co/TDXTVzjk/sanclemente.png</v>
      </c>
      <c r="R227">
        <f>_xlfn.XLOOKUP(frasest[[#This Row],[author_es]],autorest[author_es],autorest[image_atr])</f>
        <v>0</v>
      </c>
    </row>
    <row r="228" spans="1:18">
      <c r="A228">
        <v>227</v>
      </c>
      <c r="B228" t="s">
        <v>848</v>
      </c>
      <c r="C228" t="s">
        <v>849</v>
      </c>
      <c r="D228" t="s">
        <v>849</v>
      </c>
      <c r="E228" t="s">
        <v>850</v>
      </c>
      <c r="F228" t="s">
        <v>851</v>
      </c>
      <c r="G228" t="str">
        <f>_xlfn.XLOOKUP(frasest[[#This Row],[author_es]],autorest[author_es],autorest[author_la])</f>
        <v>Ignatius Antiochenus</v>
      </c>
      <c r="H228" t="str">
        <f>_xlfn.XLOOKUP(frasest[[#This Row],[author_es]],autorest[author_es],autorest[bio_es])</f>
        <v>Obispo de Antioquía, mártir y Padre Apostólico. Discípulo de San Juan Evangelista, martirizado en Roma. Autor de siete cartas escritas camino al martirio.</v>
      </c>
      <c r="I228" t="str">
        <f>_xlfn.XLOOKUP(frasest[[#This Row],[author_es]],autorest[author_es],autorest[bio_la])</f>
        <v>Episcopus Antiochenus, martyr et Pater Apostolicus. Discipulus Sancti Ioannis Evangelistae, Romae martyrizatus. Auctor septem epistularum in via ad martyrium scriptarum.</v>
      </c>
      <c r="J228" t="str">
        <f>_xlfn.XLOOKUP(frasest[[#This Row],[author_es]],autorest[author_es],autorest[iso3691])</f>
        <v>la</v>
      </c>
      <c r="K228" t="str">
        <f>_xlfn.XLOOKUP(frasest[[#This Row],[author_es]],autorest[author_es],autorest[language_es])</f>
        <v>Latín</v>
      </c>
      <c r="L228" t="str">
        <f>_xlfn.XLOOKUP(frasest[[#This Row],[author_es]],autorest[author_es],autorest[language_la])</f>
        <v>Lingua Latina</v>
      </c>
      <c r="M228" t="str">
        <f>_xlfn.XLOOKUP(frasest[[#This Row],[author_es]],autorest[author_es],autorest[nation_es])</f>
        <v>Roma</v>
      </c>
      <c r="N228" t="str">
        <f>_xlfn.XLOOKUP(frasest[[#This Row],[author_es]],autorest[author_es],autorest[nation_la])</f>
        <v>Roma</v>
      </c>
      <c r="O228" t="str">
        <f>_xlfn.XLOOKUP(frasest[[#This Row],[author_es]],autorest[author_es],autorest[age_es])</f>
        <v>Edad Antigua</v>
      </c>
      <c r="P228" t="str">
        <f>_xlfn.XLOOKUP(frasest[[#This Row],[author_es]],autorest[author_es],autorest[age_la])</f>
        <v>Antiquitas</v>
      </c>
      <c r="Q228" t="str">
        <f>_xlfn.XLOOKUP(frasest[[#This Row],[author_es]],autorest[author_es],autorest[image])</f>
        <v>https://i.ibb.co/yFrskTBq/ignacioantio.png</v>
      </c>
      <c r="R228">
        <f>_xlfn.XLOOKUP(frasest[[#This Row],[author_es]],autorest[author_es],autorest[image_atr])</f>
        <v>0</v>
      </c>
    </row>
    <row r="229" spans="1:18">
      <c r="A229">
        <v>228</v>
      </c>
      <c r="B229" t="s">
        <v>852</v>
      </c>
      <c r="C229" t="s">
        <v>853</v>
      </c>
      <c r="D229" t="s">
        <v>853</v>
      </c>
      <c r="E229" t="s">
        <v>850</v>
      </c>
      <c r="F229" t="s">
        <v>854</v>
      </c>
      <c r="G229" t="str">
        <f>_xlfn.XLOOKUP(frasest[[#This Row],[author_es]],autorest[author_es],autorest[author_la])</f>
        <v>Ignatius Antiochenus</v>
      </c>
      <c r="H229" t="str">
        <f>_xlfn.XLOOKUP(frasest[[#This Row],[author_es]],autorest[author_es],autorest[bio_es])</f>
        <v>Obispo de Antioquía, mártir y Padre Apostólico. Discípulo de San Juan Evangelista, martirizado en Roma. Autor de siete cartas escritas camino al martirio.</v>
      </c>
      <c r="I229" t="str">
        <f>_xlfn.XLOOKUP(frasest[[#This Row],[author_es]],autorest[author_es],autorest[bio_la])</f>
        <v>Episcopus Antiochenus, martyr et Pater Apostolicus. Discipulus Sancti Ioannis Evangelistae, Romae martyrizatus. Auctor septem epistularum in via ad martyrium scriptarum.</v>
      </c>
      <c r="J229" t="str">
        <f>_xlfn.XLOOKUP(frasest[[#This Row],[author_es]],autorest[author_es],autorest[iso3691])</f>
        <v>la</v>
      </c>
      <c r="K229" t="str">
        <f>_xlfn.XLOOKUP(frasest[[#This Row],[author_es]],autorest[author_es],autorest[language_es])</f>
        <v>Latín</v>
      </c>
      <c r="L229" t="str">
        <f>_xlfn.XLOOKUP(frasest[[#This Row],[author_es]],autorest[author_es],autorest[language_la])</f>
        <v>Lingua Latina</v>
      </c>
      <c r="M229" t="str">
        <f>_xlfn.XLOOKUP(frasest[[#This Row],[author_es]],autorest[author_es],autorest[nation_es])</f>
        <v>Roma</v>
      </c>
      <c r="N229" t="str">
        <f>_xlfn.XLOOKUP(frasest[[#This Row],[author_es]],autorest[author_es],autorest[nation_la])</f>
        <v>Roma</v>
      </c>
      <c r="O229" t="str">
        <f>_xlfn.XLOOKUP(frasest[[#This Row],[author_es]],autorest[author_es],autorest[age_es])</f>
        <v>Edad Antigua</v>
      </c>
      <c r="P229" t="str">
        <f>_xlfn.XLOOKUP(frasest[[#This Row],[author_es]],autorest[author_es],autorest[age_la])</f>
        <v>Antiquitas</v>
      </c>
      <c r="Q229" t="str">
        <f>_xlfn.XLOOKUP(frasest[[#This Row],[author_es]],autorest[author_es],autorest[image])</f>
        <v>https://i.ibb.co/yFrskTBq/ignacioantio.png</v>
      </c>
      <c r="R229">
        <f>_xlfn.XLOOKUP(frasest[[#This Row],[author_es]],autorest[author_es],autorest[image_atr])</f>
        <v>0</v>
      </c>
    </row>
    <row r="230" spans="1:18">
      <c r="A230">
        <v>229</v>
      </c>
      <c r="B230" t="s">
        <v>855</v>
      </c>
      <c r="C230" t="s">
        <v>856</v>
      </c>
      <c r="D230" t="s">
        <v>856</v>
      </c>
      <c r="E230" t="s">
        <v>850</v>
      </c>
      <c r="F230" t="s">
        <v>857</v>
      </c>
      <c r="G230" t="str">
        <f>_xlfn.XLOOKUP(frasest[[#This Row],[author_es]],autorest[author_es],autorest[author_la])</f>
        <v>Ignatius Antiochenus</v>
      </c>
      <c r="H230" t="str">
        <f>_xlfn.XLOOKUP(frasest[[#This Row],[author_es]],autorest[author_es],autorest[bio_es])</f>
        <v>Obispo de Antioquía, mártir y Padre Apostólico. Discípulo de San Juan Evangelista, martirizado en Roma. Autor de siete cartas escritas camino al martirio.</v>
      </c>
      <c r="I230" t="str">
        <f>_xlfn.XLOOKUP(frasest[[#This Row],[author_es]],autorest[author_es],autorest[bio_la])</f>
        <v>Episcopus Antiochenus, martyr et Pater Apostolicus. Discipulus Sancti Ioannis Evangelistae, Romae martyrizatus. Auctor septem epistularum in via ad martyrium scriptarum.</v>
      </c>
      <c r="J230" t="str">
        <f>_xlfn.XLOOKUP(frasest[[#This Row],[author_es]],autorest[author_es],autorest[iso3691])</f>
        <v>la</v>
      </c>
      <c r="K230" t="str">
        <f>_xlfn.XLOOKUP(frasest[[#This Row],[author_es]],autorest[author_es],autorest[language_es])</f>
        <v>Latín</v>
      </c>
      <c r="L230" t="str">
        <f>_xlfn.XLOOKUP(frasest[[#This Row],[author_es]],autorest[author_es],autorest[language_la])</f>
        <v>Lingua Latina</v>
      </c>
      <c r="M230" t="str">
        <f>_xlfn.XLOOKUP(frasest[[#This Row],[author_es]],autorest[author_es],autorest[nation_es])</f>
        <v>Roma</v>
      </c>
      <c r="N230" t="str">
        <f>_xlfn.XLOOKUP(frasest[[#This Row],[author_es]],autorest[author_es],autorest[nation_la])</f>
        <v>Roma</v>
      </c>
      <c r="O230" t="str">
        <f>_xlfn.XLOOKUP(frasest[[#This Row],[author_es]],autorest[author_es],autorest[age_es])</f>
        <v>Edad Antigua</v>
      </c>
      <c r="P230" t="str">
        <f>_xlfn.XLOOKUP(frasest[[#This Row],[author_es]],autorest[author_es],autorest[age_la])</f>
        <v>Antiquitas</v>
      </c>
      <c r="Q230" t="str">
        <f>_xlfn.XLOOKUP(frasest[[#This Row],[author_es]],autorest[author_es],autorest[image])</f>
        <v>https://i.ibb.co/yFrskTBq/ignacioantio.png</v>
      </c>
      <c r="R230">
        <f>_xlfn.XLOOKUP(frasest[[#This Row],[author_es]],autorest[author_es],autorest[image_atr])</f>
        <v>0</v>
      </c>
    </row>
    <row r="231" spans="1:18">
      <c r="A231">
        <v>230</v>
      </c>
      <c r="B231" t="s">
        <v>858</v>
      </c>
      <c r="C231" t="s">
        <v>859</v>
      </c>
      <c r="D231" t="s">
        <v>859</v>
      </c>
      <c r="E231" t="s">
        <v>850</v>
      </c>
      <c r="F231" t="s">
        <v>860</v>
      </c>
      <c r="G231" t="str">
        <f>_xlfn.XLOOKUP(frasest[[#This Row],[author_es]],autorest[author_es],autorest[author_la])</f>
        <v>Ignatius Antiochenus</v>
      </c>
      <c r="H231" t="str">
        <f>_xlfn.XLOOKUP(frasest[[#This Row],[author_es]],autorest[author_es],autorest[bio_es])</f>
        <v>Obispo de Antioquía, mártir y Padre Apostólico. Discípulo de San Juan Evangelista, martirizado en Roma. Autor de siete cartas escritas camino al martirio.</v>
      </c>
      <c r="I231" t="str">
        <f>_xlfn.XLOOKUP(frasest[[#This Row],[author_es]],autorest[author_es],autorest[bio_la])</f>
        <v>Episcopus Antiochenus, martyr et Pater Apostolicus. Discipulus Sancti Ioannis Evangelistae, Romae martyrizatus. Auctor septem epistularum in via ad martyrium scriptarum.</v>
      </c>
      <c r="J231" t="str">
        <f>_xlfn.XLOOKUP(frasest[[#This Row],[author_es]],autorest[author_es],autorest[iso3691])</f>
        <v>la</v>
      </c>
      <c r="K231" t="str">
        <f>_xlfn.XLOOKUP(frasest[[#This Row],[author_es]],autorest[author_es],autorest[language_es])</f>
        <v>Latín</v>
      </c>
      <c r="L231" t="str">
        <f>_xlfn.XLOOKUP(frasest[[#This Row],[author_es]],autorest[author_es],autorest[language_la])</f>
        <v>Lingua Latina</v>
      </c>
      <c r="M231" t="str">
        <f>_xlfn.XLOOKUP(frasest[[#This Row],[author_es]],autorest[author_es],autorest[nation_es])</f>
        <v>Roma</v>
      </c>
      <c r="N231" t="str">
        <f>_xlfn.XLOOKUP(frasest[[#This Row],[author_es]],autorest[author_es],autorest[nation_la])</f>
        <v>Roma</v>
      </c>
      <c r="O231" t="str">
        <f>_xlfn.XLOOKUP(frasest[[#This Row],[author_es]],autorest[author_es],autorest[age_es])</f>
        <v>Edad Antigua</v>
      </c>
      <c r="P231" t="str">
        <f>_xlfn.XLOOKUP(frasest[[#This Row],[author_es]],autorest[author_es],autorest[age_la])</f>
        <v>Antiquitas</v>
      </c>
      <c r="Q231" t="str">
        <f>_xlfn.XLOOKUP(frasest[[#This Row],[author_es]],autorest[author_es],autorest[image])</f>
        <v>https://i.ibb.co/yFrskTBq/ignacioantio.png</v>
      </c>
      <c r="R231">
        <f>_xlfn.XLOOKUP(frasest[[#This Row],[author_es]],autorest[author_es],autorest[image_atr])</f>
        <v>0</v>
      </c>
    </row>
    <row r="232" spans="1:18">
      <c r="A232">
        <v>231</v>
      </c>
      <c r="B232" t="s">
        <v>861</v>
      </c>
      <c r="C232" t="s">
        <v>862</v>
      </c>
      <c r="D232" t="s">
        <v>862</v>
      </c>
      <c r="E232" t="s">
        <v>850</v>
      </c>
      <c r="F232" t="s">
        <v>863</v>
      </c>
      <c r="G232" t="str">
        <f>_xlfn.XLOOKUP(frasest[[#This Row],[author_es]],autorest[author_es],autorest[author_la])</f>
        <v>Ignatius Antiochenus</v>
      </c>
      <c r="H232" t="str">
        <f>_xlfn.XLOOKUP(frasest[[#This Row],[author_es]],autorest[author_es],autorest[bio_es])</f>
        <v>Obispo de Antioquía, mártir y Padre Apostólico. Discípulo de San Juan Evangelista, martirizado en Roma. Autor de siete cartas escritas camino al martirio.</v>
      </c>
      <c r="I232" t="str">
        <f>_xlfn.XLOOKUP(frasest[[#This Row],[author_es]],autorest[author_es],autorest[bio_la])</f>
        <v>Episcopus Antiochenus, martyr et Pater Apostolicus. Discipulus Sancti Ioannis Evangelistae, Romae martyrizatus. Auctor septem epistularum in via ad martyrium scriptarum.</v>
      </c>
      <c r="J232" t="str">
        <f>_xlfn.XLOOKUP(frasest[[#This Row],[author_es]],autorest[author_es],autorest[iso3691])</f>
        <v>la</v>
      </c>
      <c r="K232" t="str">
        <f>_xlfn.XLOOKUP(frasest[[#This Row],[author_es]],autorest[author_es],autorest[language_es])</f>
        <v>Latín</v>
      </c>
      <c r="L232" t="str">
        <f>_xlfn.XLOOKUP(frasest[[#This Row],[author_es]],autorest[author_es],autorest[language_la])</f>
        <v>Lingua Latina</v>
      </c>
      <c r="M232" t="str">
        <f>_xlfn.XLOOKUP(frasest[[#This Row],[author_es]],autorest[author_es],autorest[nation_es])</f>
        <v>Roma</v>
      </c>
      <c r="N232" t="str">
        <f>_xlfn.XLOOKUP(frasest[[#This Row],[author_es]],autorest[author_es],autorest[nation_la])</f>
        <v>Roma</v>
      </c>
      <c r="O232" t="str">
        <f>_xlfn.XLOOKUP(frasest[[#This Row],[author_es]],autorest[author_es],autorest[age_es])</f>
        <v>Edad Antigua</v>
      </c>
      <c r="P232" t="str">
        <f>_xlfn.XLOOKUP(frasest[[#This Row],[author_es]],autorest[author_es],autorest[age_la])</f>
        <v>Antiquitas</v>
      </c>
      <c r="Q232" t="str">
        <f>_xlfn.XLOOKUP(frasest[[#This Row],[author_es]],autorest[author_es],autorest[image])</f>
        <v>https://i.ibb.co/yFrskTBq/ignacioantio.png</v>
      </c>
      <c r="R232">
        <f>_xlfn.XLOOKUP(frasest[[#This Row],[author_es]],autorest[author_es],autorest[image_atr])</f>
        <v>0</v>
      </c>
    </row>
    <row r="233" spans="1:18">
      <c r="A233">
        <v>232</v>
      </c>
      <c r="B233" t="s">
        <v>864</v>
      </c>
      <c r="C233" t="s">
        <v>865</v>
      </c>
      <c r="D233" t="s">
        <v>865</v>
      </c>
      <c r="E233" t="s">
        <v>850</v>
      </c>
      <c r="F233" t="s">
        <v>866</v>
      </c>
      <c r="G233" t="str">
        <f>_xlfn.XLOOKUP(frasest[[#This Row],[author_es]],autorest[author_es],autorest[author_la])</f>
        <v>Ignatius Antiochenus</v>
      </c>
      <c r="H233" t="str">
        <f>_xlfn.XLOOKUP(frasest[[#This Row],[author_es]],autorest[author_es],autorest[bio_es])</f>
        <v>Obispo de Antioquía, mártir y Padre Apostólico. Discípulo de San Juan Evangelista, martirizado en Roma. Autor de siete cartas escritas camino al martirio.</v>
      </c>
      <c r="I233" t="str">
        <f>_xlfn.XLOOKUP(frasest[[#This Row],[author_es]],autorest[author_es],autorest[bio_la])</f>
        <v>Episcopus Antiochenus, martyr et Pater Apostolicus. Discipulus Sancti Ioannis Evangelistae, Romae martyrizatus. Auctor septem epistularum in via ad martyrium scriptarum.</v>
      </c>
      <c r="J233" t="str">
        <f>_xlfn.XLOOKUP(frasest[[#This Row],[author_es]],autorest[author_es],autorest[iso3691])</f>
        <v>la</v>
      </c>
      <c r="K233" t="str">
        <f>_xlfn.XLOOKUP(frasest[[#This Row],[author_es]],autorest[author_es],autorest[language_es])</f>
        <v>Latín</v>
      </c>
      <c r="L233" t="str">
        <f>_xlfn.XLOOKUP(frasest[[#This Row],[author_es]],autorest[author_es],autorest[language_la])</f>
        <v>Lingua Latina</v>
      </c>
      <c r="M233" t="str">
        <f>_xlfn.XLOOKUP(frasest[[#This Row],[author_es]],autorest[author_es],autorest[nation_es])</f>
        <v>Roma</v>
      </c>
      <c r="N233" t="str">
        <f>_xlfn.XLOOKUP(frasest[[#This Row],[author_es]],autorest[author_es],autorest[nation_la])</f>
        <v>Roma</v>
      </c>
      <c r="O233" t="str">
        <f>_xlfn.XLOOKUP(frasest[[#This Row],[author_es]],autorest[author_es],autorest[age_es])</f>
        <v>Edad Antigua</v>
      </c>
      <c r="P233" t="str">
        <f>_xlfn.XLOOKUP(frasest[[#This Row],[author_es]],autorest[author_es],autorest[age_la])</f>
        <v>Antiquitas</v>
      </c>
      <c r="Q233" t="str">
        <f>_xlfn.XLOOKUP(frasest[[#This Row],[author_es]],autorest[author_es],autorest[image])</f>
        <v>https://i.ibb.co/yFrskTBq/ignacioantio.png</v>
      </c>
      <c r="R233">
        <f>_xlfn.XLOOKUP(frasest[[#This Row],[author_es]],autorest[author_es],autorest[image_atr])</f>
        <v>0</v>
      </c>
    </row>
    <row r="234" spans="1:18">
      <c r="A234">
        <v>233</v>
      </c>
      <c r="B234" t="s">
        <v>867</v>
      </c>
      <c r="C234" t="s">
        <v>868</v>
      </c>
      <c r="D234" t="s">
        <v>868</v>
      </c>
      <c r="E234" t="s">
        <v>850</v>
      </c>
      <c r="F234" t="s">
        <v>869</v>
      </c>
      <c r="G234" t="str">
        <f>_xlfn.XLOOKUP(frasest[[#This Row],[author_es]],autorest[author_es],autorest[author_la])</f>
        <v>Ignatius Antiochenus</v>
      </c>
      <c r="H234" t="str">
        <f>_xlfn.XLOOKUP(frasest[[#This Row],[author_es]],autorest[author_es],autorest[bio_es])</f>
        <v>Obispo de Antioquía, mártir y Padre Apostólico. Discípulo de San Juan Evangelista, martirizado en Roma. Autor de siete cartas escritas camino al martirio.</v>
      </c>
      <c r="I234" t="str">
        <f>_xlfn.XLOOKUP(frasest[[#This Row],[author_es]],autorest[author_es],autorest[bio_la])</f>
        <v>Episcopus Antiochenus, martyr et Pater Apostolicus. Discipulus Sancti Ioannis Evangelistae, Romae martyrizatus. Auctor septem epistularum in via ad martyrium scriptarum.</v>
      </c>
      <c r="J234" t="str">
        <f>_xlfn.XLOOKUP(frasest[[#This Row],[author_es]],autorest[author_es],autorest[iso3691])</f>
        <v>la</v>
      </c>
      <c r="K234" t="str">
        <f>_xlfn.XLOOKUP(frasest[[#This Row],[author_es]],autorest[author_es],autorest[language_es])</f>
        <v>Latín</v>
      </c>
      <c r="L234" t="str">
        <f>_xlfn.XLOOKUP(frasest[[#This Row],[author_es]],autorest[author_es],autorest[language_la])</f>
        <v>Lingua Latina</v>
      </c>
      <c r="M234" t="str">
        <f>_xlfn.XLOOKUP(frasest[[#This Row],[author_es]],autorest[author_es],autorest[nation_es])</f>
        <v>Roma</v>
      </c>
      <c r="N234" t="str">
        <f>_xlfn.XLOOKUP(frasest[[#This Row],[author_es]],autorest[author_es],autorest[nation_la])</f>
        <v>Roma</v>
      </c>
      <c r="O234" t="str">
        <f>_xlfn.XLOOKUP(frasest[[#This Row],[author_es]],autorest[author_es],autorest[age_es])</f>
        <v>Edad Antigua</v>
      </c>
      <c r="P234" t="str">
        <f>_xlfn.XLOOKUP(frasest[[#This Row],[author_es]],autorest[author_es],autorest[age_la])</f>
        <v>Antiquitas</v>
      </c>
      <c r="Q234" t="str">
        <f>_xlfn.XLOOKUP(frasest[[#This Row],[author_es]],autorest[author_es],autorest[image])</f>
        <v>https://i.ibb.co/yFrskTBq/ignacioantio.png</v>
      </c>
      <c r="R234">
        <f>_xlfn.XLOOKUP(frasest[[#This Row],[author_es]],autorest[author_es],autorest[image_atr])</f>
        <v>0</v>
      </c>
    </row>
    <row r="235" spans="1:18">
      <c r="A235">
        <v>234</v>
      </c>
      <c r="B235" t="s">
        <v>870</v>
      </c>
      <c r="C235" t="s">
        <v>871</v>
      </c>
      <c r="D235" t="s">
        <v>871</v>
      </c>
      <c r="E235" t="s">
        <v>850</v>
      </c>
      <c r="F235" t="s">
        <v>863</v>
      </c>
      <c r="G235" t="str">
        <f>_xlfn.XLOOKUP(frasest[[#This Row],[author_es]],autorest[author_es],autorest[author_la])</f>
        <v>Ignatius Antiochenus</v>
      </c>
      <c r="H235" t="str">
        <f>_xlfn.XLOOKUP(frasest[[#This Row],[author_es]],autorest[author_es],autorest[bio_es])</f>
        <v>Obispo de Antioquía, mártir y Padre Apostólico. Discípulo de San Juan Evangelista, martirizado en Roma. Autor de siete cartas escritas camino al martirio.</v>
      </c>
      <c r="I235" t="str">
        <f>_xlfn.XLOOKUP(frasest[[#This Row],[author_es]],autorest[author_es],autorest[bio_la])</f>
        <v>Episcopus Antiochenus, martyr et Pater Apostolicus. Discipulus Sancti Ioannis Evangelistae, Romae martyrizatus. Auctor septem epistularum in via ad martyrium scriptarum.</v>
      </c>
      <c r="J235" t="str">
        <f>_xlfn.XLOOKUP(frasest[[#This Row],[author_es]],autorest[author_es],autorest[iso3691])</f>
        <v>la</v>
      </c>
      <c r="K235" t="str">
        <f>_xlfn.XLOOKUP(frasest[[#This Row],[author_es]],autorest[author_es],autorest[language_es])</f>
        <v>Latín</v>
      </c>
      <c r="L235" t="str">
        <f>_xlfn.XLOOKUP(frasest[[#This Row],[author_es]],autorest[author_es],autorest[language_la])</f>
        <v>Lingua Latina</v>
      </c>
      <c r="M235" t="str">
        <f>_xlfn.XLOOKUP(frasest[[#This Row],[author_es]],autorest[author_es],autorest[nation_es])</f>
        <v>Roma</v>
      </c>
      <c r="N235" t="str">
        <f>_xlfn.XLOOKUP(frasest[[#This Row],[author_es]],autorest[author_es],autorest[nation_la])</f>
        <v>Roma</v>
      </c>
      <c r="O235" t="str">
        <f>_xlfn.XLOOKUP(frasest[[#This Row],[author_es]],autorest[author_es],autorest[age_es])</f>
        <v>Edad Antigua</v>
      </c>
      <c r="P235" t="str">
        <f>_xlfn.XLOOKUP(frasest[[#This Row],[author_es]],autorest[author_es],autorest[age_la])</f>
        <v>Antiquitas</v>
      </c>
      <c r="Q235" t="str">
        <f>_xlfn.XLOOKUP(frasest[[#This Row],[author_es]],autorest[author_es],autorest[image])</f>
        <v>https://i.ibb.co/yFrskTBq/ignacioantio.png</v>
      </c>
      <c r="R235">
        <f>_xlfn.XLOOKUP(frasest[[#This Row],[author_es]],autorest[author_es],autorest[image_atr])</f>
        <v>0</v>
      </c>
    </row>
    <row r="236" spans="1:18">
      <c r="A236">
        <v>235</v>
      </c>
      <c r="B236" t="s">
        <v>872</v>
      </c>
      <c r="C236" t="s">
        <v>873</v>
      </c>
      <c r="D236" t="s">
        <v>873</v>
      </c>
      <c r="E236" t="s">
        <v>850</v>
      </c>
      <c r="F236" t="s">
        <v>874</v>
      </c>
      <c r="G236" t="str">
        <f>_xlfn.XLOOKUP(frasest[[#This Row],[author_es]],autorest[author_es],autorest[author_la])</f>
        <v>Ignatius Antiochenus</v>
      </c>
      <c r="H236" t="str">
        <f>_xlfn.XLOOKUP(frasest[[#This Row],[author_es]],autorest[author_es],autorest[bio_es])</f>
        <v>Obispo de Antioquía, mártir y Padre Apostólico. Discípulo de San Juan Evangelista, martirizado en Roma. Autor de siete cartas escritas camino al martirio.</v>
      </c>
      <c r="I236" t="str">
        <f>_xlfn.XLOOKUP(frasest[[#This Row],[author_es]],autorest[author_es],autorest[bio_la])</f>
        <v>Episcopus Antiochenus, martyr et Pater Apostolicus. Discipulus Sancti Ioannis Evangelistae, Romae martyrizatus. Auctor septem epistularum in via ad martyrium scriptarum.</v>
      </c>
      <c r="J236" t="str">
        <f>_xlfn.XLOOKUP(frasest[[#This Row],[author_es]],autorest[author_es],autorest[iso3691])</f>
        <v>la</v>
      </c>
      <c r="K236" t="str">
        <f>_xlfn.XLOOKUP(frasest[[#This Row],[author_es]],autorest[author_es],autorest[language_es])</f>
        <v>Latín</v>
      </c>
      <c r="L236" t="str">
        <f>_xlfn.XLOOKUP(frasest[[#This Row],[author_es]],autorest[author_es],autorest[language_la])</f>
        <v>Lingua Latina</v>
      </c>
      <c r="M236" t="str">
        <f>_xlfn.XLOOKUP(frasest[[#This Row],[author_es]],autorest[author_es],autorest[nation_es])</f>
        <v>Roma</v>
      </c>
      <c r="N236" t="str">
        <f>_xlfn.XLOOKUP(frasest[[#This Row],[author_es]],autorest[author_es],autorest[nation_la])</f>
        <v>Roma</v>
      </c>
      <c r="O236" t="str">
        <f>_xlfn.XLOOKUP(frasest[[#This Row],[author_es]],autorest[author_es],autorest[age_es])</f>
        <v>Edad Antigua</v>
      </c>
      <c r="P236" t="str">
        <f>_xlfn.XLOOKUP(frasest[[#This Row],[author_es]],autorest[author_es],autorest[age_la])</f>
        <v>Antiquitas</v>
      </c>
      <c r="Q236" t="str">
        <f>_xlfn.XLOOKUP(frasest[[#This Row],[author_es]],autorest[author_es],autorest[image])</f>
        <v>https://i.ibb.co/yFrskTBq/ignacioantio.png</v>
      </c>
      <c r="R236">
        <f>_xlfn.XLOOKUP(frasest[[#This Row],[author_es]],autorest[author_es],autorest[image_atr])</f>
        <v>0</v>
      </c>
    </row>
    <row r="237" spans="1:18">
      <c r="A237">
        <v>236</v>
      </c>
      <c r="B237" t="s">
        <v>875</v>
      </c>
      <c r="C237" t="s">
        <v>876</v>
      </c>
      <c r="D237" t="s">
        <v>876</v>
      </c>
      <c r="E237" t="s">
        <v>850</v>
      </c>
      <c r="F237" t="s">
        <v>877</v>
      </c>
      <c r="G237" t="str">
        <f>_xlfn.XLOOKUP(frasest[[#This Row],[author_es]],autorest[author_es],autorest[author_la])</f>
        <v>Ignatius Antiochenus</v>
      </c>
      <c r="H237" t="str">
        <f>_xlfn.XLOOKUP(frasest[[#This Row],[author_es]],autorest[author_es],autorest[bio_es])</f>
        <v>Obispo de Antioquía, mártir y Padre Apostólico. Discípulo de San Juan Evangelista, martirizado en Roma. Autor de siete cartas escritas camino al martirio.</v>
      </c>
      <c r="I237" t="str">
        <f>_xlfn.XLOOKUP(frasest[[#This Row],[author_es]],autorest[author_es],autorest[bio_la])</f>
        <v>Episcopus Antiochenus, martyr et Pater Apostolicus. Discipulus Sancti Ioannis Evangelistae, Romae martyrizatus. Auctor septem epistularum in via ad martyrium scriptarum.</v>
      </c>
      <c r="J237" t="str">
        <f>_xlfn.XLOOKUP(frasest[[#This Row],[author_es]],autorest[author_es],autorest[iso3691])</f>
        <v>la</v>
      </c>
      <c r="K237" t="str">
        <f>_xlfn.XLOOKUP(frasest[[#This Row],[author_es]],autorest[author_es],autorest[language_es])</f>
        <v>Latín</v>
      </c>
      <c r="L237" t="str">
        <f>_xlfn.XLOOKUP(frasest[[#This Row],[author_es]],autorest[author_es],autorest[language_la])</f>
        <v>Lingua Latina</v>
      </c>
      <c r="M237" t="str">
        <f>_xlfn.XLOOKUP(frasest[[#This Row],[author_es]],autorest[author_es],autorest[nation_es])</f>
        <v>Roma</v>
      </c>
      <c r="N237" t="str">
        <f>_xlfn.XLOOKUP(frasest[[#This Row],[author_es]],autorest[author_es],autorest[nation_la])</f>
        <v>Roma</v>
      </c>
      <c r="O237" t="str">
        <f>_xlfn.XLOOKUP(frasest[[#This Row],[author_es]],autorest[author_es],autorest[age_es])</f>
        <v>Edad Antigua</v>
      </c>
      <c r="P237" t="str">
        <f>_xlfn.XLOOKUP(frasest[[#This Row],[author_es]],autorest[author_es],autorest[age_la])</f>
        <v>Antiquitas</v>
      </c>
      <c r="Q237" t="str">
        <f>_xlfn.XLOOKUP(frasest[[#This Row],[author_es]],autorest[author_es],autorest[image])</f>
        <v>https://i.ibb.co/yFrskTBq/ignacioantio.png</v>
      </c>
      <c r="R237">
        <f>_xlfn.XLOOKUP(frasest[[#This Row],[author_es]],autorest[author_es],autorest[image_atr])</f>
        <v>0</v>
      </c>
    </row>
    <row r="238" spans="1:18">
      <c r="A238">
        <v>237</v>
      </c>
      <c r="B238" t="s">
        <v>878</v>
      </c>
      <c r="C238" t="s">
        <v>879</v>
      </c>
      <c r="D238" t="s">
        <v>879</v>
      </c>
      <c r="E238" t="s">
        <v>880</v>
      </c>
      <c r="F238" t="s">
        <v>881</v>
      </c>
      <c r="G238" t="str">
        <f>_xlfn.XLOOKUP(frasest[[#This Row],[author_es]],autorest[author_es],autorest[author_la])</f>
        <v>Polycarpus Smyrnaeus</v>
      </c>
      <c r="H238" t="str">
        <f>_xlfn.XLOOKUP(frasest[[#This Row],[author_es]],autorest[author_es],autorest[bio_es])</f>
        <v>Obispo de Esmirna, mártir y Padre Apostólico. Discípulo del apóstol Juan, martirizado a los 86 años. Una de las tres figuras principales de los Padres Apostólicos.</v>
      </c>
      <c r="I238" t="str">
        <f>_xlfn.XLOOKUP(frasest[[#This Row],[author_es]],autorest[author_es],autorest[bio_la])</f>
        <v>Episcopus Smyrnaeus, martyr et Pater Apostolicus. Discipulus apostoli Ioannis, octoginta sex annos natus martyrizatus. Una ex tribus figuris principalibus Patrum Apostolicorum.</v>
      </c>
      <c r="J238" t="str">
        <f>_xlfn.XLOOKUP(frasest[[#This Row],[author_es]],autorest[author_es],autorest[iso3691])</f>
        <v>la</v>
      </c>
      <c r="K238" t="str">
        <f>_xlfn.XLOOKUP(frasest[[#This Row],[author_es]],autorest[author_es],autorest[language_es])</f>
        <v>Latín</v>
      </c>
      <c r="L238" t="str">
        <f>_xlfn.XLOOKUP(frasest[[#This Row],[author_es]],autorest[author_es],autorest[language_la])</f>
        <v>Lingua Latina</v>
      </c>
      <c r="M238" t="str">
        <f>_xlfn.XLOOKUP(frasest[[#This Row],[author_es]],autorest[author_es],autorest[nation_es])</f>
        <v>Roma</v>
      </c>
      <c r="N238" t="str">
        <f>_xlfn.XLOOKUP(frasest[[#This Row],[author_es]],autorest[author_es],autorest[nation_la])</f>
        <v>Roma</v>
      </c>
      <c r="O238" t="str">
        <f>_xlfn.XLOOKUP(frasest[[#This Row],[author_es]],autorest[author_es],autorest[age_es])</f>
        <v>Edad Antigua</v>
      </c>
      <c r="P238" t="str">
        <f>_xlfn.XLOOKUP(frasest[[#This Row],[author_es]],autorest[author_es],autorest[age_la])</f>
        <v>Antiquitas</v>
      </c>
      <c r="Q238" t="str">
        <f>_xlfn.XLOOKUP(frasest[[#This Row],[author_es]],autorest[author_es],autorest[image])</f>
        <v>https://i.ibb.co/GQTLb5X7/policarpo.png</v>
      </c>
      <c r="R238">
        <f>_xlfn.XLOOKUP(frasest[[#This Row],[author_es]],autorest[author_es],autorest[image_atr])</f>
        <v>0</v>
      </c>
    </row>
    <row r="239" spans="1:18">
      <c r="A239">
        <v>238</v>
      </c>
      <c r="B239" t="s">
        <v>882</v>
      </c>
      <c r="C239" t="s">
        <v>883</v>
      </c>
      <c r="D239" t="s">
        <v>883</v>
      </c>
      <c r="E239" t="s">
        <v>880</v>
      </c>
      <c r="F239" t="s">
        <v>884</v>
      </c>
      <c r="G239" t="str">
        <f>_xlfn.XLOOKUP(frasest[[#This Row],[author_es]],autorest[author_es],autorest[author_la])</f>
        <v>Polycarpus Smyrnaeus</v>
      </c>
      <c r="H239" t="str">
        <f>_xlfn.XLOOKUP(frasest[[#This Row],[author_es]],autorest[author_es],autorest[bio_es])</f>
        <v>Obispo de Esmirna, mártir y Padre Apostólico. Discípulo del apóstol Juan, martirizado a los 86 años. Una de las tres figuras principales de los Padres Apostólicos.</v>
      </c>
      <c r="I239" t="str">
        <f>_xlfn.XLOOKUP(frasest[[#This Row],[author_es]],autorest[author_es],autorest[bio_la])</f>
        <v>Episcopus Smyrnaeus, martyr et Pater Apostolicus. Discipulus apostoli Ioannis, octoginta sex annos natus martyrizatus. Una ex tribus figuris principalibus Patrum Apostolicorum.</v>
      </c>
      <c r="J239" t="str">
        <f>_xlfn.XLOOKUP(frasest[[#This Row],[author_es]],autorest[author_es],autorest[iso3691])</f>
        <v>la</v>
      </c>
      <c r="K239" t="str">
        <f>_xlfn.XLOOKUP(frasest[[#This Row],[author_es]],autorest[author_es],autorest[language_es])</f>
        <v>Latín</v>
      </c>
      <c r="L239" t="str">
        <f>_xlfn.XLOOKUP(frasest[[#This Row],[author_es]],autorest[author_es],autorest[language_la])</f>
        <v>Lingua Latina</v>
      </c>
      <c r="M239" t="str">
        <f>_xlfn.XLOOKUP(frasest[[#This Row],[author_es]],autorest[author_es],autorest[nation_es])</f>
        <v>Roma</v>
      </c>
      <c r="N239" t="str">
        <f>_xlfn.XLOOKUP(frasest[[#This Row],[author_es]],autorest[author_es],autorest[nation_la])</f>
        <v>Roma</v>
      </c>
      <c r="O239" t="str">
        <f>_xlfn.XLOOKUP(frasest[[#This Row],[author_es]],autorest[author_es],autorest[age_es])</f>
        <v>Edad Antigua</v>
      </c>
      <c r="P239" t="str">
        <f>_xlfn.XLOOKUP(frasest[[#This Row],[author_es]],autorest[author_es],autorest[age_la])</f>
        <v>Antiquitas</v>
      </c>
      <c r="Q239" t="str">
        <f>_xlfn.XLOOKUP(frasest[[#This Row],[author_es]],autorest[author_es],autorest[image])</f>
        <v>https://i.ibb.co/GQTLb5X7/policarpo.png</v>
      </c>
      <c r="R239">
        <f>_xlfn.XLOOKUP(frasest[[#This Row],[author_es]],autorest[author_es],autorest[image_atr])</f>
        <v>0</v>
      </c>
    </row>
    <row r="240" spans="1:18">
      <c r="A240">
        <v>239</v>
      </c>
      <c r="B240" t="s">
        <v>885</v>
      </c>
      <c r="C240" t="s">
        <v>886</v>
      </c>
      <c r="D240" t="s">
        <v>886</v>
      </c>
      <c r="E240" t="s">
        <v>880</v>
      </c>
      <c r="F240" t="s">
        <v>887</v>
      </c>
      <c r="G240" t="str">
        <f>_xlfn.XLOOKUP(frasest[[#This Row],[author_es]],autorest[author_es],autorest[author_la])</f>
        <v>Polycarpus Smyrnaeus</v>
      </c>
      <c r="H240" t="str">
        <f>_xlfn.XLOOKUP(frasest[[#This Row],[author_es]],autorest[author_es],autorest[bio_es])</f>
        <v>Obispo de Esmirna, mártir y Padre Apostólico. Discípulo del apóstol Juan, martirizado a los 86 años. Una de las tres figuras principales de los Padres Apostólicos.</v>
      </c>
      <c r="I240" t="str">
        <f>_xlfn.XLOOKUP(frasest[[#This Row],[author_es]],autorest[author_es],autorest[bio_la])</f>
        <v>Episcopus Smyrnaeus, martyr et Pater Apostolicus. Discipulus apostoli Ioannis, octoginta sex annos natus martyrizatus. Una ex tribus figuris principalibus Patrum Apostolicorum.</v>
      </c>
      <c r="J240" t="str">
        <f>_xlfn.XLOOKUP(frasest[[#This Row],[author_es]],autorest[author_es],autorest[iso3691])</f>
        <v>la</v>
      </c>
      <c r="K240" t="str">
        <f>_xlfn.XLOOKUP(frasest[[#This Row],[author_es]],autorest[author_es],autorest[language_es])</f>
        <v>Latín</v>
      </c>
      <c r="L240" t="str">
        <f>_xlfn.XLOOKUP(frasest[[#This Row],[author_es]],autorest[author_es],autorest[language_la])</f>
        <v>Lingua Latina</v>
      </c>
      <c r="M240" t="str">
        <f>_xlfn.XLOOKUP(frasest[[#This Row],[author_es]],autorest[author_es],autorest[nation_es])</f>
        <v>Roma</v>
      </c>
      <c r="N240" t="str">
        <f>_xlfn.XLOOKUP(frasest[[#This Row],[author_es]],autorest[author_es],autorest[nation_la])</f>
        <v>Roma</v>
      </c>
      <c r="O240" t="str">
        <f>_xlfn.XLOOKUP(frasest[[#This Row],[author_es]],autorest[author_es],autorest[age_es])</f>
        <v>Edad Antigua</v>
      </c>
      <c r="P240" t="str">
        <f>_xlfn.XLOOKUP(frasest[[#This Row],[author_es]],autorest[author_es],autorest[age_la])</f>
        <v>Antiquitas</v>
      </c>
      <c r="Q240" t="str">
        <f>_xlfn.XLOOKUP(frasest[[#This Row],[author_es]],autorest[author_es],autorest[image])</f>
        <v>https://i.ibb.co/GQTLb5X7/policarpo.png</v>
      </c>
      <c r="R240">
        <f>_xlfn.XLOOKUP(frasest[[#This Row],[author_es]],autorest[author_es],autorest[image_atr])</f>
        <v>0</v>
      </c>
    </row>
    <row r="241" spans="1:18">
      <c r="A241">
        <v>240</v>
      </c>
      <c r="B241" t="s">
        <v>888</v>
      </c>
      <c r="C241" t="s">
        <v>889</v>
      </c>
      <c r="D241" t="s">
        <v>889</v>
      </c>
      <c r="E241" t="s">
        <v>880</v>
      </c>
      <c r="F241" t="s">
        <v>890</v>
      </c>
      <c r="G241" t="str">
        <f>_xlfn.XLOOKUP(frasest[[#This Row],[author_es]],autorest[author_es],autorest[author_la])</f>
        <v>Polycarpus Smyrnaeus</v>
      </c>
      <c r="H241" t="str">
        <f>_xlfn.XLOOKUP(frasest[[#This Row],[author_es]],autorest[author_es],autorest[bio_es])</f>
        <v>Obispo de Esmirna, mártir y Padre Apostólico. Discípulo del apóstol Juan, martirizado a los 86 años. Una de las tres figuras principales de los Padres Apostólicos.</v>
      </c>
      <c r="I241" t="str">
        <f>_xlfn.XLOOKUP(frasest[[#This Row],[author_es]],autorest[author_es],autorest[bio_la])</f>
        <v>Episcopus Smyrnaeus, martyr et Pater Apostolicus. Discipulus apostoli Ioannis, octoginta sex annos natus martyrizatus. Una ex tribus figuris principalibus Patrum Apostolicorum.</v>
      </c>
      <c r="J241" t="str">
        <f>_xlfn.XLOOKUP(frasest[[#This Row],[author_es]],autorest[author_es],autorest[iso3691])</f>
        <v>la</v>
      </c>
      <c r="K241" t="str">
        <f>_xlfn.XLOOKUP(frasest[[#This Row],[author_es]],autorest[author_es],autorest[language_es])</f>
        <v>Latín</v>
      </c>
      <c r="L241" t="str">
        <f>_xlfn.XLOOKUP(frasest[[#This Row],[author_es]],autorest[author_es],autorest[language_la])</f>
        <v>Lingua Latina</v>
      </c>
      <c r="M241" t="str">
        <f>_xlfn.XLOOKUP(frasest[[#This Row],[author_es]],autorest[author_es],autorest[nation_es])</f>
        <v>Roma</v>
      </c>
      <c r="N241" t="str">
        <f>_xlfn.XLOOKUP(frasest[[#This Row],[author_es]],autorest[author_es],autorest[nation_la])</f>
        <v>Roma</v>
      </c>
      <c r="O241" t="str">
        <f>_xlfn.XLOOKUP(frasest[[#This Row],[author_es]],autorest[author_es],autorest[age_es])</f>
        <v>Edad Antigua</v>
      </c>
      <c r="P241" t="str">
        <f>_xlfn.XLOOKUP(frasest[[#This Row],[author_es]],autorest[author_es],autorest[age_la])</f>
        <v>Antiquitas</v>
      </c>
      <c r="Q241" t="str">
        <f>_xlfn.XLOOKUP(frasest[[#This Row],[author_es]],autorest[author_es],autorest[image])</f>
        <v>https://i.ibb.co/GQTLb5X7/policarpo.png</v>
      </c>
      <c r="R241">
        <f>_xlfn.XLOOKUP(frasest[[#This Row],[author_es]],autorest[author_es],autorest[image_atr])</f>
        <v>0</v>
      </c>
    </row>
    <row r="242" spans="1:18">
      <c r="A242">
        <v>241</v>
      </c>
      <c r="B242" t="s">
        <v>891</v>
      </c>
      <c r="C242" t="s">
        <v>892</v>
      </c>
      <c r="D242" t="s">
        <v>892</v>
      </c>
      <c r="E242" t="s">
        <v>880</v>
      </c>
      <c r="F242" t="s">
        <v>893</v>
      </c>
      <c r="G242" t="str">
        <f>_xlfn.XLOOKUP(frasest[[#This Row],[author_es]],autorest[author_es],autorest[author_la])</f>
        <v>Polycarpus Smyrnaeus</v>
      </c>
      <c r="H242" t="str">
        <f>_xlfn.XLOOKUP(frasest[[#This Row],[author_es]],autorest[author_es],autorest[bio_es])</f>
        <v>Obispo de Esmirna, mártir y Padre Apostólico. Discípulo del apóstol Juan, martirizado a los 86 años. Una de las tres figuras principales de los Padres Apostólicos.</v>
      </c>
      <c r="I242" t="str">
        <f>_xlfn.XLOOKUP(frasest[[#This Row],[author_es]],autorest[author_es],autorest[bio_la])</f>
        <v>Episcopus Smyrnaeus, martyr et Pater Apostolicus. Discipulus apostoli Ioannis, octoginta sex annos natus martyrizatus. Una ex tribus figuris principalibus Patrum Apostolicorum.</v>
      </c>
      <c r="J242" t="str">
        <f>_xlfn.XLOOKUP(frasest[[#This Row],[author_es]],autorest[author_es],autorest[iso3691])</f>
        <v>la</v>
      </c>
      <c r="K242" t="str">
        <f>_xlfn.XLOOKUP(frasest[[#This Row],[author_es]],autorest[author_es],autorest[language_es])</f>
        <v>Latín</v>
      </c>
      <c r="L242" t="str">
        <f>_xlfn.XLOOKUP(frasest[[#This Row],[author_es]],autorest[author_es],autorest[language_la])</f>
        <v>Lingua Latina</v>
      </c>
      <c r="M242" t="str">
        <f>_xlfn.XLOOKUP(frasest[[#This Row],[author_es]],autorest[author_es],autorest[nation_es])</f>
        <v>Roma</v>
      </c>
      <c r="N242" t="str">
        <f>_xlfn.XLOOKUP(frasest[[#This Row],[author_es]],autorest[author_es],autorest[nation_la])</f>
        <v>Roma</v>
      </c>
      <c r="O242" t="str">
        <f>_xlfn.XLOOKUP(frasest[[#This Row],[author_es]],autorest[author_es],autorest[age_es])</f>
        <v>Edad Antigua</v>
      </c>
      <c r="P242" t="str">
        <f>_xlfn.XLOOKUP(frasest[[#This Row],[author_es]],autorest[author_es],autorest[age_la])</f>
        <v>Antiquitas</v>
      </c>
      <c r="Q242" t="str">
        <f>_xlfn.XLOOKUP(frasest[[#This Row],[author_es]],autorest[author_es],autorest[image])</f>
        <v>https://i.ibb.co/GQTLb5X7/policarpo.png</v>
      </c>
      <c r="R242">
        <f>_xlfn.XLOOKUP(frasest[[#This Row],[author_es]],autorest[author_es],autorest[image_atr])</f>
        <v>0</v>
      </c>
    </row>
    <row r="243" spans="1:18">
      <c r="A243">
        <v>242</v>
      </c>
      <c r="B243" t="s">
        <v>894</v>
      </c>
      <c r="C243" t="s">
        <v>895</v>
      </c>
      <c r="D243" t="s">
        <v>895</v>
      </c>
      <c r="E243" t="s">
        <v>880</v>
      </c>
      <c r="F243" t="s">
        <v>896</v>
      </c>
      <c r="G243" t="str">
        <f>_xlfn.XLOOKUP(frasest[[#This Row],[author_es]],autorest[author_es],autorest[author_la])</f>
        <v>Polycarpus Smyrnaeus</v>
      </c>
      <c r="H243" t="str">
        <f>_xlfn.XLOOKUP(frasest[[#This Row],[author_es]],autorest[author_es],autorest[bio_es])</f>
        <v>Obispo de Esmirna, mártir y Padre Apostólico. Discípulo del apóstol Juan, martirizado a los 86 años. Una de las tres figuras principales de los Padres Apostólicos.</v>
      </c>
      <c r="I243" t="str">
        <f>_xlfn.XLOOKUP(frasest[[#This Row],[author_es]],autorest[author_es],autorest[bio_la])</f>
        <v>Episcopus Smyrnaeus, martyr et Pater Apostolicus. Discipulus apostoli Ioannis, octoginta sex annos natus martyrizatus. Una ex tribus figuris principalibus Patrum Apostolicorum.</v>
      </c>
      <c r="J243" t="str">
        <f>_xlfn.XLOOKUP(frasest[[#This Row],[author_es]],autorest[author_es],autorest[iso3691])</f>
        <v>la</v>
      </c>
      <c r="K243" t="str">
        <f>_xlfn.XLOOKUP(frasest[[#This Row],[author_es]],autorest[author_es],autorest[language_es])</f>
        <v>Latín</v>
      </c>
      <c r="L243" t="str">
        <f>_xlfn.XLOOKUP(frasest[[#This Row],[author_es]],autorest[author_es],autorest[language_la])</f>
        <v>Lingua Latina</v>
      </c>
      <c r="M243" t="str">
        <f>_xlfn.XLOOKUP(frasest[[#This Row],[author_es]],autorest[author_es],autorest[nation_es])</f>
        <v>Roma</v>
      </c>
      <c r="N243" t="str">
        <f>_xlfn.XLOOKUP(frasest[[#This Row],[author_es]],autorest[author_es],autorest[nation_la])</f>
        <v>Roma</v>
      </c>
      <c r="O243" t="str">
        <f>_xlfn.XLOOKUP(frasest[[#This Row],[author_es]],autorest[author_es],autorest[age_es])</f>
        <v>Edad Antigua</v>
      </c>
      <c r="P243" t="str">
        <f>_xlfn.XLOOKUP(frasest[[#This Row],[author_es]],autorest[author_es],autorest[age_la])</f>
        <v>Antiquitas</v>
      </c>
      <c r="Q243" t="str">
        <f>_xlfn.XLOOKUP(frasest[[#This Row],[author_es]],autorest[author_es],autorest[image])</f>
        <v>https://i.ibb.co/GQTLb5X7/policarpo.png</v>
      </c>
      <c r="R243">
        <f>_xlfn.XLOOKUP(frasest[[#This Row],[author_es]],autorest[author_es],autorest[image_atr])</f>
        <v>0</v>
      </c>
    </row>
    <row r="244" spans="1:18">
      <c r="A244">
        <v>243</v>
      </c>
      <c r="B244" t="s">
        <v>897</v>
      </c>
      <c r="C244" t="s">
        <v>898</v>
      </c>
      <c r="D244" t="s">
        <v>898</v>
      </c>
      <c r="E244" t="s">
        <v>880</v>
      </c>
      <c r="F244" t="s">
        <v>899</v>
      </c>
      <c r="G244" t="str">
        <f>_xlfn.XLOOKUP(frasest[[#This Row],[author_es]],autorest[author_es],autorest[author_la])</f>
        <v>Polycarpus Smyrnaeus</v>
      </c>
      <c r="H244" t="str">
        <f>_xlfn.XLOOKUP(frasest[[#This Row],[author_es]],autorest[author_es],autorest[bio_es])</f>
        <v>Obispo de Esmirna, mártir y Padre Apostólico. Discípulo del apóstol Juan, martirizado a los 86 años. Una de las tres figuras principales de los Padres Apostólicos.</v>
      </c>
      <c r="I244" t="str">
        <f>_xlfn.XLOOKUP(frasest[[#This Row],[author_es]],autorest[author_es],autorest[bio_la])</f>
        <v>Episcopus Smyrnaeus, martyr et Pater Apostolicus. Discipulus apostoli Ioannis, octoginta sex annos natus martyrizatus. Una ex tribus figuris principalibus Patrum Apostolicorum.</v>
      </c>
      <c r="J244" t="str">
        <f>_xlfn.XLOOKUP(frasest[[#This Row],[author_es]],autorest[author_es],autorest[iso3691])</f>
        <v>la</v>
      </c>
      <c r="K244" t="str">
        <f>_xlfn.XLOOKUP(frasest[[#This Row],[author_es]],autorest[author_es],autorest[language_es])</f>
        <v>Latín</v>
      </c>
      <c r="L244" t="str">
        <f>_xlfn.XLOOKUP(frasest[[#This Row],[author_es]],autorest[author_es],autorest[language_la])</f>
        <v>Lingua Latina</v>
      </c>
      <c r="M244" t="str">
        <f>_xlfn.XLOOKUP(frasest[[#This Row],[author_es]],autorest[author_es],autorest[nation_es])</f>
        <v>Roma</v>
      </c>
      <c r="N244" t="str">
        <f>_xlfn.XLOOKUP(frasest[[#This Row],[author_es]],autorest[author_es],autorest[nation_la])</f>
        <v>Roma</v>
      </c>
      <c r="O244" t="str">
        <f>_xlfn.XLOOKUP(frasest[[#This Row],[author_es]],autorest[author_es],autorest[age_es])</f>
        <v>Edad Antigua</v>
      </c>
      <c r="P244" t="str">
        <f>_xlfn.XLOOKUP(frasest[[#This Row],[author_es]],autorest[author_es],autorest[age_la])</f>
        <v>Antiquitas</v>
      </c>
      <c r="Q244" t="str">
        <f>_xlfn.XLOOKUP(frasest[[#This Row],[author_es]],autorest[author_es],autorest[image])</f>
        <v>https://i.ibb.co/GQTLb5X7/policarpo.png</v>
      </c>
      <c r="R244">
        <f>_xlfn.XLOOKUP(frasest[[#This Row],[author_es]],autorest[author_es],autorest[image_atr])</f>
        <v>0</v>
      </c>
    </row>
    <row r="245" spans="1:18">
      <c r="A245">
        <v>244</v>
      </c>
      <c r="B245" t="s">
        <v>900</v>
      </c>
      <c r="C245" t="s">
        <v>901</v>
      </c>
      <c r="D245" t="s">
        <v>901</v>
      </c>
      <c r="E245" t="s">
        <v>880</v>
      </c>
      <c r="F245" t="s">
        <v>902</v>
      </c>
      <c r="G245" t="str">
        <f>_xlfn.XLOOKUP(frasest[[#This Row],[author_es]],autorest[author_es],autorest[author_la])</f>
        <v>Polycarpus Smyrnaeus</v>
      </c>
      <c r="H245" t="str">
        <f>_xlfn.XLOOKUP(frasest[[#This Row],[author_es]],autorest[author_es],autorest[bio_es])</f>
        <v>Obispo de Esmirna, mártir y Padre Apostólico. Discípulo del apóstol Juan, martirizado a los 86 años. Una de las tres figuras principales de los Padres Apostólicos.</v>
      </c>
      <c r="I245" t="str">
        <f>_xlfn.XLOOKUP(frasest[[#This Row],[author_es]],autorest[author_es],autorest[bio_la])</f>
        <v>Episcopus Smyrnaeus, martyr et Pater Apostolicus. Discipulus apostoli Ioannis, octoginta sex annos natus martyrizatus. Una ex tribus figuris principalibus Patrum Apostolicorum.</v>
      </c>
      <c r="J245" t="str">
        <f>_xlfn.XLOOKUP(frasest[[#This Row],[author_es]],autorest[author_es],autorest[iso3691])</f>
        <v>la</v>
      </c>
      <c r="K245" t="str">
        <f>_xlfn.XLOOKUP(frasest[[#This Row],[author_es]],autorest[author_es],autorest[language_es])</f>
        <v>Latín</v>
      </c>
      <c r="L245" t="str">
        <f>_xlfn.XLOOKUP(frasest[[#This Row],[author_es]],autorest[author_es],autorest[language_la])</f>
        <v>Lingua Latina</v>
      </c>
      <c r="M245" t="str">
        <f>_xlfn.XLOOKUP(frasest[[#This Row],[author_es]],autorest[author_es],autorest[nation_es])</f>
        <v>Roma</v>
      </c>
      <c r="N245" t="str">
        <f>_xlfn.XLOOKUP(frasest[[#This Row],[author_es]],autorest[author_es],autorest[nation_la])</f>
        <v>Roma</v>
      </c>
      <c r="O245" t="str">
        <f>_xlfn.XLOOKUP(frasest[[#This Row],[author_es]],autorest[author_es],autorest[age_es])</f>
        <v>Edad Antigua</v>
      </c>
      <c r="P245" t="str">
        <f>_xlfn.XLOOKUP(frasest[[#This Row],[author_es]],autorest[author_es],autorest[age_la])</f>
        <v>Antiquitas</v>
      </c>
      <c r="Q245" t="str">
        <f>_xlfn.XLOOKUP(frasest[[#This Row],[author_es]],autorest[author_es],autorest[image])</f>
        <v>https://i.ibb.co/GQTLb5X7/policarpo.png</v>
      </c>
      <c r="R245">
        <f>_xlfn.XLOOKUP(frasest[[#This Row],[author_es]],autorest[author_es],autorest[image_atr])</f>
        <v>0</v>
      </c>
    </row>
    <row r="246" spans="1:18">
      <c r="A246">
        <v>245</v>
      </c>
      <c r="B246" t="s">
        <v>903</v>
      </c>
      <c r="C246" t="s">
        <v>904</v>
      </c>
      <c r="D246" t="s">
        <v>904</v>
      </c>
      <c r="E246" t="s">
        <v>880</v>
      </c>
      <c r="F246" t="s">
        <v>905</v>
      </c>
      <c r="G246" t="str">
        <f>_xlfn.XLOOKUP(frasest[[#This Row],[author_es]],autorest[author_es],autorest[author_la])</f>
        <v>Polycarpus Smyrnaeus</v>
      </c>
      <c r="H246" t="str">
        <f>_xlfn.XLOOKUP(frasest[[#This Row],[author_es]],autorest[author_es],autorest[bio_es])</f>
        <v>Obispo de Esmirna, mártir y Padre Apostólico. Discípulo del apóstol Juan, martirizado a los 86 años. Una de las tres figuras principales de los Padres Apostólicos.</v>
      </c>
      <c r="I246" t="str">
        <f>_xlfn.XLOOKUP(frasest[[#This Row],[author_es]],autorest[author_es],autorest[bio_la])</f>
        <v>Episcopus Smyrnaeus, martyr et Pater Apostolicus. Discipulus apostoli Ioannis, octoginta sex annos natus martyrizatus. Una ex tribus figuris principalibus Patrum Apostolicorum.</v>
      </c>
      <c r="J246" t="str">
        <f>_xlfn.XLOOKUP(frasest[[#This Row],[author_es]],autorest[author_es],autorest[iso3691])</f>
        <v>la</v>
      </c>
      <c r="K246" t="str">
        <f>_xlfn.XLOOKUP(frasest[[#This Row],[author_es]],autorest[author_es],autorest[language_es])</f>
        <v>Latín</v>
      </c>
      <c r="L246" t="str">
        <f>_xlfn.XLOOKUP(frasest[[#This Row],[author_es]],autorest[author_es],autorest[language_la])</f>
        <v>Lingua Latina</v>
      </c>
      <c r="M246" t="str">
        <f>_xlfn.XLOOKUP(frasest[[#This Row],[author_es]],autorest[author_es],autorest[nation_es])</f>
        <v>Roma</v>
      </c>
      <c r="N246" t="str">
        <f>_xlfn.XLOOKUP(frasest[[#This Row],[author_es]],autorest[author_es],autorest[nation_la])</f>
        <v>Roma</v>
      </c>
      <c r="O246" t="str">
        <f>_xlfn.XLOOKUP(frasest[[#This Row],[author_es]],autorest[author_es],autorest[age_es])</f>
        <v>Edad Antigua</v>
      </c>
      <c r="P246" t="str">
        <f>_xlfn.XLOOKUP(frasest[[#This Row],[author_es]],autorest[author_es],autorest[age_la])</f>
        <v>Antiquitas</v>
      </c>
      <c r="Q246" t="str">
        <f>_xlfn.XLOOKUP(frasest[[#This Row],[author_es]],autorest[author_es],autorest[image])</f>
        <v>https://i.ibb.co/GQTLb5X7/policarpo.png</v>
      </c>
      <c r="R246">
        <f>_xlfn.XLOOKUP(frasest[[#This Row],[author_es]],autorest[author_es],autorest[image_atr])</f>
        <v>0</v>
      </c>
    </row>
    <row r="247" spans="1:18">
      <c r="A247">
        <v>246</v>
      </c>
      <c r="B247" t="s">
        <v>906</v>
      </c>
      <c r="C247" t="s">
        <v>907</v>
      </c>
      <c r="D247" t="s">
        <v>907</v>
      </c>
      <c r="E247" t="s">
        <v>880</v>
      </c>
      <c r="F247" t="s">
        <v>908</v>
      </c>
      <c r="G247" t="str">
        <f>_xlfn.XLOOKUP(frasest[[#This Row],[author_es]],autorest[author_es],autorest[author_la])</f>
        <v>Polycarpus Smyrnaeus</v>
      </c>
      <c r="H247" t="str">
        <f>_xlfn.XLOOKUP(frasest[[#This Row],[author_es]],autorest[author_es],autorest[bio_es])</f>
        <v>Obispo de Esmirna, mártir y Padre Apostólico. Discípulo del apóstol Juan, martirizado a los 86 años. Una de las tres figuras principales de los Padres Apostólicos.</v>
      </c>
      <c r="I247" t="str">
        <f>_xlfn.XLOOKUP(frasest[[#This Row],[author_es]],autorest[author_es],autorest[bio_la])</f>
        <v>Episcopus Smyrnaeus, martyr et Pater Apostolicus. Discipulus apostoli Ioannis, octoginta sex annos natus martyrizatus. Una ex tribus figuris principalibus Patrum Apostolicorum.</v>
      </c>
      <c r="J247" t="str">
        <f>_xlfn.XLOOKUP(frasest[[#This Row],[author_es]],autorest[author_es],autorest[iso3691])</f>
        <v>la</v>
      </c>
      <c r="K247" t="str">
        <f>_xlfn.XLOOKUP(frasest[[#This Row],[author_es]],autorest[author_es],autorest[language_es])</f>
        <v>Latín</v>
      </c>
      <c r="L247" t="str">
        <f>_xlfn.XLOOKUP(frasest[[#This Row],[author_es]],autorest[author_es],autorest[language_la])</f>
        <v>Lingua Latina</v>
      </c>
      <c r="M247" t="str">
        <f>_xlfn.XLOOKUP(frasest[[#This Row],[author_es]],autorest[author_es],autorest[nation_es])</f>
        <v>Roma</v>
      </c>
      <c r="N247" t="str">
        <f>_xlfn.XLOOKUP(frasest[[#This Row],[author_es]],autorest[author_es],autorest[nation_la])</f>
        <v>Roma</v>
      </c>
      <c r="O247" t="str">
        <f>_xlfn.XLOOKUP(frasest[[#This Row],[author_es]],autorest[author_es],autorest[age_es])</f>
        <v>Edad Antigua</v>
      </c>
      <c r="P247" t="str">
        <f>_xlfn.XLOOKUP(frasest[[#This Row],[author_es]],autorest[author_es],autorest[age_la])</f>
        <v>Antiquitas</v>
      </c>
      <c r="Q247" t="str">
        <f>_xlfn.XLOOKUP(frasest[[#This Row],[author_es]],autorest[author_es],autorest[image])</f>
        <v>https://i.ibb.co/GQTLb5X7/policarpo.png</v>
      </c>
      <c r="R247">
        <f>_xlfn.XLOOKUP(frasest[[#This Row],[author_es]],autorest[author_es],autorest[image_atr])</f>
        <v>0</v>
      </c>
    </row>
    <row r="248" spans="1:18">
      <c r="A248">
        <v>247</v>
      </c>
      <c r="B248" t="s">
        <v>909</v>
      </c>
      <c r="C248" t="s">
        <v>910</v>
      </c>
      <c r="D248" t="s">
        <v>910</v>
      </c>
      <c r="E248" t="s">
        <v>911</v>
      </c>
      <c r="F248" t="s">
        <v>912</v>
      </c>
      <c r="G248" t="str">
        <f>_xlfn.XLOOKUP(frasest[[#This Row],[author_es]],autorest[author_es],autorest[author_la])</f>
        <v>Irenaeus Lugdunensis</v>
      </c>
      <c r="H248" t="str">
        <f>_xlfn.XLOOKUP(frasest[[#This Row],[author_es]],autorest[author_es],autorest[bio_es])</f>
        <v>Obispo de Lyon, Padre de la Iglesia y mártir. Discípulo de San Policarpo, combatió el gnosticismo. Primer teólogo que consideró esenciales los cuatro evangelios canónicos.</v>
      </c>
      <c r="I248" t="str">
        <f>_xlfn.XLOOKUP(frasest[[#This Row],[author_es]],autorest[author_es],autorest[bio_la])</f>
        <v>Episcopus Lugdunensis, Pater Ecclesiae et martyr. Discipulus Sancti Polycarpi, gnosticismum impugnavit. Primus theologus quattuor evangelia canonica essentialia consideravit.</v>
      </c>
      <c r="J248" t="str">
        <f>_xlfn.XLOOKUP(frasest[[#This Row],[author_es]],autorest[author_es],autorest[iso3691])</f>
        <v>la</v>
      </c>
      <c r="K248" t="str">
        <f>_xlfn.XLOOKUP(frasest[[#This Row],[author_es]],autorest[author_es],autorest[language_es])</f>
        <v>Latín</v>
      </c>
      <c r="L248" t="str">
        <f>_xlfn.XLOOKUP(frasest[[#This Row],[author_es]],autorest[author_es],autorest[language_la])</f>
        <v>Lingua Latina</v>
      </c>
      <c r="M248" t="str">
        <f>_xlfn.XLOOKUP(frasest[[#This Row],[author_es]],autorest[author_es],autorest[nation_es])</f>
        <v>Roma</v>
      </c>
      <c r="N248" t="str">
        <f>_xlfn.XLOOKUP(frasest[[#This Row],[author_es]],autorest[author_es],autorest[nation_la])</f>
        <v>Roma</v>
      </c>
      <c r="O248" t="str">
        <f>_xlfn.XLOOKUP(frasest[[#This Row],[author_es]],autorest[author_es],autorest[age_es])</f>
        <v>Edad Antigua</v>
      </c>
      <c r="P248" t="str">
        <f>_xlfn.XLOOKUP(frasest[[#This Row],[author_es]],autorest[author_es],autorest[age_la])</f>
        <v>Antiquitas</v>
      </c>
      <c r="Q248" t="str">
        <f>_xlfn.XLOOKUP(frasest[[#This Row],[author_es]],autorest[author_es],autorest[image])</f>
        <v>https://i.ibb.co/ccNf9TJC/ireneolion.png</v>
      </c>
      <c r="R248">
        <f>_xlfn.XLOOKUP(frasest[[#This Row],[author_es]],autorest[author_es],autorest[image_atr])</f>
        <v>0</v>
      </c>
    </row>
    <row r="249" spans="1:18">
      <c r="A249">
        <v>248</v>
      </c>
      <c r="B249" t="s">
        <v>913</v>
      </c>
      <c r="C249" t="s">
        <v>914</v>
      </c>
      <c r="D249" t="s">
        <v>914</v>
      </c>
      <c r="E249" t="s">
        <v>911</v>
      </c>
      <c r="F249" t="s">
        <v>912</v>
      </c>
      <c r="G249" t="str">
        <f>_xlfn.XLOOKUP(frasest[[#This Row],[author_es]],autorest[author_es],autorest[author_la])</f>
        <v>Irenaeus Lugdunensis</v>
      </c>
      <c r="H249" t="str">
        <f>_xlfn.XLOOKUP(frasest[[#This Row],[author_es]],autorest[author_es],autorest[bio_es])</f>
        <v>Obispo de Lyon, Padre de la Iglesia y mártir. Discípulo de San Policarpo, combatió el gnosticismo. Primer teólogo que consideró esenciales los cuatro evangelios canónicos.</v>
      </c>
      <c r="I249" t="str">
        <f>_xlfn.XLOOKUP(frasest[[#This Row],[author_es]],autorest[author_es],autorest[bio_la])</f>
        <v>Episcopus Lugdunensis, Pater Ecclesiae et martyr. Discipulus Sancti Polycarpi, gnosticismum impugnavit. Primus theologus quattuor evangelia canonica essentialia consideravit.</v>
      </c>
      <c r="J249" t="str">
        <f>_xlfn.XLOOKUP(frasest[[#This Row],[author_es]],autorest[author_es],autorest[iso3691])</f>
        <v>la</v>
      </c>
      <c r="K249" t="str">
        <f>_xlfn.XLOOKUP(frasest[[#This Row],[author_es]],autorest[author_es],autorest[language_es])</f>
        <v>Latín</v>
      </c>
      <c r="L249" t="str">
        <f>_xlfn.XLOOKUP(frasest[[#This Row],[author_es]],autorest[author_es],autorest[language_la])</f>
        <v>Lingua Latina</v>
      </c>
      <c r="M249" t="str">
        <f>_xlfn.XLOOKUP(frasest[[#This Row],[author_es]],autorest[author_es],autorest[nation_es])</f>
        <v>Roma</v>
      </c>
      <c r="N249" t="str">
        <f>_xlfn.XLOOKUP(frasest[[#This Row],[author_es]],autorest[author_es],autorest[nation_la])</f>
        <v>Roma</v>
      </c>
      <c r="O249" t="str">
        <f>_xlfn.XLOOKUP(frasest[[#This Row],[author_es]],autorest[author_es],autorest[age_es])</f>
        <v>Edad Antigua</v>
      </c>
      <c r="P249" t="str">
        <f>_xlfn.XLOOKUP(frasest[[#This Row],[author_es]],autorest[author_es],autorest[age_la])</f>
        <v>Antiquitas</v>
      </c>
      <c r="Q249" t="str">
        <f>_xlfn.XLOOKUP(frasest[[#This Row],[author_es]],autorest[author_es],autorest[image])</f>
        <v>https://i.ibb.co/ccNf9TJC/ireneolion.png</v>
      </c>
      <c r="R249">
        <f>_xlfn.XLOOKUP(frasest[[#This Row],[author_es]],autorest[author_es],autorest[image_atr])</f>
        <v>0</v>
      </c>
    </row>
    <row r="250" spans="1:18">
      <c r="A250">
        <v>249</v>
      </c>
      <c r="B250" t="s">
        <v>915</v>
      </c>
      <c r="C250" t="s">
        <v>916</v>
      </c>
      <c r="D250" t="s">
        <v>916</v>
      </c>
      <c r="E250" t="s">
        <v>911</v>
      </c>
      <c r="F250" t="s">
        <v>917</v>
      </c>
      <c r="G250" t="str">
        <f>_xlfn.XLOOKUP(frasest[[#This Row],[author_es]],autorest[author_es],autorest[author_la])</f>
        <v>Irenaeus Lugdunensis</v>
      </c>
      <c r="H250" t="str">
        <f>_xlfn.XLOOKUP(frasest[[#This Row],[author_es]],autorest[author_es],autorest[bio_es])</f>
        <v>Obispo de Lyon, Padre de la Iglesia y mártir. Discípulo de San Policarpo, combatió el gnosticismo. Primer teólogo que consideró esenciales los cuatro evangelios canónicos.</v>
      </c>
      <c r="I250" t="str">
        <f>_xlfn.XLOOKUP(frasest[[#This Row],[author_es]],autorest[author_es],autorest[bio_la])</f>
        <v>Episcopus Lugdunensis, Pater Ecclesiae et martyr. Discipulus Sancti Polycarpi, gnosticismum impugnavit. Primus theologus quattuor evangelia canonica essentialia consideravit.</v>
      </c>
      <c r="J250" t="str">
        <f>_xlfn.XLOOKUP(frasest[[#This Row],[author_es]],autorest[author_es],autorest[iso3691])</f>
        <v>la</v>
      </c>
      <c r="K250" t="str">
        <f>_xlfn.XLOOKUP(frasest[[#This Row],[author_es]],autorest[author_es],autorest[language_es])</f>
        <v>Latín</v>
      </c>
      <c r="L250" t="str">
        <f>_xlfn.XLOOKUP(frasest[[#This Row],[author_es]],autorest[author_es],autorest[language_la])</f>
        <v>Lingua Latina</v>
      </c>
      <c r="M250" t="str">
        <f>_xlfn.XLOOKUP(frasest[[#This Row],[author_es]],autorest[author_es],autorest[nation_es])</f>
        <v>Roma</v>
      </c>
      <c r="N250" t="str">
        <f>_xlfn.XLOOKUP(frasest[[#This Row],[author_es]],autorest[author_es],autorest[nation_la])</f>
        <v>Roma</v>
      </c>
      <c r="O250" t="str">
        <f>_xlfn.XLOOKUP(frasest[[#This Row],[author_es]],autorest[author_es],autorest[age_es])</f>
        <v>Edad Antigua</v>
      </c>
      <c r="P250" t="str">
        <f>_xlfn.XLOOKUP(frasest[[#This Row],[author_es]],autorest[author_es],autorest[age_la])</f>
        <v>Antiquitas</v>
      </c>
      <c r="Q250" t="str">
        <f>_xlfn.XLOOKUP(frasest[[#This Row],[author_es]],autorest[author_es],autorest[image])</f>
        <v>https://i.ibb.co/ccNf9TJC/ireneolion.png</v>
      </c>
      <c r="R250">
        <f>_xlfn.XLOOKUP(frasest[[#This Row],[author_es]],autorest[author_es],autorest[image_atr])</f>
        <v>0</v>
      </c>
    </row>
    <row r="251" spans="1:18">
      <c r="A251">
        <v>250</v>
      </c>
      <c r="B251" t="s">
        <v>918</v>
      </c>
      <c r="C251" t="s">
        <v>919</v>
      </c>
      <c r="D251" t="s">
        <v>919</v>
      </c>
      <c r="E251" t="s">
        <v>911</v>
      </c>
      <c r="F251" t="s">
        <v>920</v>
      </c>
      <c r="G251" t="str">
        <f>_xlfn.XLOOKUP(frasest[[#This Row],[author_es]],autorest[author_es],autorest[author_la])</f>
        <v>Irenaeus Lugdunensis</v>
      </c>
      <c r="H251" t="str">
        <f>_xlfn.XLOOKUP(frasest[[#This Row],[author_es]],autorest[author_es],autorest[bio_es])</f>
        <v>Obispo de Lyon, Padre de la Iglesia y mártir. Discípulo de San Policarpo, combatió el gnosticismo. Primer teólogo que consideró esenciales los cuatro evangelios canónicos.</v>
      </c>
      <c r="I251" t="str">
        <f>_xlfn.XLOOKUP(frasest[[#This Row],[author_es]],autorest[author_es],autorest[bio_la])</f>
        <v>Episcopus Lugdunensis, Pater Ecclesiae et martyr. Discipulus Sancti Polycarpi, gnosticismum impugnavit. Primus theologus quattuor evangelia canonica essentialia consideravit.</v>
      </c>
      <c r="J251" t="str">
        <f>_xlfn.XLOOKUP(frasest[[#This Row],[author_es]],autorest[author_es],autorest[iso3691])</f>
        <v>la</v>
      </c>
      <c r="K251" t="str">
        <f>_xlfn.XLOOKUP(frasest[[#This Row],[author_es]],autorest[author_es],autorest[language_es])</f>
        <v>Latín</v>
      </c>
      <c r="L251" t="str">
        <f>_xlfn.XLOOKUP(frasest[[#This Row],[author_es]],autorest[author_es],autorest[language_la])</f>
        <v>Lingua Latina</v>
      </c>
      <c r="M251" t="str">
        <f>_xlfn.XLOOKUP(frasest[[#This Row],[author_es]],autorest[author_es],autorest[nation_es])</f>
        <v>Roma</v>
      </c>
      <c r="N251" t="str">
        <f>_xlfn.XLOOKUP(frasest[[#This Row],[author_es]],autorest[author_es],autorest[nation_la])</f>
        <v>Roma</v>
      </c>
      <c r="O251" t="str">
        <f>_xlfn.XLOOKUP(frasest[[#This Row],[author_es]],autorest[author_es],autorest[age_es])</f>
        <v>Edad Antigua</v>
      </c>
      <c r="P251" t="str">
        <f>_xlfn.XLOOKUP(frasest[[#This Row],[author_es]],autorest[author_es],autorest[age_la])</f>
        <v>Antiquitas</v>
      </c>
      <c r="Q251" t="str">
        <f>_xlfn.XLOOKUP(frasest[[#This Row],[author_es]],autorest[author_es],autorest[image])</f>
        <v>https://i.ibb.co/ccNf9TJC/ireneolion.png</v>
      </c>
      <c r="R251">
        <f>_xlfn.XLOOKUP(frasest[[#This Row],[author_es]],autorest[author_es],autorest[image_atr])</f>
        <v>0</v>
      </c>
    </row>
    <row r="252" spans="1:18">
      <c r="A252">
        <v>251</v>
      </c>
      <c r="B252" t="s">
        <v>921</v>
      </c>
      <c r="C252" t="s">
        <v>922</v>
      </c>
      <c r="D252" t="s">
        <v>922</v>
      </c>
      <c r="E252" t="s">
        <v>911</v>
      </c>
      <c r="F252" t="s">
        <v>923</v>
      </c>
      <c r="G252" t="str">
        <f>_xlfn.XLOOKUP(frasest[[#This Row],[author_es]],autorest[author_es],autorest[author_la])</f>
        <v>Irenaeus Lugdunensis</v>
      </c>
      <c r="H252" t="str">
        <f>_xlfn.XLOOKUP(frasest[[#This Row],[author_es]],autorest[author_es],autorest[bio_es])</f>
        <v>Obispo de Lyon, Padre de la Iglesia y mártir. Discípulo de San Policarpo, combatió el gnosticismo. Primer teólogo que consideró esenciales los cuatro evangelios canónicos.</v>
      </c>
      <c r="I252" t="str">
        <f>_xlfn.XLOOKUP(frasest[[#This Row],[author_es]],autorest[author_es],autorest[bio_la])</f>
        <v>Episcopus Lugdunensis, Pater Ecclesiae et martyr. Discipulus Sancti Polycarpi, gnosticismum impugnavit. Primus theologus quattuor evangelia canonica essentialia consideravit.</v>
      </c>
      <c r="J252" t="str">
        <f>_xlfn.XLOOKUP(frasest[[#This Row],[author_es]],autorest[author_es],autorest[iso3691])</f>
        <v>la</v>
      </c>
      <c r="K252" t="str">
        <f>_xlfn.XLOOKUP(frasest[[#This Row],[author_es]],autorest[author_es],autorest[language_es])</f>
        <v>Latín</v>
      </c>
      <c r="L252" t="str">
        <f>_xlfn.XLOOKUP(frasest[[#This Row],[author_es]],autorest[author_es],autorest[language_la])</f>
        <v>Lingua Latina</v>
      </c>
      <c r="M252" t="str">
        <f>_xlfn.XLOOKUP(frasest[[#This Row],[author_es]],autorest[author_es],autorest[nation_es])</f>
        <v>Roma</v>
      </c>
      <c r="N252" t="str">
        <f>_xlfn.XLOOKUP(frasest[[#This Row],[author_es]],autorest[author_es],autorest[nation_la])</f>
        <v>Roma</v>
      </c>
      <c r="O252" t="str">
        <f>_xlfn.XLOOKUP(frasest[[#This Row],[author_es]],autorest[author_es],autorest[age_es])</f>
        <v>Edad Antigua</v>
      </c>
      <c r="P252" t="str">
        <f>_xlfn.XLOOKUP(frasest[[#This Row],[author_es]],autorest[author_es],autorest[age_la])</f>
        <v>Antiquitas</v>
      </c>
      <c r="Q252" t="str">
        <f>_xlfn.XLOOKUP(frasest[[#This Row],[author_es]],autorest[author_es],autorest[image])</f>
        <v>https://i.ibb.co/ccNf9TJC/ireneolion.png</v>
      </c>
      <c r="R252">
        <f>_xlfn.XLOOKUP(frasest[[#This Row],[author_es]],autorest[author_es],autorest[image_atr])</f>
        <v>0</v>
      </c>
    </row>
    <row r="253" spans="1:18">
      <c r="A253">
        <v>252</v>
      </c>
      <c r="B253" t="s">
        <v>924</v>
      </c>
      <c r="C253" t="s">
        <v>925</v>
      </c>
      <c r="D253" t="s">
        <v>925</v>
      </c>
      <c r="E253" t="s">
        <v>911</v>
      </c>
      <c r="F253" t="s">
        <v>926</v>
      </c>
      <c r="G253" t="str">
        <f>_xlfn.XLOOKUP(frasest[[#This Row],[author_es]],autorest[author_es],autorest[author_la])</f>
        <v>Irenaeus Lugdunensis</v>
      </c>
      <c r="H253" t="str">
        <f>_xlfn.XLOOKUP(frasest[[#This Row],[author_es]],autorest[author_es],autorest[bio_es])</f>
        <v>Obispo de Lyon, Padre de la Iglesia y mártir. Discípulo de San Policarpo, combatió el gnosticismo. Primer teólogo que consideró esenciales los cuatro evangelios canónicos.</v>
      </c>
      <c r="I253" t="str">
        <f>_xlfn.XLOOKUP(frasest[[#This Row],[author_es]],autorest[author_es],autorest[bio_la])</f>
        <v>Episcopus Lugdunensis, Pater Ecclesiae et martyr. Discipulus Sancti Polycarpi, gnosticismum impugnavit. Primus theologus quattuor evangelia canonica essentialia consideravit.</v>
      </c>
      <c r="J253" t="str">
        <f>_xlfn.XLOOKUP(frasest[[#This Row],[author_es]],autorest[author_es],autorest[iso3691])</f>
        <v>la</v>
      </c>
      <c r="K253" t="str">
        <f>_xlfn.XLOOKUP(frasest[[#This Row],[author_es]],autorest[author_es],autorest[language_es])</f>
        <v>Latín</v>
      </c>
      <c r="L253" t="str">
        <f>_xlfn.XLOOKUP(frasest[[#This Row],[author_es]],autorest[author_es],autorest[language_la])</f>
        <v>Lingua Latina</v>
      </c>
      <c r="M253" t="str">
        <f>_xlfn.XLOOKUP(frasest[[#This Row],[author_es]],autorest[author_es],autorest[nation_es])</f>
        <v>Roma</v>
      </c>
      <c r="N253" t="str">
        <f>_xlfn.XLOOKUP(frasest[[#This Row],[author_es]],autorest[author_es],autorest[nation_la])</f>
        <v>Roma</v>
      </c>
      <c r="O253" t="str">
        <f>_xlfn.XLOOKUP(frasest[[#This Row],[author_es]],autorest[author_es],autorest[age_es])</f>
        <v>Edad Antigua</v>
      </c>
      <c r="P253" t="str">
        <f>_xlfn.XLOOKUP(frasest[[#This Row],[author_es]],autorest[author_es],autorest[age_la])</f>
        <v>Antiquitas</v>
      </c>
      <c r="Q253" t="str">
        <f>_xlfn.XLOOKUP(frasest[[#This Row],[author_es]],autorest[author_es],autorest[image])</f>
        <v>https://i.ibb.co/ccNf9TJC/ireneolion.png</v>
      </c>
      <c r="R253">
        <f>_xlfn.XLOOKUP(frasest[[#This Row],[author_es]],autorest[author_es],autorest[image_atr])</f>
        <v>0</v>
      </c>
    </row>
    <row r="254" spans="1:18">
      <c r="A254">
        <v>253</v>
      </c>
      <c r="B254" t="s">
        <v>927</v>
      </c>
      <c r="C254" t="s">
        <v>928</v>
      </c>
      <c r="D254" t="s">
        <v>928</v>
      </c>
      <c r="E254" t="s">
        <v>911</v>
      </c>
      <c r="F254" t="s">
        <v>917</v>
      </c>
      <c r="G254" t="str">
        <f>_xlfn.XLOOKUP(frasest[[#This Row],[author_es]],autorest[author_es],autorest[author_la])</f>
        <v>Irenaeus Lugdunensis</v>
      </c>
      <c r="H254" t="str">
        <f>_xlfn.XLOOKUP(frasest[[#This Row],[author_es]],autorest[author_es],autorest[bio_es])</f>
        <v>Obispo de Lyon, Padre de la Iglesia y mártir. Discípulo de San Policarpo, combatió el gnosticismo. Primer teólogo que consideró esenciales los cuatro evangelios canónicos.</v>
      </c>
      <c r="I254" t="str">
        <f>_xlfn.XLOOKUP(frasest[[#This Row],[author_es]],autorest[author_es],autorest[bio_la])</f>
        <v>Episcopus Lugdunensis, Pater Ecclesiae et martyr. Discipulus Sancti Polycarpi, gnosticismum impugnavit. Primus theologus quattuor evangelia canonica essentialia consideravit.</v>
      </c>
      <c r="J254" t="str">
        <f>_xlfn.XLOOKUP(frasest[[#This Row],[author_es]],autorest[author_es],autorest[iso3691])</f>
        <v>la</v>
      </c>
      <c r="K254" t="str">
        <f>_xlfn.XLOOKUP(frasest[[#This Row],[author_es]],autorest[author_es],autorest[language_es])</f>
        <v>Latín</v>
      </c>
      <c r="L254" t="str">
        <f>_xlfn.XLOOKUP(frasest[[#This Row],[author_es]],autorest[author_es],autorest[language_la])</f>
        <v>Lingua Latina</v>
      </c>
      <c r="M254" t="str">
        <f>_xlfn.XLOOKUP(frasest[[#This Row],[author_es]],autorest[author_es],autorest[nation_es])</f>
        <v>Roma</v>
      </c>
      <c r="N254" t="str">
        <f>_xlfn.XLOOKUP(frasest[[#This Row],[author_es]],autorest[author_es],autorest[nation_la])</f>
        <v>Roma</v>
      </c>
      <c r="O254" t="str">
        <f>_xlfn.XLOOKUP(frasest[[#This Row],[author_es]],autorest[author_es],autorest[age_es])</f>
        <v>Edad Antigua</v>
      </c>
      <c r="P254" t="str">
        <f>_xlfn.XLOOKUP(frasest[[#This Row],[author_es]],autorest[author_es],autorest[age_la])</f>
        <v>Antiquitas</v>
      </c>
      <c r="Q254" t="str">
        <f>_xlfn.XLOOKUP(frasest[[#This Row],[author_es]],autorest[author_es],autorest[image])</f>
        <v>https://i.ibb.co/ccNf9TJC/ireneolion.png</v>
      </c>
      <c r="R254">
        <f>_xlfn.XLOOKUP(frasest[[#This Row],[author_es]],autorest[author_es],autorest[image_atr])</f>
        <v>0</v>
      </c>
    </row>
    <row r="255" spans="1:18">
      <c r="A255">
        <v>254</v>
      </c>
      <c r="B255" t="s">
        <v>929</v>
      </c>
      <c r="C255" t="s">
        <v>930</v>
      </c>
      <c r="D255" t="s">
        <v>930</v>
      </c>
      <c r="E255" t="s">
        <v>911</v>
      </c>
      <c r="F255" t="s">
        <v>931</v>
      </c>
      <c r="G255" t="str">
        <f>_xlfn.XLOOKUP(frasest[[#This Row],[author_es]],autorest[author_es],autorest[author_la])</f>
        <v>Irenaeus Lugdunensis</v>
      </c>
      <c r="H255" t="str">
        <f>_xlfn.XLOOKUP(frasest[[#This Row],[author_es]],autorest[author_es],autorest[bio_es])</f>
        <v>Obispo de Lyon, Padre de la Iglesia y mártir. Discípulo de San Policarpo, combatió el gnosticismo. Primer teólogo que consideró esenciales los cuatro evangelios canónicos.</v>
      </c>
      <c r="I255" t="str">
        <f>_xlfn.XLOOKUP(frasest[[#This Row],[author_es]],autorest[author_es],autorest[bio_la])</f>
        <v>Episcopus Lugdunensis, Pater Ecclesiae et martyr. Discipulus Sancti Polycarpi, gnosticismum impugnavit. Primus theologus quattuor evangelia canonica essentialia consideravit.</v>
      </c>
      <c r="J255" t="str">
        <f>_xlfn.XLOOKUP(frasest[[#This Row],[author_es]],autorest[author_es],autorest[iso3691])</f>
        <v>la</v>
      </c>
      <c r="K255" t="str">
        <f>_xlfn.XLOOKUP(frasest[[#This Row],[author_es]],autorest[author_es],autorest[language_es])</f>
        <v>Latín</v>
      </c>
      <c r="L255" t="str">
        <f>_xlfn.XLOOKUP(frasest[[#This Row],[author_es]],autorest[author_es],autorest[language_la])</f>
        <v>Lingua Latina</v>
      </c>
      <c r="M255" t="str">
        <f>_xlfn.XLOOKUP(frasest[[#This Row],[author_es]],autorest[author_es],autorest[nation_es])</f>
        <v>Roma</v>
      </c>
      <c r="N255" t="str">
        <f>_xlfn.XLOOKUP(frasest[[#This Row],[author_es]],autorest[author_es],autorest[nation_la])</f>
        <v>Roma</v>
      </c>
      <c r="O255" t="str">
        <f>_xlfn.XLOOKUP(frasest[[#This Row],[author_es]],autorest[author_es],autorest[age_es])</f>
        <v>Edad Antigua</v>
      </c>
      <c r="P255" t="str">
        <f>_xlfn.XLOOKUP(frasest[[#This Row],[author_es]],autorest[author_es],autorest[age_la])</f>
        <v>Antiquitas</v>
      </c>
      <c r="Q255" t="str">
        <f>_xlfn.XLOOKUP(frasest[[#This Row],[author_es]],autorest[author_es],autorest[image])</f>
        <v>https://i.ibb.co/ccNf9TJC/ireneolion.png</v>
      </c>
      <c r="R255">
        <f>_xlfn.XLOOKUP(frasest[[#This Row],[author_es]],autorest[author_es],autorest[image_atr])</f>
        <v>0</v>
      </c>
    </row>
    <row r="256" spans="1:18">
      <c r="A256">
        <v>255</v>
      </c>
      <c r="B256" t="s">
        <v>932</v>
      </c>
      <c r="C256" t="s">
        <v>933</v>
      </c>
      <c r="D256" t="s">
        <v>933</v>
      </c>
      <c r="E256" t="s">
        <v>911</v>
      </c>
      <c r="F256" t="s">
        <v>934</v>
      </c>
      <c r="G256" t="str">
        <f>_xlfn.XLOOKUP(frasest[[#This Row],[author_es]],autorest[author_es],autorest[author_la])</f>
        <v>Irenaeus Lugdunensis</v>
      </c>
      <c r="H256" t="str">
        <f>_xlfn.XLOOKUP(frasest[[#This Row],[author_es]],autorest[author_es],autorest[bio_es])</f>
        <v>Obispo de Lyon, Padre de la Iglesia y mártir. Discípulo de San Policarpo, combatió el gnosticismo. Primer teólogo que consideró esenciales los cuatro evangelios canónicos.</v>
      </c>
      <c r="I256" t="str">
        <f>_xlfn.XLOOKUP(frasest[[#This Row],[author_es]],autorest[author_es],autorest[bio_la])</f>
        <v>Episcopus Lugdunensis, Pater Ecclesiae et martyr. Discipulus Sancti Polycarpi, gnosticismum impugnavit. Primus theologus quattuor evangelia canonica essentialia consideravit.</v>
      </c>
      <c r="J256" t="str">
        <f>_xlfn.XLOOKUP(frasest[[#This Row],[author_es]],autorest[author_es],autorest[iso3691])</f>
        <v>la</v>
      </c>
      <c r="K256" t="str">
        <f>_xlfn.XLOOKUP(frasest[[#This Row],[author_es]],autorest[author_es],autorest[language_es])</f>
        <v>Latín</v>
      </c>
      <c r="L256" t="str">
        <f>_xlfn.XLOOKUP(frasest[[#This Row],[author_es]],autorest[author_es],autorest[language_la])</f>
        <v>Lingua Latina</v>
      </c>
      <c r="M256" t="str">
        <f>_xlfn.XLOOKUP(frasest[[#This Row],[author_es]],autorest[author_es],autorest[nation_es])</f>
        <v>Roma</v>
      </c>
      <c r="N256" t="str">
        <f>_xlfn.XLOOKUP(frasest[[#This Row],[author_es]],autorest[author_es],autorest[nation_la])</f>
        <v>Roma</v>
      </c>
      <c r="O256" t="str">
        <f>_xlfn.XLOOKUP(frasest[[#This Row],[author_es]],autorest[author_es],autorest[age_es])</f>
        <v>Edad Antigua</v>
      </c>
      <c r="P256" t="str">
        <f>_xlfn.XLOOKUP(frasest[[#This Row],[author_es]],autorest[author_es],autorest[age_la])</f>
        <v>Antiquitas</v>
      </c>
      <c r="Q256" t="str">
        <f>_xlfn.XLOOKUP(frasest[[#This Row],[author_es]],autorest[author_es],autorest[image])</f>
        <v>https://i.ibb.co/ccNf9TJC/ireneolion.png</v>
      </c>
      <c r="R256">
        <f>_xlfn.XLOOKUP(frasest[[#This Row],[author_es]],autorest[author_es],autorest[image_atr])</f>
        <v>0</v>
      </c>
    </row>
    <row r="257" spans="1:18">
      <c r="A257">
        <v>256</v>
      </c>
      <c r="B257" t="s">
        <v>935</v>
      </c>
      <c r="C257" t="s">
        <v>936</v>
      </c>
      <c r="D257" t="s">
        <v>936</v>
      </c>
      <c r="E257" t="s">
        <v>911</v>
      </c>
      <c r="F257" t="s">
        <v>937</v>
      </c>
      <c r="G257" t="str">
        <f>_xlfn.XLOOKUP(frasest[[#This Row],[author_es]],autorest[author_es],autorest[author_la])</f>
        <v>Irenaeus Lugdunensis</v>
      </c>
      <c r="H257" t="str">
        <f>_xlfn.XLOOKUP(frasest[[#This Row],[author_es]],autorest[author_es],autorest[bio_es])</f>
        <v>Obispo de Lyon, Padre de la Iglesia y mártir. Discípulo de San Policarpo, combatió el gnosticismo. Primer teólogo que consideró esenciales los cuatro evangelios canónicos.</v>
      </c>
      <c r="I257" t="str">
        <f>_xlfn.XLOOKUP(frasest[[#This Row],[author_es]],autorest[author_es],autorest[bio_la])</f>
        <v>Episcopus Lugdunensis, Pater Ecclesiae et martyr. Discipulus Sancti Polycarpi, gnosticismum impugnavit. Primus theologus quattuor evangelia canonica essentialia consideravit.</v>
      </c>
      <c r="J257" t="str">
        <f>_xlfn.XLOOKUP(frasest[[#This Row],[author_es]],autorest[author_es],autorest[iso3691])</f>
        <v>la</v>
      </c>
      <c r="K257" t="str">
        <f>_xlfn.XLOOKUP(frasest[[#This Row],[author_es]],autorest[author_es],autorest[language_es])</f>
        <v>Latín</v>
      </c>
      <c r="L257" t="str">
        <f>_xlfn.XLOOKUP(frasest[[#This Row],[author_es]],autorest[author_es],autorest[language_la])</f>
        <v>Lingua Latina</v>
      </c>
      <c r="M257" t="str">
        <f>_xlfn.XLOOKUP(frasest[[#This Row],[author_es]],autorest[author_es],autorest[nation_es])</f>
        <v>Roma</v>
      </c>
      <c r="N257" t="str">
        <f>_xlfn.XLOOKUP(frasest[[#This Row],[author_es]],autorest[author_es],autorest[nation_la])</f>
        <v>Roma</v>
      </c>
      <c r="O257" t="str">
        <f>_xlfn.XLOOKUP(frasest[[#This Row],[author_es]],autorest[author_es],autorest[age_es])</f>
        <v>Edad Antigua</v>
      </c>
      <c r="P257" t="str">
        <f>_xlfn.XLOOKUP(frasest[[#This Row],[author_es]],autorest[author_es],autorest[age_la])</f>
        <v>Antiquitas</v>
      </c>
      <c r="Q257" t="str">
        <f>_xlfn.XLOOKUP(frasest[[#This Row],[author_es]],autorest[author_es],autorest[image])</f>
        <v>https://i.ibb.co/ccNf9TJC/ireneolion.png</v>
      </c>
      <c r="R257">
        <f>_xlfn.XLOOKUP(frasest[[#This Row],[author_es]],autorest[author_es],autorest[image_atr])</f>
        <v>0</v>
      </c>
    </row>
    <row r="258" spans="1:18">
      <c r="A258">
        <v>257</v>
      </c>
      <c r="B258" t="s">
        <v>938</v>
      </c>
      <c r="C258" t="s">
        <v>939</v>
      </c>
      <c r="D258" t="s">
        <v>939</v>
      </c>
      <c r="E258" t="s">
        <v>940</v>
      </c>
      <c r="F258" t="s">
        <v>941</v>
      </c>
      <c r="G258" t="str">
        <f>_xlfn.XLOOKUP(frasest[[#This Row],[author_es]],autorest[author_es],autorest[author_la])</f>
        <v>Athanasius Alexandrinus</v>
      </c>
      <c r="H258" t="str">
        <f>_xlfn.XLOOKUP(frasest[[#This Row],[author_es]],autorest[author_es],autorest[bio_es])</f>
        <v>Obispo de Alejandría, Doctor de la Iglesia y defensor de la ortodoxia nicena contra el arrianismo. Autor de la "Vida de San Antonio", influyente en la espiritualidad monástica.</v>
      </c>
      <c r="I258" t="str">
        <f>_xlfn.XLOOKUP(frasest[[#This Row],[author_es]],autorest[author_es],autorest[bio_la])</f>
        <v>Episcopus Alexandrinus, Doctor Ecclesiae et defensor orthodoxiae Nicaenae contra arianismum. Auctor "Vita Sancti Antonii", in spiritualitate monastica influens.</v>
      </c>
      <c r="J258" t="str">
        <f>_xlfn.XLOOKUP(frasest[[#This Row],[author_es]],autorest[author_es],autorest[iso3691])</f>
        <v>la</v>
      </c>
      <c r="K258" t="str">
        <f>_xlfn.XLOOKUP(frasest[[#This Row],[author_es]],autorest[author_es],autorest[language_es])</f>
        <v>Latín</v>
      </c>
      <c r="L258" t="str">
        <f>_xlfn.XLOOKUP(frasest[[#This Row],[author_es]],autorest[author_es],autorest[language_la])</f>
        <v>Lingua Latina</v>
      </c>
      <c r="M258" t="str">
        <f>_xlfn.XLOOKUP(frasest[[#This Row],[author_es]],autorest[author_es],autorest[nation_es])</f>
        <v>Roma</v>
      </c>
      <c r="N258" t="str">
        <f>_xlfn.XLOOKUP(frasest[[#This Row],[author_es]],autorest[author_es],autorest[nation_la])</f>
        <v>Roma</v>
      </c>
      <c r="O258" t="str">
        <f>_xlfn.XLOOKUP(frasest[[#This Row],[author_es]],autorest[author_es],autorest[age_es])</f>
        <v>Edad Antigua</v>
      </c>
      <c r="P258" t="str">
        <f>_xlfn.XLOOKUP(frasest[[#This Row],[author_es]],autorest[author_es],autorest[age_la])</f>
        <v>Antiquitas</v>
      </c>
      <c r="Q258" t="str">
        <f>_xlfn.XLOOKUP(frasest[[#This Row],[author_es]],autorest[author_es],autorest[image])</f>
        <v>https://i.ibb.co/N2qBhZS8/atanasio.png</v>
      </c>
      <c r="R258">
        <f>_xlfn.XLOOKUP(frasest[[#This Row],[author_es]],autorest[author_es],autorest[image_atr])</f>
        <v>0</v>
      </c>
    </row>
    <row r="259" spans="1:18">
      <c r="A259">
        <v>258</v>
      </c>
      <c r="B259" t="s">
        <v>942</v>
      </c>
      <c r="C259" t="s">
        <v>943</v>
      </c>
      <c r="D259" t="s">
        <v>943</v>
      </c>
      <c r="E259" t="s">
        <v>940</v>
      </c>
      <c r="F259" t="s">
        <v>944</v>
      </c>
      <c r="G259" t="str">
        <f>_xlfn.XLOOKUP(frasest[[#This Row],[author_es]],autorest[author_es],autorest[author_la])</f>
        <v>Athanasius Alexandrinus</v>
      </c>
      <c r="H259" t="str">
        <f>_xlfn.XLOOKUP(frasest[[#This Row],[author_es]],autorest[author_es],autorest[bio_es])</f>
        <v>Obispo de Alejandría, Doctor de la Iglesia y defensor de la ortodoxia nicena contra el arrianismo. Autor de la "Vida de San Antonio", influyente en la espiritualidad monástica.</v>
      </c>
      <c r="I259" t="str">
        <f>_xlfn.XLOOKUP(frasest[[#This Row],[author_es]],autorest[author_es],autorest[bio_la])</f>
        <v>Episcopus Alexandrinus, Doctor Ecclesiae et defensor orthodoxiae Nicaenae contra arianismum. Auctor "Vita Sancti Antonii", in spiritualitate monastica influens.</v>
      </c>
      <c r="J259" t="str">
        <f>_xlfn.XLOOKUP(frasest[[#This Row],[author_es]],autorest[author_es],autorest[iso3691])</f>
        <v>la</v>
      </c>
      <c r="K259" t="str">
        <f>_xlfn.XLOOKUP(frasest[[#This Row],[author_es]],autorest[author_es],autorest[language_es])</f>
        <v>Latín</v>
      </c>
      <c r="L259" t="str">
        <f>_xlfn.XLOOKUP(frasest[[#This Row],[author_es]],autorest[author_es],autorest[language_la])</f>
        <v>Lingua Latina</v>
      </c>
      <c r="M259" t="str">
        <f>_xlfn.XLOOKUP(frasest[[#This Row],[author_es]],autorest[author_es],autorest[nation_es])</f>
        <v>Roma</v>
      </c>
      <c r="N259" t="str">
        <f>_xlfn.XLOOKUP(frasest[[#This Row],[author_es]],autorest[author_es],autorest[nation_la])</f>
        <v>Roma</v>
      </c>
      <c r="O259" t="str">
        <f>_xlfn.XLOOKUP(frasest[[#This Row],[author_es]],autorest[author_es],autorest[age_es])</f>
        <v>Edad Antigua</v>
      </c>
      <c r="P259" t="str">
        <f>_xlfn.XLOOKUP(frasest[[#This Row],[author_es]],autorest[author_es],autorest[age_la])</f>
        <v>Antiquitas</v>
      </c>
      <c r="Q259" t="str">
        <f>_xlfn.XLOOKUP(frasest[[#This Row],[author_es]],autorest[author_es],autorest[image])</f>
        <v>https://i.ibb.co/N2qBhZS8/atanasio.png</v>
      </c>
      <c r="R259">
        <f>_xlfn.XLOOKUP(frasest[[#This Row],[author_es]],autorest[author_es],autorest[image_atr])</f>
        <v>0</v>
      </c>
    </row>
    <row r="260" spans="1:18">
      <c r="A260">
        <v>259</v>
      </c>
      <c r="B260" t="s">
        <v>945</v>
      </c>
      <c r="C260" t="s">
        <v>946</v>
      </c>
      <c r="D260" t="s">
        <v>946</v>
      </c>
      <c r="E260" t="s">
        <v>940</v>
      </c>
      <c r="F260" t="s">
        <v>947</v>
      </c>
      <c r="G260" t="str">
        <f>_xlfn.XLOOKUP(frasest[[#This Row],[author_es]],autorest[author_es],autorest[author_la])</f>
        <v>Athanasius Alexandrinus</v>
      </c>
      <c r="H260" t="str">
        <f>_xlfn.XLOOKUP(frasest[[#This Row],[author_es]],autorest[author_es],autorest[bio_es])</f>
        <v>Obispo de Alejandría, Doctor de la Iglesia y defensor de la ortodoxia nicena contra el arrianismo. Autor de la "Vida de San Antonio", influyente en la espiritualidad monástica.</v>
      </c>
      <c r="I260" t="str">
        <f>_xlfn.XLOOKUP(frasest[[#This Row],[author_es]],autorest[author_es],autorest[bio_la])</f>
        <v>Episcopus Alexandrinus, Doctor Ecclesiae et defensor orthodoxiae Nicaenae contra arianismum. Auctor "Vita Sancti Antonii", in spiritualitate monastica influens.</v>
      </c>
      <c r="J260" t="str">
        <f>_xlfn.XLOOKUP(frasest[[#This Row],[author_es]],autorest[author_es],autorest[iso3691])</f>
        <v>la</v>
      </c>
      <c r="K260" t="str">
        <f>_xlfn.XLOOKUP(frasest[[#This Row],[author_es]],autorest[author_es],autorest[language_es])</f>
        <v>Latín</v>
      </c>
      <c r="L260" t="str">
        <f>_xlfn.XLOOKUP(frasest[[#This Row],[author_es]],autorest[author_es],autorest[language_la])</f>
        <v>Lingua Latina</v>
      </c>
      <c r="M260" t="str">
        <f>_xlfn.XLOOKUP(frasest[[#This Row],[author_es]],autorest[author_es],autorest[nation_es])</f>
        <v>Roma</v>
      </c>
      <c r="N260" t="str">
        <f>_xlfn.XLOOKUP(frasest[[#This Row],[author_es]],autorest[author_es],autorest[nation_la])</f>
        <v>Roma</v>
      </c>
      <c r="O260" t="str">
        <f>_xlfn.XLOOKUP(frasest[[#This Row],[author_es]],autorest[author_es],autorest[age_es])</f>
        <v>Edad Antigua</v>
      </c>
      <c r="P260" t="str">
        <f>_xlfn.XLOOKUP(frasest[[#This Row],[author_es]],autorest[author_es],autorest[age_la])</f>
        <v>Antiquitas</v>
      </c>
      <c r="Q260" t="str">
        <f>_xlfn.XLOOKUP(frasest[[#This Row],[author_es]],autorest[author_es],autorest[image])</f>
        <v>https://i.ibb.co/N2qBhZS8/atanasio.png</v>
      </c>
      <c r="R260">
        <f>_xlfn.XLOOKUP(frasest[[#This Row],[author_es]],autorest[author_es],autorest[image_atr])</f>
        <v>0</v>
      </c>
    </row>
    <row r="261" spans="1:18">
      <c r="A261">
        <v>260</v>
      </c>
      <c r="B261" t="s">
        <v>948</v>
      </c>
      <c r="C261" t="s">
        <v>949</v>
      </c>
      <c r="D261" t="s">
        <v>949</v>
      </c>
      <c r="E261" t="s">
        <v>940</v>
      </c>
      <c r="F261" t="s">
        <v>950</v>
      </c>
      <c r="G261" t="str">
        <f>_xlfn.XLOOKUP(frasest[[#This Row],[author_es]],autorest[author_es],autorest[author_la])</f>
        <v>Athanasius Alexandrinus</v>
      </c>
      <c r="H261" t="str">
        <f>_xlfn.XLOOKUP(frasest[[#This Row],[author_es]],autorest[author_es],autorest[bio_es])</f>
        <v>Obispo de Alejandría, Doctor de la Iglesia y defensor de la ortodoxia nicena contra el arrianismo. Autor de la "Vida de San Antonio", influyente en la espiritualidad monástica.</v>
      </c>
      <c r="I261" t="str">
        <f>_xlfn.XLOOKUP(frasest[[#This Row],[author_es]],autorest[author_es],autorest[bio_la])</f>
        <v>Episcopus Alexandrinus, Doctor Ecclesiae et defensor orthodoxiae Nicaenae contra arianismum. Auctor "Vita Sancti Antonii", in spiritualitate monastica influens.</v>
      </c>
      <c r="J261" t="str">
        <f>_xlfn.XLOOKUP(frasest[[#This Row],[author_es]],autorest[author_es],autorest[iso3691])</f>
        <v>la</v>
      </c>
      <c r="K261" t="str">
        <f>_xlfn.XLOOKUP(frasest[[#This Row],[author_es]],autorest[author_es],autorest[language_es])</f>
        <v>Latín</v>
      </c>
      <c r="L261" t="str">
        <f>_xlfn.XLOOKUP(frasest[[#This Row],[author_es]],autorest[author_es],autorest[language_la])</f>
        <v>Lingua Latina</v>
      </c>
      <c r="M261" t="str">
        <f>_xlfn.XLOOKUP(frasest[[#This Row],[author_es]],autorest[author_es],autorest[nation_es])</f>
        <v>Roma</v>
      </c>
      <c r="N261" t="str">
        <f>_xlfn.XLOOKUP(frasest[[#This Row],[author_es]],autorest[author_es],autorest[nation_la])</f>
        <v>Roma</v>
      </c>
      <c r="O261" t="str">
        <f>_xlfn.XLOOKUP(frasest[[#This Row],[author_es]],autorest[author_es],autorest[age_es])</f>
        <v>Edad Antigua</v>
      </c>
      <c r="P261" t="str">
        <f>_xlfn.XLOOKUP(frasest[[#This Row],[author_es]],autorest[author_es],autorest[age_la])</f>
        <v>Antiquitas</v>
      </c>
      <c r="Q261" t="str">
        <f>_xlfn.XLOOKUP(frasest[[#This Row],[author_es]],autorest[author_es],autorest[image])</f>
        <v>https://i.ibb.co/N2qBhZS8/atanasio.png</v>
      </c>
      <c r="R261">
        <f>_xlfn.XLOOKUP(frasest[[#This Row],[author_es]],autorest[author_es],autorest[image_atr])</f>
        <v>0</v>
      </c>
    </row>
    <row r="262" spans="1:18">
      <c r="A262">
        <v>261</v>
      </c>
      <c r="B262" t="s">
        <v>951</v>
      </c>
      <c r="C262" t="s">
        <v>952</v>
      </c>
      <c r="D262" t="s">
        <v>952</v>
      </c>
      <c r="E262" t="s">
        <v>940</v>
      </c>
      <c r="F262" t="s">
        <v>953</v>
      </c>
      <c r="G262" t="str">
        <f>_xlfn.XLOOKUP(frasest[[#This Row],[author_es]],autorest[author_es],autorest[author_la])</f>
        <v>Athanasius Alexandrinus</v>
      </c>
      <c r="H262" t="str">
        <f>_xlfn.XLOOKUP(frasest[[#This Row],[author_es]],autorest[author_es],autorest[bio_es])</f>
        <v>Obispo de Alejandría, Doctor de la Iglesia y defensor de la ortodoxia nicena contra el arrianismo. Autor de la "Vida de San Antonio", influyente en la espiritualidad monástica.</v>
      </c>
      <c r="I262" t="str">
        <f>_xlfn.XLOOKUP(frasest[[#This Row],[author_es]],autorest[author_es],autorest[bio_la])</f>
        <v>Episcopus Alexandrinus, Doctor Ecclesiae et defensor orthodoxiae Nicaenae contra arianismum. Auctor "Vita Sancti Antonii", in spiritualitate monastica influens.</v>
      </c>
      <c r="J262" t="str">
        <f>_xlfn.XLOOKUP(frasest[[#This Row],[author_es]],autorest[author_es],autorest[iso3691])</f>
        <v>la</v>
      </c>
      <c r="K262" t="str">
        <f>_xlfn.XLOOKUP(frasest[[#This Row],[author_es]],autorest[author_es],autorest[language_es])</f>
        <v>Latín</v>
      </c>
      <c r="L262" t="str">
        <f>_xlfn.XLOOKUP(frasest[[#This Row],[author_es]],autorest[author_es],autorest[language_la])</f>
        <v>Lingua Latina</v>
      </c>
      <c r="M262" t="str">
        <f>_xlfn.XLOOKUP(frasest[[#This Row],[author_es]],autorest[author_es],autorest[nation_es])</f>
        <v>Roma</v>
      </c>
      <c r="N262" t="str">
        <f>_xlfn.XLOOKUP(frasest[[#This Row],[author_es]],autorest[author_es],autorest[nation_la])</f>
        <v>Roma</v>
      </c>
      <c r="O262" t="str">
        <f>_xlfn.XLOOKUP(frasest[[#This Row],[author_es]],autorest[author_es],autorest[age_es])</f>
        <v>Edad Antigua</v>
      </c>
      <c r="P262" t="str">
        <f>_xlfn.XLOOKUP(frasest[[#This Row],[author_es]],autorest[author_es],autorest[age_la])</f>
        <v>Antiquitas</v>
      </c>
      <c r="Q262" t="str">
        <f>_xlfn.XLOOKUP(frasest[[#This Row],[author_es]],autorest[author_es],autorest[image])</f>
        <v>https://i.ibb.co/N2qBhZS8/atanasio.png</v>
      </c>
      <c r="R262">
        <f>_xlfn.XLOOKUP(frasest[[#This Row],[author_es]],autorest[author_es],autorest[image_atr])</f>
        <v>0</v>
      </c>
    </row>
    <row r="263" spans="1:18">
      <c r="A263">
        <v>262</v>
      </c>
      <c r="B263" t="s">
        <v>954</v>
      </c>
      <c r="C263" t="s">
        <v>955</v>
      </c>
      <c r="D263" t="s">
        <v>955</v>
      </c>
      <c r="E263" t="s">
        <v>940</v>
      </c>
      <c r="F263" t="s">
        <v>956</v>
      </c>
      <c r="G263" t="str">
        <f>_xlfn.XLOOKUP(frasest[[#This Row],[author_es]],autorest[author_es],autorest[author_la])</f>
        <v>Athanasius Alexandrinus</v>
      </c>
      <c r="H263" t="str">
        <f>_xlfn.XLOOKUP(frasest[[#This Row],[author_es]],autorest[author_es],autorest[bio_es])</f>
        <v>Obispo de Alejandría, Doctor de la Iglesia y defensor de la ortodoxia nicena contra el arrianismo. Autor de la "Vida de San Antonio", influyente en la espiritualidad monástica.</v>
      </c>
      <c r="I263" t="str">
        <f>_xlfn.XLOOKUP(frasest[[#This Row],[author_es]],autorest[author_es],autorest[bio_la])</f>
        <v>Episcopus Alexandrinus, Doctor Ecclesiae et defensor orthodoxiae Nicaenae contra arianismum. Auctor "Vita Sancti Antonii", in spiritualitate monastica influens.</v>
      </c>
      <c r="J263" t="str">
        <f>_xlfn.XLOOKUP(frasest[[#This Row],[author_es]],autorest[author_es],autorest[iso3691])</f>
        <v>la</v>
      </c>
      <c r="K263" t="str">
        <f>_xlfn.XLOOKUP(frasest[[#This Row],[author_es]],autorest[author_es],autorest[language_es])</f>
        <v>Latín</v>
      </c>
      <c r="L263" t="str">
        <f>_xlfn.XLOOKUP(frasest[[#This Row],[author_es]],autorest[author_es],autorest[language_la])</f>
        <v>Lingua Latina</v>
      </c>
      <c r="M263" t="str">
        <f>_xlfn.XLOOKUP(frasest[[#This Row],[author_es]],autorest[author_es],autorest[nation_es])</f>
        <v>Roma</v>
      </c>
      <c r="N263" t="str">
        <f>_xlfn.XLOOKUP(frasest[[#This Row],[author_es]],autorest[author_es],autorest[nation_la])</f>
        <v>Roma</v>
      </c>
      <c r="O263" t="str">
        <f>_xlfn.XLOOKUP(frasest[[#This Row],[author_es]],autorest[author_es],autorest[age_es])</f>
        <v>Edad Antigua</v>
      </c>
      <c r="P263" t="str">
        <f>_xlfn.XLOOKUP(frasest[[#This Row],[author_es]],autorest[author_es],autorest[age_la])</f>
        <v>Antiquitas</v>
      </c>
      <c r="Q263" t="str">
        <f>_xlfn.XLOOKUP(frasest[[#This Row],[author_es]],autorest[author_es],autorest[image])</f>
        <v>https://i.ibb.co/N2qBhZS8/atanasio.png</v>
      </c>
      <c r="R263">
        <f>_xlfn.XLOOKUP(frasest[[#This Row],[author_es]],autorest[author_es],autorest[image_atr])</f>
        <v>0</v>
      </c>
    </row>
    <row r="264" spans="1:18">
      <c r="A264">
        <v>263</v>
      </c>
      <c r="B264" t="s">
        <v>957</v>
      </c>
      <c r="C264" t="s">
        <v>958</v>
      </c>
      <c r="D264" t="s">
        <v>958</v>
      </c>
      <c r="E264" t="s">
        <v>940</v>
      </c>
      <c r="F264" t="s">
        <v>959</v>
      </c>
      <c r="G264" t="str">
        <f>_xlfn.XLOOKUP(frasest[[#This Row],[author_es]],autorest[author_es],autorest[author_la])</f>
        <v>Athanasius Alexandrinus</v>
      </c>
      <c r="H264" t="str">
        <f>_xlfn.XLOOKUP(frasest[[#This Row],[author_es]],autorest[author_es],autorest[bio_es])</f>
        <v>Obispo de Alejandría, Doctor de la Iglesia y defensor de la ortodoxia nicena contra el arrianismo. Autor de la "Vida de San Antonio", influyente en la espiritualidad monástica.</v>
      </c>
      <c r="I264" t="str">
        <f>_xlfn.XLOOKUP(frasest[[#This Row],[author_es]],autorest[author_es],autorest[bio_la])</f>
        <v>Episcopus Alexandrinus, Doctor Ecclesiae et defensor orthodoxiae Nicaenae contra arianismum. Auctor "Vita Sancti Antonii", in spiritualitate monastica influens.</v>
      </c>
      <c r="J264" t="str">
        <f>_xlfn.XLOOKUP(frasest[[#This Row],[author_es]],autorest[author_es],autorest[iso3691])</f>
        <v>la</v>
      </c>
      <c r="K264" t="str">
        <f>_xlfn.XLOOKUP(frasest[[#This Row],[author_es]],autorest[author_es],autorest[language_es])</f>
        <v>Latín</v>
      </c>
      <c r="L264" t="str">
        <f>_xlfn.XLOOKUP(frasest[[#This Row],[author_es]],autorest[author_es],autorest[language_la])</f>
        <v>Lingua Latina</v>
      </c>
      <c r="M264" t="str">
        <f>_xlfn.XLOOKUP(frasest[[#This Row],[author_es]],autorest[author_es],autorest[nation_es])</f>
        <v>Roma</v>
      </c>
      <c r="N264" t="str">
        <f>_xlfn.XLOOKUP(frasest[[#This Row],[author_es]],autorest[author_es],autorest[nation_la])</f>
        <v>Roma</v>
      </c>
      <c r="O264" t="str">
        <f>_xlfn.XLOOKUP(frasest[[#This Row],[author_es]],autorest[author_es],autorest[age_es])</f>
        <v>Edad Antigua</v>
      </c>
      <c r="P264" t="str">
        <f>_xlfn.XLOOKUP(frasest[[#This Row],[author_es]],autorest[author_es],autorest[age_la])</f>
        <v>Antiquitas</v>
      </c>
      <c r="Q264" t="str">
        <f>_xlfn.XLOOKUP(frasest[[#This Row],[author_es]],autorest[author_es],autorest[image])</f>
        <v>https://i.ibb.co/N2qBhZS8/atanasio.png</v>
      </c>
      <c r="R264">
        <f>_xlfn.XLOOKUP(frasest[[#This Row],[author_es]],autorest[author_es],autorest[image_atr])</f>
        <v>0</v>
      </c>
    </row>
    <row r="265" spans="1:18">
      <c r="A265">
        <v>264</v>
      </c>
      <c r="B265" t="s">
        <v>960</v>
      </c>
      <c r="C265" t="s">
        <v>961</v>
      </c>
      <c r="D265" t="s">
        <v>961</v>
      </c>
      <c r="E265" t="s">
        <v>940</v>
      </c>
      <c r="F265" t="s">
        <v>962</v>
      </c>
      <c r="G265" t="str">
        <f>_xlfn.XLOOKUP(frasest[[#This Row],[author_es]],autorest[author_es],autorest[author_la])</f>
        <v>Athanasius Alexandrinus</v>
      </c>
      <c r="H265" t="str">
        <f>_xlfn.XLOOKUP(frasest[[#This Row],[author_es]],autorest[author_es],autorest[bio_es])</f>
        <v>Obispo de Alejandría, Doctor de la Iglesia y defensor de la ortodoxia nicena contra el arrianismo. Autor de la "Vida de San Antonio", influyente en la espiritualidad monástica.</v>
      </c>
      <c r="I265" t="str">
        <f>_xlfn.XLOOKUP(frasest[[#This Row],[author_es]],autorest[author_es],autorest[bio_la])</f>
        <v>Episcopus Alexandrinus, Doctor Ecclesiae et defensor orthodoxiae Nicaenae contra arianismum. Auctor "Vita Sancti Antonii", in spiritualitate monastica influens.</v>
      </c>
      <c r="J265" t="str">
        <f>_xlfn.XLOOKUP(frasest[[#This Row],[author_es]],autorest[author_es],autorest[iso3691])</f>
        <v>la</v>
      </c>
      <c r="K265" t="str">
        <f>_xlfn.XLOOKUP(frasest[[#This Row],[author_es]],autorest[author_es],autorest[language_es])</f>
        <v>Latín</v>
      </c>
      <c r="L265" t="str">
        <f>_xlfn.XLOOKUP(frasest[[#This Row],[author_es]],autorest[author_es],autorest[language_la])</f>
        <v>Lingua Latina</v>
      </c>
      <c r="M265" t="str">
        <f>_xlfn.XLOOKUP(frasest[[#This Row],[author_es]],autorest[author_es],autorest[nation_es])</f>
        <v>Roma</v>
      </c>
      <c r="N265" t="str">
        <f>_xlfn.XLOOKUP(frasest[[#This Row],[author_es]],autorest[author_es],autorest[nation_la])</f>
        <v>Roma</v>
      </c>
      <c r="O265" t="str">
        <f>_xlfn.XLOOKUP(frasest[[#This Row],[author_es]],autorest[author_es],autorest[age_es])</f>
        <v>Edad Antigua</v>
      </c>
      <c r="P265" t="str">
        <f>_xlfn.XLOOKUP(frasest[[#This Row],[author_es]],autorest[author_es],autorest[age_la])</f>
        <v>Antiquitas</v>
      </c>
      <c r="Q265" t="str">
        <f>_xlfn.XLOOKUP(frasest[[#This Row],[author_es]],autorest[author_es],autorest[image])</f>
        <v>https://i.ibb.co/N2qBhZS8/atanasio.png</v>
      </c>
      <c r="R265">
        <f>_xlfn.XLOOKUP(frasest[[#This Row],[author_es]],autorest[author_es],autorest[image_atr])</f>
        <v>0</v>
      </c>
    </row>
    <row r="266" spans="1:18">
      <c r="A266">
        <v>265</v>
      </c>
      <c r="B266" t="s">
        <v>963</v>
      </c>
      <c r="C266" t="s">
        <v>964</v>
      </c>
      <c r="D266" t="s">
        <v>964</v>
      </c>
      <c r="E266" t="s">
        <v>940</v>
      </c>
      <c r="F266" t="s">
        <v>950</v>
      </c>
      <c r="G266" t="str">
        <f>_xlfn.XLOOKUP(frasest[[#This Row],[author_es]],autorest[author_es],autorest[author_la])</f>
        <v>Athanasius Alexandrinus</v>
      </c>
      <c r="H266" t="str">
        <f>_xlfn.XLOOKUP(frasest[[#This Row],[author_es]],autorest[author_es],autorest[bio_es])</f>
        <v>Obispo de Alejandría, Doctor de la Iglesia y defensor de la ortodoxia nicena contra el arrianismo. Autor de la "Vida de San Antonio", influyente en la espiritualidad monástica.</v>
      </c>
      <c r="I266" t="str">
        <f>_xlfn.XLOOKUP(frasest[[#This Row],[author_es]],autorest[author_es],autorest[bio_la])</f>
        <v>Episcopus Alexandrinus, Doctor Ecclesiae et defensor orthodoxiae Nicaenae contra arianismum. Auctor "Vita Sancti Antonii", in spiritualitate monastica influens.</v>
      </c>
      <c r="J266" t="str">
        <f>_xlfn.XLOOKUP(frasest[[#This Row],[author_es]],autorest[author_es],autorest[iso3691])</f>
        <v>la</v>
      </c>
      <c r="K266" t="str">
        <f>_xlfn.XLOOKUP(frasest[[#This Row],[author_es]],autorest[author_es],autorest[language_es])</f>
        <v>Latín</v>
      </c>
      <c r="L266" t="str">
        <f>_xlfn.XLOOKUP(frasest[[#This Row],[author_es]],autorest[author_es],autorest[language_la])</f>
        <v>Lingua Latina</v>
      </c>
      <c r="M266" t="str">
        <f>_xlfn.XLOOKUP(frasest[[#This Row],[author_es]],autorest[author_es],autorest[nation_es])</f>
        <v>Roma</v>
      </c>
      <c r="N266" t="str">
        <f>_xlfn.XLOOKUP(frasest[[#This Row],[author_es]],autorest[author_es],autorest[nation_la])</f>
        <v>Roma</v>
      </c>
      <c r="O266" t="str">
        <f>_xlfn.XLOOKUP(frasest[[#This Row],[author_es]],autorest[author_es],autorest[age_es])</f>
        <v>Edad Antigua</v>
      </c>
      <c r="P266" t="str">
        <f>_xlfn.XLOOKUP(frasest[[#This Row],[author_es]],autorest[author_es],autorest[age_la])</f>
        <v>Antiquitas</v>
      </c>
      <c r="Q266" t="str">
        <f>_xlfn.XLOOKUP(frasest[[#This Row],[author_es]],autorest[author_es],autorest[image])</f>
        <v>https://i.ibb.co/N2qBhZS8/atanasio.png</v>
      </c>
      <c r="R266">
        <f>_xlfn.XLOOKUP(frasest[[#This Row],[author_es]],autorest[author_es],autorest[image_atr])</f>
        <v>0</v>
      </c>
    </row>
    <row r="267" spans="1:18">
      <c r="A267">
        <v>266</v>
      </c>
      <c r="B267" t="s">
        <v>965</v>
      </c>
      <c r="C267" t="s">
        <v>966</v>
      </c>
      <c r="D267" t="s">
        <v>966</v>
      </c>
      <c r="E267" t="s">
        <v>940</v>
      </c>
      <c r="F267" t="s">
        <v>967</v>
      </c>
      <c r="G267" t="str">
        <f>_xlfn.XLOOKUP(frasest[[#This Row],[author_es]],autorest[author_es],autorest[author_la])</f>
        <v>Athanasius Alexandrinus</v>
      </c>
      <c r="H267" t="str">
        <f>_xlfn.XLOOKUP(frasest[[#This Row],[author_es]],autorest[author_es],autorest[bio_es])</f>
        <v>Obispo de Alejandría, Doctor de la Iglesia y defensor de la ortodoxia nicena contra el arrianismo. Autor de la "Vida de San Antonio", influyente en la espiritualidad monástica.</v>
      </c>
      <c r="I267" t="str">
        <f>_xlfn.XLOOKUP(frasest[[#This Row],[author_es]],autorest[author_es],autorest[bio_la])</f>
        <v>Episcopus Alexandrinus, Doctor Ecclesiae et defensor orthodoxiae Nicaenae contra arianismum. Auctor "Vita Sancti Antonii", in spiritualitate monastica influens.</v>
      </c>
      <c r="J267" t="str">
        <f>_xlfn.XLOOKUP(frasest[[#This Row],[author_es]],autorest[author_es],autorest[iso3691])</f>
        <v>la</v>
      </c>
      <c r="K267" t="str">
        <f>_xlfn.XLOOKUP(frasest[[#This Row],[author_es]],autorest[author_es],autorest[language_es])</f>
        <v>Latín</v>
      </c>
      <c r="L267" t="str">
        <f>_xlfn.XLOOKUP(frasest[[#This Row],[author_es]],autorest[author_es],autorest[language_la])</f>
        <v>Lingua Latina</v>
      </c>
      <c r="M267" t="str">
        <f>_xlfn.XLOOKUP(frasest[[#This Row],[author_es]],autorest[author_es],autorest[nation_es])</f>
        <v>Roma</v>
      </c>
      <c r="N267" t="str">
        <f>_xlfn.XLOOKUP(frasest[[#This Row],[author_es]],autorest[author_es],autorest[nation_la])</f>
        <v>Roma</v>
      </c>
      <c r="O267" t="str">
        <f>_xlfn.XLOOKUP(frasest[[#This Row],[author_es]],autorest[author_es],autorest[age_es])</f>
        <v>Edad Antigua</v>
      </c>
      <c r="P267" t="str">
        <f>_xlfn.XLOOKUP(frasest[[#This Row],[author_es]],autorest[author_es],autorest[age_la])</f>
        <v>Antiquitas</v>
      </c>
      <c r="Q267" t="str">
        <f>_xlfn.XLOOKUP(frasest[[#This Row],[author_es]],autorest[author_es],autorest[image])</f>
        <v>https://i.ibb.co/N2qBhZS8/atanasio.png</v>
      </c>
      <c r="R267">
        <f>_xlfn.XLOOKUP(frasest[[#This Row],[author_es]],autorest[author_es],autorest[image_atr])</f>
        <v>0</v>
      </c>
    </row>
    <row r="268" spans="1:18">
      <c r="A268">
        <v>267</v>
      </c>
      <c r="B268" t="s">
        <v>968</v>
      </c>
      <c r="C268" t="s">
        <v>969</v>
      </c>
      <c r="D268" t="s">
        <v>969</v>
      </c>
      <c r="E268" t="s">
        <v>970</v>
      </c>
      <c r="F268" t="s">
        <v>971</v>
      </c>
      <c r="G268" t="str">
        <f>_xlfn.XLOOKUP(frasest[[#This Row],[author_es]],autorest[author_es],autorest[author_la])</f>
        <v>Basilius Magnus</v>
      </c>
      <c r="H268" t="str">
        <f>_xlfn.XLOOKUP(frasest[[#This Row],[author_es]],autorest[author_es],autorest[bio_es])</f>
        <v>Obispo de Cesarea, Doctor de la Iglesia y Padre Capadocio. Hermano de San Gregorio de Nisa, organizador del monaquismo oriental y defensor de la ortodoxia nicena.</v>
      </c>
      <c r="I268" t="str">
        <f>_xlfn.XLOOKUP(frasest[[#This Row],[author_es]],autorest[author_es],autorest[bio_la])</f>
        <v>Episcopus Caesariensis, Doctor Ecclesiae et Pater Cappadocius. Frater Sancti Gregorii Nysseni, monasticismi orientalis organizator et orthodoxiae Nicaenae defensor.</v>
      </c>
      <c r="J268" t="str">
        <f>_xlfn.XLOOKUP(frasest[[#This Row],[author_es]],autorest[author_es],autorest[iso3691])</f>
        <v>la</v>
      </c>
      <c r="K268" t="str">
        <f>_xlfn.XLOOKUP(frasest[[#This Row],[author_es]],autorest[author_es],autorest[language_es])</f>
        <v>Latín</v>
      </c>
      <c r="L268" t="str">
        <f>_xlfn.XLOOKUP(frasest[[#This Row],[author_es]],autorest[author_es],autorest[language_la])</f>
        <v>Lingua Latina</v>
      </c>
      <c r="M268" t="str">
        <f>_xlfn.XLOOKUP(frasest[[#This Row],[author_es]],autorest[author_es],autorest[nation_es])</f>
        <v>Roma</v>
      </c>
      <c r="N268" t="str">
        <f>_xlfn.XLOOKUP(frasest[[#This Row],[author_es]],autorest[author_es],autorest[nation_la])</f>
        <v>Roma</v>
      </c>
      <c r="O268" t="str">
        <f>_xlfn.XLOOKUP(frasest[[#This Row],[author_es]],autorest[author_es],autorest[age_es])</f>
        <v>Edad Antigua</v>
      </c>
      <c r="P268" t="str">
        <f>_xlfn.XLOOKUP(frasest[[#This Row],[author_es]],autorest[author_es],autorest[age_la])</f>
        <v>Antiquitas</v>
      </c>
      <c r="Q268" t="str">
        <f>_xlfn.XLOOKUP(frasest[[#This Row],[author_es]],autorest[author_es],autorest[image])</f>
        <v>https://i.ibb.co/3y7fTRWM/sanbasilio.png</v>
      </c>
      <c r="R268">
        <f>_xlfn.XLOOKUP(frasest[[#This Row],[author_es]],autorest[author_es],autorest[image_atr])</f>
        <v>0</v>
      </c>
    </row>
    <row r="269" spans="1:18">
      <c r="A269">
        <v>268</v>
      </c>
      <c r="B269" t="s">
        <v>972</v>
      </c>
      <c r="C269" t="s">
        <v>973</v>
      </c>
      <c r="D269" t="s">
        <v>973</v>
      </c>
      <c r="E269" t="s">
        <v>970</v>
      </c>
      <c r="F269" t="s">
        <v>974</v>
      </c>
      <c r="G269" t="str">
        <f>_xlfn.XLOOKUP(frasest[[#This Row],[author_es]],autorest[author_es],autorest[author_la])</f>
        <v>Basilius Magnus</v>
      </c>
      <c r="H269" t="str">
        <f>_xlfn.XLOOKUP(frasest[[#This Row],[author_es]],autorest[author_es],autorest[bio_es])</f>
        <v>Obispo de Cesarea, Doctor de la Iglesia y Padre Capadocio. Hermano de San Gregorio de Nisa, organizador del monaquismo oriental y defensor de la ortodoxia nicena.</v>
      </c>
      <c r="I269" t="str">
        <f>_xlfn.XLOOKUP(frasest[[#This Row],[author_es]],autorest[author_es],autorest[bio_la])</f>
        <v>Episcopus Caesariensis, Doctor Ecclesiae et Pater Cappadocius. Frater Sancti Gregorii Nysseni, monasticismi orientalis organizator et orthodoxiae Nicaenae defensor.</v>
      </c>
      <c r="J269" t="str">
        <f>_xlfn.XLOOKUP(frasest[[#This Row],[author_es]],autorest[author_es],autorest[iso3691])</f>
        <v>la</v>
      </c>
      <c r="K269" t="str">
        <f>_xlfn.XLOOKUP(frasest[[#This Row],[author_es]],autorest[author_es],autorest[language_es])</f>
        <v>Latín</v>
      </c>
      <c r="L269" t="str">
        <f>_xlfn.XLOOKUP(frasest[[#This Row],[author_es]],autorest[author_es],autorest[language_la])</f>
        <v>Lingua Latina</v>
      </c>
      <c r="M269" t="str">
        <f>_xlfn.XLOOKUP(frasest[[#This Row],[author_es]],autorest[author_es],autorest[nation_es])</f>
        <v>Roma</v>
      </c>
      <c r="N269" t="str">
        <f>_xlfn.XLOOKUP(frasest[[#This Row],[author_es]],autorest[author_es],autorest[nation_la])</f>
        <v>Roma</v>
      </c>
      <c r="O269" t="str">
        <f>_xlfn.XLOOKUP(frasest[[#This Row],[author_es]],autorest[author_es],autorest[age_es])</f>
        <v>Edad Antigua</v>
      </c>
      <c r="P269" t="str">
        <f>_xlfn.XLOOKUP(frasest[[#This Row],[author_es]],autorest[author_es],autorest[age_la])</f>
        <v>Antiquitas</v>
      </c>
      <c r="Q269" t="str">
        <f>_xlfn.XLOOKUP(frasest[[#This Row],[author_es]],autorest[author_es],autorest[image])</f>
        <v>https://i.ibb.co/3y7fTRWM/sanbasilio.png</v>
      </c>
      <c r="R269">
        <f>_xlfn.XLOOKUP(frasest[[#This Row],[author_es]],autorest[author_es],autorest[image_atr])</f>
        <v>0</v>
      </c>
    </row>
    <row r="270" spans="1:18">
      <c r="A270">
        <v>269</v>
      </c>
      <c r="B270" t="s">
        <v>975</v>
      </c>
      <c r="C270" t="s">
        <v>976</v>
      </c>
      <c r="D270" t="s">
        <v>976</v>
      </c>
      <c r="E270" t="s">
        <v>970</v>
      </c>
      <c r="F270" t="s">
        <v>977</v>
      </c>
      <c r="G270" t="str">
        <f>_xlfn.XLOOKUP(frasest[[#This Row],[author_es]],autorest[author_es],autorest[author_la])</f>
        <v>Basilius Magnus</v>
      </c>
      <c r="H270" t="str">
        <f>_xlfn.XLOOKUP(frasest[[#This Row],[author_es]],autorest[author_es],autorest[bio_es])</f>
        <v>Obispo de Cesarea, Doctor de la Iglesia y Padre Capadocio. Hermano de San Gregorio de Nisa, organizador del monaquismo oriental y defensor de la ortodoxia nicena.</v>
      </c>
      <c r="I270" t="str">
        <f>_xlfn.XLOOKUP(frasest[[#This Row],[author_es]],autorest[author_es],autorest[bio_la])</f>
        <v>Episcopus Caesariensis, Doctor Ecclesiae et Pater Cappadocius. Frater Sancti Gregorii Nysseni, monasticismi orientalis organizator et orthodoxiae Nicaenae defensor.</v>
      </c>
      <c r="J270" t="str">
        <f>_xlfn.XLOOKUP(frasest[[#This Row],[author_es]],autorest[author_es],autorest[iso3691])</f>
        <v>la</v>
      </c>
      <c r="K270" t="str">
        <f>_xlfn.XLOOKUP(frasest[[#This Row],[author_es]],autorest[author_es],autorest[language_es])</f>
        <v>Latín</v>
      </c>
      <c r="L270" t="str">
        <f>_xlfn.XLOOKUP(frasest[[#This Row],[author_es]],autorest[author_es],autorest[language_la])</f>
        <v>Lingua Latina</v>
      </c>
      <c r="M270" t="str">
        <f>_xlfn.XLOOKUP(frasest[[#This Row],[author_es]],autorest[author_es],autorest[nation_es])</f>
        <v>Roma</v>
      </c>
      <c r="N270" t="str">
        <f>_xlfn.XLOOKUP(frasest[[#This Row],[author_es]],autorest[author_es],autorest[nation_la])</f>
        <v>Roma</v>
      </c>
      <c r="O270" t="str">
        <f>_xlfn.XLOOKUP(frasest[[#This Row],[author_es]],autorest[author_es],autorest[age_es])</f>
        <v>Edad Antigua</v>
      </c>
      <c r="P270" t="str">
        <f>_xlfn.XLOOKUP(frasest[[#This Row],[author_es]],autorest[author_es],autorest[age_la])</f>
        <v>Antiquitas</v>
      </c>
      <c r="Q270" t="str">
        <f>_xlfn.XLOOKUP(frasest[[#This Row],[author_es]],autorest[author_es],autorest[image])</f>
        <v>https://i.ibb.co/3y7fTRWM/sanbasilio.png</v>
      </c>
      <c r="R270">
        <f>_xlfn.XLOOKUP(frasest[[#This Row],[author_es]],autorest[author_es],autorest[image_atr])</f>
        <v>0</v>
      </c>
    </row>
    <row r="271" spans="1:18">
      <c r="A271">
        <v>270</v>
      </c>
      <c r="B271" t="s">
        <v>978</v>
      </c>
      <c r="C271" t="s">
        <v>979</v>
      </c>
      <c r="D271" t="s">
        <v>979</v>
      </c>
      <c r="E271" t="s">
        <v>970</v>
      </c>
      <c r="F271" t="s">
        <v>980</v>
      </c>
      <c r="G271" t="str">
        <f>_xlfn.XLOOKUP(frasest[[#This Row],[author_es]],autorest[author_es],autorest[author_la])</f>
        <v>Basilius Magnus</v>
      </c>
      <c r="H271" t="str">
        <f>_xlfn.XLOOKUP(frasest[[#This Row],[author_es]],autorest[author_es],autorest[bio_es])</f>
        <v>Obispo de Cesarea, Doctor de la Iglesia y Padre Capadocio. Hermano de San Gregorio de Nisa, organizador del monaquismo oriental y defensor de la ortodoxia nicena.</v>
      </c>
      <c r="I271" t="str">
        <f>_xlfn.XLOOKUP(frasest[[#This Row],[author_es]],autorest[author_es],autorest[bio_la])</f>
        <v>Episcopus Caesariensis, Doctor Ecclesiae et Pater Cappadocius. Frater Sancti Gregorii Nysseni, monasticismi orientalis organizator et orthodoxiae Nicaenae defensor.</v>
      </c>
      <c r="J271" t="str">
        <f>_xlfn.XLOOKUP(frasest[[#This Row],[author_es]],autorest[author_es],autorest[iso3691])</f>
        <v>la</v>
      </c>
      <c r="K271" t="str">
        <f>_xlfn.XLOOKUP(frasest[[#This Row],[author_es]],autorest[author_es],autorest[language_es])</f>
        <v>Latín</v>
      </c>
      <c r="L271" t="str">
        <f>_xlfn.XLOOKUP(frasest[[#This Row],[author_es]],autorest[author_es],autorest[language_la])</f>
        <v>Lingua Latina</v>
      </c>
      <c r="M271" t="str">
        <f>_xlfn.XLOOKUP(frasest[[#This Row],[author_es]],autorest[author_es],autorest[nation_es])</f>
        <v>Roma</v>
      </c>
      <c r="N271" t="str">
        <f>_xlfn.XLOOKUP(frasest[[#This Row],[author_es]],autorest[author_es],autorest[nation_la])</f>
        <v>Roma</v>
      </c>
      <c r="O271" t="str">
        <f>_xlfn.XLOOKUP(frasest[[#This Row],[author_es]],autorest[author_es],autorest[age_es])</f>
        <v>Edad Antigua</v>
      </c>
      <c r="P271" t="str">
        <f>_xlfn.XLOOKUP(frasest[[#This Row],[author_es]],autorest[author_es],autorest[age_la])</f>
        <v>Antiquitas</v>
      </c>
      <c r="Q271" t="str">
        <f>_xlfn.XLOOKUP(frasest[[#This Row],[author_es]],autorest[author_es],autorest[image])</f>
        <v>https://i.ibb.co/3y7fTRWM/sanbasilio.png</v>
      </c>
      <c r="R271">
        <f>_xlfn.XLOOKUP(frasest[[#This Row],[author_es]],autorest[author_es],autorest[image_atr])</f>
        <v>0</v>
      </c>
    </row>
    <row r="272" spans="1:18">
      <c r="A272">
        <v>271</v>
      </c>
      <c r="B272" t="s">
        <v>981</v>
      </c>
      <c r="C272" t="s">
        <v>982</v>
      </c>
      <c r="D272" t="s">
        <v>982</v>
      </c>
      <c r="E272" t="s">
        <v>970</v>
      </c>
      <c r="F272" t="s">
        <v>983</v>
      </c>
      <c r="G272" t="str">
        <f>_xlfn.XLOOKUP(frasest[[#This Row],[author_es]],autorest[author_es],autorest[author_la])</f>
        <v>Basilius Magnus</v>
      </c>
      <c r="H272" t="str">
        <f>_xlfn.XLOOKUP(frasest[[#This Row],[author_es]],autorest[author_es],autorest[bio_es])</f>
        <v>Obispo de Cesarea, Doctor de la Iglesia y Padre Capadocio. Hermano de San Gregorio de Nisa, organizador del monaquismo oriental y defensor de la ortodoxia nicena.</v>
      </c>
      <c r="I272" t="str">
        <f>_xlfn.XLOOKUP(frasest[[#This Row],[author_es]],autorest[author_es],autorest[bio_la])</f>
        <v>Episcopus Caesariensis, Doctor Ecclesiae et Pater Cappadocius. Frater Sancti Gregorii Nysseni, monasticismi orientalis organizator et orthodoxiae Nicaenae defensor.</v>
      </c>
      <c r="J272" t="str">
        <f>_xlfn.XLOOKUP(frasest[[#This Row],[author_es]],autorest[author_es],autorest[iso3691])</f>
        <v>la</v>
      </c>
      <c r="K272" t="str">
        <f>_xlfn.XLOOKUP(frasest[[#This Row],[author_es]],autorest[author_es],autorest[language_es])</f>
        <v>Latín</v>
      </c>
      <c r="L272" t="str">
        <f>_xlfn.XLOOKUP(frasest[[#This Row],[author_es]],autorest[author_es],autorest[language_la])</f>
        <v>Lingua Latina</v>
      </c>
      <c r="M272" t="str">
        <f>_xlfn.XLOOKUP(frasest[[#This Row],[author_es]],autorest[author_es],autorest[nation_es])</f>
        <v>Roma</v>
      </c>
      <c r="N272" t="str">
        <f>_xlfn.XLOOKUP(frasest[[#This Row],[author_es]],autorest[author_es],autorest[nation_la])</f>
        <v>Roma</v>
      </c>
      <c r="O272" t="str">
        <f>_xlfn.XLOOKUP(frasest[[#This Row],[author_es]],autorest[author_es],autorest[age_es])</f>
        <v>Edad Antigua</v>
      </c>
      <c r="P272" t="str">
        <f>_xlfn.XLOOKUP(frasest[[#This Row],[author_es]],autorest[author_es],autorest[age_la])</f>
        <v>Antiquitas</v>
      </c>
      <c r="Q272" t="str">
        <f>_xlfn.XLOOKUP(frasest[[#This Row],[author_es]],autorest[author_es],autorest[image])</f>
        <v>https://i.ibb.co/3y7fTRWM/sanbasilio.png</v>
      </c>
      <c r="R272">
        <f>_xlfn.XLOOKUP(frasest[[#This Row],[author_es]],autorest[author_es],autorest[image_atr])</f>
        <v>0</v>
      </c>
    </row>
    <row r="273" spans="1:18">
      <c r="A273">
        <v>272</v>
      </c>
      <c r="B273" t="s">
        <v>984</v>
      </c>
      <c r="C273" t="s">
        <v>985</v>
      </c>
      <c r="D273" t="s">
        <v>985</v>
      </c>
      <c r="E273" t="s">
        <v>970</v>
      </c>
      <c r="F273" t="s">
        <v>986</v>
      </c>
      <c r="G273" t="str">
        <f>_xlfn.XLOOKUP(frasest[[#This Row],[author_es]],autorest[author_es],autorest[author_la])</f>
        <v>Basilius Magnus</v>
      </c>
      <c r="H273" t="str">
        <f>_xlfn.XLOOKUP(frasest[[#This Row],[author_es]],autorest[author_es],autorest[bio_es])</f>
        <v>Obispo de Cesarea, Doctor de la Iglesia y Padre Capadocio. Hermano de San Gregorio de Nisa, organizador del monaquismo oriental y defensor de la ortodoxia nicena.</v>
      </c>
      <c r="I273" t="str">
        <f>_xlfn.XLOOKUP(frasest[[#This Row],[author_es]],autorest[author_es],autorest[bio_la])</f>
        <v>Episcopus Caesariensis, Doctor Ecclesiae et Pater Cappadocius. Frater Sancti Gregorii Nysseni, monasticismi orientalis organizator et orthodoxiae Nicaenae defensor.</v>
      </c>
      <c r="J273" t="str">
        <f>_xlfn.XLOOKUP(frasest[[#This Row],[author_es]],autorest[author_es],autorest[iso3691])</f>
        <v>la</v>
      </c>
      <c r="K273" t="str">
        <f>_xlfn.XLOOKUP(frasest[[#This Row],[author_es]],autorest[author_es],autorest[language_es])</f>
        <v>Latín</v>
      </c>
      <c r="L273" t="str">
        <f>_xlfn.XLOOKUP(frasest[[#This Row],[author_es]],autorest[author_es],autorest[language_la])</f>
        <v>Lingua Latina</v>
      </c>
      <c r="M273" t="str">
        <f>_xlfn.XLOOKUP(frasest[[#This Row],[author_es]],autorest[author_es],autorest[nation_es])</f>
        <v>Roma</v>
      </c>
      <c r="N273" t="str">
        <f>_xlfn.XLOOKUP(frasest[[#This Row],[author_es]],autorest[author_es],autorest[nation_la])</f>
        <v>Roma</v>
      </c>
      <c r="O273" t="str">
        <f>_xlfn.XLOOKUP(frasest[[#This Row],[author_es]],autorest[author_es],autorest[age_es])</f>
        <v>Edad Antigua</v>
      </c>
      <c r="P273" t="str">
        <f>_xlfn.XLOOKUP(frasest[[#This Row],[author_es]],autorest[author_es],autorest[age_la])</f>
        <v>Antiquitas</v>
      </c>
      <c r="Q273" t="str">
        <f>_xlfn.XLOOKUP(frasest[[#This Row],[author_es]],autorest[author_es],autorest[image])</f>
        <v>https://i.ibb.co/3y7fTRWM/sanbasilio.png</v>
      </c>
      <c r="R273">
        <f>_xlfn.XLOOKUP(frasest[[#This Row],[author_es]],autorest[author_es],autorest[image_atr])</f>
        <v>0</v>
      </c>
    </row>
    <row r="274" spans="1:18">
      <c r="A274">
        <v>273</v>
      </c>
      <c r="B274" t="s">
        <v>987</v>
      </c>
      <c r="C274" t="s">
        <v>988</v>
      </c>
      <c r="D274" t="s">
        <v>988</v>
      </c>
      <c r="E274" t="s">
        <v>970</v>
      </c>
      <c r="F274" t="s">
        <v>989</v>
      </c>
      <c r="G274" t="str">
        <f>_xlfn.XLOOKUP(frasest[[#This Row],[author_es]],autorest[author_es],autorest[author_la])</f>
        <v>Basilius Magnus</v>
      </c>
      <c r="H274" t="str">
        <f>_xlfn.XLOOKUP(frasest[[#This Row],[author_es]],autorest[author_es],autorest[bio_es])</f>
        <v>Obispo de Cesarea, Doctor de la Iglesia y Padre Capadocio. Hermano de San Gregorio de Nisa, organizador del monaquismo oriental y defensor de la ortodoxia nicena.</v>
      </c>
      <c r="I274" t="str">
        <f>_xlfn.XLOOKUP(frasest[[#This Row],[author_es]],autorest[author_es],autorest[bio_la])</f>
        <v>Episcopus Caesariensis, Doctor Ecclesiae et Pater Cappadocius. Frater Sancti Gregorii Nysseni, monasticismi orientalis organizator et orthodoxiae Nicaenae defensor.</v>
      </c>
      <c r="J274" t="str">
        <f>_xlfn.XLOOKUP(frasest[[#This Row],[author_es]],autorest[author_es],autorest[iso3691])</f>
        <v>la</v>
      </c>
      <c r="K274" t="str">
        <f>_xlfn.XLOOKUP(frasest[[#This Row],[author_es]],autorest[author_es],autorest[language_es])</f>
        <v>Latín</v>
      </c>
      <c r="L274" t="str">
        <f>_xlfn.XLOOKUP(frasest[[#This Row],[author_es]],autorest[author_es],autorest[language_la])</f>
        <v>Lingua Latina</v>
      </c>
      <c r="M274" t="str">
        <f>_xlfn.XLOOKUP(frasest[[#This Row],[author_es]],autorest[author_es],autorest[nation_es])</f>
        <v>Roma</v>
      </c>
      <c r="N274" t="str">
        <f>_xlfn.XLOOKUP(frasest[[#This Row],[author_es]],autorest[author_es],autorest[nation_la])</f>
        <v>Roma</v>
      </c>
      <c r="O274" t="str">
        <f>_xlfn.XLOOKUP(frasest[[#This Row],[author_es]],autorest[author_es],autorest[age_es])</f>
        <v>Edad Antigua</v>
      </c>
      <c r="P274" t="str">
        <f>_xlfn.XLOOKUP(frasest[[#This Row],[author_es]],autorest[author_es],autorest[age_la])</f>
        <v>Antiquitas</v>
      </c>
      <c r="Q274" t="str">
        <f>_xlfn.XLOOKUP(frasest[[#This Row],[author_es]],autorest[author_es],autorest[image])</f>
        <v>https://i.ibb.co/3y7fTRWM/sanbasilio.png</v>
      </c>
      <c r="R274">
        <f>_xlfn.XLOOKUP(frasest[[#This Row],[author_es]],autorest[author_es],autorest[image_atr])</f>
        <v>0</v>
      </c>
    </row>
    <row r="275" spans="1:18">
      <c r="A275">
        <v>274</v>
      </c>
      <c r="B275" t="s">
        <v>990</v>
      </c>
      <c r="C275" t="s">
        <v>991</v>
      </c>
      <c r="D275" t="s">
        <v>991</v>
      </c>
      <c r="E275" t="s">
        <v>970</v>
      </c>
      <c r="F275" t="s">
        <v>992</v>
      </c>
      <c r="G275" t="str">
        <f>_xlfn.XLOOKUP(frasest[[#This Row],[author_es]],autorest[author_es],autorest[author_la])</f>
        <v>Basilius Magnus</v>
      </c>
      <c r="H275" t="str">
        <f>_xlfn.XLOOKUP(frasest[[#This Row],[author_es]],autorest[author_es],autorest[bio_es])</f>
        <v>Obispo de Cesarea, Doctor de la Iglesia y Padre Capadocio. Hermano de San Gregorio de Nisa, organizador del monaquismo oriental y defensor de la ortodoxia nicena.</v>
      </c>
      <c r="I275" t="str">
        <f>_xlfn.XLOOKUP(frasest[[#This Row],[author_es]],autorest[author_es],autorest[bio_la])</f>
        <v>Episcopus Caesariensis, Doctor Ecclesiae et Pater Cappadocius. Frater Sancti Gregorii Nysseni, monasticismi orientalis organizator et orthodoxiae Nicaenae defensor.</v>
      </c>
      <c r="J275" t="str">
        <f>_xlfn.XLOOKUP(frasest[[#This Row],[author_es]],autorest[author_es],autorest[iso3691])</f>
        <v>la</v>
      </c>
      <c r="K275" t="str">
        <f>_xlfn.XLOOKUP(frasest[[#This Row],[author_es]],autorest[author_es],autorest[language_es])</f>
        <v>Latín</v>
      </c>
      <c r="L275" t="str">
        <f>_xlfn.XLOOKUP(frasest[[#This Row],[author_es]],autorest[author_es],autorest[language_la])</f>
        <v>Lingua Latina</v>
      </c>
      <c r="M275" t="str">
        <f>_xlfn.XLOOKUP(frasest[[#This Row],[author_es]],autorest[author_es],autorest[nation_es])</f>
        <v>Roma</v>
      </c>
      <c r="N275" t="str">
        <f>_xlfn.XLOOKUP(frasest[[#This Row],[author_es]],autorest[author_es],autorest[nation_la])</f>
        <v>Roma</v>
      </c>
      <c r="O275" t="str">
        <f>_xlfn.XLOOKUP(frasest[[#This Row],[author_es]],autorest[author_es],autorest[age_es])</f>
        <v>Edad Antigua</v>
      </c>
      <c r="P275" t="str">
        <f>_xlfn.XLOOKUP(frasest[[#This Row],[author_es]],autorest[author_es],autorest[age_la])</f>
        <v>Antiquitas</v>
      </c>
      <c r="Q275" t="str">
        <f>_xlfn.XLOOKUP(frasest[[#This Row],[author_es]],autorest[author_es],autorest[image])</f>
        <v>https://i.ibb.co/3y7fTRWM/sanbasilio.png</v>
      </c>
      <c r="R275">
        <f>_xlfn.XLOOKUP(frasest[[#This Row],[author_es]],autorest[author_es],autorest[image_atr])</f>
        <v>0</v>
      </c>
    </row>
    <row r="276" spans="1:18">
      <c r="A276">
        <v>275</v>
      </c>
      <c r="B276" t="s">
        <v>993</v>
      </c>
      <c r="C276" t="s">
        <v>994</v>
      </c>
      <c r="D276" t="s">
        <v>994</v>
      </c>
      <c r="E276" t="s">
        <v>970</v>
      </c>
      <c r="F276" t="s">
        <v>995</v>
      </c>
      <c r="G276" t="str">
        <f>_xlfn.XLOOKUP(frasest[[#This Row],[author_es]],autorest[author_es],autorest[author_la])</f>
        <v>Basilius Magnus</v>
      </c>
      <c r="H276" t="str">
        <f>_xlfn.XLOOKUP(frasest[[#This Row],[author_es]],autorest[author_es],autorest[bio_es])</f>
        <v>Obispo de Cesarea, Doctor de la Iglesia y Padre Capadocio. Hermano de San Gregorio de Nisa, organizador del monaquismo oriental y defensor de la ortodoxia nicena.</v>
      </c>
      <c r="I276" t="str">
        <f>_xlfn.XLOOKUP(frasest[[#This Row],[author_es]],autorest[author_es],autorest[bio_la])</f>
        <v>Episcopus Caesariensis, Doctor Ecclesiae et Pater Cappadocius. Frater Sancti Gregorii Nysseni, monasticismi orientalis organizator et orthodoxiae Nicaenae defensor.</v>
      </c>
      <c r="J276" t="str">
        <f>_xlfn.XLOOKUP(frasest[[#This Row],[author_es]],autorest[author_es],autorest[iso3691])</f>
        <v>la</v>
      </c>
      <c r="K276" t="str">
        <f>_xlfn.XLOOKUP(frasest[[#This Row],[author_es]],autorest[author_es],autorest[language_es])</f>
        <v>Latín</v>
      </c>
      <c r="L276" t="str">
        <f>_xlfn.XLOOKUP(frasest[[#This Row],[author_es]],autorest[author_es],autorest[language_la])</f>
        <v>Lingua Latina</v>
      </c>
      <c r="M276" t="str">
        <f>_xlfn.XLOOKUP(frasest[[#This Row],[author_es]],autorest[author_es],autorest[nation_es])</f>
        <v>Roma</v>
      </c>
      <c r="N276" t="str">
        <f>_xlfn.XLOOKUP(frasest[[#This Row],[author_es]],autorest[author_es],autorest[nation_la])</f>
        <v>Roma</v>
      </c>
      <c r="O276" t="str">
        <f>_xlfn.XLOOKUP(frasest[[#This Row],[author_es]],autorest[author_es],autorest[age_es])</f>
        <v>Edad Antigua</v>
      </c>
      <c r="P276" t="str">
        <f>_xlfn.XLOOKUP(frasest[[#This Row],[author_es]],autorest[author_es],autorest[age_la])</f>
        <v>Antiquitas</v>
      </c>
      <c r="Q276" t="str">
        <f>_xlfn.XLOOKUP(frasest[[#This Row],[author_es]],autorest[author_es],autorest[image])</f>
        <v>https://i.ibb.co/3y7fTRWM/sanbasilio.png</v>
      </c>
      <c r="R276">
        <f>_xlfn.XLOOKUP(frasest[[#This Row],[author_es]],autorest[author_es],autorest[image_atr])</f>
        <v>0</v>
      </c>
    </row>
    <row r="277" spans="1:18">
      <c r="A277">
        <v>276</v>
      </c>
      <c r="B277" t="s">
        <v>996</v>
      </c>
      <c r="C277" t="s">
        <v>997</v>
      </c>
      <c r="D277" t="s">
        <v>997</v>
      </c>
      <c r="E277" t="s">
        <v>970</v>
      </c>
      <c r="F277" t="s">
        <v>998</v>
      </c>
      <c r="G277" t="str">
        <f>_xlfn.XLOOKUP(frasest[[#This Row],[author_es]],autorest[author_es],autorest[author_la])</f>
        <v>Basilius Magnus</v>
      </c>
      <c r="H277" t="str">
        <f>_xlfn.XLOOKUP(frasest[[#This Row],[author_es]],autorest[author_es],autorest[bio_es])</f>
        <v>Obispo de Cesarea, Doctor de la Iglesia y Padre Capadocio. Hermano de San Gregorio de Nisa, organizador del monaquismo oriental y defensor de la ortodoxia nicena.</v>
      </c>
      <c r="I277" t="str">
        <f>_xlfn.XLOOKUP(frasest[[#This Row],[author_es]],autorest[author_es],autorest[bio_la])</f>
        <v>Episcopus Caesariensis, Doctor Ecclesiae et Pater Cappadocius. Frater Sancti Gregorii Nysseni, monasticismi orientalis organizator et orthodoxiae Nicaenae defensor.</v>
      </c>
      <c r="J277" t="str">
        <f>_xlfn.XLOOKUP(frasest[[#This Row],[author_es]],autorest[author_es],autorest[iso3691])</f>
        <v>la</v>
      </c>
      <c r="K277" t="str">
        <f>_xlfn.XLOOKUP(frasest[[#This Row],[author_es]],autorest[author_es],autorest[language_es])</f>
        <v>Latín</v>
      </c>
      <c r="L277" t="str">
        <f>_xlfn.XLOOKUP(frasest[[#This Row],[author_es]],autorest[author_es],autorest[language_la])</f>
        <v>Lingua Latina</v>
      </c>
      <c r="M277" t="str">
        <f>_xlfn.XLOOKUP(frasest[[#This Row],[author_es]],autorest[author_es],autorest[nation_es])</f>
        <v>Roma</v>
      </c>
      <c r="N277" t="str">
        <f>_xlfn.XLOOKUP(frasest[[#This Row],[author_es]],autorest[author_es],autorest[nation_la])</f>
        <v>Roma</v>
      </c>
      <c r="O277" t="str">
        <f>_xlfn.XLOOKUP(frasest[[#This Row],[author_es]],autorest[author_es],autorest[age_es])</f>
        <v>Edad Antigua</v>
      </c>
      <c r="P277" t="str">
        <f>_xlfn.XLOOKUP(frasest[[#This Row],[author_es]],autorest[author_es],autorest[age_la])</f>
        <v>Antiquitas</v>
      </c>
      <c r="Q277" t="str">
        <f>_xlfn.XLOOKUP(frasest[[#This Row],[author_es]],autorest[author_es],autorest[image])</f>
        <v>https://i.ibb.co/3y7fTRWM/sanbasilio.png</v>
      </c>
      <c r="R277">
        <f>_xlfn.XLOOKUP(frasest[[#This Row],[author_es]],autorest[author_es],autorest[image_atr])</f>
        <v>0</v>
      </c>
    </row>
    <row r="278" spans="1:18">
      <c r="A278">
        <v>277</v>
      </c>
      <c r="B278" t="s">
        <v>999</v>
      </c>
      <c r="C278" t="s">
        <v>1000</v>
      </c>
      <c r="D278" t="s">
        <v>1001</v>
      </c>
      <c r="E278" t="s">
        <v>1002</v>
      </c>
      <c r="F278" t="s">
        <v>1003</v>
      </c>
      <c r="G278" t="str">
        <f>_xlfn.XLOOKUP(frasest[[#This Row],[author_es]],autorest[author_es],autorest[author_la])</f>
        <v>Gregorius Nazianzenus</v>
      </c>
      <c r="H278" t="str">
        <f>_xlfn.XLOOKUP(frasest[[#This Row],[author_es]],autorest[author_es],autorest[bio_es])</f>
        <v>Arzobispo de Constantinopla, Doctor de la Iglesia y Padre Capadocio. Llamado "el Teólogo", gran orador y defensor de la Trinidad. Uno de los tres Padres Capadocios.</v>
      </c>
      <c r="I278" t="str">
        <f>_xlfn.XLOOKUP(frasest[[#This Row],[author_es]],autorest[author_es],autorest[bio_la])</f>
        <v>Archiepiscopus Constantinopolitanus, Doctor Ecclesiae et Pater Cappadocius. "Theologus" vocatus, orator magnus et defensor Trinitatis. Unus ex tribus Patribus Cappadociis.</v>
      </c>
      <c r="J278" t="str">
        <f>_xlfn.XLOOKUP(frasest[[#This Row],[author_es]],autorest[author_es],autorest[iso3691])</f>
        <v>la</v>
      </c>
      <c r="K278" t="str">
        <f>_xlfn.XLOOKUP(frasest[[#This Row],[author_es]],autorest[author_es],autorest[language_es])</f>
        <v>Latín</v>
      </c>
      <c r="L278" t="str">
        <f>_xlfn.XLOOKUP(frasest[[#This Row],[author_es]],autorest[author_es],autorest[language_la])</f>
        <v>Lingua Latina</v>
      </c>
      <c r="M278" t="str">
        <f>_xlfn.XLOOKUP(frasest[[#This Row],[author_es]],autorest[author_es],autorest[nation_es])</f>
        <v>Roma</v>
      </c>
      <c r="N278" t="str">
        <f>_xlfn.XLOOKUP(frasest[[#This Row],[author_es]],autorest[author_es],autorest[nation_la])</f>
        <v>Roma</v>
      </c>
      <c r="O278" t="str">
        <f>_xlfn.XLOOKUP(frasest[[#This Row],[author_es]],autorest[author_es],autorest[age_es])</f>
        <v>Edad Antigua</v>
      </c>
      <c r="P278" t="str">
        <f>_xlfn.XLOOKUP(frasest[[#This Row],[author_es]],autorest[author_es],autorest[age_la])</f>
        <v>Antiquitas</v>
      </c>
      <c r="Q278" t="str">
        <f>_xlfn.XLOOKUP(frasest[[#This Row],[author_es]],autorest[author_es],autorest[image])</f>
        <v>https://i.ibb.co/whvy5Lhm/sangregorioana.png</v>
      </c>
      <c r="R278">
        <f>_xlfn.XLOOKUP(frasest[[#This Row],[author_es]],autorest[author_es],autorest[image_atr])</f>
        <v>0</v>
      </c>
    </row>
    <row r="279" spans="1:18">
      <c r="A279">
        <v>278</v>
      </c>
      <c r="B279" t="s">
        <v>1004</v>
      </c>
      <c r="C279" t="s">
        <v>1005</v>
      </c>
      <c r="D279" t="s">
        <v>1005</v>
      </c>
      <c r="E279" t="s">
        <v>1002</v>
      </c>
      <c r="F279" t="s">
        <v>1006</v>
      </c>
      <c r="G279" t="str">
        <f>_xlfn.XLOOKUP(frasest[[#This Row],[author_es]],autorest[author_es],autorest[author_la])</f>
        <v>Gregorius Nazianzenus</v>
      </c>
      <c r="H279" t="str">
        <f>_xlfn.XLOOKUP(frasest[[#This Row],[author_es]],autorest[author_es],autorest[bio_es])</f>
        <v>Arzobispo de Constantinopla, Doctor de la Iglesia y Padre Capadocio. Llamado "el Teólogo", gran orador y defensor de la Trinidad. Uno de los tres Padres Capadocios.</v>
      </c>
      <c r="I279" t="str">
        <f>_xlfn.XLOOKUP(frasest[[#This Row],[author_es]],autorest[author_es],autorest[bio_la])</f>
        <v>Archiepiscopus Constantinopolitanus, Doctor Ecclesiae et Pater Cappadocius. "Theologus" vocatus, orator magnus et defensor Trinitatis. Unus ex tribus Patribus Cappadociis.</v>
      </c>
      <c r="J279" t="str">
        <f>_xlfn.XLOOKUP(frasest[[#This Row],[author_es]],autorest[author_es],autorest[iso3691])</f>
        <v>la</v>
      </c>
      <c r="K279" t="str">
        <f>_xlfn.XLOOKUP(frasest[[#This Row],[author_es]],autorest[author_es],autorest[language_es])</f>
        <v>Latín</v>
      </c>
      <c r="L279" t="str">
        <f>_xlfn.XLOOKUP(frasest[[#This Row],[author_es]],autorest[author_es],autorest[language_la])</f>
        <v>Lingua Latina</v>
      </c>
      <c r="M279" t="str">
        <f>_xlfn.XLOOKUP(frasest[[#This Row],[author_es]],autorest[author_es],autorest[nation_es])</f>
        <v>Roma</v>
      </c>
      <c r="N279" t="str">
        <f>_xlfn.XLOOKUP(frasest[[#This Row],[author_es]],autorest[author_es],autorest[nation_la])</f>
        <v>Roma</v>
      </c>
      <c r="O279" t="str">
        <f>_xlfn.XLOOKUP(frasest[[#This Row],[author_es]],autorest[author_es],autorest[age_es])</f>
        <v>Edad Antigua</v>
      </c>
      <c r="P279" t="str">
        <f>_xlfn.XLOOKUP(frasest[[#This Row],[author_es]],autorest[author_es],autorest[age_la])</f>
        <v>Antiquitas</v>
      </c>
      <c r="Q279" t="str">
        <f>_xlfn.XLOOKUP(frasest[[#This Row],[author_es]],autorest[author_es],autorest[image])</f>
        <v>https://i.ibb.co/whvy5Lhm/sangregorioana.png</v>
      </c>
      <c r="R279">
        <f>_xlfn.XLOOKUP(frasest[[#This Row],[author_es]],autorest[author_es],autorest[image_atr])</f>
        <v>0</v>
      </c>
    </row>
    <row r="280" spans="1:18">
      <c r="A280">
        <v>279</v>
      </c>
      <c r="B280" t="s">
        <v>1007</v>
      </c>
      <c r="C280" t="s">
        <v>1008</v>
      </c>
      <c r="D280" t="s">
        <v>1008</v>
      </c>
      <c r="E280" t="s">
        <v>1002</v>
      </c>
      <c r="F280" t="s">
        <v>1009</v>
      </c>
      <c r="G280" t="str">
        <f>_xlfn.XLOOKUP(frasest[[#This Row],[author_es]],autorest[author_es],autorest[author_la])</f>
        <v>Gregorius Nazianzenus</v>
      </c>
      <c r="H280" t="str">
        <f>_xlfn.XLOOKUP(frasest[[#This Row],[author_es]],autorest[author_es],autorest[bio_es])</f>
        <v>Arzobispo de Constantinopla, Doctor de la Iglesia y Padre Capadocio. Llamado "el Teólogo", gran orador y defensor de la Trinidad. Uno de los tres Padres Capadocios.</v>
      </c>
      <c r="I280" t="str">
        <f>_xlfn.XLOOKUP(frasest[[#This Row],[author_es]],autorest[author_es],autorest[bio_la])</f>
        <v>Archiepiscopus Constantinopolitanus, Doctor Ecclesiae et Pater Cappadocius. "Theologus" vocatus, orator magnus et defensor Trinitatis. Unus ex tribus Patribus Cappadociis.</v>
      </c>
      <c r="J280" t="str">
        <f>_xlfn.XLOOKUP(frasest[[#This Row],[author_es]],autorest[author_es],autorest[iso3691])</f>
        <v>la</v>
      </c>
      <c r="K280" t="str">
        <f>_xlfn.XLOOKUP(frasest[[#This Row],[author_es]],autorest[author_es],autorest[language_es])</f>
        <v>Latín</v>
      </c>
      <c r="L280" t="str">
        <f>_xlfn.XLOOKUP(frasest[[#This Row],[author_es]],autorest[author_es],autorest[language_la])</f>
        <v>Lingua Latina</v>
      </c>
      <c r="M280" t="str">
        <f>_xlfn.XLOOKUP(frasest[[#This Row],[author_es]],autorest[author_es],autorest[nation_es])</f>
        <v>Roma</v>
      </c>
      <c r="N280" t="str">
        <f>_xlfn.XLOOKUP(frasest[[#This Row],[author_es]],autorest[author_es],autorest[nation_la])</f>
        <v>Roma</v>
      </c>
      <c r="O280" t="str">
        <f>_xlfn.XLOOKUP(frasest[[#This Row],[author_es]],autorest[author_es],autorest[age_es])</f>
        <v>Edad Antigua</v>
      </c>
      <c r="P280" t="str">
        <f>_xlfn.XLOOKUP(frasest[[#This Row],[author_es]],autorest[author_es],autorest[age_la])</f>
        <v>Antiquitas</v>
      </c>
      <c r="Q280" t="str">
        <f>_xlfn.XLOOKUP(frasest[[#This Row],[author_es]],autorest[author_es],autorest[image])</f>
        <v>https://i.ibb.co/whvy5Lhm/sangregorioana.png</v>
      </c>
      <c r="R280">
        <f>_xlfn.XLOOKUP(frasest[[#This Row],[author_es]],autorest[author_es],autorest[image_atr])</f>
        <v>0</v>
      </c>
    </row>
    <row r="281" spans="1:18">
      <c r="A281">
        <v>280</v>
      </c>
      <c r="B281" t="s">
        <v>1010</v>
      </c>
      <c r="C281" t="s">
        <v>1011</v>
      </c>
      <c r="D281" t="s">
        <v>1011</v>
      </c>
      <c r="E281" t="s">
        <v>1002</v>
      </c>
      <c r="F281" t="s">
        <v>1012</v>
      </c>
      <c r="G281" t="str">
        <f>_xlfn.XLOOKUP(frasest[[#This Row],[author_es]],autorest[author_es],autorest[author_la])</f>
        <v>Gregorius Nazianzenus</v>
      </c>
      <c r="H281" t="str">
        <f>_xlfn.XLOOKUP(frasest[[#This Row],[author_es]],autorest[author_es],autorest[bio_es])</f>
        <v>Arzobispo de Constantinopla, Doctor de la Iglesia y Padre Capadocio. Llamado "el Teólogo", gran orador y defensor de la Trinidad. Uno de los tres Padres Capadocios.</v>
      </c>
      <c r="I281" t="str">
        <f>_xlfn.XLOOKUP(frasest[[#This Row],[author_es]],autorest[author_es],autorest[bio_la])</f>
        <v>Archiepiscopus Constantinopolitanus, Doctor Ecclesiae et Pater Cappadocius. "Theologus" vocatus, orator magnus et defensor Trinitatis. Unus ex tribus Patribus Cappadociis.</v>
      </c>
      <c r="J281" t="str">
        <f>_xlfn.XLOOKUP(frasest[[#This Row],[author_es]],autorest[author_es],autorest[iso3691])</f>
        <v>la</v>
      </c>
      <c r="K281" t="str">
        <f>_xlfn.XLOOKUP(frasest[[#This Row],[author_es]],autorest[author_es],autorest[language_es])</f>
        <v>Latín</v>
      </c>
      <c r="L281" t="str">
        <f>_xlfn.XLOOKUP(frasest[[#This Row],[author_es]],autorest[author_es],autorest[language_la])</f>
        <v>Lingua Latina</v>
      </c>
      <c r="M281" t="str">
        <f>_xlfn.XLOOKUP(frasest[[#This Row],[author_es]],autorest[author_es],autorest[nation_es])</f>
        <v>Roma</v>
      </c>
      <c r="N281" t="str">
        <f>_xlfn.XLOOKUP(frasest[[#This Row],[author_es]],autorest[author_es],autorest[nation_la])</f>
        <v>Roma</v>
      </c>
      <c r="O281" t="str">
        <f>_xlfn.XLOOKUP(frasest[[#This Row],[author_es]],autorest[author_es],autorest[age_es])</f>
        <v>Edad Antigua</v>
      </c>
      <c r="P281" t="str">
        <f>_xlfn.XLOOKUP(frasest[[#This Row],[author_es]],autorest[author_es],autorest[age_la])</f>
        <v>Antiquitas</v>
      </c>
      <c r="Q281" t="str">
        <f>_xlfn.XLOOKUP(frasest[[#This Row],[author_es]],autorest[author_es],autorest[image])</f>
        <v>https://i.ibb.co/whvy5Lhm/sangregorioana.png</v>
      </c>
      <c r="R281">
        <f>_xlfn.XLOOKUP(frasest[[#This Row],[author_es]],autorest[author_es],autorest[image_atr])</f>
        <v>0</v>
      </c>
    </row>
    <row r="282" spans="1:18">
      <c r="A282">
        <v>281</v>
      </c>
      <c r="B282" t="s">
        <v>1013</v>
      </c>
      <c r="C282" t="s">
        <v>1014</v>
      </c>
      <c r="D282" t="s">
        <v>1014</v>
      </c>
      <c r="E282" t="s">
        <v>1002</v>
      </c>
      <c r="F282" t="s">
        <v>1015</v>
      </c>
      <c r="G282" t="str">
        <f>_xlfn.XLOOKUP(frasest[[#This Row],[author_es]],autorest[author_es],autorest[author_la])</f>
        <v>Gregorius Nazianzenus</v>
      </c>
      <c r="H282" t="str">
        <f>_xlfn.XLOOKUP(frasest[[#This Row],[author_es]],autorest[author_es],autorest[bio_es])</f>
        <v>Arzobispo de Constantinopla, Doctor de la Iglesia y Padre Capadocio. Llamado "el Teólogo", gran orador y defensor de la Trinidad. Uno de los tres Padres Capadocios.</v>
      </c>
      <c r="I282" t="str">
        <f>_xlfn.XLOOKUP(frasest[[#This Row],[author_es]],autorest[author_es],autorest[bio_la])</f>
        <v>Archiepiscopus Constantinopolitanus, Doctor Ecclesiae et Pater Cappadocius. "Theologus" vocatus, orator magnus et defensor Trinitatis. Unus ex tribus Patribus Cappadociis.</v>
      </c>
      <c r="J282" t="str">
        <f>_xlfn.XLOOKUP(frasest[[#This Row],[author_es]],autorest[author_es],autorest[iso3691])</f>
        <v>la</v>
      </c>
      <c r="K282" t="str">
        <f>_xlfn.XLOOKUP(frasest[[#This Row],[author_es]],autorest[author_es],autorest[language_es])</f>
        <v>Latín</v>
      </c>
      <c r="L282" t="str">
        <f>_xlfn.XLOOKUP(frasest[[#This Row],[author_es]],autorest[author_es],autorest[language_la])</f>
        <v>Lingua Latina</v>
      </c>
      <c r="M282" t="str">
        <f>_xlfn.XLOOKUP(frasest[[#This Row],[author_es]],autorest[author_es],autorest[nation_es])</f>
        <v>Roma</v>
      </c>
      <c r="N282" t="str">
        <f>_xlfn.XLOOKUP(frasest[[#This Row],[author_es]],autorest[author_es],autorest[nation_la])</f>
        <v>Roma</v>
      </c>
      <c r="O282" t="str">
        <f>_xlfn.XLOOKUP(frasest[[#This Row],[author_es]],autorest[author_es],autorest[age_es])</f>
        <v>Edad Antigua</v>
      </c>
      <c r="P282" t="str">
        <f>_xlfn.XLOOKUP(frasest[[#This Row],[author_es]],autorest[author_es],autorest[age_la])</f>
        <v>Antiquitas</v>
      </c>
      <c r="Q282" t="str">
        <f>_xlfn.XLOOKUP(frasest[[#This Row],[author_es]],autorest[author_es],autorest[image])</f>
        <v>https://i.ibb.co/whvy5Lhm/sangregorioana.png</v>
      </c>
      <c r="R282">
        <f>_xlfn.XLOOKUP(frasest[[#This Row],[author_es]],autorest[author_es],autorest[image_atr])</f>
        <v>0</v>
      </c>
    </row>
    <row r="283" spans="1:18">
      <c r="A283">
        <v>282</v>
      </c>
      <c r="B283" t="s">
        <v>1016</v>
      </c>
      <c r="C283" t="s">
        <v>1017</v>
      </c>
      <c r="D283" t="s">
        <v>1017</v>
      </c>
      <c r="E283" t="s">
        <v>1002</v>
      </c>
      <c r="F283" t="s">
        <v>1018</v>
      </c>
      <c r="G283" t="str">
        <f>_xlfn.XLOOKUP(frasest[[#This Row],[author_es]],autorest[author_es],autorest[author_la])</f>
        <v>Gregorius Nazianzenus</v>
      </c>
      <c r="H283" t="str">
        <f>_xlfn.XLOOKUP(frasest[[#This Row],[author_es]],autorest[author_es],autorest[bio_es])</f>
        <v>Arzobispo de Constantinopla, Doctor de la Iglesia y Padre Capadocio. Llamado "el Teólogo", gran orador y defensor de la Trinidad. Uno de los tres Padres Capadocios.</v>
      </c>
      <c r="I283" t="str">
        <f>_xlfn.XLOOKUP(frasest[[#This Row],[author_es]],autorest[author_es],autorest[bio_la])</f>
        <v>Archiepiscopus Constantinopolitanus, Doctor Ecclesiae et Pater Cappadocius. "Theologus" vocatus, orator magnus et defensor Trinitatis. Unus ex tribus Patribus Cappadociis.</v>
      </c>
      <c r="J283" t="str">
        <f>_xlfn.XLOOKUP(frasest[[#This Row],[author_es]],autorest[author_es],autorest[iso3691])</f>
        <v>la</v>
      </c>
      <c r="K283" t="str">
        <f>_xlfn.XLOOKUP(frasest[[#This Row],[author_es]],autorest[author_es],autorest[language_es])</f>
        <v>Latín</v>
      </c>
      <c r="L283" t="str">
        <f>_xlfn.XLOOKUP(frasest[[#This Row],[author_es]],autorest[author_es],autorest[language_la])</f>
        <v>Lingua Latina</v>
      </c>
      <c r="M283" t="str">
        <f>_xlfn.XLOOKUP(frasest[[#This Row],[author_es]],autorest[author_es],autorest[nation_es])</f>
        <v>Roma</v>
      </c>
      <c r="N283" t="str">
        <f>_xlfn.XLOOKUP(frasest[[#This Row],[author_es]],autorest[author_es],autorest[nation_la])</f>
        <v>Roma</v>
      </c>
      <c r="O283" t="str">
        <f>_xlfn.XLOOKUP(frasest[[#This Row],[author_es]],autorest[author_es],autorest[age_es])</f>
        <v>Edad Antigua</v>
      </c>
      <c r="P283" t="str">
        <f>_xlfn.XLOOKUP(frasest[[#This Row],[author_es]],autorest[author_es],autorest[age_la])</f>
        <v>Antiquitas</v>
      </c>
      <c r="Q283" t="str">
        <f>_xlfn.XLOOKUP(frasest[[#This Row],[author_es]],autorest[author_es],autorest[image])</f>
        <v>https://i.ibb.co/whvy5Lhm/sangregorioana.png</v>
      </c>
      <c r="R283">
        <f>_xlfn.XLOOKUP(frasest[[#This Row],[author_es]],autorest[author_es],autorest[image_atr])</f>
        <v>0</v>
      </c>
    </row>
    <row r="284" spans="1:18">
      <c r="A284">
        <v>283</v>
      </c>
      <c r="B284" t="s">
        <v>1019</v>
      </c>
      <c r="C284" t="s">
        <v>1020</v>
      </c>
      <c r="D284" t="s">
        <v>1020</v>
      </c>
      <c r="E284" t="s">
        <v>1002</v>
      </c>
      <c r="F284" t="s">
        <v>1021</v>
      </c>
      <c r="G284" t="str">
        <f>_xlfn.XLOOKUP(frasest[[#This Row],[author_es]],autorest[author_es],autorest[author_la])</f>
        <v>Gregorius Nazianzenus</v>
      </c>
      <c r="H284" t="str">
        <f>_xlfn.XLOOKUP(frasest[[#This Row],[author_es]],autorest[author_es],autorest[bio_es])</f>
        <v>Arzobispo de Constantinopla, Doctor de la Iglesia y Padre Capadocio. Llamado "el Teólogo", gran orador y defensor de la Trinidad. Uno de los tres Padres Capadocios.</v>
      </c>
      <c r="I284" t="str">
        <f>_xlfn.XLOOKUP(frasest[[#This Row],[author_es]],autorest[author_es],autorest[bio_la])</f>
        <v>Archiepiscopus Constantinopolitanus, Doctor Ecclesiae et Pater Cappadocius. "Theologus" vocatus, orator magnus et defensor Trinitatis. Unus ex tribus Patribus Cappadociis.</v>
      </c>
      <c r="J284" t="str">
        <f>_xlfn.XLOOKUP(frasest[[#This Row],[author_es]],autorest[author_es],autorest[iso3691])</f>
        <v>la</v>
      </c>
      <c r="K284" t="str">
        <f>_xlfn.XLOOKUP(frasest[[#This Row],[author_es]],autorest[author_es],autorest[language_es])</f>
        <v>Latín</v>
      </c>
      <c r="L284" t="str">
        <f>_xlfn.XLOOKUP(frasest[[#This Row],[author_es]],autorest[author_es],autorest[language_la])</f>
        <v>Lingua Latina</v>
      </c>
      <c r="M284" t="str">
        <f>_xlfn.XLOOKUP(frasest[[#This Row],[author_es]],autorest[author_es],autorest[nation_es])</f>
        <v>Roma</v>
      </c>
      <c r="N284" t="str">
        <f>_xlfn.XLOOKUP(frasest[[#This Row],[author_es]],autorest[author_es],autorest[nation_la])</f>
        <v>Roma</v>
      </c>
      <c r="O284" t="str">
        <f>_xlfn.XLOOKUP(frasest[[#This Row],[author_es]],autorest[author_es],autorest[age_es])</f>
        <v>Edad Antigua</v>
      </c>
      <c r="P284" t="str">
        <f>_xlfn.XLOOKUP(frasest[[#This Row],[author_es]],autorest[author_es],autorest[age_la])</f>
        <v>Antiquitas</v>
      </c>
      <c r="Q284" t="str">
        <f>_xlfn.XLOOKUP(frasest[[#This Row],[author_es]],autorest[author_es],autorest[image])</f>
        <v>https://i.ibb.co/whvy5Lhm/sangregorioana.png</v>
      </c>
      <c r="R284">
        <f>_xlfn.XLOOKUP(frasest[[#This Row],[author_es]],autorest[author_es],autorest[image_atr])</f>
        <v>0</v>
      </c>
    </row>
    <row r="285" spans="1:18">
      <c r="A285">
        <v>284</v>
      </c>
      <c r="B285" t="s">
        <v>1022</v>
      </c>
      <c r="C285" t="s">
        <v>1023</v>
      </c>
      <c r="D285" t="s">
        <v>1023</v>
      </c>
      <c r="E285" t="s">
        <v>1002</v>
      </c>
      <c r="F285" t="s">
        <v>1024</v>
      </c>
      <c r="G285" t="str">
        <f>_xlfn.XLOOKUP(frasest[[#This Row],[author_es]],autorest[author_es],autorest[author_la])</f>
        <v>Gregorius Nazianzenus</v>
      </c>
      <c r="H285" t="str">
        <f>_xlfn.XLOOKUP(frasest[[#This Row],[author_es]],autorest[author_es],autorest[bio_es])</f>
        <v>Arzobispo de Constantinopla, Doctor de la Iglesia y Padre Capadocio. Llamado "el Teólogo", gran orador y defensor de la Trinidad. Uno de los tres Padres Capadocios.</v>
      </c>
      <c r="I285" t="str">
        <f>_xlfn.XLOOKUP(frasest[[#This Row],[author_es]],autorest[author_es],autorest[bio_la])</f>
        <v>Archiepiscopus Constantinopolitanus, Doctor Ecclesiae et Pater Cappadocius. "Theologus" vocatus, orator magnus et defensor Trinitatis. Unus ex tribus Patribus Cappadociis.</v>
      </c>
      <c r="J285" t="str">
        <f>_xlfn.XLOOKUP(frasest[[#This Row],[author_es]],autorest[author_es],autorest[iso3691])</f>
        <v>la</v>
      </c>
      <c r="K285" t="str">
        <f>_xlfn.XLOOKUP(frasest[[#This Row],[author_es]],autorest[author_es],autorest[language_es])</f>
        <v>Latín</v>
      </c>
      <c r="L285" t="str">
        <f>_xlfn.XLOOKUP(frasest[[#This Row],[author_es]],autorest[author_es],autorest[language_la])</f>
        <v>Lingua Latina</v>
      </c>
      <c r="M285" t="str">
        <f>_xlfn.XLOOKUP(frasest[[#This Row],[author_es]],autorest[author_es],autorest[nation_es])</f>
        <v>Roma</v>
      </c>
      <c r="N285" t="str">
        <f>_xlfn.XLOOKUP(frasest[[#This Row],[author_es]],autorest[author_es],autorest[nation_la])</f>
        <v>Roma</v>
      </c>
      <c r="O285" t="str">
        <f>_xlfn.XLOOKUP(frasest[[#This Row],[author_es]],autorest[author_es],autorest[age_es])</f>
        <v>Edad Antigua</v>
      </c>
      <c r="P285" t="str">
        <f>_xlfn.XLOOKUP(frasest[[#This Row],[author_es]],autorest[author_es],autorest[age_la])</f>
        <v>Antiquitas</v>
      </c>
      <c r="Q285" t="str">
        <f>_xlfn.XLOOKUP(frasest[[#This Row],[author_es]],autorest[author_es],autorest[image])</f>
        <v>https://i.ibb.co/whvy5Lhm/sangregorioana.png</v>
      </c>
      <c r="R285">
        <f>_xlfn.XLOOKUP(frasest[[#This Row],[author_es]],autorest[author_es],autorest[image_atr])</f>
        <v>0</v>
      </c>
    </row>
    <row r="286" spans="1:18">
      <c r="A286">
        <v>285</v>
      </c>
      <c r="B286" t="s">
        <v>1025</v>
      </c>
      <c r="C286" t="s">
        <v>1026</v>
      </c>
      <c r="D286" t="s">
        <v>1026</v>
      </c>
      <c r="E286" t="s">
        <v>1002</v>
      </c>
      <c r="F286" t="s">
        <v>1027</v>
      </c>
      <c r="G286" t="str">
        <f>_xlfn.XLOOKUP(frasest[[#This Row],[author_es]],autorest[author_es],autorest[author_la])</f>
        <v>Gregorius Nazianzenus</v>
      </c>
      <c r="H286" t="str">
        <f>_xlfn.XLOOKUP(frasest[[#This Row],[author_es]],autorest[author_es],autorest[bio_es])</f>
        <v>Arzobispo de Constantinopla, Doctor de la Iglesia y Padre Capadocio. Llamado "el Teólogo", gran orador y defensor de la Trinidad. Uno de los tres Padres Capadocios.</v>
      </c>
      <c r="I286" t="str">
        <f>_xlfn.XLOOKUP(frasest[[#This Row],[author_es]],autorest[author_es],autorest[bio_la])</f>
        <v>Archiepiscopus Constantinopolitanus, Doctor Ecclesiae et Pater Cappadocius. "Theologus" vocatus, orator magnus et defensor Trinitatis. Unus ex tribus Patribus Cappadociis.</v>
      </c>
      <c r="J286" t="str">
        <f>_xlfn.XLOOKUP(frasest[[#This Row],[author_es]],autorest[author_es],autorest[iso3691])</f>
        <v>la</v>
      </c>
      <c r="K286" t="str">
        <f>_xlfn.XLOOKUP(frasest[[#This Row],[author_es]],autorest[author_es],autorest[language_es])</f>
        <v>Latín</v>
      </c>
      <c r="L286" t="str">
        <f>_xlfn.XLOOKUP(frasest[[#This Row],[author_es]],autorest[author_es],autorest[language_la])</f>
        <v>Lingua Latina</v>
      </c>
      <c r="M286" t="str">
        <f>_xlfn.XLOOKUP(frasest[[#This Row],[author_es]],autorest[author_es],autorest[nation_es])</f>
        <v>Roma</v>
      </c>
      <c r="N286" t="str">
        <f>_xlfn.XLOOKUP(frasest[[#This Row],[author_es]],autorest[author_es],autorest[nation_la])</f>
        <v>Roma</v>
      </c>
      <c r="O286" t="str">
        <f>_xlfn.XLOOKUP(frasest[[#This Row],[author_es]],autorest[author_es],autorest[age_es])</f>
        <v>Edad Antigua</v>
      </c>
      <c r="P286" t="str">
        <f>_xlfn.XLOOKUP(frasest[[#This Row],[author_es]],autorest[author_es],autorest[age_la])</f>
        <v>Antiquitas</v>
      </c>
      <c r="Q286" t="str">
        <f>_xlfn.XLOOKUP(frasest[[#This Row],[author_es]],autorest[author_es],autorest[image])</f>
        <v>https://i.ibb.co/whvy5Lhm/sangregorioana.png</v>
      </c>
      <c r="R286">
        <f>_xlfn.XLOOKUP(frasest[[#This Row],[author_es]],autorest[author_es],autorest[image_atr])</f>
        <v>0</v>
      </c>
    </row>
    <row r="287" spans="1:18">
      <c r="A287">
        <v>286</v>
      </c>
      <c r="B287" t="s">
        <v>1028</v>
      </c>
      <c r="C287" t="s">
        <v>1029</v>
      </c>
      <c r="D287" t="s">
        <v>1029</v>
      </c>
      <c r="E287" t="s">
        <v>1002</v>
      </c>
      <c r="F287" t="s">
        <v>1030</v>
      </c>
      <c r="G287" t="str">
        <f>_xlfn.XLOOKUP(frasest[[#This Row],[author_es]],autorest[author_es],autorest[author_la])</f>
        <v>Gregorius Nazianzenus</v>
      </c>
      <c r="H287" t="str">
        <f>_xlfn.XLOOKUP(frasest[[#This Row],[author_es]],autorest[author_es],autorest[bio_es])</f>
        <v>Arzobispo de Constantinopla, Doctor de la Iglesia y Padre Capadocio. Llamado "el Teólogo", gran orador y defensor de la Trinidad. Uno de los tres Padres Capadocios.</v>
      </c>
      <c r="I287" t="str">
        <f>_xlfn.XLOOKUP(frasest[[#This Row],[author_es]],autorest[author_es],autorest[bio_la])</f>
        <v>Archiepiscopus Constantinopolitanus, Doctor Ecclesiae et Pater Cappadocius. "Theologus" vocatus, orator magnus et defensor Trinitatis. Unus ex tribus Patribus Cappadociis.</v>
      </c>
      <c r="J287" t="str">
        <f>_xlfn.XLOOKUP(frasest[[#This Row],[author_es]],autorest[author_es],autorest[iso3691])</f>
        <v>la</v>
      </c>
      <c r="K287" t="str">
        <f>_xlfn.XLOOKUP(frasest[[#This Row],[author_es]],autorest[author_es],autorest[language_es])</f>
        <v>Latín</v>
      </c>
      <c r="L287" t="str">
        <f>_xlfn.XLOOKUP(frasest[[#This Row],[author_es]],autorest[author_es],autorest[language_la])</f>
        <v>Lingua Latina</v>
      </c>
      <c r="M287" t="str">
        <f>_xlfn.XLOOKUP(frasest[[#This Row],[author_es]],autorest[author_es],autorest[nation_es])</f>
        <v>Roma</v>
      </c>
      <c r="N287" t="str">
        <f>_xlfn.XLOOKUP(frasest[[#This Row],[author_es]],autorest[author_es],autorest[nation_la])</f>
        <v>Roma</v>
      </c>
      <c r="O287" t="str">
        <f>_xlfn.XLOOKUP(frasest[[#This Row],[author_es]],autorest[author_es],autorest[age_es])</f>
        <v>Edad Antigua</v>
      </c>
      <c r="P287" t="str">
        <f>_xlfn.XLOOKUP(frasest[[#This Row],[author_es]],autorest[author_es],autorest[age_la])</f>
        <v>Antiquitas</v>
      </c>
      <c r="Q287" t="str">
        <f>_xlfn.XLOOKUP(frasest[[#This Row],[author_es]],autorest[author_es],autorest[image])</f>
        <v>https://i.ibb.co/whvy5Lhm/sangregorioana.png</v>
      </c>
      <c r="R287">
        <f>_xlfn.XLOOKUP(frasest[[#This Row],[author_es]],autorest[author_es],autorest[image_atr])</f>
        <v>0</v>
      </c>
    </row>
    <row r="288" spans="1:18">
      <c r="A288">
        <v>287</v>
      </c>
      <c r="B288" t="s">
        <v>1031</v>
      </c>
      <c r="C288" t="s">
        <v>1032</v>
      </c>
      <c r="D288" t="s">
        <v>1032</v>
      </c>
      <c r="E288" t="s">
        <v>1033</v>
      </c>
      <c r="F288" t="s">
        <v>1034</v>
      </c>
      <c r="G288" t="str">
        <f>_xlfn.XLOOKUP(frasest[[#This Row],[author_es]],autorest[author_es],autorest[author_la])</f>
        <v>Gregorius Nyssenus</v>
      </c>
      <c r="H288" t="str">
        <f>_xlfn.XLOOKUP(frasest[[#This Row],[author_es]],autorest[author_es],autorest[bio_es])</f>
        <v>Obispo de Nisa, Doctor de la Iglesia y Padre Capadocio. Hermano de San Basilio Magno, teólogo místico y filósofo cristiano. Uno de los tres Padres Capadocios.</v>
      </c>
      <c r="I288" t="str">
        <f>_xlfn.XLOOKUP(frasest[[#This Row],[author_es]],autorest[author_es],autorest[bio_la])</f>
        <v>Episcopus Nyssenus, Doctor Ecclesiae et Pater Cappadocius. Frater Sancti Basilii Magni, theologus mysticus et philosophus Christianus. Unus ex tribus Patribus Cappadociis.</v>
      </c>
      <c r="J288" t="str">
        <f>_xlfn.XLOOKUP(frasest[[#This Row],[author_es]],autorest[author_es],autorest[iso3691])</f>
        <v>la</v>
      </c>
      <c r="K288" t="str">
        <f>_xlfn.XLOOKUP(frasest[[#This Row],[author_es]],autorest[author_es],autorest[language_es])</f>
        <v>Latín</v>
      </c>
      <c r="L288" t="str">
        <f>_xlfn.XLOOKUP(frasest[[#This Row],[author_es]],autorest[author_es],autorest[language_la])</f>
        <v>Lingua Latina</v>
      </c>
      <c r="M288" t="str">
        <f>_xlfn.XLOOKUP(frasest[[#This Row],[author_es]],autorest[author_es],autorest[nation_es])</f>
        <v>Roma</v>
      </c>
      <c r="N288" t="str">
        <f>_xlfn.XLOOKUP(frasest[[#This Row],[author_es]],autorest[author_es],autorest[nation_la])</f>
        <v>Roma</v>
      </c>
      <c r="O288" t="str">
        <f>_xlfn.XLOOKUP(frasest[[#This Row],[author_es]],autorest[author_es],autorest[age_es])</f>
        <v>Edad Antigua</v>
      </c>
      <c r="P288" t="str">
        <f>_xlfn.XLOOKUP(frasest[[#This Row],[author_es]],autorest[author_es],autorest[age_la])</f>
        <v>Antiquitas</v>
      </c>
      <c r="Q288" t="str">
        <f>_xlfn.XLOOKUP(frasest[[#This Row],[author_es]],autorest[author_es],autorest[image])</f>
        <v>https://i.ibb.co/LXBmwpy1/sangregorioniza.png</v>
      </c>
      <c r="R288">
        <f>_xlfn.XLOOKUP(frasest[[#This Row],[author_es]],autorest[author_es],autorest[image_atr])</f>
        <v>0</v>
      </c>
    </row>
    <row r="289" spans="1:18">
      <c r="A289">
        <v>288</v>
      </c>
      <c r="B289" t="s">
        <v>1035</v>
      </c>
      <c r="C289" t="s">
        <v>1036</v>
      </c>
      <c r="D289" t="s">
        <v>1036</v>
      </c>
      <c r="E289" t="s">
        <v>1033</v>
      </c>
      <c r="F289" t="s">
        <v>1037</v>
      </c>
      <c r="G289" t="str">
        <f>_xlfn.XLOOKUP(frasest[[#This Row],[author_es]],autorest[author_es],autorest[author_la])</f>
        <v>Gregorius Nyssenus</v>
      </c>
      <c r="H289" t="str">
        <f>_xlfn.XLOOKUP(frasest[[#This Row],[author_es]],autorest[author_es],autorest[bio_es])</f>
        <v>Obispo de Nisa, Doctor de la Iglesia y Padre Capadocio. Hermano de San Basilio Magno, teólogo místico y filósofo cristiano. Uno de los tres Padres Capadocios.</v>
      </c>
      <c r="I289" t="str">
        <f>_xlfn.XLOOKUP(frasest[[#This Row],[author_es]],autorest[author_es],autorest[bio_la])</f>
        <v>Episcopus Nyssenus, Doctor Ecclesiae et Pater Cappadocius. Frater Sancti Basilii Magni, theologus mysticus et philosophus Christianus. Unus ex tribus Patribus Cappadociis.</v>
      </c>
      <c r="J289" t="str">
        <f>_xlfn.XLOOKUP(frasest[[#This Row],[author_es]],autorest[author_es],autorest[iso3691])</f>
        <v>la</v>
      </c>
      <c r="K289" t="str">
        <f>_xlfn.XLOOKUP(frasest[[#This Row],[author_es]],autorest[author_es],autorest[language_es])</f>
        <v>Latín</v>
      </c>
      <c r="L289" t="str">
        <f>_xlfn.XLOOKUP(frasest[[#This Row],[author_es]],autorest[author_es],autorest[language_la])</f>
        <v>Lingua Latina</v>
      </c>
      <c r="M289" t="str">
        <f>_xlfn.XLOOKUP(frasest[[#This Row],[author_es]],autorest[author_es],autorest[nation_es])</f>
        <v>Roma</v>
      </c>
      <c r="N289" t="str">
        <f>_xlfn.XLOOKUP(frasest[[#This Row],[author_es]],autorest[author_es],autorest[nation_la])</f>
        <v>Roma</v>
      </c>
      <c r="O289" t="str">
        <f>_xlfn.XLOOKUP(frasest[[#This Row],[author_es]],autorest[author_es],autorest[age_es])</f>
        <v>Edad Antigua</v>
      </c>
      <c r="P289" t="str">
        <f>_xlfn.XLOOKUP(frasest[[#This Row],[author_es]],autorest[author_es],autorest[age_la])</f>
        <v>Antiquitas</v>
      </c>
      <c r="Q289" t="str">
        <f>_xlfn.XLOOKUP(frasest[[#This Row],[author_es]],autorest[author_es],autorest[image])</f>
        <v>https://i.ibb.co/LXBmwpy1/sangregorioniza.png</v>
      </c>
      <c r="R289">
        <f>_xlfn.XLOOKUP(frasest[[#This Row],[author_es]],autorest[author_es],autorest[image_atr])</f>
        <v>0</v>
      </c>
    </row>
    <row r="290" spans="1:18">
      <c r="A290">
        <v>289</v>
      </c>
      <c r="B290" t="s">
        <v>1038</v>
      </c>
      <c r="C290" t="s">
        <v>1039</v>
      </c>
      <c r="D290" t="s">
        <v>1039</v>
      </c>
      <c r="E290" t="s">
        <v>1033</v>
      </c>
      <c r="F290" t="s">
        <v>1040</v>
      </c>
      <c r="G290" t="str">
        <f>_xlfn.XLOOKUP(frasest[[#This Row],[author_es]],autorest[author_es],autorest[author_la])</f>
        <v>Gregorius Nyssenus</v>
      </c>
      <c r="H290" t="str">
        <f>_xlfn.XLOOKUP(frasest[[#This Row],[author_es]],autorest[author_es],autorest[bio_es])</f>
        <v>Obispo de Nisa, Doctor de la Iglesia y Padre Capadocio. Hermano de San Basilio Magno, teólogo místico y filósofo cristiano. Uno de los tres Padres Capadocios.</v>
      </c>
      <c r="I290" t="str">
        <f>_xlfn.XLOOKUP(frasest[[#This Row],[author_es]],autorest[author_es],autorest[bio_la])</f>
        <v>Episcopus Nyssenus, Doctor Ecclesiae et Pater Cappadocius. Frater Sancti Basilii Magni, theologus mysticus et philosophus Christianus. Unus ex tribus Patribus Cappadociis.</v>
      </c>
      <c r="J290" t="str">
        <f>_xlfn.XLOOKUP(frasest[[#This Row],[author_es]],autorest[author_es],autorest[iso3691])</f>
        <v>la</v>
      </c>
      <c r="K290" t="str">
        <f>_xlfn.XLOOKUP(frasest[[#This Row],[author_es]],autorest[author_es],autorest[language_es])</f>
        <v>Latín</v>
      </c>
      <c r="L290" t="str">
        <f>_xlfn.XLOOKUP(frasest[[#This Row],[author_es]],autorest[author_es],autorest[language_la])</f>
        <v>Lingua Latina</v>
      </c>
      <c r="M290" t="str">
        <f>_xlfn.XLOOKUP(frasest[[#This Row],[author_es]],autorest[author_es],autorest[nation_es])</f>
        <v>Roma</v>
      </c>
      <c r="N290" t="str">
        <f>_xlfn.XLOOKUP(frasest[[#This Row],[author_es]],autorest[author_es],autorest[nation_la])</f>
        <v>Roma</v>
      </c>
      <c r="O290" t="str">
        <f>_xlfn.XLOOKUP(frasest[[#This Row],[author_es]],autorest[author_es],autorest[age_es])</f>
        <v>Edad Antigua</v>
      </c>
      <c r="P290" t="str">
        <f>_xlfn.XLOOKUP(frasest[[#This Row],[author_es]],autorest[author_es],autorest[age_la])</f>
        <v>Antiquitas</v>
      </c>
      <c r="Q290" t="str">
        <f>_xlfn.XLOOKUP(frasest[[#This Row],[author_es]],autorest[author_es],autorest[image])</f>
        <v>https://i.ibb.co/LXBmwpy1/sangregorioniza.png</v>
      </c>
      <c r="R290">
        <f>_xlfn.XLOOKUP(frasest[[#This Row],[author_es]],autorest[author_es],autorest[image_atr])</f>
        <v>0</v>
      </c>
    </row>
    <row r="291" spans="1:18">
      <c r="A291">
        <v>290</v>
      </c>
      <c r="B291" t="s">
        <v>1041</v>
      </c>
      <c r="C291" t="s">
        <v>1042</v>
      </c>
      <c r="D291" t="s">
        <v>1042</v>
      </c>
      <c r="E291" t="s">
        <v>1033</v>
      </c>
      <c r="F291" t="s">
        <v>1043</v>
      </c>
      <c r="G291" t="str">
        <f>_xlfn.XLOOKUP(frasest[[#This Row],[author_es]],autorest[author_es],autorest[author_la])</f>
        <v>Gregorius Nyssenus</v>
      </c>
      <c r="H291" t="str">
        <f>_xlfn.XLOOKUP(frasest[[#This Row],[author_es]],autorest[author_es],autorest[bio_es])</f>
        <v>Obispo de Nisa, Doctor de la Iglesia y Padre Capadocio. Hermano de San Basilio Magno, teólogo místico y filósofo cristiano. Uno de los tres Padres Capadocios.</v>
      </c>
      <c r="I291" t="str">
        <f>_xlfn.XLOOKUP(frasest[[#This Row],[author_es]],autorest[author_es],autorest[bio_la])</f>
        <v>Episcopus Nyssenus, Doctor Ecclesiae et Pater Cappadocius. Frater Sancti Basilii Magni, theologus mysticus et philosophus Christianus. Unus ex tribus Patribus Cappadociis.</v>
      </c>
      <c r="J291" t="str">
        <f>_xlfn.XLOOKUP(frasest[[#This Row],[author_es]],autorest[author_es],autorest[iso3691])</f>
        <v>la</v>
      </c>
      <c r="K291" t="str">
        <f>_xlfn.XLOOKUP(frasest[[#This Row],[author_es]],autorest[author_es],autorest[language_es])</f>
        <v>Latín</v>
      </c>
      <c r="L291" t="str">
        <f>_xlfn.XLOOKUP(frasest[[#This Row],[author_es]],autorest[author_es],autorest[language_la])</f>
        <v>Lingua Latina</v>
      </c>
      <c r="M291" t="str">
        <f>_xlfn.XLOOKUP(frasest[[#This Row],[author_es]],autorest[author_es],autorest[nation_es])</f>
        <v>Roma</v>
      </c>
      <c r="N291" t="str">
        <f>_xlfn.XLOOKUP(frasest[[#This Row],[author_es]],autorest[author_es],autorest[nation_la])</f>
        <v>Roma</v>
      </c>
      <c r="O291" t="str">
        <f>_xlfn.XLOOKUP(frasest[[#This Row],[author_es]],autorest[author_es],autorest[age_es])</f>
        <v>Edad Antigua</v>
      </c>
      <c r="P291" t="str">
        <f>_xlfn.XLOOKUP(frasest[[#This Row],[author_es]],autorest[author_es],autorest[age_la])</f>
        <v>Antiquitas</v>
      </c>
      <c r="Q291" t="str">
        <f>_xlfn.XLOOKUP(frasest[[#This Row],[author_es]],autorest[author_es],autorest[image])</f>
        <v>https://i.ibb.co/LXBmwpy1/sangregorioniza.png</v>
      </c>
      <c r="R291">
        <f>_xlfn.XLOOKUP(frasest[[#This Row],[author_es]],autorest[author_es],autorest[image_atr])</f>
        <v>0</v>
      </c>
    </row>
    <row r="292" spans="1:18">
      <c r="A292">
        <v>291</v>
      </c>
      <c r="B292" t="s">
        <v>1044</v>
      </c>
      <c r="C292" t="s">
        <v>1045</v>
      </c>
      <c r="D292" t="s">
        <v>1045</v>
      </c>
      <c r="E292" t="s">
        <v>1033</v>
      </c>
      <c r="F292" t="s">
        <v>1046</v>
      </c>
      <c r="G292" t="str">
        <f>_xlfn.XLOOKUP(frasest[[#This Row],[author_es]],autorest[author_es],autorest[author_la])</f>
        <v>Gregorius Nyssenus</v>
      </c>
      <c r="H292" t="str">
        <f>_xlfn.XLOOKUP(frasest[[#This Row],[author_es]],autorest[author_es],autorest[bio_es])</f>
        <v>Obispo de Nisa, Doctor de la Iglesia y Padre Capadocio. Hermano de San Basilio Magno, teólogo místico y filósofo cristiano. Uno de los tres Padres Capadocios.</v>
      </c>
      <c r="I292" t="str">
        <f>_xlfn.XLOOKUP(frasest[[#This Row],[author_es]],autorest[author_es],autorest[bio_la])</f>
        <v>Episcopus Nyssenus, Doctor Ecclesiae et Pater Cappadocius. Frater Sancti Basilii Magni, theologus mysticus et philosophus Christianus. Unus ex tribus Patribus Cappadociis.</v>
      </c>
      <c r="J292" t="str">
        <f>_xlfn.XLOOKUP(frasest[[#This Row],[author_es]],autorest[author_es],autorest[iso3691])</f>
        <v>la</v>
      </c>
      <c r="K292" t="str">
        <f>_xlfn.XLOOKUP(frasest[[#This Row],[author_es]],autorest[author_es],autorest[language_es])</f>
        <v>Latín</v>
      </c>
      <c r="L292" t="str">
        <f>_xlfn.XLOOKUP(frasest[[#This Row],[author_es]],autorest[author_es],autorest[language_la])</f>
        <v>Lingua Latina</v>
      </c>
      <c r="M292" t="str">
        <f>_xlfn.XLOOKUP(frasest[[#This Row],[author_es]],autorest[author_es],autorest[nation_es])</f>
        <v>Roma</v>
      </c>
      <c r="N292" t="str">
        <f>_xlfn.XLOOKUP(frasest[[#This Row],[author_es]],autorest[author_es],autorest[nation_la])</f>
        <v>Roma</v>
      </c>
      <c r="O292" t="str">
        <f>_xlfn.XLOOKUP(frasest[[#This Row],[author_es]],autorest[author_es],autorest[age_es])</f>
        <v>Edad Antigua</v>
      </c>
      <c r="P292" t="str">
        <f>_xlfn.XLOOKUP(frasest[[#This Row],[author_es]],autorest[author_es],autorest[age_la])</f>
        <v>Antiquitas</v>
      </c>
      <c r="Q292" t="str">
        <f>_xlfn.XLOOKUP(frasest[[#This Row],[author_es]],autorest[author_es],autorest[image])</f>
        <v>https://i.ibb.co/LXBmwpy1/sangregorioniza.png</v>
      </c>
      <c r="R292">
        <f>_xlfn.XLOOKUP(frasest[[#This Row],[author_es]],autorest[author_es],autorest[image_atr])</f>
        <v>0</v>
      </c>
    </row>
    <row r="293" spans="1:18">
      <c r="A293">
        <v>292</v>
      </c>
      <c r="B293" t="s">
        <v>1047</v>
      </c>
      <c r="C293" t="s">
        <v>1048</v>
      </c>
      <c r="D293" t="s">
        <v>1048</v>
      </c>
      <c r="E293" t="s">
        <v>1033</v>
      </c>
      <c r="F293" t="s">
        <v>1049</v>
      </c>
      <c r="G293" t="str">
        <f>_xlfn.XLOOKUP(frasest[[#This Row],[author_es]],autorest[author_es],autorest[author_la])</f>
        <v>Gregorius Nyssenus</v>
      </c>
      <c r="H293" t="str">
        <f>_xlfn.XLOOKUP(frasest[[#This Row],[author_es]],autorest[author_es],autorest[bio_es])</f>
        <v>Obispo de Nisa, Doctor de la Iglesia y Padre Capadocio. Hermano de San Basilio Magno, teólogo místico y filósofo cristiano. Uno de los tres Padres Capadocios.</v>
      </c>
      <c r="I293" t="str">
        <f>_xlfn.XLOOKUP(frasest[[#This Row],[author_es]],autorest[author_es],autorest[bio_la])</f>
        <v>Episcopus Nyssenus, Doctor Ecclesiae et Pater Cappadocius. Frater Sancti Basilii Magni, theologus mysticus et philosophus Christianus. Unus ex tribus Patribus Cappadociis.</v>
      </c>
      <c r="J293" t="str">
        <f>_xlfn.XLOOKUP(frasest[[#This Row],[author_es]],autorest[author_es],autorest[iso3691])</f>
        <v>la</v>
      </c>
      <c r="K293" t="str">
        <f>_xlfn.XLOOKUP(frasest[[#This Row],[author_es]],autorest[author_es],autorest[language_es])</f>
        <v>Latín</v>
      </c>
      <c r="L293" t="str">
        <f>_xlfn.XLOOKUP(frasest[[#This Row],[author_es]],autorest[author_es],autorest[language_la])</f>
        <v>Lingua Latina</v>
      </c>
      <c r="M293" t="str">
        <f>_xlfn.XLOOKUP(frasest[[#This Row],[author_es]],autorest[author_es],autorest[nation_es])</f>
        <v>Roma</v>
      </c>
      <c r="N293" t="str">
        <f>_xlfn.XLOOKUP(frasest[[#This Row],[author_es]],autorest[author_es],autorest[nation_la])</f>
        <v>Roma</v>
      </c>
      <c r="O293" t="str">
        <f>_xlfn.XLOOKUP(frasest[[#This Row],[author_es]],autorest[author_es],autorest[age_es])</f>
        <v>Edad Antigua</v>
      </c>
      <c r="P293" t="str">
        <f>_xlfn.XLOOKUP(frasest[[#This Row],[author_es]],autorest[author_es],autorest[age_la])</f>
        <v>Antiquitas</v>
      </c>
      <c r="Q293" t="str">
        <f>_xlfn.XLOOKUP(frasest[[#This Row],[author_es]],autorest[author_es],autorest[image])</f>
        <v>https://i.ibb.co/LXBmwpy1/sangregorioniza.png</v>
      </c>
      <c r="R293">
        <f>_xlfn.XLOOKUP(frasest[[#This Row],[author_es]],autorest[author_es],autorest[image_atr])</f>
        <v>0</v>
      </c>
    </row>
    <row r="294" spans="1:18">
      <c r="A294">
        <v>293</v>
      </c>
      <c r="B294" t="s">
        <v>1050</v>
      </c>
      <c r="C294" t="s">
        <v>1051</v>
      </c>
      <c r="D294" t="s">
        <v>1051</v>
      </c>
      <c r="E294" t="s">
        <v>1033</v>
      </c>
      <c r="F294" t="s">
        <v>1052</v>
      </c>
      <c r="G294" t="str">
        <f>_xlfn.XLOOKUP(frasest[[#This Row],[author_es]],autorest[author_es],autorest[author_la])</f>
        <v>Gregorius Nyssenus</v>
      </c>
      <c r="H294" t="str">
        <f>_xlfn.XLOOKUP(frasest[[#This Row],[author_es]],autorest[author_es],autorest[bio_es])</f>
        <v>Obispo de Nisa, Doctor de la Iglesia y Padre Capadocio. Hermano de San Basilio Magno, teólogo místico y filósofo cristiano. Uno de los tres Padres Capadocios.</v>
      </c>
      <c r="I294" t="str">
        <f>_xlfn.XLOOKUP(frasest[[#This Row],[author_es]],autorest[author_es],autorest[bio_la])</f>
        <v>Episcopus Nyssenus, Doctor Ecclesiae et Pater Cappadocius. Frater Sancti Basilii Magni, theologus mysticus et philosophus Christianus. Unus ex tribus Patribus Cappadociis.</v>
      </c>
      <c r="J294" t="str">
        <f>_xlfn.XLOOKUP(frasest[[#This Row],[author_es]],autorest[author_es],autorest[iso3691])</f>
        <v>la</v>
      </c>
      <c r="K294" t="str">
        <f>_xlfn.XLOOKUP(frasest[[#This Row],[author_es]],autorest[author_es],autorest[language_es])</f>
        <v>Latín</v>
      </c>
      <c r="L294" t="str">
        <f>_xlfn.XLOOKUP(frasest[[#This Row],[author_es]],autorest[author_es],autorest[language_la])</f>
        <v>Lingua Latina</v>
      </c>
      <c r="M294" t="str">
        <f>_xlfn.XLOOKUP(frasest[[#This Row],[author_es]],autorest[author_es],autorest[nation_es])</f>
        <v>Roma</v>
      </c>
      <c r="N294" t="str">
        <f>_xlfn.XLOOKUP(frasest[[#This Row],[author_es]],autorest[author_es],autorest[nation_la])</f>
        <v>Roma</v>
      </c>
      <c r="O294" t="str">
        <f>_xlfn.XLOOKUP(frasest[[#This Row],[author_es]],autorest[author_es],autorest[age_es])</f>
        <v>Edad Antigua</v>
      </c>
      <c r="P294" t="str">
        <f>_xlfn.XLOOKUP(frasest[[#This Row],[author_es]],autorest[author_es],autorest[age_la])</f>
        <v>Antiquitas</v>
      </c>
      <c r="Q294" t="str">
        <f>_xlfn.XLOOKUP(frasest[[#This Row],[author_es]],autorest[author_es],autorest[image])</f>
        <v>https://i.ibb.co/LXBmwpy1/sangregorioniza.png</v>
      </c>
      <c r="R294">
        <f>_xlfn.XLOOKUP(frasest[[#This Row],[author_es]],autorest[author_es],autorest[image_atr])</f>
        <v>0</v>
      </c>
    </row>
    <row r="295" spans="1:18">
      <c r="A295">
        <v>294</v>
      </c>
      <c r="B295" t="s">
        <v>1053</v>
      </c>
      <c r="C295" t="s">
        <v>1054</v>
      </c>
      <c r="D295" t="s">
        <v>1054</v>
      </c>
      <c r="E295" t="s">
        <v>1033</v>
      </c>
      <c r="F295" t="s">
        <v>1055</v>
      </c>
      <c r="G295" t="str">
        <f>_xlfn.XLOOKUP(frasest[[#This Row],[author_es]],autorest[author_es],autorest[author_la])</f>
        <v>Gregorius Nyssenus</v>
      </c>
      <c r="H295" t="str">
        <f>_xlfn.XLOOKUP(frasest[[#This Row],[author_es]],autorest[author_es],autorest[bio_es])</f>
        <v>Obispo de Nisa, Doctor de la Iglesia y Padre Capadocio. Hermano de San Basilio Magno, teólogo místico y filósofo cristiano. Uno de los tres Padres Capadocios.</v>
      </c>
      <c r="I295" t="str">
        <f>_xlfn.XLOOKUP(frasest[[#This Row],[author_es]],autorest[author_es],autorest[bio_la])</f>
        <v>Episcopus Nyssenus, Doctor Ecclesiae et Pater Cappadocius. Frater Sancti Basilii Magni, theologus mysticus et philosophus Christianus. Unus ex tribus Patribus Cappadociis.</v>
      </c>
      <c r="J295" t="str">
        <f>_xlfn.XLOOKUP(frasest[[#This Row],[author_es]],autorest[author_es],autorest[iso3691])</f>
        <v>la</v>
      </c>
      <c r="K295" t="str">
        <f>_xlfn.XLOOKUP(frasest[[#This Row],[author_es]],autorest[author_es],autorest[language_es])</f>
        <v>Latín</v>
      </c>
      <c r="L295" t="str">
        <f>_xlfn.XLOOKUP(frasest[[#This Row],[author_es]],autorest[author_es],autorest[language_la])</f>
        <v>Lingua Latina</v>
      </c>
      <c r="M295" t="str">
        <f>_xlfn.XLOOKUP(frasest[[#This Row],[author_es]],autorest[author_es],autorest[nation_es])</f>
        <v>Roma</v>
      </c>
      <c r="N295" t="str">
        <f>_xlfn.XLOOKUP(frasest[[#This Row],[author_es]],autorest[author_es],autorest[nation_la])</f>
        <v>Roma</v>
      </c>
      <c r="O295" t="str">
        <f>_xlfn.XLOOKUP(frasest[[#This Row],[author_es]],autorest[author_es],autorest[age_es])</f>
        <v>Edad Antigua</v>
      </c>
      <c r="P295" t="str">
        <f>_xlfn.XLOOKUP(frasest[[#This Row],[author_es]],autorest[author_es],autorest[age_la])</f>
        <v>Antiquitas</v>
      </c>
      <c r="Q295" t="str">
        <f>_xlfn.XLOOKUP(frasest[[#This Row],[author_es]],autorest[author_es],autorest[image])</f>
        <v>https://i.ibb.co/LXBmwpy1/sangregorioniza.png</v>
      </c>
      <c r="R295">
        <f>_xlfn.XLOOKUP(frasest[[#This Row],[author_es]],autorest[author_es],autorest[image_atr])</f>
        <v>0</v>
      </c>
    </row>
    <row r="296" spans="1:18">
      <c r="A296">
        <v>295</v>
      </c>
      <c r="B296" t="s">
        <v>1056</v>
      </c>
      <c r="C296" t="s">
        <v>1057</v>
      </c>
      <c r="D296" t="s">
        <v>1057</v>
      </c>
      <c r="E296" t="s">
        <v>1033</v>
      </c>
      <c r="F296" t="s">
        <v>1058</v>
      </c>
      <c r="G296" t="str">
        <f>_xlfn.XLOOKUP(frasest[[#This Row],[author_es]],autorest[author_es],autorest[author_la])</f>
        <v>Gregorius Nyssenus</v>
      </c>
      <c r="H296" t="str">
        <f>_xlfn.XLOOKUP(frasest[[#This Row],[author_es]],autorest[author_es],autorest[bio_es])</f>
        <v>Obispo de Nisa, Doctor de la Iglesia y Padre Capadocio. Hermano de San Basilio Magno, teólogo místico y filósofo cristiano. Uno de los tres Padres Capadocios.</v>
      </c>
      <c r="I296" t="str">
        <f>_xlfn.XLOOKUP(frasest[[#This Row],[author_es]],autorest[author_es],autorest[bio_la])</f>
        <v>Episcopus Nyssenus, Doctor Ecclesiae et Pater Cappadocius. Frater Sancti Basilii Magni, theologus mysticus et philosophus Christianus. Unus ex tribus Patribus Cappadociis.</v>
      </c>
      <c r="J296" t="str">
        <f>_xlfn.XLOOKUP(frasest[[#This Row],[author_es]],autorest[author_es],autorest[iso3691])</f>
        <v>la</v>
      </c>
      <c r="K296" t="str">
        <f>_xlfn.XLOOKUP(frasest[[#This Row],[author_es]],autorest[author_es],autorest[language_es])</f>
        <v>Latín</v>
      </c>
      <c r="L296" t="str">
        <f>_xlfn.XLOOKUP(frasest[[#This Row],[author_es]],autorest[author_es],autorest[language_la])</f>
        <v>Lingua Latina</v>
      </c>
      <c r="M296" t="str">
        <f>_xlfn.XLOOKUP(frasest[[#This Row],[author_es]],autorest[author_es],autorest[nation_es])</f>
        <v>Roma</v>
      </c>
      <c r="N296" t="str">
        <f>_xlfn.XLOOKUP(frasest[[#This Row],[author_es]],autorest[author_es],autorest[nation_la])</f>
        <v>Roma</v>
      </c>
      <c r="O296" t="str">
        <f>_xlfn.XLOOKUP(frasest[[#This Row],[author_es]],autorest[author_es],autorest[age_es])</f>
        <v>Edad Antigua</v>
      </c>
      <c r="P296" t="str">
        <f>_xlfn.XLOOKUP(frasest[[#This Row],[author_es]],autorest[author_es],autorest[age_la])</f>
        <v>Antiquitas</v>
      </c>
      <c r="Q296" t="str">
        <f>_xlfn.XLOOKUP(frasest[[#This Row],[author_es]],autorest[author_es],autorest[image])</f>
        <v>https://i.ibb.co/LXBmwpy1/sangregorioniza.png</v>
      </c>
      <c r="R296">
        <f>_xlfn.XLOOKUP(frasest[[#This Row],[author_es]],autorest[author_es],autorest[image_atr])</f>
        <v>0</v>
      </c>
    </row>
    <row r="297" spans="1:18">
      <c r="A297">
        <v>296</v>
      </c>
      <c r="B297" t="s">
        <v>1059</v>
      </c>
      <c r="C297" t="s">
        <v>1060</v>
      </c>
      <c r="D297" t="s">
        <v>1060</v>
      </c>
      <c r="E297" t="s">
        <v>1033</v>
      </c>
      <c r="F297" t="s">
        <v>1061</v>
      </c>
      <c r="G297" t="str">
        <f>_xlfn.XLOOKUP(frasest[[#This Row],[author_es]],autorest[author_es],autorest[author_la])</f>
        <v>Gregorius Nyssenus</v>
      </c>
      <c r="H297" t="str">
        <f>_xlfn.XLOOKUP(frasest[[#This Row],[author_es]],autorest[author_es],autorest[bio_es])</f>
        <v>Obispo de Nisa, Doctor de la Iglesia y Padre Capadocio. Hermano de San Basilio Magno, teólogo místico y filósofo cristiano. Uno de los tres Padres Capadocios.</v>
      </c>
      <c r="I297" t="str">
        <f>_xlfn.XLOOKUP(frasest[[#This Row],[author_es]],autorest[author_es],autorest[bio_la])</f>
        <v>Episcopus Nyssenus, Doctor Ecclesiae et Pater Cappadocius. Frater Sancti Basilii Magni, theologus mysticus et philosophus Christianus. Unus ex tribus Patribus Cappadociis.</v>
      </c>
      <c r="J297" t="str">
        <f>_xlfn.XLOOKUP(frasest[[#This Row],[author_es]],autorest[author_es],autorest[iso3691])</f>
        <v>la</v>
      </c>
      <c r="K297" t="str">
        <f>_xlfn.XLOOKUP(frasest[[#This Row],[author_es]],autorest[author_es],autorest[language_es])</f>
        <v>Latín</v>
      </c>
      <c r="L297" t="str">
        <f>_xlfn.XLOOKUP(frasest[[#This Row],[author_es]],autorest[author_es],autorest[language_la])</f>
        <v>Lingua Latina</v>
      </c>
      <c r="M297" t="str">
        <f>_xlfn.XLOOKUP(frasest[[#This Row],[author_es]],autorest[author_es],autorest[nation_es])</f>
        <v>Roma</v>
      </c>
      <c r="N297" t="str">
        <f>_xlfn.XLOOKUP(frasest[[#This Row],[author_es]],autorest[author_es],autorest[nation_la])</f>
        <v>Roma</v>
      </c>
      <c r="O297" t="str">
        <f>_xlfn.XLOOKUP(frasest[[#This Row],[author_es]],autorest[author_es],autorest[age_es])</f>
        <v>Edad Antigua</v>
      </c>
      <c r="P297" t="str">
        <f>_xlfn.XLOOKUP(frasest[[#This Row],[author_es]],autorest[author_es],autorest[age_la])</f>
        <v>Antiquitas</v>
      </c>
      <c r="Q297" t="str">
        <f>_xlfn.XLOOKUP(frasest[[#This Row],[author_es]],autorest[author_es],autorest[image])</f>
        <v>https://i.ibb.co/LXBmwpy1/sangregorioniza.png</v>
      </c>
      <c r="R297">
        <f>_xlfn.XLOOKUP(frasest[[#This Row],[author_es]],autorest[author_es],autorest[image_atr])</f>
        <v>0</v>
      </c>
    </row>
    <row r="298" spans="1:18">
      <c r="A298">
        <v>297</v>
      </c>
      <c r="B298" t="s">
        <v>1062</v>
      </c>
      <c r="C298" t="s">
        <v>1063</v>
      </c>
      <c r="D298" t="s">
        <v>1063</v>
      </c>
      <c r="E298" t="s">
        <v>1064</v>
      </c>
      <c r="F298" t="s">
        <v>1065</v>
      </c>
      <c r="G298" t="str">
        <f>_xlfn.XLOOKUP(frasest[[#This Row],[author_es]],autorest[author_es],autorest[author_la])</f>
        <v>Ambrosius Mediolanensis</v>
      </c>
      <c r="H298" t="str">
        <f>_xlfn.XLOOKUP(frasest[[#This Row],[author_es]],autorest[author_es],autorest[bio_es])</f>
        <v>Obispo de Milán, Doctor de la Iglesia y Padre Latino. Maestro de San Agustín, defensor de la ortodoxia y autoridad moral frente al poder imperial.</v>
      </c>
      <c r="I298" t="str">
        <f>_xlfn.XLOOKUP(frasest[[#This Row],[author_es]],autorest[author_es],autorest[bio_la])</f>
        <v>Episcopus Mediolanensis, Doctor Ecclesiae et Pater Latinus. Magister Sancti Augustini, orthodoxiae defensor et auctoritas moralis contra imperium.</v>
      </c>
      <c r="J298" t="str">
        <f>_xlfn.XLOOKUP(frasest[[#This Row],[author_es]],autorest[author_es],autorest[iso3691])</f>
        <v>la</v>
      </c>
      <c r="K298" t="str">
        <f>_xlfn.XLOOKUP(frasest[[#This Row],[author_es]],autorest[author_es],autorest[language_es])</f>
        <v>Latín</v>
      </c>
      <c r="L298" t="str">
        <f>_xlfn.XLOOKUP(frasest[[#This Row],[author_es]],autorest[author_es],autorest[language_la])</f>
        <v>Lingua Latina</v>
      </c>
      <c r="M298" t="str">
        <f>_xlfn.XLOOKUP(frasest[[#This Row],[author_es]],autorest[author_es],autorest[nation_es])</f>
        <v>Roma</v>
      </c>
      <c r="N298" t="str">
        <f>_xlfn.XLOOKUP(frasest[[#This Row],[author_es]],autorest[author_es],autorest[nation_la])</f>
        <v>Roma</v>
      </c>
      <c r="O298" t="str">
        <f>_xlfn.XLOOKUP(frasest[[#This Row],[author_es]],autorest[author_es],autorest[age_es])</f>
        <v>Edad Antigua</v>
      </c>
      <c r="P298" t="str">
        <f>_xlfn.XLOOKUP(frasest[[#This Row],[author_es]],autorest[author_es],autorest[age_la])</f>
        <v>Antiquitas</v>
      </c>
      <c r="Q298" t="str">
        <f>_xlfn.XLOOKUP(frasest[[#This Row],[author_es]],autorest[author_es],autorest[image])</f>
        <v>https://i.ibb.co/yncvTttZ/sanambrosio.png</v>
      </c>
      <c r="R298">
        <f>_xlfn.XLOOKUP(frasest[[#This Row],[author_es]],autorest[author_es],autorest[image_atr])</f>
        <v>0</v>
      </c>
    </row>
    <row r="299" spans="1:18">
      <c r="A299">
        <v>298</v>
      </c>
      <c r="B299" t="s">
        <v>1066</v>
      </c>
      <c r="C299" t="s">
        <v>1067</v>
      </c>
      <c r="D299" t="s">
        <v>1067</v>
      </c>
      <c r="E299" t="s">
        <v>1064</v>
      </c>
      <c r="F299" t="s">
        <v>1068</v>
      </c>
      <c r="G299" t="str">
        <f>_xlfn.XLOOKUP(frasest[[#This Row],[author_es]],autorest[author_es],autorest[author_la])</f>
        <v>Ambrosius Mediolanensis</v>
      </c>
      <c r="H299" t="str">
        <f>_xlfn.XLOOKUP(frasest[[#This Row],[author_es]],autorest[author_es],autorest[bio_es])</f>
        <v>Obispo de Milán, Doctor de la Iglesia y Padre Latino. Maestro de San Agustín, defensor de la ortodoxia y autoridad moral frente al poder imperial.</v>
      </c>
      <c r="I299" t="str">
        <f>_xlfn.XLOOKUP(frasest[[#This Row],[author_es]],autorest[author_es],autorest[bio_la])</f>
        <v>Episcopus Mediolanensis, Doctor Ecclesiae et Pater Latinus. Magister Sancti Augustini, orthodoxiae defensor et auctoritas moralis contra imperium.</v>
      </c>
      <c r="J299" t="str">
        <f>_xlfn.XLOOKUP(frasest[[#This Row],[author_es]],autorest[author_es],autorest[iso3691])</f>
        <v>la</v>
      </c>
      <c r="K299" t="str">
        <f>_xlfn.XLOOKUP(frasest[[#This Row],[author_es]],autorest[author_es],autorest[language_es])</f>
        <v>Latín</v>
      </c>
      <c r="L299" t="str">
        <f>_xlfn.XLOOKUP(frasest[[#This Row],[author_es]],autorest[author_es],autorest[language_la])</f>
        <v>Lingua Latina</v>
      </c>
      <c r="M299" t="str">
        <f>_xlfn.XLOOKUP(frasest[[#This Row],[author_es]],autorest[author_es],autorest[nation_es])</f>
        <v>Roma</v>
      </c>
      <c r="N299" t="str">
        <f>_xlfn.XLOOKUP(frasest[[#This Row],[author_es]],autorest[author_es],autorest[nation_la])</f>
        <v>Roma</v>
      </c>
      <c r="O299" t="str">
        <f>_xlfn.XLOOKUP(frasest[[#This Row],[author_es]],autorest[author_es],autorest[age_es])</f>
        <v>Edad Antigua</v>
      </c>
      <c r="P299" t="str">
        <f>_xlfn.XLOOKUP(frasest[[#This Row],[author_es]],autorest[author_es],autorest[age_la])</f>
        <v>Antiquitas</v>
      </c>
      <c r="Q299" t="str">
        <f>_xlfn.XLOOKUP(frasest[[#This Row],[author_es]],autorest[author_es],autorest[image])</f>
        <v>https://i.ibb.co/yncvTttZ/sanambrosio.png</v>
      </c>
      <c r="R299">
        <f>_xlfn.XLOOKUP(frasest[[#This Row],[author_es]],autorest[author_es],autorest[image_atr])</f>
        <v>0</v>
      </c>
    </row>
    <row r="300" spans="1:18">
      <c r="A300">
        <v>299</v>
      </c>
      <c r="B300" t="s">
        <v>1069</v>
      </c>
      <c r="C300" t="s">
        <v>1070</v>
      </c>
      <c r="D300" t="s">
        <v>1070</v>
      </c>
      <c r="E300" t="s">
        <v>1064</v>
      </c>
      <c r="F300" t="s">
        <v>1071</v>
      </c>
      <c r="G300" t="str">
        <f>_xlfn.XLOOKUP(frasest[[#This Row],[author_es]],autorest[author_es],autorest[author_la])</f>
        <v>Ambrosius Mediolanensis</v>
      </c>
      <c r="H300" t="str">
        <f>_xlfn.XLOOKUP(frasest[[#This Row],[author_es]],autorest[author_es],autorest[bio_es])</f>
        <v>Obispo de Milán, Doctor de la Iglesia y Padre Latino. Maestro de San Agustín, defensor de la ortodoxia y autoridad moral frente al poder imperial.</v>
      </c>
      <c r="I300" t="str">
        <f>_xlfn.XLOOKUP(frasest[[#This Row],[author_es]],autorest[author_es],autorest[bio_la])</f>
        <v>Episcopus Mediolanensis, Doctor Ecclesiae et Pater Latinus. Magister Sancti Augustini, orthodoxiae defensor et auctoritas moralis contra imperium.</v>
      </c>
      <c r="J300" t="str">
        <f>_xlfn.XLOOKUP(frasest[[#This Row],[author_es]],autorest[author_es],autorest[iso3691])</f>
        <v>la</v>
      </c>
      <c r="K300" t="str">
        <f>_xlfn.XLOOKUP(frasest[[#This Row],[author_es]],autorest[author_es],autorest[language_es])</f>
        <v>Latín</v>
      </c>
      <c r="L300" t="str">
        <f>_xlfn.XLOOKUP(frasest[[#This Row],[author_es]],autorest[author_es],autorest[language_la])</f>
        <v>Lingua Latina</v>
      </c>
      <c r="M300" t="str">
        <f>_xlfn.XLOOKUP(frasest[[#This Row],[author_es]],autorest[author_es],autorest[nation_es])</f>
        <v>Roma</v>
      </c>
      <c r="N300" t="str">
        <f>_xlfn.XLOOKUP(frasest[[#This Row],[author_es]],autorest[author_es],autorest[nation_la])</f>
        <v>Roma</v>
      </c>
      <c r="O300" t="str">
        <f>_xlfn.XLOOKUP(frasest[[#This Row],[author_es]],autorest[author_es],autorest[age_es])</f>
        <v>Edad Antigua</v>
      </c>
      <c r="P300" t="str">
        <f>_xlfn.XLOOKUP(frasest[[#This Row],[author_es]],autorest[author_es],autorest[age_la])</f>
        <v>Antiquitas</v>
      </c>
      <c r="Q300" t="str">
        <f>_xlfn.XLOOKUP(frasest[[#This Row],[author_es]],autorest[author_es],autorest[image])</f>
        <v>https://i.ibb.co/yncvTttZ/sanambrosio.png</v>
      </c>
      <c r="R300">
        <f>_xlfn.XLOOKUP(frasest[[#This Row],[author_es]],autorest[author_es],autorest[image_atr])</f>
        <v>0</v>
      </c>
    </row>
    <row r="301" spans="1:18">
      <c r="A301">
        <v>300</v>
      </c>
      <c r="B301" t="s">
        <v>1072</v>
      </c>
      <c r="C301" t="s">
        <v>1073</v>
      </c>
      <c r="D301" t="s">
        <v>1073</v>
      </c>
      <c r="E301" t="s">
        <v>1064</v>
      </c>
      <c r="F301" t="s">
        <v>1074</v>
      </c>
      <c r="G301" t="str">
        <f>_xlfn.XLOOKUP(frasest[[#This Row],[author_es]],autorest[author_es],autorest[author_la])</f>
        <v>Ambrosius Mediolanensis</v>
      </c>
      <c r="H301" t="str">
        <f>_xlfn.XLOOKUP(frasest[[#This Row],[author_es]],autorest[author_es],autorest[bio_es])</f>
        <v>Obispo de Milán, Doctor de la Iglesia y Padre Latino. Maestro de San Agustín, defensor de la ortodoxia y autoridad moral frente al poder imperial.</v>
      </c>
      <c r="I301" t="str">
        <f>_xlfn.XLOOKUP(frasest[[#This Row],[author_es]],autorest[author_es],autorest[bio_la])</f>
        <v>Episcopus Mediolanensis, Doctor Ecclesiae et Pater Latinus. Magister Sancti Augustini, orthodoxiae defensor et auctoritas moralis contra imperium.</v>
      </c>
      <c r="J301" t="str">
        <f>_xlfn.XLOOKUP(frasest[[#This Row],[author_es]],autorest[author_es],autorest[iso3691])</f>
        <v>la</v>
      </c>
      <c r="K301" t="str">
        <f>_xlfn.XLOOKUP(frasest[[#This Row],[author_es]],autorest[author_es],autorest[language_es])</f>
        <v>Latín</v>
      </c>
      <c r="L301" t="str">
        <f>_xlfn.XLOOKUP(frasest[[#This Row],[author_es]],autorest[author_es],autorest[language_la])</f>
        <v>Lingua Latina</v>
      </c>
      <c r="M301" t="str">
        <f>_xlfn.XLOOKUP(frasest[[#This Row],[author_es]],autorest[author_es],autorest[nation_es])</f>
        <v>Roma</v>
      </c>
      <c r="N301" t="str">
        <f>_xlfn.XLOOKUP(frasest[[#This Row],[author_es]],autorest[author_es],autorest[nation_la])</f>
        <v>Roma</v>
      </c>
      <c r="O301" t="str">
        <f>_xlfn.XLOOKUP(frasest[[#This Row],[author_es]],autorest[author_es],autorest[age_es])</f>
        <v>Edad Antigua</v>
      </c>
      <c r="P301" t="str">
        <f>_xlfn.XLOOKUP(frasest[[#This Row],[author_es]],autorest[author_es],autorest[age_la])</f>
        <v>Antiquitas</v>
      </c>
      <c r="Q301" t="str">
        <f>_xlfn.XLOOKUP(frasest[[#This Row],[author_es]],autorest[author_es],autorest[image])</f>
        <v>https://i.ibb.co/yncvTttZ/sanambrosio.png</v>
      </c>
      <c r="R301">
        <f>_xlfn.XLOOKUP(frasest[[#This Row],[author_es]],autorest[author_es],autorest[image_atr])</f>
        <v>0</v>
      </c>
    </row>
    <row r="302" spans="1:18">
      <c r="A302">
        <v>301</v>
      </c>
      <c r="B302" t="s">
        <v>1075</v>
      </c>
      <c r="C302" t="s">
        <v>1076</v>
      </c>
      <c r="D302" t="s">
        <v>1076</v>
      </c>
      <c r="E302" t="s">
        <v>1064</v>
      </c>
      <c r="F302" t="s">
        <v>1077</v>
      </c>
      <c r="G302" t="str">
        <f>_xlfn.XLOOKUP(frasest[[#This Row],[author_es]],autorest[author_es],autorest[author_la])</f>
        <v>Ambrosius Mediolanensis</v>
      </c>
      <c r="H302" t="str">
        <f>_xlfn.XLOOKUP(frasest[[#This Row],[author_es]],autorest[author_es],autorest[bio_es])</f>
        <v>Obispo de Milán, Doctor de la Iglesia y Padre Latino. Maestro de San Agustín, defensor de la ortodoxia y autoridad moral frente al poder imperial.</v>
      </c>
      <c r="I302" t="str">
        <f>_xlfn.XLOOKUP(frasest[[#This Row],[author_es]],autorest[author_es],autorest[bio_la])</f>
        <v>Episcopus Mediolanensis, Doctor Ecclesiae et Pater Latinus. Magister Sancti Augustini, orthodoxiae defensor et auctoritas moralis contra imperium.</v>
      </c>
      <c r="J302" t="str">
        <f>_xlfn.XLOOKUP(frasest[[#This Row],[author_es]],autorest[author_es],autorest[iso3691])</f>
        <v>la</v>
      </c>
      <c r="K302" t="str">
        <f>_xlfn.XLOOKUP(frasest[[#This Row],[author_es]],autorest[author_es],autorest[language_es])</f>
        <v>Latín</v>
      </c>
      <c r="L302" t="str">
        <f>_xlfn.XLOOKUP(frasest[[#This Row],[author_es]],autorest[author_es],autorest[language_la])</f>
        <v>Lingua Latina</v>
      </c>
      <c r="M302" t="str">
        <f>_xlfn.XLOOKUP(frasest[[#This Row],[author_es]],autorest[author_es],autorest[nation_es])</f>
        <v>Roma</v>
      </c>
      <c r="N302" t="str">
        <f>_xlfn.XLOOKUP(frasest[[#This Row],[author_es]],autorest[author_es],autorest[nation_la])</f>
        <v>Roma</v>
      </c>
      <c r="O302" t="str">
        <f>_xlfn.XLOOKUP(frasest[[#This Row],[author_es]],autorest[author_es],autorest[age_es])</f>
        <v>Edad Antigua</v>
      </c>
      <c r="P302" t="str">
        <f>_xlfn.XLOOKUP(frasest[[#This Row],[author_es]],autorest[author_es],autorest[age_la])</f>
        <v>Antiquitas</v>
      </c>
      <c r="Q302" t="str">
        <f>_xlfn.XLOOKUP(frasest[[#This Row],[author_es]],autorest[author_es],autorest[image])</f>
        <v>https://i.ibb.co/yncvTttZ/sanambrosio.png</v>
      </c>
      <c r="R302">
        <f>_xlfn.XLOOKUP(frasest[[#This Row],[author_es]],autorest[author_es],autorest[image_atr])</f>
        <v>0</v>
      </c>
    </row>
    <row r="303" spans="1:18">
      <c r="A303">
        <v>302</v>
      </c>
      <c r="B303" t="s">
        <v>1078</v>
      </c>
      <c r="C303" t="s">
        <v>1079</v>
      </c>
      <c r="D303" t="s">
        <v>1079</v>
      </c>
      <c r="E303" t="s">
        <v>1064</v>
      </c>
      <c r="F303" t="s">
        <v>1080</v>
      </c>
      <c r="G303" t="str">
        <f>_xlfn.XLOOKUP(frasest[[#This Row],[author_es]],autorest[author_es],autorest[author_la])</f>
        <v>Ambrosius Mediolanensis</v>
      </c>
      <c r="H303" t="str">
        <f>_xlfn.XLOOKUP(frasest[[#This Row],[author_es]],autorest[author_es],autorest[bio_es])</f>
        <v>Obispo de Milán, Doctor de la Iglesia y Padre Latino. Maestro de San Agustín, defensor de la ortodoxia y autoridad moral frente al poder imperial.</v>
      </c>
      <c r="I303" t="str">
        <f>_xlfn.XLOOKUP(frasest[[#This Row],[author_es]],autorest[author_es],autorest[bio_la])</f>
        <v>Episcopus Mediolanensis, Doctor Ecclesiae et Pater Latinus. Magister Sancti Augustini, orthodoxiae defensor et auctoritas moralis contra imperium.</v>
      </c>
      <c r="J303" t="str">
        <f>_xlfn.XLOOKUP(frasest[[#This Row],[author_es]],autorest[author_es],autorest[iso3691])</f>
        <v>la</v>
      </c>
      <c r="K303" t="str">
        <f>_xlfn.XLOOKUP(frasest[[#This Row],[author_es]],autorest[author_es],autorest[language_es])</f>
        <v>Latín</v>
      </c>
      <c r="L303" t="str">
        <f>_xlfn.XLOOKUP(frasest[[#This Row],[author_es]],autorest[author_es],autorest[language_la])</f>
        <v>Lingua Latina</v>
      </c>
      <c r="M303" t="str">
        <f>_xlfn.XLOOKUP(frasest[[#This Row],[author_es]],autorest[author_es],autorest[nation_es])</f>
        <v>Roma</v>
      </c>
      <c r="N303" t="str">
        <f>_xlfn.XLOOKUP(frasest[[#This Row],[author_es]],autorest[author_es],autorest[nation_la])</f>
        <v>Roma</v>
      </c>
      <c r="O303" t="str">
        <f>_xlfn.XLOOKUP(frasest[[#This Row],[author_es]],autorest[author_es],autorest[age_es])</f>
        <v>Edad Antigua</v>
      </c>
      <c r="P303" t="str">
        <f>_xlfn.XLOOKUP(frasest[[#This Row],[author_es]],autorest[author_es],autorest[age_la])</f>
        <v>Antiquitas</v>
      </c>
      <c r="Q303" t="str">
        <f>_xlfn.XLOOKUP(frasest[[#This Row],[author_es]],autorest[author_es],autorest[image])</f>
        <v>https://i.ibb.co/yncvTttZ/sanambrosio.png</v>
      </c>
      <c r="R303">
        <f>_xlfn.XLOOKUP(frasest[[#This Row],[author_es]],autorest[author_es],autorest[image_atr])</f>
        <v>0</v>
      </c>
    </row>
    <row r="304" spans="1:18">
      <c r="A304">
        <v>303</v>
      </c>
      <c r="B304" t="s">
        <v>1081</v>
      </c>
      <c r="C304" t="s">
        <v>1082</v>
      </c>
      <c r="D304" t="s">
        <v>1082</v>
      </c>
      <c r="E304" t="s">
        <v>1064</v>
      </c>
      <c r="F304" t="s">
        <v>1083</v>
      </c>
      <c r="G304" t="str">
        <f>_xlfn.XLOOKUP(frasest[[#This Row],[author_es]],autorest[author_es],autorest[author_la])</f>
        <v>Ambrosius Mediolanensis</v>
      </c>
      <c r="H304" t="str">
        <f>_xlfn.XLOOKUP(frasest[[#This Row],[author_es]],autorest[author_es],autorest[bio_es])</f>
        <v>Obispo de Milán, Doctor de la Iglesia y Padre Latino. Maestro de San Agustín, defensor de la ortodoxia y autoridad moral frente al poder imperial.</v>
      </c>
      <c r="I304" t="str">
        <f>_xlfn.XLOOKUP(frasest[[#This Row],[author_es]],autorest[author_es],autorest[bio_la])</f>
        <v>Episcopus Mediolanensis, Doctor Ecclesiae et Pater Latinus. Magister Sancti Augustini, orthodoxiae defensor et auctoritas moralis contra imperium.</v>
      </c>
      <c r="J304" t="str">
        <f>_xlfn.XLOOKUP(frasest[[#This Row],[author_es]],autorest[author_es],autorest[iso3691])</f>
        <v>la</v>
      </c>
      <c r="K304" t="str">
        <f>_xlfn.XLOOKUP(frasest[[#This Row],[author_es]],autorest[author_es],autorest[language_es])</f>
        <v>Latín</v>
      </c>
      <c r="L304" t="str">
        <f>_xlfn.XLOOKUP(frasest[[#This Row],[author_es]],autorest[author_es],autorest[language_la])</f>
        <v>Lingua Latina</v>
      </c>
      <c r="M304" t="str">
        <f>_xlfn.XLOOKUP(frasest[[#This Row],[author_es]],autorest[author_es],autorest[nation_es])</f>
        <v>Roma</v>
      </c>
      <c r="N304" t="str">
        <f>_xlfn.XLOOKUP(frasest[[#This Row],[author_es]],autorest[author_es],autorest[nation_la])</f>
        <v>Roma</v>
      </c>
      <c r="O304" t="str">
        <f>_xlfn.XLOOKUP(frasest[[#This Row],[author_es]],autorest[author_es],autorest[age_es])</f>
        <v>Edad Antigua</v>
      </c>
      <c r="P304" t="str">
        <f>_xlfn.XLOOKUP(frasest[[#This Row],[author_es]],autorest[author_es],autorest[age_la])</f>
        <v>Antiquitas</v>
      </c>
      <c r="Q304" t="str">
        <f>_xlfn.XLOOKUP(frasest[[#This Row],[author_es]],autorest[author_es],autorest[image])</f>
        <v>https://i.ibb.co/yncvTttZ/sanambrosio.png</v>
      </c>
      <c r="R304">
        <f>_xlfn.XLOOKUP(frasest[[#This Row],[author_es]],autorest[author_es],autorest[image_atr])</f>
        <v>0</v>
      </c>
    </row>
    <row r="305" spans="1:18">
      <c r="A305">
        <v>304</v>
      </c>
      <c r="B305" t="s">
        <v>1084</v>
      </c>
      <c r="C305" t="s">
        <v>1085</v>
      </c>
      <c r="D305" t="s">
        <v>1085</v>
      </c>
      <c r="E305" t="s">
        <v>1064</v>
      </c>
      <c r="F305" t="s">
        <v>1086</v>
      </c>
      <c r="G305" t="str">
        <f>_xlfn.XLOOKUP(frasest[[#This Row],[author_es]],autorest[author_es],autorest[author_la])</f>
        <v>Ambrosius Mediolanensis</v>
      </c>
      <c r="H305" t="str">
        <f>_xlfn.XLOOKUP(frasest[[#This Row],[author_es]],autorest[author_es],autorest[bio_es])</f>
        <v>Obispo de Milán, Doctor de la Iglesia y Padre Latino. Maestro de San Agustín, defensor de la ortodoxia y autoridad moral frente al poder imperial.</v>
      </c>
      <c r="I305" t="str">
        <f>_xlfn.XLOOKUP(frasest[[#This Row],[author_es]],autorest[author_es],autorest[bio_la])</f>
        <v>Episcopus Mediolanensis, Doctor Ecclesiae et Pater Latinus. Magister Sancti Augustini, orthodoxiae defensor et auctoritas moralis contra imperium.</v>
      </c>
      <c r="J305" t="str">
        <f>_xlfn.XLOOKUP(frasest[[#This Row],[author_es]],autorest[author_es],autorest[iso3691])</f>
        <v>la</v>
      </c>
      <c r="K305" t="str">
        <f>_xlfn.XLOOKUP(frasest[[#This Row],[author_es]],autorest[author_es],autorest[language_es])</f>
        <v>Latín</v>
      </c>
      <c r="L305" t="str">
        <f>_xlfn.XLOOKUP(frasest[[#This Row],[author_es]],autorest[author_es],autorest[language_la])</f>
        <v>Lingua Latina</v>
      </c>
      <c r="M305" t="str">
        <f>_xlfn.XLOOKUP(frasest[[#This Row],[author_es]],autorest[author_es],autorest[nation_es])</f>
        <v>Roma</v>
      </c>
      <c r="N305" t="str">
        <f>_xlfn.XLOOKUP(frasest[[#This Row],[author_es]],autorest[author_es],autorest[nation_la])</f>
        <v>Roma</v>
      </c>
      <c r="O305" t="str">
        <f>_xlfn.XLOOKUP(frasest[[#This Row],[author_es]],autorest[author_es],autorest[age_es])</f>
        <v>Edad Antigua</v>
      </c>
      <c r="P305" t="str">
        <f>_xlfn.XLOOKUP(frasest[[#This Row],[author_es]],autorest[author_es],autorest[age_la])</f>
        <v>Antiquitas</v>
      </c>
      <c r="Q305" t="str">
        <f>_xlfn.XLOOKUP(frasest[[#This Row],[author_es]],autorest[author_es],autorest[image])</f>
        <v>https://i.ibb.co/yncvTttZ/sanambrosio.png</v>
      </c>
      <c r="R305">
        <f>_xlfn.XLOOKUP(frasest[[#This Row],[author_es]],autorest[author_es],autorest[image_atr])</f>
        <v>0</v>
      </c>
    </row>
    <row r="306" spans="1:18">
      <c r="A306">
        <v>305</v>
      </c>
      <c r="B306" t="s">
        <v>1087</v>
      </c>
      <c r="C306" t="s">
        <v>1088</v>
      </c>
      <c r="D306" t="s">
        <v>1088</v>
      </c>
      <c r="E306" t="s">
        <v>1064</v>
      </c>
      <c r="F306" t="s">
        <v>1055</v>
      </c>
      <c r="G306" t="str">
        <f>_xlfn.XLOOKUP(frasest[[#This Row],[author_es]],autorest[author_es],autorest[author_la])</f>
        <v>Ambrosius Mediolanensis</v>
      </c>
      <c r="H306" t="str">
        <f>_xlfn.XLOOKUP(frasest[[#This Row],[author_es]],autorest[author_es],autorest[bio_es])</f>
        <v>Obispo de Milán, Doctor de la Iglesia y Padre Latino. Maestro de San Agustín, defensor de la ortodoxia y autoridad moral frente al poder imperial.</v>
      </c>
      <c r="I306" t="str">
        <f>_xlfn.XLOOKUP(frasest[[#This Row],[author_es]],autorest[author_es],autorest[bio_la])</f>
        <v>Episcopus Mediolanensis, Doctor Ecclesiae et Pater Latinus. Magister Sancti Augustini, orthodoxiae defensor et auctoritas moralis contra imperium.</v>
      </c>
      <c r="J306" t="str">
        <f>_xlfn.XLOOKUP(frasest[[#This Row],[author_es]],autorest[author_es],autorest[iso3691])</f>
        <v>la</v>
      </c>
      <c r="K306" t="str">
        <f>_xlfn.XLOOKUP(frasest[[#This Row],[author_es]],autorest[author_es],autorest[language_es])</f>
        <v>Latín</v>
      </c>
      <c r="L306" t="str">
        <f>_xlfn.XLOOKUP(frasest[[#This Row],[author_es]],autorest[author_es],autorest[language_la])</f>
        <v>Lingua Latina</v>
      </c>
      <c r="M306" t="str">
        <f>_xlfn.XLOOKUP(frasest[[#This Row],[author_es]],autorest[author_es],autorest[nation_es])</f>
        <v>Roma</v>
      </c>
      <c r="N306" t="str">
        <f>_xlfn.XLOOKUP(frasest[[#This Row],[author_es]],autorest[author_es],autorest[nation_la])</f>
        <v>Roma</v>
      </c>
      <c r="O306" t="str">
        <f>_xlfn.XLOOKUP(frasest[[#This Row],[author_es]],autorest[author_es],autorest[age_es])</f>
        <v>Edad Antigua</v>
      </c>
      <c r="P306" t="str">
        <f>_xlfn.XLOOKUP(frasest[[#This Row],[author_es]],autorest[author_es],autorest[age_la])</f>
        <v>Antiquitas</v>
      </c>
      <c r="Q306" t="str">
        <f>_xlfn.XLOOKUP(frasest[[#This Row],[author_es]],autorest[author_es],autorest[image])</f>
        <v>https://i.ibb.co/yncvTttZ/sanambrosio.png</v>
      </c>
      <c r="R306">
        <f>_xlfn.XLOOKUP(frasest[[#This Row],[author_es]],autorest[author_es],autorest[image_atr])</f>
        <v>0</v>
      </c>
    </row>
    <row r="307" spans="1:18">
      <c r="A307">
        <v>306</v>
      </c>
      <c r="B307" t="s">
        <v>1089</v>
      </c>
      <c r="C307" t="s">
        <v>1090</v>
      </c>
      <c r="D307" t="s">
        <v>1090</v>
      </c>
      <c r="E307" t="s">
        <v>1064</v>
      </c>
      <c r="F307" t="s">
        <v>1091</v>
      </c>
      <c r="G307" t="str">
        <f>_xlfn.XLOOKUP(frasest[[#This Row],[author_es]],autorest[author_es],autorest[author_la])</f>
        <v>Ambrosius Mediolanensis</v>
      </c>
      <c r="H307" t="str">
        <f>_xlfn.XLOOKUP(frasest[[#This Row],[author_es]],autorest[author_es],autorest[bio_es])</f>
        <v>Obispo de Milán, Doctor de la Iglesia y Padre Latino. Maestro de San Agustín, defensor de la ortodoxia y autoridad moral frente al poder imperial.</v>
      </c>
      <c r="I307" t="str">
        <f>_xlfn.XLOOKUP(frasest[[#This Row],[author_es]],autorest[author_es],autorest[bio_la])</f>
        <v>Episcopus Mediolanensis, Doctor Ecclesiae et Pater Latinus. Magister Sancti Augustini, orthodoxiae defensor et auctoritas moralis contra imperium.</v>
      </c>
      <c r="J307" t="str">
        <f>_xlfn.XLOOKUP(frasest[[#This Row],[author_es]],autorest[author_es],autorest[iso3691])</f>
        <v>la</v>
      </c>
      <c r="K307" t="str">
        <f>_xlfn.XLOOKUP(frasest[[#This Row],[author_es]],autorest[author_es],autorest[language_es])</f>
        <v>Latín</v>
      </c>
      <c r="L307" t="str">
        <f>_xlfn.XLOOKUP(frasest[[#This Row],[author_es]],autorest[author_es],autorest[language_la])</f>
        <v>Lingua Latina</v>
      </c>
      <c r="M307" t="str">
        <f>_xlfn.XLOOKUP(frasest[[#This Row],[author_es]],autorest[author_es],autorest[nation_es])</f>
        <v>Roma</v>
      </c>
      <c r="N307" t="str">
        <f>_xlfn.XLOOKUP(frasest[[#This Row],[author_es]],autorest[author_es],autorest[nation_la])</f>
        <v>Roma</v>
      </c>
      <c r="O307" t="str">
        <f>_xlfn.XLOOKUP(frasest[[#This Row],[author_es]],autorest[author_es],autorest[age_es])</f>
        <v>Edad Antigua</v>
      </c>
      <c r="P307" t="str">
        <f>_xlfn.XLOOKUP(frasest[[#This Row],[author_es]],autorest[author_es],autorest[age_la])</f>
        <v>Antiquitas</v>
      </c>
      <c r="Q307" t="str">
        <f>_xlfn.XLOOKUP(frasest[[#This Row],[author_es]],autorest[author_es],autorest[image])</f>
        <v>https://i.ibb.co/yncvTttZ/sanambrosio.png</v>
      </c>
      <c r="R307">
        <f>_xlfn.XLOOKUP(frasest[[#This Row],[author_es]],autorest[author_es],autorest[image_atr])</f>
        <v>0</v>
      </c>
    </row>
    <row r="308" spans="1:18">
      <c r="A308">
        <v>307</v>
      </c>
      <c r="B308" t="s">
        <v>1092</v>
      </c>
      <c r="C308" t="s">
        <v>1093</v>
      </c>
      <c r="D308" t="s">
        <v>1093</v>
      </c>
      <c r="E308" t="s">
        <v>1094</v>
      </c>
      <c r="F308" t="s">
        <v>1095</v>
      </c>
      <c r="G308" t="str">
        <f>_xlfn.XLOOKUP(frasest[[#This Row],[author_es]],autorest[author_es],autorest[author_la])</f>
        <v>Hieronymus Stridonensis</v>
      </c>
      <c r="H308" t="str">
        <f>_xlfn.XLOOKUP(frasest[[#This Row],[author_es]],autorest[author_es],autorest[bio_es])</f>
        <v>Padre y Doctor de la Iglesia, traductor de la Biblia al latín (Vulgata). Erudito políglota, asceta y polemista, patrono de los traductores.</v>
      </c>
      <c r="I308" t="str">
        <f>_xlfn.XLOOKUP(frasest[[#This Row],[author_es]],autorest[author_es],autorest[bio_la])</f>
        <v>Pater et Doctor Ecclesiae, translator Bibliae in Latinum (Vulgata). Eruditus polyglottus, asceta et polemista, patronus interpretum.</v>
      </c>
      <c r="J308" t="str">
        <f>_xlfn.XLOOKUP(frasest[[#This Row],[author_es]],autorest[author_es],autorest[iso3691])</f>
        <v>la</v>
      </c>
      <c r="K308" t="str">
        <f>_xlfn.XLOOKUP(frasest[[#This Row],[author_es]],autorest[author_es],autorest[language_es])</f>
        <v>Latín</v>
      </c>
      <c r="L308" t="str">
        <f>_xlfn.XLOOKUP(frasest[[#This Row],[author_es]],autorest[author_es],autorest[language_la])</f>
        <v>Lingua Latina</v>
      </c>
      <c r="M308" t="str">
        <f>_xlfn.XLOOKUP(frasest[[#This Row],[author_es]],autorest[author_es],autorest[nation_es])</f>
        <v>Roma</v>
      </c>
      <c r="N308" t="str">
        <f>_xlfn.XLOOKUP(frasest[[#This Row],[author_es]],autorest[author_es],autorest[nation_la])</f>
        <v>Roma</v>
      </c>
      <c r="O308" t="str">
        <f>_xlfn.XLOOKUP(frasest[[#This Row],[author_es]],autorest[author_es],autorest[age_es])</f>
        <v>Edad Antigua</v>
      </c>
      <c r="P308" t="str">
        <f>_xlfn.XLOOKUP(frasest[[#This Row],[author_es]],autorest[author_es],autorest[age_la])</f>
        <v>Antiquitas</v>
      </c>
      <c r="Q308" t="str">
        <f>_xlfn.XLOOKUP(frasest[[#This Row],[author_es]],autorest[author_es],autorest[image])</f>
        <v>https://i.ibb.co/HDVQmSDL/sanjeronimo.png</v>
      </c>
      <c r="R308">
        <f>_xlfn.XLOOKUP(frasest[[#This Row],[author_es]],autorest[author_es],autorest[image_atr])</f>
        <v>0</v>
      </c>
    </row>
    <row r="309" spans="1:18">
      <c r="A309">
        <v>308</v>
      </c>
      <c r="B309" t="s">
        <v>1096</v>
      </c>
      <c r="C309" t="s">
        <v>1097</v>
      </c>
      <c r="D309" t="s">
        <v>1097</v>
      </c>
      <c r="E309" t="s">
        <v>1094</v>
      </c>
      <c r="F309" t="s">
        <v>1095</v>
      </c>
      <c r="G309" t="str">
        <f>_xlfn.XLOOKUP(frasest[[#This Row],[author_es]],autorest[author_es],autorest[author_la])</f>
        <v>Hieronymus Stridonensis</v>
      </c>
      <c r="H309" t="str">
        <f>_xlfn.XLOOKUP(frasest[[#This Row],[author_es]],autorest[author_es],autorest[bio_es])</f>
        <v>Padre y Doctor de la Iglesia, traductor de la Biblia al latín (Vulgata). Erudito políglota, asceta y polemista, patrono de los traductores.</v>
      </c>
      <c r="I309" t="str">
        <f>_xlfn.XLOOKUP(frasest[[#This Row],[author_es]],autorest[author_es],autorest[bio_la])</f>
        <v>Pater et Doctor Ecclesiae, translator Bibliae in Latinum (Vulgata). Eruditus polyglottus, asceta et polemista, patronus interpretum.</v>
      </c>
      <c r="J309" t="str">
        <f>_xlfn.XLOOKUP(frasest[[#This Row],[author_es]],autorest[author_es],autorest[iso3691])</f>
        <v>la</v>
      </c>
      <c r="K309" t="str">
        <f>_xlfn.XLOOKUP(frasest[[#This Row],[author_es]],autorest[author_es],autorest[language_es])</f>
        <v>Latín</v>
      </c>
      <c r="L309" t="str">
        <f>_xlfn.XLOOKUP(frasest[[#This Row],[author_es]],autorest[author_es],autorest[language_la])</f>
        <v>Lingua Latina</v>
      </c>
      <c r="M309" t="str">
        <f>_xlfn.XLOOKUP(frasest[[#This Row],[author_es]],autorest[author_es],autorest[nation_es])</f>
        <v>Roma</v>
      </c>
      <c r="N309" t="str">
        <f>_xlfn.XLOOKUP(frasest[[#This Row],[author_es]],autorest[author_es],autorest[nation_la])</f>
        <v>Roma</v>
      </c>
      <c r="O309" t="str">
        <f>_xlfn.XLOOKUP(frasest[[#This Row],[author_es]],autorest[author_es],autorest[age_es])</f>
        <v>Edad Antigua</v>
      </c>
      <c r="P309" t="str">
        <f>_xlfn.XLOOKUP(frasest[[#This Row],[author_es]],autorest[author_es],autorest[age_la])</f>
        <v>Antiquitas</v>
      </c>
      <c r="Q309" t="str">
        <f>_xlfn.XLOOKUP(frasest[[#This Row],[author_es]],autorest[author_es],autorest[image])</f>
        <v>https://i.ibb.co/HDVQmSDL/sanjeronimo.png</v>
      </c>
      <c r="R309">
        <f>_xlfn.XLOOKUP(frasest[[#This Row],[author_es]],autorest[author_es],autorest[image_atr])</f>
        <v>0</v>
      </c>
    </row>
    <row r="310" spans="1:18">
      <c r="A310">
        <v>309</v>
      </c>
      <c r="B310" t="s">
        <v>1098</v>
      </c>
      <c r="C310" t="s">
        <v>1099</v>
      </c>
      <c r="D310" t="s">
        <v>1099</v>
      </c>
      <c r="E310" t="s">
        <v>1094</v>
      </c>
      <c r="F310" t="s">
        <v>1095</v>
      </c>
      <c r="G310" t="str">
        <f>_xlfn.XLOOKUP(frasest[[#This Row],[author_es]],autorest[author_es],autorest[author_la])</f>
        <v>Hieronymus Stridonensis</v>
      </c>
      <c r="H310" t="str">
        <f>_xlfn.XLOOKUP(frasest[[#This Row],[author_es]],autorest[author_es],autorest[bio_es])</f>
        <v>Padre y Doctor de la Iglesia, traductor de la Biblia al latín (Vulgata). Erudito políglota, asceta y polemista, patrono de los traductores.</v>
      </c>
      <c r="I310" t="str">
        <f>_xlfn.XLOOKUP(frasest[[#This Row],[author_es]],autorest[author_es],autorest[bio_la])</f>
        <v>Pater et Doctor Ecclesiae, translator Bibliae in Latinum (Vulgata). Eruditus polyglottus, asceta et polemista, patronus interpretum.</v>
      </c>
      <c r="J310" t="str">
        <f>_xlfn.XLOOKUP(frasest[[#This Row],[author_es]],autorest[author_es],autorest[iso3691])</f>
        <v>la</v>
      </c>
      <c r="K310" t="str">
        <f>_xlfn.XLOOKUP(frasest[[#This Row],[author_es]],autorest[author_es],autorest[language_es])</f>
        <v>Latín</v>
      </c>
      <c r="L310" t="str">
        <f>_xlfn.XLOOKUP(frasest[[#This Row],[author_es]],autorest[author_es],autorest[language_la])</f>
        <v>Lingua Latina</v>
      </c>
      <c r="M310" t="str">
        <f>_xlfn.XLOOKUP(frasest[[#This Row],[author_es]],autorest[author_es],autorest[nation_es])</f>
        <v>Roma</v>
      </c>
      <c r="N310" t="str">
        <f>_xlfn.XLOOKUP(frasest[[#This Row],[author_es]],autorest[author_es],autorest[nation_la])</f>
        <v>Roma</v>
      </c>
      <c r="O310" t="str">
        <f>_xlfn.XLOOKUP(frasest[[#This Row],[author_es]],autorest[author_es],autorest[age_es])</f>
        <v>Edad Antigua</v>
      </c>
      <c r="P310" t="str">
        <f>_xlfn.XLOOKUP(frasest[[#This Row],[author_es]],autorest[author_es],autorest[age_la])</f>
        <v>Antiquitas</v>
      </c>
      <c r="Q310" t="str">
        <f>_xlfn.XLOOKUP(frasest[[#This Row],[author_es]],autorest[author_es],autorest[image])</f>
        <v>https://i.ibb.co/HDVQmSDL/sanjeronimo.png</v>
      </c>
      <c r="R310">
        <f>_xlfn.XLOOKUP(frasest[[#This Row],[author_es]],autorest[author_es],autorest[image_atr])</f>
        <v>0</v>
      </c>
    </row>
    <row r="311" spans="1:18">
      <c r="A311">
        <v>310</v>
      </c>
      <c r="B311" t="s">
        <v>1100</v>
      </c>
      <c r="C311" t="s">
        <v>1101</v>
      </c>
      <c r="D311" t="s">
        <v>1101</v>
      </c>
      <c r="E311" t="s">
        <v>1094</v>
      </c>
      <c r="F311" t="s">
        <v>1095</v>
      </c>
      <c r="G311" t="str">
        <f>_xlfn.XLOOKUP(frasest[[#This Row],[author_es]],autorest[author_es],autorest[author_la])</f>
        <v>Hieronymus Stridonensis</v>
      </c>
      <c r="H311" t="str">
        <f>_xlfn.XLOOKUP(frasest[[#This Row],[author_es]],autorest[author_es],autorest[bio_es])</f>
        <v>Padre y Doctor de la Iglesia, traductor de la Biblia al latín (Vulgata). Erudito políglota, asceta y polemista, patrono de los traductores.</v>
      </c>
      <c r="I311" t="str">
        <f>_xlfn.XLOOKUP(frasest[[#This Row],[author_es]],autorest[author_es],autorest[bio_la])</f>
        <v>Pater et Doctor Ecclesiae, translator Bibliae in Latinum (Vulgata). Eruditus polyglottus, asceta et polemista, patronus interpretum.</v>
      </c>
      <c r="J311" t="str">
        <f>_xlfn.XLOOKUP(frasest[[#This Row],[author_es]],autorest[author_es],autorest[iso3691])</f>
        <v>la</v>
      </c>
      <c r="K311" t="str">
        <f>_xlfn.XLOOKUP(frasest[[#This Row],[author_es]],autorest[author_es],autorest[language_es])</f>
        <v>Latín</v>
      </c>
      <c r="L311" t="str">
        <f>_xlfn.XLOOKUP(frasest[[#This Row],[author_es]],autorest[author_es],autorest[language_la])</f>
        <v>Lingua Latina</v>
      </c>
      <c r="M311" t="str">
        <f>_xlfn.XLOOKUP(frasest[[#This Row],[author_es]],autorest[author_es],autorest[nation_es])</f>
        <v>Roma</v>
      </c>
      <c r="N311" t="str">
        <f>_xlfn.XLOOKUP(frasest[[#This Row],[author_es]],autorest[author_es],autorest[nation_la])</f>
        <v>Roma</v>
      </c>
      <c r="O311" t="str">
        <f>_xlfn.XLOOKUP(frasest[[#This Row],[author_es]],autorest[author_es],autorest[age_es])</f>
        <v>Edad Antigua</v>
      </c>
      <c r="P311" t="str">
        <f>_xlfn.XLOOKUP(frasest[[#This Row],[author_es]],autorest[author_es],autorest[age_la])</f>
        <v>Antiquitas</v>
      </c>
      <c r="Q311" t="str">
        <f>_xlfn.XLOOKUP(frasest[[#This Row],[author_es]],autorest[author_es],autorest[image])</f>
        <v>https://i.ibb.co/HDVQmSDL/sanjeronimo.png</v>
      </c>
      <c r="R311">
        <f>_xlfn.XLOOKUP(frasest[[#This Row],[author_es]],autorest[author_es],autorest[image_atr])</f>
        <v>0</v>
      </c>
    </row>
    <row r="312" spans="1:18">
      <c r="A312">
        <v>311</v>
      </c>
      <c r="B312" t="s">
        <v>1102</v>
      </c>
      <c r="C312" t="s">
        <v>1103</v>
      </c>
      <c r="D312" t="s">
        <v>1103</v>
      </c>
      <c r="E312" t="s">
        <v>1094</v>
      </c>
      <c r="F312" t="s">
        <v>1095</v>
      </c>
      <c r="G312" t="str">
        <f>_xlfn.XLOOKUP(frasest[[#This Row],[author_es]],autorest[author_es],autorest[author_la])</f>
        <v>Hieronymus Stridonensis</v>
      </c>
      <c r="H312" t="str">
        <f>_xlfn.XLOOKUP(frasest[[#This Row],[author_es]],autorest[author_es],autorest[bio_es])</f>
        <v>Padre y Doctor de la Iglesia, traductor de la Biblia al latín (Vulgata). Erudito políglota, asceta y polemista, patrono de los traductores.</v>
      </c>
      <c r="I312" t="str">
        <f>_xlfn.XLOOKUP(frasest[[#This Row],[author_es]],autorest[author_es],autorest[bio_la])</f>
        <v>Pater et Doctor Ecclesiae, translator Bibliae in Latinum (Vulgata). Eruditus polyglottus, asceta et polemista, patronus interpretum.</v>
      </c>
      <c r="J312" t="str">
        <f>_xlfn.XLOOKUP(frasest[[#This Row],[author_es]],autorest[author_es],autorest[iso3691])</f>
        <v>la</v>
      </c>
      <c r="K312" t="str">
        <f>_xlfn.XLOOKUP(frasest[[#This Row],[author_es]],autorest[author_es],autorest[language_es])</f>
        <v>Latín</v>
      </c>
      <c r="L312" t="str">
        <f>_xlfn.XLOOKUP(frasest[[#This Row],[author_es]],autorest[author_es],autorest[language_la])</f>
        <v>Lingua Latina</v>
      </c>
      <c r="M312" t="str">
        <f>_xlfn.XLOOKUP(frasest[[#This Row],[author_es]],autorest[author_es],autorest[nation_es])</f>
        <v>Roma</v>
      </c>
      <c r="N312" t="str">
        <f>_xlfn.XLOOKUP(frasest[[#This Row],[author_es]],autorest[author_es],autorest[nation_la])</f>
        <v>Roma</v>
      </c>
      <c r="O312" t="str">
        <f>_xlfn.XLOOKUP(frasest[[#This Row],[author_es]],autorest[author_es],autorest[age_es])</f>
        <v>Edad Antigua</v>
      </c>
      <c r="P312" t="str">
        <f>_xlfn.XLOOKUP(frasest[[#This Row],[author_es]],autorest[author_es],autorest[age_la])</f>
        <v>Antiquitas</v>
      </c>
      <c r="Q312" t="str">
        <f>_xlfn.XLOOKUP(frasest[[#This Row],[author_es]],autorest[author_es],autorest[image])</f>
        <v>https://i.ibb.co/HDVQmSDL/sanjeronimo.png</v>
      </c>
      <c r="R312">
        <f>_xlfn.XLOOKUP(frasest[[#This Row],[author_es]],autorest[author_es],autorest[image_atr])</f>
        <v>0</v>
      </c>
    </row>
    <row r="313" spans="1:18">
      <c r="A313">
        <v>312</v>
      </c>
      <c r="B313" t="s">
        <v>1104</v>
      </c>
      <c r="C313" t="s">
        <v>1105</v>
      </c>
      <c r="D313" t="s">
        <v>1105</v>
      </c>
      <c r="E313" t="s">
        <v>1094</v>
      </c>
      <c r="F313" t="s">
        <v>1095</v>
      </c>
      <c r="G313" t="str">
        <f>_xlfn.XLOOKUP(frasest[[#This Row],[author_es]],autorest[author_es],autorest[author_la])</f>
        <v>Hieronymus Stridonensis</v>
      </c>
      <c r="H313" t="str">
        <f>_xlfn.XLOOKUP(frasest[[#This Row],[author_es]],autorest[author_es],autorest[bio_es])</f>
        <v>Padre y Doctor de la Iglesia, traductor de la Biblia al latín (Vulgata). Erudito políglota, asceta y polemista, patrono de los traductores.</v>
      </c>
      <c r="I313" t="str">
        <f>_xlfn.XLOOKUP(frasest[[#This Row],[author_es]],autorest[author_es],autorest[bio_la])</f>
        <v>Pater et Doctor Ecclesiae, translator Bibliae in Latinum (Vulgata). Eruditus polyglottus, asceta et polemista, patronus interpretum.</v>
      </c>
      <c r="J313" t="str">
        <f>_xlfn.XLOOKUP(frasest[[#This Row],[author_es]],autorest[author_es],autorest[iso3691])</f>
        <v>la</v>
      </c>
      <c r="K313" t="str">
        <f>_xlfn.XLOOKUP(frasest[[#This Row],[author_es]],autorest[author_es],autorest[language_es])</f>
        <v>Latín</v>
      </c>
      <c r="L313" t="str">
        <f>_xlfn.XLOOKUP(frasest[[#This Row],[author_es]],autorest[author_es],autorest[language_la])</f>
        <v>Lingua Latina</v>
      </c>
      <c r="M313" t="str">
        <f>_xlfn.XLOOKUP(frasest[[#This Row],[author_es]],autorest[author_es],autorest[nation_es])</f>
        <v>Roma</v>
      </c>
      <c r="N313" t="str">
        <f>_xlfn.XLOOKUP(frasest[[#This Row],[author_es]],autorest[author_es],autorest[nation_la])</f>
        <v>Roma</v>
      </c>
      <c r="O313" t="str">
        <f>_xlfn.XLOOKUP(frasest[[#This Row],[author_es]],autorest[author_es],autorest[age_es])</f>
        <v>Edad Antigua</v>
      </c>
      <c r="P313" t="str">
        <f>_xlfn.XLOOKUP(frasest[[#This Row],[author_es]],autorest[author_es],autorest[age_la])</f>
        <v>Antiquitas</v>
      </c>
      <c r="Q313" t="str">
        <f>_xlfn.XLOOKUP(frasest[[#This Row],[author_es]],autorest[author_es],autorest[image])</f>
        <v>https://i.ibb.co/HDVQmSDL/sanjeronimo.png</v>
      </c>
      <c r="R313">
        <f>_xlfn.XLOOKUP(frasest[[#This Row],[author_es]],autorest[author_es],autorest[image_atr])</f>
        <v>0</v>
      </c>
    </row>
    <row r="314" spans="1:18">
      <c r="A314">
        <v>313</v>
      </c>
      <c r="B314" t="s">
        <v>1106</v>
      </c>
      <c r="C314" t="s">
        <v>1107</v>
      </c>
      <c r="D314" t="s">
        <v>1107</v>
      </c>
      <c r="E314" t="s">
        <v>1094</v>
      </c>
      <c r="F314" t="s">
        <v>1095</v>
      </c>
      <c r="G314" t="str">
        <f>_xlfn.XLOOKUP(frasest[[#This Row],[author_es]],autorest[author_es],autorest[author_la])</f>
        <v>Hieronymus Stridonensis</v>
      </c>
      <c r="H314" t="str">
        <f>_xlfn.XLOOKUP(frasest[[#This Row],[author_es]],autorest[author_es],autorest[bio_es])</f>
        <v>Padre y Doctor de la Iglesia, traductor de la Biblia al latín (Vulgata). Erudito políglota, asceta y polemista, patrono de los traductores.</v>
      </c>
      <c r="I314" t="str">
        <f>_xlfn.XLOOKUP(frasest[[#This Row],[author_es]],autorest[author_es],autorest[bio_la])</f>
        <v>Pater et Doctor Ecclesiae, translator Bibliae in Latinum (Vulgata). Eruditus polyglottus, asceta et polemista, patronus interpretum.</v>
      </c>
      <c r="J314" t="str">
        <f>_xlfn.XLOOKUP(frasest[[#This Row],[author_es]],autorest[author_es],autorest[iso3691])</f>
        <v>la</v>
      </c>
      <c r="K314" t="str">
        <f>_xlfn.XLOOKUP(frasest[[#This Row],[author_es]],autorest[author_es],autorest[language_es])</f>
        <v>Latín</v>
      </c>
      <c r="L314" t="str">
        <f>_xlfn.XLOOKUP(frasest[[#This Row],[author_es]],autorest[author_es],autorest[language_la])</f>
        <v>Lingua Latina</v>
      </c>
      <c r="M314" t="str">
        <f>_xlfn.XLOOKUP(frasest[[#This Row],[author_es]],autorest[author_es],autorest[nation_es])</f>
        <v>Roma</v>
      </c>
      <c r="N314" t="str">
        <f>_xlfn.XLOOKUP(frasest[[#This Row],[author_es]],autorest[author_es],autorest[nation_la])</f>
        <v>Roma</v>
      </c>
      <c r="O314" t="str">
        <f>_xlfn.XLOOKUP(frasest[[#This Row],[author_es]],autorest[author_es],autorest[age_es])</f>
        <v>Edad Antigua</v>
      </c>
      <c r="P314" t="str">
        <f>_xlfn.XLOOKUP(frasest[[#This Row],[author_es]],autorest[author_es],autorest[age_la])</f>
        <v>Antiquitas</v>
      </c>
      <c r="Q314" t="str">
        <f>_xlfn.XLOOKUP(frasest[[#This Row],[author_es]],autorest[author_es],autorest[image])</f>
        <v>https://i.ibb.co/HDVQmSDL/sanjeronimo.png</v>
      </c>
      <c r="R314">
        <f>_xlfn.XLOOKUP(frasest[[#This Row],[author_es]],autorest[author_es],autorest[image_atr])</f>
        <v>0</v>
      </c>
    </row>
    <row r="315" spans="1:18">
      <c r="A315">
        <v>314</v>
      </c>
      <c r="B315" t="s">
        <v>1108</v>
      </c>
      <c r="C315" t="s">
        <v>1109</v>
      </c>
      <c r="D315" t="s">
        <v>1109</v>
      </c>
      <c r="E315" t="s">
        <v>1094</v>
      </c>
      <c r="F315" t="s">
        <v>1095</v>
      </c>
      <c r="G315" t="str">
        <f>_xlfn.XLOOKUP(frasest[[#This Row],[author_es]],autorest[author_es],autorest[author_la])</f>
        <v>Hieronymus Stridonensis</v>
      </c>
      <c r="H315" t="str">
        <f>_xlfn.XLOOKUP(frasest[[#This Row],[author_es]],autorest[author_es],autorest[bio_es])</f>
        <v>Padre y Doctor de la Iglesia, traductor de la Biblia al latín (Vulgata). Erudito políglota, asceta y polemista, patrono de los traductores.</v>
      </c>
      <c r="I315" t="str">
        <f>_xlfn.XLOOKUP(frasest[[#This Row],[author_es]],autorest[author_es],autorest[bio_la])</f>
        <v>Pater et Doctor Ecclesiae, translator Bibliae in Latinum (Vulgata). Eruditus polyglottus, asceta et polemista, patronus interpretum.</v>
      </c>
      <c r="J315" t="str">
        <f>_xlfn.XLOOKUP(frasest[[#This Row],[author_es]],autorest[author_es],autorest[iso3691])</f>
        <v>la</v>
      </c>
      <c r="K315" t="str">
        <f>_xlfn.XLOOKUP(frasest[[#This Row],[author_es]],autorest[author_es],autorest[language_es])</f>
        <v>Latín</v>
      </c>
      <c r="L315" t="str">
        <f>_xlfn.XLOOKUP(frasest[[#This Row],[author_es]],autorest[author_es],autorest[language_la])</f>
        <v>Lingua Latina</v>
      </c>
      <c r="M315" t="str">
        <f>_xlfn.XLOOKUP(frasest[[#This Row],[author_es]],autorest[author_es],autorest[nation_es])</f>
        <v>Roma</v>
      </c>
      <c r="N315" t="str">
        <f>_xlfn.XLOOKUP(frasest[[#This Row],[author_es]],autorest[author_es],autorest[nation_la])</f>
        <v>Roma</v>
      </c>
      <c r="O315" t="str">
        <f>_xlfn.XLOOKUP(frasest[[#This Row],[author_es]],autorest[author_es],autorest[age_es])</f>
        <v>Edad Antigua</v>
      </c>
      <c r="P315" t="str">
        <f>_xlfn.XLOOKUP(frasest[[#This Row],[author_es]],autorest[author_es],autorest[age_la])</f>
        <v>Antiquitas</v>
      </c>
      <c r="Q315" t="str">
        <f>_xlfn.XLOOKUP(frasest[[#This Row],[author_es]],autorest[author_es],autorest[image])</f>
        <v>https://i.ibb.co/HDVQmSDL/sanjeronimo.png</v>
      </c>
      <c r="R315">
        <f>_xlfn.XLOOKUP(frasest[[#This Row],[author_es]],autorest[author_es],autorest[image_atr])</f>
        <v>0</v>
      </c>
    </row>
    <row r="316" spans="1:18">
      <c r="A316">
        <v>315</v>
      </c>
      <c r="B316" t="s">
        <v>1110</v>
      </c>
      <c r="C316" t="s">
        <v>1111</v>
      </c>
      <c r="D316" t="s">
        <v>1111</v>
      </c>
      <c r="E316" t="s">
        <v>1094</v>
      </c>
      <c r="F316" t="s">
        <v>1095</v>
      </c>
      <c r="G316" t="str">
        <f>_xlfn.XLOOKUP(frasest[[#This Row],[author_es]],autorest[author_es],autorest[author_la])</f>
        <v>Hieronymus Stridonensis</v>
      </c>
      <c r="H316" t="str">
        <f>_xlfn.XLOOKUP(frasest[[#This Row],[author_es]],autorest[author_es],autorest[bio_es])</f>
        <v>Padre y Doctor de la Iglesia, traductor de la Biblia al latín (Vulgata). Erudito políglota, asceta y polemista, patrono de los traductores.</v>
      </c>
      <c r="I316" t="str">
        <f>_xlfn.XLOOKUP(frasest[[#This Row],[author_es]],autorest[author_es],autorest[bio_la])</f>
        <v>Pater et Doctor Ecclesiae, translator Bibliae in Latinum (Vulgata). Eruditus polyglottus, asceta et polemista, patronus interpretum.</v>
      </c>
      <c r="J316" t="str">
        <f>_xlfn.XLOOKUP(frasest[[#This Row],[author_es]],autorest[author_es],autorest[iso3691])</f>
        <v>la</v>
      </c>
      <c r="K316" t="str">
        <f>_xlfn.XLOOKUP(frasest[[#This Row],[author_es]],autorest[author_es],autorest[language_es])</f>
        <v>Latín</v>
      </c>
      <c r="L316" t="str">
        <f>_xlfn.XLOOKUP(frasest[[#This Row],[author_es]],autorest[author_es],autorest[language_la])</f>
        <v>Lingua Latina</v>
      </c>
      <c r="M316" t="str">
        <f>_xlfn.XLOOKUP(frasest[[#This Row],[author_es]],autorest[author_es],autorest[nation_es])</f>
        <v>Roma</v>
      </c>
      <c r="N316" t="str">
        <f>_xlfn.XLOOKUP(frasest[[#This Row],[author_es]],autorest[author_es],autorest[nation_la])</f>
        <v>Roma</v>
      </c>
      <c r="O316" t="str">
        <f>_xlfn.XLOOKUP(frasest[[#This Row],[author_es]],autorest[author_es],autorest[age_es])</f>
        <v>Edad Antigua</v>
      </c>
      <c r="P316" t="str">
        <f>_xlfn.XLOOKUP(frasest[[#This Row],[author_es]],autorest[author_es],autorest[age_la])</f>
        <v>Antiquitas</v>
      </c>
      <c r="Q316" t="str">
        <f>_xlfn.XLOOKUP(frasest[[#This Row],[author_es]],autorest[author_es],autorest[image])</f>
        <v>https://i.ibb.co/HDVQmSDL/sanjeronimo.png</v>
      </c>
      <c r="R316">
        <f>_xlfn.XLOOKUP(frasest[[#This Row],[author_es]],autorest[author_es],autorest[image_atr])</f>
        <v>0</v>
      </c>
    </row>
    <row r="317" spans="1:18">
      <c r="A317">
        <v>316</v>
      </c>
      <c r="B317" t="s">
        <v>1112</v>
      </c>
      <c r="C317" t="s">
        <v>1113</v>
      </c>
      <c r="D317" t="s">
        <v>1113</v>
      </c>
      <c r="E317" t="s">
        <v>1094</v>
      </c>
      <c r="F317" t="s">
        <v>1095</v>
      </c>
      <c r="G317" t="str">
        <f>_xlfn.XLOOKUP(frasest[[#This Row],[author_es]],autorest[author_es],autorest[author_la])</f>
        <v>Hieronymus Stridonensis</v>
      </c>
      <c r="H317" t="str">
        <f>_xlfn.XLOOKUP(frasest[[#This Row],[author_es]],autorest[author_es],autorest[bio_es])</f>
        <v>Padre y Doctor de la Iglesia, traductor de la Biblia al latín (Vulgata). Erudito políglota, asceta y polemista, patrono de los traductores.</v>
      </c>
      <c r="I317" t="str">
        <f>_xlfn.XLOOKUP(frasest[[#This Row],[author_es]],autorest[author_es],autorest[bio_la])</f>
        <v>Pater et Doctor Ecclesiae, translator Bibliae in Latinum (Vulgata). Eruditus polyglottus, asceta et polemista, patronus interpretum.</v>
      </c>
      <c r="J317" t="str">
        <f>_xlfn.XLOOKUP(frasest[[#This Row],[author_es]],autorest[author_es],autorest[iso3691])</f>
        <v>la</v>
      </c>
      <c r="K317" t="str">
        <f>_xlfn.XLOOKUP(frasest[[#This Row],[author_es]],autorest[author_es],autorest[language_es])</f>
        <v>Latín</v>
      </c>
      <c r="L317" t="str">
        <f>_xlfn.XLOOKUP(frasest[[#This Row],[author_es]],autorest[author_es],autorest[language_la])</f>
        <v>Lingua Latina</v>
      </c>
      <c r="M317" t="str">
        <f>_xlfn.XLOOKUP(frasest[[#This Row],[author_es]],autorest[author_es],autorest[nation_es])</f>
        <v>Roma</v>
      </c>
      <c r="N317" t="str">
        <f>_xlfn.XLOOKUP(frasest[[#This Row],[author_es]],autorest[author_es],autorest[nation_la])</f>
        <v>Roma</v>
      </c>
      <c r="O317" t="str">
        <f>_xlfn.XLOOKUP(frasest[[#This Row],[author_es]],autorest[author_es],autorest[age_es])</f>
        <v>Edad Antigua</v>
      </c>
      <c r="P317" t="str">
        <f>_xlfn.XLOOKUP(frasest[[#This Row],[author_es]],autorest[author_es],autorest[age_la])</f>
        <v>Antiquitas</v>
      </c>
      <c r="Q317" t="str">
        <f>_xlfn.XLOOKUP(frasest[[#This Row],[author_es]],autorest[author_es],autorest[image])</f>
        <v>https://i.ibb.co/HDVQmSDL/sanjeronimo.png</v>
      </c>
      <c r="R317">
        <f>_xlfn.XLOOKUP(frasest[[#This Row],[author_es]],autorest[author_es],autorest[image_atr])</f>
        <v>0</v>
      </c>
    </row>
    <row r="318" spans="1:18">
      <c r="A318">
        <v>317</v>
      </c>
      <c r="B318" t="s">
        <v>1114</v>
      </c>
      <c r="C318" t="s">
        <v>1115</v>
      </c>
      <c r="D318" t="s">
        <v>1115</v>
      </c>
      <c r="E318" t="s">
        <v>1116</v>
      </c>
      <c r="F318" t="s">
        <v>1117</v>
      </c>
      <c r="G318" t="str">
        <f>_xlfn.XLOOKUP(frasest[[#This Row],[author_es]],autorest[author_es],autorest[author_la])</f>
        <v>Leo Magnus</v>
      </c>
      <c r="H318" t="str">
        <f>_xlfn.XLOOKUP(frasest[[#This Row],[author_es]],autorest[author_es],autorest[bio_es])</f>
        <v>Papa, Doctor de la Iglesia. Convocó el Concilio de Calcedonia, detuvo a Atila en las puertas de Roma. Defensor de la primacía papal y la cristología ortodoxa.</v>
      </c>
      <c r="I318" t="str">
        <f>_xlfn.XLOOKUP(frasest[[#This Row],[author_es]],autorest[author_es],autorest[bio_la])</f>
        <v>Papa, Doctor Ecclesiae. Concilium Chalcedonense convocavit, Attilam ad portas Romae inhibuit. Primatus papalis et christologiae orthodoxae defensor.</v>
      </c>
      <c r="J318" t="str">
        <f>_xlfn.XLOOKUP(frasest[[#This Row],[author_es]],autorest[author_es],autorest[iso3691])</f>
        <v>la</v>
      </c>
      <c r="K318" t="str">
        <f>_xlfn.XLOOKUP(frasest[[#This Row],[author_es]],autorest[author_es],autorest[language_es])</f>
        <v>Latín</v>
      </c>
      <c r="L318" t="str">
        <f>_xlfn.XLOOKUP(frasest[[#This Row],[author_es]],autorest[author_es],autorest[language_la])</f>
        <v>Lingua Latina</v>
      </c>
      <c r="M318" t="str">
        <f>_xlfn.XLOOKUP(frasest[[#This Row],[author_es]],autorest[author_es],autorest[nation_es])</f>
        <v>Roma</v>
      </c>
      <c r="N318" t="str">
        <f>_xlfn.XLOOKUP(frasest[[#This Row],[author_es]],autorest[author_es],autorest[nation_la])</f>
        <v>Roma</v>
      </c>
      <c r="O318" t="str">
        <f>_xlfn.XLOOKUP(frasest[[#This Row],[author_es]],autorest[author_es],autorest[age_es])</f>
        <v>Edad Antigua</v>
      </c>
      <c r="P318" t="str">
        <f>_xlfn.XLOOKUP(frasest[[#This Row],[author_es]],autorest[author_es],autorest[age_la])</f>
        <v>Antiquitas</v>
      </c>
      <c r="Q318" t="str">
        <f>_xlfn.XLOOKUP(frasest[[#This Row],[author_es]],autorest[author_es],autorest[image])</f>
        <v>https://i.ibb.co/63WDrBK/sanleonmagno.png</v>
      </c>
      <c r="R318">
        <f>_xlfn.XLOOKUP(frasest[[#This Row],[author_es]],autorest[author_es],autorest[image_atr])</f>
        <v>0</v>
      </c>
    </row>
    <row r="319" spans="1:18">
      <c r="A319">
        <v>318</v>
      </c>
      <c r="B319" t="s">
        <v>1118</v>
      </c>
      <c r="C319" t="s">
        <v>1119</v>
      </c>
      <c r="D319" t="s">
        <v>1119</v>
      </c>
      <c r="E319" t="s">
        <v>1116</v>
      </c>
      <c r="F319" t="s">
        <v>1117</v>
      </c>
      <c r="G319" t="str">
        <f>_xlfn.XLOOKUP(frasest[[#This Row],[author_es]],autorest[author_es],autorest[author_la])</f>
        <v>Leo Magnus</v>
      </c>
      <c r="H319" t="str">
        <f>_xlfn.XLOOKUP(frasest[[#This Row],[author_es]],autorest[author_es],autorest[bio_es])</f>
        <v>Papa, Doctor de la Iglesia. Convocó el Concilio de Calcedonia, detuvo a Atila en las puertas de Roma. Defensor de la primacía papal y la cristología ortodoxa.</v>
      </c>
      <c r="I319" t="str">
        <f>_xlfn.XLOOKUP(frasest[[#This Row],[author_es]],autorest[author_es],autorest[bio_la])</f>
        <v>Papa, Doctor Ecclesiae. Concilium Chalcedonense convocavit, Attilam ad portas Romae inhibuit. Primatus papalis et christologiae orthodoxae defensor.</v>
      </c>
      <c r="J319" t="str">
        <f>_xlfn.XLOOKUP(frasest[[#This Row],[author_es]],autorest[author_es],autorest[iso3691])</f>
        <v>la</v>
      </c>
      <c r="K319" t="str">
        <f>_xlfn.XLOOKUP(frasest[[#This Row],[author_es]],autorest[author_es],autorest[language_es])</f>
        <v>Latín</v>
      </c>
      <c r="L319" t="str">
        <f>_xlfn.XLOOKUP(frasest[[#This Row],[author_es]],autorest[author_es],autorest[language_la])</f>
        <v>Lingua Latina</v>
      </c>
      <c r="M319" t="str">
        <f>_xlfn.XLOOKUP(frasest[[#This Row],[author_es]],autorest[author_es],autorest[nation_es])</f>
        <v>Roma</v>
      </c>
      <c r="N319" t="str">
        <f>_xlfn.XLOOKUP(frasest[[#This Row],[author_es]],autorest[author_es],autorest[nation_la])</f>
        <v>Roma</v>
      </c>
      <c r="O319" t="str">
        <f>_xlfn.XLOOKUP(frasest[[#This Row],[author_es]],autorest[author_es],autorest[age_es])</f>
        <v>Edad Antigua</v>
      </c>
      <c r="P319" t="str">
        <f>_xlfn.XLOOKUP(frasest[[#This Row],[author_es]],autorest[author_es],autorest[age_la])</f>
        <v>Antiquitas</v>
      </c>
      <c r="Q319" t="str">
        <f>_xlfn.XLOOKUP(frasest[[#This Row],[author_es]],autorest[author_es],autorest[image])</f>
        <v>https://i.ibb.co/63WDrBK/sanleonmagno.png</v>
      </c>
      <c r="R319">
        <f>_xlfn.XLOOKUP(frasest[[#This Row],[author_es]],autorest[author_es],autorest[image_atr])</f>
        <v>0</v>
      </c>
    </row>
    <row r="320" spans="1:18">
      <c r="A320">
        <v>319</v>
      </c>
      <c r="B320" t="s">
        <v>1120</v>
      </c>
      <c r="C320" t="s">
        <v>1121</v>
      </c>
      <c r="D320" t="s">
        <v>1121</v>
      </c>
      <c r="E320" t="s">
        <v>1116</v>
      </c>
      <c r="F320" t="s">
        <v>1117</v>
      </c>
      <c r="G320" t="str">
        <f>_xlfn.XLOOKUP(frasest[[#This Row],[author_es]],autorest[author_es],autorest[author_la])</f>
        <v>Leo Magnus</v>
      </c>
      <c r="H320" t="str">
        <f>_xlfn.XLOOKUP(frasest[[#This Row],[author_es]],autorest[author_es],autorest[bio_es])</f>
        <v>Papa, Doctor de la Iglesia. Convocó el Concilio de Calcedonia, detuvo a Atila en las puertas de Roma. Defensor de la primacía papal y la cristología ortodoxa.</v>
      </c>
      <c r="I320" t="str">
        <f>_xlfn.XLOOKUP(frasest[[#This Row],[author_es]],autorest[author_es],autorest[bio_la])</f>
        <v>Papa, Doctor Ecclesiae. Concilium Chalcedonense convocavit, Attilam ad portas Romae inhibuit. Primatus papalis et christologiae orthodoxae defensor.</v>
      </c>
      <c r="J320" t="str">
        <f>_xlfn.XLOOKUP(frasest[[#This Row],[author_es]],autorest[author_es],autorest[iso3691])</f>
        <v>la</v>
      </c>
      <c r="K320" t="str">
        <f>_xlfn.XLOOKUP(frasest[[#This Row],[author_es]],autorest[author_es],autorest[language_es])</f>
        <v>Latín</v>
      </c>
      <c r="L320" t="str">
        <f>_xlfn.XLOOKUP(frasest[[#This Row],[author_es]],autorest[author_es],autorest[language_la])</f>
        <v>Lingua Latina</v>
      </c>
      <c r="M320" t="str">
        <f>_xlfn.XLOOKUP(frasest[[#This Row],[author_es]],autorest[author_es],autorest[nation_es])</f>
        <v>Roma</v>
      </c>
      <c r="N320" t="str">
        <f>_xlfn.XLOOKUP(frasest[[#This Row],[author_es]],autorest[author_es],autorest[nation_la])</f>
        <v>Roma</v>
      </c>
      <c r="O320" t="str">
        <f>_xlfn.XLOOKUP(frasest[[#This Row],[author_es]],autorest[author_es],autorest[age_es])</f>
        <v>Edad Antigua</v>
      </c>
      <c r="P320" t="str">
        <f>_xlfn.XLOOKUP(frasest[[#This Row],[author_es]],autorest[author_es],autorest[age_la])</f>
        <v>Antiquitas</v>
      </c>
      <c r="Q320" t="str">
        <f>_xlfn.XLOOKUP(frasest[[#This Row],[author_es]],autorest[author_es],autorest[image])</f>
        <v>https://i.ibb.co/63WDrBK/sanleonmagno.png</v>
      </c>
      <c r="R320">
        <f>_xlfn.XLOOKUP(frasest[[#This Row],[author_es]],autorest[author_es],autorest[image_atr])</f>
        <v>0</v>
      </c>
    </row>
    <row r="321" spans="1:18">
      <c r="A321">
        <v>320</v>
      </c>
      <c r="B321" t="s">
        <v>1122</v>
      </c>
      <c r="C321" t="s">
        <v>1123</v>
      </c>
      <c r="D321" t="s">
        <v>1123</v>
      </c>
      <c r="E321" t="s">
        <v>1116</v>
      </c>
      <c r="F321" t="s">
        <v>1117</v>
      </c>
      <c r="G321" t="str">
        <f>_xlfn.XLOOKUP(frasest[[#This Row],[author_es]],autorest[author_es],autorest[author_la])</f>
        <v>Leo Magnus</v>
      </c>
      <c r="H321" t="str">
        <f>_xlfn.XLOOKUP(frasest[[#This Row],[author_es]],autorest[author_es],autorest[bio_es])</f>
        <v>Papa, Doctor de la Iglesia. Convocó el Concilio de Calcedonia, detuvo a Atila en las puertas de Roma. Defensor de la primacía papal y la cristología ortodoxa.</v>
      </c>
      <c r="I321" t="str">
        <f>_xlfn.XLOOKUP(frasest[[#This Row],[author_es]],autorest[author_es],autorest[bio_la])</f>
        <v>Papa, Doctor Ecclesiae. Concilium Chalcedonense convocavit, Attilam ad portas Romae inhibuit. Primatus papalis et christologiae orthodoxae defensor.</v>
      </c>
      <c r="J321" t="str">
        <f>_xlfn.XLOOKUP(frasest[[#This Row],[author_es]],autorest[author_es],autorest[iso3691])</f>
        <v>la</v>
      </c>
      <c r="K321" t="str">
        <f>_xlfn.XLOOKUP(frasest[[#This Row],[author_es]],autorest[author_es],autorest[language_es])</f>
        <v>Latín</v>
      </c>
      <c r="L321" t="str">
        <f>_xlfn.XLOOKUP(frasest[[#This Row],[author_es]],autorest[author_es],autorest[language_la])</f>
        <v>Lingua Latina</v>
      </c>
      <c r="M321" t="str">
        <f>_xlfn.XLOOKUP(frasest[[#This Row],[author_es]],autorest[author_es],autorest[nation_es])</f>
        <v>Roma</v>
      </c>
      <c r="N321" t="str">
        <f>_xlfn.XLOOKUP(frasest[[#This Row],[author_es]],autorest[author_es],autorest[nation_la])</f>
        <v>Roma</v>
      </c>
      <c r="O321" t="str">
        <f>_xlfn.XLOOKUP(frasest[[#This Row],[author_es]],autorest[author_es],autorest[age_es])</f>
        <v>Edad Antigua</v>
      </c>
      <c r="P321" t="str">
        <f>_xlfn.XLOOKUP(frasest[[#This Row],[author_es]],autorest[author_es],autorest[age_la])</f>
        <v>Antiquitas</v>
      </c>
      <c r="Q321" t="str">
        <f>_xlfn.XLOOKUP(frasest[[#This Row],[author_es]],autorest[author_es],autorest[image])</f>
        <v>https://i.ibb.co/63WDrBK/sanleonmagno.png</v>
      </c>
      <c r="R321">
        <f>_xlfn.XLOOKUP(frasest[[#This Row],[author_es]],autorest[author_es],autorest[image_atr])</f>
        <v>0</v>
      </c>
    </row>
    <row r="322" spans="1:18">
      <c r="A322">
        <v>321</v>
      </c>
      <c r="B322" t="s">
        <v>1124</v>
      </c>
      <c r="C322" t="s">
        <v>1125</v>
      </c>
      <c r="D322" t="s">
        <v>1125</v>
      </c>
      <c r="E322" t="s">
        <v>1116</v>
      </c>
      <c r="F322" t="s">
        <v>1117</v>
      </c>
      <c r="G322" t="str">
        <f>_xlfn.XLOOKUP(frasest[[#This Row],[author_es]],autorest[author_es],autorest[author_la])</f>
        <v>Leo Magnus</v>
      </c>
      <c r="H322" t="str">
        <f>_xlfn.XLOOKUP(frasest[[#This Row],[author_es]],autorest[author_es],autorest[bio_es])</f>
        <v>Papa, Doctor de la Iglesia. Convocó el Concilio de Calcedonia, detuvo a Atila en las puertas de Roma. Defensor de la primacía papal y la cristología ortodoxa.</v>
      </c>
      <c r="I322" t="str">
        <f>_xlfn.XLOOKUP(frasest[[#This Row],[author_es]],autorest[author_es],autorest[bio_la])</f>
        <v>Papa, Doctor Ecclesiae. Concilium Chalcedonense convocavit, Attilam ad portas Romae inhibuit. Primatus papalis et christologiae orthodoxae defensor.</v>
      </c>
      <c r="J322" t="str">
        <f>_xlfn.XLOOKUP(frasest[[#This Row],[author_es]],autorest[author_es],autorest[iso3691])</f>
        <v>la</v>
      </c>
      <c r="K322" t="str">
        <f>_xlfn.XLOOKUP(frasest[[#This Row],[author_es]],autorest[author_es],autorest[language_es])</f>
        <v>Latín</v>
      </c>
      <c r="L322" t="str">
        <f>_xlfn.XLOOKUP(frasest[[#This Row],[author_es]],autorest[author_es],autorest[language_la])</f>
        <v>Lingua Latina</v>
      </c>
      <c r="M322" t="str">
        <f>_xlfn.XLOOKUP(frasest[[#This Row],[author_es]],autorest[author_es],autorest[nation_es])</f>
        <v>Roma</v>
      </c>
      <c r="N322" t="str">
        <f>_xlfn.XLOOKUP(frasest[[#This Row],[author_es]],autorest[author_es],autorest[nation_la])</f>
        <v>Roma</v>
      </c>
      <c r="O322" t="str">
        <f>_xlfn.XLOOKUP(frasest[[#This Row],[author_es]],autorest[author_es],autorest[age_es])</f>
        <v>Edad Antigua</v>
      </c>
      <c r="P322" t="str">
        <f>_xlfn.XLOOKUP(frasest[[#This Row],[author_es]],autorest[author_es],autorest[age_la])</f>
        <v>Antiquitas</v>
      </c>
      <c r="Q322" t="str">
        <f>_xlfn.XLOOKUP(frasest[[#This Row],[author_es]],autorest[author_es],autorest[image])</f>
        <v>https://i.ibb.co/63WDrBK/sanleonmagno.png</v>
      </c>
      <c r="R322">
        <f>_xlfn.XLOOKUP(frasest[[#This Row],[author_es]],autorest[author_es],autorest[image_atr])</f>
        <v>0</v>
      </c>
    </row>
    <row r="323" spans="1:18">
      <c r="A323">
        <v>322</v>
      </c>
      <c r="B323" t="s">
        <v>1126</v>
      </c>
      <c r="C323" t="s">
        <v>1127</v>
      </c>
      <c r="D323" t="s">
        <v>1127</v>
      </c>
      <c r="E323" t="s">
        <v>1116</v>
      </c>
      <c r="F323" t="s">
        <v>1117</v>
      </c>
      <c r="G323" t="str">
        <f>_xlfn.XLOOKUP(frasest[[#This Row],[author_es]],autorest[author_es],autorest[author_la])</f>
        <v>Leo Magnus</v>
      </c>
      <c r="H323" t="str">
        <f>_xlfn.XLOOKUP(frasest[[#This Row],[author_es]],autorest[author_es],autorest[bio_es])</f>
        <v>Papa, Doctor de la Iglesia. Convocó el Concilio de Calcedonia, detuvo a Atila en las puertas de Roma. Defensor de la primacía papal y la cristología ortodoxa.</v>
      </c>
      <c r="I323" t="str">
        <f>_xlfn.XLOOKUP(frasest[[#This Row],[author_es]],autorest[author_es],autorest[bio_la])</f>
        <v>Papa, Doctor Ecclesiae. Concilium Chalcedonense convocavit, Attilam ad portas Romae inhibuit. Primatus papalis et christologiae orthodoxae defensor.</v>
      </c>
      <c r="J323" t="str">
        <f>_xlfn.XLOOKUP(frasest[[#This Row],[author_es]],autorest[author_es],autorest[iso3691])</f>
        <v>la</v>
      </c>
      <c r="K323" t="str">
        <f>_xlfn.XLOOKUP(frasest[[#This Row],[author_es]],autorest[author_es],autorest[language_es])</f>
        <v>Latín</v>
      </c>
      <c r="L323" t="str">
        <f>_xlfn.XLOOKUP(frasest[[#This Row],[author_es]],autorest[author_es],autorest[language_la])</f>
        <v>Lingua Latina</v>
      </c>
      <c r="M323" t="str">
        <f>_xlfn.XLOOKUP(frasest[[#This Row],[author_es]],autorest[author_es],autorest[nation_es])</f>
        <v>Roma</v>
      </c>
      <c r="N323" t="str">
        <f>_xlfn.XLOOKUP(frasest[[#This Row],[author_es]],autorest[author_es],autorest[nation_la])</f>
        <v>Roma</v>
      </c>
      <c r="O323" t="str">
        <f>_xlfn.XLOOKUP(frasest[[#This Row],[author_es]],autorest[author_es],autorest[age_es])</f>
        <v>Edad Antigua</v>
      </c>
      <c r="P323" t="str">
        <f>_xlfn.XLOOKUP(frasest[[#This Row],[author_es]],autorest[author_es],autorest[age_la])</f>
        <v>Antiquitas</v>
      </c>
      <c r="Q323" t="str">
        <f>_xlfn.XLOOKUP(frasest[[#This Row],[author_es]],autorest[author_es],autorest[image])</f>
        <v>https://i.ibb.co/63WDrBK/sanleonmagno.png</v>
      </c>
      <c r="R323">
        <f>_xlfn.XLOOKUP(frasest[[#This Row],[author_es]],autorest[author_es],autorest[image_atr])</f>
        <v>0</v>
      </c>
    </row>
    <row r="324" spans="1:18">
      <c r="A324">
        <v>323</v>
      </c>
      <c r="B324" t="s">
        <v>1128</v>
      </c>
      <c r="C324" t="s">
        <v>1129</v>
      </c>
      <c r="D324" t="s">
        <v>1129</v>
      </c>
      <c r="E324" t="s">
        <v>1116</v>
      </c>
      <c r="F324" t="s">
        <v>1117</v>
      </c>
      <c r="G324" t="str">
        <f>_xlfn.XLOOKUP(frasest[[#This Row],[author_es]],autorest[author_es],autorest[author_la])</f>
        <v>Leo Magnus</v>
      </c>
      <c r="H324" t="str">
        <f>_xlfn.XLOOKUP(frasest[[#This Row],[author_es]],autorest[author_es],autorest[bio_es])</f>
        <v>Papa, Doctor de la Iglesia. Convocó el Concilio de Calcedonia, detuvo a Atila en las puertas de Roma. Defensor de la primacía papal y la cristología ortodoxa.</v>
      </c>
      <c r="I324" t="str">
        <f>_xlfn.XLOOKUP(frasest[[#This Row],[author_es]],autorest[author_es],autorest[bio_la])</f>
        <v>Papa, Doctor Ecclesiae. Concilium Chalcedonense convocavit, Attilam ad portas Romae inhibuit. Primatus papalis et christologiae orthodoxae defensor.</v>
      </c>
      <c r="J324" t="str">
        <f>_xlfn.XLOOKUP(frasest[[#This Row],[author_es]],autorest[author_es],autorest[iso3691])</f>
        <v>la</v>
      </c>
      <c r="K324" t="str">
        <f>_xlfn.XLOOKUP(frasest[[#This Row],[author_es]],autorest[author_es],autorest[language_es])</f>
        <v>Latín</v>
      </c>
      <c r="L324" t="str">
        <f>_xlfn.XLOOKUP(frasest[[#This Row],[author_es]],autorest[author_es],autorest[language_la])</f>
        <v>Lingua Latina</v>
      </c>
      <c r="M324" t="str">
        <f>_xlfn.XLOOKUP(frasest[[#This Row],[author_es]],autorest[author_es],autorest[nation_es])</f>
        <v>Roma</v>
      </c>
      <c r="N324" t="str">
        <f>_xlfn.XLOOKUP(frasest[[#This Row],[author_es]],autorest[author_es],autorest[nation_la])</f>
        <v>Roma</v>
      </c>
      <c r="O324" t="str">
        <f>_xlfn.XLOOKUP(frasest[[#This Row],[author_es]],autorest[author_es],autorest[age_es])</f>
        <v>Edad Antigua</v>
      </c>
      <c r="P324" t="str">
        <f>_xlfn.XLOOKUP(frasest[[#This Row],[author_es]],autorest[author_es],autorest[age_la])</f>
        <v>Antiquitas</v>
      </c>
      <c r="Q324" t="str">
        <f>_xlfn.XLOOKUP(frasest[[#This Row],[author_es]],autorest[author_es],autorest[image])</f>
        <v>https://i.ibb.co/63WDrBK/sanleonmagno.png</v>
      </c>
      <c r="R324">
        <f>_xlfn.XLOOKUP(frasest[[#This Row],[author_es]],autorest[author_es],autorest[image_atr])</f>
        <v>0</v>
      </c>
    </row>
    <row r="325" spans="1:18">
      <c r="A325">
        <v>324</v>
      </c>
      <c r="B325" t="s">
        <v>1130</v>
      </c>
      <c r="C325" t="s">
        <v>1131</v>
      </c>
      <c r="D325" t="s">
        <v>1131</v>
      </c>
      <c r="E325" t="s">
        <v>1116</v>
      </c>
      <c r="F325" t="s">
        <v>1117</v>
      </c>
      <c r="G325" t="str">
        <f>_xlfn.XLOOKUP(frasest[[#This Row],[author_es]],autorest[author_es],autorest[author_la])</f>
        <v>Leo Magnus</v>
      </c>
      <c r="H325" t="str">
        <f>_xlfn.XLOOKUP(frasest[[#This Row],[author_es]],autorest[author_es],autorest[bio_es])</f>
        <v>Papa, Doctor de la Iglesia. Convocó el Concilio de Calcedonia, detuvo a Atila en las puertas de Roma. Defensor de la primacía papal y la cristología ortodoxa.</v>
      </c>
      <c r="I325" t="str">
        <f>_xlfn.XLOOKUP(frasest[[#This Row],[author_es]],autorest[author_es],autorest[bio_la])</f>
        <v>Papa, Doctor Ecclesiae. Concilium Chalcedonense convocavit, Attilam ad portas Romae inhibuit. Primatus papalis et christologiae orthodoxae defensor.</v>
      </c>
      <c r="J325" t="str">
        <f>_xlfn.XLOOKUP(frasest[[#This Row],[author_es]],autorest[author_es],autorest[iso3691])</f>
        <v>la</v>
      </c>
      <c r="K325" t="str">
        <f>_xlfn.XLOOKUP(frasest[[#This Row],[author_es]],autorest[author_es],autorest[language_es])</f>
        <v>Latín</v>
      </c>
      <c r="L325" t="str">
        <f>_xlfn.XLOOKUP(frasest[[#This Row],[author_es]],autorest[author_es],autorest[language_la])</f>
        <v>Lingua Latina</v>
      </c>
      <c r="M325" t="str">
        <f>_xlfn.XLOOKUP(frasest[[#This Row],[author_es]],autorest[author_es],autorest[nation_es])</f>
        <v>Roma</v>
      </c>
      <c r="N325" t="str">
        <f>_xlfn.XLOOKUP(frasest[[#This Row],[author_es]],autorest[author_es],autorest[nation_la])</f>
        <v>Roma</v>
      </c>
      <c r="O325" t="str">
        <f>_xlfn.XLOOKUP(frasest[[#This Row],[author_es]],autorest[author_es],autorest[age_es])</f>
        <v>Edad Antigua</v>
      </c>
      <c r="P325" t="str">
        <f>_xlfn.XLOOKUP(frasest[[#This Row],[author_es]],autorest[author_es],autorest[age_la])</f>
        <v>Antiquitas</v>
      </c>
      <c r="Q325" t="str">
        <f>_xlfn.XLOOKUP(frasest[[#This Row],[author_es]],autorest[author_es],autorest[image])</f>
        <v>https://i.ibb.co/63WDrBK/sanleonmagno.png</v>
      </c>
      <c r="R325">
        <f>_xlfn.XLOOKUP(frasest[[#This Row],[author_es]],autorest[author_es],autorest[image_atr])</f>
        <v>0</v>
      </c>
    </row>
    <row r="326" spans="1:18">
      <c r="A326">
        <v>325</v>
      </c>
      <c r="B326" t="s">
        <v>1132</v>
      </c>
      <c r="C326" t="s">
        <v>1133</v>
      </c>
      <c r="D326" t="s">
        <v>1133</v>
      </c>
      <c r="E326" t="s">
        <v>1116</v>
      </c>
      <c r="F326" t="s">
        <v>1117</v>
      </c>
      <c r="G326" t="str">
        <f>_xlfn.XLOOKUP(frasest[[#This Row],[author_es]],autorest[author_es],autorest[author_la])</f>
        <v>Leo Magnus</v>
      </c>
      <c r="H326" t="str">
        <f>_xlfn.XLOOKUP(frasest[[#This Row],[author_es]],autorest[author_es],autorest[bio_es])</f>
        <v>Papa, Doctor de la Iglesia. Convocó el Concilio de Calcedonia, detuvo a Atila en las puertas de Roma. Defensor de la primacía papal y la cristología ortodoxa.</v>
      </c>
      <c r="I326" t="str">
        <f>_xlfn.XLOOKUP(frasest[[#This Row],[author_es]],autorest[author_es],autorest[bio_la])</f>
        <v>Papa, Doctor Ecclesiae. Concilium Chalcedonense convocavit, Attilam ad portas Romae inhibuit. Primatus papalis et christologiae orthodoxae defensor.</v>
      </c>
      <c r="J326" t="str">
        <f>_xlfn.XLOOKUP(frasest[[#This Row],[author_es]],autorest[author_es],autorest[iso3691])</f>
        <v>la</v>
      </c>
      <c r="K326" t="str">
        <f>_xlfn.XLOOKUP(frasest[[#This Row],[author_es]],autorest[author_es],autorest[language_es])</f>
        <v>Latín</v>
      </c>
      <c r="L326" t="str">
        <f>_xlfn.XLOOKUP(frasest[[#This Row],[author_es]],autorest[author_es],autorest[language_la])</f>
        <v>Lingua Latina</v>
      </c>
      <c r="M326" t="str">
        <f>_xlfn.XLOOKUP(frasest[[#This Row],[author_es]],autorest[author_es],autorest[nation_es])</f>
        <v>Roma</v>
      </c>
      <c r="N326" t="str">
        <f>_xlfn.XLOOKUP(frasest[[#This Row],[author_es]],autorest[author_es],autorest[nation_la])</f>
        <v>Roma</v>
      </c>
      <c r="O326" t="str">
        <f>_xlfn.XLOOKUP(frasest[[#This Row],[author_es]],autorest[author_es],autorest[age_es])</f>
        <v>Edad Antigua</v>
      </c>
      <c r="P326" t="str">
        <f>_xlfn.XLOOKUP(frasest[[#This Row],[author_es]],autorest[author_es],autorest[age_la])</f>
        <v>Antiquitas</v>
      </c>
      <c r="Q326" t="str">
        <f>_xlfn.XLOOKUP(frasest[[#This Row],[author_es]],autorest[author_es],autorest[image])</f>
        <v>https://i.ibb.co/63WDrBK/sanleonmagno.png</v>
      </c>
      <c r="R326">
        <f>_xlfn.XLOOKUP(frasest[[#This Row],[author_es]],autorest[author_es],autorest[image_atr])</f>
        <v>0</v>
      </c>
    </row>
    <row r="327" spans="1:18">
      <c r="A327">
        <v>326</v>
      </c>
      <c r="B327" t="s">
        <v>1134</v>
      </c>
      <c r="C327" t="s">
        <v>1135</v>
      </c>
      <c r="D327" t="s">
        <v>1135</v>
      </c>
      <c r="E327" t="s">
        <v>1116</v>
      </c>
      <c r="F327" t="s">
        <v>1117</v>
      </c>
      <c r="G327" t="str">
        <f>_xlfn.XLOOKUP(frasest[[#This Row],[author_es]],autorest[author_es],autorest[author_la])</f>
        <v>Leo Magnus</v>
      </c>
      <c r="H327" t="str">
        <f>_xlfn.XLOOKUP(frasest[[#This Row],[author_es]],autorest[author_es],autorest[bio_es])</f>
        <v>Papa, Doctor de la Iglesia. Convocó el Concilio de Calcedonia, detuvo a Atila en las puertas de Roma. Defensor de la primacía papal y la cristología ortodoxa.</v>
      </c>
      <c r="I327" t="str">
        <f>_xlfn.XLOOKUP(frasest[[#This Row],[author_es]],autorest[author_es],autorest[bio_la])</f>
        <v>Papa, Doctor Ecclesiae. Concilium Chalcedonense convocavit, Attilam ad portas Romae inhibuit. Primatus papalis et christologiae orthodoxae defensor.</v>
      </c>
      <c r="J327" t="str">
        <f>_xlfn.XLOOKUP(frasest[[#This Row],[author_es]],autorest[author_es],autorest[iso3691])</f>
        <v>la</v>
      </c>
      <c r="K327" t="str">
        <f>_xlfn.XLOOKUP(frasest[[#This Row],[author_es]],autorest[author_es],autorest[language_es])</f>
        <v>Latín</v>
      </c>
      <c r="L327" t="str">
        <f>_xlfn.XLOOKUP(frasest[[#This Row],[author_es]],autorest[author_es],autorest[language_la])</f>
        <v>Lingua Latina</v>
      </c>
      <c r="M327" t="str">
        <f>_xlfn.XLOOKUP(frasest[[#This Row],[author_es]],autorest[author_es],autorest[nation_es])</f>
        <v>Roma</v>
      </c>
      <c r="N327" t="str">
        <f>_xlfn.XLOOKUP(frasest[[#This Row],[author_es]],autorest[author_es],autorest[nation_la])</f>
        <v>Roma</v>
      </c>
      <c r="O327" t="str">
        <f>_xlfn.XLOOKUP(frasest[[#This Row],[author_es]],autorest[author_es],autorest[age_es])</f>
        <v>Edad Antigua</v>
      </c>
      <c r="P327" t="str">
        <f>_xlfn.XLOOKUP(frasest[[#This Row],[author_es]],autorest[author_es],autorest[age_la])</f>
        <v>Antiquitas</v>
      </c>
      <c r="Q327" t="str">
        <f>_xlfn.XLOOKUP(frasest[[#This Row],[author_es]],autorest[author_es],autorest[image])</f>
        <v>https://i.ibb.co/63WDrBK/sanleonmagno.png</v>
      </c>
      <c r="R327">
        <f>_xlfn.XLOOKUP(frasest[[#This Row],[author_es]],autorest[author_es],autorest[image_atr])</f>
        <v>0</v>
      </c>
    </row>
    <row r="328" spans="1:18">
      <c r="A328">
        <v>327</v>
      </c>
      <c r="B328" t="s">
        <v>1136</v>
      </c>
      <c r="C328" t="s">
        <v>1137</v>
      </c>
      <c r="D328" t="s">
        <v>1137</v>
      </c>
      <c r="E328" t="s">
        <v>1138</v>
      </c>
      <c r="F328" t="s">
        <v>1139</v>
      </c>
      <c r="G328" t="str">
        <f>_xlfn.XLOOKUP(frasest[[#This Row],[author_es]],autorest[author_es],autorest[author_la])</f>
        <v>Cyprianus Carthaginensis</v>
      </c>
      <c r="H328" t="str">
        <f>_xlfn.XLOOKUP(frasest[[#This Row],[author_es]],autorest[author_es],autorest[bio_es])</f>
        <v>Obispo de Cartago, Padre de la Iglesia y mártir. Teólogo de la unidad eclesiástica, autor de "Sobre la unidad de la Iglesia". Martirizado durante la persecución de Valeriano.</v>
      </c>
      <c r="I328" t="str">
        <f>_xlfn.XLOOKUP(frasest[[#This Row],[author_es]],autorest[author_es],autorest[bio_la])</f>
        <v>Episcopus Carthaginensis, Pater Ecclesiae et martyr. Theologus unitatis ecclesiasticae, auctor "De unitate Ecclesiae". In persecutione Valeriani martyrizatus.</v>
      </c>
      <c r="J328" t="str">
        <f>_xlfn.XLOOKUP(frasest[[#This Row],[author_es]],autorest[author_es],autorest[iso3691])</f>
        <v>la</v>
      </c>
      <c r="K328" t="str">
        <f>_xlfn.XLOOKUP(frasest[[#This Row],[author_es]],autorest[author_es],autorest[language_es])</f>
        <v>Latín</v>
      </c>
      <c r="L328" t="str">
        <f>_xlfn.XLOOKUP(frasest[[#This Row],[author_es]],autorest[author_es],autorest[language_la])</f>
        <v>Lingua Latina</v>
      </c>
      <c r="M328" t="str">
        <f>_xlfn.XLOOKUP(frasest[[#This Row],[author_es]],autorest[author_es],autorest[nation_es])</f>
        <v>Roma</v>
      </c>
      <c r="N328" t="str">
        <f>_xlfn.XLOOKUP(frasest[[#This Row],[author_es]],autorest[author_es],autorest[nation_la])</f>
        <v>Roma</v>
      </c>
      <c r="O328" t="str">
        <f>_xlfn.XLOOKUP(frasest[[#This Row],[author_es]],autorest[author_es],autorest[age_es])</f>
        <v>Edad Antigua</v>
      </c>
      <c r="P328" t="str">
        <f>_xlfn.XLOOKUP(frasest[[#This Row],[author_es]],autorest[author_es],autorest[age_la])</f>
        <v>Antiquitas</v>
      </c>
      <c r="Q328" t="str">
        <f>_xlfn.XLOOKUP(frasest[[#This Row],[author_es]],autorest[author_es],autorest[image])</f>
        <v>https://i.ibb.co/gZSsK5S4/sancipriano.png</v>
      </c>
      <c r="R328">
        <f>_xlfn.XLOOKUP(frasest[[#This Row],[author_es]],autorest[author_es],autorest[image_atr])</f>
        <v>0</v>
      </c>
    </row>
    <row r="329" spans="1:18">
      <c r="A329">
        <v>328</v>
      </c>
      <c r="B329" t="s">
        <v>1140</v>
      </c>
      <c r="C329" t="s">
        <v>1141</v>
      </c>
      <c r="D329" t="s">
        <v>1141</v>
      </c>
      <c r="E329" t="s">
        <v>1138</v>
      </c>
      <c r="F329" t="s">
        <v>1139</v>
      </c>
      <c r="G329" t="str">
        <f>_xlfn.XLOOKUP(frasest[[#This Row],[author_es]],autorest[author_es],autorest[author_la])</f>
        <v>Cyprianus Carthaginensis</v>
      </c>
      <c r="H329" t="str">
        <f>_xlfn.XLOOKUP(frasest[[#This Row],[author_es]],autorest[author_es],autorest[bio_es])</f>
        <v>Obispo de Cartago, Padre de la Iglesia y mártir. Teólogo de la unidad eclesiástica, autor de "Sobre la unidad de la Iglesia". Martirizado durante la persecución de Valeriano.</v>
      </c>
      <c r="I329" t="str">
        <f>_xlfn.XLOOKUP(frasest[[#This Row],[author_es]],autorest[author_es],autorest[bio_la])</f>
        <v>Episcopus Carthaginensis, Pater Ecclesiae et martyr. Theologus unitatis ecclesiasticae, auctor "De unitate Ecclesiae". In persecutione Valeriani martyrizatus.</v>
      </c>
      <c r="J329" t="str">
        <f>_xlfn.XLOOKUP(frasest[[#This Row],[author_es]],autorest[author_es],autorest[iso3691])</f>
        <v>la</v>
      </c>
      <c r="K329" t="str">
        <f>_xlfn.XLOOKUP(frasest[[#This Row],[author_es]],autorest[author_es],autorest[language_es])</f>
        <v>Latín</v>
      </c>
      <c r="L329" t="str">
        <f>_xlfn.XLOOKUP(frasest[[#This Row],[author_es]],autorest[author_es],autorest[language_la])</f>
        <v>Lingua Latina</v>
      </c>
      <c r="M329" t="str">
        <f>_xlfn.XLOOKUP(frasest[[#This Row],[author_es]],autorest[author_es],autorest[nation_es])</f>
        <v>Roma</v>
      </c>
      <c r="N329" t="str">
        <f>_xlfn.XLOOKUP(frasest[[#This Row],[author_es]],autorest[author_es],autorest[nation_la])</f>
        <v>Roma</v>
      </c>
      <c r="O329" t="str">
        <f>_xlfn.XLOOKUP(frasest[[#This Row],[author_es]],autorest[author_es],autorest[age_es])</f>
        <v>Edad Antigua</v>
      </c>
      <c r="P329" t="str">
        <f>_xlfn.XLOOKUP(frasest[[#This Row],[author_es]],autorest[author_es],autorest[age_la])</f>
        <v>Antiquitas</v>
      </c>
      <c r="Q329" t="str">
        <f>_xlfn.XLOOKUP(frasest[[#This Row],[author_es]],autorest[author_es],autorest[image])</f>
        <v>https://i.ibb.co/gZSsK5S4/sancipriano.png</v>
      </c>
      <c r="R329">
        <f>_xlfn.XLOOKUP(frasest[[#This Row],[author_es]],autorest[author_es],autorest[image_atr])</f>
        <v>0</v>
      </c>
    </row>
    <row r="330" spans="1:18">
      <c r="A330">
        <v>329</v>
      </c>
      <c r="B330" t="s">
        <v>1142</v>
      </c>
      <c r="C330" t="s">
        <v>1143</v>
      </c>
      <c r="D330" t="s">
        <v>1143</v>
      </c>
      <c r="E330" t="s">
        <v>1138</v>
      </c>
      <c r="F330" t="s">
        <v>1139</v>
      </c>
      <c r="G330" t="str">
        <f>_xlfn.XLOOKUP(frasest[[#This Row],[author_es]],autorest[author_es],autorest[author_la])</f>
        <v>Cyprianus Carthaginensis</v>
      </c>
      <c r="H330" t="str">
        <f>_xlfn.XLOOKUP(frasest[[#This Row],[author_es]],autorest[author_es],autorest[bio_es])</f>
        <v>Obispo de Cartago, Padre de la Iglesia y mártir. Teólogo de la unidad eclesiástica, autor de "Sobre la unidad de la Iglesia". Martirizado durante la persecución de Valeriano.</v>
      </c>
      <c r="I330" t="str">
        <f>_xlfn.XLOOKUP(frasest[[#This Row],[author_es]],autorest[author_es],autorest[bio_la])</f>
        <v>Episcopus Carthaginensis, Pater Ecclesiae et martyr. Theologus unitatis ecclesiasticae, auctor "De unitate Ecclesiae". In persecutione Valeriani martyrizatus.</v>
      </c>
      <c r="J330" t="str">
        <f>_xlfn.XLOOKUP(frasest[[#This Row],[author_es]],autorest[author_es],autorest[iso3691])</f>
        <v>la</v>
      </c>
      <c r="K330" t="str">
        <f>_xlfn.XLOOKUP(frasest[[#This Row],[author_es]],autorest[author_es],autorest[language_es])</f>
        <v>Latín</v>
      </c>
      <c r="L330" t="str">
        <f>_xlfn.XLOOKUP(frasest[[#This Row],[author_es]],autorest[author_es],autorest[language_la])</f>
        <v>Lingua Latina</v>
      </c>
      <c r="M330" t="str">
        <f>_xlfn.XLOOKUP(frasest[[#This Row],[author_es]],autorest[author_es],autorest[nation_es])</f>
        <v>Roma</v>
      </c>
      <c r="N330" t="str">
        <f>_xlfn.XLOOKUP(frasest[[#This Row],[author_es]],autorest[author_es],autorest[nation_la])</f>
        <v>Roma</v>
      </c>
      <c r="O330" t="str">
        <f>_xlfn.XLOOKUP(frasest[[#This Row],[author_es]],autorest[author_es],autorest[age_es])</f>
        <v>Edad Antigua</v>
      </c>
      <c r="P330" t="str">
        <f>_xlfn.XLOOKUP(frasest[[#This Row],[author_es]],autorest[author_es],autorest[age_la])</f>
        <v>Antiquitas</v>
      </c>
      <c r="Q330" t="str">
        <f>_xlfn.XLOOKUP(frasest[[#This Row],[author_es]],autorest[author_es],autorest[image])</f>
        <v>https://i.ibb.co/gZSsK5S4/sancipriano.png</v>
      </c>
      <c r="R330">
        <f>_xlfn.XLOOKUP(frasest[[#This Row],[author_es]],autorest[author_es],autorest[image_atr])</f>
        <v>0</v>
      </c>
    </row>
    <row r="331" spans="1:18">
      <c r="A331">
        <v>330</v>
      </c>
      <c r="B331" t="s">
        <v>1144</v>
      </c>
      <c r="C331" t="s">
        <v>1145</v>
      </c>
      <c r="D331" t="s">
        <v>1145</v>
      </c>
      <c r="E331" t="s">
        <v>1138</v>
      </c>
      <c r="F331" t="s">
        <v>1146</v>
      </c>
      <c r="G331" t="str">
        <f>_xlfn.XLOOKUP(frasest[[#This Row],[author_es]],autorest[author_es],autorest[author_la])</f>
        <v>Cyprianus Carthaginensis</v>
      </c>
      <c r="H331" t="str">
        <f>_xlfn.XLOOKUP(frasest[[#This Row],[author_es]],autorest[author_es],autorest[bio_es])</f>
        <v>Obispo de Cartago, Padre de la Iglesia y mártir. Teólogo de la unidad eclesiástica, autor de "Sobre la unidad de la Iglesia". Martirizado durante la persecución de Valeriano.</v>
      </c>
      <c r="I331" t="str">
        <f>_xlfn.XLOOKUP(frasest[[#This Row],[author_es]],autorest[author_es],autorest[bio_la])</f>
        <v>Episcopus Carthaginensis, Pater Ecclesiae et martyr. Theologus unitatis ecclesiasticae, auctor "De unitate Ecclesiae". In persecutione Valeriani martyrizatus.</v>
      </c>
      <c r="J331" t="str">
        <f>_xlfn.XLOOKUP(frasest[[#This Row],[author_es]],autorest[author_es],autorest[iso3691])</f>
        <v>la</v>
      </c>
      <c r="K331" t="str">
        <f>_xlfn.XLOOKUP(frasest[[#This Row],[author_es]],autorest[author_es],autorest[language_es])</f>
        <v>Latín</v>
      </c>
      <c r="L331" t="str">
        <f>_xlfn.XLOOKUP(frasest[[#This Row],[author_es]],autorest[author_es],autorest[language_la])</f>
        <v>Lingua Latina</v>
      </c>
      <c r="M331" t="str">
        <f>_xlfn.XLOOKUP(frasest[[#This Row],[author_es]],autorest[author_es],autorest[nation_es])</f>
        <v>Roma</v>
      </c>
      <c r="N331" t="str">
        <f>_xlfn.XLOOKUP(frasest[[#This Row],[author_es]],autorest[author_es],autorest[nation_la])</f>
        <v>Roma</v>
      </c>
      <c r="O331" t="str">
        <f>_xlfn.XLOOKUP(frasest[[#This Row],[author_es]],autorest[author_es],autorest[age_es])</f>
        <v>Edad Antigua</v>
      </c>
      <c r="P331" t="str">
        <f>_xlfn.XLOOKUP(frasest[[#This Row],[author_es]],autorest[author_es],autorest[age_la])</f>
        <v>Antiquitas</v>
      </c>
      <c r="Q331" t="str">
        <f>_xlfn.XLOOKUP(frasest[[#This Row],[author_es]],autorest[author_es],autorest[image])</f>
        <v>https://i.ibb.co/gZSsK5S4/sancipriano.png</v>
      </c>
      <c r="R331">
        <f>_xlfn.XLOOKUP(frasest[[#This Row],[author_es]],autorest[author_es],autorest[image_atr])</f>
        <v>0</v>
      </c>
    </row>
    <row r="332" spans="1:18">
      <c r="A332">
        <v>331</v>
      </c>
      <c r="B332" t="s">
        <v>1147</v>
      </c>
      <c r="C332" t="s">
        <v>1148</v>
      </c>
      <c r="D332" t="s">
        <v>1148</v>
      </c>
      <c r="E332" t="s">
        <v>1138</v>
      </c>
      <c r="F332" t="s">
        <v>1149</v>
      </c>
      <c r="G332" t="str">
        <f>_xlfn.XLOOKUP(frasest[[#This Row],[author_es]],autorest[author_es],autorest[author_la])</f>
        <v>Cyprianus Carthaginensis</v>
      </c>
      <c r="H332" t="str">
        <f>_xlfn.XLOOKUP(frasest[[#This Row],[author_es]],autorest[author_es],autorest[bio_es])</f>
        <v>Obispo de Cartago, Padre de la Iglesia y mártir. Teólogo de la unidad eclesiástica, autor de "Sobre la unidad de la Iglesia". Martirizado durante la persecución de Valeriano.</v>
      </c>
      <c r="I332" t="str">
        <f>_xlfn.XLOOKUP(frasest[[#This Row],[author_es]],autorest[author_es],autorest[bio_la])</f>
        <v>Episcopus Carthaginensis, Pater Ecclesiae et martyr. Theologus unitatis ecclesiasticae, auctor "De unitate Ecclesiae". In persecutione Valeriani martyrizatus.</v>
      </c>
      <c r="J332" t="str">
        <f>_xlfn.XLOOKUP(frasest[[#This Row],[author_es]],autorest[author_es],autorest[iso3691])</f>
        <v>la</v>
      </c>
      <c r="K332" t="str">
        <f>_xlfn.XLOOKUP(frasest[[#This Row],[author_es]],autorest[author_es],autorest[language_es])</f>
        <v>Latín</v>
      </c>
      <c r="L332" t="str">
        <f>_xlfn.XLOOKUP(frasest[[#This Row],[author_es]],autorest[author_es],autorest[language_la])</f>
        <v>Lingua Latina</v>
      </c>
      <c r="M332" t="str">
        <f>_xlfn.XLOOKUP(frasest[[#This Row],[author_es]],autorest[author_es],autorest[nation_es])</f>
        <v>Roma</v>
      </c>
      <c r="N332" t="str">
        <f>_xlfn.XLOOKUP(frasest[[#This Row],[author_es]],autorest[author_es],autorest[nation_la])</f>
        <v>Roma</v>
      </c>
      <c r="O332" t="str">
        <f>_xlfn.XLOOKUP(frasest[[#This Row],[author_es]],autorest[author_es],autorest[age_es])</f>
        <v>Edad Antigua</v>
      </c>
      <c r="P332" t="str">
        <f>_xlfn.XLOOKUP(frasest[[#This Row],[author_es]],autorest[author_es],autorest[age_la])</f>
        <v>Antiquitas</v>
      </c>
      <c r="Q332" t="str">
        <f>_xlfn.XLOOKUP(frasest[[#This Row],[author_es]],autorest[author_es],autorest[image])</f>
        <v>https://i.ibb.co/gZSsK5S4/sancipriano.png</v>
      </c>
      <c r="R332">
        <f>_xlfn.XLOOKUP(frasest[[#This Row],[author_es]],autorest[author_es],autorest[image_atr])</f>
        <v>0</v>
      </c>
    </row>
    <row r="333" spans="1:18">
      <c r="A333">
        <v>332</v>
      </c>
      <c r="B333" t="s">
        <v>1150</v>
      </c>
      <c r="C333" t="s">
        <v>1151</v>
      </c>
      <c r="D333" t="s">
        <v>1151</v>
      </c>
      <c r="E333" t="s">
        <v>1138</v>
      </c>
      <c r="F333" t="s">
        <v>1152</v>
      </c>
      <c r="G333" t="str">
        <f>_xlfn.XLOOKUP(frasest[[#This Row],[author_es]],autorest[author_es],autorest[author_la])</f>
        <v>Cyprianus Carthaginensis</v>
      </c>
      <c r="H333" t="str">
        <f>_xlfn.XLOOKUP(frasest[[#This Row],[author_es]],autorest[author_es],autorest[bio_es])</f>
        <v>Obispo de Cartago, Padre de la Iglesia y mártir. Teólogo de la unidad eclesiástica, autor de "Sobre la unidad de la Iglesia". Martirizado durante la persecución de Valeriano.</v>
      </c>
      <c r="I333" t="str">
        <f>_xlfn.XLOOKUP(frasest[[#This Row],[author_es]],autorest[author_es],autorest[bio_la])</f>
        <v>Episcopus Carthaginensis, Pater Ecclesiae et martyr. Theologus unitatis ecclesiasticae, auctor "De unitate Ecclesiae". In persecutione Valeriani martyrizatus.</v>
      </c>
      <c r="J333" t="str">
        <f>_xlfn.XLOOKUP(frasest[[#This Row],[author_es]],autorest[author_es],autorest[iso3691])</f>
        <v>la</v>
      </c>
      <c r="K333" t="str">
        <f>_xlfn.XLOOKUP(frasest[[#This Row],[author_es]],autorest[author_es],autorest[language_es])</f>
        <v>Latín</v>
      </c>
      <c r="L333" t="str">
        <f>_xlfn.XLOOKUP(frasest[[#This Row],[author_es]],autorest[author_es],autorest[language_la])</f>
        <v>Lingua Latina</v>
      </c>
      <c r="M333" t="str">
        <f>_xlfn.XLOOKUP(frasest[[#This Row],[author_es]],autorest[author_es],autorest[nation_es])</f>
        <v>Roma</v>
      </c>
      <c r="N333" t="str">
        <f>_xlfn.XLOOKUP(frasest[[#This Row],[author_es]],autorest[author_es],autorest[nation_la])</f>
        <v>Roma</v>
      </c>
      <c r="O333" t="str">
        <f>_xlfn.XLOOKUP(frasest[[#This Row],[author_es]],autorest[author_es],autorest[age_es])</f>
        <v>Edad Antigua</v>
      </c>
      <c r="P333" t="str">
        <f>_xlfn.XLOOKUP(frasest[[#This Row],[author_es]],autorest[author_es],autorest[age_la])</f>
        <v>Antiquitas</v>
      </c>
      <c r="Q333" t="str">
        <f>_xlfn.XLOOKUP(frasest[[#This Row],[author_es]],autorest[author_es],autorest[image])</f>
        <v>https://i.ibb.co/gZSsK5S4/sancipriano.png</v>
      </c>
      <c r="R333">
        <f>_xlfn.XLOOKUP(frasest[[#This Row],[author_es]],autorest[author_es],autorest[image_atr])</f>
        <v>0</v>
      </c>
    </row>
    <row r="334" spans="1:18">
      <c r="A334">
        <v>333</v>
      </c>
      <c r="B334" t="s">
        <v>1153</v>
      </c>
      <c r="C334" t="s">
        <v>1154</v>
      </c>
      <c r="D334" t="s">
        <v>1154</v>
      </c>
      <c r="E334" t="s">
        <v>1138</v>
      </c>
      <c r="F334" t="s">
        <v>1155</v>
      </c>
      <c r="G334" t="str">
        <f>_xlfn.XLOOKUP(frasest[[#This Row],[author_es]],autorest[author_es],autorest[author_la])</f>
        <v>Cyprianus Carthaginensis</v>
      </c>
      <c r="H334" t="str">
        <f>_xlfn.XLOOKUP(frasest[[#This Row],[author_es]],autorest[author_es],autorest[bio_es])</f>
        <v>Obispo de Cartago, Padre de la Iglesia y mártir. Teólogo de la unidad eclesiástica, autor de "Sobre la unidad de la Iglesia". Martirizado durante la persecución de Valeriano.</v>
      </c>
      <c r="I334" t="str">
        <f>_xlfn.XLOOKUP(frasest[[#This Row],[author_es]],autorest[author_es],autorest[bio_la])</f>
        <v>Episcopus Carthaginensis, Pater Ecclesiae et martyr. Theologus unitatis ecclesiasticae, auctor "De unitate Ecclesiae". In persecutione Valeriani martyrizatus.</v>
      </c>
      <c r="J334" t="str">
        <f>_xlfn.XLOOKUP(frasest[[#This Row],[author_es]],autorest[author_es],autorest[iso3691])</f>
        <v>la</v>
      </c>
      <c r="K334" t="str">
        <f>_xlfn.XLOOKUP(frasest[[#This Row],[author_es]],autorest[author_es],autorest[language_es])</f>
        <v>Latín</v>
      </c>
      <c r="L334" t="str">
        <f>_xlfn.XLOOKUP(frasest[[#This Row],[author_es]],autorest[author_es],autorest[language_la])</f>
        <v>Lingua Latina</v>
      </c>
      <c r="M334" t="str">
        <f>_xlfn.XLOOKUP(frasest[[#This Row],[author_es]],autorest[author_es],autorest[nation_es])</f>
        <v>Roma</v>
      </c>
      <c r="N334" t="str">
        <f>_xlfn.XLOOKUP(frasest[[#This Row],[author_es]],autorest[author_es],autorest[nation_la])</f>
        <v>Roma</v>
      </c>
      <c r="O334" t="str">
        <f>_xlfn.XLOOKUP(frasest[[#This Row],[author_es]],autorest[author_es],autorest[age_es])</f>
        <v>Edad Antigua</v>
      </c>
      <c r="P334" t="str">
        <f>_xlfn.XLOOKUP(frasest[[#This Row],[author_es]],autorest[author_es],autorest[age_la])</f>
        <v>Antiquitas</v>
      </c>
      <c r="Q334" t="str">
        <f>_xlfn.XLOOKUP(frasest[[#This Row],[author_es]],autorest[author_es],autorest[image])</f>
        <v>https://i.ibb.co/gZSsK5S4/sancipriano.png</v>
      </c>
      <c r="R334">
        <f>_xlfn.XLOOKUP(frasest[[#This Row],[author_es]],autorest[author_es],autorest[image_atr])</f>
        <v>0</v>
      </c>
    </row>
    <row r="335" spans="1:18">
      <c r="A335">
        <v>334</v>
      </c>
      <c r="B335" t="s">
        <v>1156</v>
      </c>
      <c r="C335" t="s">
        <v>1157</v>
      </c>
      <c r="D335" t="s">
        <v>1157</v>
      </c>
      <c r="E335" t="s">
        <v>1138</v>
      </c>
      <c r="F335" t="s">
        <v>1139</v>
      </c>
      <c r="G335" t="str">
        <f>_xlfn.XLOOKUP(frasest[[#This Row],[author_es]],autorest[author_es],autorest[author_la])</f>
        <v>Cyprianus Carthaginensis</v>
      </c>
      <c r="H335" t="str">
        <f>_xlfn.XLOOKUP(frasest[[#This Row],[author_es]],autorest[author_es],autorest[bio_es])</f>
        <v>Obispo de Cartago, Padre de la Iglesia y mártir. Teólogo de la unidad eclesiástica, autor de "Sobre la unidad de la Iglesia". Martirizado durante la persecución de Valeriano.</v>
      </c>
      <c r="I335" t="str">
        <f>_xlfn.XLOOKUP(frasest[[#This Row],[author_es]],autorest[author_es],autorest[bio_la])</f>
        <v>Episcopus Carthaginensis, Pater Ecclesiae et martyr. Theologus unitatis ecclesiasticae, auctor "De unitate Ecclesiae". In persecutione Valeriani martyrizatus.</v>
      </c>
      <c r="J335" t="str">
        <f>_xlfn.XLOOKUP(frasest[[#This Row],[author_es]],autorest[author_es],autorest[iso3691])</f>
        <v>la</v>
      </c>
      <c r="K335" t="str">
        <f>_xlfn.XLOOKUP(frasest[[#This Row],[author_es]],autorest[author_es],autorest[language_es])</f>
        <v>Latín</v>
      </c>
      <c r="L335" t="str">
        <f>_xlfn.XLOOKUP(frasest[[#This Row],[author_es]],autorest[author_es],autorest[language_la])</f>
        <v>Lingua Latina</v>
      </c>
      <c r="M335" t="str">
        <f>_xlfn.XLOOKUP(frasest[[#This Row],[author_es]],autorest[author_es],autorest[nation_es])</f>
        <v>Roma</v>
      </c>
      <c r="N335" t="str">
        <f>_xlfn.XLOOKUP(frasest[[#This Row],[author_es]],autorest[author_es],autorest[nation_la])</f>
        <v>Roma</v>
      </c>
      <c r="O335" t="str">
        <f>_xlfn.XLOOKUP(frasest[[#This Row],[author_es]],autorest[author_es],autorest[age_es])</f>
        <v>Edad Antigua</v>
      </c>
      <c r="P335" t="str">
        <f>_xlfn.XLOOKUP(frasest[[#This Row],[author_es]],autorest[author_es],autorest[age_la])</f>
        <v>Antiquitas</v>
      </c>
      <c r="Q335" t="str">
        <f>_xlfn.XLOOKUP(frasest[[#This Row],[author_es]],autorest[author_es],autorest[image])</f>
        <v>https://i.ibb.co/gZSsK5S4/sancipriano.png</v>
      </c>
      <c r="R335">
        <f>_xlfn.XLOOKUP(frasest[[#This Row],[author_es]],autorest[author_es],autorest[image_atr])</f>
        <v>0</v>
      </c>
    </row>
    <row r="336" spans="1:18">
      <c r="A336">
        <v>335</v>
      </c>
      <c r="B336" t="s">
        <v>1158</v>
      </c>
      <c r="C336" t="s">
        <v>1159</v>
      </c>
      <c r="D336" t="s">
        <v>1159</v>
      </c>
      <c r="E336" t="s">
        <v>1138</v>
      </c>
      <c r="F336" t="s">
        <v>1139</v>
      </c>
      <c r="G336" t="str">
        <f>_xlfn.XLOOKUP(frasest[[#This Row],[author_es]],autorest[author_es],autorest[author_la])</f>
        <v>Cyprianus Carthaginensis</v>
      </c>
      <c r="H336" t="str">
        <f>_xlfn.XLOOKUP(frasest[[#This Row],[author_es]],autorest[author_es],autorest[bio_es])</f>
        <v>Obispo de Cartago, Padre de la Iglesia y mártir. Teólogo de la unidad eclesiástica, autor de "Sobre la unidad de la Iglesia". Martirizado durante la persecución de Valeriano.</v>
      </c>
      <c r="I336" t="str">
        <f>_xlfn.XLOOKUP(frasest[[#This Row],[author_es]],autorest[author_es],autorest[bio_la])</f>
        <v>Episcopus Carthaginensis, Pater Ecclesiae et martyr. Theologus unitatis ecclesiasticae, auctor "De unitate Ecclesiae". In persecutione Valeriani martyrizatus.</v>
      </c>
      <c r="J336" t="str">
        <f>_xlfn.XLOOKUP(frasest[[#This Row],[author_es]],autorest[author_es],autorest[iso3691])</f>
        <v>la</v>
      </c>
      <c r="K336" t="str">
        <f>_xlfn.XLOOKUP(frasest[[#This Row],[author_es]],autorest[author_es],autorest[language_es])</f>
        <v>Latín</v>
      </c>
      <c r="L336" t="str">
        <f>_xlfn.XLOOKUP(frasest[[#This Row],[author_es]],autorest[author_es],autorest[language_la])</f>
        <v>Lingua Latina</v>
      </c>
      <c r="M336" t="str">
        <f>_xlfn.XLOOKUP(frasest[[#This Row],[author_es]],autorest[author_es],autorest[nation_es])</f>
        <v>Roma</v>
      </c>
      <c r="N336" t="str">
        <f>_xlfn.XLOOKUP(frasest[[#This Row],[author_es]],autorest[author_es],autorest[nation_la])</f>
        <v>Roma</v>
      </c>
      <c r="O336" t="str">
        <f>_xlfn.XLOOKUP(frasest[[#This Row],[author_es]],autorest[author_es],autorest[age_es])</f>
        <v>Edad Antigua</v>
      </c>
      <c r="P336" t="str">
        <f>_xlfn.XLOOKUP(frasest[[#This Row],[author_es]],autorest[author_es],autorest[age_la])</f>
        <v>Antiquitas</v>
      </c>
      <c r="Q336" t="str">
        <f>_xlfn.XLOOKUP(frasest[[#This Row],[author_es]],autorest[author_es],autorest[image])</f>
        <v>https://i.ibb.co/gZSsK5S4/sancipriano.png</v>
      </c>
      <c r="R336">
        <f>_xlfn.XLOOKUP(frasest[[#This Row],[author_es]],autorest[author_es],autorest[image_atr])</f>
        <v>0</v>
      </c>
    </row>
    <row r="337" spans="1:18">
      <c r="A337">
        <v>336</v>
      </c>
      <c r="B337" t="s">
        <v>1160</v>
      </c>
      <c r="C337" t="s">
        <v>1161</v>
      </c>
      <c r="D337" t="s">
        <v>1161</v>
      </c>
      <c r="E337" t="s">
        <v>1138</v>
      </c>
      <c r="F337" t="s">
        <v>1162</v>
      </c>
      <c r="G337" t="str">
        <f>_xlfn.XLOOKUP(frasest[[#This Row],[author_es]],autorest[author_es],autorest[author_la])</f>
        <v>Cyprianus Carthaginensis</v>
      </c>
      <c r="H337" t="str">
        <f>_xlfn.XLOOKUP(frasest[[#This Row],[author_es]],autorest[author_es],autorest[bio_es])</f>
        <v>Obispo de Cartago, Padre de la Iglesia y mártir. Teólogo de la unidad eclesiástica, autor de "Sobre la unidad de la Iglesia". Martirizado durante la persecución de Valeriano.</v>
      </c>
      <c r="I337" t="str">
        <f>_xlfn.XLOOKUP(frasest[[#This Row],[author_es]],autorest[author_es],autorest[bio_la])</f>
        <v>Episcopus Carthaginensis, Pater Ecclesiae et martyr. Theologus unitatis ecclesiasticae, auctor "De unitate Ecclesiae". In persecutione Valeriani martyrizatus.</v>
      </c>
      <c r="J337" t="str">
        <f>_xlfn.XLOOKUP(frasest[[#This Row],[author_es]],autorest[author_es],autorest[iso3691])</f>
        <v>la</v>
      </c>
      <c r="K337" t="str">
        <f>_xlfn.XLOOKUP(frasest[[#This Row],[author_es]],autorest[author_es],autorest[language_es])</f>
        <v>Latín</v>
      </c>
      <c r="L337" t="str">
        <f>_xlfn.XLOOKUP(frasest[[#This Row],[author_es]],autorest[author_es],autorest[language_la])</f>
        <v>Lingua Latina</v>
      </c>
      <c r="M337" t="str">
        <f>_xlfn.XLOOKUP(frasest[[#This Row],[author_es]],autorest[author_es],autorest[nation_es])</f>
        <v>Roma</v>
      </c>
      <c r="N337" t="str">
        <f>_xlfn.XLOOKUP(frasest[[#This Row],[author_es]],autorest[author_es],autorest[nation_la])</f>
        <v>Roma</v>
      </c>
      <c r="O337" t="str">
        <f>_xlfn.XLOOKUP(frasest[[#This Row],[author_es]],autorest[author_es],autorest[age_es])</f>
        <v>Edad Antigua</v>
      </c>
      <c r="P337" t="str">
        <f>_xlfn.XLOOKUP(frasest[[#This Row],[author_es]],autorest[author_es],autorest[age_la])</f>
        <v>Antiquitas</v>
      </c>
      <c r="Q337" t="str">
        <f>_xlfn.XLOOKUP(frasest[[#This Row],[author_es]],autorest[author_es],autorest[image])</f>
        <v>https://i.ibb.co/gZSsK5S4/sancipriano.png</v>
      </c>
      <c r="R337">
        <f>_xlfn.XLOOKUP(frasest[[#This Row],[author_es]],autorest[author_es],autorest[image_atr])</f>
        <v>0</v>
      </c>
    </row>
    <row r="338" spans="1:18">
      <c r="A338">
        <v>337</v>
      </c>
      <c r="B338" t="s">
        <v>1163</v>
      </c>
      <c r="C338" t="s">
        <v>1164</v>
      </c>
      <c r="D338" t="s">
        <v>1164</v>
      </c>
      <c r="E338" t="s">
        <v>1165</v>
      </c>
      <c r="F338" t="s">
        <v>1166</v>
      </c>
      <c r="G338" t="str">
        <f>_xlfn.XLOOKUP(frasest[[#This Row],[author_es]],autorest[author_es],autorest[author_la])</f>
        <v>Anselmus Cantuariensis</v>
      </c>
      <c r="H338" t="str">
        <f>_xlfn.XLOOKUP(frasest[[#This Row],[author_es]],autorest[author_es],autorest[bio_es])</f>
        <v>Arzobispo de Canterbury, Doctor de la Iglesia y filósofo. Autor del argumento ontológico de la existencia de Dios. Padre de la escolástica.</v>
      </c>
      <c r="I338" t="str">
        <f>_xlfn.XLOOKUP(frasest[[#This Row],[author_es]],autorest[author_es],autorest[bio_la])</f>
        <v>Archiepiscopus Cantuariensis, Doctor Ecclesiae et philosophus. Auctor argumenti ontologici existentiae Dei. Pater scholasticae.</v>
      </c>
      <c r="J338" t="str">
        <f>_xlfn.XLOOKUP(frasest[[#This Row],[author_es]],autorest[author_es],autorest[iso3691])</f>
        <v>la</v>
      </c>
      <c r="K338" t="str">
        <f>_xlfn.XLOOKUP(frasest[[#This Row],[author_es]],autorest[author_es],autorest[language_es])</f>
        <v>Latín</v>
      </c>
      <c r="L338" t="str">
        <f>_xlfn.XLOOKUP(frasest[[#This Row],[author_es]],autorest[author_es],autorest[language_la])</f>
        <v>Lingua Latina</v>
      </c>
      <c r="M338" t="str">
        <f>_xlfn.XLOOKUP(frasest[[#This Row],[author_es]],autorest[author_es],autorest[nation_es])</f>
        <v>Italia</v>
      </c>
      <c r="N338" t="str">
        <f>_xlfn.XLOOKUP(frasest[[#This Row],[author_es]],autorest[author_es],autorest[nation_la])</f>
        <v>Italia</v>
      </c>
      <c r="O338" t="str">
        <f>_xlfn.XLOOKUP(frasest[[#This Row],[author_es]],autorest[author_es],autorest[age_es])</f>
        <v>Edad Media</v>
      </c>
      <c r="P338" t="str">
        <f>_xlfn.XLOOKUP(frasest[[#This Row],[author_es]],autorest[author_es],autorest[age_la])</f>
        <v>Medium Aevum</v>
      </c>
      <c r="Q338" t="str">
        <f>_xlfn.XLOOKUP(frasest[[#This Row],[author_es]],autorest[author_es],autorest[image])</f>
        <v>https://i.ibb.co/Lz7Qxttz/sananselmocant.png</v>
      </c>
      <c r="R338">
        <f>_xlfn.XLOOKUP(frasest[[#This Row],[author_es]],autorest[author_es],autorest[image_atr])</f>
        <v>0</v>
      </c>
    </row>
    <row r="339" spans="1:18">
      <c r="A339">
        <v>338</v>
      </c>
      <c r="B339" t="s">
        <v>1167</v>
      </c>
      <c r="C339" t="s">
        <v>1168</v>
      </c>
      <c r="D339" t="s">
        <v>1168</v>
      </c>
      <c r="E339" t="s">
        <v>1165</v>
      </c>
      <c r="F339" t="s">
        <v>1166</v>
      </c>
      <c r="G339" t="str">
        <f>_xlfn.XLOOKUP(frasest[[#This Row],[author_es]],autorest[author_es],autorest[author_la])</f>
        <v>Anselmus Cantuariensis</v>
      </c>
      <c r="H339" t="str">
        <f>_xlfn.XLOOKUP(frasest[[#This Row],[author_es]],autorest[author_es],autorest[bio_es])</f>
        <v>Arzobispo de Canterbury, Doctor de la Iglesia y filósofo. Autor del argumento ontológico de la existencia de Dios. Padre de la escolástica.</v>
      </c>
      <c r="I339" t="str">
        <f>_xlfn.XLOOKUP(frasest[[#This Row],[author_es]],autorest[author_es],autorest[bio_la])</f>
        <v>Archiepiscopus Cantuariensis, Doctor Ecclesiae et philosophus. Auctor argumenti ontologici existentiae Dei. Pater scholasticae.</v>
      </c>
      <c r="J339" t="str">
        <f>_xlfn.XLOOKUP(frasest[[#This Row],[author_es]],autorest[author_es],autorest[iso3691])</f>
        <v>la</v>
      </c>
      <c r="K339" t="str">
        <f>_xlfn.XLOOKUP(frasest[[#This Row],[author_es]],autorest[author_es],autorest[language_es])</f>
        <v>Latín</v>
      </c>
      <c r="L339" t="str">
        <f>_xlfn.XLOOKUP(frasest[[#This Row],[author_es]],autorest[author_es],autorest[language_la])</f>
        <v>Lingua Latina</v>
      </c>
      <c r="M339" t="str">
        <f>_xlfn.XLOOKUP(frasest[[#This Row],[author_es]],autorest[author_es],autorest[nation_es])</f>
        <v>Italia</v>
      </c>
      <c r="N339" t="str">
        <f>_xlfn.XLOOKUP(frasest[[#This Row],[author_es]],autorest[author_es],autorest[nation_la])</f>
        <v>Italia</v>
      </c>
      <c r="O339" t="str">
        <f>_xlfn.XLOOKUP(frasest[[#This Row],[author_es]],autorest[author_es],autorest[age_es])</f>
        <v>Edad Media</v>
      </c>
      <c r="P339" t="str">
        <f>_xlfn.XLOOKUP(frasest[[#This Row],[author_es]],autorest[author_es],autorest[age_la])</f>
        <v>Medium Aevum</v>
      </c>
      <c r="Q339" t="str">
        <f>_xlfn.XLOOKUP(frasest[[#This Row],[author_es]],autorest[author_es],autorest[image])</f>
        <v>https://i.ibb.co/Lz7Qxttz/sananselmocant.png</v>
      </c>
      <c r="R339">
        <f>_xlfn.XLOOKUP(frasest[[#This Row],[author_es]],autorest[author_es],autorest[image_atr])</f>
        <v>0</v>
      </c>
    </row>
    <row r="340" spans="1:18">
      <c r="A340">
        <v>339</v>
      </c>
      <c r="B340" t="s">
        <v>1169</v>
      </c>
      <c r="C340" t="s">
        <v>1170</v>
      </c>
      <c r="D340" t="s">
        <v>1170</v>
      </c>
      <c r="E340" t="s">
        <v>1165</v>
      </c>
      <c r="F340" t="s">
        <v>1171</v>
      </c>
      <c r="G340" t="str">
        <f>_xlfn.XLOOKUP(frasest[[#This Row],[author_es]],autorest[author_es],autorest[author_la])</f>
        <v>Anselmus Cantuariensis</v>
      </c>
      <c r="H340" t="str">
        <f>_xlfn.XLOOKUP(frasest[[#This Row],[author_es]],autorest[author_es],autorest[bio_es])</f>
        <v>Arzobispo de Canterbury, Doctor de la Iglesia y filósofo. Autor del argumento ontológico de la existencia de Dios. Padre de la escolástica.</v>
      </c>
      <c r="I340" t="str">
        <f>_xlfn.XLOOKUP(frasest[[#This Row],[author_es]],autorest[author_es],autorest[bio_la])</f>
        <v>Archiepiscopus Cantuariensis, Doctor Ecclesiae et philosophus. Auctor argumenti ontologici existentiae Dei. Pater scholasticae.</v>
      </c>
      <c r="J340" t="str">
        <f>_xlfn.XLOOKUP(frasest[[#This Row],[author_es]],autorest[author_es],autorest[iso3691])</f>
        <v>la</v>
      </c>
      <c r="K340" t="str">
        <f>_xlfn.XLOOKUP(frasest[[#This Row],[author_es]],autorest[author_es],autorest[language_es])</f>
        <v>Latín</v>
      </c>
      <c r="L340" t="str">
        <f>_xlfn.XLOOKUP(frasest[[#This Row],[author_es]],autorest[author_es],autorest[language_la])</f>
        <v>Lingua Latina</v>
      </c>
      <c r="M340" t="str">
        <f>_xlfn.XLOOKUP(frasest[[#This Row],[author_es]],autorest[author_es],autorest[nation_es])</f>
        <v>Italia</v>
      </c>
      <c r="N340" t="str">
        <f>_xlfn.XLOOKUP(frasest[[#This Row],[author_es]],autorest[author_es],autorest[nation_la])</f>
        <v>Italia</v>
      </c>
      <c r="O340" t="str">
        <f>_xlfn.XLOOKUP(frasest[[#This Row],[author_es]],autorest[author_es],autorest[age_es])</f>
        <v>Edad Media</v>
      </c>
      <c r="P340" t="str">
        <f>_xlfn.XLOOKUP(frasest[[#This Row],[author_es]],autorest[author_es],autorest[age_la])</f>
        <v>Medium Aevum</v>
      </c>
      <c r="Q340" t="str">
        <f>_xlfn.XLOOKUP(frasest[[#This Row],[author_es]],autorest[author_es],autorest[image])</f>
        <v>https://i.ibb.co/Lz7Qxttz/sananselmocant.png</v>
      </c>
      <c r="R340">
        <f>_xlfn.XLOOKUP(frasest[[#This Row],[author_es]],autorest[author_es],autorest[image_atr])</f>
        <v>0</v>
      </c>
    </row>
    <row r="341" spans="1:18">
      <c r="A341">
        <v>340</v>
      </c>
      <c r="B341" t="s">
        <v>1172</v>
      </c>
      <c r="C341" t="s">
        <v>1173</v>
      </c>
      <c r="D341" t="s">
        <v>1173</v>
      </c>
      <c r="E341" t="s">
        <v>1165</v>
      </c>
      <c r="F341" t="s">
        <v>1174</v>
      </c>
      <c r="G341" t="str">
        <f>_xlfn.XLOOKUP(frasest[[#This Row],[author_es]],autorest[author_es],autorest[author_la])</f>
        <v>Anselmus Cantuariensis</v>
      </c>
      <c r="H341" t="str">
        <f>_xlfn.XLOOKUP(frasest[[#This Row],[author_es]],autorest[author_es],autorest[bio_es])</f>
        <v>Arzobispo de Canterbury, Doctor de la Iglesia y filósofo. Autor del argumento ontológico de la existencia de Dios. Padre de la escolástica.</v>
      </c>
      <c r="I341" t="str">
        <f>_xlfn.XLOOKUP(frasest[[#This Row],[author_es]],autorest[author_es],autorest[bio_la])</f>
        <v>Archiepiscopus Cantuariensis, Doctor Ecclesiae et philosophus. Auctor argumenti ontologici existentiae Dei. Pater scholasticae.</v>
      </c>
      <c r="J341" t="str">
        <f>_xlfn.XLOOKUP(frasest[[#This Row],[author_es]],autorest[author_es],autorest[iso3691])</f>
        <v>la</v>
      </c>
      <c r="K341" t="str">
        <f>_xlfn.XLOOKUP(frasest[[#This Row],[author_es]],autorest[author_es],autorest[language_es])</f>
        <v>Latín</v>
      </c>
      <c r="L341" t="str">
        <f>_xlfn.XLOOKUP(frasest[[#This Row],[author_es]],autorest[author_es],autorest[language_la])</f>
        <v>Lingua Latina</v>
      </c>
      <c r="M341" t="str">
        <f>_xlfn.XLOOKUP(frasest[[#This Row],[author_es]],autorest[author_es],autorest[nation_es])</f>
        <v>Italia</v>
      </c>
      <c r="N341" t="str">
        <f>_xlfn.XLOOKUP(frasest[[#This Row],[author_es]],autorest[author_es],autorest[nation_la])</f>
        <v>Italia</v>
      </c>
      <c r="O341" t="str">
        <f>_xlfn.XLOOKUP(frasest[[#This Row],[author_es]],autorest[author_es],autorest[age_es])</f>
        <v>Edad Media</v>
      </c>
      <c r="P341" t="str">
        <f>_xlfn.XLOOKUP(frasest[[#This Row],[author_es]],autorest[author_es],autorest[age_la])</f>
        <v>Medium Aevum</v>
      </c>
      <c r="Q341" t="str">
        <f>_xlfn.XLOOKUP(frasest[[#This Row],[author_es]],autorest[author_es],autorest[image])</f>
        <v>https://i.ibb.co/Lz7Qxttz/sananselmocant.png</v>
      </c>
      <c r="R341">
        <f>_xlfn.XLOOKUP(frasest[[#This Row],[author_es]],autorest[author_es],autorest[image_atr])</f>
        <v>0</v>
      </c>
    </row>
    <row r="342" spans="1:18">
      <c r="A342">
        <v>341</v>
      </c>
      <c r="B342" t="s">
        <v>1175</v>
      </c>
      <c r="C342" t="s">
        <v>1176</v>
      </c>
      <c r="D342" t="s">
        <v>1176</v>
      </c>
      <c r="E342" t="s">
        <v>1165</v>
      </c>
      <c r="F342" t="s">
        <v>1177</v>
      </c>
      <c r="G342" t="str">
        <f>_xlfn.XLOOKUP(frasest[[#This Row],[author_es]],autorest[author_es],autorest[author_la])</f>
        <v>Anselmus Cantuariensis</v>
      </c>
      <c r="H342" t="str">
        <f>_xlfn.XLOOKUP(frasest[[#This Row],[author_es]],autorest[author_es],autorest[bio_es])</f>
        <v>Arzobispo de Canterbury, Doctor de la Iglesia y filósofo. Autor del argumento ontológico de la existencia de Dios. Padre de la escolástica.</v>
      </c>
      <c r="I342" t="str">
        <f>_xlfn.XLOOKUP(frasest[[#This Row],[author_es]],autorest[author_es],autorest[bio_la])</f>
        <v>Archiepiscopus Cantuariensis, Doctor Ecclesiae et philosophus. Auctor argumenti ontologici existentiae Dei. Pater scholasticae.</v>
      </c>
      <c r="J342" t="str">
        <f>_xlfn.XLOOKUP(frasest[[#This Row],[author_es]],autorest[author_es],autorest[iso3691])</f>
        <v>la</v>
      </c>
      <c r="K342" t="str">
        <f>_xlfn.XLOOKUP(frasest[[#This Row],[author_es]],autorest[author_es],autorest[language_es])</f>
        <v>Latín</v>
      </c>
      <c r="L342" t="str">
        <f>_xlfn.XLOOKUP(frasest[[#This Row],[author_es]],autorest[author_es],autorest[language_la])</f>
        <v>Lingua Latina</v>
      </c>
      <c r="M342" t="str">
        <f>_xlfn.XLOOKUP(frasest[[#This Row],[author_es]],autorest[author_es],autorest[nation_es])</f>
        <v>Italia</v>
      </c>
      <c r="N342" t="str">
        <f>_xlfn.XLOOKUP(frasest[[#This Row],[author_es]],autorest[author_es],autorest[nation_la])</f>
        <v>Italia</v>
      </c>
      <c r="O342" t="str">
        <f>_xlfn.XLOOKUP(frasest[[#This Row],[author_es]],autorest[author_es],autorest[age_es])</f>
        <v>Edad Media</v>
      </c>
      <c r="P342" t="str">
        <f>_xlfn.XLOOKUP(frasest[[#This Row],[author_es]],autorest[author_es],autorest[age_la])</f>
        <v>Medium Aevum</v>
      </c>
      <c r="Q342" t="str">
        <f>_xlfn.XLOOKUP(frasest[[#This Row],[author_es]],autorest[author_es],autorest[image])</f>
        <v>https://i.ibb.co/Lz7Qxttz/sananselmocant.png</v>
      </c>
      <c r="R342">
        <f>_xlfn.XLOOKUP(frasest[[#This Row],[author_es]],autorest[author_es],autorest[image_atr])</f>
        <v>0</v>
      </c>
    </row>
    <row r="343" spans="1:18">
      <c r="A343">
        <v>342</v>
      </c>
      <c r="B343" t="s">
        <v>1178</v>
      </c>
      <c r="C343" t="s">
        <v>1179</v>
      </c>
      <c r="D343" t="s">
        <v>1179</v>
      </c>
      <c r="E343" t="s">
        <v>1165</v>
      </c>
      <c r="F343" t="s">
        <v>1180</v>
      </c>
      <c r="G343" t="str">
        <f>_xlfn.XLOOKUP(frasest[[#This Row],[author_es]],autorest[author_es],autorest[author_la])</f>
        <v>Anselmus Cantuariensis</v>
      </c>
      <c r="H343" t="str">
        <f>_xlfn.XLOOKUP(frasest[[#This Row],[author_es]],autorest[author_es],autorest[bio_es])</f>
        <v>Arzobispo de Canterbury, Doctor de la Iglesia y filósofo. Autor del argumento ontológico de la existencia de Dios. Padre de la escolástica.</v>
      </c>
      <c r="I343" t="str">
        <f>_xlfn.XLOOKUP(frasest[[#This Row],[author_es]],autorest[author_es],autorest[bio_la])</f>
        <v>Archiepiscopus Cantuariensis, Doctor Ecclesiae et philosophus. Auctor argumenti ontologici existentiae Dei. Pater scholasticae.</v>
      </c>
      <c r="J343" t="str">
        <f>_xlfn.XLOOKUP(frasest[[#This Row],[author_es]],autorest[author_es],autorest[iso3691])</f>
        <v>la</v>
      </c>
      <c r="K343" t="str">
        <f>_xlfn.XLOOKUP(frasest[[#This Row],[author_es]],autorest[author_es],autorest[language_es])</f>
        <v>Latín</v>
      </c>
      <c r="L343" t="str">
        <f>_xlfn.XLOOKUP(frasest[[#This Row],[author_es]],autorest[author_es],autorest[language_la])</f>
        <v>Lingua Latina</v>
      </c>
      <c r="M343" t="str">
        <f>_xlfn.XLOOKUP(frasest[[#This Row],[author_es]],autorest[author_es],autorest[nation_es])</f>
        <v>Italia</v>
      </c>
      <c r="N343" t="str">
        <f>_xlfn.XLOOKUP(frasest[[#This Row],[author_es]],autorest[author_es],autorest[nation_la])</f>
        <v>Italia</v>
      </c>
      <c r="O343" t="str">
        <f>_xlfn.XLOOKUP(frasest[[#This Row],[author_es]],autorest[author_es],autorest[age_es])</f>
        <v>Edad Media</v>
      </c>
      <c r="P343" t="str">
        <f>_xlfn.XLOOKUP(frasest[[#This Row],[author_es]],autorest[author_es],autorest[age_la])</f>
        <v>Medium Aevum</v>
      </c>
      <c r="Q343" t="str">
        <f>_xlfn.XLOOKUP(frasest[[#This Row],[author_es]],autorest[author_es],autorest[image])</f>
        <v>https://i.ibb.co/Lz7Qxttz/sananselmocant.png</v>
      </c>
      <c r="R343">
        <f>_xlfn.XLOOKUP(frasest[[#This Row],[author_es]],autorest[author_es],autorest[image_atr])</f>
        <v>0</v>
      </c>
    </row>
    <row r="344" spans="1:18">
      <c r="A344">
        <v>343</v>
      </c>
      <c r="B344" t="s">
        <v>1181</v>
      </c>
      <c r="C344" t="s">
        <v>1182</v>
      </c>
      <c r="D344" t="s">
        <v>1182</v>
      </c>
      <c r="E344" t="s">
        <v>1165</v>
      </c>
      <c r="F344" t="s">
        <v>1183</v>
      </c>
      <c r="G344" t="str">
        <f>_xlfn.XLOOKUP(frasest[[#This Row],[author_es]],autorest[author_es],autorest[author_la])</f>
        <v>Anselmus Cantuariensis</v>
      </c>
      <c r="H344" t="str">
        <f>_xlfn.XLOOKUP(frasest[[#This Row],[author_es]],autorest[author_es],autorest[bio_es])</f>
        <v>Arzobispo de Canterbury, Doctor de la Iglesia y filósofo. Autor del argumento ontológico de la existencia de Dios. Padre de la escolástica.</v>
      </c>
      <c r="I344" t="str">
        <f>_xlfn.XLOOKUP(frasest[[#This Row],[author_es]],autorest[author_es],autorest[bio_la])</f>
        <v>Archiepiscopus Cantuariensis, Doctor Ecclesiae et philosophus. Auctor argumenti ontologici existentiae Dei. Pater scholasticae.</v>
      </c>
      <c r="J344" t="str">
        <f>_xlfn.XLOOKUP(frasest[[#This Row],[author_es]],autorest[author_es],autorest[iso3691])</f>
        <v>la</v>
      </c>
      <c r="K344" t="str">
        <f>_xlfn.XLOOKUP(frasest[[#This Row],[author_es]],autorest[author_es],autorest[language_es])</f>
        <v>Latín</v>
      </c>
      <c r="L344" t="str">
        <f>_xlfn.XLOOKUP(frasest[[#This Row],[author_es]],autorest[author_es],autorest[language_la])</f>
        <v>Lingua Latina</v>
      </c>
      <c r="M344" t="str">
        <f>_xlfn.XLOOKUP(frasest[[#This Row],[author_es]],autorest[author_es],autorest[nation_es])</f>
        <v>Italia</v>
      </c>
      <c r="N344" t="str">
        <f>_xlfn.XLOOKUP(frasest[[#This Row],[author_es]],autorest[author_es],autorest[nation_la])</f>
        <v>Italia</v>
      </c>
      <c r="O344" t="str">
        <f>_xlfn.XLOOKUP(frasest[[#This Row],[author_es]],autorest[author_es],autorest[age_es])</f>
        <v>Edad Media</v>
      </c>
      <c r="P344" t="str">
        <f>_xlfn.XLOOKUP(frasest[[#This Row],[author_es]],autorest[author_es],autorest[age_la])</f>
        <v>Medium Aevum</v>
      </c>
      <c r="Q344" t="str">
        <f>_xlfn.XLOOKUP(frasest[[#This Row],[author_es]],autorest[author_es],autorest[image])</f>
        <v>https://i.ibb.co/Lz7Qxttz/sananselmocant.png</v>
      </c>
      <c r="R344">
        <f>_xlfn.XLOOKUP(frasest[[#This Row],[author_es]],autorest[author_es],autorest[image_atr])</f>
        <v>0</v>
      </c>
    </row>
    <row r="345" spans="1:18">
      <c r="A345">
        <v>344</v>
      </c>
      <c r="B345" t="s">
        <v>1184</v>
      </c>
      <c r="C345" t="s">
        <v>1185</v>
      </c>
      <c r="D345" t="s">
        <v>1185</v>
      </c>
      <c r="E345" t="s">
        <v>1165</v>
      </c>
      <c r="F345" t="s">
        <v>1186</v>
      </c>
      <c r="G345" t="str">
        <f>_xlfn.XLOOKUP(frasest[[#This Row],[author_es]],autorest[author_es],autorest[author_la])</f>
        <v>Anselmus Cantuariensis</v>
      </c>
      <c r="H345" t="str">
        <f>_xlfn.XLOOKUP(frasest[[#This Row],[author_es]],autorest[author_es],autorest[bio_es])</f>
        <v>Arzobispo de Canterbury, Doctor de la Iglesia y filósofo. Autor del argumento ontológico de la existencia de Dios. Padre de la escolástica.</v>
      </c>
      <c r="I345" t="str">
        <f>_xlfn.XLOOKUP(frasest[[#This Row],[author_es]],autorest[author_es],autorest[bio_la])</f>
        <v>Archiepiscopus Cantuariensis, Doctor Ecclesiae et philosophus. Auctor argumenti ontologici existentiae Dei. Pater scholasticae.</v>
      </c>
      <c r="J345" t="str">
        <f>_xlfn.XLOOKUP(frasest[[#This Row],[author_es]],autorest[author_es],autorest[iso3691])</f>
        <v>la</v>
      </c>
      <c r="K345" t="str">
        <f>_xlfn.XLOOKUP(frasest[[#This Row],[author_es]],autorest[author_es],autorest[language_es])</f>
        <v>Latín</v>
      </c>
      <c r="L345" t="str">
        <f>_xlfn.XLOOKUP(frasest[[#This Row],[author_es]],autorest[author_es],autorest[language_la])</f>
        <v>Lingua Latina</v>
      </c>
      <c r="M345" t="str">
        <f>_xlfn.XLOOKUP(frasest[[#This Row],[author_es]],autorest[author_es],autorest[nation_es])</f>
        <v>Italia</v>
      </c>
      <c r="N345" t="str">
        <f>_xlfn.XLOOKUP(frasest[[#This Row],[author_es]],autorest[author_es],autorest[nation_la])</f>
        <v>Italia</v>
      </c>
      <c r="O345" t="str">
        <f>_xlfn.XLOOKUP(frasest[[#This Row],[author_es]],autorest[author_es],autorest[age_es])</f>
        <v>Edad Media</v>
      </c>
      <c r="P345" t="str">
        <f>_xlfn.XLOOKUP(frasest[[#This Row],[author_es]],autorest[author_es],autorest[age_la])</f>
        <v>Medium Aevum</v>
      </c>
      <c r="Q345" t="str">
        <f>_xlfn.XLOOKUP(frasest[[#This Row],[author_es]],autorest[author_es],autorest[image])</f>
        <v>https://i.ibb.co/Lz7Qxttz/sananselmocant.png</v>
      </c>
      <c r="R345">
        <f>_xlfn.XLOOKUP(frasest[[#This Row],[author_es]],autorest[author_es],autorest[image_atr])</f>
        <v>0</v>
      </c>
    </row>
    <row r="346" spans="1:18">
      <c r="A346">
        <v>345</v>
      </c>
      <c r="B346" t="s">
        <v>1187</v>
      </c>
      <c r="C346" t="s">
        <v>1188</v>
      </c>
      <c r="D346" t="s">
        <v>1188</v>
      </c>
      <c r="E346" t="s">
        <v>1165</v>
      </c>
      <c r="F346" t="s">
        <v>1189</v>
      </c>
      <c r="G346" t="str">
        <f>_xlfn.XLOOKUP(frasest[[#This Row],[author_es]],autorest[author_es],autorest[author_la])</f>
        <v>Anselmus Cantuariensis</v>
      </c>
      <c r="H346" t="str">
        <f>_xlfn.XLOOKUP(frasest[[#This Row],[author_es]],autorest[author_es],autorest[bio_es])</f>
        <v>Arzobispo de Canterbury, Doctor de la Iglesia y filósofo. Autor del argumento ontológico de la existencia de Dios. Padre de la escolástica.</v>
      </c>
      <c r="I346" t="str">
        <f>_xlfn.XLOOKUP(frasest[[#This Row],[author_es]],autorest[author_es],autorest[bio_la])</f>
        <v>Archiepiscopus Cantuariensis, Doctor Ecclesiae et philosophus. Auctor argumenti ontologici existentiae Dei. Pater scholasticae.</v>
      </c>
      <c r="J346" t="str">
        <f>_xlfn.XLOOKUP(frasest[[#This Row],[author_es]],autorest[author_es],autorest[iso3691])</f>
        <v>la</v>
      </c>
      <c r="K346" t="str">
        <f>_xlfn.XLOOKUP(frasest[[#This Row],[author_es]],autorest[author_es],autorest[language_es])</f>
        <v>Latín</v>
      </c>
      <c r="L346" t="str">
        <f>_xlfn.XLOOKUP(frasest[[#This Row],[author_es]],autorest[author_es],autorest[language_la])</f>
        <v>Lingua Latina</v>
      </c>
      <c r="M346" t="str">
        <f>_xlfn.XLOOKUP(frasest[[#This Row],[author_es]],autorest[author_es],autorest[nation_es])</f>
        <v>Italia</v>
      </c>
      <c r="N346" t="str">
        <f>_xlfn.XLOOKUP(frasest[[#This Row],[author_es]],autorest[author_es],autorest[nation_la])</f>
        <v>Italia</v>
      </c>
      <c r="O346" t="str">
        <f>_xlfn.XLOOKUP(frasest[[#This Row],[author_es]],autorest[author_es],autorest[age_es])</f>
        <v>Edad Media</v>
      </c>
      <c r="P346" t="str">
        <f>_xlfn.XLOOKUP(frasest[[#This Row],[author_es]],autorest[author_es],autorest[age_la])</f>
        <v>Medium Aevum</v>
      </c>
      <c r="Q346" t="str">
        <f>_xlfn.XLOOKUP(frasest[[#This Row],[author_es]],autorest[author_es],autorest[image])</f>
        <v>https://i.ibb.co/Lz7Qxttz/sananselmocant.png</v>
      </c>
      <c r="R346">
        <f>_xlfn.XLOOKUP(frasest[[#This Row],[author_es]],autorest[author_es],autorest[image_atr])</f>
        <v>0</v>
      </c>
    </row>
    <row r="347" spans="1:18">
      <c r="A347">
        <v>346</v>
      </c>
      <c r="B347" t="s">
        <v>1190</v>
      </c>
      <c r="C347" t="s">
        <v>1191</v>
      </c>
      <c r="D347" t="s">
        <v>1191</v>
      </c>
      <c r="E347" t="s">
        <v>1165</v>
      </c>
      <c r="F347" t="s">
        <v>1192</v>
      </c>
      <c r="G347" t="str">
        <f>_xlfn.XLOOKUP(frasest[[#This Row],[author_es]],autorest[author_es],autorest[author_la])</f>
        <v>Anselmus Cantuariensis</v>
      </c>
      <c r="H347" t="str">
        <f>_xlfn.XLOOKUP(frasest[[#This Row],[author_es]],autorest[author_es],autorest[bio_es])</f>
        <v>Arzobispo de Canterbury, Doctor de la Iglesia y filósofo. Autor del argumento ontológico de la existencia de Dios. Padre de la escolástica.</v>
      </c>
      <c r="I347" t="str">
        <f>_xlfn.XLOOKUP(frasest[[#This Row],[author_es]],autorest[author_es],autorest[bio_la])</f>
        <v>Archiepiscopus Cantuariensis, Doctor Ecclesiae et philosophus. Auctor argumenti ontologici existentiae Dei. Pater scholasticae.</v>
      </c>
      <c r="J347" t="str">
        <f>_xlfn.XLOOKUP(frasest[[#This Row],[author_es]],autorest[author_es],autorest[iso3691])</f>
        <v>la</v>
      </c>
      <c r="K347" t="str">
        <f>_xlfn.XLOOKUP(frasest[[#This Row],[author_es]],autorest[author_es],autorest[language_es])</f>
        <v>Latín</v>
      </c>
      <c r="L347" t="str">
        <f>_xlfn.XLOOKUP(frasest[[#This Row],[author_es]],autorest[author_es],autorest[language_la])</f>
        <v>Lingua Latina</v>
      </c>
      <c r="M347" t="str">
        <f>_xlfn.XLOOKUP(frasest[[#This Row],[author_es]],autorest[author_es],autorest[nation_es])</f>
        <v>Italia</v>
      </c>
      <c r="N347" t="str">
        <f>_xlfn.XLOOKUP(frasest[[#This Row],[author_es]],autorest[author_es],autorest[nation_la])</f>
        <v>Italia</v>
      </c>
      <c r="O347" t="str">
        <f>_xlfn.XLOOKUP(frasest[[#This Row],[author_es]],autorest[author_es],autorest[age_es])</f>
        <v>Edad Media</v>
      </c>
      <c r="P347" t="str">
        <f>_xlfn.XLOOKUP(frasest[[#This Row],[author_es]],autorest[author_es],autorest[age_la])</f>
        <v>Medium Aevum</v>
      </c>
      <c r="Q347" t="str">
        <f>_xlfn.XLOOKUP(frasest[[#This Row],[author_es]],autorest[author_es],autorest[image])</f>
        <v>https://i.ibb.co/Lz7Qxttz/sananselmocant.png</v>
      </c>
      <c r="R347">
        <f>_xlfn.XLOOKUP(frasest[[#This Row],[author_es]],autorest[author_es],autorest[image_atr])</f>
        <v>0</v>
      </c>
    </row>
    <row r="348" spans="1:18">
      <c r="A348">
        <v>347</v>
      </c>
      <c r="B348" t="s">
        <v>1193</v>
      </c>
      <c r="C348" t="s">
        <v>1194</v>
      </c>
      <c r="D348" t="s">
        <v>1194</v>
      </c>
      <c r="E348" t="s">
        <v>1195</v>
      </c>
      <c r="F348" t="s">
        <v>1196</v>
      </c>
      <c r="G348" t="str">
        <f>_xlfn.XLOOKUP(frasest[[#This Row],[author_es]],autorest[author_es],autorest[author_la])</f>
        <v>Gulielmus de Ockham</v>
      </c>
      <c r="H348" t="str">
        <f>_xlfn.XLOOKUP(frasest[[#This Row],[author_es]],autorest[author_es],autorest[bio_es])</f>
        <v>Filósofo y teólogo franciscano inglés. Padre del nominalismo, autor de la "navaja de Ockham" (principio de parsimonia). Defensor de la separación entre fe y razón.</v>
      </c>
      <c r="I348" t="str">
        <f>_xlfn.XLOOKUP(frasest[[#This Row],[author_es]],autorest[author_es],autorest[bio_la])</f>
        <v>Philosophus et theologus Franciscanus Anglicus. Pater nominalismi, auctor "novaculae Occami" (principium parsimoniae). Separationis inter fidem et rationem defensor.</v>
      </c>
      <c r="J348" t="str">
        <f>_xlfn.XLOOKUP(frasest[[#This Row],[author_es]],autorest[author_es],autorest[iso3691])</f>
        <v>en</v>
      </c>
      <c r="K348" t="str">
        <f>_xlfn.XLOOKUP(frasest[[#This Row],[author_es]],autorest[author_es],autorest[language_es])</f>
        <v>Inglés</v>
      </c>
      <c r="L348" t="str">
        <f>_xlfn.XLOOKUP(frasest[[#This Row],[author_es]],autorest[author_es],autorest[language_la])</f>
        <v>Lingua Anglica</v>
      </c>
      <c r="M348" t="str">
        <f>_xlfn.XLOOKUP(frasest[[#This Row],[author_es]],autorest[author_es],autorest[nation_es])</f>
        <v>Reino Unido</v>
      </c>
      <c r="N348" t="str">
        <f>_xlfn.XLOOKUP(frasest[[#This Row],[author_es]],autorest[author_es],autorest[nation_la])</f>
        <v>Regnum Unitum</v>
      </c>
      <c r="O348" t="str">
        <f>_xlfn.XLOOKUP(frasest[[#This Row],[author_es]],autorest[author_es],autorest[age_es])</f>
        <v>Edad Media</v>
      </c>
      <c r="P348" t="str">
        <f>_xlfn.XLOOKUP(frasest[[#This Row],[author_es]],autorest[author_es],autorest[age_la])</f>
        <v>Medium Aevum</v>
      </c>
      <c r="Q348" t="str">
        <f>_xlfn.XLOOKUP(frasest[[#This Row],[author_es]],autorest[author_es],autorest[image])</f>
        <v>https://i.ibb.co/G38ns2JL/ockcham.png</v>
      </c>
      <c r="R348">
        <f>_xlfn.XLOOKUP(frasest[[#This Row],[author_es]],autorest[author_es],autorest[image_atr])</f>
        <v>0</v>
      </c>
    </row>
    <row r="349" spans="1:18">
      <c r="A349">
        <v>348</v>
      </c>
      <c r="B349" t="s">
        <v>1197</v>
      </c>
      <c r="C349" t="s">
        <v>1198</v>
      </c>
      <c r="D349" t="s">
        <v>1198</v>
      </c>
      <c r="E349" t="s">
        <v>1195</v>
      </c>
      <c r="F349" t="s">
        <v>1196</v>
      </c>
      <c r="G349" t="str">
        <f>_xlfn.XLOOKUP(frasest[[#This Row],[author_es]],autorest[author_es],autorest[author_la])</f>
        <v>Gulielmus de Ockham</v>
      </c>
      <c r="H349" t="str">
        <f>_xlfn.XLOOKUP(frasest[[#This Row],[author_es]],autorest[author_es],autorest[bio_es])</f>
        <v>Filósofo y teólogo franciscano inglés. Padre del nominalismo, autor de la "navaja de Ockham" (principio de parsimonia). Defensor de la separación entre fe y razón.</v>
      </c>
      <c r="I349" t="str">
        <f>_xlfn.XLOOKUP(frasest[[#This Row],[author_es]],autorest[author_es],autorest[bio_la])</f>
        <v>Philosophus et theologus Franciscanus Anglicus. Pater nominalismi, auctor "novaculae Occami" (principium parsimoniae). Separationis inter fidem et rationem defensor.</v>
      </c>
      <c r="J349" t="str">
        <f>_xlfn.XLOOKUP(frasest[[#This Row],[author_es]],autorest[author_es],autorest[iso3691])</f>
        <v>en</v>
      </c>
      <c r="K349" t="str">
        <f>_xlfn.XLOOKUP(frasest[[#This Row],[author_es]],autorest[author_es],autorest[language_es])</f>
        <v>Inglés</v>
      </c>
      <c r="L349" t="str">
        <f>_xlfn.XLOOKUP(frasest[[#This Row],[author_es]],autorest[author_es],autorest[language_la])</f>
        <v>Lingua Anglica</v>
      </c>
      <c r="M349" t="str">
        <f>_xlfn.XLOOKUP(frasest[[#This Row],[author_es]],autorest[author_es],autorest[nation_es])</f>
        <v>Reino Unido</v>
      </c>
      <c r="N349" t="str">
        <f>_xlfn.XLOOKUP(frasest[[#This Row],[author_es]],autorest[author_es],autorest[nation_la])</f>
        <v>Regnum Unitum</v>
      </c>
      <c r="O349" t="str">
        <f>_xlfn.XLOOKUP(frasest[[#This Row],[author_es]],autorest[author_es],autorest[age_es])</f>
        <v>Edad Media</v>
      </c>
      <c r="P349" t="str">
        <f>_xlfn.XLOOKUP(frasest[[#This Row],[author_es]],autorest[author_es],autorest[age_la])</f>
        <v>Medium Aevum</v>
      </c>
      <c r="Q349" t="str">
        <f>_xlfn.XLOOKUP(frasest[[#This Row],[author_es]],autorest[author_es],autorest[image])</f>
        <v>https://i.ibb.co/G38ns2JL/ockcham.png</v>
      </c>
      <c r="R349">
        <f>_xlfn.XLOOKUP(frasest[[#This Row],[author_es]],autorest[author_es],autorest[image_atr])</f>
        <v>0</v>
      </c>
    </row>
    <row r="350" spans="1:18">
      <c r="A350">
        <v>349</v>
      </c>
      <c r="B350" t="s">
        <v>1199</v>
      </c>
      <c r="C350" t="s">
        <v>1200</v>
      </c>
      <c r="D350" t="s">
        <v>1200</v>
      </c>
      <c r="E350" t="s">
        <v>1195</v>
      </c>
      <c r="F350" t="s">
        <v>1196</v>
      </c>
      <c r="G350" t="str">
        <f>_xlfn.XLOOKUP(frasest[[#This Row],[author_es]],autorest[author_es],autorest[author_la])</f>
        <v>Gulielmus de Ockham</v>
      </c>
      <c r="H350" t="str">
        <f>_xlfn.XLOOKUP(frasest[[#This Row],[author_es]],autorest[author_es],autorest[bio_es])</f>
        <v>Filósofo y teólogo franciscano inglés. Padre del nominalismo, autor de la "navaja de Ockham" (principio de parsimonia). Defensor de la separación entre fe y razón.</v>
      </c>
      <c r="I350" t="str">
        <f>_xlfn.XLOOKUP(frasest[[#This Row],[author_es]],autorest[author_es],autorest[bio_la])</f>
        <v>Philosophus et theologus Franciscanus Anglicus. Pater nominalismi, auctor "novaculae Occami" (principium parsimoniae). Separationis inter fidem et rationem defensor.</v>
      </c>
      <c r="J350" t="str">
        <f>_xlfn.XLOOKUP(frasest[[#This Row],[author_es]],autorest[author_es],autorest[iso3691])</f>
        <v>en</v>
      </c>
      <c r="K350" t="str">
        <f>_xlfn.XLOOKUP(frasest[[#This Row],[author_es]],autorest[author_es],autorest[language_es])</f>
        <v>Inglés</v>
      </c>
      <c r="L350" t="str">
        <f>_xlfn.XLOOKUP(frasest[[#This Row],[author_es]],autorest[author_es],autorest[language_la])</f>
        <v>Lingua Anglica</v>
      </c>
      <c r="M350" t="str">
        <f>_xlfn.XLOOKUP(frasest[[#This Row],[author_es]],autorest[author_es],autorest[nation_es])</f>
        <v>Reino Unido</v>
      </c>
      <c r="N350" t="str">
        <f>_xlfn.XLOOKUP(frasest[[#This Row],[author_es]],autorest[author_es],autorest[nation_la])</f>
        <v>Regnum Unitum</v>
      </c>
      <c r="O350" t="str">
        <f>_xlfn.XLOOKUP(frasest[[#This Row],[author_es]],autorest[author_es],autorest[age_es])</f>
        <v>Edad Media</v>
      </c>
      <c r="P350" t="str">
        <f>_xlfn.XLOOKUP(frasest[[#This Row],[author_es]],autorest[author_es],autorest[age_la])</f>
        <v>Medium Aevum</v>
      </c>
      <c r="Q350" t="str">
        <f>_xlfn.XLOOKUP(frasest[[#This Row],[author_es]],autorest[author_es],autorest[image])</f>
        <v>https://i.ibb.co/G38ns2JL/ockcham.png</v>
      </c>
      <c r="R350">
        <f>_xlfn.XLOOKUP(frasest[[#This Row],[author_es]],autorest[author_es],autorest[image_atr])</f>
        <v>0</v>
      </c>
    </row>
    <row r="351" spans="1:18">
      <c r="A351">
        <v>350</v>
      </c>
      <c r="B351" t="s">
        <v>1201</v>
      </c>
      <c r="C351" t="s">
        <v>1202</v>
      </c>
      <c r="D351" t="s">
        <v>1202</v>
      </c>
      <c r="E351" t="s">
        <v>1195</v>
      </c>
      <c r="F351" t="s">
        <v>1196</v>
      </c>
      <c r="G351" t="str">
        <f>_xlfn.XLOOKUP(frasest[[#This Row],[author_es]],autorest[author_es],autorest[author_la])</f>
        <v>Gulielmus de Ockham</v>
      </c>
      <c r="H351" t="str">
        <f>_xlfn.XLOOKUP(frasest[[#This Row],[author_es]],autorest[author_es],autorest[bio_es])</f>
        <v>Filósofo y teólogo franciscano inglés. Padre del nominalismo, autor de la "navaja de Ockham" (principio de parsimonia). Defensor de la separación entre fe y razón.</v>
      </c>
      <c r="I351" t="str">
        <f>_xlfn.XLOOKUP(frasest[[#This Row],[author_es]],autorest[author_es],autorest[bio_la])</f>
        <v>Philosophus et theologus Franciscanus Anglicus. Pater nominalismi, auctor "novaculae Occami" (principium parsimoniae). Separationis inter fidem et rationem defensor.</v>
      </c>
      <c r="J351" t="str">
        <f>_xlfn.XLOOKUP(frasest[[#This Row],[author_es]],autorest[author_es],autorest[iso3691])</f>
        <v>en</v>
      </c>
      <c r="K351" t="str">
        <f>_xlfn.XLOOKUP(frasest[[#This Row],[author_es]],autorest[author_es],autorest[language_es])</f>
        <v>Inglés</v>
      </c>
      <c r="L351" t="str">
        <f>_xlfn.XLOOKUP(frasest[[#This Row],[author_es]],autorest[author_es],autorest[language_la])</f>
        <v>Lingua Anglica</v>
      </c>
      <c r="M351" t="str">
        <f>_xlfn.XLOOKUP(frasest[[#This Row],[author_es]],autorest[author_es],autorest[nation_es])</f>
        <v>Reino Unido</v>
      </c>
      <c r="N351" t="str">
        <f>_xlfn.XLOOKUP(frasest[[#This Row],[author_es]],autorest[author_es],autorest[nation_la])</f>
        <v>Regnum Unitum</v>
      </c>
      <c r="O351" t="str">
        <f>_xlfn.XLOOKUP(frasest[[#This Row],[author_es]],autorest[author_es],autorest[age_es])</f>
        <v>Edad Media</v>
      </c>
      <c r="P351" t="str">
        <f>_xlfn.XLOOKUP(frasest[[#This Row],[author_es]],autorest[author_es],autorest[age_la])</f>
        <v>Medium Aevum</v>
      </c>
      <c r="Q351" t="str">
        <f>_xlfn.XLOOKUP(frasest[[#This Row],[author_es]],autorest[author_es],autorest[image])</f>
        <v>https://i.ibb.co/G38ns2JL/ockcham.png</v>
      </c>
      <c r="R351">
        <f>_xlfn.XLOOKUP(frasest[[#This Row],[author_es]],autorest[author_es],autorest[image_atr])</f>
        <v>0</v>
      </c>
    </row>
    <row r="352" spans="1:18">
      <c r="A352">
        <v>351</v>
      </c>
      <c r="B352" t="s">
        <v>1203</v>
      </c>
      <c r="C352" t="s">
        <v>1204</v>
      </c>
      <c r="D352" t="s">
        <v>1204</v>
      </c>
      <c r="E352" t="s">
        <v>1195</v>
      </c>
      <c r="F352" t="s">
        <v>1205</v>
      </c>
      <c r="G352" t="str">
        <f>_xlfn.XLOOKUP(frasest[[#This Row],[author_es]],autorest[author_es],autorest[author_la])</f>
        <v>Gulielmus de Ockham</v>
      </c>
      <c r="H352" t="str">
        <f>_xlfn.XLOOKUP(frasest[[#This Row],[author_es]],autorest[author_es],autorest[bio_es])</f>
        <v>Filósofo y teólogo franciscano inglés. Padre del nominalismo, autor de la "navaja de Ockham" (principio de parsimonia). Defensor de la separación entre fe y razón.</v>
      </c>
      <c r="I352" t="str">
        <f>_xlfn.XLOOKUP(frasest[[#This Row],[author_es]],autorest[author_es],autorest[bio_la])</f>
        <v>Philosophus et theologus Franciscanus Anglicus. Pater nominalismi, auctor "novaculae Occami" (principium parsimoniae). Separationis inter fidem et rationem defensor.</v>
      </c>
      <c r="J352" t="str">
        <f>_xlfn.XLOOKUP(frasest[[#This Row],[author_es]],autorest[author_es],autorest[iso3691])</f>
        <v>en</v>
      </c>
      <c r="K352" t="str">
        <f>_xlfn.XLOOKUP(frasest[[#This Row],[author_es]],autorest[author_es],autorest[language_es])</f>
        <v>Inglés</v>
      </c>
      <c r="L352" t="str">
        <f>_xlfn.XLOOKUP(frasest[[#This Row],[author_es]],autorest[author_es],autorest[language_la])</f>
        <v>Lingua Anglica</v>
      </c>
      <c r="M352" t="str">
        <f>_xlfn.XLOOKUP(frasest[[#This Row],[author_es]],autorest[author_es],autorest[nation_es])</f>
        <v>Reino Unido</v>
      </c>
      <c r="N352" t="str">
        <f>_xlfn.XLOOKUP(frasest[[#This Row],[author_es]],autorest[author_es],autorest[nation_la])</f>
        <v>Regnum Unitum</v>
      </c>
      <c r="O352" t="str">
        <f>_xlfn.XLOOKUP(frasest[[#This Row],[author_es]],autorest[author_es],autorest[age_es])</f>
        <v>Edad Media</v>
      </c>
      <c r="P352" t="str">
        <f>_xlfn.XLOOKUP(frasest[[#This Row],[author_es]],autorest[author_es],autorest[age_la])</f>
        <v>Medium Aevum</v>
      </c>
      <c r="Q352" t="str">
        <f>_xlfn.XLOOKUP(frasest[[#This Row],[author_es]],autorest[author_es],autorest[image])</f>
        <v>https://i.ibb.co/G38ns2JL/ockcham.png</v>
      </c>
      <c r="R352">
        <f>_xlfn.XLOOKUP(frasest[[#This Row],[author_es]],autorest[author_es],autorest[image_atr])</f>
        <v>0</v>
      </c>
    </row>
    <row r="353" spans="1:18">
      <c r="A353">
        <v>352</v>
      </c>
      <c r="B353" t="s">
        <v>1206</v>
      </c>
      <c r="C353" t="s">
        <v>1207</v>
      </c>
      <c r="D353" t="s">
        <v>1207</v>
      </c>
      <c r="E353" t="s">
        <v>1195</v>
      </c>
      <c r="F353" t="s">
        <v>1205</v>
      </c>
      <c r="G353" t="str">
        <f>_xlfn.XLOOKUP(frasest[[#This Row],[author_es]],autorest[author_es],autorest[author_la])</f>
        <v>Gulielmus de Ockham</v>
      </c>
      <c r="H353" t="str">
        <f>_xlfn.XLOOKUP(frasest[[#This Row],[author_es]],autorest[author_es],autorest[bio_es])</f>
        <v>Filósofo y teólogo franciscano inglés. Padre del nominalismo, autor de la "navaja de Ockham" (principio de parsimonia). Defensor de la separación entre fe y razón.</v>
      </c>
      <c r="I353" t="str">
        <f>_xlfn.XLOOKUP(frasest[[#This Row],[author_es]],autorest[author_es],autorest[bio_la])</f>
        <v>Philosophus et theologus Franciscanus Anglicus. Pater nominalismi, auctor "novaculae Occami" (principium parsimoniae). Separationis inter fidem et rationem defensor.</v>
      </c>
      <c r="J353" t="str">
        <f>_xlfn.XLOOKUP(frasest[[#This Row],[author_es]],autorest[author_es],autorest[iso3691])</f>
        <v>en</v>
      </c>
      <c r="K353" t="str">
        <f>_xlfn.XLOOKUP(frasest[[#This Row],[author_es]],autorest[author_es],autorest[language_es])</f>
        <v>Inglés</v>
      </c>
      <c r="L353" t="str">
        <f>_xlfn.XLOOKUP(frasest[[#This Row],[author_es]],autorest[author_es],autorest[language_la])</f>
        <v>Lingua Anglica</v>
      </c>
      <c r="M353" t="str">
        <f>_xlfn.XLOOKUP(frasest[[#This Row],[author_es]],autorest[author_es],autorest[nation_es])</f>
        <v>Reino Unido</v>
      </c>
      <c r="N353" t="str">
        <f>_xlfn.XLOOKUP(frasest[[#This Row],[author_es]],autorest[author_es],autorest[nation_la])</f>
        <v>Regnum Unitum</v>
      </c>
      <c r="O353" t="str">
        <f>_xlfn.XLOOKUP(frasest[[#This Row],[author_es]],autorest[author_es],autorest[age_es])</f>
        <v>Edad Media</v>
      </c>
      <c r="P353" t="str">
        <f>_xlfn.XLOOKUP(frasest[[#This Row],[author_es]],autorest[author_es],autorest[age_la])</f>
        <v>Medium Aevum</v>
      </c>
      <c r="Q353" t="str">
        <f>_xlfn.XLOOKUP(frasest[[#This Row],[author_es]],autorest[author_es],autorest[image])</f>
        <v>https://i.ibb.co/G38ns2JL/ockcham.png</v>
      </c>
      <c r="R353">
        <f>_xlfn.XLOOKUP(frasest[[#This Row],[author_es]],autorest[author_es],autorest[image_atr])</f>
        <v>0</v>
      </c>
    </row>
    <row r="354" spans="1:18">
      <c r="A354">
        <v>353</v>
      </c>
      <c r="B354" t="s">
        <v>1208</v>
      </c>
      <c r="C354" t="s">
        <v>1209</v>
      </c>
      <c r="D354" t="s">
        <v>1209</v>
      </c>
      <c r="E354" t="s">
        <v>1195</v>
      </c>
      <c r="F354" t="s">
        <v>1205</v>
      </c>
      <c r="G354" t="str">
        <f>_xlfn.XLOOKUP(frasest[[#This Row],[author_es]],autorest[author_es],autorest[author_la])</f>
        <v>Gulielmus de Ockham</v>
      </c>
      <c r="H354" t="str">
        <f>_xlfn.XLOOKUP(frasest[[#This Row],[author_es]],autorest[author_es],autorest[bio_es])</f>
        <v>Filósofo y teólogo franciscano inglés. Padre del nominalismo, autor de la "navaja de Ockham" (principio de parsimonia). Defensor de la separación entre fe y razón.</v>
      </c>
      <c r="I354" t="str">
        <f>_xlfn.XLOOKUP(frasest[[#This Row],[author_es]],autorest[author_es],autorest[bio_la])</f>
        <v>Philosophus et theologus Franciscanus Anglicus. Pater nominalismi, auctor "novaculae Occami" (principium parsimoniae). Separationis inter fidem et rationem defensor.</v>
      </c>
      <c r="J354" t="str">
        <f>_xlfn.XLOOKUP(frasest[[#This Row],[author_es]],autorest[author_es],autorest[iso3691])</f>
        <v>en</v>
      </c>
      <c r="K354" t="str">
        <f>_xlfn.XLOOKUP(frasest[[#This Row],[author_es]],autorest[author_es],autorest[language_es])</f>
        <v>Inglés</v>
      </c>
      <c r="L354" t="str">
        <f>_xlfn.XLOOKUP(frasest[[#This Row],[author_es]],autorest[author_es],autorest[language_la])</f>
        <v>Lingua Anglica</v>
      </c>
      <c r="M354" t="str">
        <f>_xlfn.XLOOKUP(frasest[[#This Row],[author_es]],autorest[author_es],autorest[nation_es])</f>
        <v>Reino Unido</v>
      </c>
      <c r="N354" t="str">
        <f>_xlfn.XLOOKUP(frasest[[#This Row],[author_es]],autorest[author_es],autorest[nation_la])</f>
        <v>Regnum Unitum</v>
      </c>
      <c r="O354" t="str">
        <f>_xlfn.XLOOKUP(frasest[[#This Row],[author_es]],autorest[author_es],autorest[age_es])</f>
        <v>Edad Media</v>
      </c>
      <c r="P354" t="str">
        <f>_xlfn.XLOOKUP(frasest[[#This Row],[author_es]],autorest[author_es],autorest[age_la])</f>
        <v>Medium Aevum</v>
      </c>
      <c r="Q354" t="str">
        <f>_xlfn.XLOOKUP(frasest[[#This Row],[author_es]],autorest[author_es],autorest[image])</f>
        <v>https://i.ibb.co/G38ns2JL/ockcham.png</v>
      </c>
      <c r="R354">
        <f>_xlfn.XLOOKUP(frasest[[#This Row],[author_es]],autorest[author_es],autorest[image_atr])</f>
        <v>0</v>
      </c>
    </row>
    <row r="355" spans="1:18">
      <c r="A355">
        <v>354</v>
      </c>
      <c r="B355" t="s">
        <v>1210</v>
      </c>
      <c r="C355" t="s">
        <v>1211</v>
      </c>
      <c r="D355" t="s">
        <v>1211</v>
      </c>
      <c r="E355" t="s">
        <v>1195</v>
      </c>
      <c r="F355" t="s">
        <v>1205</v>
      </c>
      <c r="G355" t="str">
        <f>_xlfn.XLOOKUP(frasest[[#This Row],[author_es]],autorest[author_es],autorest[author_la])</f>
        <v>Gulielmus de Ockham</v>
      </c>
      <c r="H355" t="str">
        <f>_xlfn.XLOOKUP(frasest[[#This Row],[author_es]],autorest[author_es],autorest[bio_es])</f>
        <v>Filósofo y teólogo franciscano inglés. Padre del nominalismo, autor de la "navaja de Ockham" (principio de parsimonia). Defensor de la separación entre fe y razón.</v>
      </c>
      <c r="I355" t="str">
        <f>_xlfn.XLOOKUP(frasest[[#This Row],[author_es]],autorest[author_es],autorest[bio_la])</f>
        <v>Philosophus et theologus Franciscanus Anglicus. Pater nominalismi, auctor "novaculae Occami" (principium parsimoniae). Separationis inter fidem et rationem defensor.</v>
      </c>
      <c r="J355" t="str">
        <f>_xlfn.XLOOKUP(frasest[[#This Row],[author_es]],autorest[author_es],autorest[iso3691])</f>
        <v>en</v>
      </c>
      <c r="K355" t="str">
        <f>_xlfn.XLOOKUP(frasest[[#This Row],[author_es]],autorest[author_es],autorest[language_es])</f>
        <v>Inglés</v>
      </c>
      <c r="L355" t="str">
        <f>_xlfn.XLOOKUP(frasest[[#This Row],[author_es]],autorest[author_es],autorest[language_la])</f>
        <v>Lingua Anglica</v>
      </c>
      <c r="M355" t="str">
        <f>_xlfn.XLOOKUP(frasest[[#This Row],[author_es]],autorest[author_es],autorest[nation_es])</f>
        <v>Reino Unido</v>
      </c>
      <c r="N355" t="str">
        <f>_xlfn.XLOOKUP(frasest[[#This Row],[author_es]],autorest[author_es],autorest[nation_la])</f>
        <v>Regnum Unitum</v>
      </c>
      <c r="O355" t="str">
        <f>_xlfn.XLOOKUP(frasest[[#This Row],[author_es]],autorest[author_es],autorest[age_es])</f>
        <v>Edad Media</v>
      </c>
      <c r="P355" t="str">
        <f>_xlfn.XLOOKUP(frasest[[#This Row],[author_es]],autorest[author_es],autorest[age_la])</f>
        <v>Medium Aevum</v>
      </c>
      <c r="Q355" t="str">
        <f>_xlfn.XLOOKUP(frasest[[#This Row],[author_es]],autorest[author_es],autorest[image])</f>
        <v>https://i.ibb.co/G38ns2JL/ockcham.png</v>
      </c>
      <c r="R355">
        <f>_xlfn.XLOOKUP(frasest[[#This Row],[author_es]],autorest[author_es],autorest[image_atr])</f>
        <v>0</v>
      </c>
    </row>
    <row r="356" spans="1:18">
      <c r="A356">
        <v>355</v>
      </c>
      <c r="B356" t="s">
        <v>1212</v>
      </c>
      <c r="C356" t="s">
        <v>1213</v>
      </c>
      <c r="D356" t="s">
        <v>1213</v>
      </c>
      <c r="E356" t="s">
        <v>1195</v>
      </c>
      <c r="F356" t="s">
        <v>1196</v>
      </c>
      <c r="G356" t="str">
        <f>_xlfn.XLOOKUP(frasest[[#This Row],[author_es]],autorest[author_es],autorest[author_la])</f>
        <v>Gulielmus de Ockham</v>
      </c>
      <c r="H356" t="str">
        <f>_xlfn.XLOOKUP(frasest[[#This Row],[author_es]],autorest[author_es],autorest[bio_es])</f>
        <v>Filósofo y teólogo franciscano inglés. Padre del nominalismo, autor de la "navaja de Ockham" (principio de parsimonia). Defensor de la separación entre fe y razón.</v>
      </c>
      <c r="I356" t="str">
        <f>_xlfn.XLOOKUP(frasest[[#This Row],[author_es]],autorest[author_es],autorest[bio_la])</f>
        <v>Philosophus et theologus Franciscanus Anglicus. Pater nominalismi, auctor "novaculae Occami" (principium parsimoniae). Separationis inter fidem et rationem defensor.</v>
      </c>
      <c r="J356" t="str">
        <f>_xlfn.XLOOKUP(frasest[[#This Row],[author_es]],autorest[author_es],autorest[iso3691])</f>
        <v>en</v>
      </c>
      <c r="K356" t="str">
        <f>_xlfn.XLOOKUP(frasest[[#This Row],[author_es]],autorest[author_es],autorest[language_es])</f>
        <v>Inglés</v>
      </c>
      <c r="L356" t="str">
        <f>_xlfn.XLOOKUP(frasest[[#This Row],[author_es]],autorest[author_es],autorest[language_la])</f>
        <v>Lingua Anglica</v>
      </c>
      <c r="M356" t="str">
        <f>_xlfn.XLOOKUP(frasest[[#This Row],[author_es]],autorest[author_es],autorest[nation_es])</f>
        <v>Reino Unido</v>
      </c>
      <c r="N356" t="str">
        <f>_xlfn.XLOOKUP(frasest[[#This Row],[author_es]],autorest[author_es],autorest[nation_la])</f>
        <v>Regnum Unitum</v>
      </c>
      <c r="O356" t="str">
        <f>_xlfn.XLOOKUP(frasest[[#This Row],[author_es]],autorest[author_es],autorest[age_es])</f>
        <v>Edad Media</v>
      </c>
      <c r="P356" t="str">
        <f>_xlfn.XLOOKUP(frasest[[#This Row],[author_es]],autorest[author_es],autorest[age_la])</f>
        <v>Medium Aevum</v>
      </c>
      <c r="Q356" t="str">
        <f>_xlfn.XLOOKUP(frasest[[#This Row],[author_es]],autorest[author_es],autorest[image])</f>
        <v>https://i.ibb.co/G38ns2JL/ockcham.png</v>
      </c>
      <c r="R356">
        <f>_xlfn.XLOOKUP(frasest[[#This Row],[author_es]],autorest[author_es],autorest[image_atr])</f>
        <v>0</v>
      </c>
    </row>
    <row r="357" spans="1:18">
      <c r="A357">
        <v>356</v>
      </c>
      <c r="B357" t="s">
        <v>1214</v>
      </c>
      <c r="C357" t="s">
        <v>1215</v>
      </c>
      <c r="D357" t="s">
        <v>1215</v>
      </c>
      <c r="E357" t="s">
        <v>1195</v>
      </c>
      <c r="F357" t="s">
        <v>1205</v>
      </c>
      <c r="G357" t="str">
        <f>_xlfn.XLOOKUP(frasest[[#This Row],[author_es]],autorest[author_es],autorest[author_la])</f>
        <v>Gulielmus de Ockham</v>
      </c>
      <c r="H357" t="str">
        <f>_xlfn.XLOOKUP(frasest[[#This Row],[author_es]],autorest[author_es],autorest[bio_es])</f>
        <v>Filósofo y teólogo franciscano inglés. Padre del nominalismo, autor de la "navaja de Ockham" (principio de parsimonia). Defensor de la separación entre fe y razón.</v>
      </c>
      <c r="I357" t="str">
        <f>_xlfn.XLOOKUP(frasest[[#This Row],[author_es]],autorest[author_es],autorest[bio_la])</f>
        <v>Philosophus et theologus Franciscanus Anglicus. Pater nominalismi, auctor "novaculae Occami" (principium parsimoniae). Separationis inter fidem et rationem defensor.</v>
      </c>
      <c r="J357" t="str">
        <f>_xlfn.XLOOKUP(frasest[[#This Row],[author_es]],autorest[author_es],autorest[iso3691])</f>
        <v>en</v>
      </c>
      <c r="K357" t="str">
        <f>_xlfn.XLOOKUP(frasest[[#This Row],[author_es]],autorest[author_es],autorest[language_es])</f>
        <v>Inglés</v>
      </c>
      <c r="L357" t="str">
        <f>_xlfn.XLOOKUP(frasest[[#This Row],[author_es]],autorest[author_es],autorest[language_la])</f>
        <v>Lingua Anglica</v>
      </c>
      <c r="M357" t="str">
        <f>_xlfn.XLOOKUP(frasest[[#This Row],[author_es]],autorest[author_es],autorest[nation_es])</f>
        <v>Reino Unido</v>
      </c>
      <c r="N357" t="str">
        <f>_xlfn.XLOOKUP(frasest[[#This Row],[author_es]],autorest[author_es],autorest[nation_la])</f>
        <v>Regnum Unitum</v>
      </c>
      <c r="O357" t="str">
        <f>_xlfn.XLOOKUP(frasest[[#This Row],[author_es]],autorest[author_es],autorest[age_es])</f>
        <v>Edad Media</v>
      </c>
      <c r="P357" t="str">
        <f>_xlfn.XLOOKUP(frasest[[#This Row],[author_es]],autorest[author_es],autorest[age_la])</f>
        <v>Medium Aevum</v>
      </c>
      <c r="Q357" t="str">
        <f>_xlfn.XLOOKUP(frasest[[#This Row],[author_es]],autorest[author_es],autorest[image])</f>
        <v>https://i.ibb.co/G38ns2JL/ockcham.png</v>
      </c>
      <c r="R357">
        <f>_xlfn.XLOOKUP(frasest[[#This Row],[author_es]],autorest[author_es],autorest[image_atr])</f>
        <v>0</v>
      </c>
    </row>
    <row r="358" spans="1:18">
      <c r="A358">
        <v>357</v>
      </c>
      <c r="B358" t="s">
        <v>1216</v>
      </c>
      <c r="C358" t="s">
        <v>1217</v>
      </c>
      <c r="D358" t="s">
        <v>1217</v>
      </c>
      <c r="E358" t="s">
        <v>57</v>
      </c>
      <c r="F358" t="s">
        <v>1218</v>
      </c>
      <c r="G358" t="str">
        <f>_xlfn.XLOOKUP(frasest[[#This Row],[author_es]],autorest[author_es],autorest[author_la])</f>
        <v>Aurelius Augustinus</v>
      </c>
      <c r="H358" t="str">
        <f>_xlfn.XLOOKUP(frasest[[#This Row],[author_es]],autorest[author_es],autorest[bio_es])</f>
        <v>Filósofo y teólogo cristiano.</v>
      </c>
      <c r="I358" t="str">
        <f>_xlfn.XLOOKUP(frasest[[#This Row],[author_es]],autorest[author_es],autorest[bio_la])</f>
        <v>Philosophus et theologus Christianus.</v>
      </c>
      <c r="J358" t="str">
        <f>_xlfn.XLOOKUP(frasest[[#This Row],[author_es]],autorest[author_es],autorest[iso3691])</f>
        <v>la</v>
      </c>
      <c r="K358" t="str">
        <f>_xlfn.XLOOKUP(frasest[[#This Row],[author_es]],autorest[author_es],autorest[language_es])</f>
        <v>Latín</v>
      </c>
      <c r="L358" t="str">
        <f>_xlfn.XLOOKUP(frasest[[#This Row],[author_es]],autorest[author_es],autorest[language_la])</f>
        <v>Lingua Latina</v>
      </c>
      <c r="M358" t="str">
        <f>_xlfn.XLOOKUP(frasest[[#This Row],[author_es]],autorest[author_es],autorest[nation_es])</f>
        <v>Roma</v>
      </c>
      <c r="N358" t="str">
        <f>_xlfn.XLOOKUP(frasest[[#This Row],[author_es]],autorest[author_es],autorest[nation_la])</f>
        <v>Roma</v>
      </c>
      <c r="O358" t="str">
        <f>_xlfn.XLOOKUP(frasest[[#This Row],[author_es]],autorest[author_es],autorest[age_es])</f>
        <v>Edad Antigua</v>
      </c>
      <c r="P358" t="str">
        <f>_xlfn.XLOOKUP(frasest[[#This Row],[author_es]],autorest[author_es],autorest[age_la])</f>
        <v>Antiquitas</v>
      </c>
      <c r="Q358" t="str">
        <f>_xlfn.XLOOKUP(frasest[[#This Row],[author_es]],autorest[author_es],autorest[image])</f>
        <v>https://i.ibb.co/chhLXqTZ/agustin.png</v>
      </c>
      <c r="R358">
        <f>_xlfn.XLOOKUP(frasest[[#This Row],[author_es]],autorest[author_es],autorest[image_atr])</f>
        <v>0</v>
      </c>
    </row>
    <row r="359" spans="1:18">
      <c r="A359">
        <v>358</v>
      </c>
      <c r="B359" t="s">
        <v>1219</v>
      </c>
      <c r="C359" t="s">
        <v>1220</v>
      </c>
      <c r="D359" t="s">
        <v>1220</v>
      </c>
      <c r="E359" t="s">
        <v>57</v>
      </c>
      <c r="F359" t="s">
        <v>1221</v>
      </c>
      <c r="G359" t="str">
        <f>_xlfn.XLOOKUP(frasest[[#This Row],[author_es]],autorest[author_es],autorest[author_la])</f>
        <v>Aurelius Augustinus</v>
      </c>
      <c r="H359" t="str">
        <f>_xlfn.XLOOKUP(frasest[[#This Row],[author_es]],autorest[author_es],autorest[bio_es])</f>
        <v>Filósofo y teólogo cristiano.</v>
      </c>
      <c r="I359" t="str">
        <f>_xlfn.XLOOKUP(frasest[[#This Row],[author_es]],autorest[author_es],autorest[bio_la])</f>
        <v>Philosophus et theologus Christianus.</v>
      </c>
      <c r="J359" t="str">
        <f>_xlfn.XLOOKUP(frasest[[#This Row],[author_es]],autorest[author_es],autorest[iso3691])</f>
        <v>la</v>
      </c>
      <c r="K359" t="str">
        <f>_xlfn.XLOOKUP(frasest[[#This Row],[author_es]],autorest[author_es],autorest[language_es])</f>
        <v>Latín</v>
      </c>
      <c r="L359" t="str">
        <f>_xlfn.XLOOKUP(frasest[[#This Row],[author_es]],autorest[author_es],autorest[language_la])</f>
        <v>Lingua Latina</v>
      </c>
      <c r="M359" t="str">
        <f>_xlfn.XLOOKUP(frasest[[#This Row],[author_es]],autorest[author_es],autorest[nation_es])</f>
        <v>Roma</v>
      </c>
      <c r="N359" t="str">
        <f>_xlfn.XLOOKUP(frasest[[#This Row],[author_es]],autorest[author_es],autorest[nation_la])</f>
        <v>Roma</v>
      </c>
      <c r="O359" t="str">
        <f>_xlfn.XLOOKUP(frasest[[#This Row],[author_es]],autorest[author_es],autorest[age_es])</f>
        <v>Edad Antigua</v>
      </c>
      <c r="P359" t="str">
        <f>_xlfn.XLOOKUP(frasest[[#This Row],[author_es]],autorest[author_es],autorest[age_la])</f>
        <v>Antiquitas</v>
      </c>
      <c r="Q359" t="str">
        <f>_xlfn.XLOOKUP(frasest[[#This Row],[author_es]],autorest[author_es],autorest[image])</f>
        <v>https://i.ibb.co/chhLXqTZ/agustin.png</v>
      </c>
      <c r="R359">
        <f>_xlfn.XLOOKUP(frasest[[#This Row],[author_es]],autorest[author_es],autorest[image_atr])</f>
        <v>0</v>
      </c>
    </row>
    <row r="360" spans="1:18">
      <c r="A360">
        <v>359</v>
      </c>
      <c r="B360" t="s">
        <v>1222</v>
      </c>
      <c r="C360" t="s">
        <v>1223</v>
      </c>
      <c r="D360" t="s">
        <v>1223</v>
      </c>
      <c r="E360" t="s">
        <v>940</v>
      </c>
      <c r="F360" t="s">
        <v>1224</v>
      </c>
      <c r="G360" t="str">
        <f>_xlfn.XLOOKUP(frasest[[#This Row],[author_es]],autorest[author_es],autorest[author_la])</f>
        <v>Athanasius Alexandrinus</v>
      </c>
      <c r="H360" t="str">
        <f>_xlfn.XLOOKUP(frasest[[#This Row],[author_es]],autorest[author_es],autorest[bio_es])</f>
        <v>Obispo de Alejandría, Doctor de la Iglesia y defensor de la ortodoxia nicena contra el arrianismo. Autor de la "Vida de San Antonio", influyente en la espiritualidad monástica.</v>
      </c>
      <c r="I360" t="str">
        <f>_xlfn.XLOOKUP(frasest[[#This Row],[author_es]],autorest[author_es],autorest[bio_la])</f>
        <v>Episcopus Alexandrinus, Doctor Ecclesiae et defensor orthodoxiae Nicaenae contra arianismum. Auctor "Vita Sancti Antonii", in spiritualitate monastica influens.</v>
      </c>
      <c r="J360" t="str">
        <f>_xlfn.XLOOKUP(frasest[[#This Row],[author_es]],autorest[author_es],autorest[iso3691])</f>
        <v>la</v>
      </c>
      <c r="K360" t="str">
        <f>_xlfn.XLOOKUP(frasest[[#This Row],[author_es]],autorest[author_es],autorest[language_es])</f>
        <v>Latín</v>
      </c>
      <c r="L360" t="str">
        <f>_xlfn.XLOOKUP(frasest[[#This Row],[author_es]],autorest[author_es],autorest[language_la])</f>
        <v>Lingua Latina</v>
      </c>
      <c r="M360" t="str">
        <f>_xlfn.XLOOKUP(frasest[[#This Row],[author_es]],autorest[author_es],autorest[nation_es])</f>
        <v>Roma</v>
      </c>
      <c r="N360" t="str">
        <f>_xlfn.XLOOKUP(frasest[[#This Row],[author_es]],autorest[author_es],autorest[nation_la])</f>
        <v>Roma</v>
      </c>
      <c r="O360" t="str">
        <f>_xlfn.XLOOKUP(frasest[[#This Row],[author_es]],autorest[author_es],autorest[age_es])</f>
        <v>Edad Antigua</v>
      </c>
      <c r="P360" t="str">
        <f>_xlfn.XLOOKUP(frasest[[#This Row],[author_es]],autorest[author_es],autorest[age_la])</f>
        <v>Antiquitas</v>
      </c>
      <c r="Q360" t="str">
        <f>_xlfn.XLOOKUP(frasest[[#This Row],[author_es]],autorest[author_es],autorest[image])</f>
        <v>https://i.ibb.co/N2qBhZS8/atanasio.png</v>
      </c>
      <c r="R360">
        <f>_xlfn.XLOOKUP(frasest[[#This Row],[author_es]],autorest[author_es],autorest[image_atr])</f>
        <v>0</v>
      </c>
    </row>
    <row r="361" spans="1:18">
      <c r="A361">
        <v>360</v>
      </c>
      <c r="B361" t="s">
        <v>1225</v>
      </c>
      <c r="C361" t="s">
        <v>1226</v>
      </c>
      <c r="D361" t="s">
        <v>1226</v>
      </c>
      <c r="E361" t="s">
        <v>172</v>
      </c>
      <c r="F361" t="s">
        <v>1227</v>
      </c>
      <c r="G361" t="str">
        <f>_xlfn.XLOOKUP(frasest[[#This Row],[author_es]],autorest[author_es],autorest[author_la])</f>
        <v>Thomas Aquinas</v>
      </c>
      <c r="H361" t="str">
        <f>_xlfn.XLOOKUP(frasest[[#This Row],[author_es]],autorest[author_es],autorest[bio_es])</f>
        <v>Filósofo y teólogo italiano, representante de la Escolástica. Autor de la "Summa Theologica".</v>
      </c>
      <c r="I361" t="str">
        <f>_xlfn.XLOOKUP(frasest[[#This Row],[author_es]],autorest[author_es],autorest[bio_la])</f>
        <v>Philosophus et theologus Italicus, Scholasticae repraesentans. Auctor "Summa Theologica".</v>
      </c>
      <c r="J361" t="str">
        <f>_xlfn.XLOOKUP(frasest[[#This Row],[author_es]],autorest[author_es],autorest[iso3691])</f>
        <v>la</v>
      </c>
      <c r="K361" t="str">
        <f>_xlfn.XLOOKUP(frasest[[#This Row],[author_es]],autorest[author_es],autorest[language_es])</f>
        <v>Latín</v>
      </c>
      <c r="L361" t="str">
        <f>_xlfn.XLOOKUP(frasest[[#This Row],[author_es]],autorest[author_es],autorest[language_la])</f>
        <v>Lingua Latina</v>
      </c>
      <c r="M361" t="str">
        <f>_xlfn.XLOOKUP(frasest[[#This Row],[author_es]],autorest[author_es],autorest[nation_es])</f>
        <v>Italia</v>
      </c>
      <c r="N361" t="str">
        <f>_xlfn.XLOOKUP(frasest[[#This Row],[author_es]],autorest[author_es],autorest[nation_la])</f>
        <v>Italia</v>
      </c>
      <c r="O361" t="str">
        <f>_xlfn.XLOOKUP(frasest[[#This Row],[author_es]],autorest[author_es],autorest[age_es])</f>
        <v>Edad Media</v>
      </c>
      <c r="P361" t="str">
        <f>_xlfn.XLOOKUP(frasest[[#This Row],[author_es]],autorest[author_es],autorest[age_la])</f>
        <v>Medium Aevum</v>
      </c>
      <c r="Q361" t="str">
        <f>_xlfn.XLOOKUP(frasest[[#This Row],[author_es]],autorest[author_es],autorest[image])</f>
        <v>https://i.ibb.co/wG8jHsv/tomasaquino.png</v>
      </c>
      <c r="R361">
        <f>_xlfn.XLOOKUP(frasest[[#This Row],[author_es]],autorest[author_es],autorest[image_atr])</f>
        <v>0</v>
      </c>
    </row>
    <row r="362" spans="1:18">
      <c r="A362">
        <v>361</v>
      </c>
      <c r="B362" t="s">
        <v>1228</v>
      </c>
      <c r="C362" t="s">
        <v>1229</v>
      </c>
      <c r="D362" t="s">
        <v>1229</v>
      </c>
      <c r="E362" t="s">
        <v>1002</v>
      </c>
      <c r="F362" t="s">
        <v>1230</v>
      </c>
      <c r="G362" t="str">
        <f>_xlfn.XLOOKUP(frasest[[#This Row],[author_es]],autorest[author_es],autorest[author_la])</f>
        <v>Gregorius Nazianzenus</v>
      </c>
      <c r="H362" t="str">
        <f>_xlfn.XLOOKUP(frasest[[#This Row],[author_es]],autorest[author_es],autorest[bio_es])</f>
        <v>Arzobispo de Constantinopla, Doctor de la Iglesia y Padre Capadocio. Llamado "el Teólogo", gran orador y defensor de la Trinidad. Uno de los tres Padres Capadocios.</v>
      </c>
      <c r="I362" t="str">
        <f>_xlfn.XLOOKUP(frasest[[#This Row],[author_es]],autorest[author_es],autorest[bio_la])</f>
        <v>Archiepiscopus Constantinopolitanus, Doctor Ecclesiae et Pater Cappadocius. "Theologus" vocatus, orator magnus et defensor Trinitatis. Unus ex tribus Patribus Cappadociis.</v>
      </c>
      <c r="J362" t="str">
        <f>_xlfn.XLOOKUP(frasest[[#This Row],[author_es]],autorest[author_es],autorest[iso3691])</f>
        <v>la</v>
      </c>
      <c r="K362" t="str">
        <f>_xlfn.XLOOKUP(frasest[[#This Row],[author_es]],autorest[author_es],autorest[language_es])</f>
        <v>Latín</v>
      </c>
      <c r="L362" t="str">
        <f>_xlfn.XLOOKUP(frasest[[#This Row],[author_es]],autorest[author_es],autorest[language_la])</f>
        <v>Lingua Latina</v>
      </c>
      <c r="M362" t="str">
        <f>_xlfn.XLOOKUP(frasest[[#This Row],[author_es]],autorest[author_es],autorest[nation_es])</f>
        <v>Roma</v>
      </c>
      <c r="N362" t="str">
        <f>_xlfn.XLOOKUP(frasest[[#This Row],[author_es]],autorest[author_es],autorest[nation_la])</f>
        <v>Roma</v>
      </c>
      <c r="O362" t="str">
        <f>_xlfn.XLOOKUP(frasest[[#This Row],[author_es]],autorest[author_es],autorest[age_es])</f>
        <v>Edad Antigua</v>
      </c>
      <c r="P362" t="str">
        <f>_xlfn.XLOOKUP(frasest[[#This Row],[author_es]],autorest[author_es],autorest[age_la])</f>
        <v>Antiquitas</v>
      </c>
      <c r="Q362" t="str">
        <f>_xlfn.XLOOKUP(frasest[[#This Row],[author_es]],autorest[author_es],autorest[image])</f>
        <v>https://i.ibb.co/whvy5Lhm/sangregorioana.png</v>
      </c>
      <c r="R362">
        <f>_xlfn.XLOOKUP(frasest[[#This Row],[author_es]],autorest[author_es],autorest[image_atr])</f>
        <v>0</v>
      </c>
    </row>
    <row r="363" spans="1:18">
      <c r="A363">
        <v>362</v>
      </c>
      <c r="B363" t="s">
        <v>1231</v>
      </c>
      <c r="C363" t="s">
        <v>1232</v>
      </c>
      <c r="D363" t="s">
        <v>1231</v>
      </c>
      <c r="E363" t="s">
        <v>24</v>
      </c>
      <c r="G363" t="str">
        <f>_xlfn.XLOOKUP(frasest[[#This Row],[author_es]],autorest[author_es],autorest[author_la])</f>
        <v>Sententia Hispanica</v>
      </c>
      <c r="H363" t="str">
        <f>_xlfn.XLOOKUP(frasest[[#This Row],[author_es]],autorest[author_es],autorest[bio_es])</f>
        <v>Refranes populares de la tradición oral hispana que expresan de forma breve y ingeniosa enseñanzas prácticas sobre la vida cotidiana.</v>
      </c>
      <c r="I363" t="str">
        <f>_xlfn.XLOOKUP(frasest[[#This Row],[author_es]],autorest[author_es],autorest[bio_la])</f>
        <v>Collectio sententiarum Hispanicarum.</v>
      </c>
      <c r="J363" t="str">
        <f>_xlfn.XLOOKUP(frasest[[#This Row],[author_es]],autorest[author_es],autorest[iso3691])</f>
        <v>es</v>
      </c>
      <c r="K363" t="str">
        <f>_xlfn.XLOOKUP(frasest[[#This Row],[author_es]],autorest[author_es],autorest[language_es])</f>
        <v>Español</v>
      </c>
      <c r="L363" t="str">
        <f>_xlfn.XLOOKUP(frasest[[#This Row],[author_es]],autorest[author_es],autorest[language_la])</f>
        <v>Lingua Hispanica</v>
      </c>
      <c r="M363" t="str">
        <f>_xlfn.XLOOKUP(frasest[[#This Row],[author_es]],autorest[author_es],autorest[nation_es])</f>
        <v>España</v>
      </c>
      <c r="N363" t="str">
        <f>_xlfn.XLOOKUP(frasest[[#This Row],[author_es]],autorest[author_es],autorest[nation_la])</f>
        <v>Hispania</v>
      </c>
      <c r="O363" t="str">
        <f>_xlfn.XLOOKUP(frasest[[#This Row],[author_es]],autorest[author_es],autorest[age_es])</f>
        <v>Epoca Desconocida</v>
      </c>
      <c r="P363" t="str">
        <f>_xlfn.XLOOKUP(frasest[[#This Row],[author_es]],autorest[author_es],autorest[age_la])</f>
        <v>Epocha Ignota</v>
      </c>
      <c r="Q363" t="str">
        <f>_xlfn.XLOOKUP(frasest[[#This Row],[author_es]],autorest[author_es],autorest[image])</f>
        <v>https://i.ibb.co/Y4f7TZWm/espa-a.png</v>
      </c>
      <c r="R363">
        <f>_xlfn.XLOOKUP(frasest[[#This Row],[author_es]],autorest[author_es],autorest[image_atr])</f>
        <v>0</v>
      </c>
    </row>
    <row r="364" spans="1:18">
      <c r="A364">
        <v>363</v>
      </c>
      <c r="B364" t="s">
        <v>1233</v>
      </c>
      <c r="C364" t="s">
        <v>1234</v>
      </c>
      <c r="D364" t="s">
        <v>1235</v>
      </c>
      <c r="E364" t="s">
        <v>1236</v>
      </c>
      <c r="G364" t="str">
        <f>_xlfn.XLOOKUP(frasest[[#This Row],[author_es]],autorest[author_es],autorest[author_la])</f>
        <v>Sententia Vasconica</v>
      </c>
      <c r="H364" t="str">
        <f>_xlfn.XLOOKUP(frasest[[#This Row],[author_es]],autorest[author_es],autorest[bio_es])</f>
        <v>Proverbios de la tradición oral vasca que reflejan la relación con la naturaleza, el trabajo y los valores comunitarios del pueblo vasco.</v>
      </c>
      <c r="I364" t="str">
        <f>_xlfn.XLOOKUP(frasest[[#This Row],[author_es]],autorest[author_es],autorest[bio_la])</f>
        <v>Collectio sententiarum Vasconicarum.</v>
      </c>
      <c r="J364" t="str">
        <f>_xlfn.XLOOKUP(frasest[[#This Row],[author_es]],autorest[author_es],autorest[iso3691])</f>
        <v>eu</v>
      </c>
      <c r="K364" t="str">
        <f>_xlfn.XLOOKUP(frasest[[#This Row],[author_es]],autorest[author_es],autorest[language_es])</f>
        <v>Euskara</v>
      </c>
      <c r="L364" t="str">
        <f>_xlfn.XLOOKUP(frasest[[#This Row],[author_es]],autorest[author_es],autorest[language_la])</f>
        <v>Lingua Vasconica</v>
      </c>
      <c r="M364" t="str">
        <f>_xlfn.XLOOKUP(frasest[[#This Row],[author_es]],autorest[author_es],autorest[nation_es])</f>
        <v>España</v>
      </c>
      <c r="N364" t="str">
        <f>_xlfn.XLOOKUP(frasest[[#This Row],[author_es]],autorest[author_es],autorest[nation_la])</f>
        <v>Hispania</v>
      </c>
      <c r="O364" t="str">
        <f>_xlfn.XLOOKUP(frasest[[#This Row],[author_es]],autorest[author_es],autorest[age_es])</f>
        <v>Epoca Desconocida</v>
      </c>
      <c r="P364" t="str">
        <f>_xlfn.XLOOKUP(frasest[[#This Row],[author_es]],autorest[author_es],autorest[age_la])</f>
        <v>Epocha Ignota</v>
      </c>
      <c r="Q364" t="str">
        <f>_xlfn.XLOOKUP(frasest[[#This Row],[author_es]],autorest[author_es],autorest[image])</f>
        <v>https://i.ibb.co/bjgxB3kn/euskadi.png</v>
      </c>
      <c r="R364">
        <f>_xlfn.XLOOKUP(frasest[[#This Row],[author_es]],autorest[author_es],autorest[image_atr])</f>
        <v>0</v>
      </c>
    </row>
    <row r="365" spans="1:18">
      <c r="A365">
        <v>364</v>
      </c>
      <c r="B365" t="s">
        <v>1237</v>
      </c>
      <c r="C365" t="s">
        <v>1238</v>
      </c>
      <c r="D365" t="s">
        <v>1239</v>
      </c>
      <c r="E365" t="s">
        <v>1240</v>
      </c>
      <c r="F365" t="s">
        <v>1241</v>
      </c>
      <c r="G365" t="str">
        <f>_xlfn.XLOOKUP(frasest[[#This Row],[author_es]],autorest[author_es],autorest[author_la])</f>
        <v>Albertus Camus</v>
      </c>
      <c r="H365" t="str">
        <f>_xlfn.XLOOKUP(frasest[[#This Row],[author_es]],autorest[author_es],autorest[bio_es])</f>
        <v>Escritor, filósofo y periodista francés. Premio Nobel de Literatura en 1957, representante del existencialismo y el absurdo.</v>
      </c>
      <c r="I365" t="str">
        <f>_xlfn.XLOOKUP(frasest[[#This Row],[author_es]],autorest[author_es],autorest[bio_la])</f>
        <v>Scriba, philosophus et diurnarius Francogallicus. Praemium Nobel Litterarum anno 1957, existentialismus et absurdi repraesentans.</v>
      </c>
      <c r="J365" t="str">
        <f>_xlfn.XLOOKUP(frasest[[#This Row],[author_es]],autorest[author_es],autorest[iso3691])</f>
        <v>fr</v>
      </c>
      <c r="K365" t="str">
        <f>_xlfn.XLOOKUP(frasest[[#This Row],[author_es]],autorest[author_es],autorest[language_es])</f>
        <v>Francés</v>
      </c>
      <c r="L365" t="str">
        <f>_xlfn.XLOOKUP(frasest[[#This Row],[author_es]],autorest[author_es],autorest[language_la])</f>
        <v>Lingua Gallica</v>
      </c>
      <c r="M365" t="str">
        <f>_xlfn.XLOOKUP(frasest[[#This Row],[author_es]],autorest[author_es],autorest[nation_es])</f>
        <v>Francia</v>
      </c>
      <c r="N365" t="str">
        <f>_xlfn.XLOOKUP(frasest[[#This Row],[author_es]],autorest[author_es],autorest[nation_la])</f>
        <v>Francia</v>
      </c>
      <c r="O365" t="str">
        <f>_xlfn.XLOOKUP(frasest[[#This Row],[author_es]],autorest[author_es],autorest[age_es])</f>
        <v>Edad Contemporánea</v>
      </c>
      <c r="P365" t="str">
        <f>_xlfn.XLOOKUP(frasest[[#This Row],[author_es]],autorest[author_es],autorest[age_la])</f>
        <v>Aetas Contemporanea</v>
      </c>
      <c r="Q365" t="str">
        <f>_xlfn.XLOOKUP(frasest[[#This Row],[author_es]],autorest[author_es],autorest[image])</f>
        <v>https://i.ibb.co/qYHNPQ2Z/camus.png</v>
      </c>
      <c r="R365">
        <f>_xlfn.XLOOKUP(frasest[[#This Row],[author_es]],autorest[author_es],autorest[image_atr])</f>
        <v>0</v>
      </c>
    </row>
    <row r="366" spans="1:18">
      <c r="A366">
        <v>365</v>
      </c>
      <c r="B366" t="s">
        <v>1242</v>
      </c>
      <c r="C366" t="s">
        <v>1243</v>
      </c>
      <c r="D366" t="s">
        <v>1244</v>
      </c>
      <c r="E366" t="s">
        <v>1245</v>
      </c>
      <c r="F366" t="s">
        <v>1246</v>
      </c>
      <c r="G366" t="str">
        <f>_xlfn.XLOOKUP(frasest[[#This Row],[author_es]],autorest[author_es],autorest[author_la])</f>
        <v>Beata Teresia Calcuttensis</v>
      </c>
      <c r="H366" t="str">
        <f>_xlfn.XLOOKUP(frasest[[#This Row],[author_es]],autorest[author_es],autorest[bio_es])</f>
        <v>Monja católica y misionera albanesa, fundadora de las Misioneras de la Caridad. Premio Nobel de la Paz 1979 por su trabajo con los más pobres.</v>
      </c>
      <c r="I366" t="str">
        <f>_xlfn.XLOOKUP(frasest[[#This Row],[author_es]],autorest[author_es],autorest[bio_la])</f>
        <v>Soror catholica et missionaria Albanensis, Missionariarum Caritatis fundatrix. Praemium Nobel Pacis anno 1979 propter laborem cum pauperrimis.</v>
      </c>
      <c r="J366" t="str">
        <f>_xlfn.XLOOKUP(frasest[[#This Row],[author_es]],autorest[author_es],autorest[iso3691])</f>
        <v>sq</v>
      </c>
      <c r="K366" t="str">
        <f>_xlfn.XLOOKUP(frasest[[#This Row],[author_es]],autorest[author_es],autorest[language_es])</f>
        <v>Albanés</v>
      </c>
      <c r="L366" t="str">
        <f>_xlfn.XLOOKUP(frasest[[#This Row],[author_es]],autorest[author_es],autorest[language_la])</f>
        <v>Lingua Albanica</v>
      </c>
      <c r="M366" t="str">
        <f>_xlfn.XLOOKUP(frasest[[#This Row],[author_es]],autorest[author_es],autorest[nation_es])</f>
        <v>Albania</v>
      </c>
      <c r="N366" t="str">
        <f>_xlfn.XLOOKUP(frasest[[#This Row],[author_es]],autorest[author_es],autorest[nation_la])</f>
        <v>Albania</v>
      </c>
      <c r="O366" t="str">
        <f>_xlfn.XLOOKUP(frasest[[#This Row],[author_es]],autorest[author_es],autorest[age_es])</f>
        <v>Edad Contemporánea</v>
      </c>
      <c r="P366" t="str">
        <f>_xlfn.XLOOKUP(frasest[[#This Row],[author_es]],autorest[author_es],autorest[age_la])</f>
        <v>Aetas Contemporanea</v>
      </c>
      <c r="Q366" t="str">
        <f>_xlfn.XLOOKUP(frasest[[#This Row],[author_es]],autorest[author_es],autorest[image])</f>
        <v>https://i.ibb.co/MkxqpJ6j/calcuta.png</v>
      </c>
      <c r="R366">
        <f>_xlfn.XLOOKUP(frasest[[#This Row],[author_es]],autorest[author_es],autorest[image_atr])</f>
        <v>0</v>
      </c>
    </row>
    <row r="367" spans="1:18">
      <c r="A367">
        <v>366</v>
      </c>
      <c r="B367" t="s">
        <v>1247</v>
      </c>
      <c r="C367" t="s">
        <v>1248</v>
      </c>
      <c r="D367" t="s">
        <v>1249</v>
      </c>
      <c r="E367" t="s">
        <v>1250</v>
      </c>
      <c r="F367" t="s">
        <v>1251</v>
      </c>
      <c r="G367" t="str">
        <f>_xlfn.XLOOKUP(frasest[[#This Row],[author_es]],autorest[author_es],autorest[author_la])</f>
        <v>Sanctus Franciscus Assisiensis</v>
      </c>
      <c r="H367" t="str">
        <f>_xlfn.XLOOKUP(frasest[[#This Row],[author_es]],autorest[author_es],autorest[bio_es])</f>
        <v>Fraile católico italiano, fundador de la Orden Franciscana. Conocido por su amor a la naturaleza, la pobreza y la paz.</v>
      </c>
      <c r="I367" t="str">
        <f>_xlfn.XLOOKUP(frasest[[#This Row],[author_es]],autorest[author_es],autorest[bio_la])</f>
        <v>Frater catholicus Italicus, Ordinis Franciscani fundator. Notus propter amorem naturae, paupertatis et pacis.</v>
      </c>
      <c r="J367" t="str">
        <f>_xlfn.XLOOKUP(frasest[[#This Row],[author_es]],autorest[author_es],autorest[iso3691])</f>
        <v>it</v>
      </c>
      <c r="K367" t="str">
        <f>_xlfn.XLOOKUP(frasest[[#This Row],[author_es]],autorest[author_es],autorest[language_es])</f>
        <v>Italiano</v>
      </c>
      <c r="L367" t="str">
        <f>_xlfn.XLOOKUP(frasest[[#This Row],[author_es]],autorest[author_es],autorest[language_la])</f>
        <v>Lingua Italica</v>
      </c>
      <c r="M367" t="str">
        <f>_xlfn.XLOOKUP(frasest[[#This Row],[author_es]],autorest[author_es],autorest[nation_es])</f>
        <v>Italia</v>
      </c>
      <c r="N367" t="str">
        <f>_xlfn.XLOOKUP(frasest[[#This Row],[author_es]],autorest[author_es],autorest[nation_la])</f>
        <v>Italia</v>
      </c>
      <c r="O367" t="str">
        <f>_xlfn.XLOOKUP(frasest[[#This Row],[author_es]],autorest[author_es],autorest[age_es])</f>
        <v>Edad Media</v>
      </c>
      <c r="P367" t="str">
        <f>_xlfn.XLOOKUP(frasest[[#This Row],[author_es]],autorest[author_es],autorest[age_la])</f>
        <v>Medium Aevum</v>
      </c>
      <c r="Q367" t="str">
        <f>_xlfn.XLOOKUP(frasest[[#This Row],[author_es]],autorest[author_es],autorest[image])</f>
        <v>https://i.ibb.co/VWvD2P4t/asis.png</v>
      </c>
      <c r="R367">
        <f>_xlfn.XLOOKUP(frasest[[#This Row],[author_es]],autorest[author_es],autorest[image_atr])</f>
        <v>0</v>
      </c>
    </row>
    <row r="368" spans="1:18">
      <c r="A368">
        <v>367</v>
      </c>
      <c r="B368" t="s">
        <v>1252</v>
      </c>
      <c r="C368" t="s">
        <v>1253</v>
      </c>
      <c r="D368" t="s">
        <v>1254</v>
      </c>
      <c r="E368" t="s">
        <v>1255</v>
      </c>
      <c r="F368" t="s">
        <v>1256</v>
      </c>
      <c r="G368" t="str">
        <f>_xlfn.XLOOKUP(frasest[[#This Row],[author_es]],autorest[author_es],autorest[author_la])</f>
        <v>Leonardus Vincius</v>
      </c>
      <c r="H368" t="str">
        <f>_xlfn.XLOOKUP(frasest[[#This Row],[author_es]],autorest[author_es],autorest[bio_es])</f>
        <v>Artista, inventor y científico italiano del Renacimiento.</v>
      </c>
      <c r="I368" t="str">
        <f>_xlfn.XLOOKUP(frasest[[#This Row],[author_es]],autorest[author_es],autorest[bio_la])</f>
        <v>Artifex, inventor et physicus Italicus Renaissance.</v>
      </c>
      <c r="J368" t="str">
        <f>_xlfn.XLOOKUP(frasest[[#This Row],[author_es]],autorest[author_es],autorest[iso3691])</f>
        <v>la</v>
      </c>
      <c r="K368" t="str">
        <f>_xlfn.XLOOKUP(frasest[[#This Row],[author_es]],autorest[author_es],autorest[language_es])</f>
        <v>Latín</v>
      </c>
      <c r="L368" t="str">
        <f>_xlfn.XLOOKUP(frasest[[#This Row],[author_es]],autorest[author_es],autorest[language_la])</f>
        <v>Lingua Latina</v>
      </c>
      <c r="M368" t="str">
        <f>_xlfn.XLOOKUP(frasest[[#This Row],[author_es]],autorest[author_es],autorest[nation_es])</f>
        <v>Italia</v>
      </c>
      <c r="N368" t="str">
        <f>_xlfn.XLOOKUP(frasest[[#This Row],[author_es]],autorest[author_es],autorest[nation_la])</f>
        <v>Italia</v>
      </c>
      <c r="O368" t="str">
        <f>_xlfn.XLOOKUP(frasest[[#This Row],[author_es]],autorest[author_es],autorest[age_es])</f>
        <v>Edad Media</v>
      </c>
      <c r="P368" t="str">
        <f>_xlfn.XLOOKUP(frasest[[#This Row],[author_es]],autorest[author_es],autorest[age_la])</f>
        <v>Medium Aevum</v>
      </c>
      <c r="Q368" t="str">
        <f>_xlfn.XLOOKUP(frasest[[#This Row],[author_es]],autorest[author_es],autorest[image])</f>
        <v>https://i.ibb.co/prKj8Gtz/davinci.png</v>
      </c>
      <c r="R368">
        <f>_xlfn.XLOOKUP(frasest[[#This Row],[author_es]],autorest[author_es],autorest[image_atr])</f>
        <v>0</v>
      </c>
    </row>
    <row r="369" spans="1:18">
      <c r="A369">
        <v>368</v>
      </c>
      <c r="B369" t="s">
        <v>1257</v>
      </c>
      <c r="C369" t="s">
        <v>1258</v>
      </c>
      <c r="D369" t="s">
        <v>1259</v>
      </c>
      <c r="E369" t="s">
        <v>1255</v>
      </c>
      <c r="F369" t="s">
        <v>1260</v>
      </c>
      <c r="G369" t="str">
        <f>_xlfn.XLOOKUP(frasest[[#This Row],[author_es]],autorest[author_es],autorest[author_la])</f>
        <v>Leonardus Vincius</v>
      </c>
      <c r="H369" t="str">
        <f>_xlfn.XLOOKUP(frasest[[#This Row],[author_es]],autorest[author_es],autorest[bio_es])</f>
        <v>Artista, inventor y científico italiano del Renacimiento.</v>
      </c>
      <c r="I369" t="str">
        <f>_xlfn.XLOOKUP(frasest[[#This Row],[author_es]],autorest[author_es],autorest[bio_la])</f>
        <v>Artifex, inventor et physicus Italicus Renaissance.</v>
      </c>
      <c r="J369" t="str">
        <f>_xlfn.XLOOKUP(frasest[[#This Row],[author_es]],autorest[author_es],autorest[iso3691])</f>
        <v>la</v>
      </c>
      <c r="K369" t="str">
        <f>_xlfn.XLOOKUP(frasest[[#This Row],[author_es]],autorest[author_es],autorest[language_es])</f>
        <v>Latín</v>
      </c>
      <c r="L369" t="str">
        <f>_xlfn.XLOOKUP(frasest[[#This Row],[author_es]],autorest[author_es],autorest[language_la])</f>
        <v>Lingua Latina</v>
      </c>
      <c r="M369" t="str">
        <f>_xlfn.XLOOKUP(frasest[[#This Row],[author_es]],autorest[author_es],autorest[nation_es])</f>
        <v>Italia</v>
      </c>
      <c r="N369" t="str">
        <f>_xlfn.XLOOKUP(frasest[[#This Row],[author_es]],autorest[author_es],autorest[nation_la])</f>
        <v>Italia</v>
      </c>
      <c r="O369" t="str">
        <f>_xlfn.XLOOKUP(frasest[[#This Row],[author_es]],autorest[author_es],autorest[age_es])</f>
        <v>Edad Media</v>
      </c>
      <c r="P369" t="str">
        <f>_xlfn.XLOOKUP(frasest[[#This Row],[author_es]],autorest[author_es],autorest[age_la])</f>
        <v>Medium Aevum</v>
      </c>
      <c r="Q369" t="str">
        <f>_xlfn.XLOOKUP(frasest[[#This Row],[author_es]],autorest[author_es],autorest[image])</f>
        <v>https://i.ibb.co/prKj8Gtz/davinci.png</v>
      </c>
      <c r="R369">
        <f>_xlfn.XLOOKUP(frasest[[#This Row],[author_es]],autorest[author_es],autorest[image_atr])</f>
        <v>0</v>
      </c>
    </row>
    <row r="370" spans="1:18">
      <c r="A370">
        <v>369</v>
      </c>
      <c r="B370" t="s">
        <v>1261</v>
      </c>
      <c r="C370" t="s">
        <v>1262</v>
      </c>
      <c r="D370" t="s">
        <v>1263</v>
      </c>
      <c r="E370" t="s">
        <v>1255</v>
      </c>
      <c r="F370" t="s">
        <v>1264</v>
      </c>
      <c r="G370" t="str">
        <f>_xlfn.XLOOKUP(frasest[[#This Row],[author_es]],autorest[author_es],autorest[author_la])</f>
        <v>Leonardus Vincius</v>
      </c>
      <c r="H370" t="str">
        <f>_xlfn.XLOOKUP(frasest[[#This Row],[author_es]],autorest[author_es],autorest[bio_es])</f>
        <v>Artista, inventor y científico italiano del Renacimiento.</v>
      </c>
      <c r="I370" t="str">
        <f>_xlfn.XLOOKUP(frasest[[#This Row],[author_es]],autorest[author_es],autorest[bio_la])</f>
        <v>Artifex, inventor et physicus Italicus Renaissance.</v>
      </c>
      <c r="J370" t="str">
        <f>_xlfn.XLOOKUP(frasest[[#This Row],[author_es]],autorest[author_es],autorest[iso3691])</f>
        <v>la</v>
      </c>
      <c r="K370" t="str">
        <f>_xlfn.XLOOKUP(frasest[[#This Row],[author_es]],autorest[author_es],autorest[language_es])</f>
        <v>Latín</v>
      </c>
      <c r="L370" t="str">
        <f>_xlfn.XLOOKUP(frasest[[#This Row],[author_es]],autorest[author_es],autorest[language_la])</f>
        <v>Lingua Latina</v>
      </c>
      <c r="M370" t="str">
        <f>_xlfn.XLOOKUP(frasest[[#This Row],[author_es]],autorest[author_es],autorest[nation_es])</f>
        <v>Italia</v>
      </c>
      <c r="N370" t="str">
        <f>_xlfn.XLOOKUP(frasest[[#This Row],[author_es]],autorest[author_es],autorest[nation_la])</f>
        <v>Italia</v>
      </c>
      <c r="O370" t="str">
        <f>_xlfn.XLOOKUP(frasest[[#This Row],[author_es]],autorest[author_es],autorest[age_es])</f>
        <v>Edad Media</v>
      </c>
      <c r="P370" t="str">
        <f>_xlfn.XLOOKUP(frasest[[#This Row],[author_es]],autorest[author_es],autorest[age_la])</f>
        <v>Medium Aevum</v>
      </c>
      <c r="Q370" t="str">
        <f>_xlfn.XLOOKUP(frasest[[#This Row],[author_es]],autorest[author_es],autorest[image])</f>
        <v>https://i.ibb.co/prKj8Gtz/davinci.png</v>
      </c>
      <c r="R370">
        <f>_xlfn.XLOOKUP(frasest[[#This Row],[author_es]],autorest[author_es],autorest[image_atr])</f>
        <v>0</v>
      </c>
    </row>
    <row r="371" spans="1:18">
      <c r="A371">
        <v>370</v>
      </c>
      <c r="B371" t="s">
        <v>1265</v>
      </c>
      <c r="C371" t="s">
        <v>1266</v>
      </c>
      <c r="D371" t="s">
        <v>1267</v>
      </c>
      <c r="E371" t="s">
        <v>1255</v>
      </c>
      <c r="F371" t="s">
        <v>1268</v>
      </c>
      <c r="G371" t="str">
        <f>_xlfn.XLOOKUP(frasest[[#This Row],[author_es]],autorest[author_es],autorest[author_la])</f>
        <v>Leonardus Vincius</v>
      </c>
      <c r="H371" t="str">
        <f>_xlfn.XLOOKUP(frasest[[#This Row],[author_es]],autorest[author_es],autorest[bio_es])</f>
        <v>Artista, inventor y científico italiano del Renacimiento.</v>
      </c>
      <c r="I371" t="str">
        <f>_xlfn.XLOOKUP(frasest[[#This Row],[author_es]],autorest[author_es],autorest[bio_la])</f>
        <v>Artifex, inventor et physicus Italicus Renaissance.</v>
      </c>
      <c r="J371" t="str">
        <f>_xlfn.XLOOKUP(frasest[[#This Row],[author_es]],autorest[author_es],autorest[iso3691])</f>
        <v>la</v>
      </c>
      <c r="K371" t="str">
        <f>_xlfn.XLOOKUP(frasest[[#This Row],[author_es]],autorest[author_es],autorest[language_es])</f>
        <v>Latín</v>
      </c>
      <c r="L371" t="str">
        <f>_xlfn.XLOOKUP(frasest[[#This Row],[author_es]],autorest[author_es],autorest[language_la])</f>
        <v>Lingua Latina</v>
      </c>
      <c r="M371" t="str">
        <f>_xlfn.XLOOKUP(frasest[[#This Row],[author_es]],autorest[author_es],autorest[nation_es])</f>
        <v>Italia</v>
      </c>
      <c r="N371" t="str">
        <f>_xlfn.XLOOKUP(frasest[[#This Row],[author_es]],autorest[author_es],autorest[nation_la])</f>
        <v>Italia</v>
      </c>
      <c r="O371" t="str">
        <f>_xlfn.XLOOKUP(frasest[[#This Row],[author_es]],autorest[author_es],autorest[age_es])</f>
        <v>Edad Media</v>
      </c>
      <c r="P371" t="str">
        <f>_xlfn.XLOOKUP(frasest[[#This Row],[author_es]],autorest[author_es],autorest[age_la])</f>
        <v>Medium Aevum</v>
      </c>
      <c r="Q371" t="str">
        <f>_xlfn.XLOOKUP(frasest[[#This Row],[author_es]],autorest[author_es],autorest[image])</f>
        <v>https://i.ibb.co/prKj8Gtz/davinci.png</v>
      </c>
      <c r="R371">
        <f>_xlfn.XLOOKUP(frasest[[#This Row],[author_es]],autorest[author_es],autorest[image_atr])</f>
        <v>0</v>
      </c>
    </row>
    <row r="372" spans="1:18">
      <c r="A372">
        <v>371</v>
      </c>
      <c r="B372" t="s">
        <v>1269</v>
      </c>
      <c r="C372" t="s">
        <v>1270</v>
      </c>
      <c r="D372" t="s">
        <v>1271</v>
      </c>
      <c r="E372" t="s">
        <v>1255</v>
      </c>
      <c r="F372" t="s">
        <v>1272</v>
      </c>
      <c r="G372" t="str">
        <f>_xlfn.XLOOKUP(frasest[[#This Row],[author_es]],autorest[author_es],autorest[author_la])</f>
        <v>Leonardus Vincius</v>
      </c>
      <c r="H372" t="str">
        <f>_xlfn.XLOOKUP(frasest[[#This Row],[author_es]],autorest[author_es],autorest[bio_es])</f>
        <v>Artista, inventor y científico italiano del Renacimiento.</v>
      </c>
      <c r="I372" t="str">
        <f>_xlfn.XLOOKUP(frasest[[#This Row],[author_es]],autorest[author_es],autorest[bio_la])</f>
        <v>Artifex, inventor et physicus Italicus Renaissance.</v>
      </c>
      <c r="J372" t="str">
        <f>_xlfn.XLOOKUP(frasest[[#This Row],[author_es]],autorest[author_es],autorest[iso3691])</f>
        <v>la</v>
      </c>
      <c r="K372" t="str">
        <f>_xlfn.XLOOKUP(frasest[[#This Row],[author_es]],autorest[author_es],autorest[language_es])</f>
        <v>Latín</v>
      </c>
      <c r="L372" t="str">
        <f>_xlfn.XLOOKUP(frasest[[#This Row],[author_es]],autorest[author_es],autorest[language_la])</f>
        <v>Lingua Latina</v>
      </c>
      <c r="M372" t="str">
        <f>_xlfn.XLOOKUP(frasest[[#This Row],[author_es]],autorest[author_es],autorest[nation_es])</f>
        <v>Italia</v>
      </c>
      <c r="N372" t="str">
        <f>_xlfn.XLOOKUP(frasest[[#This Row],[author_es]],autorest[author_es],autorest[nation_la])</f>
        <v>Italia</v>
      </c>
      <c r="O372" t="str">
        <f>_xlfn.XLOOKUP(frasest[[#This Row],[author_es]],autorest[author_es],autorest[age_es])</f>
        <v>Edad Media</v>
      </c>
      <c r="P372" t="str">
        <f>_xlfn.XLOOKUP(frasest[[#This Row],[author_es]],autorest[author_es],autorest[age_la])</f>
        <v>Medium Aevum</v>
      </c>
      <c r="Q372" t="str">
        <f>_xlfn.XLOOKUP(frasest[[#This Row],[author_es]],autorest[author_es],autorest[image])</f>
        <v>https://i.ibb.co/prKj8Gtz/davinci.png</v>
      </c>
      <c r="R372">
        <f>_xlfn.XLOOKUP(frasest[[#This Row],[author_es]],autorest[author_es],autorest[image_atr])</f>
        <v>0</v>
      </c>
    </row>
    <row r="373" spans="1:18">
      <c r="A373">
        <v>372</v>
      </c>
      <c r="B373" t="s">
        <v>1273</v>
      </c>
      <c r="C373" t="s">
        <v>1274</v>
      </c>
      <c r="D373" s="1" t="s">
        <v>148</v>
      </c>
      <c r="E373" t="s">
        <v>36</v>
      </c>
      <c r="G373" t="str">
        <f>_xlfn.XLOOKUP(frasest[[#This Row],[author_es]],autorest[author_es],autorest[author_la])</f>
        <v>Proverbium Sinense</v>
      </c>
      <c r="H373" t="str">
        <f>_xlfn.XLOOKUP(frasest[[#This Row],[author_es]],autorest[author_es],autorest[bio_es])</f>
        <v>Conjunto de proverbios tradicionales de la cultura china que transmiten sabiduría popular, valores morales y enseñanzas prácticas transmitidas oralmente durante siglos.</v>
      </c>
      <c r="I373" t="str">
        <f>_xlfn.XLOOKUP(frasest[[#This Row],[author_es]],autorest[author_es],autorest[bio_la])</f>
        <v>Collectio sententiarum Sinensium, magnopere in cultura tradita.</v>
      </c>
      <c r="J373" t="str">
        <f>_xlfn.XLOOKUP(frasest[[#This Row],[author_es]],autorest[author_es],autorest[iso3691])</f>
        <v>zh</v>
      </c>
      <c r="K373" t="str">
        <f>_xlfn.XLOOKUP(frasest[[#This Row],[author_es]],autorest[author_es],autorest[language_es])</f>
        <v>Chino</v>
      </c>
      <c r="L373" t="str">
        <f>_xlfn.XLOOKUP(frasest[[#This Row],[author_es]],autorest[author_es],autorest[language_la])</f>
        <v>Lingua Sinica</v>
      </c>
      <c r="M373" t="str">
        <f>_xlfn.XLOOKUP(frasest[[#This Row],[author_es]],autorest[author_es],autorest[nation_es])</f>
        <v>China</v>
      </c>
      <c r="N373" t="str">
        <f>_xlfn.XLOOKUP(frasest[[#This Row],[author_es]],autorest[author_es],autorest[nation_la])</f>
        <v>Sinae</v>
      </c>
      <c r="O373" t="str">
        <f>_xlfn.XLOOKUP(frasest[[#This Row],[author_es]],autorest[author_es],autorest[age_es])</f>
        <v>Epoca Desconocida</v>
      </c>
      <c r="P373" t="str">
        <f>_xlfn.XLOOKUP(frasest[[#This Row],[author_es]],autorest[author_es],autorest[age_la])</f>
        <v>Epocha Ignota</v>
      </c>
      <c r="Q373" t="str">
        <f>_xlfn.XLOOKUP(frasest[[#This Row],[author_es]],autorest[author_es],autorest[image])</f>
        <v>https://i.ibb.co/qLfpZm6h/china.png</v>
      </c>
      <c r="R373">
        <f>_xlfn.XLOOKUP(frasest[[#This Row],[author_es]],autorest[author_es],autorest[image_atr])</f>
        <v>0</v>
      </c>
    </row>
    <row r="374" spans="1:18">
      <c r="A374">
        <v>373</v>
      </c>
      <c r="B374" t="s">
        <v>1275</v>
      </c>
      <c r="C374" t="s">
        <v>1276</v>
      </c>
      <c r="D374" s="1" t="s">
        <v>1277</v>
      </c>
      <c r="E374" t="s">
        <v>36</v>
      </c>
      <c r="G374" t="str">
        <f>_xlfn.XLOOKUP(frasest[[#This Row],[author_es]],autorest[author_es],autorest[author_la])</f>
        <v>Proverbium Sinense</v>
      </c>
      <c r="H374" t="str">
        <f>_xlfn.XLOOKUP(frasest[[#This Row],[author_es]],autorest[author_es],autorest[bio_es])</f>
        <v>Conjunto de proverbios tradicionales de la cultura china que transmiten sabiduría popular, valores morales y enseñanzas prácticas transmitidas oralmente durante siglos.</v>
      </c>
      <c r="I374" t="str">
        <f>_xlfn.XLOOKUP(frasest[[#This Row],[author_es]],autorest[author_es],autorest[bio_la])</f>
        <v>Collectio sententiarum Sinensium, magnopere in cultura tradita.</v>
      </c>
      <c r="J374" t="str">
        <f>_xlfn.XLOOKUP(frasest[[#This Row],[author_es]],autorest[author_es],autorest[iso3691])</f>
        <v>zh</v>
      </c>
      <c r="K374" t="str">
        <f>_xlfn.XLOOKUP(frasest[[#This Row],[author_es]],autorest[author_es],autorest[language_es])</f>
        <v>Chino</v>
      </c>
      <c r="L374" t="str">
        <f>_xlfn.XLOOKUP(frasest[[#This Row],[author_es]],autorest[author_es],autorest[language_la])</f>
        <v>Lingua Sinica</v>
      </c>
      <c r="M374" t="str">
        <f>_xlfn.XLOOKUP(frasest[[#This Row],[author_es]],autorest[author_es],autorest[nation_es])</f>
        <v>China</v>
      </c>
      <c r="N374" t="str">
        <f>_xlfn.XLOOKUP(frasest[[#This Row],[author_es]],autorest[author_es],autorest[nation_la])</f>
        <v>Sinae</v>
      </c>
      <c r="O374" t="str">
        <f>_xlfn.XLOOKUP(frasest[[#This Row],[author_es]],autorest[author_es],autorest[age_es])</f>
        <v>Epoca Desconocida</v>
      </c>
      <c r="P374" t="str">
        <f>_xlfn.XLOOKUP(frasest[[#This Row],[author_es]],autorest[author_es],autorest[age_la])</f>
        <v>Epocha Ignota</v>
      </c>
      <c r="Q374" t="str">
        <f>_xlfn.XLOOKUP(frasest[[#This Row],[author_es]],autorest[author_es],autorest[image])</f>
        <v>https://i.ibb.co/qLfpZm6h/china.png</v>
      </c>
      <c r="R374">
        <f>_xlfn.XLOOKUP(frasest[[#This Row],[author_es]],autorest[author_es],autorest[image_atr])</f>
        <v>0</v>
      </c>
    </row>
    <row r="375" spans="1:18">
      <c r="A375">
        <v>374</v>
      </c>
      <c r="B375" t="s">
        <v>1278</v>
      </c>
      <c r="C375" t="s">
        <v>1279</v>
      </c>
      <c r="D375" s="1" t="s">
        <v>1280</v>
      </c>
      <c r="E375" t="s">
        <v>36</v>
      </c>
      <c r="G375" t="str">
        <f>_xlfn.XLOOKUP(frasest[[#This Row],[author_es]],autorest[author_es],autorest[author_la])</f>
        <v>Proverbium Sinense</v>
      </c>
      <c r="H375" t="str">
        <f>_xlfn.XLOOKUP(frasest[[#This Row],[author_es]],autorest[author_es],autorest[bio_es])</f>
        <v>Conjunto de proverbios tradicionales de la cultura china que transmiten sabiduría popular, valores morales y enseñanzas prácticas transmitidas oralmente durante siglos.</v>
      </c>
      <c r="I375" t="str">
        <f>_xlfn.XLOOKUP(frasest[[#This Row],[author_es]],autorest[author_es],autorest[bio_la])</f>
        <v>Collectio sententiarum Sinensium, magnopere in cultura tradita.</v>
      </c>
      <c r="J375" t="str">
        <f>_xlfn.XLOOKUP(frasest[[#This Row],[author_es]],autorest[author_es],autorest[iso3691])</f>
        <v>zh</v>
      </c>
      <c r="K375" t="str">
        <f>_xlfn.XLOOKUP(frasest[[#This Row],[author_es]],autorest[author_es],autorest[language_es])</f>
        <v>Chino</v>
      </c>
      <c r="L375" t="str">
        <f>_xlfn.XLOOKUP(frasest[[#This Row],[author_es]],autorest[author_es],autorest[language_la])</f>
        <v>Lingua Sinica</v>
      </c>
      <c r="M375" t="str">
        <f>_xlfn.XLOOKUP(frasest[[#This Row],[author_es]],autorest[author_es],autorest[nation_es])</f>
        <v>China</v>
      </c>
      <c r="N375" t="str">
        <f>_xlfn.XLOOKUP(frasest[[#This Row],[author_es]],autorest[author_es],autorest[nation_la])</f>
        <v>Sinae</v>
      </c>
      <c r="O375" t="str">
        <f>_xlfn.XLOOKUP(frasest[[#This Row],[author_es]],autorest[author_es],autorest[age_es])</f>
        <v>Epoca Desconocida</v>
      </c>
      <c r="P375" t="str">
        <f>_xlfn.XLOOKUP(frasest[[#This Row],[author_es]],autorest[author_es],autorest[age_la])</f>
        <v>Epocha Ignota</v>
      </c>
      <c r="Q375" t="str">
        <f>_xlfn.XLOOKUP(frasest[[#This Row],[author_es]],autorest[author_es],autorest[image])</f>
        <v>https://i.ibb.co/qLfpZm6h/china.png</v>
      </c>
      <c r="R375">
        <f>_xlfn.XLOOKUP(frasest[[#This Row],[author_es]],autorest[author_es],autorest[image_atr])</f>
        <v>0</v>
      </c>
    </row>
    <row r="376" spans="1:18">
      <c r="A376">
        <v>375</v>
      </c>
      <c r="B376" t="s">
        <v>1281</v>
      </c>
      <c r="C376" t="s">
        <v>1282</v>
      </c>
      <c r="D376" s="1" t="s">
        <v>1283</v>
      </c>
      <c r="E376" t="s">
        <v>36</v>
      </c>
      <c r="G376" t="str">
        <f>_xlfn.XLOOKUP(frasest[[#This Row],[author_es]],autorest[author_es],autorest[author_la])</f>
        <v>Proverbium Sinense</v>
      </c>
      <c r="H376" t="str">
        <f>_xlfn.XLOOKUP(frasest[[#This Row],[author_es]],autorest[author_es],autorest[bio_es])</f>
        <v>Conjunto de proverbios tradicionales de la cultura china que transmiten sabiduría popular, valores morales y enseñanzas prácticas transmitidas oralmente durante siglos.</v>
      </c>
      <c r="I376" t="str">
        <f>_xlfn.XLOOKUP(frasest[[#This Row],[author_es]],autorest[author_es],autorest[bio_la])</f>
        <v>Collectio sententiarum Sinensium, magnopere in cultura tradita.</v>
      </c>
      <c r="J376" t="str">
        <f>_xlfn.XLOOKUP(frasest[[#This Row],[author_es]],autorest[author_es],autorest[iso3691])</f>
        <v>zh</v>
      </c>
      <c r="K376" t="str">
        <f>_xlfn.XLOOKUP(frasest[[#This Row],[author_es]],autorest[author_es],autorest[language_es])</f>
        <v>Chino</v>
      </c>
      <c r="L376" t="str">
        <f>_xlfn.XLOOKUP(frasest[[#This Row],[author_es]],autorest[author_es],autorest[language_la])</f>
        <v>Lingua Sinica</v>
      </c>
      <c r="M376" t="str">
        <f>_xlfn.XLOOKUP(frasest[[#This Row],[author_es]],autorest[author_es],autorest[nation_es])</f>
        <v>China</v>
      </c>
      <c r="N376" t="str">
        <f>_xlfn.XLOOKUP(frasest[[#This Row],[author_es]],autorest[author_es],autorest[nation_la])</f>
        <v>Sinae</v>
      </c>
      <c r="O376" t="str">
        <f>_xlfn.XLOOKUP(frasest[[#This Row],[author_es]],autorest[author_es],autorest[age_es])</f>
        <v>Epoca Desconocida</v>
      </c>
      <c r="P376" t="str">
        <f>_xlfn.XLOOKUP(frasest[[#This Row],[author_es]],autorest[author_es],autorest[age_la])</f>
        <v>Epocha Ignota</v>
      </c>
      <c r="Q376" t="str">
        <f>_xlfn.XLOOKUP(frasest[[#This Row],[author_es]],autorest[author_es],autorest[image])</f>
        <v>https://i.ibb.co/qLfpZm6h/china.png</v>
      </c>
      <c r="R376">
        <f>_xlfn.XLOOKUP(frasest[[#This Row],[author_es]],autorest[author_es],autorest[image_atr])</f>
        <v>0</v>
      </c>
    </row>
    <row r="377" spans="1:18">
      <c r="A377">
        <v>376</v>
      </c>
      <c r="B377" t="s">
        <v>1284</v>
      </c>
      <c r="C377" t="s">
        <v>1285</v>
      </c>
      <c r="D377" s="1" t="s">
        <v>1286</v>
      </c>
      <c r="E377" t="s">
        <v>36</v>
      </c>
      <c r="G377" t="str">
        <f>_xlfn.XLOOKUP(frasest[[#This Row],[author_es]],autorest[author_es],autorest[author_la])</f>
        <v>Proverbium Sinense</v>
      </c>
      <c r="H377" t="str">
        <f>_xlfn.XLOOKUP(frasest[[#This Row],[author_es]],autorest[author_es],autorest[bio_es])</f>
        <v>Conjunto de proverbios tradicionales de la cultura china que transmiten sabiduría popular, valores morales y enseñanzas prácticas transmitidas oralmente durante siglos.</v>
      </c>
      <c r="I377" t="str">
        <f>_xlfn.XLOOKUP(frasest[[#This Row],[author_es]],autorest[author_es],autorest[bio_la])</f>
        <v>Collectio sententiarum Sinensium, magnopere in cultura tradita.</v>
      </c>
      <c r="J377" t="str">
        <f>_xlfn.XLOOKUP(frasest[[#This Row],[author_es]],autorest[author_es],autorest[iso3691])</f>
        <v>zh</v>
      </c>
      <c r="K377" t="str">
        <f>_xlfn.XLOOKUP(frasest[[#This Row],[author_es]],autorest[author_es],autorest[language_es])</f>
        <v>Chino</v>
      </c>
      <c r="L377" t="str">
        <f>_xlfn.XLOOKUP(frasest[[#This Row],[author_es]],autorest[author_es],autorest[language_la])</f>
        <v>Lingua Sinica</v>
      </c>
      <c r="M377" t="str">
        <f>_xlfn.XLOOKUP(frasest[[#This Row],[author_es]],autorest[author_es],autorest[nation_es])</f>
        <v>China</v>
      </c>
      <c r="N377" t="str">
        <f>_xlfn.XLOOKUP(frasest[[#This Row],[author_es]],autorest[author_es],autorest[nation_la])</f>
        <v>Sinae</v>
      </c>
      <c r="O377" t="str">
        <f>_xlfn.XLOOKUP(frasest[[#This Row],[author_es]],autorest[author_es],autorest[age_es])</f>
        <v>Epoca Desconocida</v>
      </c>
      <c r="P377" t="str">
        <f>_xlfn.XLOOKUP(frasest[[#This Row],[author_es]],autorest[author_es],autorest[age_la])</f>
        <v>Epocha Ignota</v>
      </c>
      <c r="Q377" t="str">
        <f>_xlfn.XLOOKUP(frasest[[#This Row],[author_es]],autorest[author_es],autorest[image])</f>
        <v>https://i.ibb.co/qLfpZm6h/china.png</v>
      </c>
      <c r="R377">
        <f>_xlfn.XLOOKUP(frasest[[#This Row],[author_es]],autorest[author_es],autorest[image_atr])</f>
        <v>0</v>
      </c>
    </row>
    <row r="378" spans="1:18">
      <c r="A378">
        <v>377</v>
      </c>
      <c r="B378" t="s">
        <v>1287</v>
      </c>
      <c r="C378" t="s">
        <v>1288</v>
      </c>
      <c r="D378" s="1" t="s">
        <v>1289</v>
      </c>
      <c r="E378" t="s">
        <v>36</v>
      </c>
      <c r="G378" t="str">
        <f>_xlfn.XLOOKUP(frasest[[#This Row],[author_es]],autorest[author_es],autorest[author_la])</f>
        <v>Proverbium Sinense</v>
      </c>
      <c r="H378" t="str">
        <f>_xlfn.XLOOKUP(frasest[[#This Row],[author_es]],autorest[author_es],autorest[bio_es])</f>
        <v>Conjunto de proverbios tradicionales de la cultura china que transmiten sabiduría popular, valores morales y enseñanzas prácticas transmitidas oralmente durante siglos.</v>
      </c>
      <c r="I378" t="str">
        <f>_xlfn.XLOOKUP(frasest[[#This Row],[author_es]],autorest[author_es],autorest[bio_la])</f>
        <v>Collectio sententiarum Sinensium, magnopere in cultura tradita.</v>
      </c>
      <c r="J378" t="str">
        <f>_xlfn.XLOOKUP(frasest[[#This Row],[author_es]],autorest[author_es],autorest[iso3691])</f>
        <v>zh</v>
      </c>
      <c r="K378" t="str">
        <f>_xlfn.XLOOKUP(frasest[[#This Row],[author_es]],autorest[author_es],autorest[language_es])</f>
        <v>Chino</v>
      </c>
      <c r="L378" t="str">
        <f>_xlfn.XLOOKUP(frasest[[#This Row],[author_es]],autorest[author_es],autorest[language_la])</f>
        <v>Lingua Sinica</v>
      </c>
      <c r="M378" t="str">
        <f>_xlfn.XLOOKUP(frasest[[#This Row],[author_es]],autorest[author_es],autorest[nation_es])</f>
        <v>China</v>
      </c>
      <c r="N378" t="str">
        <f>_xlfn.XLOOKUP(frasest[[#This Row],[author_es]],autorest[author_es],autorest[nation_la])</f>
        <v>Sinae</v>
      </c>
      <c r="O378" t="str">
        <f>_xlfn.XLOOKUP(frasest[[#This Row],[author_es]],autorest[author_es],autorest[age_es])</f>
        <v>Epoca Desconocida</v>
      </c>
      <c r="P378" t="str">
        <f>_xlfn.XLOOKUP(frasest[[#This Row],[author_es]],autorest[author_es],autorest[age_la])</f>
        <v>Epocha Ignota</v>
      </c>
      <c r="Q378" t="str">
        <f>_xlfn.XLOOKUP(frasest[[#This Row],[author_es]],autorest[author_es],autorest[image])</f>
        <v>https://i.ibb.co/qLfpZm6h/china.png</v>
      </c>
      <c r="R378">
        <f>_xlfn.XLOOKUP(frasest[[#This Row],[author_es]],autorest[author_es],autorest[image_atr])</f>
        <v>0</v>
      </c>
    </row>
    <row r="379" spans="1:18">
      <c r="A379">
        <v>378</v>
      </c>
      <c r="B379" t="s">
        <v>1290</v>
      </c>
      <c r="C379" t="s">
        <v>1291</v>
      </c>
      <c r="D379" s="1" t="s">
        <v>1292</v>
      </c>
      <c r="E379" t="s">
        <v>36</v>
      </c>
      <c r="G379" t="str">
        <f>_xlfn.XLOOKUP(frasest[[#This Row],[author_es]],autorest[author_es],autorest[author_la])</f>
        <v>Proverbium Sinense</v>
      </c>
      <c r="H379" t="str">
        <f>_xlfn.XLOOKUP(frasest[[#This Row],[author_es]],autorest[author_es],autorest[bio_es])</f>
        <v>Conjunto de proverbios tradicionales de la cultura china que transmiten sabiduría popular, valores morales y enseñanzas prácticas transmitidas oralmente durante siglos.</v>
      </c>
      <c r="I379" t="str">
        <f>_xlfn.XLOOKUP(frasest[[#This Row],[author_es]],autorest[author_es],autorest[bio_la])</f>
        <v>Collectio sententiarum Sinensium, magnopere in cultura tradita.</v>
      </c>
      <c r="J379" t="str">
        <f>_xlfn.XLOOKUP(frasest[[#This Row],[author_es]],autorest[author_es],autorest[iso3691])</f>
        <v>zh</v>
      </c>
      <c r="K379" t="str">
        <f>_xlfn.XLOOKUP(frasest[[#This Row],[author_es]],autorest[author_es],autorest[language_es])</f>
        <v>Chino</v>
      </c>
      <c r="L379" t="str">
        <f>_xlfn.XLOOKUP(frasest[[#This Row],[author_es]],autorest[author_es],autorest[language_la])</f>
        <v>Lingua Sinica</v>
      </c>
      <c r="M379" t="str">
        <f>_xlfn.XLOOKUP(frasest[[#This Row],[author_es]],autorest[author_es],autorest[nation_es])</f>
        <v>China</v>
      </c>
      <c r="N379" t="str">
        <f>_xlfn.XLOOKUP(frasest[[#This Row],[author_es]],autorest[author_es],autorest[nation_la])</f>
        <v>Sinae</v>
      </c>
      <c r="O379" t="str">
        <f>_xlfn.XLOOKUP(frasest[[#This Row],[author_es]],autorest[author_es],autorest[age_es])</f>
        <v>Epoca Desconocida</v>
      </c>
      <c r="P379" t="str">
        <f>_xlfn.XLOOKUP(frasest[[#This Row],[author_es]],autorest[author_es],autorest[age_la])</f>
        <v>Epocha Ignota</v>
      </c>
      <c r="Q379" t="str">
        <f>_xlfn.XLOOKUP(frasest[[#This Row],[author_es]],autorest[author_es],autorest[image])</f>
        <v>https://i.ibb.co/qLfpZm6h/china.png</v>
      </c>
      <c r="R379">
        <f>_xlfn.XLOOKUP(frasest[[#This Row],[author_es]],autorest[author_es],autorest[image_atr])</f>
        <v>0</v>
      </c>
    </row>
    <row r="380" spans="1:18">
      <c r="A380">
        <v>379</v>
      </c>
      <c r="B380" t="s">
        <v>1293</v>
      </c>
      <c r="C380" t="s">
        <v>1294</v>
      </c>
      <c r="D380" s="1" t="s">
        <v>1295</v>
      </c>
      <c r="E380" t="s">
        <v>36</v>
      </c>
      <c r="G380" t="str">
        <f>_xlfn.XLOOKUP(frasest[[#This Row],[author_es]],autorest[author_es],autorest[author_la])</f>
        <v>Proverbium Sinense</v>
      </c>
      <c r="H380" t="str">
        <f>_xlfn.XLOOKUP(frasest[[#This Row],[author_es]],autorest[author_es],autorest[bio_es])</f>
        <v>Conjunto de proverbios tradicionales de la cultura china que transmiten sabiduría popular, valores morales y enseñanzas prácticas transmitidas oralmente durante siglos.</v>
      </c>
      <c r="I380" t="str">
        <f>_xlfn.XLOOKUP(frasest[[#This Row],[author_es]],autorest[author_es],autorest[bio_la])</f>
        <v>Collectio sententiarum Sinensium, magnopere in cultura tradita.</v>
      </c>
      <c r="J380" t="str">
        <f>_xlfn.XLOOKUP(frasest[[#This Row],[author_es]],autorest[author_es],autorest[iso3691])</f>
        <v>zh</v>
      </c>
      <c r="K380" t="str">
        <f>_xlfn.XLOOKUP(frasest[[#This Row],[author_es]],autorest[author_es],autorest[language_es])</f>
        <v>Chino</v>
      </c>
      <c r="L380" t="str">
        <f>_xlfn.XLOOKUP(frasest[[#This Row],[author_es]],autorest[author_es],autorest[language_la])</f>
        <v>Lingua Sinica</v>
      </c>
      <c r="M380" t="str">
        <f>_xlfn.XLOOKUP(frasest[[#This Row],[author_es]],autorest[author_es],autorest[nation_es])</f>
        <v>China</v>
      </c>
      <c r="N380" t="str">
        <f>_xlfn.XLOOKUP(frasest[[#This Row],[author_es]],autorest[author_es],autorest[nation_la])</f>
        <v>Sinae</v>
      </c>
      <c r="O380" t="str">
        <f>_xlfn.XLOOKUP(frasest[[#This Row],[author_es]],autorest[author_es],autorest[age_es])</f>
        <v>Epoca Desconocida</v>
      </c>
      <c r="P380" t="str">
        <f>_xlfn.XLOOKUP(frasest[[#This Row],[author_es]],autorest[author_es],autorest[age_la])</f>
        <v>Epocha Ignota</v>
      </c>
      <c r="Q380" t="str">
        <f>_xlfn.XLOOKUP(frasest[[#This Row],[author_es]],autorest[author_es],autorest[image])</f>
        <v>https://i.ibb.co/qLfpZm6h/china.png</v>
      </c>
      <c r="R380">
        <f>_xlfn.XLOOKUP(frasest[[#This Row],[author_es]],autorest[author_es],autorest[image_atr])</f>
        <v>0</v>
      </c>
    </row>
    <row r="381" spans="1:18">
      <c r="A381">
        <v>380</v>
      </c>
      <c r="B381" t="s">
        <v>1296</v>
      </c>
      <c r="C381" t="s">
        <v>1297</v>
      </c>
      <c r="D381" t="s">
        <v>1298</v>
      </c>
      <c r="E381" t="s">
        <v>1299</v>
      </c>
      <c r="F381" t="s">
        <v>1300</v>
      </c>
      <c r="G381" t="str">
        <f>_xlfn.XLOOKUP(frasest[[#This Row],[author_es]],autorest[author_es],autorest[author_la])</f>
        <v>Sanctus Ioannes a Cruce</v>
      </c>
      <c r="H381"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1"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1" t="str">
        <f>_xlfn.XLOOKUP(frasest[[#This Row],[author_es]],autorest[author_es],autorest[iso3691])</f>
        <v>es</v>
      </c>
      <c r="K381" t="str">
        <f>_xlfn.XLOOKUP(frasest[[#This Row],[author_es]],autorest[author_es],autorest[language_es])</f>
        <v>Español</v>
      </c>
      <c r="L381" t="str">
        <f>_xlfn.XLOOKUP(frasest[[#This Row],[author_es]],autorest[author_es],autorest[language_la])</f>
        <v>Lingua Hispanica</v>
      </c>
      <c r="M381" t="str">
        <f>_xlfn.XLOOKUP(frasest[[#This Row],[author_es]],autorest[author_es],autorest[nation_es])</f>
        <v>España</v>
      </c>
      <c r="N381" t="str">
        <f>_xlfn.XLOOKUP(frasest[[#This Row],[author_es]],autorest[author_es],autorest[nation_la])</f>
        <v>Hispania</v>
      </c>
      <c r="O381" t="str">
        <f>_xlfn.XLOOKUP(frasest[[#This Row],[author_es]],autorest[author_es],autorest[age_es])</f>
        <v>Edad Moderna</v>
      </c>
      <c r="P381" t="str">
        <f>_xlfn.XLOOKUP(frasest[[#This Row],[author_es]],autorest[author_es],autorest[age_la])</f>
        <v>Nova Aetas</v>
      </c>
      <c r="Q381" t="str">
        <f>_xlfn.XLOOKUP(frasest[[#This Row],[author_es]],autorest[author_es],autorest[image])</f>
        <v>https://i.ibb.co/ynPqYx5K/sanjuandelacruz.png</v>
      </c>
      <c r="R381">
        <f>_xlfn.XLOOKUP(frasest[[#This Row],[author_es]],autorest[author_es],autorest[image_atr])</f>
        <v>0</v>
      </c>
    </row>
    <row r="382" spans="1:18">
      <c r="A382">
        <v>381</v>
      </c>
      <c r="B382" t="s">
        <v>1301</v>
      </c>
      <c r="C382" t="s">
        <v>1302</v>
      </c>
      <c r="D382" t="s">
        <v>1303</v>
      </c>
      <c r="E382" t="s">
        <v>1299</v>
      </c>
      <c r="F382" t="s">
        <v>1304</v>
      </c>
      <c r="G382" t="str">
        <f>_xlfn.XLOOKUP(frasest[[#This Row],[author_es]],autorest[author_es],autorest[author_la])</f>
        <v>Sanctus Ioannes a Cruce</v>
      </c>
      <c r="H382"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2"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2" t="str">
        <f>_xlfn.XLOOKUP(frasest[[#This Row],[author_es]],autorest[author_es],autorest[iso3691])</f>
        <v>es</v>
      </c>
      <c r="K382" t="str">
        <f>_xlfn.XLOOKUP(frasest[[#This Row],[author_es]],autorest[author_es],autorest[language_es])</f>
        <v>Español</v>
      </c>
      <c r="L382" t="str">
        <f>_xlfn.XLOOKUP(frasest[[#This Row],[author_es]],autorest[author_es],autorest[language_la])</f>
        <v>Lingua Hispanica</v>
      </c>
      <c r="M382" t="str">
        <f>_xlfn.XLOOKUP(frasest[[#This Row],[author_es]],autorest[author_es],autorest[nation_es])</f>
        <v>España</v>
      </c>
      <c r="N382" t="str">
        <f>_xlfn.XLOOKUP(frasest[[#This Row],[author_es]],autorest[author_es],autorest[nation_la])</f>
        <v>Hispania</v>
      </c>
      <c r="O382" t="str">
        <f>_xlfn.XLOOKUP(frasest[[#This Row],[author_es]],autorest[author_es],autorest[age_es])</f>
        <v>Edad Moderna</v>
      </c>
      <c r="P382" t="str">
        <f>_xlfn.XLOOKUP(frasest[[#This Row],[author_es]],autorest[author_es],autorest[age_la])</f>
        <v>Nova Aetas</v>
      </c>
      <c r="Q382" t="str">
        <f>_xlfn.XLOOKUP(frasest[[#This Row],[author_es]],autorest[author_es],autorest[image])</f>
        <v>https://i.ibb.co/ynPqYx5K/sanjuandelacruz.png</v>
      </c>
      <c r="R382">
        <f>_xlfn.XLOOKUP(frasest[[#This Row],[author_es]],autorest[author_es],autorest[image_atr])</f>
        <v>0</v>
      </c>
    </row>
    <row r="383" spans="1:18">
      <c r="A383">
        <v>382</v>
      </c>
      <c r="B383" t="s">
        <v>1305</v>
      </c>
      <c r="C383" t="s">
        <v>1306</v>
      </c>
      <c r="D383" t="s">
        <v>1307</v>
      </c>
      <c r="E383" t="s">
        <v>1299</v>
      </c>
      <c r="F383" t="s">
        <v>1308</v>
      </c>
      <c r="G383" t="str">
        <f>_xlfn.XLOOKUP(frasest[[#This Row],[author_es]],autorest[author_es],autorest[author_la])</f>
        <v>Sanctus Ioannes a Cruce</v>
      </c>
      <c r="H383"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3"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3" t="str">
        <f>_xlfn.XLOOKUP(frasest[[#This Row],[author_es]],autorest[author_es],autorest[iso3691])</f>
        <v>es</v>
      </c>
      <c r="K383" t="str">
        <f>_xlfn.XLOOKUP(frasest[[#This Row],[author_es]],autorest[author_es],autorest[language_es])</f>
        <v>Español</v>
      </c>
      <c r="L383" t="str">
        <f>_xlfn.XLOOKUP(frasest[[#This Row],[author_es]],autorest[author_es],autorest[language_la])</f>
        <v>Lingua Hispanica</v>
      </c>
      <c r="M383" t="str">
        <f>_xlfn.XLOOKUP(frasest[[#This Row],[author_es]],autorest[author_es],autorest[nation_es])</f>
        <v>España</v>
      </c>
      <c r="N383" t="str">
        <f>_xlfn.XLOOKUP(frasest[[#This Row],[author_es]],autorest[author_es],autorest[nation_la])</f>
        <v>Hispania</v>
      </c>
      <c r="O383" t="str">
        <f>_xlfn.XLOOKUP(frasest[[#This Row],[author_es]],autorest[author_es],autorest[age_es])</f>
        <v>Edad Moderna</v>
      </c>
      <c r="P383" t="str">
        <f>_xlfn.XLOOKUP(frasest[[#This Row],[author_es]],autorest[author_es],autorest[age_la])</f>
        <v>Nova Aetas</v>
      </c>
      <c r="Q383" t="str">
        <f>_xlfn.XLOOKUP(frasest[[#This Row],[author_es]],autorest[author_es],autorest[image])</f>
        <v>https://i.ibb.co/ynPqYx5K/sanjuandelacruz.png</v>
      </c>
      <c r="R383">
        <f>_xlfn.XLOOKUP(frasest[[#This Row],[author_es]],autorest[author_es],autorest[image_atr])</f>
        <v>0</v>
      </c>
    </row>
    <row r="384" spans="1:18">
      <c r="A384">
        <v>383</v>
      </c>
      <c r="B384" t="s">
        <v>1309</v>
      </c>
      <c r="C384" t="s">
        <v>1310</v>
      </c>
      <c r="D384" t="s">
        <v>1309</v>
      </c>
      <c r="E384" t="s">
        <v>1299</v>
      </c>
      <c r="F384" t="s">
        <v>1311</v>
      </c>
      <c r="G384" t="str">
        <f>_xlfn.XLOOKUP(frasest[[#This Row],[author_es]],autorest[author_es],autorest[author_la])</f>
        <v>Sanctus Ioannes a Cruce</v>
      </c>
      <c r="H384"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4"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4" t="str">
        <f>_xlfn.XLOOKUP(frasest[[#This Row],[author_es]],autorest[author_es],autorest[iso3691])</f>
        <v>es</v>
      </c>
      <c r="K384" t="str">
        <f>_xlfn.XLOOKUP(frasest[[#This Row],[author_es]],autorest[author_es],autorest[language_es])</f>
        <v>Español</v>
      </c>
      <c r="L384" t="str">
        <f>_xlfn.XLOOKUP(frasest[[#This Row],[author_es]],autorest[author_es],autorest[language_la])</f>
        <v>Lingua Hispanica</v>
      </c>
      <c r="M384" t="str">
        <f>_xlfn.XLOOKUP(frasest[[#This Row],[author_es]],autorest[author_es],autorest[nation_es])</f>
        <v>España</v>
      </c>
      <c r="N384" t="str">
        <f>_xlfn.XLOOKUP(frasest[[#This Row],[author_es]],autorest[author_es],autorest[nation_la])</f>
        <v>Hispania</v>
      </c>
      <c r="O384" t="str">
        <f>_xlfn.XLOOKUP(frasest[[#This Row],[author_es]],autorest[author_es],autorest[age_es])</f>
        <v>Edad Moderna</v>
      </c>
      <c r="P384" t="str">
        <f>_xlfn.XLOOKUP(frasest[[#This Row],[author_es]],autorest[author_es],autorest[age_la])</f>
        <v>Nova Aetas</v>
      </c>
      <c r="Q384" t="str">
        <f>_xlfn.XLOOKUP(frasest[[#This Row],[author_es]],autorest[author_es],autorest[image])</f>
        <v>https://i.ibb.co/ynPqYx5K/sanjuandelacruz.png</v>
      </c>
      <c r="R384">
        <f>_xlfn.XLOOKUP(frasest[[#This Row],[author_es]],autorest[author_es],autorest[image_atr])</f>
        <v>0</v>
      </c>
    </row>
    <row r="385" spans="1:18">
      <c r="A385">
        <v>384</v>
      </c>
      <c r="B385" t="s">
        <v>1312</v>
      </c>
      <c r="C385" t="s">
        <v>1313</v>
      </c>
      <c r="D385" t="s">
        <v>1314</v>
      </c>
      <c r="E385" t="s">
        <v>1299</v>
      </c>
      <c r="F385" t="s">
        <v>1315</v>
      </c>
      <c r="G385" t="str">
        <f>_xlfn.XLOOKUP(frasest[[#This Row],[author_es]],autorest[author_es],autorest[author_la])</f>
        <v>Sanctus Ioannes a Cruce</v>
      </c>
      <c r="H385" t="str">
        <f>_xlfn.XLOOKUP(frasest[[#This Row],[author_es]],autorest[author_es],autorest[bio_es])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I385" t="str">
        <f>_xlfn.XLOOKUP(frasest[[#This Row],[author_es]],autorest[author_es],autorest[bio_la])</f>
        <v>Mysticus et poeta Hispanicus, Doctor Ecclesiae. Carmeli reformator cum Sancta Theresia ab Iesu, auctor operum mysticae Christianae ut Nox obscura animae, Canticum spirituale et Flamma amoris vivae. Magister vitae spiritualis et amoris divini.</v>
      </c>
      <c r="J385" t="str">
        <f>_xlfn.XLOOKUP(frasest[[#This Row],[author_es]],autorest[author_es],autorest[iso3691])</f>
        <v>es</v>
      </c>
      <c r="K385" t="str">
        <f>_xlfn.XLOOKUP(frasest[[#This Row],[author_es]],autorest[author_es],autorest[language_es])</f>
        <v>Español</v>
      </c>
      <c r="L385" t="str">
        <f>_xlfn.XLOOKUP(frasest[[#This Row],[author_es]],autorest[author_es],autorest[language_la])</f>
        <v>Lingua Hispanica</v>
      </c>
      <c r="M385" t="str">
        <f>_xlfn.XLOOKUP(frasest[[#This Row],[author_es]],autorest[author_es],autorest[nation_es])</f>
        <v>España</v>
      </c>
      <c r="N385" t="str">
        <f>_xlfn.XLOOKUP(frasest[[#This Row],[author_es]],autorest[author_es],autorest[nation_la])</f>
        <v>Hispania</v>
      </c>
      <c r="O385" t="str">
        <f>_xlfn.XLOOKUP(frasest[[#This Row],[author_es]],autorest[author_es],autorest[age_es])</f>
        <v>Edad Moderna</v>
      </c>
      <c r="P385" t="str">
        <f>_xlfn.XLOOKUP(frasest[[#This Row],[author_es]],autorest[author_es],autorest[age_la])</f>
        <v>Nova Aetas</v>
      </c>
      <c r="Q385" t="str">
        <f>_xlfn.XLOOKUP(frasest[[#This Row],[author_es]],autorest[author_es],autorest[image])</f>
        <v>https://i.ibb.co/ynPqYx5K/sanjuandelacruz.png</v>
      </c>
      <c r="R385">
        <f>_xlfn.XLOOKUP(frasest[[#This Row],[author_es]],autorest[author_es],autorest[image_atr])</f>
        <v>0</v>
      </c>
    </row>
    <row r="386" spans="1:18">
      <c r="A386">
        <v>385</v>
      </c>
      <c r="B386" t="s">
        <v>1316</v>
      </c>
      <c r="C386" t="s">
        <v>1317</v>
      </c>
      <c r="D386" t="s">
        <v>1316</v>
      </c>
      <c r="E386" t="s">
        <v>1318</v>
      </c>
      <c r="F386" t="s">
        <v>1319</v>
      </c>
      <c r="G386" t="str">
        <f>_xlfn.XLOOKUP(frasest[[#This Row],[author_es]],autorest[author_es],autorest[author_la])</f>
        <v>Sancta Theresia ab Iesu</v>
      </c>
      <c r="H386"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6"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6" t="str">
        <f>_xlfn.XLOOKUP(frasest[[#This Row],[author_es]],autorest[author_es],autorest[iso3691])</f>
        <v>es</v>
      </c>
      <c r="K386" t="str">
        <f>_xlfn.XLOOKUP(frasest[[#This Row],[author_es]],autorest[author_es],autorest[language_es])</f>
        <v>Español</v>
      </c>
      <c r="L386" t="str">
        <f>_xlfn.XLOOKUP(frasest[[#This Row],[author_es]],autorest[author_es],autorest[language_la])</f>
        <v>Lingua Hispanica</v>
      </c>
      <c r="M386" t="str">
        <f>_xlfn.XLOOKUP(frasest[[#This Row],[author_es]],autorest[author_es],autorest[nation_es])</f>
        <v>España</v>
      </c>
      <c r="N386" t="str">
        <f>_xlfn.XLOOKUP(frasest[[#This Row],[author_es]],autorest[author_es],autorest[nation_la])</f>
        <v>Hispania</v>
      </c>
      <c r="O386" t="str">
        <f>_xlfn.XLOOKUP(frasest[[#This Row],[author_es]],autorest[author_es],autorest[age_es])</f>
        <v>Edad Moderna</v>
      </c>
      <c r="P386" t="str">
        <f>_xlfn.XLOOKUP(frasest[[#This Row],[author_es]],autorest[author_es],autorest[age_la])</f>
        <v>Nova Aetas</v>
      </c>
      <c r="Q386" t="str">
        <f>_xlfn.XLOOKUP(frasest[[#This Row],[author_es]],autorest[author_es],autorest[image])</f>
        <v>https://i.ibb.co/nqTZx8JJ/santateresadejesus.png</v>
      </c>
      <c r="R386">
        <f>_xlfn.XLOOKUP(frasest[[#This Row],[author_es]],autorest[author_es],autorest[image_atr])</f>
        <v>0</v>
      </c>
    </row>
    <row r="387" spans="1:18">
      <c r="A387">
        <v>386</v>
      </c>
      <c r="B387" t="s">
        <v>1320</v>
      </c>
      <c r="C387" t="s">
        <v>1321</v>
      </c>
      <c r="D387" t="s">
        <v>1320</v>
      </c>
      <c r="E387" t="s">
        <v>1318</v>
      </c>
      <c r="F387" t="s">
        <v>1322</v>
      </c>
      <c r="G387" t="str">
        <f>_xlfn.XLOOKUP(frasest[[#This Row],[author_es]],autorest[author_es],autorest[author_la])</f>
        <v>Sancta Theresia ab Iesu</v>
      </c>
      <c r="H387"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7"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7" t="str">
        <f>_xlfn.XLOOKUP(frasest[[#This Row],[author_es]],autorest[author_es],autorest[iso3691])</f>
        <v>es</v>
      </c>
      <c r="K387" t="str">
        <f>_xlfn.XLOOKUP(frasest[[#This Row],[author_es]],autorest[author_es],autorest[language_es])</f>
        <v>Español</v>
      </c>
      <c r="L387" t="str">
        <f>_xlfn.XLOOKUP(frasest[[#This Row],[author_es]],autorest[author_es],autorest[language_la])</f>
        <v>Lingua Hispanica</v>
      </c>
      <c r="M387" t="str">
        <f>_xlfn.XLOOKUP(frasest[[#This Row],[author_es]],autorest[author_es],autorest[nation_es])</f>
        <v>España</v>
      </c>
      <c r="N387" t="str">
        <f>_xlfn.XLOOKUP(frasest[[#This Row],[author_es]],autorest[author_es],autorest[nation_la])</f>
        <v>Hispania</v>
      </c>
      <c r="O387" t="str">
        <f>_xlfn.XLOOKUP(frasest[[#This Row],[author_es]],autorest[author_es],autorest[age_es])</f>
        <v>Edad Moderna</v>
      </c>
      <c r="P387" t="str">
        <f>_xlfn.XLOOKUP(frasest[[#This Row],[author_es]],autorest[author_es],autorest[age_la])</f>
        <v>Nova Aetas</v>
      </c>
      <c r="Q387" t="str">
        <f>_xlfn.XLOOKUP(frasest[[#This Row],[author_es]],autorest[author_es],autorest[image])</f>
        <v>https://i.ibb.co/nqTZx8JJ/santateresadejesus.png</v>
      </c>
      <c r="R387">
        <f>_xlfn.XLOOKUP(frasest[[#This Row],[author_es]],autorest[author_es],autorest[image_atr])</f>
        <v>0</v>
      </c>
    </row>
    <row r="388" spans="1:18">
      <c r="A388">
        <v>387</v>
      </c>
      <c r="B388" t="s">
        <v>1323</v>
      </c>
      <c r="C388" t="s">
        <v>1324</v>
      </c>
      <c r="D388" t="s">
        <v>1323</v>
      </c>
      <c r="E388" t="s">
        <v>1318</v>
      </c>
      <c r="F388" t="s">
        <v>1325</v>
      </c>
      <c r="G388" t="str">
        <f>_xlfn.XLOOKUP(frasest[[#This Row],[author_es]],autorest[author_es],autorest[author_la])</f>
        <v>Sancta Theresia ab Iesu</v>
      </c>
      <c r="H388"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8"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8" t="str">
        <f>_xlfn.XLOOKUP(frasest[[#This Row],[author_es]],autorest[author_es],autorest[iso3691])</f>
        <v>es</v>
      </c>
      <c r="K388" t="str">
        <f>_xlfn.XLOOKUP(frasest[[#This Row],[author_es]],autorest[author_es],autorest[language_es])</f>
        <v>Español</v>
      </c>
      <c r="L388" t="str">
        <f>_xlfn.XLOOKUP(frasest[[#This Row],[author_es]],autorest[author_es],autorest[language_la])</f>
        <v>Lingua Hispanica</v>
      </c>
      <c r="M388" t="str">
        <f>_xlfn.XLOOKUP(frasest[[#This Row],[author_es]],autorest[author_es],autorest[nation_es])</f>
        <v>España</v>
      </c>
      <c r="N388" t="str">
        <f>_xlfn.XLOOKUP(frasest[[#This Row],[author_es]],autorest[author_es],autorest[nation_la])</f>
        <v>Hispania</v>
      </c>
      <c r="O388" t="str">
        <f>_xlfn.XLOOKUP(frasest[[#This Row],[author_es]],autorest[author_es],autorest[age_es])</f>
        <v>Edad Moderna</v>
      </c>
      <c r="P388" t="str">
        <f>_xlfn.XLOOKUP(frasest[[#This Row],[author_es]],autorest[author_es],autorest[age_la])</f>
        <v>Nova Aetas</v>
      </c>
      <c r="Q388" t="str">
        <f>_xlfn.XLOOKUP(frasest[[#This Row],[author_es]],autorest[author_es],autorest[image])</f>
        <v>https://i.ibb.co/nqTZx8JJ/santateresadejesus.png</v>
      </c>
      <c r="R388">
        <f>_xlfn.XLOOKUP(frasest[[#This Row],[author_es]],autorest[author_es],autorest[image_atr])</f>
        <v>0</v>
      </c>
    </row>
    <row r="389" spans="1:18">
      <c r="A389">
        <v>388</v>
      </c>
      <c r="B389" t="s">
        <v>1326</v>
      </c>
      <c r="C389" t="s">
        <v>1327</v>
      </c>
      <c r="D389" t="s">
        <v>1328</v>
      </c>
      <c r="E389" t="s">
        <v>1318</v>
      </c>
      <c r="F389" t="s">
        <v>1329</v>
      </c>
      <c r="G389" t="str">
        <f>_xlfn.XLOOKUP(frasest[[#This Row],[author_es]],autorest[author_es],autorest[author_la])</f>
        <v>Sancta Theresia ab Iesu</v>
      </c>
      <c r="H389"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89"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89" t="str">
        <f>_xlfn.XLOOKUP(frasest[[#This Row],[author_es]],autorest[author_es],autorest[iso3691])</f>
        <v>es</v>
      </c>
      <c r="K389" t="str">
        <f>_xlfn.XLOOKUP(frasest[[#This Row],[author_es]],autorest[author_es],autorest[language_es])</f>
        <v>Español</v>
      </c>
      <c r="L389" t="str">
        <f>_xlfn.XLOOKUP(frasest[[#This Row],[author_es]],autorest[author_es],autorest[language_la])</f>
        <v>Lingua Hispanica</v>
      </c>
      <c r="M389" t="str">
        <f>_xlfn.XLOOKUP(frasest[[#This Row],[author_es]],autorest[author_es],autorest[nation_es])</f>
        <v>España</v>
      </c>
      <c r="N389" t="str">
        <f>_xlfn.XLOOKUP(frasest[[#This Row],[author_es]],autorest[author_es],autorest[nation_la])</f>
        <v>Hispania</v>
      </c>
      <c r="O389" t="str">
        <f>_xlfn.XLOOKUP(frasest[[#This Row],[author_es]],autorest[author_es],autorest[age_es])</f>
        <v>Edad Moderna</v>
      </c>
      <c r="P389" t="str">
        <f>_xlfn.XLOOKUP(frasest[[#This Row],[author_es]],autorest[author_es],autorest[age_la])</f>
        <v>Nova Aetas</v>
      </c>
      <c r="Q389" t="str">
        <f>_xlfn.XLOOKUP(frasest[[#This Row],[author_es]],autorest[author_es],autorest[image])</f>
        <v>https://i.ibb.co/nqTZx8JJ/santateresadejesus.png</v>
      </c>
      <c r="R389">
        <f>_xlfn.XLOOKUP(frasest[[#This Row],[author_es]],autorest[author_es],autorest[image_atr])</f>
        <v>0</v>
      </c>
    </row>
    <row r="390" spans="1:18">
      <c r="A390">
        <v>389</v>
      </c>
      <c r="B390" t="s">
        <v>1330</v>
      </c>
      <c r="C390" t="s">
        <v>1331</v>
      </c>
      <c r="D390" t="s">
        <v>1330</v>
      </c>
      <c r="E390" t="s">
        <v>1318</v>
      </c>
      <c r="F390" t="s">
        <v>1325</v>
      </c>
      <c r="G390" t="str">
        <f>_xlfn.XLOOKUP(frasest[[#This Row],[author_es]],autorest[author_es],autorest[author_la])</f>
        <v>Sancta Theresia ab Iesu</v>
      </c>
      <c r="H390"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0"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90" t="str">
        <f>_xlfn.XLOOKUP(frasest[[#This Row],[author_es]],autorest[author_es],autorest[iso3691])</f>
        <v>es</v>
      </c>
      <c r="K390" t="str">
        <f>_xlfn.XLOOKUP(frasest[[#This Row],[author_es]],autorest[author_es],autorest[language_es])</f>
        <v>Español</v>
      </c>
      <c r="L390" t="str">
        <f>_xlfn.XLOOKUP(frasest[[#This Row],[author_es]],autorest[author_es],autorest[language_la])</f>
        <v>Lingua Hispanica</v>
      </c>
      <c r="M390" t="str">
        <f>_xlfn.XLOOKUP(frasest[[#This Row],[author_es]],autorest[author_es],autorest[nation_es])</f>
        <v>España</v>
      </c>
      <c r="N390" t="str">
        <f>_xlfn.XLOOKUP(frasest[[#This Row],[author_es]],autorest[author_es],autorest[nation_la])</f>
        <v>Hispania</v>
      </c>
      <c r="O390" t="str">
        <f>_xlfn.XLOOKUP(frasest[[#This Row],[author_es]],autorest[author_es],autorest[age_es])</f>
        <v>Edad Moderna</v>
      </c>
      <c r="P390" t="str">
        <f>_xlfn.XLOOKUP(frasest[[#This Row],[author_es]],autorest[author_es],autorest[age_la])</f>
        <v>Nova Aetas</v>
      </c>
      <c r="Q390" t="str">
        <f>_xlfn.XLOOKUP(frasest[[#This Row],[author_es]],autorest[author_es],autorest[image])</f>
        <v>https://i.ibb.co/nqTZx8JJ/santateresadejesus.png</v>
      </c>
      <c r="R390">
        <f>_xlfn.XLOOKUP(frasest[[#This Row],[author_es]],autorest[author_es],autorest[image_atr])</f>
        <v>0</v>
      </c>
    </row>
    <row r="391" spans="1:18">
      <c r="A391">
        <v>390</v>
      </c>
      <c r="B391" t="s">
        <v>1332</v>
      </c>
      <c r="C391" t="s">
        <v>1333</v>
      </c>
      <c r="D391" t="s">
        <v>1332</v>
      </c>
      <c r="E391" t="s">
        <v>1318</v>
      </c>
      <c r="F391" t="s">
        <v>1322</v>
      </c>
      <c r="G391" t="str">
        <f>_xlfn.XLOOKUP(frasest[[#This Row],[author_es]],autorest[author_es],autorest[author_la])</f>
        <v>Sancta Theresia ab Iesu</v>
      </c>
      <c r="H391" t="str">
        <f>_xlfn.XLOOKUP(frasest[[#This Row],[author_es]],autorest[author_es],autorest[bio_es])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I391" t="str">
        <f>_xlfn.XLOOKUP(frasest[[#This Row],[author_es]],autorest[author_es],autorest[bio_la])</f>
        <v>Mystica et scriptrix Hispanica, Doctor Ecclesiae. Carmelitarum Discalceatarum fundatrix, Carmeli reformatrix. Auctor operum ut Castellum Interius et Via Perfectionis. Culmen mysticae experimentalis Christianae cum Sancto Ioanne a Cruce.</v>
      </c>
      <c r="J391" t="str">
        <f>_xlfn.XLOOKUP(frasest[[#This Row],[author_es]],autorest[author_es],autorest[iso3691])</f>
        <v>es</v>
      </c>
      <c r="K391" t="str">
        <f>_xlfn.XLOOKUP(frasest[[#This Row],[author_es]],autorest[author_es],autorest[language_es])</f>
        <v>Español</v>
      </c>
      <c r="L391" t="str">
        <f>_xlfn.XLOOKUP(frasest[[#This Row],[author_es]],autorest[author_es],autorest[language_la])</f>
        <v>Lingua Hispanica</v>
      </c>
      <c r="M391" t="str">
        <f>_xlfn.XLOOKUP(frasest[[#This Row],[author_es]],autorest[author_es],autorest[nation_es])</f>
        <v>España</v>
      </c>
      <c r="N391" t="str">
        <f>_xlfn.XLOOKUP(frasest[[#This Row],[author_es]],autorest[author_es],autorest[nation_la])</f>
        <v>Hispania</v>
      </c>
      <c r="O391" t="str">
        <f>_xlfn.XLOOKUP(frasest[[#This Row],[author_es]],autorest[author_es],autorest[age_es])</f>
        <v>Edad Moderna</v>
      </c>
      <c r="P391" t="str">
        <f>_xlfn.XLOOKUP(frasest[[#This Row],[author_es]],autorest[author_es],autorest[age_la])</f>
        <v>Nova Aetas</v>
      </c>
      <c r="Q391" t="str">
        <f>_xlfn.XLOOKUP(frasest[[#This Row],[author_es]],autorest[author_es],autorest[image])</f>
        <v>https://i.ibb.co/nqTZx8JJ/santateresadejesus.png</v>
      </c>
      <c r="R391">
        <f>_xlfn.XLOOKUP(frasest[[#This Row],[author_es]],autorest[author_es],autorest[image_atr])</f>
        <v>0</v>
      </c>
    </row>
    <row r="392" spans="1:18">
      <c r="A392">
        <v>391</v>
      </c>
      <c r="B392" t="s">
        <v>1334</v>
      </c>
      <c r="C392" t="s">
        <v>1335</v>
      </c>
      <c r="D392" t="s">
        <v>1336</v>
      </c>
      <c r="E392" t="s">
        <v>1337</v>
      </c>
      <c r="F392" t="s">
        <v>1338</v>
      </c>
      <c r="G392" t="str">
        <f>_xlfn.XLOOKUP(frasest[[#This Row],[author_es]],autorest[author_es],autorest[author_la])</f>
        <v>Sanctus Ioannes Bosco</v>
      </c>
      <c r="H392"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2"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2" t="str">
        <f>_xlfn.XLOOKUP(frasest[[#This Row],[author_es]],autorest[author_es],autorest[iso3691])</f>
        <v>it</v>
      </c>
      <c r="K392" t="str">
        <f>_xlfn.XLOOKUP(frasest[[#This Row],[author_es]],autorest[author_es],autorest[language_es])</f>
        <v>Italiano</v>
      </c>
      <c r="L392" t="str">
        <f>_xlfn.XLOOKUP(frasest[[#This Row],[author_es]],autorest[author_es],autorest[language_la])</f>
        <v>Lingua Italica</v>
      </c>
      <c r="M392" t="str">
        <f>_xlfn.XLOOKUP(frasest[[#This Row],[author_es]],autorest[author_es],autorest[nation_es])</f>
        <v>Italia</v>
      </c>
      <c r="N392" t="str">
        <f>_xlfn.XLOOKUP(frasest[[#This Row],[author_es]],autorest[author_es],autorest[nation_la])</f>
        <v>Italia</v>
      </c>
      <c r="O392" t="str">
        <f>_xlfn.XLOOKUP(frasest[[#This Row],[author_es]],autorest[author_es],autorest[age_es])</f>
        <v>Edad Contemporánea</v>
      </c>
      <c r="P392" t="str">
        <f>_xlfn.XLOOKUP(frasest[[#This Row],[author_es]],autorest[author_es],autorest[age_la])</f>
        <v>Aetas Contemporanea</v>
      </c>
      <c r="Q392" t="str">
        <f>_xlfn.XLOOKUP(frasest[[#This Row],[author_es]],autorest[author_es],autorest[image])</f>
        <v>https://i.ibb.co/hRrvF9Vk/sanjuanbosco.png</v>
      </c>
      <c r="R392">
        <f>_xlfn.XLOOKUP(frasest[[#This Row],[author_es]],autorest[author_es],autorest[image_atr])</f>
        <v>0</v>
      </c>
    </row>
    <row r="393" spans="1:18">
      <c r="A393">
        <v>392</v>
      </c>
      <c r="B393" t="s">
        <v>1339</v>
      </c>
      <c r="C393" t="s">
        <v>1340</v>
      </c>
      <c r="D393" t="s">
        <v>1341</v>
      </c>
      <c r="E393" t="s">
        <v>1337</v>
      </c>
      <c r="F393" t="s">
        <v>1342</v>
      </c>
      <c r="G393" t="str">
        <f>_xlfn.XLOOKUP(frasest[[#This Row],[author_es]],autorest[author_es],autorest[author_la])</f>
        <v>Sanctus Ioannes Bosco</v>
      </c>
      <c r="H393"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3"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3" t="str">
        <f>_xlfn.XLOOKUP(frasest[[#This Row],[author_es]],autorest[author_es],autorest[iso3691])</f>
        <v>it</v>
      </c>
      <c r="K393" t="str">
        <f>_xlfn.XLOOKUP(frasest[[#This Row],[author_es]],autorest[author_es],autorest[language_es])</f>
        <v>Italiano</v>
      </c>
      <c r="L393" t="str">
        <f>_xlfn.XLOOKUP(frasest[[#This Row],[author_es]],autorest[author_es],autorest[language_la])</f>
        <v>Lingua Italica</v>
      </c>
      <c r="M393" t="str">
        <f>_xlfn.XLOOKUP(frasest[[#This Row],[author_es]],autorest[author_es],autorest[nation_es])</f>
        <v>Italia</v>
      </c>
      <c r="N393" t="str">
        <f>_xlfn.XLOOKUP(frasest[[#This Row],[author_es]],autorest[author_es],autorest[nation_la])</f>
        <v>Italia</v>
      </c>
      <c r="O393" t="str">
        <f>_xlfn.XLOOKUP(frasest[[#This Row],[author_es]],autorest[author_es],autorest[age_es])</f>
        <v>Edad Contemporánea</v>
      </c>
      <c r="P393" t="str">
        <f>_xlfn.XLOOKUP(frasest[[#This Row],[author_es]],autorest[author_es],autorest[age_la])</f>
        <v>Aetas Contemporanea</v>
      </c>
      <c r="Q393" t="str">
        <f>_xlfn.XLOOKUP(frasest[[#This Row],[author_es]],autorest[author_es],autorest[image])</f>
        <v>https://i.ibb.co/hRrvF9Vk/sanjuanbosco.png</v>
      </c>
      <c r="R393">
        <f>_xlfn.XLOOKUP(frasest[[#This Row],[author_es]],autorest[author_es],autorest[image_atr])</f>
        <v>0</v>
      </c>
    </row>
    <row r="394" spans="1:18">
      <c r="A394">
        <v>393</v>
      </c>
      <c r="B394" t="s">
        <v>1343</v>
      </c>
      <c r="C394" t="s">
        <v>1344</v>
      </c>
      <c r="D394" t="s">
        <v>1345</v>
      </c>
      <c r="E394" t="s">
        <v>1337</v>
      </c>
      <c r="F394" t="s">
        <v>1346</v>
      </c>
      <c r="G394" t="str">
        <f>_xlfn.XLOOKUP(frasest[[#This Row],[author_es]],autorest[author_es],autorest[author_la])</f>
        <v>Sanctus Ioannes Bosco</v>
      </c>
      <c r="H394"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4"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4" t="str">
        <f>_xlfn.XLOOKUP(frasest[[#This Row],[author_es]],autorest[author_es],autorest[iso3691])</f>
        <v>it</v>
      </c>
      <c r="K394" t="str">
        <f>_xlfn.XLOOKUP(frasest[[#This Row],[author_es]],autorest[author_es],autorest[language_es])</f>
        <v>Italiano</v>
      </c>
      <c r="L394" t="str">
        <f>_xlfn.XLOOKUP(frasest[[#This Row],[author_es]],autorest[author_es],autorest[language_la])</f>
        <v>Lingua Italica</v>
      </c>
      <c r="M394" t="str">
        <f>_xlfn.XLOOKUP(frasest[[#This Row],[author_es]],autorest[author_es],autorest[nation_es])</f>
        <v>Italia</v>
      </c>
      <c r="N394" t="str">
        <f>_xlfn.XLOOKUP(frasest[[#This Row],[author_es]],autorest[author_es],autorest[nation_la])</f>
        <v>Italia</v>
      </c>
      <c r="O394" t="str">
        <f>_xlfn.XLOOKUP(frasest[[#This Row],[author_es]],autorest[author_es],autorest[age_es])</f>
        <v>Edad Contemporánea</v>
      </c>
      <c r="P394" t="str">
        <f>_xlfn.XLOOKUP(frasest[[#This Row],[author_es]],autorest[author_es],autorest[age_la])</f>
        <v>Aetas Contemporanea</v>
      </c>
      <c r="Q394" t="str">
        <f>_xlfn.XLOOKUP(frasest[[#This Row],[author_es]],autorest[author_es],autorest[image])</f>
        <v>https://i.ibb.co/hRrvF9Vk/sanjuanbosco.png</v>
      </c>
      <c r="R394">
        <f>_xlfn.XLOOKUP(frasest[[#This Row],[author_es]],autorest[author_es],autorest[image_atr])</f>
        <v>0</v>
      </c>
    </row>
    <row r="395" spans="1:18">
      <c r="A395">
        <v>394</v>
      </c>
      <c r="B395" t="s">
        <v>1347</v>
      </c>
      <c r="C395" t="s">
        <v>1348</v>
      </c>
      <c r="D395" t="s">
        <v>1349</v>
      </c>
      <c r="E395" t="s">
        <v>1337</v>
      </c>
      <c r="F395" t="s">
        <v>1350</v>
      </c>
      <c r="G395" t="str">
        <f>_xlfn.XLOOKUP(frasest[[#This Row],[author_es]],autorest[author_es],autorest[author_la])</f>
        <v>Sanctus Ioannes Bosco</v>
      </c>
      <c r="H395"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5"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5" t="str">
        <f>_xlfn.XLOOKUP(frasest[[#This Row],[author_es]],autorest[author_es],autorest[iso3691])</f>
        <v>it</v>
      </c>
      <c r="K395" t="str">
        <f>_xlfn.XLOOKUP(frasest[[#This Row],[author_es]],autorest[author_es],autorest[language_es])</f>
        <v>Italiano</v>
      </c>
      <c r="L395" t="str">
        <f>_xlfn.XLOOKUP(frasest[[#This Row],[author_es]],autorest[author_es],autorest[language_la])</f>
        <v>Lingua Italica</v>
      </c>
      <c r="M395" t="str">
        <f>_xlfn.XLOOKUP(frasest[[#This Row],[author_es]],autorest[author_es],autorest[nation_es])</f>
        <v>Italia</v>
      </c>
      <c r="N395" t="str">
        <f>_xlfn.XLOOKUP(frasest[[#This Row],[author_es]],autorest[author_es],autorest[nation_la])</f>
        <v>Italia</v>
      </c>
      <c r="O395" t="str">
        <f>_xlfn.XLOOKUP(frasest[[#This Row],[author_es]],autorest[author_es],autorest[age_es])</f>
        <v>Edad Contemporánea</v>
      </c>
      <c r="P395" t="str">
        <f>_xlfn.XLOOKUP(frasest[[#This Row],[author_es]],autorest[author_es],autorest[age_la])</f>
        <v>Aetas Contemporanea</v>
      </c>
      <c r="Q395" t="str">
        <f>_xlfn.XLOOKUP(frasest[[#This Row],[author_es]],autorest[author_es],autorest[image])</f>
        <v>https://i.ibb.co/hRrvF9Vk/sanjuanbosco.png</v>
      </c>
      <c r="R395">
        <f>_xlfn.XLOOKUP(frasest[[#This Row],[author_es]],autorest[author_es],autorest[image_atr])</f>
        <v>0</v>
      </c>
    </row>
    <row r="396" spans="1:18">
      <c r="A396">
        <v>395</v>
      </c>
      <c r="B396" t="s">
        <v>1351</v>
      </c>
      <c r="C396" t="s">
        <v>1352</v>
      </c>
      <c r="D396" t="s">
        <v>1353</v>
      </c>
      <c r="E396" t="s">
        <v>1337</v>
      </c>
      <c r="F396" t="s">
        <v>1354</v>
      </c>
      <c r="G396" t="str">
        <f>_xlfn.XLOOKUP(frasest[[#This Row],[author_es]],autorest[author_es],autorest[author_la])</f>
        <v>Sanctus Ioannes Bosco</v>
      </c>
      <c r="H396"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6"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6" t="str">
        <f>_xlfn.XLOOKUP(frasest[[#This Row],[author_es]],autorest[author_es],autorest[iso3691])</f>
        <v>it</v>
      </c>
      <c r="K396" t="str">
        <f>_xlfn.XLOOKUP(frasest[[#This Row],[author_es]],autorest[author_es],autorest[language_es])</f>
        <v>Italiano</v>
      </c>
      <c r="L396" t="str">
        <f>_xlfn.XLOOKUP(frasest[[#This Row],[author_es]],autorest[author_es],autorest[language_la])</f>
        <v>Lingua Italica</v>
      </c>
      <c r="M396" t="str">
        <f>_xlfn.XLOOKUP(frasest[[#This Row],[author_es]],autorest[author_es],autorest[nation_es])</f>
        <v>Italia</v>
      </c>
      <c r="N396" t="str">
        <f>_xlfn.XLOOKUP(frasest[[#This Row],[author_es]],autorest[author_es],autorest[nation_la])</f>
        <v>Italia</v>
      </c>
      <c r="O396" t="str">
        <f>_xlfn.XLOOKUP(frasest[[#This Row],[author_es]],autorest[author_es],autorest[age_es])</f>
        <v>Edad Contemporánea</v>
      </c>
      <c r="P396" t="str">
        <f>_xlfn.XLOOKUP(frasest[[#This Row],[author_es]],autorest[author_es],autorest[age_la])</f>
        <v>Aetas Contemporanea</v>
      </c>
      <c r="Q396" t="str">
        <f>_xlfn.XLOOKUP(frasest[[#This Row],[author_es]],autorest[author_es],autorest[image])</f>
        <v>https://i.ibb.co/hRrvF9Vk/sanjuanbosco.png</v>
      </c>
      <c r="R396">
        <f>_xlfn.XLOOKUP(frasest[[#This Row],[author_es]],autorest[author_es],autorest[image_atr])</f>
        <v>0</v>
      </c>
    </row>
    <row r="397" spans="1:18">
      <c r="A397">
        <v>396</v>
      </c>
      <c r="B397" t="s">
        <v>1355</v>
      </c>
      <c r="C397" t="s">
        <v>1356</v>
      </c>
      <c r="D397" t="s">
        <v>1357</v>
      </c>
      <c r="E397" t="s">
        <v>1337</v>
      </c>
      <c r="F397" t="s">
        <v>1338</v>
      </c>
      <c r="G397" t="str">
        <f>_xlfn.XLOOKUP(frasest[[#This Row],[author_es]],autorest[author_es],autorest[author_la])</f>
        <v>Sanctus Ioannes Bosco</v>
      </c>
      <c r="H397" t="str">
        <f>_xlfn.XLOOKUP(frasest[[#This Row],[author_es]],autorest[author_es],autorest[bio_es])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I397" t="str">
        <f>_xlfn.XLOOKUP(frasest[[#This Row],[author_es]],autorest[author_es],autorest[bio_la])</f>
        <v>Sacerdos Italicus Congregationis Salesianae et Filiarum Mariae Auxiliatricis fundator. Pater et magister iuventutis, vitam suam educationi et formationi iuvenum pauperum dedicavit. Paedagogia eius in laetitia, pietate et studio fundata erat.</v>
      </c>
      <c r="J397" t="str">
        <f>_xlfn.XLOOKUP(frasest[[#This Row],[author_es]],autorest[author_es],autorest[iso3691])</f>
        <v>it</v>
      </c>
      <c r="K397" t="str">
        <f>_xlfn.XLOOKUP(frasest[[#This Row],[author_es]],autorest[author_es],autorest[language_es])</f>
        <v>Italiano</v>
      </c>
      <c r="L397" t="str">
        <f>_xlfn.XLOOKUP(frasest[[#This Row],[author_es]],autorest[author_es],autorest[language_la])</f>
        <v>Lingua Italica</v>
      </c>
      <c r="M397" t="str">
        <f>_xlfn.XLOOKUP(frasest[[#This Row],[author_es]],autorest[author_es],autorest[nation_es])</f>
        <v>Italia</v>
      </c>
      <c r="N397" t="str">
        <f>_xlfn.XLOOKUP(frasest[[#This Row],[author_es]],autorest[author_es],autorest[nation_la])</f>
        <v>Italia</v>
      </c>
      <c r="O397" t="str">
        <f>_xlfn.XLOOKUP(frasest[[#This Row],[author_es]],autorest[author_es],autorest[age_es])</f>
        <v>Edad Contemporánea</v>
      </c>
      <c r="P397" t="str">
        <f>_xlfn.XLOOKUP(frasest[[#This Row],[author_es]],autorest[author_es],autorest[age_la])</f>
        <v>Aetas Contemporanea</v>
      </c>
      <c r="Q397" t="str">
        <f>_xlfn.XLOOKUP(frasest[[#This Row],[author_es]],autorest[author_es],autorest[image])</f>
        <v>https://i.ibb.co/hRrvF9Vk/sanjuanbosco.png</v>
      </c>
      <c r="R397">
        <f>_xlfn.XLOOKUP(frasest[[#This Row],[author_es]],autorest[author_es],autorest[image_atr])</f>
        <v>0</v>
      </c>
    </row>
    <row r="398" spans="1:18">
      <c r="A398">
        <v>397</v>
      </c>
      <c r="B398" t="s">
        <v>1358</v>
      </c>
      <c r="C398" t="s">
        <v>1359</v>
      </c>
      <c r="D398" t="s">
        <v>1358</v>
      </c>
      <c r="E398" t="s">
        <v>1360</v>
      </c>
      <c r="F398" t="s">
        <v>1361</v>
      </c>
      <c r="G398" t="str">
        <f>_xlfn.XLOOKUP(frasest[[#This Row],[author_es]],autorest[author_es],autorest[author_la])</f>
        <v>Benedictus XVI</v>
      </c>
      <c r="H398"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8"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8" t="str">
        <f>_xlfn.XLOOKUP(frasest[[#This Row],[author_es]],autorest[author_es],autorest[iso3691])</f>
        <v>de</v>
      </c>
      <c r="K398" t="str">
        <f>_xlfn.XLOOKUP(frasest[[#This Row],[author_es]],autorest[author_es],autorest[language_es])</f>
        <v>Alemán</v>
      </c>
      <c r="L398" t="str">
        <f>_xlfn.XLOOKUP(frasest[[#This Row],[author_es]],autorest[author_es],autorest[language_la])</f>
        <v>Lingua Germanica</v>
      </c>
      <c r="M398" t="str">
        <f>_xlfn.XLOOKUP(frasest[[#This Row],[author_es]],autorest[author_es],autorest[nation_es])</f>
        <v>Alemania</v>
      </c>
      <c r="N398" t="str">
        <f>_xlfn.XLOOKUP(frasest[[#This Row],[author_es]],autorest[author_es],autorest[nation_la])</f>
        <v>Germania</v>
      </c>
      <c r="O398" t="str">
        <f>_xlfn.XLOOKUP(frasest[[#This Row],[author_es]],autorest[author_es],autorest[age_es])</f>
        <v>Edad Contemporánea</v>
      </c>
      <c r="P398" t="str">
        <f>_xlfn.XLOOKUP(frasest[[#This Row],[author_es]],autorest[author_es],autorest[age_la])</f>
        <v>Aetas Contemporanea</v>
      </c>
      <c r="Q398" t="str">
        <f>_xlfn.XLOOKUP(frasest[[#This Row],[author_es]],autorest[author_es],autorest[image])</f>
        <v>https://i.ibb.co/4nL3Mpnc/benedictoxvi.png</v>
      </c>
      <c r="R398">
        <f>_xlfn.XLOOKUP(frasest[[#This Row],[author_es]],autorest[author_es],autorest[image_atr])</f>
        <v>0</v>
      </c>
    </row>
    <row r="399" spans="1:18">
      <c r="A399">
        <v>398</v>
      </c>
      <c r="B399" t="s">
        <v>1362</v>
      </c>
      <c r="C399" t="s">
        <v>1363</v>
      </c>
      <c r="D399" t="s">
        <v>1362</v>
      </c>
      <c r="E399" t="s">
        <v>1360</v>
      </c>
      <c r="F399" t="s">
        <v>1364</v>
      </c>
      <c r="G399" t="str">
        <f>_xlfn.XLOOKUP(frasest[[#This Row],[author_es]],autorest[author_es],autorest[author_la])</f>
        <v>Benedictus XVI</v>
      </c>
      <c r="H399"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399"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399" t="str">
        <f>_xlfn.XLOOKUP(frasest[[#This Row],[author_es]],autorest[author_es],autorest[iso3691])</f>
        <v>de</v>
      </c>
      <c r="K399" t="str">
        <f>_xlfn.XLOOKUP(frasest[[#This Row],[author_es]],autorest[author_es],autorest[language_es])</f>
        <v>Alemán</v>
      </c>
      <c r="L399" t="str">
        <f>_xlfn.XLOOKUP(frasest[[#This Row],[author_es]],autorest[author_es],autorest[language_la])</f>
        <v>Lingua Germanica</v>
      </c>
      <c r="M399" t="str">
        <f>_xlfn.XLOOKUP(frasest[[#This Row],[author_es]],autorest[author_es],autorest[nation_es])</f>
        <v>Alemania</v>
      </c>
      <c r="N399" t="str">
        <f>_xlfn.XLOOKUP(frasest[[#This Row],[author_es]],autorest[author_es],autorest[nation_la])</f>
        <v>Germania</v>
      </c>
      <c r="O399" t="str">
        <f>_xlfn.XLOOKUP(frasest[[#This Row],[author_es]],autorest[author_es],autorest[age_es])</f>
        <v>Edad Contemporánea</v>
      </c>
      <c r="P399" t="str">
        <f>_xlfn.XLOOKUP(frasest[[#This Row],[author_es]],autorest[author_es],autorest[age_la])</f>
        <v>Aetas Contemporanea</v>
      </c>
      <c r="Q399" t="str">
        <f>_xlfn.XLOOKUP(frasest[[#This Row],[author_es]],autorest[author_es],autorest[image])</f>
        <v>https://i.ibb.co/4nL3Mpnc/benedictoxvi.png</v>
      </c>
      <c r="R399">
        <f>_xlfn.XLOOKUP(frasest[[#This Row],[author_es]],autorest[author_es],autorest[image_atr])</f>
        <v>0</v>
      </c>
    </row>
    <row r="400" spans="1:18">
      <c r="A400">
        <v>399</v>
      </c>
      <c r="B400" t="s">
        <v>1365</v>
      </c>
      <c r="C400" t="s">
        <v>1366</v>
      </c>
      <c r="D400" t="s">
        <v>1365</v>
      </c>
      <c r="E400" t="s">
        <v>1360</v>
      </c>
      <c r="F400" t="s">
        <v>1367</v>
      </c>
      <c r="G400" t="str">
        <f>_xlfn.XLOOKUP(frasest[[#This Row],[author_es]],autorest[author_es],autorest[author_la])</f>
        <v>Benedictus XVI</v>
      </c>
      <c r="H400"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0"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0" t="str">
        <f>_xlfn.XLOOKUP(frasest[[#This Row],[author_es]],autorest[author_es],autorest[iso3691])</f>
        <v>de</v>
      </c>
      <c r="K400" t="str">
        <f>_xlfn.XLOOKUP(frasest[[#This Row],[author_es]],autorest[author_es],autorest[language_es])</f>
        <v>Alemán</v>
      </c>
      <c r="L400" t="str">
        <f>_xlfn.XLOOKUP(frasest[[#This Row],[author_es]],autorest[author_es],autorest[language_la])</f>
        <v>Lingua Germanica</v>
      </c>
      <c r="M400" t="str">
        <f>_xlfn.XLOOKUP(frasest[[#This Row],[author_es]],autorest[author_es],autorest[nation_es])</f>
        <v>Alemania</v>
      </c>
      <c r="N400" t="str">
        <f>_xlfn.XLOOKUP(frasest[[#This Row],[author_es]],autorest[author_es],autorest[nation_la])</f>
        <v>Germania</v>
      </c>
      <c r="O400" t="str">
        <f>_xlfn.XLOOKUP(frasest[[#This Row],[author_es]],autorest[author_es],autorest[age_es])</f>
        <v>Edad Contemporánea</v>
      </c>
      <c r="P400" t="str">
        <f>_xlfn.XLOOKUP(frasest[[#This Row],[author_es]],autorest[author_es],autorest[age_la])</f>
        <v>Aetas Contemporanea</v>
      </c>
      <c r="Q400" t="str">
        <f>_xlfn.XLOOKUP(frasest[[#This Row],[author_es]],autorest[author_es],autorest[image])</f>
        <v>https://i.ibb.co/4nL3Mpnc/benedictoxvi.png</v>
      </c>
      <c r="R400">
        <f>_xlfn.XLOOKUP(frasest[[#This Row],[author_es]],autorest[author_es],autorest[image_atr])</f>
        <v>0</v>
      </c>
    </row>
    <row r="401" spans="1:18">
      <c r="A401">
        <v>400</v>
      </c>
      <c r="B401" t="s">
        <v>1368</v>
      </c>
      <c r="C401" t="s">
        <v>1369</v>
      </c>
      <c r="D401" t="s">
        <v>1368</v>
      </c>
      <c r="E401" t="s">
        <v>1360</v>
      </c>
      <c r="F401" t="s">
        <v>1370</v>
      </c>
      <c r="G401" t="str">
        <f>_xlfn.XLOOKUP(frasest[[#This Row],[author_es]],autorest[author_es],autorest[author_la])</f>
        <v>Benedictus XVI</v>
      </c>
      <c r="H401"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1"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1" t="str">
        <f>_xlfn.XLOOKUP(frasest[[#This Row],[author_es]],autorest[author_es],autorest[iso3691])</f>
        <v>de</v>
      </c>
      <c r="K401" t="str">
        <f>_xlfn.XLOOKUP(frasest[[#This Row],[author_es]],autorest[author_es],autorest[language_es])</f>
        <v>Alemán</v>
      </c>
      <c r="L401" t="str">
        <f>_xlfn.XLOOKUP(frasest[[#This Row],[author_es]],autorest[author_es],autorest[language_la])</f>
        <v>Lingua Germanica</v>
      </c>
      <c r="M401" t="str">
        <f>_xlfn.XLOOKUP(frasest[[#This Row],[author_es]],autorest[author_es],autorest[nation_es])</f>
        <v>Alemania</v>
      </c>
      <c r="N401" t="str">
        <f>_xlfn.XLOOKUP(frasest[[#This Row],[author_es]],autorest[author_es],autorest[nation_la])</f>
        <v>Germania</v>
      </c>
      <c r="O401" t="str">
        <f>_xlfn.XLOOKUP(frasest[[#This Row],[author_es]],autorest[author_es],autorest[age_es])</f>
        <v>Edad Contemporánea</v>
      </c>
      <c r="P401" t="str">
        <f>_xlfn.XLOOKUP(frasest[[#This Row],[author_es]],autorest[author_es],autorest[age_la])</f>
        <v>Aetas Contemporanea</v>
      </c>
      <c r="Q401" t="str">
        <f>_xlfn.XLOOKUP(frasest[[#This Row],[author_es]],autorest[author_es],autorest[image])</f>
        <v>https://i.ibb.co/4nL3Mpnc/benedictoxvi.png</v>
      </c>
      <c r="R401">
        <f>_xlfn.XLOOKUP(frasest[[#This Row],[author_es]],autorest[author_es],autorest[image_atr])</f>
        <v>0</v>
      </c>
    </row>
    <row r="402" spans="1:18">
      <c r="A402">
        <v>401</v>
      </c>
      <c r="B402" t="s">
        <v>1371</v>
      </c>
      <c r="C402" t="s">
        <v>1372</v>
      </c>
      <c r="D402" t="s">
        <v>1371</v>
      </c>
      <c r="E402" t="s">
        <v>1360</v>
      </c>
      <c r="F402" t="s">
        <v>1373</v>
      </c>
      <c r="G402" t="str">
        <f>_xlfn.XLOOKUP(frasest[[#This Row],[author_es]],autorest[author_es],autorest[author_la])</f>
        <v>Benedictus XVI</v>
      </c>
      <c r="H402"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2"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2" t="str">
        <f>_xlfn.XLOOKUP(frasest[[#This Row],[author_es]],autorest[author_es],autorest[iso3691])</f>
        <v>de</v>
      </c>
      <c r="K402" t="str">
        <f>_xlfn.XLOOKUP(frasest[[#This Row],[author_es]],autorest[author_es],autorest[language_es])</f>
        <v>Alemán</v>
      </c>
      <c r="L402" t="str">
        <f>_xlfn.XLOOKUP(frasest[[#This Row],[author_es]],autorest[author_es],autorest[language_la])</f>
        <v>Lingua Germanica</v>
      </c>
      <c r="M402" t="str">
        <f>_xlfn.XLOOKUP(frasest[[#This Row],[author_es]],autorest[author_es],autorest[nation_es])</f>
        <v>Alemania</v>
      </c>
      <c r="N402" t="str">
        <f>_xlfn.XLOOKUP(frasest[[#This Row],[author_es]],autorest[author_es],autorest[nation_la])</f>
        <v>Germania</v>
      </c>
      <c r="O402" t="str">
        <f>_xlfn.XLOOKUP(frasest[[#This Row],[author_es]],autorest[author_es],autorest[age_es])</f>
        <v>Edad Contemporánea</v>
      </c>
      <c r="P402" t="str">
        <f>_xlfn.XLOOKUP(frasest[[#This Row],[author_es]],autorest[author_es],autorest[age_la])</f>
        <v>Aetas Contemporanea</v>
      </c>
      <c r="Q402" t="str">
        <f>_xlfn.XLOOKUP(frasest[[#This Row],[author_es]],autorest[author_es],autorest[image])</f>
        <v>https://i.ibb.co/4nL3Mpnc/benedictoxvi.png</v>
      </c>
      <c r="R402">
        <f>_xlfn.XLOOKUP(frasest[[#This Row],[author_es]],autorest[author_es],autorest[image_atr])</f>
        <v>0</v>
      </c>
    </row>
    <row r="403" spans="1:18">
      <c r="A403">
        <v>402</v>
      </c>
      <c r="B403" t="s">
        <v>1374</v>
      </c>
      <c r="C403" t="s">
        <v>1375</v>
      </c>
      <c r="D403" t="s">
        <v>1374</v>
      </c>
      <c r="E403" t="s">
        <v>1360</v>
      </c>
      <c r="F403" t="s">
        <v>1376</v>
      </c>
      <c r="G403" t="str">
        <f>_xlfn.XLOOKUP(frasest[[#This Row],[author_es]],autorest[author_es],autorest[author_la])</f>
        <v>Benedictus XVI</v>
      </c>
      <c r="H403" t="str">
        <f>_xlfn.XLOOKUP(frasest[[#This Row],[author_es]],autorest[author_es],autorest[bio_es])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I403" t="str">
        <f>_xlfn.XLOOKUP(frasest[[#This Row],[author_es]],autorest[author_es],autorest[bio_la])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J403" t="str">
        <f>_xlfn.XLOOKUP(frasest[[#This Row],[author_es]],autorest[author_es],autorest[iso3691])</f>
        <v>de</v>
      </c>
      <c r="K403" t="str">
        <f>_xlfn.XLOOKUP(frasest[[#This Row],[author_es]],autorest[author_es],autorest[language_es])</f>
        <v>Alemán</v>
      </c>
      <c r="L403" t="str">
        <f>_xlfn.XLOOKUP(frasest[[#This Row],[author_es]],autorest[author_es],autorest[language_la])</f>
        <v>Lingua Germanica</v>
      </c>
      <c r="M403" t="str">
        <f>_xlfn.XLOOKUP(frasest[[#This Row],[author_es]],autorest[author_es],autorest[nation_es])</f>
        <v>Alemania</v>
      </c>
      <c r="N403" t="str">
        <f>_xlfn.XLOOKUP(frasest[[#This Row],[author_es]],autorest[author_es],autorest[nation_la])</f>
        <v>Germania</v>
      </c>
      <c r="O403" t="str">
        <f>_xlfn.XLOOKUP(frasest[[#This Row],[author_es]],autorest[author_es],autorest[age_es])</f>
        <v>Edad Contemporánea</v>
      </c>
      <c r="P403" t="str">
        <f>_xlfn.XLOOKUP(frasest[[#This Row],[author_es]],autorest[author_es],autorest[age_la])</f>
        <v>Aetas Contemporanea</v>
      </c>
      <c r="Q403" t="str">
        <f>_xlfn.XLOOKUP(frasest[[#This Row],[author_es]],autorest[author_es],autorest[image])</f>
        <v>https://i.ibb.co/4nL3Mpnc/benedictoxvi.png</v>
      </c>
      <c r="R403">
        <f>_xlfn.XLOOKUP(frasest[[#This Row],[author_es]],autorest[author_es],autorest[image_atr])</f>
        <v>0</v>
      </c>
    </row>
    <row r="404" spans="1:18">
      <c r="A404">
        <v>403</v>
      </c>
      <c r="B404" t="s">
        <v>1377</v>
      </c>
      <c r="C404" t="s">
        <v>1378</v>
      </c>
      <c r="D404" t="s">
        <v>1379</v>
      </c>
      <c r="E404" t="s">
        <v>1380</v>
      </c>
      <c r="F404" t="s">
        <v>1381</v>
      </c>
      <c r="G404" t="str">
        <f>_xlfn.XLOOKUP(frasest[[#This Row],[author_es]],autorest[author_es],autorest[author_la])</f>
        <v>Sancta Theresia a Lisieux</v>
      </c>
      <c r="H404"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4"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4" t="str">
        <f>_xlfn.XLOOKUP(frasest[[#This Row],[author_es]],autorest[author_es],autorest[iso3691])</f>
        <v>fr</v>
      </c>
      <c r="K404" t="str">
        <f>_xlfn.XLOOKUP(frasest[[#This Row],[author_es]],autorest[author_es],autorest[language_es])</f>
        <v>Francés</v>
      </c>
      <c r="L404" t="str">
        <f>_xlfn.XLOOKUP(frasest[[#This Row],[author_es]],autorest[author_es],autorest[language_la])</f>
        <v>Lingua Gallica</v>
      </c>
      <c r="M404" t="str">
        <f>_xlfn.XLOOKUP(frasest[[#This Row],[author_es]],autorest[author_es],autorest[nation_es])</f>
        <v>Francia</v>
      </c>
      <c r="N404" t="str">
        <f>_xlfn.XLOOKUP(frasest[[#This Row],[author_es]],autorest[author_es],autorest[nation_la])</f>
        <v>Francia</v>
      </c>
      <c r="O404" t="str">
        <f>_xlfn.XLOOKUP(frasest[[#This Row],[author_es]],autorest[author_es],autorest[age_es])</f>
        <v>Edad Contemporánea</v>
      </c>
      <c r="P404" t="str">
        <f>_xlfn.XLOOKUP(frasest[[#This Row],[author_es]],autorest[author_es],autorest[age_la])</f>
        <v>Aetas Contemporanea</v>
      </c>
      <c r="Q404" t="str">
        <f>_xlfn.XLOOKUP(frasest[[#This Row],[author_es]],autorest[author_es],autorest[image])</f>
        <v>https://i.ibb.co/jNM8XWz/santateresitadelissieux.png</v>
      </c>
      <c r="R404">
        <f>_xlfn.XLOOKUP(frasest[[#This Row],[author_es]],autorest[author_es],autorest[image_atr])</f>
        <v>0</v>
      </c>
    </row>
    <row r="405" spans="1:18">
      <c r="A405">
        <v>404</v>
      </c>
      <c r="B405" t="s">
        <v>1382</v>
      </c>
      <c r="C405" t="s">
        <v>1383</v>
      </c>
      <c r="D405" t="s">
        <v>1384</v>
      </c>
      <c r="E405" t="s">
        <v>1380</v>
      </c>
      <c r="F405" t="s">
        <v>1385</v>
      </c>
      <c r="G405" t="str">
        <f>_xlfn.XLOOKUP(frasest[[#This Row],[author_es]],autorest[author_es],autorest[author_la])</f>
        <v>Sancta Theresia a Lisieux</v>
      </c>
      <c r="H405"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5"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5" t="str">
        <f>_xlfn.XLOOKUP(frasest[[#This Row],[author_es]],autorest[author_es],autorest[iso3691])</f>
        <v>fr</v>
      </c>
      <c r="K405" t="str">
        <f>_xlfn.XLOOKUP(frasest[[#This Row],[author_es]],autorest[author_es],autorest[language_es])</f>
        <v>Francés</v>
      </c>
      <c r="L405" t="str">
        <f>_xlfn.XLOOKUP(frasest[[#This Row],[author_es]],autorest[author_es],autorest[language_la])</f>
        <v>Lingua Gallica</v>
      </c>
      <c r="M405" t="str">
        <f>_xlfn.XLOOKUP(frasest[[#This Row],[author_es]],autorest[author_es],autorest[nation_es])</f>
        <v>Francia</v>
      </c>
      <c r="N405" t="str">
        <f>_xlfn.XLOOKUP(frasest[[#This Row],[author_es]],autorest[author_es],autorest[nation_la])</f>
        <v>Francia</v>
      </c>
      <c r="O405" t="str">
        <f>_xlfn.XLOOKUP(frasest[[#This Row],[author_es]],autorest[author_es],autorest[age_es])</f>
        <v>Edad Contemporánea</v>
      </c>
      <c r="P405" t="str">
        <f>_xlfn.XLOOKUP(frasest[[#This Row],[author_es]],autorest[author_es],autorest[age_la])</f>
        <v>Aetas Contemporanea</v>
      </c>
      <c r="Q405" t="str">
        <f>_xlfn.XLOOKUP(frasest[[#This Row],[author_es]],autorest[author_es],autorest[image])</f>
        <v>https://i.ibb.co/jNM8XWz/santateresitadelissieux.png</v>
      </c>
      <c r="R405">
        <f>_xlfn.XLOOKUP(frasest[[#This Row],[author_es]],autorest[author_es],autorest[image_atr])</f>
        <v>0</v>
      </c>
    </row>
    <row r="406" spans="1:18">
      <c r="A406">
        <v>405</v>
      </c>
      <c r="B406" t="s">
        <v>1386</v>
      </c>
      <c r="C406" t="s">
        <v>1387</v>
      </c>
      <c r="D406" t="s">
        <v>1388</v>
      </c>
      <c r="E406" t="s">
        <v>1380</v>
      </c>
      <c r="F406" t="s">
        <v>1389</v>
      </c>
      <c r="G406" t="str">
        <f>_xlfn.XLOOKUP(frasest[[#This Row],[author_es]],autorest[author_es],autorest[author_la])</f>
        <v>Sancta Theresia a Lisieux</v>
      </c>
      <c r="H406"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6"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6" t="str">
        <f>_xlfn.XLOOKUP(frasest[[#This Row],[author_es]],autorest[author_es],autorest[iso3691])</f>
        <v>fr</v>
      </c>
      <c r="K406" t="str">
        <f>_xlfn.XLOOKUP(frasest[[#This Row],[author_es]],autorest[author_es],autorest[language_es])</f>
        <v>Francés</v>
      </c>
      <c r="L406" t="str">
        <f>_xlfn.XLOOKUP(frasest[[#This Row],[author_es]],autorest[author_es],autorest[language_la])</f>
        <v>Lingua Gallica</v>
      </c>
      <c r="M406" t="str">
        <f>_xlfn.XLOOKUP(frasest[[#This Row],[author_es]],autorest[author_es],autorest[nation_es])</f>
        <v>Francia</v>
      </c>
      <c r="N406" t="str">
        <f>_xlfn.XLOOKUP(frasest[[#This Row],[author_es]],autorest[author_es],autorest[nation_la])</f>
        <v>Francia</v>
      </c>
      <c r="O406" t="str">
        <f>_xlfn.XLOOKUP(frasest[[#This Row],[author_es]],autorest[author_es],autorest[age_es])</f>
        <v>Edad Contemporánea</v>
      </c>
      <c r="P406" t="str">
        <f>_xlfn.XLOOKUP(frasest[[#This Row],[author_es]],autorest[author_es],autorest[age_la])</f>
        <v>Aetas Contemporanea</v>
      </c>
      <c r="Q406" t="str">
        <f>_xlfn.XLOOKUP(frasest[[#This Row],[author_es]],autorest[author_es],autorest[image])</f>
        <v>https://i.ibb.co/jNM8XWz/santateresitadelissieux.png</v>
      </c>
      <c r="R406">
        <f>_xlfn.XLOOKUP(frasest[[#This Row],[author_es]],autorest[author_es],autorest[image_atr])</f>
        <v>0</v>
      </c>
    </row>
    <row r="407" spans="1:18">
      <c r="A407">
        <v>406</v>
      </c>
      <c r="B407" t="s">
        <v>1390</v>
      </c>
      <c r="C407" t="s">
        <v>1391</v>
      </c>
      <c r="D407" t="s">
        <v>1392</v>
      </c>
      <c r="E407" t="s">
        <v>1380</v>
      </c>
      <c r="F407" t="s">
        <v>1393</v>
      </c>
      <c r="G407" t="str">
        <f>_xlfn.XLOOKUP(frasest[[#This Row],[author_es]],autorest[author_es],autorest[author_la])</f>
        <v>Sancta Theresia a Lisieux</v>
      </c>
      <c r="H407"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7"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7" t="str">
        <f>_xlfn.XLOOKUP(frasest[[#This Row],[author_es]],autorest[author_es],autorest[iso3691])</f>
        <v>fr</v>
      </c>
      <c r="K407" t="str">
        <f>_xlfn.XLOOKUP(frasest[[#This Row],[author_es]],autorest[author_es],autorest[language_es])</f>
        <v>Francés</v>
      </c>
      <c r="L407" t="str">
        <f>_xlfn.XLOOKUP(frasest[[#This Row],[author_es]],autorest[author_es],autorest[language_la])</f>
        <v>Lingua Gallica</v>
      </c>
      <c r="M407" t="str">
        <f>_xlfn.XLOOKUP(frasest[[#This Row],[author_es]],autorest[author_es],autorest[nation_es])</f>
        <v>Francia</v>
      </c>
      <c r="N407" t="str">
        <f>_xlfn.XLOOKUP(frasest[[#This Row],[author_es]],autorest[author_es],autorest[nation_la])</f>
        <v>Francia</v>
      </c>
      <c r="O407" t="str">
        <f>_xlfn.XLOOKUP(frasest[[#This Row],[author_es]],autorest[author_es],autorest[age_es])</f>
        <v>Edad Contemporánea</v>
      </c>
      <c r="P407" t="str">
        <f>_xlfn.XLOOKUP(frasest[[#This Row],[author_es]],autorest[author_es],autorest[age_la])</f>
        <v>Aetas Contemporanea</v>
      </c>
      <c r="Q407" t="str">
        <f>_xlfn.XLOOKUP(frasest[[#This Row],[author_es]],autorest[author_es],autorest[image])</f>
        <v>https://i.ibb.co/jNM8XWz/santateresitadelissieux.png</v>
      </c>
      <c r="R407">
        <f>_xlfn.XLOOKUP(frasest[[#This Row],[author_es]],autorest[author_es],autorest[image_atr])</f>
        <v>0</v>
      </c>
    </row>
    <row r="408" spans="1:18">
      <c r="A408">
        <v>407</v>
      </c>
      <c r="B408" t="s">
        <v>1394</v>
      </c>
      <c r="C408" t="s">
        <v>1395</v>
      </c>
      <c r="D408" t="s">
        <v>1396</v>
      </c>
      <c r="E408" t="s">
        <v>1380</v>
      </c>
      <c r="F408" t="s">
        <v>1397</v>
      </c>
      <c r="G408" t="str">
        <f>_xlfn.XLOOKUP(frasest[[#This Row],[author_es]],autorest[author_es],autorest[author_la])</f>
        <v>Sancta Theresia a Lisieux</v>
      </c>
      <c r="H408"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8"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8" t="str">
        <f>_xlfn.XLOOKUP(frasest[[#This Row],[author_es]],autorest[author_es],autorest[iso3691])</f>
        <v>fr</v>
      </c>
      <c r="K408" t="str">
        <f>_xlfn.XLOOKUP(frasest[[#This Row],[author_es]],autorest[author_es],autorest[language_es])</f>
        <v>Francés</v>
      </c>
      <c r="L408" t="str">
        <f>_xlfn.XLOOKUP(frasest[[#This Row],[author_es]],autorest[author_es],autorest[language_la])</f>
        <v>Lingua Gallica</v>
      </c>
      <c r="M408" t="str">
        <f>_xlfn.XLOOKUP(frasest[[#This Row],[author_es]],autorest[author_es],autorest[nation_es])</f>
        <v>Francia</v>
      </c>
      <c r="N408" t="str">
        <f>_xlfn.XLOOKUP(frasest[[#This Row],[author_es]],autorest[author_es],autorest[nation_la])</f>
        <v>Francia</v>
      </c>
      <c r="O408" t="str">
        <f>_xlfn.XLOOKUP(frasest[[#This Row],[author_es]],autorest[author_es],autorest[age_es])</f>
        <v>Edad Contemporánea</v>
      </c>
      <c r="P408" t="str">
        <f>_xlfn.XLOOKUP(frasest[[#This Row],[author_es]],autorest[author_es],autorest[age_la])</f>
        <v>Aetas Contemporanea</v>
      </c>
      <c r="Q408" t="str">
        <f>_xlfn.XLOOKUP(frasest[[#This Row],[author_es]],autorest[author_es],autorest[image])</f>
        <v>https://i.ibb.co/jNM8XWz/santateresitadelissieux.png</v>
      </c>
      <c r="R408">
        <f>_xlfn.XLOOKUP(frasest[[#This Row],[author_es]],autorest[author_es],autorest[image_atr])</f>
        <v>0</v>
      </c>
    </row>
    <row r="409" spans="1:18">
      <c r="A409">
        <v>408</v>
      </c>
      <c r="B409" t="s">
        <v>1398</v>
      </c>
      <c r="C409" t="s">
        <v>1399</v>
      </c>
      <c r="D409" t="s">
        <v>1400</v>
      </c>
      <c r="E409" t="s">
        <v>1380</v>
      </c>
      <c r="F409" t="s">
        <v>1401</v>
      </c>
      <c r="G409" t="str">
        <f>_xlfn.XLOOKUP(frasest[[#This Row],[author_es]],autorest[author_es],autorest[author_la])</f>
        <v>Sancta Theresia a Lisieux</v>
      </c>
      <c r="H409" t="str">
        <f>_xlfn.XLOOKUP(frasest[[#This Row],[author_es]],autorest[author_es],autorest[bio_es])</f>
        <v>Monja carmelita francesa, Doctora de la Iglesia. Desarrolló el Caminito de infancia espiritual, la teología de la pequeñez. Autora de Historia de un alma. Patrona de las misiones y de Francia. Prometió pasar su cielo haciendo el bien en la tierra.</v>
      </c>
      <c r="I409" t="str">
        <f>_xlfn.XLOOKUP(frasest[[#This Row],[author_es]],autorest[author_es],autorest[bio_la])</f>
        <v>Soror Carmelita Francogallica, Doctor Ecclesiae. Viam parvam infantiae spiritualis, theologiam parvitatis elaboravit. Auctor Historiae animae. Patrona missionum et Galliae. Promisit se caelum transacturam bonum in terra faciens.</v>
      </c>
      <c r="J409" t="str">
        <f>_xlfn.XLOOKUP(frasest[[#This Row],[author_es]],autorest[author_es],autorest[iso3691])</f>
        <v>fr</v>
      </c>
      <c r="K409" t="str">
        <f>_xlfn.XLOOKUP(frasest[[#This Row],[author_es]],autorest[author_es],autorest[language_es])</f>
        <v>Francés</v>
      </c>
      <c r="L409" t="str">
        <f>_xlfn.XLOOKUP(frasest[[#This Row],[author_es]],autorest[author_es],autorest[language_la])</f>
        <v>Lingua Gallica</v>
      </c>
      <c r="M409" t="str">
        <f>_xlfn.XLOOKUP(frasest[[#This Row],[author_es]],autorest[author_es],autorest[nation_es])</f>
        <v>Francia</v>
      </c>
      <c r="N409" t="str">
        <f>_xlfn.XLOOKUP(frasest[[#This Row],[author_es]],autorest[author_es],autorest[nation_la])</f>
        <v>Francia</v>
      </c>
      <c r="O409" t="str">
        <f>_xlfn.XLOOKUP(frasest[[#This Row],[author_es]],autorest[author_es],autorest[age_es])</f>
        <v>Edad Contemporánea</v>
      </c>
      <c r="P409" t="str">
        <f>_xlfn.XLOOKUP(frasest[[#This Row],[author_es]],autorest[author_es],autorest[age_la])</f>
        <v>Aetas Contemporanea</v>
      </c>
      <c r="Q409" t="str">
        <f>_xlfn.XLOOKUP(frasest[[#This Row],[author_es]],autorest[author_es],autorest[image])</f>
        <v>https://i.ibb.co/jNM8XWz/santateresitadelissieux.png</v>
      </c>
      <c r="R409">
        <f>_xlfn.XLOOKUP(frasest[[#This Row],[author_es]],autorest[author_es],autorest[image_atr])</f>
        <v>0</v>
      </c>
    </row>
    <row r="410" spans="1:18">
      <c r="A410">
        <v>409</v>
      </c>
      <c r="B410" t="s">
        <v>1402</v>
      </c>
      <c r="C410" t="s">
        <v>1403</v>
      </c>
      <c r="D410" t="s">
        <v>1404</v>
      </c>
      <c r="E410" t="s">
        <v>1405</v>
      </c>
      <c r="F410" t="s">
        <v>1406</v>
      </c>
      <c r="G410" t="str">
        <f>_xlfn.XLOOKUP(frasest[[#This Row],[author_es]],autorest[author_es],autorest[author_la])</f>
        <v>Maria Montessori</v>
      </c>
      <c r="H410"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0"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0" t="str">
        <f>_xlfn.XLOOKUP(frasest[[#This Row],[author_es]],autorest[author_es],autorest[iso3691])</f>
        <v>it</v>
      </c>
      <c r="K410" t="str">
        <f>_xlfn.XLOOKUP(frasest[[#This Row],[author_es]],autorest[author_es],autorest[language_es])</f>
        <v>Italiano</v>
      </c>
      <c r="L410" t="str">
        <f>_xlfn.XLOOKUP(frasest[[#This Row],[author_es]],autorest[author_es],autorest[language_la])</f>
        <v>Lingua Italica</v>
      </c>
      <c r="M410" t="str">
        <f>_xlfn.XLOOKUP(frasest[[#This Row],[author_es]],autorest[author_es],autorest[nation_es])</f>
        <v>Italia</v>
      </c>
      <c r="N410" t="str">
        <f>_xlfn.XLOOKUP(frasest[[#This Row],[author_es]],autorest[author_es],autorest[nation_la])</f>
        <v>Italia</v>
      </c>
      <c r="O410" t="str">
        <f>_xlfn.XLOOKUP(frasest[[#This Row],[author_es]],autorest[author_es],autorest[age_es])</f>
        <v>Edad Contemporánea</v>
      </c>
      <c r="P410" t="str">
        <f>_xlfn.XLOOKUP(frasest[[#This Row],[author_es]],autorest[author_es],autorest[age_la])</f>
        <v>Aetas Contemporanea</v>
      </c>
      <c r="Q410" t="str">
        <f>_xlfn.XLOOKUP(frasest[[#This Row],[author_es]],autorest[author_es],autorest[image])</f>
        <v>https://i.ibb.co/XfpNXLtH/mariamontessori.png</v>
      </c>
      <c r="R410">
        <f>_xlfn.XLOOKUP(frasest[[#This Row],[author_es]],autorest[author_es],autorest[image_atr])</f>
        <v>0</v>
      </c>
    </row>
    <row r="411" spans="1:18">
      <c r="A411">
        <v>410</v>
      </c>
      <c r="B411" t="s">
        <v>1407</v>
      </c>
      <c r="C411" t="s">
        <v>1408</v>
      </c>
      <c r="D411" t="s">
        <v>1409</v>
      </c>
      <c r="E411" t="s">
        <v>1405</v>
      </c>
      <c r="F411" t="s">
        <v>1410</v>
      </c>
      <c r="G411" t="str">
        <f>_xlfn.XLOOKUP(frasest[[#This Row],[author_es]],autorest[author_es],autorest[author_la])</f>
        <v>Maria Montessori</v>
      </c>
      <c r="H411"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1"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1" t="str">
        <f>_xlfn.XLOOKUP(frasest[[#This Row],[author_es]],autorest[author_es],autorest[iso3691])</f>
        <v>it</v>
      </c>
      <c r="K411" t="str">
        <f>_xlfn.XLOOKUP(frasest[[#This Row],[author_es]],autorest[author_es],autorest[language_es])</f>
        <v>Italiano</v>
      </c>
      <c r="L411" t="str">
        <f>_xlfn.XLOOKUP(frasest[[#This Row],[author_es]],autorest[author_es],autorest[language_la])</f>
        <v>Lingua Italica</v>
      </c>
      <c r="M411" t="str">
        <f>_xlfn.XLOOKUP(frasest[[#This Row],[author_es]],autorest[author_es],autorest[nation_es])</f>
        <v>Italia</v>
      </c>
      <c r="N411" t="str">
        <f>_xlfn.XLOOKUP(frasest[[#This Row],[author_es]],autorest[author_es],autorest[nation_la])</f>
        <v>Italia</v>
      </c>
      <c r="O411" t="str">
        <f>_xlfn.XLOOKUP(frasest[[#This Row],[author_es]],autorest[author_es],autorest[age_es])</f>
        <v>Edad Contemporánea</v>
      </c>
      <c r="P411" t="str">
        <f>_xlfn.XLOOKUP(frasest[[#This Row],[author_es]],autorest[author_es],autorest[age_la])</f>
        <v>Aetas Contemporanea</v>
      </c>
      <c r="Q411" t="str">
        <f>_xlfn.XLOOKUP(frasest[[#This Row],[author_es]],autorest[author_es],autorest[image])</f>
        <v>https://i.ibb.co/XfpNXLtH/mariamontessori.png</v>
      </c>
      <c r="R411">
        <f>_xlfn.XLOOKUP(frasest[[#This Row],[author_es]],autorest[author_es],autorest[image_atr])</f>
        <v>0</v>
      </c>
    </row>
    <row r="412" spans="1:18">
      <c r="A412">
        <v>411</v>
      </c>
      <c r="B412" t="s">
        <v>1411</v>
      </c>
      <c r="C412" t="s">
        <v>1412</v>
      </c>
      <c r="D412" t="s">
        <v>1413</v>
      </c>
      <c r="E412" t="s">
        <v>1405</v>
      </c>
      <c r="F412" t="s">
        <v>1414</v>
      </c>
      <c r="G412" t="str">
        <f>_xlfn.XLOOKUP(frasest[[#This Row],[author_es]],autorest[author_es],autorest[author_la])</f>
        <v>Maria Montessori</v>
      </c>
      <c r="H412"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2"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2" t="str">
        <f>_xlfn.XLOOKUP(frasest[[#This Row],[author_es]],autorest[author_es],autorest[iso3691])</f>
        <v>it</v>
      </c>
      <c r="K412" t="str">
        <f>_xlfn.XLOOKUP(frasest[[#This Row],[author_es]],autorest[author_es],autorest[language_es])</f>
        <v>Italiano</v>
      </c>
      <c r="L412" t="str">
        <f>_xlfn.XLOOKUP(frasest[[#This Row],[author_es]],autorest[author_es],autorest[language_la])</f>
        <v>Lingua Italica</v>
      </c>
      <c r="M412" t="str">
        <f>_xlfn.XLOOKUP(frasest[[#This Row],[author_es]],autorest[author_es],autorest[nation_es])</f>
        <v>Italia</v>
      </c>
      <c r="N412" t="str">
        <f>_xlfn.XLOOKUP(frasest[[#This Row],[author_es]],autorest[author_es],autorest[nation_la])</f>
        <v>Italia</v>
      </c>
      <c r="O412" t="str">
        <f>_xlfn.XLOOKUP(frasest[[#This Row],[author_es]],autorest[author_es],autorest[age_es])</f>
        <v>Edad Contemporánea</v>
      </c>
      <c r="P412" t="str">
        <f>_xlfn.XLOOKUP(frasest[[#This Row],[author_es]],autorest[author_es],autorest[age_la])</f>
        <v>Aetas Contemporanea</v>
      </c>
      <c r="Q412" t="str">
        <f>_xlfn.XLOOKUP(frasest[[#This Row],[author_es]],autorest[author_es],autorest[image])</f>
        <v>https://i.ibb.co/XfpNXLtH/mariamontessori.png</v>
      </c>
      <c r="R412">
        <f>_xlfn.XLOOKUP(frasest[[#This Row],[author_es]],autorest[author_es],autorest[image_atr])</f>
        <v>0</v>
      </c>
    </row>
    <row r="413" spans="1:18">
      <c r="A413">
        <v>412</v>
      </c>
      <c r="B413" t="s">
        <v>1415</v>
      </c>
      <c r="C413" t="s">
        <v>1416</v>
      </c>
      <c r="D413" t="s">
        <v>1417</v>
      </c>
      <c r="E413" t="s">
        <v>1405</v>
      </c>
      <c r="F413" t="s">
        <v>1418</v>
      </c>
      <c r="G413" t="str">
        <f>_xlfn.XLOOKUP(frasest[[#This Row],[author_es]],autorest[author_es],autorest[author_la])</f>
        <v>Maria Montessori</v>
      </c>
      <c r="H413"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3"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3" t="str">
        <f>_xlfn.XLOOKUP(frasest[[#This Row],[author_es]],autorest[author_es],autorest[iso3691])</f>
        <v>it</v>
      </c>
      <c r="K413" t="str">
        <f>_xlfn.XLOOKUP(frasest[[#This Row],[author_es]],autorest[author_es],autorest[language_es])</f>
        <v>Italiano</v>
      </c>
      <c r="L413" t="str">
        <f>_xlfn.XLOOKUP(frasest[[#This Row],[author_es]],autorest[author_es],autorest[language_la])</f>
        <v>Lingua Italica</v>
      </c>
      <c r="M413" t="str">
        <f>_xlfn.XLOOKUP(frasest[[#This Row],[author_es]],autorest[author_es],autorest[nation_es])</f>
        <v>Italia</v>
      </c>
      <c r="N413" t="str">
        <f>_xlfn.XLOOKUP(frasest[[#This Row],[author_es]],autorest[author_es],autorest[nation_la])</f>
        <v>Italia</v>
      </c>
      <c r="O413" t="str">
        <f>_xlfn.XLOOKUP(frasest[[#This Row],[author_es]],autorest[author_es],autorest[age_es])</f>
        <v>Edad Contemporánea</v>
      </c>
      <c r="P413" t="str">
        <f>_xlfn.XLOOKUP(frasest[[#This Row],[author_es]],autorest[author_es],autorest[age_la])</f>
        <v>Aetas Contemporanea</v>
      </c>
      <c r="Q413" t="str">
        <f>_xlfn.XLOOKUP(frasest[[#This Row],[author_es]],autorest[author_es],autorest[image])</f>
        <v>https://i.ibb.co/XfpNXLtH/mariamontessori.png</v>
      </c>
      <c r="R413">
        <f>_xlfn.XLOOKUP(frasest[[#This Row],[author_es]],autorest[author_es],autorest[image_atr])</f>
        <v>0</v>
      </c>
    </row>
    <row r="414" spans="1:18">
      <c r="A414">
        <v>413</v>
      </c>
      <c r="B414" t="s">
        <v>1419</v>
      </c>
      <c r="C414" t="s">
        <v>1420</v>
      </c>
      <c r="D414" t="s">
        <v>1421</v>
      </c>
      <c r="E414" t="s">
        <v>1405</v>
      </c>
      <c r="F414" t="s">
        <v>1422</v>
      </c>
      <c r="G414" t="str">
        <f>_xlfn.XLOOKUP(frasest[[#This Row],[author_es]],autorest[author_es],autorest[author_la])</f>
        <v>Maria Montessori</v>
      </c>
      <c r="H414"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4"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4" t="str">
        <f>_xlfn.XLOOKUP(frasest[[#This Row],[author_es]],autorest[author_es],autorest[iso3691])</f>
        <v>it</v>
      </c>
      <c r="K414" t="str">
        <f>_xlfn.XLOOKUP(frasest[[#This Row],[author_es]],autorest[author_es],autorest[language_es])</f>
        <v>Italiano</v>
      </c>
      <c r="L414" t="str">
        <f>_xlfn.XLOOKUP(frasest[[#This Row],[author_es]],autorest[author_es],autorest[language_la])</f>
        <v>Lingua Italica</v>
      </c>
      <c r="M414" t="str">
        <f>_xlfn.XLOOKUP(frasest[[#This Row],[author_es]],autorest[author_es],autorest[nation_es])</f>
        <v>Italia</v>
      </c>
      <c r="N414" t="str">
        <f>_xlfn.XLOOKUP(frasest[[#This Row],[author_es]],autorest[author_es],autorest[nation_la])</f>
        <v>Italia</v>
      </c>
      <c r="O414" t="str">
        <f>_xlfn.XLOOKUP(frasest[[#This Row],[author_es]],autorest[author_es],autorest[age_es])</f>
        <v>Edad Contemporánea</v>
      </c>
      <c r="P414" t="str">
        <f>_xlfn.XLOOKUP(frasest[[#This Row],[author_es]],autorest[author_es],autorest[age_la])</f>
        <v>Aetas Contemporanea</v>
      </c>
      <c r="Q414" t="str">
        <f>_xlfn.XLOOKUP(frasest[[#This Row],[author_es]],autorest[author_es],autorest[image])</f>
        <v>https://i.ibb.co/XfpNXLtH/mariamontessori.png</v>
      </c>
      <c r="R414">
        <f>_xlfn.XLOOKUP(frasest[[#This Row],[author_es]],autorest[author_es],autorest[image_atr])</f>
        <v>0</v>
      </c>
    </row>
    <row r="415" spans="1:18">
      <c r="A415">
        <v>414</v>
      </c>
      <c r="B415" t="s">
        <v>1423</v>
      </c>
      <c r="C415" t="s">
        <v>1424</v>
      </c>
      <c r="D415" t="s">
        <v>1425</v>
      </c>
      <c r="E415" t="s">
        <v>1405</v>
      </c>
      <c r="F415" t="s">
        <v>1426</v>
      </c>
      <c r="G415" t="str">
        <f>_xlfn.XLOOKUP(frasest[[#This Row],[author_es]],autorest[author_es],autorest[author_la])</f>
        <v>Maria Montessori</v>
      </c>
      <c r="H415" t="str">
        <f>_xlfn.XLOOKUP(frasest[[#This Row],[author_es]],autorest[author_es],autorest[bio_es])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I415" t="str">
        <f>_xlfn.XLOOKUP(frasest[[#This Row],[author_es]],autorest[author_es],autorest[bio_la])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J415" t="str">
        <f>_xlfn.XLOOKUP(frasest[[#This Row],[author_es]],autorest[author_es],autorest[iso3691])</f>
        <v>it</v>
      </c>
      <c r="K415" t="str">
        <f>_xlfn.XLOOKUP(frasest[[#This Row],[author_es]],autorest[author_es],autorest[language_es])</f>
        <v>Italiano</v>
      </c>
      <c r="L415" t="str">
        <f>_xlfn.XLOOKUP(frasest[[#This Row],[author_es]],autorest[author_es],autorest[language_la])</f>
        <v>Lingua Italica</v>
      </c>
      <c r="M415" t="str">
        <f>_xlfn.XLOOKUP(frasest[[#This Row],[author_es]],autorest[author_es],autorest[nation_es])</f>
        <v>Italia</v>
      </c>
      <c r="N415" t="str">
        <f>_xlfn.XLOOKUP(frasest[[#This Row],[author_es]],autorest[author_es],autorest[nation_la])</f>
        <v>Italia</v>
      </c>
      <c r="O415" t="str">
        <f>_xlfn.XLOOKUP(frasest[[#This Row],[author_es]],autorest[author_es],autorest[age_es])</f>
        <v>Edad Contemporánea</v>
      </c>
      <c r="P415" t="str">
        <f>_xlfn.XLOOKUP(frasest[[#This Row],[author_es]],autorest[author_es],autorest[age_la])</f>
        <v>Aetas Contemporanea</v>
      </c>
      <c r="Q415" t="str">
        <f>_xlfn.XLOOKUP(frasest[[#This Row],[author_es]],autorest[author_es],autorest[image])</f>
        <v>https://i.ibb.co/XfpNXLtH/mariamontessori.png</v>
      </c>
      <c r="R415">
        <f>_xlfn.XLOOKUP(frasest[[#This Row],[author_es]],autorest[author_es],autorest[image_atr])</f>
        <v>0</v>
      </c>
    </row>
    <row r="416" spans="1:18">
      <c r="A416">
        <v>415</v>
      </c>
      <c r="B416" t="s">
        <v>1427</v>
      </c>
      <c r="C416" t="s">
        <v>1428</v>
      </c>
      <c r="D416" t="s">
        <v>1429</v>
      </c>
      <c r="E416" t="s">
        <v>1430</v>
      </c>
      <c r="F416" t="s">
        <v>1431</v>
      </c>
      <c r="G416" t="str">
        <f>_xlfn.XLOOKUP(frasest[[#This Row],[author_es]],autorest[author_es],autorest[author_la])</f>
        <v>Paulus Freire</v>
      </c>
      <c r="H416"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6"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6" t="str">
        <f>_xlfn.XLOOKUP(frasest[[#This Row],[author_es]],autorest[author_es],autorest[iso3691])</f>
        <v>pt</v>
      </c>
      <c r="K416" t="str">
        <f>_xlfn.XLOOKUP(frasest[[#This Row],[author_es]],autorest[author_es],autorest[language_es])</f>
        <v>Portugués</v>
      </c>
      <c r="L416" t="str">
        <f>_xlfn.XLOOKUP(frasest[[#This Row],[author_es]],autorest[author_es],autorest[language_la])</f>
        <v>Lingua Lusitanica</v>
      </c>
      <c r="M416" t="str">
        <f>_xlfn.XLOOKUP(frasest[[#This Row],[author_es]],autorest[author_es],autorest[nation_es])</f>
        <v>Brasil</v>
      </c>
      <c r="N416" t="str">
        <f>_xlfn.XLOOKUP(frasest[[#This Row],[author_es]],autorest[author_es],autorest[nation_la])</f>
        <v>Brasilia</v>
      </c>
      <c r="O416" t="str">
        <f>_xlfn.XLOOKUP(frasest[[#This Row],[author_es]],autorest[author_es],autorest[age_es])</f>
        <v>Edad Contemporánea</v>
      </c>
      <c r="P416" t="str">
        <f>_xlfn.XLOOKUP(frasest[[#This Row],[author_es]],autorest[author_es],autorest[age_la])</f>
        <v>Aetas Contemporanea</v>
      </c>
      <c r="Q416" t="str">
        <f>_xlfn.XLOOKUP(frasest[[#This Row],[author_es]],autorest[author_es],autorest[image])</f>
        <v>https://i.ibb.co/8g9CdD0p/paulofreire.png</v>
      </c>
      <c r="R416">
        <f>_xlfn.XLOOKUP(frasest[[#This Row],[author_es]],autorest[author_es],autorest[image_atr])</f>
        <v>0</v>
      </c>
    </row>
    <row r="417" spans="1:18">
      <c r="A417">
        <v>416</v>
      </c>
      <c r="B417" t="s">
        <v>1432</v>
      </c>
      <c r="C417" t="s">
        <v>1433</v>
      </c>
      <c r="D417" t="s">
        <v>1434</v>
      </c>
      <c r="E417" t="s">
        <v>1430</v>
      </c>
      <c r="F417" t="s">
        <v>1435</v>
      </c>
      <c r="G417" t="str">
        <f>_xlfn.XLOOKUP(frasest[[#This Row],[author_es]],autorest[author_es],autorest[author_la])</f>
        <v>Paulus Freire</v>
      </c>
      <c r="H417"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7"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7" t="str">
        <f>_xlfn.XLOOKUP(frasest[[#This Row],[author_es]],autorest[author_es],autorest[iso3691])</f>
        <v>pt</v>
      </c>
      <c r="K417" t="str">
        <f>_xlfn.XLOOKUP(frasest[[#This Row],[author_es]],autorest[author_es],autorest[language_es])</f>
        <v>Portugués</v>
      </c>
      <c r="L417" t="str">
        <f>_xlfn.XLOOKUP(frasest[[#This Row],[author_es]],autorest[author_es],autorest[language_la])</f>
        <v>Lingua Lusitanica</v>
      </c>
      <c r="M417" t="str">
        <f>_xlfn.XLOOKUP(frasest[[#This Row],[author_es]],autorest[author_es],autorest[nation_es])</f>
        <v>Brasil</v>
      </c>
      <c r="N417" t="str">
        <f>_xlfn.XLOOKUP(frasest[[#This Row],[author_es]],autorest[author_es],autorest[nation_la])</f>
        <v>Brasilia</v>
      </c>
      <c r="O417" t="str">
        <f>_xlfn.XLOOKUP(frasest[[#This Row],[author_es]],autorest[author_es],autorest[age_es])</f>
        <v>Edad Contemporánea</v>
      </c>
      <c r="P417" t="str">
        <f>_xlfn.XLOOKUP(frasest[[#This Row],[author_es]],autorest[author_es],autorest[age_la])</f>
        <v>Aetas Contemporanea</v>
      </c>
      <c r="Q417" t="str">
        <f>_xlfn.XLOOKUP(frasest[[#This Row],[author_es]],autorest[author_es],autorest[image])</f>
        <v>https://i.ibb.co/8g9CdD0p/paulofreire.png</v>
      </c>
      <c r="R417">
        <f>_xlfn.XLOOKUP(frasest[[#This Row],[author_es]],autorest[author_es],autorest[image_atr])</f>
        <v>0</v>
      </c>
    </row>
    <row r="418" spans="1:18">
      <c r="A418">
        <v>417</v>
      </c>
      <c r="B418" t="s">
        <v>1436</v>
      </c>
      <c r="C418" t="s">
        <v>1437</v>
      </c>
      <c r="D418" t="s">
        <v>1438</v>
      </c>
      <c r="E418" t="s">
        <v>1430</v>
      </c>
      <c r="F418" t="s">
        <v>1439</v>
      </c>
      <c r="G418" t="str">
        <f>_xlfn.XLOOKUP(frasest[[#This Row],[author_es]],autorest[author_es],autorest[author_la])</f>
        <v>Paulus Freire</v>
      </c>
      <c r="H418"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8"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8" t="str">
        <f>_xlfn.XLOOKUP(frasest[[#This Row],[author_es]],autorest[author_es],autorest[iso3691])</f>
        <v>pt</v>
      </c>
      <c r="K418" t="str">
        <f>_xlfn.XLOOKUP(frasest[[#This Row],[author_es]],autorest[author_es],autorest[language_es])</f>
        <v>Portugués</v>
      </c>
      <c r="L418" t="str">
        <f>_xlfn.XLOOKUP(frasest[[#This Row],[author_es]],autorest[author_es],autorest[language_la])</f>
        <v>Lingua Lusitanica</v>
      </c>
      <c r="M418" t="str">
        <f>_xlfn.XLOOKUP(frasest[[#This Row],[author_es]],autorest[author_es],autorest[nation_es])</f>
        <v>Brasil</v>
      </c>
      <c r="N418" t="str">
        <f>_xlfn.XLOOKUP(frasest[[#This Row],[author_es]],autorest[author_es],autorest[nation_la])</f>
        <v>Brasilia</v>
      </c>
      <c r="O418" t="str">
        <f>_xlfn.XLOOKUP(frasest[[#This Row],[author_es]],autorest[author_es],autorest[age_es])</f>
        <v>Edad Contemporánea</v>
      </c>
      <c r="P418" t="str">
        <f>_xlfn.XLOOKUP(frasest[[#This Row],[author_es]],autorest[author_es],autorest[age_la])</f>
        <v>Aetas Contemporanea</v>
      </c>
      <c r="Q418" t="str">
        <f>_xlfn.XLOOKUP(frasest[[#This Row],[author_es]],autorest[author_es],autorest[image])</f>
        <v>https://i.ibb.co/8g9CdD0p/paulofreire.png</v>
      </c>
      <c r="R418">
        <f>_xlfn.XLOOKUP(frasest[[#This Row],[author_es]],autorest[author_es],autorest[image_atr])</f>
        <v>0</v>
      </c>
    </row>
    <row r="419" spans="1:18">
      <c r="A419">
        <v>418</v>
      </c>
      <c r="B419" t="s">
        <v>1440</v>
      </c>
      <c r="C419" t="s">
        <v>1441</v>
      </c>
      <c r="D419" t="s">
        <v>1442</v>
      </c>
      <c r="E419" t="s">
        <v>1430</v>
      </c>
      <c r="F419" t="s">
        <v>1443</v>
      </c>
      <c r="G419" t="str">
        <f>_xlfn.XLOOKUP(frasest[[#This Row],[author_es]],autorest[author_es],autorest[author_la])</f>
        <v>Paulus Freire</v>
      </c>
      <c r="H419"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19"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19" t="str">
        <f>_xlfn.XLOOKUP(frasest[[#This Row],[author_es]],autorest[author_es],autorest[iso3691])</f>
        <v>pt</v>
      </c>
      <c r="K419" t="str">
        <f>_xlfn.XLOOKUP(frasest[[#This Row],[author_es]],autorest[author_es],autorest[language_es])</f>
        <v>Portugués</v>
      </c>
      <c r="L419" t="str">
        <f>_xlfn.XLOOKUP(frasest[[#This Row],[author_es]],autorest[author_es],autorest[language_la])</f>
        <v>Lingua Lusitanica</v>
      </c>
      <c r="M419" t="str">
        <f>_xlfn.XLOOKUP(frasest[[#This Row],[author_es]],autorest[author_es],autorest[nation_es])</f>
        <v>Brasil</v>
      </c>
      <c r="N419" t="str">
        <f>_xlfn.XLOOKUP(frasest[[#This Row],[author_es]],autorest[author_es],autorest[nation_la])</f>
        <v>Brasilia</v>
      </c>
      <c r="O419" t="str">
        <f>_xlfn.XLOOKUP(frasest[[#This Row],[author_es]],autorest[author_es],autorest[age_es])</f>
        <v>Edad Contemporánea</v>
      </c>
      <c r="P419" t="str">
        <f>_xlfn.XLOOKUP(frasest[[#This Row],[author_es]],autorest[author_es],autorest[age_la])</f>
        <v>Aetas Contemporanea</v>
      </c>
      <c r="Q419" t="str">
        <f>_xlfn.XLOOKUP(frasest[[#This Row],[author_es]],autorest[author_es],autorest[image])</f>
        <v>https://i.ibb.co/8g9CdD0p/paulofreire.png</v>
      </c>
      <c r="R419">
        <f>_xlfn.XLOOKUP(frasest[[#This Row],[author_es]],autorest[author_es],autorest[image_atr])</f>
        <v>0</v>
      </c>
    </row>
    <row r="420" spans="1:18">
      <c r="A420">
        <v>419</v>
      </c>
      <c r="B420" t="s">
        <v>1444</v>
      </c>
      <c r="C420" t="s">
        <v>1445</v>
      </c>
      <c r="D420" t="s">
        <v>1446</v>
      </c>
      <c r="E420" t="s">
        <v>1430</v>
      </c>
      <c r="F420" t="s">
        <v>1447</v>
      </c>
      <c r="G420" t="str">
        <f>_xlfn.XLOOKUP(frasest[[#This Row],[author_es]],autorest[author_es],autorest[author_la])</f>
        <v>Paulus Freire</v>
      </c>
      <c r="H420"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0"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0" t="str">
        <f>_xlfn.XLOOKUP(frasest[[#This Row],[author_es]],autorest[author_es],autorest[iso3691])</f>
        <v>pt</v>
      </c>
      <c r="K420" t="str">
        <f>_xlfn.XLOOKUP(frasest[[#This Row],[author_es]],autorest[author_es],autorest[language_es])</f>
        <v>Portugués</v>
      </c>
      <c r="L420" t="str">
        <f>_xlfn.XLOOKUP(frasest[[#This Row],[author_es]],autorest[author_es],autorest[language_la])</f>
        <v>Lingua Lusitanica</v>
      </c>
      <c r="M420" t="str">
        <f>_xlfn.XLOOKUP(frasest[[#This Row],[author_es]],autorest[author_es],autorest[nation_es])</f>
        <v>Brasil</v>
      </c>
      <c r="N420" t="str">
        <f>_xlfn.XLOOKUP(frasest[[#This Row],[author_es]],autorest[author_es],autorest[nation_la])</f>
        <v>Brasilia</v>
      </c>
      <c r="O420" t="str">
        <f>_xlfn.XLOOKUP(frasest[[#This Row],[author_es]],autorest[author_es],autorest[age_es])</f>
        <v>Edad Contemporánea</v>
      </c>
      <c r="P420" t="str">
        <f>_xlfn.XLOOKUP(frasest[[#This Row],[author_es]],autorest[author_es],autorest[age_la])</f>
        <v>Aetas Contemporanea</v>
      </c>
      <c r="Q420" t="str">
        <f>_xlfn.XLOOKUP(frasest[[#This Row],[author_es]],autorest[author_es],autorest[image])</f>
        <v>https://i.ibb.co/8g9CdD0p/paulofreire.png</v>
      </c>
      <c r="R420">
        <f>_xlfn.XLOOKUP(frasest[[#This Row],[author_es]],autorest[author_es],autorest[image_atr])</f>
        <v>0</v>
      </c>
    </row>
    <row r="421" spans="1:18">
      <c r="A421">
        <v>420</v>
      </c>
      <c r="B421" t="s">
        <v>1448</v>
      </c>
      <c r="C421" t="s">
        <v>1449</v>
      </c>
      <c r="D421" t="s">
        <v>1450</v>
      </c>
      <c r="E421" t="s">
        <v>1430</v>
      </c>
      <c r="F421" t="s">
        <v>1451</v>
      </c>
      <c r="G421" t="str">
        <f>_xlfn.XLOOKUP(frasest[[#This Row],[author_es]],autorest[author_es],autorest[author_la])</f>
        <v>Paulus Freire</v>
      </c>
      <c r="H421" t="str">
        <f>_xlfn.XLOOKUP(frasest[[#This Row],[author_es]],autorest[author_es],autorest[bio_es])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I421" t="str">
        <f>_xlfn.XLOOKUP(frasest[[#This Row],[author_es]],autorest[author_es],autorest[bio_la])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J421" t="str">
        <f>_xlfn.XLOOKUP(frasest[[#This Row],[author_es]],autorest[author_es],autorest[iso3691])</f>
        <v>pt</v>
      </c>
      <c r="K421" t="str">
        <f>_xlfn.XLOOKUP(frasest[[#This Row],[author_es]],autorest[author_es],autorest[language_es])</f>
        <v>Portugués</v>
      </c>
      <c r="L421" t="str">
        <f>_xlfn.XLOOKUP(frasest[[#This Row],[author_es]],autorest[author_es],autorest[language_la])</f>
        <v>Lingua Lusitanica</v>
      </c>
      <c r="M421" t="str">
        <f>_xlfn.XLOOKUP(frasest[[#This Row],[author_es]],autorest[author_es],autorest[nation_es])</f>
        <v>Brasil</v>
      </c>
      <c r="N421" t="str">
        <f>_xlfn.XLOOKUP(frasest[[#This Row],[author_es]],autorest[author_es],autorest[nation_la])</f>
        <v>Brasilia</v>
      </c>
      <c r="O421" t="str">
        <f>_xlfn.XLOOKUP(frasest[[#This Row],[author_es]],autorest[author_es],autorest[age_es])</f>
        <v>Edad Contemporánea</v>
      </c>
      <c r="P421" t="str">
        <f>_xlfn.XLOOKUP(frasest[[#This Row],[author_es]],autorest[author_es],autorest[age_la])</f>
        <v>Aetas Contemporanea</v>
      </c>
      <c r="Q421" t="str">
        <f>_xlfn.XLOOKUP(frasest[[#This Row],[author_es]],autorest[author_es],autorest[image])</f>
        <v>https://i.ibb.co/8g9CdD0p/paulofreire.png</v>
      </c>
      <c r="R421">
        <f>_xlfn.XLOOKUP(frasest[[#This Row],[author_es]],autorest[author_es],autorest[image_atr])</f>
        <v>0</v>
      </c>
    </row>
    <row r="422" spans="1:18">
      <c r="A422">
        <v>421</v>
      </c>
      <c r="B422" t="s">
        <v>1452</v>
      </c>
      <c r="C422" t="s">
        <v>1453</v>
      </c>
      <c r="D422" t="s">
        <v>1453</v>
      </c>
      <c r="E422" t="s">
        <v>1454</v>
      </c>
      <c r="F422" t="s">
        <v>1453</v>
      </c>
      <c r="G422" t="str">
        <f>_xlfn.XLOOKUP(frasest[[#This Row],[author_es]],autorest[author_es],autorest[author_la])</f>
        <v>Sanctus Iosephus Calasanctius</v>
      </c>
      <c r="H422"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2"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2" t="str">
        <f>_xlfn.XLOOKUP(frasest[[#This Row],[author_es]],autorest[author_es],autorest[iso3691])</f>
        <v>la</v>
      </c>
      <c r="K422" t="str">
        <f>_xlfn.XLOOKUP(frasest[[#This Row],[author_es]],autorest[author_es],autorest[language_es])</f>
        <v>Latín</v>
      </c>
      <c r="L422" t="str">
        <f>_xlfn.XLOOKUP(frasest[[#This Row],[author_es]],autorest[author_es],autorest[language_la])</f>
        <v>Lingua Latina</v>
      </c>
      <c r="M422" t="str">
        <f>_xlfn.XLOOKUP(frasest[[#This Row],[author_es]],autorest[author_es],autorest[nation_es])</f>
        <v>España</v>
      </c>
      <c r="N422" t="str">
        <f>_xlfn.XLOOKUP(frasest[[#This Row],[author_es]],autorest[author_es],autorest[nation_la])</f>
        <v>Hispania</v>
      </c>
      <c r="O422" t="str">
        <f>_xlfn.XLOOKUP(frasest[[#This Row],[author_es]],autorest[author_es],autorest[age_es])</f>
        <v>Edad Moderna</v>
      </c>
      <c r="P422" t="str">
        <f>_xlfn.XLOOKUP(frasest[[#This Row],[author_es]],autorest[author_es],autorest[age_la])</f>
        <v>Nova Aetas</v>
      </c>
      <c r="Q422" t="str">
        <f>_xlfn.XLOOKUP(frasest[[#This Row],[author_es]],autorest[author_es],autorest[image])</f>
        <v>https://i.ibb.co/C5vjn9Hz/sanjosedecalasanz.png</v>
      </c>
      <c r="R422">
        <f>_xlfn.XLOOKUP(frasest[[#This Row],[author_es]],autorest[author_es],autorest[image_atr])</f>
        <v>0</v>
      </c>
    </row>
    <row r="423" spans="1:18">
      <c r="A423">
        <v>422</v>
      </c>
      <c r="B423" t="s">
        <v>1455</v>
      </c>
      <c r="C423" t="s">
        <v>1456</v>
      </c>
      <c r="D423" t="s">
        <v>1456</v>
      </c>
      <c r="E423" t="s">
        <v>1454</v>
      </c>
      <c r="F423" t="s">
        <v>1457</v>
      </c>
      <c r="G423" t="str">
        <f>_xlfn.XLOOKUP(frasest[[#This Row],[author_es]],autorest[author_es],autorest[author_la])</f>
        <v>Sanctus Iosephus Calasanctius</v>
      </c>
      <c r="H423"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3"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3" t="str">
        <f>_xlfn.XLOOKUP(frasest[[#This Row],[author_es]],autorest[author_es],autorest[iso3691])</f>
        <v>la</v>
      </c>
      <c r="K423" t="str">
        <f>_xlfn.XLOOKUP(frasest[[#This Row],[author_es]],autorest[author_es],autorest[language_es])</f>
        <v>Latín</v>
      </c>
      <c r="L423" t="str">
        <f>_xlfn.XLOOKUP(frasest[[#This Row],[author_es]],autorest[author_es],autorest[language_la])</f>
        <v>Lingua Latina</v>
      </c>
      <c r="M423" t="str">
        <f>_xlfn.XLOOKUP(frasest[[#This Row],[author_es]],autorest[author_es],autorest[nation_es])</f>
        <v>España</v>
      </c>
      <c r="N423" t="str">
        <f>_xlfn.XLOOKUP(frasest[[#This Row],[author_es]],autorest[author_es],autorest[nation_la])</f>
        <v>Hispania</v>
      </c>
      <c r="O423" t="str">
        <f>_xlfn.XLOOKUP(frasest[[#This Row],[author_es]],autorest[author_es],autorest[age_es])</f>
        <v>Edad Moderna</v>
      </c>
      <c r="P423" t="str">
        <f>_xlfn.XLOOKUP(frasest[[#This Row],[author_es]],autorest[author_es],autorest[age_la])</f>
        <v>Nova Aetas</v>
      </c>
      <c r="Q423" t="str">
        <f>_xlfn.XLOOKUP(frasest[[#This Row],[author_es]],autorest[author_es],autorest[image])</f>
        <v>https://i.ibb.co/C5vjn9Hz/sanjosedecalasanz.png</v>
      </c>
      <c r="R423">
        <f>_xlfn.XLOOKUP(frasest[[#This Row],[author_es]],autorest[author_es],autorest[image_atr])</f>
        <v>0</v>
      </c>
    </row>
    <row r="424" spans="1:18">
      <c r="A424">
        <v>423</v>
      </c>
      <c r="B424" t="s">
        <v>1458</v>
      </c>
      <c r="C424" t="s">
        <v>1459</v>
      </c>
      <c r="D424" t="s">
        <v>1459</v>
      </c>
      <c r="E424" t="s">
        <v>1454</v>
      </c>
      <c r="F424" t="s">
        <v>1457</v>
      </c>
      <c r="G424" t="str">
        <f>_xlfn.XLOOKUP(frasest[[#This Row],[author_es]],autorest[author_es],autorest[author_la])</f>
        <v>Sanctus Iosephus Calasanctius</v>
      </c>
      <c r="H424"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4"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4" t="str">
        <f>_xlfn.XLOOKUP(frasest[[#This Row],[author_es]],autorest[author_es],autorest[iso3691])</f>
        <v>la</v>
      </c>
      <c r="K424" t="str">
        <f>_xlfn.XLOOKUP(frasest[[#This Row],[author_es]],autorest[author_es],autorest[language_es])</f>
        <v>Latín</v>
      </c>
      <c r="L424" t="str">
        <f>_xlfn.XLOOKUP(frasest[[#This Row],[author_es]],autorest[author_es],autorest[language_la])</f>
        <v>Lingua Latina</v>
      </c>
      <c r="M424" t="str">
        <f>_xlfn.XLOOKUP(frasest[[#This Row],[author_es]],autorest[author_es],autorest[nation_es])</f>
        <v>España</v>
      </c>
      <c r="N424" t="str">
        <f>_xlfn.XLOOKUP(frasest[[#This Row],[author_es]],autorest[author_es],autorest[nation_la])</f>
        <v>Hispania</v>
      </c>
      <c r="O424" t="str">
        <f>_xlfn.XLOOKUP(frasest[[#This Row],[author_es]],autorest[author_es],autorest[age_es])</f>
        <v>Edad Moderna</v>
      </c>
      <c r="P424" t="str">
        <f>_xlfn.XLOOKUP(frasest[[#This Row],[author_es]],autorest[author_es],autorest[age_la])</f>
        <v>Nova Aetas</v>
      </c>
      <c r="Q424" t="str">
        <f>_xlfn.XLOOKUP(frasest[[#This Row],[author_es]],autorest[author_es],autorest[image])</f>
        <v>https://i.ibb.co/C5vjn9Hz/sanjosedecalasanz.png</v>
      </c>
      <c r="R424">
        <f>_xlfn.XLOOKUP(frasest[[#This Row],[author_es]],autorest[author_es],autorest[image_atr])</f>
        <v>0</v>
      </c>
    </row>
    <row r="425" spans="1:18">
      <c r="A425">
        <v>424</v>
      </c>
      <c r="B425" t="s">
        <v>1460</v>
      </c>
      <c r="C425" t="s">
        <v>1461</v>
      </c>
      <c r="D425" t="s">
        <v>1461</v>
      </c>
      <c r="E425" t="s">
        <v>1454</v>
      </c>
      <c r="F425" t="s">
        <v>1457</v>
      </c>
      <c r="G425" t="str">
        <f>_xlfn.XLOOKUP(frasest[[#This Row],[author_es]],autorest[author_es],autorest[author_la])</f>
        <v>Sanctus Iosephus Calasanctius</v>
      </c>
      <c r="H425"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5"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5" t="str">
        <f>_xlfn.XLOOKUP(frasest[[#This Row],[author_es]],autorest[author_es],autorest[iso3691])</f>
        <v>la</v>
      </c>
      <c r="K425" t="str">
        <f>_xlfn.XLOOKUP(frasest[[#This Row],[author_es]],autorest[author_es],autorest[language_es])</f>
        <v>Latín</v>
      </c>
      <c r="L425" t="str">
        <f>_xlfn.XLOOKUP(frasest[[#This Row],[author_es]],autorest[author_es],autorest[language_la])</f>
        <v>Lingua Latina</v>
      </c>
      <c r="M425" t="str">
        <f>_xlfn.XLOOKUP(frasest[[#This Row],[author_es]],autorest[author_es],autorest[nation_es])</f>
        <v>España</v>
      </c>
      <c r="N425" t="str">
        <f>_xlfn.XLOOKUP(frasest[[#This Row],[author_es]],autorest[author_es],autorest[nation_la])</f>
        <v>Hispania</v>
      </c>
      <c r="O425" t="str">
        <f>_xlfn.XLOOKUP(frasest[[#This Row],[author_es]],autorest[author_es],autorest[age_es])</f>
        <v>Edad Moderna</v>
      </c>
      <c r="P425" t="str">
        <f>_xlfn.XLOOKUP(frasest[[#This Row],[author_es]],autorest[author_es],autorest[age_la])</f>
        <v>Nova Aetas</v>
      </c>
      <c r="Q425" t="str">
        <f>_xlfn.XLOOKUP(frasest[[#This Row],[author_es]],autorest[author_es],autorest[image])</f>
        <v>https://i.ibb.co/C5vjn9Hz/sanjosedecalasanz.png</v>
      </c>
      <c r="R425">
        <f>_xlfn.XLOOKUP(frasest[[#This Row],[author_es]],autorest[author_es],autorest[image_atr])</f>
        <v>0</v>
      </c>
    </row>
    <row r="426" spans="1:18">
      <c r="A426">
        <v>425</v>
      </c>
      <c r="B426" t="s">
        <v>1462</v>
      </c>
      <c r="C426" t="s">
        <v>1463</v>
      </c>
      <c r="D426" t="s">
        <v>1463</v>
      </c>
      <c r="E426" t="s">
        <v>1454</v>
      </c>
      <c r="F426" t="s">
        <v>1457</v>
      </c>
      <c r="G426" t="str">
        <f>_xlfn.XLOOKUP(frasest[[#This Row],[author_es]],autorest[author_es],autorest[author_la])</f>
        <v>Sanctus Iosephus Calasanctius</v>
      </c>
      <c r="H426"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6"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6" t="str">
        <f>_xlfn.XLOOKUP(frasest[[#This Row],[author_es]],autorest[author_es],autorest[iso3691])</f>
        <v>la</v>
      </c>
      <c r="K426" t="str">
        <f>_xlfn.XLOOKUP(frasest[[#This Row],[author_es]],autorest[author_es],autorest[language_es])</f>
        <v>Latín</v>
      </c>
      <c r="L426" t="str">
        <f>_xlfn.XLOOKUP(frasest[[#This Row],[author_es]],autorest[author_es],autorest[language_la])</f>
        <v>Lingua Latina</v>
      </c>
      <c r="M426" t="str">
        <f>_xlfn.XLOOKUP(frasest[[#This Row],[author_es]],autorest[author_es],autorest[nation_es])</f>
        <v>España</v>
      </c>
      <c r="N426" t="str">
        <f>_xlfn.XLOOKUP(frasest[[#This Row],[author_es]],autorest[author_es],autorest[nation_la])</f>
        <v>Hispania</v>
      </c>
      <c r="O426" t="str">
        <f>_xlfn.XLOOKUP(frasest[[#This Row],[author_es]],autorest[author_es],autorest[age_es])</f>
        <v>Edad Moderna</v>
      </c>
      <c r="P426" t="str">
        <f>_xlfn.XLOOKUP(frasest[[#This Row],[author_es]],autorest[author_es],autorest[age_la])</f>
        <v>Nova Aetas</v>
      </c>
      <c r="Q426" t="str">
        <f>_xlfn.XLOOKUP(frasest[[#This Row],[author_es]],autorest[author_es],autorest[image])</f>
        <v>https://i.ibb.co/C5vjn9Hz/sanjosedecalasanz.png</v>
      </c>
      <c r="R426">
        <f>_xlfn.XLOOKUP(frasest[[#This Row],[author_es]],autorest[author_es],autorest[image_atr])</f>
        <v>0</v>
      </c>
    </row>
    <row r="427" spans="1:18">
      <c r="A427">
        <v>426</v>
      </c>
      <c r="B427" t="s">
        <v>1464</v>
      </c>
      <c r="C427" t="s">
        <v>1465</v>
      </c>
      <c r="D427" t="s">
        <v>1465</v>
      </c>
      <c r="E427" t="s">
        <v>1454</v>
      </c>
      <c r="F427" t="s">
        <v>1457</v>
      </c>
      <c r="G427" t="str">
        <f>_xlfn.XLOOKUP(frasest[[#This Row],[author_es]],autorest[author_es],autorest[author_la])</f>
        <v>Sanctus Iosephus Calasanctius</v>
      </c>
      <c r="H427" t="str">
        <f>_xlfn.XLOOKUP(frasest[[#This Row],[author_es]],autorest[author_es],autorest[bio_es])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I427" t="str">
        <f>_xlfn.XLOOKUP(frasest[[#This Row],[author_es]],autorest[author_es],autorest[bio_la])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J427" t="str">
        <f>_xlfn.XLOOKUP(frasest[[#This Row],[author_es]],autorest[author_es],autorest[iso3691])</f>
        <v>la</v>
      </c>
      <c r="K427" t="str">
        <f>_xlfn.XLOOKUP(frasest[[#This Row],[author_es]],autorest[author_es],autorest[language_es])</f>
        <v>Latín</v>
      </c>
      <c r="L427" t="str">
        <f>_xlfn.XLOOKUP(frasest[[#This Row],[author_es]],autorest[author_es],autorest[language_la])</f>
        <v>Lingua Latina</v>
      </c>
      <c r="M427" t="str">
        <f>_xlfn.XLOOKUP(frasest[[#This Row],[author_es]],autorest[author_es],autorest[nation_es])</f>
        <v>España</v>
      </c>
      <c r="N427" t="str">
        <f>_xlfn.XLOOKUP(frasest[[#This Row],[author_es]],autorest[author_es],autorest[nation_la])</f>
        <v>Hispania</v>
      </c>
      <c r="O427" t="str">
        <f>_xlfn.XLOOKUP(frasest[[#This Row],[author_es]],autorest[author_es],autorest[age_es])</f>
        <v>Edad Moderna</v>
      </c>
      <c r="P427" t="str">
        <f>_xlfn.XLOOKUP(frasest[[#This Row],[author_es]],autorest[author_es],autorest[age_la])</f>
        <v>Nova Aetas</v>
      </c>
      <c r="Q427" t="str">
        <f>_xlfn.XLOOKUP(frasest[[#This Row],[author_es]],autorest[author_es],autorest[image])</f>
        <v>https://i.ibb.co/C5vjn9Hz/sanjosedecalasanz.png</v>
      </c>
      <c r="R427">
        <f>_xlfn.XLOOKUP(frasest[[#This Row],[author_es]],autorest[author_es],autorest[image_atr])</f>
        <v>0</v>
      </c>
    </row>
    <row r="428" spans="1:18">
      <c r="A428">
        <v>427</v>
      </c>
      <c r="B428" t="s">
        <v>1466</v>
      </c>
      <c r="C428" t="s">
        <v>1467</v>
      </c>
      <c r="D428" t="s">
        <v>1467</v>
      </c>
      <c r="E428" t="s">
        <v>1468</v>
      </c>
      <c r="F428" t="s">
        <v>1469</v>
      </c>
      <c r="G428" t="str">
        <f>_xlfn.XLOOKUP(frasest[[#This Row],[author_es]],autorest[author_es],autorest[author_la])</f>
        <v>Desiderius Erasmus Roterodamus</v>
      </c>
      <c r="H428"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8"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8" t="str">
        <f>_xlfn.XLOOKUP(frasest[[#This Row],[author_es]],autorest[author_es],autorest[iso3691])</f>
        <v>la</v>
      </c>
      <c r="K428" t="str">
        <f>_xlfn.XLOOKUP(frasest[[#This Row],[author_es]],autorest[author_es],autorest[language_es])</f>
        <v>Latín</v>
      </c>
      <c r="L428" t="str">
        <f>_xlfn.XLOOKUP(frasest[[#This Row],[author_es]],autorest[author_es],autorest[language_la])</f>
        <v>Lingua Latina</v>
      </c>
      <c r="M428" t="str">
        <f>_xlfn.XLOOKUP(frasest[[#This Row],[author_es]],autorest[author_es],autorest[nation_es])</f>
        <v>Países Bajos</v>
      </c>
      <c r="N428" t="str">
        <f>_xlfn.XLOOKUP(frasest[[#This Row],[author_es]],autorest[author_es],autorest[nation_la])</f>
        <v>Nederlandia</v>
      </c>
      <c r="O428" t="str">
        <f>_xlfn.XLOOKUP(frasest[[#This Row],[author_es]],autorest[author_es],autorest[age_es])</f>
        <v>Edad Media</v>
      </c>
      <c r="P428" t="str">
        <f>_xlfn.XLOOKUP(frasest[[#This Row],[author_es]],autorest[author_es],autorest[age_la])</f>
        <v>Medium Aevum</v>
      </c>
      <c r="Q428" t="str">
        <f>_xlfn.XLOOKUP(frasest[[#This Row],[author_es]],autorest[author_es],autorest[image])</f>
        <v>https://i.ibb.co/7d7hCTQ3/erasmo.png</v>
      </c>
      <c r="R428">
        <f>_xlfn.XLOOKUP(frasest[[#This Row],[author_es]],autorest[author_es],autorest[image_atr])</f>
        <v>0</v>
      </c>
    </row>
    <row r="429" spans="1:18">
      <c r="A429">
        <v>428</v>
      </c>
      <c r="B429" t="s">
        <v>1470</v>
      </c>
      <c r="C429" t="s">
        <v>1471</v>
      </c>
      <c r="D429" t="s">
        <v>1471</v>
      </c>
      <c r="E429" t="s">
        <v>1468</v>
      </c>
      <c r="F429" t="s">
        <v>1472</v>
      </c>
      <c r="G429" t="str">
        <f>_xlfn.XLOOKUP(frasest[[#This Row],[author_es]],autorest[author_es],autorest[author_la])</f>
        <v>Desiderius Erasmus Roterodamus</v>
      </c>
      <c r="H429"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29"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29" t="str">
        <f>_xlfn.XLOOKUP(frasest[[#This Row],[author_es]],autorest[author_es],autorest[iso3691])</f>
        <v>la</v>
      </c>
      <c r="K429" t="str">
        <f>_xlfn.XLOOKUP(frasest[[#This Row],[author_es]],autorest[author_es],autorest[language_es])</f>
        <v>Latín</v>
      </c>
      <c r="L429" t="str">
        <f>_xlfn.XLOOKUP(frasest[[#This Row],[author_es]],autorest[author_es],autorest[language_la])</f>
        <v>Lingua Latina</v>
      </c>
      <c r="M429" t="str">
        <f>_xlfn.XLOOKUP(frasest[[#This Row],[author_es]],autorest[author_es],autorest[nation_es])</f>
        <v>Países Bajos</v>
      </c>
      <c r="N429" t="str">
        <f>_xlfn.XLOOKUP(frasest[[#This Row],[author_es]],autorest[author_es],autorest[nation_la])</f>
        <v>Nederlandia</v>
      </c>
      <c r="O429" t="str">
        <f>_xlfn.XLOOKUP(frasest[[#This Row],[author_es]],autorest[author_es],autorest[age_es])</f>
        <v>Edad Media</v>
      </c>
      <c r="P429" t="str">
        <f>_xlfn.XLOOKUP(frasest[[#This Row],[author_es]],autorest[author_es],autorest[age_la])</f>
        <v>Medium Aevum</v>
      </c>
      <c r="Q429" t="str">
        <f>_xlfn.XLOOKUP(frasest[[#This Row],[author_es]],autorest[author_es],autorest[image])</f>
        <v>https://i.ibb.co/7d7hCTQ3/erasmo.png</v>
      </c>
      <c r="R429">
        <f>_xlfn.XLOOKUP(frasest[[#This Row],[author_es]],autorest[author_es],autorest[image_atr])</f>
        <v>0</v>
      </c>
    </row>
    <row r="430" spans="1:18">
      <c r="A430">
        <v>429</v>
      </c>
      <c r="B430" t="s">
        <v>1473</v>
      </c>
      <c r="C430" t="s">
        <v>1474</v>
      </c>
      <c r="D430" t="s">
        <v>1474</v>
      </c>
      <c r="E430" t="s">
        <v>1468</v>
      </c>
      <c r="F430" t="s">
        <v>1475</v>
      </c>
      <c r="G430" t="str">
        <f>_xlfn.XLOOKUP(frasest[[#This Row],[author_es]],autorest[author_es],autorest[author_la])</f>
        <v>Desiderius Erasmus Roterodamus</v>
      </c>
      <c r="H430"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0"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0" t="str">
        <f>_xlfn.XLOOKUP(frasest[[#This Row],[author_es]],autorest[author_es],autorest[iso3691])</f>
        <v>la</v>
      </c>
      <c r="K430" t="str">
        <f>_xlfn.XLOOKUP(frasest[[#This Row],[author_es]],autorest[author_es],autorest[language_es])</f>
        <v>Latín</v>
      </c>
      <c r="L430" t="str">
        <f>_xlfn.XLOOKUP(frasest[[#This Row],[author_es]],autorest[author_es],autorest[language_la])</f>
        <v>Lingua Latina</v>
      </c>
      <c r="M430" t="str">
        <f>_xlfn.XLOOKUP(frasest[[#This Row],[author_es]],autorest[author_es],autorest[nation_es])</f>
        <v>Países Bajos</v>
      </c>
      <c r="N430" t="str">
        <f>_xlfn.XLOOKUP(frasest[[#This Row],[author_es]],autorest[author_es],autorest[nation_la])</f>
        <v>Nederlandia</v>
      </c>
      <c r="O430" t="str">
        <f>_xlfn.XLOOKUP(frasest[[#This Row],[author_es]],autorest[author_es],autorest[age_es])</f>
        <v>Edad Media</v>
      </c>
      <c r="P430" t="str">
        <f>_xlfn.XLOOKUP(frasest[[#This Row],[author_es]],autorest[author_es],autorest[age_la])</f>
        <v>Medium Aevum</v>
      </c>
      <c r="Q430" t="str">
        <f>_xlfn.XLOOKUP(frasest[[#This Row],[author_es]],autorest[author_es],autorest[image])</f>
        <v>https://i.ibb.co/7d7hCTQ3/erasmo.png</v>
      </c>
      <c r="R430">
        <f>_xlfn.XLOOKUP(frasest[[#This Row],[author_es]],autorest[author_es],autorest[image_atr])</f>
        <v>0</v>
      </c>
    </row>
    <row r="431" spans="1:18">
      <c r="A431">
        <v>430</v>
      </c>
      <c r="B431" t="s">
        <v>1476</v>
      </c>
      <c r="C431" t="s">
        <v>1477</v>
      </c>
      <c r="D431" t="s">
        <v>1477</v>
      </c>
      <c r="E431" t="s">
        <v>1468</v>
      </c>
      <c r="F431" t="s">
        <v>1478</v>
      </c>
      <c r="G431" t="str">
        <f>_xlfn.XLOOKUP(frasest[[#This Row],[author_es]],autorest[author_es],autorest[author_la])</f>
        <v>Desiderius Erasmus Roterodamus</v>
      </c>
      <c r="H431"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1"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1" t="str">
        <f>_xlfn.XLOOKUP(frasest[[#This Row],[author_es]],autorest[author_es],autorest[iso3691])</f>
        <v>la</v>
      </c>
      <c r="K431" t="str">
        <f>_xlfn.XLOOKUP(frasest[[#This Row],[author_es]],autorest[author_es],autorest[language_es])</f>
        <v>Latín</v>
      </c>
      <c r="L431" t="str">
        <f>_xlfn.XLOOKUP(frasest[[#This Row],[author_es]],autorest[author_es],autorest[language_la])</f>
        <v>Lingua Latina</v>
      </c>
      <c r="M431" t="str">
        <f>_xlfn.XLOOKUP(frasest[[#This Row],[author_es]],autorest[author_es],autorest[nation_es])</f>
        <v>Países Bajos</v>
      </c>
      <c r="N431" t="str">
        <f>_xlfn.XLOOKUP(frasest[[#This Row],[author_es]],autorest[author_es],autorest[nation_la])</f>
        <v>Nederlandia</v>
      </c>
      <c r="O431" t="str">
        <f>_xlfn.XLOOKUP(frasest[[#This Row],[author_es]],autorest[author_es],autorest[age_es])</f>
        <v>Edad Media</v>
      </c>
      <c r="P431" t="str">
        <f>_xlfn.XLOOKUP(frasest[[#This Row],[author_es]],autorest[author_es],autorest[age_la])</f>
        <v>Medium Aevum</v>
      </c>
      <c r="Q431" t="str">
        <f>_xlfn.XLOOKUP(frasest[[#This Row],[author_es]],autorest[author_es],autorest[image])</f>
        <v>https://i.ibb.co/7d7hCTQ3/erasmo.png</v>
      </c>
      <c r="R431">
        <f>_xlfn.XLOOKUP(frasest[[#This Row],[author_es]],autorest[author_es],autorest[image_atr])</f>
        <v>0</v>
      </c>
    </row>
    <row r="432" spans="1:18">
      <c r="A432">
        <v>431</v>
      </c>
      <c r="B432" t="s">
        <v>1479</v>
      </c>
      <c r="C432" t="s">
        <v>1480</v>
      </c>
      <c r="D432" t="s">
        <v>1480</v>
      </c>
      <c r="E432" t="s">
        <v>1468</v>
      </c>
      <c r="F432" t="s">
        <v>1481</v>
      </c>
      <c r="G432" t="str">
        <f>_xlfn.XLOOKUP(frasest[[#This Row],[author_es]],autorest[author_es],autorest[author_la])</f>
        <v>Desiderius Erasmus Roterodamus</v>
      </c>
      <c r="H432"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2"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2" t="str">
        <f>_xlfn.XLOOKUP(frasest[[#This Row],[author_es]],autorest[author_es],autorest[iso3691])</f>
        <v>la</v>
      </c>
      <c r="K432" t="str">
        <f>_xlfn.XLOOKUP(frasest[[#This Row],[author_es]],autorest[author_es],autorest[language_es])</f>
        <v>Latín</v>
      </c>
      <c r="L432" t="str">
        <f>_xlfn.XLOOKUP(frasest[[#This Row],[author_es]],autorest[author_es],autorest[language_la])</f>
        <v>Lingua Latina</v>
      </c>
      <c r="M432" t="str">
        <f>_xlfn.XLOOKUP(frasest[[#This Row],[author_es]],autorest[author_es],autorest[nation_es])</f>
        <v>Países Bajos</v>
      </c>
      <c r="N432" t="str">
        <f>_xlfn.XLOOKUP(frasest[[#This Row],[author_es]],autorest[author_es],autorest[nation_la])</f>
        <v>Nederlandia</v>
      </c>
      <c r="O432" t="str">
        <f>_xlfn.XLOOKUP(frasest[[#This Row],[author_es]],autorest[author_es],autorest[age_es])</f>
        <v>Edad Media</v>
      </c>
      <c r="P432" t="str">
        <f>_xlfn.XLOOKUP(frasest[[#This Row],[author_es]],autorest[author_es],autorest[age_la])</f>
        <v>Medium Aevum</v>
      </c>
      <c r="Q432" t="str">
        <f>_xlfn.XLOOKUP(frasest[[#This Row],[author_es]],autorest[author_es],autorest[image])</f>
        <v>https://i.ibb.co/7d7hCTQ3/erasmo.png</v>
      </c>
      <c r="R432">
        <f>_xlfn.XLOOKUP(frasest[[#This Row],[author_es]],autorest[author_es],autorest[image_atr])</f>
        <v>0</v>
      </c>
    </row>
    <row r="433" spans="1:18">
      <c r="A433">
        <v>432</v>
      </c>
      <c r="B433" t="s">
        <v>1482</v>
      </c>
      <c r="C433" t="s">
        <v>1483</v>
      </c>
      <c r="D433" t="s">
        <v>1483</v>
      </c>
      <c r="E433" t="s">
        <v>1468</v>
      </c>
      <c r="F433" t="s">
        <v>1481</v>
      </c>
      <c r="G433" t="str">
        <f>_xlfn.XLOOKUP(frasest[[#This Row],[author_es]],autorest[author_es],autorest[author_la])</f>
        <v>Desiderius Erasmus Roterodamus</v>
      </c>
      <c r="H433" t="str">
        <f>_xlfn.XLOOKUP(frasest[[#This Row],[author_es]],autorest[author_es],autorest[bio_es])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I433" t="str">
        <f>_xlfn.XLOOKUP(frasest[[#This Row],[author_es]],autorest[author_es],autorest[bio_la])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J433" t="str">
        <f>_xlfn.XLOOKUP(frasest[[#This Row],[author_es]],autorest[author_es],autorest[iso3691])</f>
        <v>la</v>
      </c>
      <c r="K433" t="str">
        <f>_xlfn.XLOOKUP(frasest[[#This Row],[author_es]],autorest[author_es],autorest[language_es])</f>
        <v>Latín</v>
      </c>
      <c r="L433" t="str">
        <f>_xlfn.XLOOKUP(frasest[[#This Row],[author_es]],autorest[author_es],autorest[language_la])</f>
        <v>Lingua Latina</v>
      </c>
      <c r="M433" t="str">
        <f>_xlfn.XLOOKUP(frasest[[#This Row],[author_es]],autorest[author_es],autorest[nation_es])</f>
        <v>Países Bajos</v>
      </c>
      <c r="N433" t="str">
        <f>_xlfn.XLOOKUP(frasest[[#This Row],[author_es]],autorest[author_es],autorest[nation_la])</f>
        <v>Nederlandia</v>
      </c>
      <c r="O433" t="str">
        <f>_xlfn.XLOOKUP(frasest[[#This Row],[author_es]],autorest[author_es],autorest[age_es])</f>
        <v>Edad Media</v>
      </c>
      <c r="P433" t="str">
        <f>_xlfn.XLOOKUP(frasest[[#This Row],[author_es]],autorest[author_es],autorest[age_la])</f>
        <v>Medium Aevum</v>
      </c>
      <c r="Q433" t="str">
        <f>_xlfn.XLOOKUP(frasest[[#This Row],[author_es]],autorest[author_es],autorest[image])</f>
        <v>https://i.ibb.co/7d7hCTQ3/erasmo.png</v>
      </c>
      <c r="R433">
        <f>_xlfn.XLOOKUP(frasest[[#This Row],[author_es]],autorest[author_es],autorest[image_atr])</f>
        <v>0</v>
      </c>
    </row>
    <row r="434" spans="1:18">
      <c r="A434">
        <v>433</v>
      </c>
      <c r="B434" t="s">
        <v>1484</v>
      </c>
      <c r="C434" t="s">
        <v>1485</v>
      </c>
      <c r="D434" t="s">
        <v>1486</v>
      </c>
      <c r="E434" t="s">
        <v>1487</v>
      </c>
      <c r="F434" t="s">
        <v>1488</v>
      </c>
      <c r="G434" t="str">
        <f>_xlfn.XLOOKUP(frasest[[#This Row],[author_es]],autorest[author_es],autorest[author_la])</f>
        <v>Arthurus Schopenhauer</v>
      </c>
      <c r="H434"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4"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4" t="str">
        <f>_xlfn.XLOOKUP(frasest[[#This Row],[author_es]],autorest[author_es],autorest[iso3691])</f>
        <v>de</v>
      </c>
      <c r="K434" t="str">
        <f>_xlfn.XLOOKUP(frasest[[#This Row],[author_es]],autorest[author_es],autorest[language_es])</f>
        <v>Alemán</v>
      </c>
      <c r="L434" t="str">
        <f>_xlfn.XLOOKUP(frasest[[#This Row],[author_es]],autorest[author_es],autorest[language_la])</f>
        <v>Lingua Germanica</v>
      </c>
      <c r="M434" t="str">
        <f>_xlfn.XLOOKUP(frasest[[#This Row],[author_es]],autorest[author_es],autorest[nation_es])</f>
        <v>Alemania</v>
      </c>
      <c r="N434" t="str">
        <f>_xlfn.XLOOKUP(frasest[[#This Row],[author_es]],autorest[author_es],autorest[nation_la])</f>
        <v>Germania</v>
      </c>
      <c r="O434" t="str">
        <f>_xlfn.XLOOKUP(frasest[[#This Row],[author_es]],autorest[author_es],autorest[age_es])</f>
        <v>Edad Moderna</v>
      </c>
      <c r="P434" t="str">
        <f>_xlfn.XLOOKUP(frasest[[#This Row],[author_es]],autorest[author_es],autorest[age_la])</f>
        <v>Nova Aetas</v>
      </c>
      <c r="Q434" t="str">
        <f>_xlfn.XLOOKUP(frasest[[#This Row],[author_es]],autorest[author_es],autorest[image])</f>
        <v>https://i.ibb.co/1B16KyZ/shopenhauer.png</v>
      </c>
      <c r="R434">
        <f>_xlfn.XLOOKUP(frasest[[#This Row],[author_es]],autorest[author_es],autorest[image_atr])</f>
        <v>0</v>
      </c>
    </row>
    <row r="435" spans="1:18">
      <c r="A435">
        <v>434</v>
      </c>
      <c r="B435" t="s">
        <v>1489</v>
      </c>
      <c r="C435" t="s">
        <v>1490</v>
      </c>
      <c r="D435" t="s">
        <v>1491</v>
      </c>
      <c r="E435" t="s">
        <v>1487</v>
      </c>
      <c r="F435" t="s">
        <v>1492</v>
      </c>
      <c r="G435" t="str">
        <f>_xlfn.XLOOKUP(frasest[[#This Row],[author_es]],autorest[author_es],autorest[author_la])</f>
        <v>Arthurus Schopenhauer</v>
      </c>
      <c r="H435"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5"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5" t="str">
        <f>_xlfn.XLOOKUP(frasest[[#This Row],[author_es]],autorest[author_es],autorest[iso3691])</f>
        <v>de</v>
      </c>
      <c r="K435" t="str">
        <f>_xlfn.XLOOKUP(frasest[[#This Row],[author_es]],autorest[author_es],autorest[language_es])</f>
        <v>Alemán</v>
      </c>
      <c r="L435" t="str">
        <f>_xlfn.XLOOKUP(frasest[[#This Row],[author_es]],autorest[author_es],autorest[language_la])</f>
        <v>Lingua Germanica</v>
      </c>
      <c r="M435" t="str">
        <f>_xlfn.XLOOKUP(frasest[[#This Row],[author_es]],autorest[author_es],autorest[nation_es])</f>
        <v>Alemania</v>
      </c>
      <c r="N435" t="str">
        <f>_xlfn.XLOOKUP(frasest[[#This Row],[author_es]],autorest[author_es],autorest[nation_la])</f>
        <v>Germania</v>
      </c>
      <c r="O435" t="str">
        <f>_xlfn.XLOOKUP(frasest[[#This Row],[author_es]],autorest[author_es],autorest[age_es])</f>
        <v>Edad Moderna</v>
      </c>
      <c r="P435" t="str">
        <f>_xlfn.XLOOKUP(frasest[[#This Row],[author_es]],autorest[author_es],autorest[age_la])</f>
        <v>Nova Aetas</v>
      </c>
      <c r="Q435" t="str">
        <f>_xlfn.XLOOKUP(frasest[[#This Row],[author_es]],autorest[author_es],autorest[image])</f>
        <v>https://i.ibb.co/1B16KyZ/shopenhauer.png</v>
      </c>
      <c r="R435">
        <f>_xlfn.XLOOKUP(frasest[[#This Row],[author_es]],autorest[author_es],autorest[image_atr])</f>
        <v>0</v>
      </c>
    </row>
    <row r="436" spans="1:18">
      <c r="A436">
        <v>435</v>
      </c>
      <c r="B436" t="s">
        <v>1493</v>
      </c>
      <c r="C436" t="s">
        <v>1494</v>
      </c>
      <c r="D436" t="s">
        <v>1495</v>
      </c>
      <c r="E436" t="s">
        <v>1487</v>
      </c>
      <c r="F436" t="s">
        <v>1496</v>
      </c>
      <c r="G436" t="str">
        <f>_xlfn.XLOOKUP(frasest[[#This Row],[author_es]],autorest[author_es],autorest[author_la])</f>
        <v>Arthurus Schopenhauer</v>
      </c>
      <c r="H436"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6"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6" t="str">
        <f>_xlfn.XLOOKUP(frasest[[#This Row],[author_es]],autorest[author_es],autorest[iso3691])</f>
        <v>de</v>
      </c>
      <c r="K436" t="str">
        <f>_xlfn.XLOOKUP(frasest[[#This Row],[author_es]],autorest[author_es],autorest[language_es])</f>
        <v>Alemán</v>
      </c>
      <c r="L436" t="str">
        <f>_xlfn.XLOOKUP(frasest[[#This Row],[author_es]],autorest[author_es],autorest[language_la])</f>
        <v>Lingua Germanica</v>
      </c>
      <c r="M436" t="str">
        <f>_xlfn.XLOOKUP(frasest[[#This Row],[author_es]],autorest[author_es],autorest[nation_es])</f>
        <v>Alemania</v>
      </c>
      <c r="N436" t="str">
        <f>_xlfn.XLOOKUP(frasest[[#This Row],[author_es]],autorest[author_es],autorest[nation_la])</f>
        <v>Germania</v>
      </c>
      <c r="O436" t="str">
        <f>_xlfn.XLOOKUP(frasest[[#This Row],[author_es]],autorest[author_es],autorest[age_es])</f>
        <v>Edad Moderna</v>
      </c>
      <c r="P436" t="str">
        <f>_xlfn.XLOOKUP(frasest[[#This Row],[author_es]],autorest[author_es],autorest[age_la])</f>
        <v>Nova Aetas</v>
      </c>
      <c r="Q436" t="str">
        <f>_xlfn.XLOOKUP(frasest[[#This Row],[author_es]],autorest[author_es],autorest[image])</f>
        <v>https://i.ibb.co/1B16KyZ/shopenhauer.png</v>
      </c>
      <c r="R436">
        <f>_xlfn.XLOOKUP(frasest[[#This Row],[author_es]],autorest[author_es],autorest[image_atr])</f>
        <v>0</v>
      </c>
    </row>
    <row r="437" spans="1:18">
      <c r="A437">
        <v>436</v>
      </c>
      <c r="B437" t="s">
        <v>1497</v>
      </c>
      <c r="C437" t="s">
        <v>1498</v>
      </c>
      <c r="D437" t="s">
        <v>1499</v>
      </c>
      <c r="E437" t="s">
        <v>1487</v>
      </c>
      <c r="F437" t="s">
        <v>1500</v>
      </c>
      <c r="G437" t="str">
        <f>_xlfn.XLOOKUP(frasest[[#This Row],[author_es]],autorest[author_es],autorest[author_la])</f>
        <v>Arthurus Schopenhauer</v>
      </c>
      <c r="H437"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7"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7" t="str">
        <f>_xlfn.XLOOKUP(frasest[[#This Row],[author_es]],autorest[author_es],autorest[iso3691])</f>
        <v>de</v>
      </c>
      <c r="K437" t="str">
        <f>_xlfn.XLOOKUP(frasest[[#This Row],[author_es]],autorest[author_es],autorest[language_es])</f>
        <v>Alemán</v>
      </c>
      <c r="L437" t="str">
        <f>_xlfn.XLOOKUP(frasest[[#This Row],[author_es]],autorest[author_es],autorest[language_la])</f>
        <v>Lingua Germanica</v>
      </c>
      <c r="M437" t="str">
        <f>_xlfn.XLOOKUP(frasest[[#This Row],[author_es]],autorest[author_es],autorest[nation_es])</f>
        <v>Alemania</v>
      </c>
      <c r="N437" t="str">
        <f>_xlfn.XLOOKUP(frasest[[#This Row],[author_es]],autorest[author_es],autorest[nation_la])</f>
        <v>Germania</v>
      </c>
      <c r="O437" t="str">
        <f>_xlfn.XLOOKUP(frasest[[#This Row],[author_es]],autorest[author_es],autorest[age_es])</f>
        <v>Edad Moderna</v>
      </c>
      <c r="P437" t="str">
        <f>_xlfn.XLOOKUP(frasest[[#This Row],[author_es]],autorest[author_es],autorest[age_la])</f>
        <v>Nova Aetas</v>
      </c>
      <c r="Q437" t="str">
        <f>_xlfn.XLOOKUP(frasest[[#This Row],[author_es]],autorest[author_es],autorest[image])</f>
        <v>https://i.ibb.co/1B16KyZ/shopenhauer.png</v>
      </c>
      <c r="R437">
        <f>_xlfn.XLOOKUP(frasest[[#This Row],[author_es]],autorest[author_es],autorest[image_atr])</f>
        <v>0</v>
      </c>
    </row>
    <row r="438" spans="1:18">
      <c r="A438">
        <v>437</v>
      </c>
      <c r="B438" t="s">
        <v>1501</v>
      </c>
      <c r="C438" t="s">
        <v>1502</v>
      </c>
      <c r="D438" t="s">
        <v>1503</v>
      </c>
      <c r="E438" t="s">
        <v>1487</v>
      </c>
      <c r="F438" t="s">
        <v>1504</v>
      </c>
      <c r="G438" t="str">
        <f>_xlfn.XLOOKUP(frasest[[#This Row],[author_es]],autorest[author_es],autorest[author_la])</f>
        <v>Arthurus Schopenhauer</v>
      </c>
      <c r="H438"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8"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8" t="str">
        <f>_xlfn.XLOOKUP(frasest[[#This Row],[author_es]],autorest[author_es],autorest[iso3691])</f>
        <v>de</v>
      </c>
      <c r="K438" t="str">
        <f>_xlfn.XLOOKUP(frasest[[#This Row],[author_es]],autorest[author_es],autorest[language_es])</f>
        <v>Alemán</v>
      </c>
      <c r="L438" t="str">
        <f>_xlfn.XLOOKUP(frasest[[#This Row],[author_es]],autorest[author_es],autorest[language_la])</f>
        <v>Lingua Germanica</v>
      </c>
      <c r="M438" t="str">
        <f>_xlfn.XLOOKUP(frasest[[#This Row],[author_es]],autorest[author_es],autorest[nation_es])</f>
        <v>Alemania</v>
      </c>
      <c r="N438" t="str">
        <f>_xlfn.XLOOKUP(frasest[[#This Row],[author_es]],autorest[author_es],autorest[nation_la])</f>
        <v>Germania</v>
      </c>
      <c r="O438" t="str">
        <f>_xlfn.XLOOKUP(frasest[[#This Row],[author_es]],autorest[author_es],autorest[age_es])</f>
        <v>Edad Moderna</v>
      </c>
      <c r="P438" t="str">
        <f>_xlfn.XLOOKUP(frasest[[#This Row],[author_es]],autorest[author_es],autorest[age_la])</f>
        <v>Nova Aetas</v>
      </c>
      <c r="Q438" t="str">
        <f>_xlfn.XLOOKUP(frasest[[#This Row],[author_es]],autorest[author_es],autorest[image])</f>
        <v>https://i.ibb.co/1B16KyZ/shopenhauer.png</v>
      </c>
      <c r="R438">
        <f>_xlfn.XLOOKUP(frasest[[#This Row],[author_es]],autorest[author_es],autorest[image_atr])</f>
        <v>0</v>
      </c>
    </row>
    <row r="439" spans="1:18">
      <c r="A439">
        <v>438</v>
      </c>
      <c r="B439" t="s">
        <v>1505</v>
      </c>
      <c r="C439" t="s">
        <v>1506</v>
      </c>
      <c r="D439" t="s">
        <v>1507</v>
      </c>
      <c r="E439" t="s">
        <v>1487</v>
      </c>
      <c r="F439" t="s">
        <v>1508</v>
      </c>
      <c r="G439" t="str">
        <f>_xlfn.XLOOKUP(frasest[[#This Row],[author_es]],autorest[author_es],autorest[author_la])</f>
        <v>Arthurus Schopenhauer</v>
      </c>
      <c r="H439" t="str">
        <f>_xlfn.XLOOKUP(frasest[[#This Row],[author_es]],autorest[author_es],autorest[bio_es])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I439" t="str">
        <f>_xlfn.XLOOKUP(frasest[[#This Row],[author_es]],autorest[author_es],autorest[bio_la])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J439" t="str">
        <f>_xlfn.XLOOKUP(frasest[[#This Row],[author_es]],autorest[author_es],autorest[iso3691])</f>
        <v>de</v>
      </c>
      <c r="K439" t="str">
        <f>_xlfn.XLOOKUP(frasest[[#This Row],[author_es]],autorest[author_es],autorest[language_es])</f>
        <v>Alemán</v>
      </c>
      <c r="L439" t="str">
        <f>_xlfn.XLOOKUP(frasest[[#This Row],[author_es]],autorest[author_es],autorest[language_la])</f>
        <v>Lingua Germanica</v>
      </c>
      <c r="M439" t="str">
        <f>_xlfn.XLOOKUP(frasest[[#This Row],[author_es]],autorest[author_es],autorest[nation_es])</f>
        <v>Alemania</v>
      </c>
      <c r="N439" t="str">
        <f>_xlfn.XLOOKUP(frasest[[#This Row],[author_es]],autorest[author_es],autorest[nation_la])</f>
        <v>Germania</v>
      </c>
      <c r="O439" t="str">
        <f>_xlfn.XLOOKUP(frasest[[#This Row],[author_es]],autorest[author_es],autorest[age_es])</f>
        <v>Edad Moderna</v>
      </c>
      <c r="P439" t="str">
        <f>_xlfn.XLOOKUP(frasest[[#This Row],[author_es]],autorest[author_es],autorest[age_la])</f>
        <v>Nova Aetas</v>
      </c>
      <c r="Q439" t="str">
        <f>_xlfn.XLOOKUP(frasest[[#This Row],[author_es]],autorest[author_es],autorest[image])</f>
        <v>https://i.ibb.co/1B16KyZ/shopenhauer.png</v>
      </c>
      <c r="R439">
        <f>_xlfn.XLOOKUP(frasest[[#This Row],[author_es]],autorest[author_es],autorest[image_atr])</f>
        <v>0</v>
      </c>
    </row>
    <row r="440" spans="1:18">
      <c r="A440">
        <v>439</v>
      </c>
      <c r="B440" t="s">
        <v>1509</v>
      </c>
      <c r="C440" t="s">
        <v>1510</v>
      </c>
      <c r="D440" t="s">
        <v>1511</v>
      </c>
      <c r="E440" t="s">
        <v>1512</v>
      </c>
      <c r="F440" t="s">
        <v>1513</v>
      </c>
      <c r="G440" t="str">
        <f>_xlfn.XLOOKUP(frasest[[#This Row],[author_es]],autorest[author_es],autorest[author_la])</f>
        <v>Hannah Arendt</v>
      </c>
      <c r="H440"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0"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0" t="str">
        <f>_xlfn.XLOOKUP(frasest[[#This Row],[author_es]],autorest[author_es],autorest[iso3691])</f>
        <v>de</v>
      </c>
      <c r="K440" t="str">
        <f>_xlfn.XLOOKUP(frasest[[#This Row],[author_es]],autorest[author_es],autorest[language_es])</f>
        <v>Alemán</v>
      </c>
      <c r="L440" t="str">
        <f>_xlfn.XLOOKUP(frasest[[#This Row],[author_es]],autorest[author_es],autorest[language_la])</f>
        <v>Lingua Germanica</v>
      </c>
      <c r="M440" t="str">
        <f>_xlfn.XLOOKUP(frasest[[#This Row],[author_es]],autorest[author_es],autorest[nation_es])</f>
        <v>Alemania</v>
      </c>
      <c r="N440" t="str">
        <f>_xlfn.XLOOKUP(frasest[[#This Row],[author_es]],autorest[author_es],autorest[nation_la])</f>
        <v>Germania</v>
      </c>
      <c r="O440" t="str">
        <f>_xlfn.XLOOKUP(frasest[[#This Row],[author_es]],autorest[author_es],autorest[age_es])</f>
        <v>Edad Contemporánea</v>
      </c>
      <c r="P440" t="str">
        <f>_xlfn.XLOOKUP(frasest[[#This Row],[author_es]],autorest[author_es],autorest[age_la])</f>
        <v>Aetas Contemporanea</v>
      </c>
      <c r="Q440" t="str">
        <f>_xlfn.XLOOKUP(frasest[[#This Row],[author_es]],autorest[author_es],autorest[image])</f>
        <v>https://i.ibb.co/spVH8Jj1/hannaharendt.png</v>
      </c>
      <c r="R440">
        <f>_xlfn.XLOOKUP(frasest[[#This Row],[author_es]],autorest[author_es],autorest[image_atr])</f>
        <v>0</v>
      </c>
    </row>
    <row r="441" spans="1:18">
      <c r="A441">
        <v>440</v>
      </c>
      <c r="B441" t="s">
        <v>1514</v>
      </c>
      <c r="C441" t="s">
        <v>1515</v>
      </c>
      <c r="D441" t="s">
        <v>1516</v>
      </c>
      <c r="E441" t="s">
        <v>1512</v>
      </c>
      <c r="F441" t="s">
        <v>1517</v>
      </c>
      <c r="G441" t="str">
        <f>_xlfn.XLOOKUP(frasest[[#This Row],[author_es]],autorest[author_es],autorest[author_la])</f>
        <v>Hannah Arendt</v>
      </c>
      <c r="H441"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1"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1" t="str">
        <f>_xlfn.XLOOKUP(frasest[[#This Row],[author_es]],autorest[author_es],autorest[iso3691])</f>
        <v>de</v>
      </c>
      <c r="K441" t="str">
        <f>_xlfn.XLOOKUP(frasest[[#This Row],[author_es]],autorest[author_es],autorest[language_es])</f>
        <v>Alemán</v>
      </c>
      <c r="L441" t="str">
        <f>_xlfn.XLOOKUP(frasest[[#This Row],[author_es]],autorest[author_es],autorest[language_la])</f>
        <v>Lingua Germanica</v>
      </c>
      <c r="M441" t="str">
        <f>_xlfn.XLOOKUP(frasest[[#This Row],[author_es]],autorest[author_es],autorest[nation_es])</f>
        <v>Alemania</v>
      </c>
      <c r="N441" t="str">
        <f>_xlfn.XLOOKUP(frasest[[#This Row],[author_es]],autorest[author_es],autorest[nation_la])</f>
        <v>Germania</v>
      </c>
      <c r="O441" t="str">
        <f>_xlfn.XLOOKUP(frasest[[#This Row],[author_es]],autorest[author_es],autorest[age_es])</f>
        <v>Edad Contemporánea</v>
      </c>
      <c r="P441" t="str">
        <f>_xlfn.XLOOKUP(frasest[[#This Row],[author_es]],autorest[author_es],autorest[age_la])</f>
        <v>Aetas Contemporanea</v>
      </c>
      <c r="Q441" t="str">
        <f>_xlfn.XLOOKUP(frasest[[#This Row],[author_es]],autorest[author_es],autorest[image])</f>
        <v>https://i.ibb.co/spVH8Jj1/hannaharendt.png</v>
      </c>
      <c r="R441">
        <f>_xlfn.XLOOKUP(frasest[[#This Row],[author_es]],autorest[author_es],autorest[image_atr])</f>
        <v>0</v>
      </c>
    </row>
    <row r="442" spans="1:18">
      <c r="A442">
        <v>441</v>
      </c>
      <c r="B442" t="s">
        <v>1518</v>
      </c>
      <c r="C442" t="s">
        <v>1519</v>
      </c>
      <c r="D442" t="s">
        <v>1520</v>
      </c>
      <c r="E442" t="s">
        <v>1512</v>
      </c>
      <c r="F442" t="s">
        <v>1521</v>
      </c>
      <c r="G442" t="str">
        <f>_xlfn.XLOOKUP(frasest[[#This Row],[author_es]],autorest[author_es],autorest[author_la])</f>
        <v>Hannah Arendt</v>
      </c>
      <c r="H442"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2"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2" t="str">
        <f>_xlfn.XLOOKUP(frasest[[#This Row],[author_es]],autorest[author_es],autorest[iso3691])</f>
        <v>de</v>
      </c>
      <c r="K442" t="str">
        <f>_xlfn.XLOOKUP(frasest[[#This Row],[author_es]],autorest[author_es],autorest[language_es])</f>
        <v>Alemán</v>
      </c>
      <c r="L442" t="str">
        <f>_xlfn.XLOOKUP(frasest[[#This Row],[author_es]],autorest[author_es],autorest[language_la])</f>
        <v>Lingua Germanica</v>
      </c>
      <c r="M442" t="str">
        <f>_xlfn.XLOOKUP(frasest[[#This Row],[author_es]],autorest[author_es],autorest[nation_es])</f>
        <v>Alemania</v>
      </c>
      <c r="N442" t="str">
        <f>_xlfn.XLOOKUP(frasest[[#This Row],[author_es]],autorest[author_es],autorest[nation_la])</f>
        <v>Germania</v>
      </c>
      <c r="O442" t="str">
        <f>_xlfn.XLOOKUP(frasest[[#This Row],[author_es]],autorest[author_es],autorest[age_es])</f>
        <v>Edad Contemporánea</v>
      </c>
      <c r="P442" t="str">
        <f>_xlfn.XLOOKUP(frasest[[#This Row],[author_es]],autorest[author_es],autorest[age_la])</f>
        <v>Aetas Contemporanea</v>
      </c>
      <c r="Q442" t="str">
        <f>_xlfn.XLOOKUP(frasest[[#This Row],[author_es]],autorest[author_es],autorest[image])</f>
        <v>https://i.ibb.co/spVH8Jj1/hannaharendt.png</v>
      </c>
      <c r="R442">
        <f>_xlfn.XLOOKUP(frasest[[#This Row],[author_es]],autorest[author_es],autorest[image_atr])</f>
        <v>0</v>
      </c>
    </row>
    <row r="443" spans="1:18">
      <c r="A443">
        <v>442</v>
      </c>
      <c r="B443" t="s">
        <v>1522</v>
      </c>
      <c r="C443" t="s">
        <v>1523</v>
      </c>
      <c r="D443" t="s">
        <v>1524</v>
      </c>
      <c r="E443" t="s">
        <v>1512</v>
      </c>
      <c r="F443" t="s">
        <v>1525</v>
      </c>
      <c r="G443" t="str">
        <f>_xlfn.XLOOKUP(frasest[[#This Row],[author_es]],autorest[author_es],autorest[author_la])</f>
        <v>Hannah Arendt</v>
      </c>
      <c r="H443"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3"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3" t="str">
        <f>_xlfn.XLOOKUP(frasest[[#This Row],[author_es]],autorest[author_es],autorest[iso3691])</f>
        <v>de</v>
      </c>
      <c r="K443" t="str">
        <f>_xlfn.XLOOKUP(frasest[[#This Row],[author_es]],autorest[author_es],autorest[language_es])</f>
        <v>Alemán</v>
      </c>
      <c r="L443" t="str">
        <f>_xlfn.XLOOKUP(frasest[[#This Row],[author_es]],autorest[author_es],autorest[language_la])</f>
        <v>Lingua Germanica</v>
      </c>
      <c r="M443" t="str">
        <f>_xlfn.XLOOKUP(frasest[[#This Row],[author_es]],autorest[author_es],autorest[nation_es])</f>
        <v>Alemania</v>
      </c>
      <c r="N443" t="str">
        <f>_xlfn.XLOOKUP(frasest[[#This Row],[author_es]],autorest[author_es],autorest[nation_la])</f>
        <v>Germania</v>
      </c>
      <c r="O443" t="str">
        <f>_xlfn.XLOOKUP(frasest[[#This Row],[author_es]],autorest[author_es],autorest[age_es])</f>
        <v>Edad Contemporánea</v>
      </c>
      <c r="P443" t="str">
        <f>_xlfn.XLOOKUP(frasest[[#This Row],[author_es]],autorest[author_es],autorest[age_la])</f>
        <v>Aetas Contemporanea</v>
      </c>
      <c r="Q443" t="str">
        <f>_xlfn.XLOOKUP(frasest[[#This Row],[author_es]],autorest[author_es],autorest[image])</f>
        <v>https://i.ibb.co/spVH8Jj1/hannaharendt.png</v>
      </c>
      <c r="R443">
        <f>_xlfn.XLOOKUP(frasest[[#This Row],[author_es]],autorest[author_es],autorest[image_atr])</f>
        <v>0</v>
      </c>
    </row>
    <row r="444" spans="1:18">
      <c r="A444">
        <v>443</v>
      </c>
      <c r="B444" t="s">
        <v>1526</v>
      </c>
      <c r="C444" t="s">
        <v>1527</v>
      </c>
      <c r="D444" t="s">
        <v>1528</v>
      </c>
      <c r="E444" t="s">
        <v>1512</v>
      </c>
      <c r="F444" t="s">
        <v>1529</v>
      </c>
      <c r="G444" t="str">
        <f>_xlfn.XLOOKUP(frasest[[#This Row],[author_es]],autorest[author_es],autorest[author_la])</f>
        <v>Hannah Arendt</v>
      </c>
      <c r="H444"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4"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4" t="str">
        <f>_xlfn.XLOOKUP(frasest[[#This Row],[author_es]],autorest[author_es],autorest[iso3691])</f>
        <v>de</v>
      </c>
      <c r="K444" t="str">
        <f>_xlfn.XLOOKUP(frasest[[#This Row],[author_es]],autorest[author_es],autorest[language_es])</f>
        <v>Alemán</v>
      </c>
      <c r="L444" t="str">
        <f>_xlfn.XLOOKUP(frasest[[#This Row],[author_es]],autorest[author_es],autorest[language_la])</f>
        <v>Lingua Germanica</v>
      </c>
      <c r="M444" t="str">
        <f>_xlfn.XLOOKUP(frasest[[#This Row],[author_es]],autorest[author_es],autorest[nation_es])</f>
        <v>Alemania</v>
      </c>
      <c r="N444" t="str">
        <f>_xlfn.XLOOKUP(frasest[[#This Row],[author_es]],autorest[author_es],autorest[nation_la])</f>
        <v>Germania</v>
      </c>
      <c r="O444" t="str">
        <f>_xlfn.XLOOKUP(frasest[[#This Row],[author_es]],autorest[author_es],autorest[age_es])</f>
        <v>Edad Contemporánea</v>
      </c>
      <c r="P444" t="str">
        <f>_xlfn.XLOOKUP(frasest[[#This Row],[author_es]],autorest[author_es],autorest[age_la])</f>
        <v>Aetas Contemporanea</v>
      </c>
      <c r="Q444" t="str">
        <f>_xlfn.XLOOKUP(frasest[[#This Row],[author_es]],autorest[author_es],autorest[image])</f>
        <v>https://i.ibb.co/spVH8Jj1/hannaharendt.png</v>
      </c>
      <c r="R444">
        <f>_xlfn.XLOOKUP(frasest[[#This Row],[author_es]],autorest[author_es],autorest[image_atr])</f>
        <v>0</v>
      </c>
    </row>
    <row r="445" spans="1:18">
      <c r="A445">
        <v>444</v>
      </c>
      <c r="B445" t="s">
        <v>1530</v>
      </c>
      <c r="C445" t="s">
        <v>1531</v>
      </c>
      <c r="D445" t="s">
        <v>1532</v>
      </c>
      <c r="E445" t="s">
        <v>1512</v>
      </c>
      <c r="F445" t="s">
        <v>1533</v>
      </c>
      <c r="G445" t="str">
        <f>_xlfn.XLOOKUP(frasest[[#This Row],[author_es]],autorest[author_es],autorest[author_la])</f>
        <v>Hannah Arendt</v>
      </c>
      <c r="H445" t="str">
        <f>_xlfn.XLOOKUP(frasest[[#This Row],[author_es]],autorest[author_es],autorest[bio_es])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I445" t="str">
        <f>_xlfn.XLOOKUP(frasest[[#This Row],[author_es]],autorest[author_es],autorest[bio_la])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J445" t="str">
        <f>_xlfn.XLOOKUP(frasest[[#This Row],[author_es]],autorest[author_es],autorest[iso3691])</f>
        <v>de</v>
      </c>
      <c r="K445" t="str">
        <f>_xlfn.XLOOKUP(frasest[[#This Row],[author_es]],autorest[author_es],autorest[language_es])</f>
        <v>Alemán</v>
      </c>
      <c r="L445" t="str">
        <f>_xlfn.XLOOKUP(frasest[[#This Row],[author_es]],autorest[author_es],autorest[language_la])</f>
        <v>Lingua Germanica</v>
      </c>
      <c r="M445" t="str">
        <f>_xlfn.XLOOKUP(frasest[[#This Row],[author_es]],autorest[author_es],autorest[nation_es])</f>
        <v>Alemania</v>
      </c>
      <c r="N445" t="str">
        <f>_xlfn.XLOOKUP(frasest[[#This Row],[author_es]],autorest[author_es],autorest[nation_la])</f>
        <v>Germania</v>
      </c>
      <c r="O445" t="str">
        <f>_xlfn.XLOOKUP(frasest[[#This Row],[author_es]],autorest[author_es],autorest[age_es])</f>
        <v>Edad Contemporánea</v>
      </c>
      <c r="P445" t="str">
        <f>_xlfn.XLOOKUP(frasest[[#This Row],[author_es]],autorest[author_es],autorest[age_la])</f>
        <v>Aetas Contemporanea</v>
      </c>
      <c r="Q445" t="str">
        <f>_xlfn.XLOOKUP(frasest[[#This Row],[author_es]],autorest[author_es],autorest[image])</f>
        <v>https://i.ibb.co/spVH8Jj1/hannaharendt.png</v>
      </c>
      <c r="R445">
        <f>_xlfn.XLOOKUP(frasest[[#This Row],[author_es]],autorest[author_es],autorest[image_atr])</f>
        <v>0</v>
      </c>
    </row>
    <row r="446" spans="1:18">
      <c r="A446">
        <v>445</v>
      </c>
      <c r="B446" t="s">
        <v>1534</v>
      </c>
      <c r="C446" t="s">
        <v>1535</v>
      </c>
      <c r="D446" t="s">
        <v>1536</v>
      </c>
      <c r="E446" t="s">
        <v>1537</v>
      </c>
      <c r="F446" t="s">
        <v>1538</v>
      </c>
      <c r="G446" t="str">
        <f>_xlfn.XLOOKUP(frasest[[#This Row],[author_es]],autorest[author_es],autorest[author_la])</f>
        <v>Immanuel Kant</v>
      </c>
      <c r="H446"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6"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6" t="str">
        <f>_xlfn.XLOOKUP(frasest[[#This Row],[author_es]],autorest[author_es],autorest[iso3691])</f>
        <v>de</v>
      </c>
      <c r="K446" t="str">
        <f>_xlfn.XLOOKUP(frasest[[#This Row],[author_es]],autorest[author_es],autorest[language_es])</f>
        <v>Alemán</v>
      </c>
      <c r="L446" t="str">
        <f>_xlfn.XLOOKUP(frasest[[#This Row],[author_es]],autorest[author_es],autorest[language_la])</f>
        <v>Lingua Germanica</v>
      </c>
      <c r="M446" t="str">
        <f>_xlfn.XLOOKUP(frasest[[#This Row],[author_es]],autorest[author_es],autorest[nation_es])</f>
        <v>Alemania</v>
      </c>
      <c r="N446" t="str">
        <f>_xlfn.XLOOKUP(frasest[[#This Row],[author_es]],autorest[author_es],autorest[nation_la])</f>
        <v>Germania</v>
      </c>
      <c r="O446" t="str">
        <f>_xlfn.XLOOKUP(frasest[[#This Row],[author_es]],autorest[author_es],autorest[age_es])</f>
        <v>Edad Moderna</v>
      </c>
      <c r="P446" t="str">
        <f>_xlfn.XLOOKUP(frasest[[#This Row],[author_es]],autorest[author_es],autorest[age_la])</f>
        <v>Nova Aetas</v>
      </c>
      <c r="Q446" t="str">
        <f>_xlfn.XLOOKUP(frasest[[#This Row],[author_es]],autorest[author_es],autorest[image])</f>
        <v>https://i.ibb.co/MkNPjK5r/kant.png</v>
      </c>
      <c r="R446">
        <f>_xlfn.XLOOKUP(frasest[[#This Row],[author_es]],autorest[author_es],autorest[image_atr])</f>
        <v>0</v>
      </c>
    </row>
    <row r="447" spans="1:18">
      <c r="A447">
        <v>446</v>
      </c>
      <c r="B447" t="s">
        <v>1539</v>
      </c>
      <c r="C447" t="s">
        <v>1540</v>
      </c>
      <c r="D447" t="s">
        <v>1541</v>
      </c>
      <c r="E447" t="s">
        <v>1537</v>
      </c>
      <c r="F447" t="s">
        <v>1538</v>
      </c>
      <c r="G447" t="str">
        <f>_xlfn.XLOOKUP(frasest[[#This Row],[author_es]],autorest[author_es],autorest[author_la])</f>
        <v>Immanuel Kant</v>
      </c>
      <c r="H447"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7"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7" t="str">
        <f>_xlfn.XLOOKUP(frasest[[#This Row],[author_es]],autorest[author_es],autorest[iso3691])</f>
        <v>de</v>
      </c>
      <c r="K447" t="str">
        <f>_xlfn.XLOOKUP(frasest[[#This Row],[author_es]],autorest[author_es],autorest[language_es])</f>
        <v>Alemán</v>
      </c>
      <c r="L447" t="str">
        <f>_xlfn.XLOOKUP(frasest[[#This Row],[author_es]],autorest[author_es],autorest[language_la])</f>
        <v>Lingua Germanica</v>
      </c>
      <c r="M447" t="str">
        <f>_xlfn.XLOOKUP(frasest[[#This Row],[author_es]],autorest[author_es],autorest[nation_es])</f>
        <v>Alemania</v>
      </c>
      <c r="N447" t="str">
        <f>_xlfn.XLOOKUP(frasest[[#This Row],[author_es]],autorest[author_es],autorest[nation_la])</f>
        <v>Germania</v>
      </c>
      <c r="O447" t="str">
        <f>_xlfn.XLOOKUP(frasest[[#This Row],[author_es]],autorest[author_es],autorest[age_es])</f>
        <v>Edad Moderna</v>
      </c>
      <c r="P447" t="str">
        <f>_xlfn.XLOOKUP(frasest[[#This Row],[author_es]],autorest[author_es],autorest[age_la])</f>
        <v>Nova Aetas</v>
      </c>
      <c r="Q447" t="str">
        <f>_xlfn.XLOOKUP(frasest[[#This Row],[author_es]],autorest[author_es],autorest[image])</f>
        <v>https://i.ibb.co/MkNPjK5r/kant.png</v>
      </c>
      <c r="R447">
        <f>_xlfn.XLOOKUP(frasest[[#This Row],[author_es]],autorest[author_es],autorest[image_atr])</f>
        <v>0</v>
      </c>
    </row>
    <row r="448" spans="1:18">
      <c r="A448">
        <v>447</v>
      </c>
      <c r="B448" t="s">
        <v>1542</v>
      </c>
      <c r="C448" t="s">
        <v>1543</v>
      </c>
      <c r="D448" t="s">
        <v>1544</v>
      </c>
      <c r="E448" t="s">
        <v>1537</v>
      </c>
      <c r="F448" t="s">
        <v>1545</v>
      </c>
      <c r="G448" t="str">
        <f>_xlfn.XLOOKUP(frasest[[#This Row],[author_es]],autorest[author_es],autorest[author_la])</f>
        <v>Immanuel Kant</v>
      </c>
      <c r="H448"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8"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8" t="str">
        <f>_xlfn.XLOOKUP(frasest[[#This Row],[author_es]],autorest[author_es],autorest[iso3691])</f>
        <v>de</v>
      </c>
      <c r="K448" t="str">
        <f>_xlfn.XLOOKUP(frasest[[#This Row],[author_es]],autorest[author_es],autorest[language_es])</f>
        <v>Alemán</v>
      </c>
      <c r="L448" t="str">
        <f>_xlfn.XLOOKUP(frasest[[#This Row],[author_es]],autorest[author_es],autorest[language_la])</f>
        <v>Lingua Germanica</v>
      </c>
      <c r="M448" t="str">
        <f>_xlfn.XLOOKUP(frasest[[#This Row],[author_es]],autorest[author_es],autorest[nation_es])</f>
        <v>Alemania</v>
      </c>
      <c r="N448" t="str">
        <f>_xlfn.XLOOKUP(frasest[[#This Row],[author_es]],autorest[author_es],autorest[nation_la])</f>
        <v>Germania</v>
      </c>
      <c r="O448" t="str">
        <f>_xlfn.XLOOKUP(frasest[[#This Row],[author_es]],autorest[author_es],autorest[age_es])</f>
        <v>Edad Moderna</v>
      </c>
      <c r="P448" t="str">
        <f>_xlfn.XLOOKUP(frasest[[#This Row],[author_es]],autorest[author_es],autorest[age_la])</f>
        <v>Nova Aetas</v>
      </c>
      <c r="Q448" t="str">
        <f>_xlfn.XLOOKUP(frasest[[#This Row],[author_es]],autorest[author_es],autorest[image])</f>
        <v>https://i.ibb.co/MkNPjK5r/kant.png</v>
      </c>
      <c r="R448">
        <f>_xlfn.XLOOKUP(frasest[[#This Row],[author_es]],autorest[author_es],autorest[image_atr])</f>
        <v>0</v>
      </c>
    </row>
    <row r="449" spans="1:18">
      <c r="A449">
        <v>448</v>
      </c>
      <c r="B449" t="s">
        <v>1546</v>
      </c>
      <c r="C449" t="s">
        <v>1547</v>
      </c>
      <c r="D449" t="s">
        <v>1548</v>
      </c>
      <c r="E449" t="s">
        <v>1537</v>
      </c>
      <c r="F449" t="s">
        <v>1549</v>
      </c>
      <c r="G449" t="str">
        <f>_xlfn.XLOOKUP(frasest[[#This Row],[author_es]],autorest[author_es],autorest[author_la])</f>
        <v>Immanuel Kant</v>
      </c>
      <c r="H449"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49"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49" t="str">
        <f>_xlfn.XLOOKUP(frasest[[#This Row],[author_es]],autorest[author_es],autorest[iso3691])</f>
        <v>de</v>
      </c>
      <c r="K449" t="str">
        <f>_xlfn.XLOOKUP(frasest[[#This Row],[author_es]],autorest[author_es],autorest[language_es])</f>
        <v>Alemán</v>
      </c>
      <c r="L449" t="str">
        <f>_xlfn.XLOOKUP(frasest[[#This Row],[author_es]],autorest[author_es],autorest[language_la])</f>
        <v>Lingua Germanica</v>
      </c>
      <c r="M449" t="str">
        <f>_xlfn.XLOOKUP(frasest[[#This Row],[author_es]],autorest[author_es],autorest[nation_es])</f>
        <v>Alemania</v>
      </c>
      <c r="N449" t="str">
        <f>_xlfn.XLOOKUP(frasest[[#This Row],[author_es]],autorest[author_es],autorest[nation_la])</f>
        <v>Germania</v>
      </c>
      <c r="O449" t="str">
        <f>_xlfn.XLOOKUP(frasest[[#This Row],[author_es]],autorest[author_es],autorest[age_es])</f>
        <v>Edad Moderna</v>
      </c>
      <c r="P449" t="str">
        <f>_xlfn.XLOOKUP(frasest[[#This Row],[author_es]],autorest[author_es],autorest[age_la])</f>
        <v>Nova Aetas</v>
      </c>
      <c r="Q449" t="str">
        <f>_xlfn.XLOOKUP(frasest[[#This Row],[author_es]],autorest[author_es],autorest[image])</f>
        <v>https://i.ibb.co/MkNPjK5r/kant.png</v>
      </c>
      <c r="R449">
        <f>_xlfn.XLOOKUP(frasest[[#This Row],[author_es]],autorest[author_es],autorest[image_atr])</f>
        <v>0</v>
      </c>
    </row>
    <row r="450" spans="1:18">
      <c r="A450">
        <v>449</v>
      </c>
      <c r="B450" t="s">
        <v>1550</v>
      </c>
      <c r="C450" t="s">
        <v>1551</v>
      </c>
      <c r="D450" t="s">
        <v>1552</v>
      </c>
      <c r="E450" t="s">
        <v>1537</v>
      </c>
      <c r="F450" t="s">
        <v>1549</v>
      </c>
      <c r="G450" t="str">
        <f>_xlfn.XLOOKUP(frasest[[#This Row],[author_es]],autorest[author_es],autorest[author_la])</f>
        <v>Immanuel Kant</v>
      </c>
      <c r="H450"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0"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0" t="str">
        <f>_xlfn.XLOOKUP(frasest[[#This Row],[author_es]],autorest[author_es],autorest[iso3691])</f>
        <v>de</v>
      </c>
      <c r="K450" t="str">
        <f>_xlfn.XLOOKUP(frasest[[#This Row],[author_es]],autorest[author_es],autorest[language_es])</f>
        <v>Alemán</v>
      </c>
      <c r="L450" t="str">
        <f>_xlfn.XLOOKUP(frasest[[#This Row],[author_es]],autorest[author_es],autorest[language_la])</f>
        <v>Lingua Germanica</v>
      </c>
      <c r="M450" t="str">
        <f>_xlfn.XLOOKUP(frasest[[#This Row],[author_es]],autorest[author_es],autorest[nation_es])</f>
        <v>Alemania</v>
      </c>
      <c r="N450" t="str">
        <f>_xlfn.XLOOKUP(frasest[[#This Row],[author_es]],autorest[author_es],autorest[nation_la])</f>
        <v>Germania</v>
      </c>
      <c r="O450" t="str">
        <f>_xlfn.XLOOKUP(frasest[[#This Row],[author_es]],autorest[author_es],autorest[age_es])</f>
        <v>Edad Moderna</v>
      </c>
      <c r="P450" t="str">
        <f>_xlfn.XLOOKUP(frasest[[#This Row],[author_es]],autorest[author_es],autorest[age_la])</f>
        <v>Nova Aetas</v>
      </c>
      <c r="Q450" t="str">
        <f>_xlfn.XLOOKUP(frasest[[#This Row],[author_es]],autorest[author_es],autorest[image])</f>
        <v>https://i.ibb.co/MkNPjK5r/kant.png</v>
      </c>
      <c r="R450">
        <f>_xlfn.XLOOKUP(frasest[[#This Row],[author_es]],autorest[author_es],autorest[image_atr])</f>
        <v>0</v>
      </c>
    </row>
    <row r="451" spans="1:18">
      <c r="A451">
        <v>450</v>
      </c>
      <c r="B451" t="s">
        <v>1553</v>
      </c>
      <c r="C451" t="s">
        <v>1554</v>
      </c>
      <c r="D451" t="s">
        <v>1555</v>
      </c>
      <c r="E451" t="s">
        <v>1537</v>
      </c>
      <c r="F451" t="s">
        <v>1556</v>
      </c>
      <c r="G451" t="str">
        <f>_xlfn.XLOOKUP(frasest[[#This Row],[author_es]],autorest[author_es],autorest[author_la])</f>
        <v>Immanuel Kant</v>
      </c>
      <c r="H451" t="str">
        <f>_xlfn.XLOOKUP(frasest[[#This Row],[author_es]],autorest[author_es],autorest[bio_es])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I451" t="str">
        <f>_xlfn.XLOOKUP(frasest[[#This Row],[author_es]],autorest[author_es],autorest[bio_la])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J451" t="str">
        <f>_xlfn.XLOOKUP(frasest[[#This Row],[author_es]],autorest[author_es],autorest[iso3691])</f>
        <v>de</v>
      </c>
      <c r="K451" t="str">
        <f>_xlfn.XLOOKUP(frasest[[#This Row],[author_es]],autorest[author_es],autorest[language_es])</f>
        <v>Alemán</v>
      </c>
      <c r="L451" t="str">
        <f>_xlfn.XLOOKUP(frasest[[#This Row],[author_es]],autorest[author_es],autorest[language_la])</f>
        <v>Lingua Germanica</v>
      </c>
      <c r="M451" t="str">
        <f>_xlfn.XLOOKUP(frasest[[#This Row],[author_es]],autorest[author_es],autorest[nation_es])</f>
        <v>Alemania</v>
      </c>
      <c r="N451" t="str">
        <f>_xlfn.XLOOKUP(frasest[[#This Row],[author_es]],autorest[author_es],autorest[nation_la])</f>
        <v>Germania</v>
      </c>
      <c r="O451" t="str">
        <f>_xlfn.XLOOKUP(frasest[[#This Row],[author_es]],autorest[author_es],autorest[age_es])</f>
        <v>Edad Moderna</v>
      </c>
      <c r="P451" t="str">
        <f>_xlfn.XLOOKUP(frasest[[#This Row],[author_es]],autorest[author_es],autorest[age_la])</f>
        <v>Nova Aetas</v>
      </c>
      <c r="Q451" t="str">
        <f>_xlfn.XLOOKUP(frasest[[#This Row],[author_es]],autorest[author_es],autorest[image])</f>
        <v>https://i.ibb.co/MkNPjK5r/kant.png</v>
      </c>
      <c r="R451">
        <f>_xlfn.XLOOKUP(frasest[[#This Row],[author_es]],autorest[author_es],autorest[image_atr])</f>
        <v>0</v>
      </c>
    </row>
    <row r="452" spans="1:18">
      <c r="A452">
        <v>451</v>
      </c>
      <c r="B452" t="s">
        <v>1557</v>
      </c>
      <c r="C452" t="s">
        <v>1558</v>
      </c>
      <c r="D452" t="s">
        <v>1557</v>
      </c>
      <c r="E452" t="s">
        <v>1559</v>
      </c>
      <c r="F452" t="s">
        <v>1560</v>
      </c>
      <c r="G452" t="str">
        <f>_xlfn.XLOOKUP(frasest[[#This Row],[author_es]],autorest[author_es],autorest[author_la])</f>
        <v>Iosephus Ortega y Gasset</v>
      </c>
      <c r="H452"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2"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2" t="str">
        <f>_xlfn.XLOOKUP(frasest[[#This Row],[author_es]],autorest[author_es],autorest[iso3691])</f>
        <v>es</v>
      </c>
      <c r="K452" t="str">
        <f>_xlfn.XLOOKUP(frasest[[#This Row],[author_es]],autorest[author_es],autorest[language_es])</f>
        <v>Español</v>
      </c>
      <c r="L452" t="str">
        <f>_xlfn.XLOOKUP(frasest[[#This Row],[author_es]],autorest[author_es],autorest[language_la])</f>
        <v>Lingua Hispanica</v>
      </c>
      <c r="M452" t="str">
        <f>_xlfn.XLOOKUP(frasest[[#This Row],[author_es]],autorest[author_es],autorest[nation_es])</f>
        <v>España</v>
      </c>
      <c r="N452" t="str">
        <f>_xlfn.XLOOKUP(frasest[[#This Row],[author_es]],autorest[author_es],autorest[nation_la])</f>
        <v>Hispania</v>
      </c>
      <c r="O452" t="str">
        <f>_xlfn.XLOOKUP(frasest[[#This Row],[author_es]],autorest[author_es],autorest[age_es])</f>
        <v>Edad Contemporánea</v>
      </c>
      <c r="P452" t="str">
        <f>_xlfn.XLOOKUP(frasest[[#This Row],[author_es]],autorest[author_es],autorest[age_la])</f>
        <v>Aetas Contemporanea</v>
      </c>
      <c r="Q452" t="str">
        <f>_xlfn.XLOOKUP(frasest[[#This Row],[author_es]],autorest[author_es],autorest[image])</f>
        <v>https://i.ibb.co/xtYX3S7h/ortega.png</v>
      </c>
      <c r="R452">
        <f>_xlfn.XLOOKUP(frasest[[#This Row],[author_es]],autorest[author_es],autorest[image_atr])</f>
        <v>0</v>
      </c>
    </row>
    <row r="453" spans="1:18">
      <c r="A453">
        <v>452</v>
      </c>
      <c r="B453" t="s">
        <v>1561</v>
      </c>
      <c r="C453" t="s">
        <v>1562</v>
      </c>
      <c r="D453" t="s">
        <v>1561</v>
      </c>
      <c r="E453" t="s">
        <v>1559</v>
      </c>
      <c r="F453" t="s">
        <v>1563</v>
      </c>
      <c r="G453" t="str">
        <f>_xlfn.XLOOKUP(frasest[[#This Row],[author_es]],autorest[author_es],autorest[author_la])</f>
        <v>Iosephus Ortega y Gasset</v>
      </c>
      <c r="H453"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3"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3" t="str">
        <f>_xlfn.XLOOKUP(frasest[[#This Row],[author_es]],autorest[author_es],autorest[iso3691])</f>
        <v>es</v>
      </c>
      <c r="K453" t="str">
        <f>_xlfn.XLOOKUP(frasest[[#This Row],[author_es]],autorest[author_es],autorest[language_es])</f>
        <v>Español</v>
      </c>
      <c r="L453" t="str">
        <f>_xlfn.XLOOKUP(frasest[[#This Row],[author_es]],autorest[author_es],autorest[language_la])</f>
        <v>Lingua Hispanica</v>
      </c>
      <c r="M453" t="str">
        <f>_xlfn.XLOOKUP(frasest[[#This Row],[author_es]],autorest[author_es],autorest[nation_es])</f>
        <v>España</v>
      </c>
      <c r="N453" t="str">
        <f>_xlfn.XLOOKUP(frasest[[#This Row],[author_es]],autorest[author_es],autorest[nation_la])</f>
        <v>Hispania</v>
      </c>
      <c r="O453" t="str">
        <f>_xlfn.XLOOKUP(frasest[[#This Row],[author_es]],autorest[author_es],autorest[age_es])</f>
        <v>Edad Contemporánea</v>
      </c>
      <c r="P453" t="str">
        <f>_xlfn.XLOOKUP(frasest[[#This Row],[author_es]],autorest[author_es],autorest[age_la])</f>
        <v>Aetas Contemporanea</v>
      </c>
      <c r="Q453" t="str">
        <f>_xlfn.XLOOKUP(frasest[[#This Row],[author_es]],autorest[author_es],autorest[image])</f>
        <v>https://i.ibb.co/xtYX3S7h/ortega.png</v>
      </c>
      <c r="R453">
        <f>_xlfn.XLOOKUP(frasest[[#This Row],[author_es]],autorest[author_es],autorest[image_atr])</f>
        <v>0</v>
      </c>
    </row>
    <row r="454" spans="1:18">
      <c r="A454">
        <v>453</v>
      </c>
      <c r="B454" t="s">
        <v>1564</v>
      </c>
      <c r="C454" t="s">
        <v>1565</v>
      </c>
      <c r="D454" t="s">
        <v>1564</v>
      </c>
      <c r="E454" t="s">
        <v>1559</v>
      </c>
      <c r="F454" t="s">
        <v>1566</v>
      </c>
      <c r="G454" t="str">
        <f>_xlfn.XLOOKUP(frasest[[#This Row],[author_es]],autorest[author_es],autorest[author_la])</f>
        <v>Iosephus Ortega y Gasset</v>
      </c>
      <c r="H454"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4"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4" t="str">
        <f>_xlfn.XLOOKUP(frasest[[#This Row],[author_es]],autorest[author_es],autorest[iso3691])</f>
        <v>es</v>
      </c>
      <c r="K454" t="str">
        <f>_xlfn.XLOOKUP(frasest[[#This Row],[author_es]],autorest[author_es],autorest[language_es])</f>
        <v>Español</v>
      </c>
      <c r="L454" t="str">
        <f>_xlfn.XLOOKUP(frasest[[#This Row],[author_es]],autorest[author_es],autorest[language_la])</f>
        <v>Lingua Hispanica</v>
      </c>
      <c r="M454" t="str">
        <f>_xlfn.XLOOKUP(frasest[[#This Row],[author_es]],autorest[author_es],autorest[nation_es])</f>
        <v>España</v>
      </c>
      <c r="N454" t="str">
        <f>_xlfn.XLOOKUP(frasest[[#This Row],[author_es]],autorest[author_es],autorest[nation_la])</f>
        <v>Hispania</v>
      </c>
      <c r="O454" t="str">
        <f>_xlfn.XLOOKUP(frasest[[#This Row],[author_es]],autorest[author_es],autorest[age_es])</f>
        <v>Edad Contemporánea</v>
      </c>
      <c r="P454" t="str">
        <f>_xlfn.XLOOKUP(frasest[[#This Row],[author_es]],autorest[author_es],autorest[age_la])</f>
        <v>Aetas Contemporanea</v>
      </c>
      <c r="Q454" t="str">
        <f>_xlfn.XLOOKUP(frasest[[#This Row],[author_es]],autorest[author_es],autorest[image])</f>
        <v>https://i.ibb.co/xtYX3S7h/ortega.png</v>
      </c>
      <c r="R454">
        <f>_xlfn.XLOOKUP(frasest[[#This Row],[author_es]],autorest[author_es],autorest[image_atr])</f>
        <v>0</v>
      </c>
    </row>
    <row r="455" spans="1:18">
      <c r="A455">
        <v>454</v>
      </c>
      <c r="B455" t="s">
        <v>1567</v>
      </c>
      <c r="C455" t="s">
        <v>1568</v>
      </c>
      <c r="D455" t="s">
        <v>1567</v>
      </c>
      <c r="E455" t="s">
        <v>1559</v>
      </c>
      <c r="F455" t="s">
        <v>1563</v>
      </c>
      <c r="G455" t="str">
        <f>_xlfn.XLOOKUP(frasest[[#This Row],[author_es]],autorest[author_es],autorest[author_la])</f>
        <v>Iosephus Ortega y Gasset</v>
      </c>
      <c r="H455"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5"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5" t="str">
        <f>_xlfn.XLOOKUP(frasest[[#This Row],[author_es]],autorest[author_es],autorest[iso3691])</f>
        <v>es</v>
      </c>
      <c r="K455" t="str">
        <f>_xlfn.XLOOKUP(frasest[[#This Row],[author_es]],autorest[author_es],autorest[language_es])</f>
        <v>Español</v>
      </c>
      <c r="L455" t="str">
        <f>_xlfn.XLOOKUP(frasest[[#This Row],[author_es]],autorest[author_es],autorest[language_la])</f>
        <v>Lingua Hispanica</v>
      </c>
      <c r="M455" t="str">
        <f>_xlfn.XLOOKUP(frasest[[#This Row],[author_es]],autorest[author_es],autorest[nation_es])</f>
        <v>España</v>
      </c>
      <c r="N455" t="str">
        <f>_xlfn.XLOOKUP(frasest[[#This Row],[author_es]],autorest[author_es],autorest[nation_la])</f>
        <v>Hispania</v>
      </c>
      <c r="O455" t="str">
        <f>_xlfn.XLOOKUP(frasest[[#This Row],[author_es]],autorest[author_es],autorest[age_es])</f>
        <v>Edad Contemporánea</v>
      </c>
      <c r="P455" t="str">
        <f>_xlfn.XLOOKUP(frasest[[#This Row],[author_es]],autorest[author_es],autorest[age_la])</f>
        <v>Aetas Contemporanea</v>
      </c>
      <c r="Q455" t="str">
        <f>_xlfn.XLOOKUP(frasest[[#This Row],[author_es]],autorest[author_es],autorest[image])</f>
        <v>https://i.ibb.co/xtYX3S7h/ortega.png</v>
      </c>
      <c r="R455">
        <f>_xlfn.XLOOKUP(frasest[[#This Row],[author_es]],autorest[author_es],autorest[image_atr])</f>
        <v>0</v>
      </c>
    </row>
    <row r="456" spans="1:18">
      <c r="A456">
        <v>455</v>
      </c>
      <c r="B456" t="s">
        <v>1569</v>
      </c>
      <c r="C456" t="s">
        <v>1570</v>
      </c>
      <c r="D456" t="s">
        <v>1569</v>
      </c>
      <c r="E456" t="s">
        <v>1559</v>
      </c>
      <c r="F456" t="s">
        <v>1571</v>
      </c>
      <c r="G456" t="str">
        <f>_xlfn.XLOOKUP(frasest[[#This Row],[author_es]],autorest[author_es],autorest[author_la])</f>
        <v>Iosephus Ortega y Gasset</v>
      </c>
      <c r="H456"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6"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6" t="str">
        <f>_xlfn.XLOOKUP(frasest[[#This Row],[author_es]],autorest[author_es],autorest[iso3691])</f>
        <v>es</v>
      </c>
      <c r="K456" t="str">
        <f>_xlfn.XLOOKUP(frasest[[#This Row],[author_es]],autorest[author_es],autorest[language_es])</f>
        <v>Español</v>
      </c>
      <c r="L456" t="str">
        <f>_xlfn.XLOOKUP(frasest[[#This Row],[author_es]],autorest[author_es],autorest[language_la])</f>
        <v>Lingua Hispanica</v>
      </c>
      <c r="M456" t="str">
        <f>_xlfn.XLOOKUP(frasest[[#This Row],[author_es]],autorest[author_es],autorest[nation_es])</f>
        <v>España</v>
      </c>
      <c r="N456" t="str">
        <f>_xlfn.XLOOKUP(frasest[[#This Row],[author_es]],autorest[author_es],autorest[nation_la])</f>
        <v>Hispania</v>
      </c>
      <c r="O456" t="str">
        <f>_xlfn.XLOOKUP(frasest[[#This Row],[author_es]],autorest[author_es],autorest[age_es])</f>
        <v>Edad Contemporánea</v>
      </c>
      <c r="P456" t="str">
        <f>_xlfn.XLOOKUP(frasest[[#This Row],[author_es]],autorest[author_es],autorest[age_la])</f>
        <v>Aetas Contemporanea</v>
      </c>
      <c r="Q456" t="str">
        <f>_xlfn.XLOOKUP(frasest[[#This Row],[author_es]],autorest[author_es],autorest[image])</f>
        <v>https://i.ibb.co/xtYX3S7h/ortega.png</v>
      </c>
      <c r="R456">
        <f>_xlfn.XLOOKUP(frasest[[#This Row],[author_es]],autorest[author_es],autorest[image_atr])</f>
        <v>0</v>
      </c>
    </row>
    <row r="457" spans="1:18">
      <c r="A457">
        <v>456</v>
      </c>
      <c r="B457" t="s">
        <v>1572</v>
      </c>
      <c r="C457" t="s">
        <v>1573</v>
      </c>
      <c r="D457" t="s">
        <v>1572</v>
      </c>
      <c r="E457" t="s">
        <v>1559</v>
      </c>
      <c r="F457" t="s">
        <v>1563</v>
      </c>
      <c r="G457" t="str">
        <f>_xlfn.XLOOKUP(frasest[[#This Row],[author_es]],autorest[author_es],autorest[author_la])</f>
        <v>Iosephus Ortega y Gasset</v>
      </c>
      <c r="H457" t="str">
        <f>_xlfn.XLOOKUP(frasest[[#This Row],[author_es]],autorest[author_es],autorest[bio_es])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I457" t="str">
        <f>_xlfn.XLOOKUP(frasest[[#This Row],[author_es]],autorest[author_es],autorest[bio_la])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J457" t="str">
        <f>_xlfn.XLOOKUP(frasest[[#This Row],[author_es]],autorest[author_es],autorest[iso3691])</f>
        <v>es</v>
      </c>
      <c r="K457" t="str">
        <f>_xlfn.XLOOKUP(frasest[[#This Row],[author_es]],autorest[author_es],autorest[language_es])</f>
        <v>Español</v>
      </c>
      <c r="L457" t="str">
        <f>_xlfn.XLOOKUP(frasest[[#This Row],[author_es]],autorest[author_es],autorest[language_la])</f>
        <v>Lingua Hispanica</v>
      </c>
      <c r="M457" t="str">
        <f>_xlfn.XLOOKUP(frasest[[#This Row],[author_es]],autorest[author_es],autorest[nation_es])</f>
        <v>España</v>
      </c>
      <c r="N457" t="str">
        <f>_xlfn.XLOOKUP(frasest[[#This Row],[author_es]],autorest[author_es],autorest[nation_la])</f>
        <v>Hispania</v>
      </c>
      <c r="O457" t="str">
        <f>_xlfn.XLOOKUP(frasest[[#This Row],[author_es]],autorest[author_es],autorest[age_es])</f>
        <v>Edad Contemporánea</v>
      </c>
      <c r="P457" t="str">
        <f>_xlfn.XLOOKUP(frasest[[#This Row],[author_es]],autorest[author_es],autorest[age_la])</f>
        <v>Aetas Contemporanea</v>
      </c>
      <c r="Q457" t="str">
        <f>_xlfn.XLOOKUP(frasest[[#This Row],[author_es]],autorest[author_es],autorest[image])</f>
        <v>https://i.ibb.co/xtYX3S7h/ortega.png</v>
      </c>
      <c r="R457">
        <f>_xlfn.XLOOKUP(frasest[[#This Row],[author_es]],autorest[author_es],autorest[image_atr])</f>
        <v>0</v>
      </c>
    </row>
    <row r="458" spans="1:18">
      <c r="A458">
        <v>457</v>
      </c>
      <c r="B458" t="s">
        <v>1574</v>
      </c>
      <c r="C458" t="s">
        <v>1575</v>
      </c>
      <c r="D458" t="s">
        <v>1576</v>
      </c>
      <c r="E458" t="s">
        <v>1577</v>
      </c>
      <c r="F458" t="s">
        <v>1578</v>
      </c>
      <c r="G458" t="str">
        <f>_xlfn.XLOOKUP(frasest[[#This Row],[author_es]],autorest[author_es],autorest[author_la])</f>
        <v>Soren Kierkegaard</v>
      </c>
      <c r="H458"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8"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8" t="str">
        <f>_xlfn.XLOOKUP(frasest[[#This Row],[author_es]],autorest[author_es],autorest[iso3691])</f>
        <v>da</v>
      </c>
      <c r="K458" t="str">
        <f>_xlfn.XLOOKUP(frasest[[#This Row],[author_es]],autorest[author_es],autorest[language_es])</f>
        <v>Danés</v>
      </c>
      <c r="L458" t="str">
        <f>_xlfn.XLOOKUP(frasest[[#This Row],[author_es]],autorest[author_es],autorest[language_la])</f>
        <v>Lingua Danica</v>
      </c>
      <c r="M458" t="str">
        <f>_xlfn.XLOOKUP(frasest[[#This Row],[author_es]],autorest[author_es],autorest[nation_es])</f>
        <v>Dinamarca</v>
      </c>
      <c r="N458" t="str">
        <f>_xlfn.XLOOKUP(frasest[[#This Row],[author_es]],autorest[author_es],autorest[nation_la])</f>
        <v>Dania</v>
      </c>
      <c r="O458" t="str">
        <f>_xlfn.XLOOKUP(frasest[[#This Row],[author_es]],autorest[author_es],autorest[age_es])</f>
        <v>Edad Contemporánea</v>
      </c>
      <c r="P458" t="str">
        <f>_xlfn.XLOOKUP(frasest[[#This Row],[author_es]],autorest[author_es],autorest[age_la])</f>
        <v>Aetas Contemporanea</v>
      </c>
      <c r="Q458" t="str">
        <f>_xlfn.XLOOKUP(frasest[[#This Row],[author_es]],autorest[author_es],autorest[image])</f>
        <v>https://i.ibb.co/h0XxRwM/kiekergard.png</v>
      </c>
      <c r="R458">
        <f>_xlfn.XLOOKUP(frasest[[#This Row],[author_es]],autorest[author_es],autorest[image_atr])</f>
        <v>0</v>
      </c>
    </row>
    <row r="459" spans="1:18">
      <c r="A459">
        <v>458</v>
      </c>
      <c r="B459" t="s">
        <v>1579</v>
      </c>
      <c r="C459" t="s">
        <v>1580</v>
      </c>
      <c r="D459" t="s">
        <v>1581</v>
      </c>
      <c r="E459" t="s">
        <v>1577</v>
      </c>
      <c r="F459" t="s">
        <v>1582</v>
      </c>
      <c r="G459" t="str">
        <f>_xlfn.XLOOKUP(frasest[[#This Row],[author_es]],autorest[author_es],autorest[author_la])</f>
        <v>Soren Kierkegaard</v>
      </c>
      <c r="H459"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59"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59" t="str">
        <f>_xlfn.XLOOKUP(frasest[[#This Row],[author_es]],autorest[author_es],autorest[iso3691])</f>
        <v>da</v>
      </c>
      <c r="K459" t="str">
        <f>_xlfn.XLOOKUP(frasest[[#This Row],[author_es]],autorest[author_es],autorest[language_es])</f>
        <v>Danés</v>
      </c>
      <c r="L459" t="str">
        <f>_xlfn.XLOOKUP(frasest[[#This Row],[author_es]],autorest[author_es],autorest[language_la])</f>
        <v>Lingua Danica</v>
      </c>
      <c r="M459" t="str">
        <f>_xlfn.XLOOKUP(frasest[[#This Row],[author_es]],autorest[author_es],autorest[nation_es])</f>
        <v>Dinamarca</v>
      </c>
      <c r="N459" t="str">
        <f>_xlfn.XLOOKUP(frasest[[#This Row],[author_es]],autorest[author_es],autorest[nation_la])</f>
        <v>Dania</v>
      </c>
      <c r="O459" t="str">
        <f>_xlfn.XLOOKUP(frasest[[#This Row],[author_es]],autorest[author_es],autorest[age_es])</f>
        <v>Edad Contemporánea</v>
      </c>
      <c r="P459" t="str">
        <f>_xlfn.XLOOKUP(frasest[[#This Row],[author_es]],autorest[author_es],autorest[age_la])</f>
        <v>Aetas Contemporanea</v>
      </c>
      <c r="Q459" t="str">
        <f>_xlfn.XLOOKUP(frasest[[#This Row],[author_es]],autorest[author_es],autorest[image])</f>
        <v>https://i.ibb.co/h0XxRwM/kiekergard.png</v>
      </c>
      <c r="R459">
        <f>_xlfn.XLOOKUP(frasest[[#This Row],[author_es]],autorest[author_es],autorest[image_atr])</f>
        <v>0</v>
      </c>
    </row>
    <row r="460" spans="1:18">
      <c r="A460">
        <v>459</v>
      </c>
      <c r="B460" t="s">
        <v>1583</v>
      </c>
      <c r="C460" t="s">
        <v>1584</v>
      </c>
      <c r="D460" t="s">
        <v>1585</v>
      </c>
      <c r="E460" t="s">
        <v>1577</v>
      </c>
      <c r="F460" t="s">
        <v>1586</v>
      </c>
      <c r="G460" t="str">
        <f>_xlfn.XLOOKUP(frasest[[#This Row],[author_es]],autorest[author_es],autorest[author_la])</f>
        <v>Soren Kierkegaard</v>
      </c>
      <c r="H460"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0"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0" t="str">
        <f>_xlfn.XLOOKUP(frasest[[#This Row],[author_es]],autorest[author_es],autorest[iso3691])</f>
        <v>da</v>
      </c>
      <c r="K460" t="str">
        <f>_xlfn.XLOOKUP(frasest[[#This Row],[author_es]],autorest[author_es],autorest[language_es])</f>
        <v>Danés</v>
      </c>
      <c r="L460" t="str">
        <f>_xlfn.XLOOKUP(frasest[[#This Row],[author_es]],autorest[author_es],autorest[language_la])</f>
        <v>Lingua Danica</v>
      </c>
      <c r="M460" t="str">
        <f>_xlfn.XLOOKUP(frasest[[#This Row],[author_es]],autorest[author_es],autorest[nation_es])</f>
        <v>Dinamarca</v>
      </c>
      <c r="N460" t="str">
        <f>_xlfn.XLOOKUP(frasest[[#This Row],[author_es]],autorest[author_es],autorest[nation_la])</f>
        <v>Dania</v>
      </c>
      <c r="O460" t="str">
        <f>_xlfn.XLOOKUP(frasest[[#This Row],[author_es]],autorest[author_es],autorest[age_es])</f>
        <v>Edad Contemporánea</v>
      </c>
      <c r="P460" t="str">
        <f>_xlfn.XLOOKUP(frasest[[#This Row],[author_es]],autorest[author_es],autorest[age_la])</f>
        <v>Aetas Contemporanea</v>
      </c>
      <c r="Q460" t="str">
        <f>_xlfn.XLOOKUP(frasest[[#This Row],[author_es]],autorest[author_es],autorest[image])</f>
        <v>https://i.ibb.co/h0XxRwM/kiekergard.png</v>
      </c>
      <c r="R460">
        <f>_xlfn.XLOOKUP(frasest[[#This Row],[author_es]],autorest[author_es],autorest[image_atr])</f>
        <v>0</v>
      </c>
    </row>
    <row r="461" spans="1:18">
      <c r="A461">
        <v>460</v>
      </c>
      <c r="B461" t="s">
        <v>1587</v>
      </c>
      <c r="C461" t="s">
        <v>1588</v>
      </c>
      <c r="D461" t="s">
        <v>1589</v>
      </c>
      <c r="E461" t="s">
        <v>1577</v>
      </c>
      <c r="F461" t="s">
        <v>1578</v>
      </c>
      <c r="G461" t="str">
        <f>_xlfn.XLOOKUP(frasest[[#This Row],[author_es]],autorest[author_es],autorest[author_la])</f>
        <v>Soren Kierkegaard</v>
      </c>
      <c r="H461"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1"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1" t="str">
        <f>_xlfn.XLOOKUP(frasest[[#This Row],[author_es]],autorest[author_es],autorest[iso3691])</f>
        <v>da</v>
      </c>
      <c r="K461" t="str">
        <f>_xlfn.XLOOKUP(frasest[[#This Row],[author_es]],autorest[author_es],autorest[language_es])</f>
        <v>Danés</v>
      </c>
      <c r="L461" t="str">
        <f>_xlfn.XLOOKUP(frasest[[#This Row],[author_es]],autorest[author_es],autorest[language_la])</f>
        <v>Lingua Danica</v>
      </c>
      <c r="M461" t="str">
        <f>_xlfn.XLOOKUP(frasest[[#This Row],[author_es]],autorest[author_es],autorest[nation_es])</f>
        <v>Dinamarca</v>
      </c>
      <c r="N461" t="str">
        <f>_xlfn.XLOOKUP(frasest[[#This Row],[author_es]],autorest[author_es],autorest[nation_la])</f>
        <v>Dania</v>
      </c>
      <c r="O461" t="str">
        <f>_xlfn.XLOOKUP(frasest[[#This Row],[author_es]],autorest[author_es],autorest[age_es])</f>
        <v>Edad Contemporánea</v>
      </c>
      <c r="P461" t="str">
        <f>_xlfn.XLOOKUP(frasest[[#This Row],[author_es]],autorest[author_es],autorest[age_la])</f>
        <v>Aetas Contemporanea</v>
      </c>
      <c r="Q461" t="str">
        <f>_xlfn.XLOOKUP(frasest[[#This Row],[author_es]],autorest[author_es],autorest[image])</f>
        <v>https://i.ibb.co/h0XxRwM/kiekergard.png</v>
      </c>
      <c r="R461">
        <f>_xlfn.XLOOKUP(frasest[[#This Row],[author_es]],autorest[author_es],autorest[image_atr])</f>
        <v>0</v>
      </c>
    </row>
    <row r="462" spans="1:18">
      <c r="A462">
        <v>461</v>
      </c>
      <c r="B462" t="s">
        <v>1590</v>
      </c>
      <c r="C462" t="s">
        <v>1591</v>
      </c>
      <c r="D462" t="s">
        <v>1592</v>
      </c>
      <c r="E462" t="s">
        <v>1577</v>
      </c>
      <c r="F462" t="s">
        <v>1593</v>
      </c>
      <c r="G462" t="str">
        <f>_xlfn.XLOOKUP(frasest[[#This Row],[author_es]],autorest[author_es],autorest[author_la])</f>
        <v>Soren Kierkegaard</v>
      </c>
      <c r="H462"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2"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2" t="str">
        <f>_xlfn.XLOOKUP(frasest[[#This Row],[author_es]],autorest[author_es],autorest[iso3691])</f>
        <v>da</v>
      </c>
      <c r="K462" t="str">
        <f>_xlfn.XLOOKUP(frasest[[#This Row],[author_es]],autorest[author_es],autorest[language_es])</f>
        <v>Danés</v>
      </c>
      <c r="L462" t="str">
        <f>_xlfn.XLOOKUP(frasest[[#This Row],[author_es]],autorest[author_es],autorest[language_la])</f>
        <v>Lingua Danica</v>
      </c>
      <c r="M462" t="str">
        <f>_xlfn.XLOOKUP(frasest[[#This Row],[author_es]],autorest[author_es],autorest[nation_es])</f>
        <v>Dinamarca</v>
      </c>
      <c r="N462" t="str">
        <f>_xlfn.XLOOKUP(frasest[[#This Row],[author_es]],autorest[author_es],autorest[nation_la])</f>
        <v>Dania</v>
      </c>
      <c r="O462" t="str">
        <f>_xlfn.XLOOKUP(frasest[[#This Row],[author_es]],autorest[author_es],autorest[age_es])</f>
        <v>Edad Contemporánea</v>
      </c>
      <c r="P462" t="str">
        <f>_xlfn.XLOOKUP(frasest[[#This Row],[author_es]],autorest[author_es],autorest[age_la])</f>
        <v>Aetas Contemporanea</v>
      </c>
      <c r="Q462" t="str">
        <f>_xlfn.XLOOKUP(frasest[[#This Row],[author_es]],autorest[author_es],autorest[image])</f>
        <v>https://i.ibb.co/h0XxRwM/kiekergard.png</v>
      </c>
      <c r="R462">
        <f>_xlfn.XLOOKUP(frasest[[#This Row],[author_es]],autorest[author_es],autorest[image_atr])</f>
        <v>0</v>
      </c>
    </row>
    <row r="463" spans="1:18">
      <c r="A463">
        <v>462</v>
      </c>
      <c r="B463" t="s">
        <v>1594</v>
      </c>
      <c r="C463" t="s">
        <v>1595</v>
      </c>
      <c r="D463" t="s">
        <v>1596</v>
      </c>
      <c r="E463" t="s">
        <v>1577</v>
      </c>
      <c r="F463" t="s">
        <v>1597</v>
      </c>
      <c r="G463" t="str">
        <f>_xlfn.XLOOKUP(frasest[[#This Row],[author_es]],autorest[author_es],autorest[author_la])</f>
        <v>Soren Kierkegaard</v>
      </c>
      <c r="H463" t="str">
        <f>_xlfn.XLOOKUP(frasest[[#This Row],[author_es]],autorest[author_es],autorest[bio_es])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I463" t="str">
        <f>_xlfn.XLOOKUP(frasest[[#This Row],[author_es]],autorest[author_es],autorest[bio_la])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J463" t="str">
        <f>_xlfn.XLOOKUP(frasest[[#This Row],[author_es]],autorest[author_es],autorest[iso3691])</f>
        <v>da</v>
      </c>
      <c r="K463" t="str">
        <f>_xlfn.XLOOKUP(frasest[[#This Row],[author_es]],autorest[author_es],autorest[language_es])</f>
        <v>Danés</v>
      </c>
      <c r="L463" t="str">
        <f>_xlfn.XLOOKUP(frasest[[#This Row],[author_es]],autorest[author_es],autorest[language_la])</f>
        <v>Lingua Danica</v>
      </c>
      <c r="M463" t="str">
        <f>_xlfn.XLOOKUP(frasest[[#This Row],[author_es]],autorest[author_es],autorest[nation_es])</f>
        <v>Dinamarca</v>
      </c>
      <c r="N463" t="str">
        <f>_xlfn.XLOOKUP(frasest[[#This Row],[author_es]],autorest[author_es],autorest[nation_la])</f>
        <v>Dania</v>
      </c>
      <c r="O463" t="str">
        <f>_xlfn.XLOOKUP(frasest[[#This Row],[author_es]],autorest[author_es],autorest[age_es])</f>
        <v>Edad Contemporánea</v>
      </c>
      <c r="P463" t="str">
        <f>_xlfn.XLOOKUP(frasest[[#This Row],[author_es]],autorest[author_es],autorest[age_la])</f>
        <v>Aetas Contemporanea</v>
      </c>
      <c r="Q463" t="str">
        <f>_xlfn.XLOOKUP(frasest[[#This Row],[author_es]],autorest[author_es],autorest[image])</f>
        <v>https://i.ibb.co/h0XxRwM/kiekergard.png</v>
      </c>
      <c r="R463">
        <f>_xlfn.XLOOKUP(frasest[[#This Row],[author_es]],autorest[author_es],autorest[image_atr])</f>
        <v>0</v>
      </c>
    </row>
    <row r="464" spans="1:18">
      <c r="A464">
        <v>463</v>
      </c>
      <c r="B464" t="s">
        <v>1598</v>
      </c>
      <c r="C464" t="s">
        <v>1599</v>
      </c>
      <c r="D464" t="s">
        <v>1599</v>
      </c>
      <c r="E464" t="s">
        <v>1600</v>
      </c>
      <c r="F464" t="s">
        <v>1601</v>
      </c>
      <c r="G464" t="str">
        <f>_xlfn.XLOOKUP(frasest[[#This Row],[author_es]],autorest[author_es],autorest[author_la])</f>
        <v>Iohannes Amos Comenius</v>
      </c>
      <c r="H464"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4"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4" t="str">
        <f>_xlfn.XLOOKUP(frasest[[#This Row],[author_es]],autorest[author_es],autorest[iso3691])</f>
        <v>la</v>
      </c>
      <c r="K464" t="str">
        <f>_xlfn.XLOOKUP(frasest[[#This Row],[author_es]],autorest[author_es],autorest[language_es])</f>
        <v>Latín</v>
      </c>
      <c r="L464" t="str">
        <f>_xlfn.XLOOKUP(frasest[[#This Row],[author_es]],autorest[author_es],autorest[language_la])</f>
        <v>Lingua Latina</v>
      </c>
      <c r="M464" t="str">
        <f>_xlfn.XLOOKUP(frasest[[#This Row],[author_es]],autorest[author_es],autorest[nation_es])</f>
        <v>Chequia</v>
      </c>
      <c r="N464" t="str">
        <f>_xlfn.XLOOKUP(frasest[[#This Row],[author_es]],autorest[author_es],autorest[nation_la])</f>
        <v>Cechia</v>
      </c>
      <c r="O464" t="str">
        <f>_xlfn.XLOOKUP(frasest[[#This Row],[author_es]],autorest[author_es],autorest[age_es])</f>
        <v>Edad Moderna</v>
      </c>
      <c r="P464" t="str">
        <f>_xlfn.XLOOKUP(frasest[[#This Row],[author_es]],autorest[author_es],autorest[age_la])</f>
        <v>Nova Aetas</v>
      </c>
      <c r="Q464" t="str">
        <f>_xlfn.XLOOKUP(frasest[[#This Row],[author_es]],autorest[author_es],autorest[image])</f>
        <v>https://i.ibb.co/fzJrNW0W/comenio.png</v>
      </c>
      <c r="R464">
        <f>_xlfn.XLOOKUP(frasest[[#This Row],[author_es]],autorest[author_es],autorest[image_atr])</f>
        <v>0</v>
      </c>
    </row>
    <row r="465" spans="1:18">
      <c r="A465">
        <v>464</v>
      </c>
      <c r="B465" t="s">
        <v>1602</v>
      </c>
      <c r="C465" t="s">
        <v>1603</v>
      </c>
      <c r="D465" t="s">
        <v>1603</v>
      </c>
      <c r="E465" t="s">
        <v>1600</v>
      </c>
      <c r="F465" t="s">
        <v>1604</v>
      </c>
      <c r="G465" t="str">
        <f>_xlfn.XLOOKUP(frasest[[#This Row],[author_es]],autorest[author_es],autorest[author_la])</f>
        <v>Iohannes Amos Comenius</v>
      </c>
      <c r="H465"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5"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5" t="str">
        <f>_xlfn.XLOOKUP(frasest[[#This Row],[author_es]],autorest[author_es],autorest[iso3691])</f>
        <v>la</v>
      </c>
      <c r="K465" t="str">
        <f>_xlfn.XLOOKUP(frasest[[#This Row],[author_es]],autorest[author_es],autorest[language_es])</f>
        <v>Latín</v>
      </c>
      <c r="L465" t="str">
        <f>_xlfn.XLOOKUP(frasest[[#This Row],[author_es]],autorest[author_es],autorest[language_la])</f>
        <v>Lingua Latina</v>
      </c>
      <c r="M465" t="str">
        <f>_xlfn.XLOOKUP(frasest[[#This Row],[author_es]],autorest[author_es],autorest[nation_es])</f>
        <v>Chequia</v>
      </c>
      <c r="N465" t="str">
        <f>_xlfn.XLOOKUP(frasest[[#This Row],[author_es]],autorest[author_es],autorest[nation_la])</f>
        <v>Cechia</v>
      </c>
      <c r="O465" t="str">
        <f>_xlfn.XLOOKUP(frasest[[#This Row],[author_es]],autorest[author_es],autorest[age_es])</f>
        <v>Edad Moderna</v>
      </c>
      <c r="P465" t="str">
        <f>_xlfn.XLOOKUP(frasest[[#This Row],[author_es]],autorest[author_es],autorest[age_la])</f>
        <v>Nova Aetas</v>
      </c>
      <c r="Q465" t="str">
        <f>_xlfn.XLOOKUP(frasest[[#This Row],[author_es]],autorest[author_es],autorest[image])</f>
        <v>https://i.ibb.co/fzJrNW0W/comenio.png</v>
      </c>
      <c r="R465">
        <f>_xlfn.XLOOKUP(frasest[[#This Row],[author_es]],autorest[author_es],autorest[image_atr])</f>
        <v>0</v>
      </c>
    </row>
    <row r="466" spans="1:18">
      <c r="A466">
        <v>465</v>
      </c>
      <c r="B466" t="s">
        <v>1605</v>
      </c>
      <c r="C466" t="s">
        <v>1606</v>
      </c>
      <c r="D466" t="s">
        <v>1606</v>
      </c>
      <c r="E466" t="s">
        <v>1600</v>
      </c>
      <c r="F466" t="s">
        <v>1607</v>
      </c>
      <c r="G466" t="str">
        <f>_xlfn.XLOOKUP(frasest[[#This Row],[author_es]],autorest[author_es],autorest[author_la])</f>
        <v>Iohannes Amos Comenius</v>
      </c>
      <c r="H466"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6"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6" t="str">
        <f>_xlfn.XLOOKUP(frasest[[#This Row],[author_es]],autorest[author_es],autorest[iso3691])</f>
        <v>la</v>
      </c>
      <c r="K466" t="str">
        <f>_xlfn.XLOOKUP(frasest[[#This Row],[author_es]],autorest[author_es],autorest[language_es])</f>
        <v>Latín</v>
      </c>
      <c r="L466" t="str">
        <f>_xlfn.XLOOKUP(frasest[[#This Row],[author_es]],autorest[author_es],autorest[language_la])</f>
        <v>Lingua Latina</v>
      </c>
      <c r="M466" t="str">
        <f>_xlfn.XLOOKUP(frasest[[#This Row],[author_es]],autorest[author_es],autorest[nation_es])</f>
        <v>Chequia</v>
      </c>
      <c r="N466" t="str">
        <f>_xlfn.XLOOKUP(frasest[[#This Row],[author_es]],autorest[author_es],autorest[nation_la])</f>
        <v>Cechia</v>
      </c>
      <c r="O466" t="str">
        <f>_xlfn.XLOOKUP(frasest[[#This Row],[author_es]],autorest[author_es],autorest[age_es])</f>
        <v>Edad Moderna</v>
      </c>
      <c r="P466" t="str">
        <f>_xlfn.XLOOKUP(frasest[[#This Row],[author_es]],autorest[author_es],autorest[age_la])</f>
        <v>Nova Aetas</v>
      </c>
      <c r="Q466" t="str">
        <f>_xlfn.XLOOKUP(frasest[[#This Row],[author_es]],autorest[author_es],autorest[image])</f>
        <v>https://i.ibb.co/fzJrNW0W/comenio.png</v>
      </c>
      <c r="R466">
        <f>_xlfn.XLOOKUP(frasest[[#This Row],[author_es]],autorest[author_es],autorest[image_atr])</f>
        <v>0</v>
      </c>
    </row>
    <row r="467" spans="1:18">
      <c r="A467">
        <v>466</v>
      </c>
      <c r="B467" t="s">
        <v>1608</v>
      </c>
      <c r="C467" t="s">
        <v>1609</v>
      </c>
      <c r="D467" t="s">
        <v>1609</v>
      </c>
      <c r="E467" t="s">
        <v>1600</v>
      </c>
      <c r="F467" t="s">
        <v>1610</v>
      </c>
      <c r="G467" t="str">
        <f>_xlfn.XLOOKUP(frasest[[#This Row],[author_es]],autorest[author_es],autorest[author_la])</f>
        <v>Iohannes Amos Comenius</v>
      </c>
      <c r="H467"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7"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7" t="str">
        <f>_xlfn.XLOOKUP(frasest[[#This Row],[author_es]],autorest[author_es],autorest[iso3691])</f>
        <v>la</v>
      </c>
      <c r="K467" t="str">
        <f>_xlfn.XLOOKUP(frasest[[#This Row],[author_es]],autorest[author_es],autorest[language_es])</f>
        <v>Latín</v>
      </c>
      <c r="L467" t="str">
        <f>_xlfn.XLOOKUP(frasest[[#This Row],[author_es]],autorest[author_es],autorest[language_la])</f>
        <v>Lingua Latina</v>
      </c>
      <c r="M467" t="str">
        <f>_xlfn.XLOOKUP(frasest[[#This Row],[author_es]],autorest[author_es],autorest[nation_es])</f>
        <v>Chequia</v>
      </c>
      <c r="N467" t="str">
        <f>_xlfn.XLOOKUP(frasest[[#This Row],[author_es]],autorest[author_es],autorest[nation_la])</f>
        <v>Cechia</v>
      </c>
      <c r="O467" t="str">
        <f>_xlfn.XLOOKUP(frasest[[#This Row],[author_es]],autorest[author_es],autorest[age_es])</f>
        <v>Edad Moderna</v>
      </c>
      <c r="P467" t="str">
        <f>_xlfn.XLOOKUP(frasest[[#This Row],[author_es]],autorest[author_es],autorest[age_la])</f>
        <v>Nova Aetas</v>
      </c>
      <c r="Q467" t="str">
        <f>_xlfn.XLOOKUP(frasest[[#This Row],[author_es]],autorest[author_es],autorest[image])</f>
        <v>https://i.ibb.co/fzJrNW0W/comenio.png</v>
      </c>
      <c r="R467">
        <f>_xlfn.XLOOKUP(frasest[[#This Row],[author_es]],autorest[author_es],autorest[image_atr])</f>
        <v>0</v>
      </c>
    </row>
    <row r="468" spans="1:18">
      <c r="A468">
        <v>467</v>
      </c>
      <c r="B468" t="s">
        <v>1611</v>
      </c>
      <c r="C468" t="s">
        <v>1612</v>
      </c>
      <c r="D468" t="s">
        <v>1612</v>
      </c>
      <c r="E468" t="s">
        <v>1600</v>
      </c>
      <c r="F468" t="s">
        <v>1613</v>
      </c>
      <c r="G468" t="str">
        <f>_xlfn.XLOOKUP(frasest[[#This Row],[author_es]],autorest[author_es],autorest[author_la])</f>
        <v>Iohannes Amos Comenius</v>
      </c>
      <c r="H468"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8"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8" t="str">
        <f>_xlfn.XLOOKUP(frasest[[#This Row],[author_es]],autorest[author_es],autorest[iso3691])</f>
        <v>la</v>
      </c>
      <c r="K468" t="str">
        <f>_xlfn.XLOOKUP(frasest[[#This Row],[author_es]],autorest[author_es],autorest[language_es])</f>
        <v>Latín</v>
      </c>
      <c r="L468" t="str">
        <f>_xlfn.XLOOKUP(frasest[[#This Row],[author_es]],autorest[author_es],autorest[language_la])</f>
        <v>Lingua Latina</v>
      </c>
      <c r="M468" t="str">
        <f>_xlfn.XLOOKUP(frasest[[#This Row],[author_es]],autorest[author_es],autorest[nation_es])</f>
        <v>Chequia</v>
      </c>
      <c r="N468" t="str">
        <f>_xlfn.XLOOKUP(frasest[[#This Row],[author_es]],autorest[author_es],autorest[nation_la])</f>
        <v>Cechia</v>
      </c>
      <c r="O468" t="str">
        <f>_xlfn.XLOOKUP(frasest[[#This Row],[author_es]],autorest[author_es],autorest[age_es])</f>
        <v>Edad Moderna</v>
      </c>
      <c r="P468" t="str">
        <f>_xlfn.XLOOKUP(frasest[[#This Row],[author_es]],autorest[author_es],autorest[age_la])</f>
        <v>Nova Aetas</v>
      </c>
      <c r="Q468" t="str">
        <f>_xlfn.XLOOKUP(frasest[[#This Row],[author_es]],autorest[author_es],autorest[image])</f>
        <v>https://i.ibb.co/fzJrNW0W/comenio.png</v>
      </c>
      <c r="R468">
        <f>_xlfn.XLOOKUP(frasest[[#This Row],[author_es]],autorest[author_es],autorest[image_atr])</f>
        <v>0</v>
      </c>
    </row>
    <row r="469" spans="1:18">
      <c r="A469">
        <v>468</v>
      </c>
      <c r="B469" t="s">
        <v>1614</v>
      </c>
      <c r="C469" t="s">
        <v>1615</v>
      </c>
      <c r="D469" t="s">
        <v>1615</v>
      </c>
      <c r="E469" t="s">
        <v>1600</v>
      </c>
      <c r="F469" t="s">
        <v>1616</v>
      </c>
      <c r="G469" t="str">
        <f>_xlfn.XLOOKUP(frasest[[#This Row],[author_es]],autorest[author_es],autorest[author_la])</f>
        <v>Iohannes Amos Comenius</v>
      </c>
      <c r="H469" t="str">
        <f>_xlfn.XLOOKUP(frasest[[#This Row],[author_es]],autorest[author_es],autorest[bio_es])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I469" t="str">
        <f>_xlfn.XLOOKUP(frasest[[#This Row],[author_es]],autorest[author_es],autorest[bio_la])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J469" t="str">
        <f>_xlfn.XLOOKUP(frasest[[#This Row],[author_es]],autorest[author_es],autorest[iso3691])</f>
        <v>la</v>
      </c>
      <c r="K469" t="str">
        <f>_xlfn.XLOOKUP(frasest[[#This Row],[author_es]],autorest[author_es],autorest[language_es])</f>
        <v>Latín</v>
      </c>
      <c r="L469" t="str">
        <f>_xlfn.XLOOKUP(frasest[[#This Row],[author_es]],autorest[author_es],autorest[language_la])</f>
        <v>Lingua Latina</v>
      </c>
      <c r="M469" t="str">
        <f>_xlfn.XLOOKUP(frasest[[#This Row],[author_es]],autorest[author_es],autorest[nation_es])</f>
        <v>Chequia</v>
      </c>
      <c r="N469" t="str">
        <f>_xlfn.XLOOKUP(frasest[[#This Row],[author_es]],autorest[author_es],autorest[nation_la])</f>
        <v>Cechia</v>
      </c>
      <c r="O469" t="str">
        <f>_xlfn.XLOOKUP(frasest[[#This Row],[author_es]],autorest[author_es],autorest[age_es])</f>
        <v>Edad Moderna</v>
      </c>
      <c r="P469" t="str">
        <f>_xlfn.XLOOKUP(frasest[[#This Row],[author_es]],autorest[author_es],autorest[age_la])</f>
        <v>Nova Aetas</v>
      </c>
      <c r="Q469" t="str">
        <f>_xlfn.XLOOKUP(frasest[[#This Row],[author_es]],autorest[author_es],autorest[image])</f>
        <v>https://i.ibb.co/fzJrNW0W/comenio.png</v>
      </c>
      <c r="R469">
        <f>_xlfn.XLOOKUP(frasest[[#This Row],[author_es]],autorest[author_es],autorest[image_atr])</f>
        <v>0</v>
      </c>
    </row>
    <row r="470" spans="1:18">
      <c r="A470">
        <v>469</v>
      </c>
      <c r="B470" t="s">
        <v>1617</v>
      </c>
      <c r="C470" t="s">
        <v>1618</v>
      </c>
      <c r="D470" t="s">
        <v>1619</v>
      </c>
      <c r="E470" t="s">
        <v>1620</v>
      </c>
      <c r="F470" t="s">
        <v>1621</v>
      </c>
      <c r="G470" t="str">
        <f>_xlfn.XLOOKUP(frasest[[#This Row],[author_es]],autorest[author_es],autorest[author_la])</f>
        <v>Ioannes Iacobus Rousseau</v>
      </c>
      <c r="H470"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0"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0" t="str">
        <f>_xlfn.XLOOKUP(frasest[[#This Row],[author_es]],autorest[author_es],autorest[iso3691])</f>
        <v>fr</v>
      </c>
      <c r="K470" t="str">
        <f>_xlfn.XLOOKUP(frasest[[#This Row],[author_es]],autorest[author_es],autorest[language_es])</f>
        <v>Francés</v>
      </c>
      <c r="L470" t="str">
        <f>_xlfn.XLOOKUP(frasest[[#This Row],[author_es]],autorest[author_es],autorest[language_la])</f>
        <v>Lingua Gallica</v>
      </c>
      <c r="M470" t="str">
        <f>_xlfn.XLOOKUP(frasest[[#This Row],[author_es]],autorest[author_es],autorest[nation_es])</f>
        <v>Suiza</v>
      </c>
      <c r="N470" t="str">
        <f>_xlfn.XLOOKUP(frasest[[#This Row],[author_es]],autorest[author_es],autorest[nation_la])</f>
        <v>Helvetia</v>
      </c>
      <c r="O470" t="str">
        <f>_xlfn.XLOOKUP(frasest[[#This Row],[author_es]],autorest[author_es],autorest[age_es])</f>
        <v>Edad Moderna</v>
      </c>
      <c r="P470" t="str">
        <f>_xlfn.XLOOKUP(frasest[[#This Row],[author_es]],autorest[author_es],autorest[age_la])</f>
        <v>Nova Aetas</v>
      </c>
      <c r="Q470" t="str">
        <f>_xlfn.XLOOKUP(frasest[[#This Row],[author_es]],autorest[author_es],autorest[image])</f>
        <v>https://i.ibb.co/3yBzY0N8/rousseau.png</v>
      </c>
      <c r="R470">
        <f>_xlfn.XLOOKUP(frasest[[#This Row],[author_es]],autorest[author_es],autorest[image_atr])</f>
        <v>0</v>
      </c>
    </row>
    <row r="471" spans="1:18">
      <c r="A471">
        <v>470</v>
      </c>
      <c r="B471" t="s">
        <v>1622</v>
      </c>
      <c r="C471" t="s">
        <v>1623</v>
      </c>
      <c r="D471" t="s">
        <v>1624</v>
      </c>
      <c r="E471" t="s">
        <v>1620</v>
      </c>
      <c r="F471" t="s">
        <v>1621</v>
      </c>
      <c r="G471" t="str">
        <f>_xlfn.XLOOKUP(frasest[[#This Row],[author_es]],autorest[author_es],autorest[author_la])</f>
        <v>Ioannes Iacobus Rousseau</v>
      </c>
      <c r="H471"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1"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1" t="str">
        <f>_xlfn.XLOOKUP(frasest[[#This Row],[author_es]],autorest[author_es],autorest[iso3691])</f>
        <v>fr</v>
      </c>
      <c r="K471" t="str">
        <f>_xlfn.XLOOKUP(frasest[[#This Row],[author_es]],autorest[author_es],autorest[language_es])</f>
        <v>Francés</v>
      </c>
      <c r="L471" t="str">
        <f>_xlfn.XLOOKUP(frasest[[#This Row],[author_es]],autorest[author_es],autorest[language_la])</f>
        <v>Lingua Gallica</v>
      </c>
      <c r="M471" t="str">
        <f>_xlfn.XLOOKUP(frasest[[#This Row],[author_es]],autorest[author_es],autorest[nation_es])</f>
        <v>Suiza</v>
      </c>
      <c r="N471" t="str">
        <f>_xlfn.XLOOKUP(frasest[[#This Row],[author_es]],autorest[author_es],autorest[nation_la])</f>
        <v>Helvetia</v>
      </c>
      <c r="O471" t="str">
        <f>_xlfn.XLOOKUP(frasest[[#This Row],[author_es]],autorest[author_es],autorest[age_es])</f>
        <v>Edad Moderna</v>
      </c>
      <c r="P471" t="str">
        <f>_xlfn.XLOOKUP(frasest[[#This Row],[author_es]],autorest[author_es],autorest[age_la])</f>
        <v>Nova Aetas</v>
      </c>
      <c r="Q471" t="str">
        <f>_xlfn.XLOOKUP(frasest[[#This Row],[author_es]],autorest[author_es],autorest[image])</f>
        <v>https://i.ibb.co/3yBzY0N8/rousseau.png</v>
      </c>
      <c r="R471">
        <f>_xlfn.XLOOKUP(frasest[[#This Row],[author_es]],autorest[author_es],autorest[image_atr])</f>
        <v>0</v>
      </c>
    </row>
    <row r="472" spans="1:18">
      <c r="A472">
        <v>471</v>
      </c>
      <c r="B472" t="s">
        <v>1625</v>
      </c>
      <c r="C472" t="s">
        <v>1626</v>
      </c>
      <c r="D472" t="s">
        <v>1627</v>
      </c>
      <c r="E472" t="s">
        <v>1620</v>
      </c>
      <c r="F472" t="s">
        <v>1621</v>
      </c>
      <c r="G472" t="str">
        <f>_xlfn.XLOOKUP(frasest[[#This Row],[author_es]],autorest[author_es],autorest[author_la])</f>
        <v>Ioannes Iacobus Rousseau</v>
      </c>
      <c r="H472"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2"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2" t="str">
        <f>_xlfn.XLOOKUP(frasest[[#This Row],[author_es]],autorest[author_es],autorest[iso3691])</f>
        <v>fr</v>
      </c>
      <c r="K472" t="str">
        <f>_xlfn.XLOOKUP(frasest[[#This Row],[author_es]],autorest[author_es],autorest[language_es])</f>
        <v>Francés</v>
      </c>
      <c r="L472" t="str">
        <f>_xlfn.XLOOKUP(frasest[[#This Row],[author_es]],autorest[author_es],autorest[language_la])</f>
        <v>Lingua Gallica</v>
      </c>
      <c r="M472" t="str">
        <f>_xlfn.XLOOKUP(frasest[[#This Row],[author_es]],autorest[author_es],autorest[nation_es])</f>
        <v>Suiza</v>
      </c>
      <c r="N472" t="str">
        <f>_xlfn.XLOOKUP(frasest[[#This Row],[author_es]],autorest[author_es],autorest[nation_la])</f>
        <v>Helvetia</v>
      </c>
      <c r="O472" t="str">
        <f>_xlfn.XLOOKUP(frasest[[#This Row],[author_es]],autorest[author_es],autorest[age_es])</f>
        <v>Edad Moderna</v>
      </c>
      <c r="P472" t="str">
        <f>_xlfn.XLOOKUP(frasest[[#This Row],[author_es]],autorest[author_es],autorest[age_la])</f>
        <v>Nova Aetas</v>
      </c>
      <c r="Q472" t="str">
        <f>_xlfn.XLOOKUP(frasest[[#This Row],[author_es]],autorest[author_es],autorest[image])</f>
        <v>https://i.ibb.co/3yBzY0N8/rousseau.png</v>
      </c>
      <c r="R472">
        <f>_xlfn.XLOOKUP(frasest[[#This Row],[author_es]],autorest[author_es],autorest[image_atr])</f>
        <v>0</v>
      </c>
    </row>
    <row r="473" spans="1:18">
      <c r="A473">
        <v>472</v>
      </c>
      <c r="B473" t="s">
        <v>1628</v>
      </c>
      <c r="C473" t="s">
        <v>1629</v>
      </c>
      <c r="D473" t="s">
        <v>1630</v>
      </c>
      <c r="E473" t="s">
        <v>1620</v>
      </c>
      <c r="F473" t="s">
        <v>1621</v>
      </c>
      <c r="G473" t="str">
        <f>_xlfn.XLOOKUP(frasest[[#This Row],[author_es]],autorest[author_es],autorest[author_la])</f>
        <v>Ioannes Iacobus Rousseau</v>
      </c>
      <c r="H473"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3"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3" t="str">
        <f>_xlfn.XLOOKUP(frasest[[#This Row],[author_es]],autorest[author_es],autorest[iso3691])</f>
        <v>fr</v>
      </c>
      <c r="K473" t="str">
        <f>_xlfn.XLOOKUP(frasest[[#This Row],[author_es]],autorest[author_es],autorest[language_es])</f>
        <v>Francés</v>
      </c>
      <c r="L473" t="str">
        <f>_xlfn.XLOOKUP(frasest[[#This Row],[author_es]],autorest[author_es],autorest[language_la])</f>
        <v>Lingua Gallica</v>
      </c>
      <c r="M473" t="str">
        <f>_xlfn.XLOOKUP(frasest[[#This Row],[author_es]],autorest[author_es],autorest[nation_es])</f>
        <v>Suiza</v>
      </c>
      <c r="N473" t="str">
        <f>_xlfn.XLOOKUP(frasest[[#This Row],[author_es]],autorest[author_es],autorest[nation_la])</f>
        <v>Helvetia</v>
      </c>
      <c r="O473" t="str">
        <f>_xlfn.XLOOKUP(frasest[[#This Row],[author_es]],autorest[author_es],autorest[age_es])</f>
        <v>Edad Moderna</v>
      </c>
      <c r="P473" t="str">
        <f>_xlfn.XLOOKUP(frasest[[#This Row],[author_es]],autorest[author_es],autorest[age_la])</f>
        <v>Nova Aetas</v>
      </c>
      <c r="Q473" t="str">
        <f>_xlfn.XLOOKUP(frasest[[#This Row],[author_es]],autorest[author_es],autorest[image])</f>
        <v>https://i.ibb.co/3yBzY0N8/rousseau.png</v>
      </c>
      <c r="R473">
        <f>_xlfn.XLOOKUP(frasest[[#This Row],[author_es]],autorest[author_es],autorest[image_atr])</f>
        <v>0</v>
      </c>
    </row>
    <row r="474" spans="1:18">
      <c r="A474">
        <v>473</v>
      </c>
      <c r="B474" t="s">
        <v>1631</v>
      </c>
      <c r="C474" t="s">
        <v>1632</v>
      </c>
      <c r="D474" t="s">
        <v>1633</v>
      </c>
      <c r="E474" t="s">
        <v>1620</v>
      </c>
      <c r="F474" t="s">
        <v>1621</v>
      </c>
      <c r="G474" t="str">
        <f>_xlfn.XLOOKUP(frasest[[#This Row],[author_es]],autorest[author_es],autorest[author_la])</f>
        <v>Ioannes Iacobus Rousseau</v>
      </c>
      <c r="H474"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4"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4" t="str">
        <f>_xlfn.XLOOKUP(frasest[[#This Row],[author_es]],autorest[author_es],autorest[iso3691])</f>
        <v>fr</v>
      </c>
      <c r="K474" t="str">
        <f>_xlfn.XLOOKUP(frasest[[#This Row],[author_es]],autorest[author_es],autorest[language_es])</f>
        <v>Francés</v>
      </c>
      <c r="L474" t="str">
        <f>_xlfn.XLOOKUP(frasest[[#This Row],[author_es]],autorest[author_es],autorest[language_la])</f>
        <v>Lingua Gallica</v>
      </c>
      <c r="M474" t="str">
        <f>_xlfn.XLOOKUP(frasest[[#This Row],[author_es]],autorest[author_es],autorest[nation_es])</f>
        <v>Suiza</v>
      </c>
      <c r="N474" t="str">
        <f>_xlfn.XLOOKUP(frasest[[#This Row],[author_es]],autorest[author_es],autorest[nation_la])</f>
        <v>Helvetia</v>
      </c>
      <c r="O474" t="str">
        <f>_xlfn.XLOOKUP(frasest[[#This Row],[author_es]],autorest[author_es],autorest[age_es])</f>
        <v>Edad Moderna</v>
      </c>
      <c r="P474" t="str">
        <f>_xlfn.XLOOKUP(frasest[[#This Row],[author_es]],autorest[author_es],autorest[age_la])</f>
        <v>Nova Aetas</v>
      </c>
      <c r="Q474" t="str">
        <f>_xlfn.XLOOKUP(frasest[[#This Row],[author_es]],autorest[author_es],autorest[image])</f>
        <v>https://i.ibb.co/3yBzY0N8/rousseau.png</v>
      </c>
      <c r="R474">
        <f>_xlfn.XLOOKUP(frasest[[#This Row],[author_es]],autorest[author_es],autorest[image_atr])</f>
        <v>0</v>
      </c>
    </row>
    <row r="475" spans="1:18">
      <c r="A475">
        <v>474</v>
      </c>
      <c r="B475" t="s">
        <v>1634</v>
      </c>
      <c r="C475" t="s">
        <v>1635</v>
      </c>
      <c r="D475" t="s">
        <v>1636</v>
      </c>
      <c r="E475" t="s">
        <v>1620</v>
      </c>
      <c r="F475" t="s">
        <v>1637</v>
      </c>
      <c r="G475" t="str">
        <f>_xlfn.XLOOKUP(frasest[[#This Row],[author_es]],autorest[author_es],autorest[author_la])</f>
        <v>Ioannes Iacobus Rousseau</v>
      </c>
      <c r="H475" t="str">
        <f>_xlfn.XLOOKUP(frasest[[#This Row],[author_es]],autorest[author_es],autorest[bio_es])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I475" t="str">
        <f>_xlfn.XLOOKUP(frasest[[#This Row],[author_es]],autorest[author_es],autorest[bio_la])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J475" t="str">
        <f>_xlfn.XLOOKUP(frasest[[#This Row],[author_es]],autorest[author_es],autorest[iso3691])</f>
        <v>fr</v>
      </c>
      <c r="K475" t="str">
        <f>_xlfn.XLOOKUP(frasest[[#This Row],[author_es]],autorest[author_es],autorest[language_es])</f>
        <v>Francés</v>
      </c>
      <c r="L475" t="str">
        <f>_xlfn.XLOOKUP(frasest[[#This Row],[author_es]],autorest[author_es],autorest[language_la])</f>
        <v>Lingua Gallica</v>
      </c>
      <c r="M475" t="str">
        <f>_xlfn.XLOOKUP(frasest[[#This Row],[author_es]],autorest[author_es],autorest[nation_es])</f>
        <v>Suiza</v>
      </c>
      <c r="N475" t="str">
        <f>_xlfn.XLOOKUP(frasest[[#This Row],[author_es]],autorest[author_es],autorest[nation_la])</f>
        <v>Helvetia</v>
      </c>
      <c r="O475" t="str">
        <f>_xlfn.XLOOKUP(frasest[[#This Row],[author_es]],autorest[author_es],autorest[age_es])</f>
        <v>Edad Moderna</v>
      </c>
      <c r="P475" t="str">
        <f>_xlfn.XLOOKUP(frasest[[#This Row],[author_es]],autorest[author_es],autorest[age_la])</f>
        <v>Nova Aetas</v>
      </c>
      <c r="Q475" t="str">
        <f>_xlfn.XLOOKUP(frasest[[#This Row],[author_es]],autorest[author_es],autorest[image])</f>
        <v>https://i.ibb.co/3yBzY0N8/rousseau.png</v>
      </c>
      <c r="R475">
        <f>_xlfn.XLOOKUP(frasest[[#This Row],[author_es]],autorest[author_es],autorest[image_atr])</f>
        <v>0</v>
      </c>
    </row>
    <row r="476" spans="1:18">
      <c r="A476">
        <v>475</v>
      </c>
      <c r="B476" t="s">
        <v>1638</v>
      </c>
      <c r="C476" t="s">
        <v>1639</v>
      </c>
      <c r="D476" t="s">
        <v>1640</v>
      </c>
      <c r="E476" t="s">
        <v>1641</v>
      </c>
      <c r="F476" t="s">
        <v>1642</v>
      </c>
      <c r="G476" t="str">
        <f>_xlfn.XLOOKUP(frasest[[#This Row],[author_es]],autorest[author_es],autorest[author_la])</f>
        <v>Iohannes Henricus Pestalozzi</v>
      </c>
      <c r="H476"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6"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6" t="str">
        <f>_xlfn.XLOOKUP(frasest[[#This Row],[author_es]],autorest[author_es],autorest[iso3691])</f>
        <v>de</v>
      </c>
      <c r="K476" t="str">
        <f>_xlfn.XLOOKUP(frasest[[#This Row],[author_es]],autorest[author_es],autorest[language_es])</f>
        <v>Alemán</v>
      </c>
      <c r="L476" t="str">
        <f>_xlfn.XLOOKUP(frasest[[#This Row],[author_es]],autorest[author_es],autorest[language_la])</f>
        <v>Lingua Germanica</v>
      </c>
      <c r="M476" t="str">
        <f>_xlfn.XLOOKUP(frasest[[#This Row],[author_es]],autorest[author_es],autorest[nation_es])</f>
        <v>Suiza</v>
      </c>
      <c r="N476" t="str">
        <f>_xlfn.XLOOKUP(frasest[[#This Row],[author_es]],autorest[author_es],autorest[nation_la])</f>
        <v>Helvetia</v>
      </c>
      <c r="O476" t="str">
        <f>_xlfn.XLOOKUP(frasest[[#This Row],[author_es]],autorest[author_es],autorest[age_es])</f>
        <v>Edad Moderna</v>
      </c>
      <c r="P476" t="str">
        <f>_xlfn.XLOOKUP(frasest[[#This Row],[author_es]],autorest[author_es],autorest[age_la])</f>
        <v>Nova Aetas</v>
      </c>
      <c r="Q476" t="str">
        <f>_xlfn.XLOOKUP(frasest[[#This Row],[author_es]],autorest[author_es],autorest[image])</f>
        <v>https://i.ibb.co/nNjVdCkf/pestalozzi.png</v>
      </c>
      <c r="R476">
        <f>_xlfn.XLOOKUP(frasest[[#This Row],[author_es]],autorest[author_es],autorest[image_atr])</f>
        <v>0</v>
      </c>
    </row>
    <row r="477" spans="1:18">
      <c r="A477">
        <v>476</v>
      </c>
      <c r="B477" t="s">
        <v>1643</v>
      </c>
      <c r="C477" t="s">
        <v>1644</v>
      </c>
      <c r="D477" t="s">
        <v>1645</v>
      </c>
      <c r="E477" t="s">
        <v>1641</v>
      </c>
      <c r="F477" t="s">
        <v>1642</v>
      </c>
      <c r="G477" t="str">
        <f>_xlfn.XLOOKUP(frasest[[#This Row],[author_es]],autorest[author_es],autorest[author_la])</f>
        <v>Iohannes Henricus Pestalozzi</v>
      </c>
      <c r="H477"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7"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7" t="str">
        <f>_xlfn.XLOOKUP(frasest[[#This Row],[author_es]],autorest[author_es],autorest[iso3691])</f>
        <v>de</v>
      </c>
      <c r="K477" t="str">
        <f>_xlfn.XLOOKUP(frasest[[#This Row],[author_es]],autorest[author_es],autorest[language_es])</f>
        <v>Alemán</v>
      </c>
      <c r="L477" t="str">
        <f>_xlfn.XLOOKUP(frasest[[#This Row],[author_es]],autorest[author_es],autorest[language_la])</f>
        <v>Lingua Germanica</v>
      </c>
      <c r="M477" t="str">
        <f>_xlfn.XLOOKUP(frasest[[#This Row],[author_es]],autorest[author_es],autorest[nation_es])</f>
        <v>Suiza</v>
      </c>
      <c r="N477" t="str">
        <f>_xlfn.XLOOKUP(frasest[[#This Row],[author_es]],autorest[author_es],autorest[nation_la])</f>
        <v>Helvetia</v>
      </c>
      <c r="O477" t="str">
        <f>_xlfn.XLOOKUP(frasest[[#This Row],[author_es]],autorest[author_es],autorest[age_es])</f>
        <v>Edad Moderna</v>
      </c>
      <c r="P477" t="str">
        <f>_xlfn.XLOOKUP(frasest[[#This Row],[author_es]],autorest[author_es],autorest[age_la])</f>
        <v>Nova Aetas</v>
      </c>
      <c r="Q477" t="str">
        <f>_xlfn.XLOOKUP(frasest[[#This Row],[author_es]],autorest[author_es],autorest[image])</f>
        <v>https://i.ibb.co/nNjVdCkf/pestalozzi.png</v>
      </c>
      <c r="R477">
        <f>_xlfn.XLOOKUP(frasest[[#This Row],[author_es]],autorest[author_es],autorest[image_atr])</f>
        <v>0</v>
      </c>
    </row>
    <row r="478" spans="1:18">
      <c r="A478">
        <v>477</v>
      </c>
      <c r="B478" t="s">
        <v>1646</v>
      </c>
      <c r="C478" t="s">
        <v>1647</v>
      </c>
      <c r="D478" t="s">
        <v>1648</v>
      </c>
      <c r="E478" t="s">
        <v>1641</v>
      </c>
      <c r="F478" t="s">
        <v>1642</v>
      </c>
      <c r="G478" t="str">
        <f>_xlfn.XLOOKUP(frasest[[#This Row],[author_es]],autorest[author_es],autorest[author_la])</f>
        <v>Iohannes Henricus Pestalozzi</v>
      </c>
      <c r="H478"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8"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8" t="str">
        <f>_xlfn.XLOOKUP(frasest[[#This Row],[author_es]],autorest[author_es],autorest[iso3691])</f>
        <v>de</v>
      </c>
      <c r="K478" t="str">
        <f>_xlfn.XLOOKUP(frasest[[#This Row],[author_es]],autorest[author_es],autorest[language_es])</f>
        <v>Alemán</v>
      </c>
      <c r="L478" t="str">
        <f>_xlfn.XLOOKUP(frasest[[#This Row],[author_es]],autorest[author_es],autorest[language_la])</f>
        <v>Lingua Germanica</v>
      </c>
      <c r="M478" t="str">
        <f>_xlfn.XLOOKUP(frasest[[#This Row],[author_es]],autorest[author_es],autorest[nation_es])</f>
        <v>Suiza</v>
      </c>
      <c r="N478" t="str">
        <f>_xlfn.XLOOKUP(frasest[[#This Row],[author_es]],autorest[author_es],autorest[nation_la])</f>
        <v>Helvetia</v>
      </c>
      <c r="O478" t="str">
        <f>_xlfn.XLOOKUP(frasest[[#This Row],[author_es]],autorest[author_es],autorest[age_es])</f>
        <v>Edad Moderna</v>
      </c>
      <c r="P478" t="str">
        <f>_xlfn.XLOOKUP(frasest[[#This Row],[author_es]],autorest[author_es],autorest[age_la])</f>
        <v>Nova Aetas</v>
      </c>
      <c r="Q478" t="str">
        <f>_xlfn.XLOOKUP(frasest[[#This Row],[author_es]],autorest[author_es],autorest[image])</f>
        <v>https://i.ibb.co/nNjVdCkf/pestalozzi.png</v>
      </c>
      <c r="R478">
        <f>_xlfn.XLOOKUP(frasest[[#This Row],[author_es]],autorest[author_es],autorest[image_atr])</f>
        <v>0</v>
      </c>
    </row>
    <row r="479" spans="1:18">
      <c r="A479">
        <v>478</v>
      </c>
      <c r="B479" t="s">
        <v>1649</v>
      </c>
      <c r="C479" t="s">
        <v>1650</v>
      </c>
      <c r="D479" t="s">
        <v>1651</v>
      </c>
      <c r="E479" t="s">
        <v>1641</v>
      </c>
      <c r="F479" t="s">
        <v>1642</v>
      </c>
      <c r="G479" t="str">
        <f>_xlfn.XLOOKUP(frasest[[#This Row],[author_es]],autorest[author_es],autorest[author_la])</f>
        <v>Iohannes Henricus Pestalozzi</v>
      </c>
      <c r="H479"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79"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79" t="str">
        <f>_xlfn.XLOOKUP(frasest[[#This Row],[author_es]],autorest[author_es],autorest[iso3691])</f>
        <v>de</v>
      </c>
      <c r="K479" t="str">
        <f>_xlfn.XLOOKUP(frasest[[#This Row],[author_es]],autorest[author_es],autorest[language_es])</f>
        <v>Alemán</v>
      </c>
      <c r="L479" t="str">
        <f>_xlfn.XLOOKUP(frasest[[#This Row],[author_es]],autorest[author_es],autorest[language_la])</f>
        <v>Lingua Germanica</v>
      </c>
      <c r="M479" t="str">
        <f>_xlfn.XLOOKUP(frasest[[#This Row],[author_es]],autorest[author_es],autorest[nation_es])</f>
        <v>Suiza</v>
      </c>
      <c r="N479" t="str">
        <f>_xlfn.XLOOKUP(frasest[[#This Row],[author_es]],autorest[author_es],autorest[nation_la])</f>
        <v>Helvetia</v>
      </c>
      <c r="O479" t="str">
        <f>_xlfn.XLOOKUP(frasest[[#This Row],[author_es]],autorest[author_es],autorest[age_es])</f>
        <v>Edad Moderna</v>
      </c>
      <c r="P479" t="str">
        <f>_xlfn.XLOOKUP(frasest[[#This Row],[author_es]],autorest[author_es],autorest[age_la])</f>
        <v>Nova Aetas</v>
      </c>
      <c r="Q479" t="str">
        <f>_xlfn.XLOOKUP(frasest[[#This Row],[author_es]],autorest[author_es],autorest[image])</f>
        <v>https://i.ibb.co/nNjVdCkf/pestalozzi.png</v>
      </c>
      <c r="R479">
        <f>_xlfn.XLOOKUP(frasest[[#This Row],[author_es]],autorest[author_es],autorest[image_atr])</f>
        <v>0</v>
      </c>
    </row>
    <row r="480" spans="1:18">
      <c r="A480">
        <v>479</v>
      </c>
      <c r="B480" t="s">
        <v>1652</v>
      </c>
      <c r="C480" t="s">
        <v>1653</v>
      </c>
      <c r="D480" t="s">
        <v>1654</v>
      </c>
      <c r="E480" t="s">
        <v>1641</v>
      </c>
      <c r="F480" t="s">
        <v>1642</v>
      </c>
      <c r="G480" t="str">
        <f>_xlfn.XLOOKUP(frasest[[#This Row],[author_es]],autorest[author_es],autorest[author_la])</f>
        <v>Iohannes Henricus Pestalozzi</v>
      </c>
      <c r="H480"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0"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0" t="str">
        <f>_xlfn.XLOOKUP(frasest[[#This Row],[author_es]],autorest[author_es],autorest[iso3691])</f>
        <v>de</v>
      </c>
      <c r="K480" t="str">
        <f>_xlfn.XLOOKUP(frasest[[#This Row],[author_es]],autorest[author_es],autorest[language_es])</f>
        <v>Alemán</v>
      </c>
      <c r="L480" t="str">
        <f>_xlfn.XLOOKUP(frasest[[#This Row],[author_es]],autorest[author_es],autorest[language_la])</f>
        <v>Lingua Germanica</v>
      </c>
      <c r="M480" t="str">
        <f>_xlfn.XLOOKUP(frasest[[#This Row],[author_es]],autorest[author_es],autorest[nation_es])</f>
        <v>Suiza</v>
      </c>
      <c r="N480" t="str">
        <f>_xlfn.XLOOKUP(frasest[[#This Row],[author_es]],autorest[author_es],autorest[nation_la])</f>
        <v>Helvetia</v>
      </c>
      <c r="O480" t="str">
        <f>_xlfn.XLOOKUP(frasest[[#This Row],[author_es]],autorest[author_es],autorest[age_es])</f>
        <v>Edad Moderna</v>
      </c>
      <c r="P480" t="str">
        <f>_xlfn.XLOOKUP(frasest[[#This Row],[author_es]],autorest[author_es],autorest[age_la])</f>
        <v>Nova Aetas</v>
      </c>
      <c r="Q480" t="str">
        <f>_xlfn.XLOOKUP(frasest[[#This Row],[author_es]],autorest[author_es],autorest[image])</f>
        <v>https://i.ibb.co/nNjVdCkf/pestalozzi.png</v>
      </c>
      <c r="R480">
        <f>_xlfn.XLOOKUP(frasest[[#This Row],[author_es]],autorest[author_es],autorest[image_atr])</f>
        <v>0</v>
      </c>
    </row>
    <row r="481" spans="1:18">
      <c r="A481">
        <v>480</v>
      </c>
      <c r="B481" t="s">
        <v>1655</v>
      </c>
      <c r="C481" t="s">
        <v>1656</v>
      </c>
      <c r="D481" t="s">
        <v>1657</v>
      </c>
      <c r="E481" t="s">
        <v>1641</v>
      </c>
      <c r="F481" t="s">
        <v>1642</v>
      </c>
      <c r="G481" t="str">
        <f>_xlfn.XLOOKUP(frasest[[#This Row],[author_es]],autorest[author_es],autorest[author_la])</f>
        <v>Iohannes Henricus Pestalozzi</v>
      </c>
      <c r="H481" t="str">
        <f>_xlfn.XLOOKUP(frasest[[#This Row],[author_es]],autorest[author_es],autorest[bio_es])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I481" t="str">
        <f>_xlfn.XLOOKUP(frasest[[#This Row],[author_es]],autorest[author_es],autorest[bio_la])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J481" t="str">
        <f>_xlfn.XLOOKUP(frasest[[#This Row],[author_es]],autorest[author_es],autorest[iso3691])</f>
        <v>de</v>
      </c>
      <c r="K481" t="str">
        <f>_xlfn.XLOOKUP(frasest[[#This Row],[author_es]],autorest[author_es],autorest[language_es])</f>
        <v>Alemán</v>
      </c>
      <c r="L481" t="str">
        <f>_xlfn.XLOOKUP(frasest[[#This Row],[author_es]],autorest[author_es],autorest[language_la])</f>
        <v>Lingua Germanica</v>
      </c>
      <c r="M481" t="str">
        <f>_xlfn.XLOOKUP(frasest[[#This Row],[author_es]],autorest[author_es],autorest[nation_es])</f>
        <v>Suiza</v>
      </c>
      <c r="N481" t="str">
        <f>_xlfn.XLOOKUP(frasest[[#This Row],[author_es]],autorest[author_es],autorest[nation_la])</f>
        <v>Helvetia</v>
      </c>
      <c r="O481" t="str">
        <f>_xlfn.XLOOKUP(frasest[[#This Row],[author_es]],autorest[author_es],autorest[age_es])</f>
        <v>Edad Moderna</v>
      </c>
      <c r="P481" t="str">
        <f>_xlfn.XLOOKUP(frasest[[#This Row],[author_es]],autorest[author_es],autorest[age_la])</f>
        <v>Nova Aetas</v>
      </c>
      <c r="Q481" t="str">
        <f>_xlfn.XLOOKUP(frasest[[#This Row],[author_es]],autorest[author_es],autorest[image])</f>
        <v>https://i.ibb.co/nNjVdCkf/pestalozzi.png</v>
      </c>
      <c r="R481">
        <f>_xlfn.XLOOKUP(frasest[[#This Row],[author_es]],autorest[author_es],autorest[image_atr])</f>
        <v>0</v>
      </c>
    </row>
    <row r="482" spans="1:18">
      <c r="A482">
        <v>481</v>
      </c>
      <c r="B482" t="s">
        <v>1658</v>
      </c>
      <c r="C482" t="s">
        <v>1659</v>
      </c>
      <c r="D482" t="s">
        <v>1660</v>
      </c>
      <c r="E482" t="s">
        <v>1661</v>
      </c>
      <c r="F482" t="s">
        <v>1662</v>
      </c>
      <c r="G482" t="str">
        <f>_xlfn.XLOOKUP(frasest[[#This Row],[author_es]],autorest[author_es],autorest[author_la])</f>
        <v>Ioannes Piaget</v>
      </c>
      <c r="H482"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2"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2" t="str">
        <f>_xlfn.XLOOKUP(frasest[[#This Row],[author_es]],autorest[author_es],autorest[iso3691])</f>
        <v>fr</v>
      </c>
      <c r="K482" t="str">
        <f>_xlfn.XLOOKUP(frasest[[#This Row],[author_es]],autorest[author_es],autorest[language_es])</f>
        <v>Francés</v>
      </c>
      <c r="L482" t="str">
        <f>_xlfn.XLOOKUP(frasest[[#This Row],[author_es]],autorest[author_es],autorest[language_la])</f>
        <v>Lingua Gallica</v>
      </c>
      <c r="M482" t="str">
        <f>_xlfn.XLOOKUP(frasest[[#This Row],[author_es]],autorest[author_es],autorest[nation_es])</f>
        <v>Suiza</v>
      </c>
      <c r="N482" t="str">
        <f>_xlfn.XLOOKUP(frasest[[#This Row],[author_es]],autorest[author_es],autorest[nation_la])</f>
        <v>Helvetia</v>
      </c>
      <c r="O482" t="str">
        <f>_xlfn.XLOOKUP(frasest[[#This Row],[author_es]],autorest[author_es],autorest[age_es])</f>
        <v>Edad Contemporánea</v>
      </c>
      <c r="P482" t="str">
        <f>_xlfn.XLOOKUP(frasest[[#This Row],[author_es]],autorest[author_es],autorest[age_la])</f>
        <v>Aetas Contemporanea</v>
      </c>
      <c r="Q482" t="str">
        <f>_xlfn.XLOOKUP(frasest[[#This Row],[author_es]],autorest[author_es],autorest[image])</f>
        <v>https://i.ibb.co/5xBrX10s/jeanpiaget.png</v>
      </c>
      <c r="R482">
        <f>_xlfn.XLOOKUP(frasest[[#This Row],[author_es]],autorest[author_es],autorest[image_atr])</f>
        <v>0</v>
      </c>
    </row>
    <row r="483" spans="1:18">
      <c r="A483">
        <v>482</v>
      </c>
      <c r="B483" t="s">
        <v>1663</v>
      </c>
      <c r="C483" t="s">
        <v>1664</v>
      </c>
      <c r="D483" t="s">
        <v>1665</v>
      </c>
      <c r="E483" t="s">
        <v>1661</v>
      </c>
      <c r="F483" t="s">
        <v>1662</v>
      </c>
      <c r="G483" t="str">
        <f>_xlfn.XLOOKUP(frasest[[#This Row],[author_es]],autorest[author_es],autorest[author_la])</f>
        <v>Ioannes Piaget</v>
      </c>
      <c r="H483"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3"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3" t="str">
        <f>_xlfn.XLOOKUP(frasest[[#This Row],[author_es]],autorest[author_es],autorest[iso3691])</f>
        <v>fr</v>
      </c>
      <c r="K483" t="str">
        <f>_xlfn.XLOOKUP(frasest[[#This Row],[author_es]],autorest[author_es],autorest[language_es])</f>
        <v>Francés</v>
      </c>
      <c r="L483" t="str">
        <f>_xlfn.XLOOKUP(frasest[[#This Row],[author_es]],autorest[author_es],autorest[language_la])</f>
        <v>Lingua Gallica</v>
      </c>
      <c r="M483" t="str">
        <f>_xlfn.XLOOKUP(frasest[[#This Row],[author_es]],autorest[author_es],autorest[nation_es])</f>
        <v>Suiza</v>
      </c>
      <c r="N483" t="str">
        <f>_xlfn.XLOOKUP(frasest[[#This Row],[author_es]],autorest[author_es],autorest[nation_la])</f>
        <v>Helvetia</v>
      </c>
      <c r="O483" t="str">
        <f>_xlfn.XLOOKUP(frasest[[#This Row],[author_es]],autorest[author_es],autorest[age_es])</f>
        <v>Edad Contemporánea</v>
      </c>
      <c r="P483" t="str">
        <f>_xlfn.XLOOKUP(frasest[[#This Row],[author_es]],autorest[author_es],autorest[age_la])</f>
        <v>Aetas Contemporanea</v>
      </c>
      <c r="Q483" t="str">
        <f>_xlfn.XLOOKUP(frasest[[#This Row],[author_es]],autorest[author_es],autorest[image])</f>
        <v>https://i.ibb.co/5xBrX10s/jeanpiaget.png</v>
      </c>
      <c r="R483">
        <f>_xlfn.XLOOKUP(frasest[[#This Row],[author_es]],autorest[author_es],autorest[image_atr])</f>
        <v>0</v>
      </c>
    </row>
    <row r="484" spans="1:18">
      <c r="A484">
        <v>483</v>
      </c>
      <c r="B484" t="s">
        <v>1666</v>
      </c>
      <c r="C484" t="s">
        <v>1667</v>
      </c>
      <c r="D484" t="s">
        <v>1668</v>
      </c>
      <c r="E484" t="s">
        <v>1661</v>
      </c>
      <c r="F484" t="s">
        <v>1662</v>
      </c>
      <c r="G484" t="str">
        <f>_xlfn.XLOOKUP(frasest[[#This Row],[author_es]],autorest[author_es],autorest[author_la])</f>
        <v>Ioannes Piaget</v>
      </c>
      <c r="H484"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4"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4" t="str">
        <f>_xlfn.XLOOKUP(frasest[[#This Row],[author_es]],autorest[author_es],autorest[iso3691])</f>
        <v>fr</v>
      </c>
      <c r="K484" t="str">
        <f>_xlfn.XLOOKUP(frasest[[#This Row],[author_es]],autorest[author_es],autorest[language_es])</f>
        <v>Francés</v>
      </c>
      <c r="L484" t="str">
        <f>_xlfn.XLOOKUP(frasest[[#This Row],[author_es]],autorest[author_es],autorest[language_la])</f>
        <v>Lingua Gallica</v>
      </c>
      <c r="M484" t="str">
        <f>_xlfn.XLOOKUP(frasest[[#This Row],[author_es]],autorest[author_es],autorest[nation_es])</f>
        <v>Suiza</v>
      </c>
      <c r="N484" t="str">
        <f>_xlfn.XLOOKUP(frasest[[#This Row],[author_es]],autorest[author_es],autorest[nation_la])</f>
        <v>Helvetia</v>
      </c>
      <c r="O484" t="str">
        <f>_xlfn.XLOOKUP(frasest[[#This Row],[author_es]],autorest[author_es],autorest[age_es])</f>
        <v>Edad Contemporánea</v>
      </c>
      <c r="P484" t="str">
        <f>_xlfn.XLOOKUP(frasest[[#This Row],[author_es]],autorest[author_es],autorest[age_la])</f>
        <v>Aetas Contemporanea</v>
      </c>
      <c r="Q484" t="str">
        <f>_xlfn.XLOOKUP(frasest[[#This Row],[author_es]],autorest[author_es],autorest[image])</f>
        <v>https://i.ibb.co/5xBrX10s/jeanpiaget.png</v>
      </c>
      <c r="R484">
        <f>_xlfn.XLOOKUP(frasest[[#This Row],[author_es]],autorest[author_es],autorest[image_atr])</f>
        <v>0</v>
      </c>
    </row>
    <row r="485" spans="1:18">
      <c r="A485">
        <v>484</v>
      </c>
      <c r="B485" t="s">
        <v>1669</v>
      </c>
      <c r="C485" t="s">
        <v>1670</v>
      </c>
      <c r="D485" t="s">
        <v>1671</v>
      </c>
      <c r="E485" t="s">
        <v>1661</v>
      </c>
      <c r="F485" t="s">
        <v>1662</v>
      </c>
      <c r="G485" t="str">
        <f>_xlfn.XLOOKUP(frasest[[#This Row],[author_es]],autorest[author_es],autorest[author_la])</f>
        <v>Ioannes Piaget</v>
      </c>
      <c r="H485"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5"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5" t="str">
        <f>_xlfn.XLOOKUP(frasest[[#This Row],[author_es]],autorest[author_es],autorest[iso3691])</f>
        <v>fr</v>
      </c>
      <c r="K485" t="str">
        <f>_xlfn.XLOOKUP(frasest[[#This Row],[author_es]],autorest[author_es],autorest[language_es])</f>
        <v>Francés</v>
      </c>
      <c r="L485" t="str">
        <f>_xlfn.XLOOKUP(frasest[[#This Row],[author_es]],autorest[author_es],autorest[language_la])</f>
        <v>Lingua Gallica</v>
      </c>
      <c r="M485" t="str">
        <f>_xlfn.XLOOKUP(frasest[[#This Row],[author_es]],autorest[author_es],autorest[nation_es])</f>
        <v>Suiza</v>
      </c>
      <c r="N485" t="str">
        <f>_xlfn.XLOOKUP(frasest[[#This Row],[author_es]],autorest[author_es],autorest[nation_la])</f>
        <v>Helvetia</v>
      </c>
      <c r="O485" t="str">
        <f>_xlfn.XLOOKUP(frasest[[#This Row],[author_es]],autorest[author_es],autorest[age_es])</f>
        <v>Edad Contemporánea</v>
      </c>
      <c r="P485" t="str">
        <f>_xlfn.XLOOKUP(frasest[[#This Row],[author_es]],autorest[author_es],autorest[age_la])</f>
        <v>Aetas Contemporanea</v>
      </c>
      <c r="Q485" t="str">
        <f>_xlfn.XLOOKUP(frasest[[#This Row],[author_es]],autorest[author_es],autorest[image])</f>
        <v>https://i.ibb.co/5xBrX10s/jeanpiaget.png</v>
      </c>
      <c r="R485">
        <f>_xlfn.XLOOKUP(frasest[[#This Row],[author_es]],autorest[author_es],autorest[image_atr])</f>
        <v>0</v>
      </c>
    </row>
    <row r="486" spans="1:18">
      <c r="A486">
        <v>485</v>
      </c>
      <c r="B486" t="s">
        <v>1672</v>
      </c>
      <c r="C486" t="s">
        <v>1673</v>
      </c>
      <c r="D486" t="s">
        <v>1674</v>
      </c>
      <c r="E486" t="s">
        <v>1661</v>
      </c>
      <c r="F486" t="s">
        <v>1662</v>
      </c>
      <c r="G486" t="str">
        <f>_xlfn.XLOOKUP(frasest[[#This Row],[author_es]],autorest[author_es],autorest[author_la])</f>
        <v>Ioannes Piaget</v>
      </c>
      <c r="H486"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6"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6" t="str">
        <f>_xlfn.XLOOKUP(frasest[[#This Row],[author_es]],autorest[author_es],autorest[iso3691])</f>
        <v>fr</v>
      </c>
      <c r="K486" t="str">
        <f>_xlfn.XLOOKUP(frasest[[#This Row],[author_es]],autorest[author_es],autorest[language_es])</f>
        <v>Francés</v>
      </c>
      <c r="L486" t="str">
        <f>_xlfn.XLOOKUP(frasest[[#This Row],[author_es]],autorest[author_es],autorest[language_la])</f>
        <v>Lingua Gallica</v>
      </c>
      <c r="M486" t="str">
        <f>_xlfn.XLOOKUP(frasest[[#This Row],[author_es]],autorest[author_es],autorest[nation_es])</f>
        <v>Suiza</v>
      </c>
      <c r="N486" t="str">
        <f>_xlfn.XLOOKUP(frasest[[#This Row],[author_es]],autorest[author_es],autorest[nation_la])</f>
        <v>Helvetia</v>
      </c>
      <c r="O486" t="str">
        <f>_xlfn.XLOOKUP(frasest[[#This Row],[author_es]],autorest[author_es],autorest[age_es])</f>
        <v>Edad Contemporánea</v>
      </c>
      <c r="P486" t="str">
        <f>_xlfn.XLOOKUP(frasest[[#This Row],[author_es]],autorest[author_es],autorest[age_la])</f>
        <v>Aetas Contemporanea</v>
      </c>
      <c r="Q486" t="str">
        <f>_xlfn.XLOOKUP(frasest[[#This Row],[author_es]],autorest[author_es],autorest[image])</f>
        <v>https://i.ibb.co/5xBrX10s/jeanpiaget.png</v>
      </c>
      <c r="R486">
        <f>_xlfn.XLOOKUP(frasest[[#This Row],[author_es]],autorest[author_es],autorest[image_atr])</f>
        <v>0</v>
      </c>
    </row>
    <row r="487" spans="1:18">
      <c r="A487">
        <v>486</v>
      </c>
      <c r="B487" t="s">
        <v>1675</v>
      </c>
      <c r="C487" t="s">
        <v>1676</v>
      </c>
      <c r="D487" t="s">
        <v>1677</v>
      </c>
      <c r="E487" t="s">
        <v>1661</v>
      </c>
      <c r="F487" t="s">
        <v>1662</v>
      </c>
      <c r="G487" t="str">
        <f>_xlfn.XLOOKUP(frasest[[#This Row],[author_es]],autorest[author_es],autorest[author_la])</f>
        <v>Ioannes Piaget</v>
      </c>
      <c r="H487" t="str">
        <f>_xlfn.XLOOKUP(frasest[[#This Row],[author_es]],autorest[author_es],autorest[bio_es])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I487" t="str">
        <f>_xlfn.XLOOKUP(frasest[[#This Row],[author_es]],autorest[author_es],autorest[bio_la])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J487" t="str">
        <f>_xlfn.XLOOKUP(frasest[[#This Row],[author_es]],autorest[author_es],autorest[iso3691])</f>
        <v>fr</v>
      </c>
      <c r="K487" t="str">
        <f>_xlfn.XLOOKUP(frasest[[#This Row],[author_es]],autorest[author_es],autorest[language_es])</f>
        <v>Francés</v>
      </c>
      <c r="L487" t="str">
        <f>_xlfn.XLOOKUP(frasest[[#This Row],[author_es]],autorest[author_es],autorest[language_la])</f>
        <v>Lingua Gallica</v>
      </c>
      <c r="M487" t="str">
        <f>_xlfn.XLOOKUP(frasest[[#This Row],[author_es]],autorest[author_es],autorest[nation_es])</f>
        <v>Suiza</v>
      </c>
      <c r="N487" t="str">
        <f>_xlfn.XLOOKUP(frasest[[#This Row],[author_es]],autorest[author_es],autorest[nation_la])</f>
        <v>Helvetia</v>
      </c>
      <c r="O487" t="str">
        <f>_xlfn.XLOOKUP(frasest[[#This Row],[author_es]],autorest[author_es],autorest[age_es])</f>
        <v>Edad Contemporánea</v>
      </c>
      <c r="P487" t="str">
        <f>_xlfn.XLOOKUP(frasest[[#This Row],[author_es]],autorest[author_es],autorest[age_la])</f>
        <v>Aetas Contemporanea</v>
      </c>
      <c r="Q487" t="str">
        <f>_xlfn.XLOOKUP(frasest[[#This Row],[author_es]],autorest[author_es],autorest[image])</f>
        <v>https://i.ibb.co/5xBrX10s/jeanpiaget.png</v>
      </c>
      <c r="R487">
        <f>_xlfn.XLOOKUP(frasest[[#This Row],[author_es]],autorest[author_es],autorest[image_atr])</f>
        <v>0</v>
      </c>
    </row>
    <row r="488" spans="1:18">
      <c r="A488">
        <v>487</v>
      </c>
      <c r="B488" t="s">
        <v>1678</v>
      </c>
      <c r="C488" t="s">
        <v>1679</v>
      </c>
      <c r="D488" t="s">
        <v>1680</v>
      </c>
      <c r="E488" t="s">
        <v>1681</v>
      </c>
      <c r="F488" t="s">
        <v>1682</v>
      </c>
      <c r="G488" t="str">
        <f>_xlfn.XLOOKUP(frasest[[#This Row],[author_es]],autorest[author_es],autorest[author_la])</f>
        <v>Lev Vygotsky</v>
      </c>
      <c r="H488"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8"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8" t="str">
        <f>_xlfn.XLOOKUP(frasest[[#This Row],[author_es]],autorest[author_es],autorest[iso3691])</f>
        <v>ru</v>
      </c>
      <c r="K488" t="str">
        <f>_xlfn.XLOOKUP(frasest[[#This Row],[author_es]],autorest[author_es],autorest[language_es])</f>
        <v>Ruso</v>
      </c>
      <c r="L488" t="str">
        <f>_xlfn.XLOOKUP(frasest[[#This Row],[author_es]],autorest[author_es],autorest[language_la])</f>
        <v>Lingua Russica</v>
      </c>
      <c r="M488" t="str">
        <f>_xlfn.XLOOKUP(frasest[[#This Row],[author_es]],autorest[author_es],autorest[nation_es])</f>
        <v>Rusia</v>
      </c>
      <c r="N488" t="str">
        <f>_xlfn.XLOOKUP(frasest[[#This Row],[author_es]],autorest[author_es],autorest[nation_la])</f>
        <v>Russia</v>
      </c>
      <c r="O488" t="str">
        <f>_xlfn.XLOOKUP(frasest[[#This Row],[author_es]],autorest[author_es],autorest[age_es])</f>
        <v>Edad Contemporánea</v>
      </c>
      <c r="P488" t="str">
        <f>_xlfn.XLOOKUP(frasest[[#This Row],[author_es]],autorest[author_es],autorest[age_la])</f>
        <v>Aetas Contemporanea</v>
      </c>
      <c r="Q488" t="str">
        <f>_xlfn.XLOOKUP(frasest[[#This Row],[author_es]],autorest[author_es],autorest[image])</f>
        <v>https://i.ibb.co/60c7p4y9/vigotsky.png</v>
      </c>
      <c r="R488">
        <f>_xlfn.XLOOKUP(frasest[[#This Row],[author_es]],autorest[author_es],autorest[image_atr])</f>
        <v>0</v>
      </c>
    </row>
    <row r="489" spans="1:18">
      <c r="A489">
        <v>488</v>
      </c>
      <c r="B489" t="s">
        <v>1683</v>
      </c>
      <c r="C489" t="s">
        <v>1684</v>
      </c>
      <c r="D489" t="s">
        <v>1685</v>
      </c>
      <c r="E489" t="s">
        <v>1681</v>
      </c>
      <c r="F489" t="s">
        <v>1682</v>
      </c>
      <c r="G489" t="str">
        <f>_xlfn.XLOOKUP(frasest[[#This Row],[author_es]],autorest[author_es],autorest[author_la])</f>
        <v>Lev Vygotsky</v>
      </c>
      <c r="H489"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89"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89" t="str">
        <f>_xlfn.XLOOKUP(frasest[[#This Row],[author_es]],autorest[author_es],autorest[iso3691])</f>
        <v>ru</v>
      </c>
      <c r="K489" t="str">
        <f>_xlfn.XLOOKUP(frasest[[#This Row],[author_es]],autorest[author_es],autorest[language_es])</f>
        <v>Ruso</v>
      </c>
      <c r="L489" t="str">
        <f>_xlfn.XLOOKUP(frasest[[#This Row],[author_es]],autorest[author_es],autorest[language_la])</f>
        <v>Lingua Russica</v>
      </c>
      <c r="M489" t="str">
        <f>_xlfn.XLOOKUP(frasest[[#This Row],[author_es]],autorest[author_es],autorest[nation_es])</f>
        <v>Rusia</v>
      </c>
      <c r="N489" t="str">
        <f>_xlfn.XLOOKUP(frasest[[#This Row],[author_es]],autorest[author_es],autorest[nation_la])</f>
        <v>Russia</v>
      </c>
      <c r="O489" t="str">
        <f>_xlfn.XLOOKUP(frasest[[#This Row],[author_es]],autorest[author_es],autorest[age_es])</f>
        <v>Edad Contemporánea</v>
      </c>
      <c r="P489" t="str">
        <f>_xlfn.XLOOKUP(frasest[[#This Row],[author_es]],autorest[author_es],autorest[age_la])</f>
        <v>Aetas Contemporanea</v>
      </c>
      <c r="Q489" t="str">
        <f>_xlfn.XLOOKUP(frasest[[#This Row],[author_es]],autorest[author_es],autorest[image])</f>
        <v>https://i.ibb.co/60c7p4y9/vigotsky.png</v>
      </c>
      <c r="R489">
        <f>_xlfn.XLOOKUP(frasest[[#This Row],[author_es]],autorest[author_es],autorest[image_atr])</f>
        <v>0</v>
      </c>
    </row>
    <row r="490" spans="1:18">
      <c r="A490">
        <v>489</v>
      </c>
      <c r="B490" t="s">
        <v>1686</v>
      </c>
      <c r="C490" t="s">
        <v>1687</v>
      </c>
      <c r="D490" t="s">
        <v>1688</v>
      </c>
      <c r="E490" t="s">
        <v>1681</v>
      </c>
      <c r="F490" t="s">
        <v>1682</v>
      </c>
      <c r="G490" t="str">
        <f>_xlfn.XLOOKUP(frasest[[#This Row],[author_es]],autorest[author_es],autorest[author_la])</f>
        <v>Lev Vygotsky</v>
      </c>
      <c r="H490"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0"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0" t="str">
        <f>_xlfn.XLOOKUP(frasest[[#This Row],[author_es]],autorest[author_es],autorest[iso3691])</f>
        <v>ru</v>
      </c>
      <c r="K490" t="str">
        <f>_xlfn.XLOOKUP(frasest[[#This Row],[author_es]],autorest[author_es],autorest[language_es])</f>
        <v>Ruso</v>
      </c>
      <c r="L490" t="str">
        <f>_xlfn.XLOOKUP(frasest[[#This Row],[author_es]],autorest[author_es],autorest[language_la])</f>
        <v>Lingua Russica</v>
      </c>
      <c r="M490" t="str">
        <f>_xlfn.XLOOKUP(frasest[[#This Row],[author_es]],autorest[author_es],autorest[nation_es])</f>
        <v>Rusia</v>
      </c>
      <c r="N490" t="str">
        <f>_xlfn.XLOOKUP(frasest[[#This Row],[author_es]],autorest[author_es],autorest[nation_la])</f>
        <v>Russia</v>
      </c>
      <c r="O490" t="str">
        <f>_xlfn.XLOOKUP(frasest[[#This Row],[author_es]],autorest[author_es],autorest[age_es])</f>
        <v>Edad Contemporánea</v>
      </c>
      <c r="P490" t="str">
        <f>_xlfn.XLOOKUP(frasest[[#This Row],[author_es]],autorest[author_es],autorest[age_la])</f>
        <v>Aetas Contemporanea</v>
      </c>
      <c r="Q490" t="str">
        <f>_xlfn.XLOOKUP(frasest[[#This Row],[author_es]],autorest[author_es],autorest[image])</f>
        <v>https://i.ibb.co/60c7p4y9/vigotsky.png</v>
      </c>
      <c r="R490">
        <f>_xlfn.XLOOKUP(frasest[[#This Row],[author_es]],autorest[author_es],autorest[image_atr])</f>
        <v>0</v>
      </c>
    </row>
    <row r="491" spans="1:18">
      <c r="A491">
        <v>490</v>
      </c>
      <c r="B491" t="s">
        <v>1689</v>
      </c>
      <c r="C491" t="s">
        <v>1690</v>
      </c>
      <c r="D491" t="s">
        <v>1691</v>
      </c>
      <c r="E491" t="s">
        <v>1681</v>
      </c>
      <c r="F491" t="s">
        <v>1682</v>
      </c>
      <c r="G491" t="str">
        <f>_xlfn.XLOOKUP(frasest[[#This Row],[author_es]],autorest[author_es],autorest[author_la])</f>
        <v>Lev Vygotsky</v>
      </c>
      <c r="H491"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1"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1" t="str">
        <f>_xlfn.XLOOKUP(frasest[[#This Row],[author_es]],autorest[author_es],autorest[iso3691])</f>
        <v>ru</v>
      </c>
      <c r="K491" t="str">
        <f>_xlfn.XLOOKUP(frasest[[#This Row],[author_es]],autorest[author_es],autorest[language_es])</f>
        <v>Ruso</v>
      </c>
      <c r="L491" t="str">
        <f>_xlfn.XLOOKUP(frasest[[#This Row],[author_es]],autorest[author_es],autorest[language_la])</f>
        <v>Lingua Russica</v>
      </c>
      <c r="M491" t="str">
        <f>_xlfn.XLOOKUP(frasest[[#This Row],[author_es]],autorest[author_es],autorest[nation_es])</f>
        <v>Rusia</v>
      </c>
      <c r="N491" t="str">
        <f>_xlfn.XLOOKUP(frasest[[#This Row],[author_es]],autorest[author_es],autorest[nation_la])</f>
        <v>Russia</v>
      </c>
      <c r="O491" t="str">
        <f>_xlfn.XLOOKUP(frasest[[#This Row],[author_es]],autorest[author_es],autorest[age_es])</f>
        <v>Edad Contemporánea</v>
      </c>
      <c r="P491" t="str">
        <f>_xlfn.XLOOKUP(frasest[[#This Row],[author_es]],autorest[author_es],autorest[age_la])</f>
        <v>Aetas Contemporanea</v>
      </c>
      <c r="Q491" t="str">
        <f>_xlfn.XLOOKUP(frasest[[#This Row],[author_es]],autorest[author_es],autorest[image])</f>
        <v>https://i.ibb.co/60c7p4y9/vigotsky.png</v>
      </c>
      <c r="R491">
        <f>_xlfn.XLOOKUP(frasest[[#This Row],[author_es]],autorest[author_es],autorest[image_atr])</f>
        <v>0</v>
      </c>
    </row>
    <row r="492" spans="1:18">
      <c r="A492">
        <v>491</v>
      </c>
      <c r="B492" t="s">
        <v>1692</v>
      </c>
      <c r="C492" t="s">
        <v>1693</v>
      </c>
      <c r="D492" t="s">
        <v>1694</v>
      </c>
      <c r="E492" t="s">
        <v>1681</v>
      </c>
      <c r="F492" t="s">
        <v>1682</v>
      </c>
      <c r="G492" t="str">
        <f>_xlfn.XLOOKUP(frasest[[#This Row],[author_es]],autorest[author_es],autorest[author_la])</f>
        <v>Lev Vygotsky</v>
      </c>
      <c r="H492"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2"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2" t="str">
        <f>_xlfn.XLOOKUP(frasest[[#This Row],[author_es]],autorest[author_es],autorest[iso3691])</f>
        <v>ru</v>
      </c>
      <c r="K492" t="str">
        <f>_xlfn.XLOOKUP(frasest[[#This Row],[author_es]],autorest[author_es],autorest[language_es])</f>
        <v>Ruso</v>
      </c>
      <c r="L492" t="str">
        <f>_xlfn.XLOOKUP(frasest[[#This Row],[author_es]],autorest[author_es],autorest[language_la])</f>
        <v>Lingua Russica</v>
      </c>
      <c r="M492" t="str">
        <f>_xlfn.XLOOKUP(frasest[[#This Row],[author_es]],autorest[author_es],autorest[nation_es])</f>
        <v>Rusia</v>
      </c>
      <c r="N492" t="str">
        <f>_xlfn.XLOOKUP(frasest[[#This Row],[author_es]],autorest[author_es],autorest[nation_la])</f>
        <v>Russia</v>
      </c>
      <c r="O492" t="str">
        <f>_xlfn.XLOOKUP(frasest[[#This Row],[author_es]],autorest[author_es],autorest[age_es])</f>
        <v>Edad Contemporánea</v>
      </c>
      <c r="P492" t="str">
        <f>_xlfn.XLOOKUP(frasest[[#This Row],[author_es]],autorest[author_es],autorest[age_la])</f>
        <v>Aetas Contemporanea</v>
      </c>
      <c r="Q492" t="str">
        <f>_xlfn.XLOOKUP(frasest[[#This Row],[author_es]],autorest[author_es],autorest[image])</f>
        <v>https://i.ibb.co/60c7p4y9/vigotsky.png</v>
      </c>
      <c r="R492">
        <f>_xlfn.XLOOKUP(frasest[[#This Row],[author_es]],autorest[author_es],autorest[image_atr])</f>
        <v>0</v>
      </c>
    </row>
    <row r="493" spans="1:18">
      <c r="A493">
        <v>492</v>
      </c>
      <c r="B493" t="s">
        <v>1695</v>
      </c>
      <c r="C493" t="s">
        <v>1696</v>
      </c>
      <c r="D493" t="s">
        <v>1697</v>
      </c>
      <c r="E493" t="s">
        <v>1681</v>
      </c>
      <c r="F493" t="s">
        <v>1682</v>
      </c>
      <c r="G493" t="str">
        <f>_xlfn.XLOOKUP(frasest[[#This Row],[author_es]],autorest[author_es],autorest[author_la])</f>
        <v>Lev Vygotsky</v>
      </c>
      <c r="H493" t="str">
        <f>_xlfn.XLOOKUP(frasest[[#This Row],[author_es]],autorest[author_es],autorest[bio_es])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I493" t="str">
        <f>_xlfn.XLOOKUP(frasest[[#This Row],[author_es]],autorest[author_es],autorest[bio_la])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J493" t="str">
        <f>_xlfn.XLOOKUP(frasest[[#This Row],[author_es]],autorest[author_es],autorest[iso3691])</f>
        <v>ru</v>
      </c>
      <c r="K493" t="str">
        <f>_xlfn.XLOOKUP(frasest[[#This Row],[author_es]],autorest[author_es],autorest[language_es])</f>
        <v>Ruso</v>
      </c>
      <c r="L493" t="str">
        <f>_xlfn.XLOOKUP(frasest[[#This Row],[author_es]],autorest[author_es],autorest[language_la])</f>
        <v>Lingua Russica</v>
      </c>
      <c r="M493" t="str">
        <f>_xlfn.XLOOKUP(frasest[[#This Row],[author_es]],autorest[author_es],autorest[nation_es])</f>
        <v>Rusia</v>
      </c>
      <c r="N493" t="str">
        <f>_xlfn.XLOOKUP(frasest[[#This Row],[author_es]],autorest[author_es],autorest[nation_la])</f>
        <v>Russia</v>
      </c>
      <c r="O493" t="str">
        <f>_xlfn.XLOOKUP(frasest[[#This Row],[author_es]],autorest[author_es],autorest[age_es])</f>
        <v>Edad Contemporánea</v>
      </c>
      <c r="P493" t="str">
        <f>_xlfn.XLOOKUP(frasest[[#This Row],[author_es]],autorest[author_es],autorest[age_la])</f>
        <v>Aetas Contemporanea</v>
      </c>
      <c r="Q493" t="str">
        <f>_xlfn.XLOOKUP(frasest[[#This Row],[author_es]],autorest[author_es],autorest[image])</f>
        <v>https://i.ibb.co/60c7p4y9/vigotsky.png</v>
      </c>
      <c r="R493">
        <f>_xlfn.XLOOKUP(frasest[[#This Row],[author_es]],autorest[author_es],autorest[image_atr])</f>
        <v>0</v>
      </c>
    </row>
    <row r="494" spans="1:18">
      <c r="A494">
        <v>493</v>
      </c>
      <c r="B494" t="s">
        <v>1698</v>
      </c>
      <c r="C494" t="s">
        <v>1699</v>
      </c>
      <c r="D494" t="s">
        <v>1700</v>
      </c>
      <c r="E494" t="s">
        <v>1701</v>
      </c>
      <c r="F494" t="s">
        <v>1702</v>
      </c>
      <c r="G494" t="str">
        <f>_xlfn.XLOOKUP(frasest[[#This Row],[author_es]],autorest[author_es],autorest[author_la])</f>
        <v>Fridericus Froebel</v>
      </c>
      <c r="H494"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4"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4" t="str">
        <f>_xlfn.XLOOKUP(frasest[[#This Row],[author_es]],autorest[author_es],autorest[iso3691])</f>
        <v>de</v>
      </c>
      <c r="K494" t="str">
        <f>_xlfn.XLOOKUP(frasest[[#This Row],[author_es]],autorest[author_es],autorest[language_es])</f>
        <v>Alemán</v>
      </c>
      <c r="L494" t="str">
        <f>_xlfn.XLOOKUP(frasest[[#This Row],[author_es]],autorest[author_es],autorest[language_la])</f>
        <v>Lingua Germanica</v>
      </c>
      <c r="M494" t="str">
        <f>_xlfn.XLOOKUP(frasest[[#This Row],[author_es]],autorest[author_es],autorest[nation_es])</f>
        <v>Alemania</v>
      </c>
      <c r="N494" t="str">
        <f>_xlfn.XLOOKUP(frasest[[#This Row],[author_es]],autorest[author_es],autorest[nation_la])</f>
        <v>Germania</v>
      </c>
      <c r="O494" t="str">
        <f>_xlfn.XLOOKUP(frasest[[#This Row],[author_es]],autorest[author_es],autorest[age_es])</f>
        <v>Edad Moderna</v>
      </c>
      <c r="P494" t="str">
        <f>_xlfn.XLOOKUP(frasest[[#This Row],[author_es]],autorest[author_es],autorest[age_la])</f>
        <v>Nova Aetas</v>
      </c>
      <c r="Q494" t="str">
        <f>_xlfn.XLOOKUP(frasest[[#This Row],[author_es]],autorest[author_es],autorest[image])</f>
        <v>https://i.ibb.co/0jwMS3vT/froebel.png</v>
      </c>
      <c r="R494">
        <f>_xlfn.XLOOKUP(frasest[[#This Row],[author_es]],autorest[author_es],autorest[image_atr])</f>
        <v>0</v>
      </c>
    </row>
    <row r="495" spans="1:18">
      <c r="A495">
        <v>494</v>
      </c>
      <c r="B495" t="s">
        <v>1703</v>
      </c>
      <c r="C495" t="s">
        <v>1704</v>
      </c>
      <c r="D495" t="s">
        <v>1705</v>
      </c>
      <c r="E495" t="s">
        <v>1701</v>
      </c>
      <c r="F495" t="s">
        <v>1702</v>
      </c>
      <c r="G495" t="str">
        <f>_xlfn.XLOOKUP(frasest[[#This Row],[author_es]],autorest[author_es],autorest[author_la])</f>
        <v>Fridericus Froebel</v>
      </c>
      <c r="H495"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5"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5" t="str">
        <f>_xlfn.XLOOKUP(frasest[[#This Row],[author_es]],autorest[author_es],autorest[iso3691])</f>
        <v>de</v>
      </c>
      <c r="K495" t="str">
        <f>_xlfn.XLOOKUP(frasest[[#This Row],[author_es]],autorest[author_es],autorest[language_es])</f>
        <v>Alemán</v>
      </c>
      <c r="L495" t="str">
        <f>_xlfn.XLOOKUP(frasest[[#This Row],[author_es]],autorest[author_es],autorest[language_la])</f>
        <v>Lingua Germanica</v>
      </c>
      <c r="M495" t="str">
        <f>_xlfn.XLOOKUP(frasest[[#This Row],[author_es]],autorest[author_es],autorest[nation_es])</f>
        <v>Alemania</v>
      </c>
      <c r="N495" t="str">
        <f>_xlfn.XLOOKUP(frasest[[#This Row],[author_es]],autorest[author_es],autorest[nation_la])</f>
        <v>Germania</v>
      </c>
      <c r="O495" t="str">
        <f>_xlfn.XLOOKUP(frasest[[#This Row],[author_es]],autorest[author_es],autorest[age_es])</f>
        <v>Edad Moderna</v>
      </c>
      <c r="P495" t="str">
        <f>_xlfn.XLOOKUP(frasest[[#This Row],[author_es]],autorest[author_es],autorest[age_la])</f>
        <v>Nova Aetas</v>
      </c>
      <c r="Q495" t="str">
        <f>_xlfn.XLOOKUP(frasest[[#This Row],[author_es]],autorest[author_es],autorest[image])</f>
        <v>https://i.ibb.co/0jwMS3vT/froebel.png</v>
      </c>
      <c r="R495">
        <f>_xlfn.XLOOKUP(frasest[[#This Row],[author_es]],autorest[author_es],autorest[image_atr])</f>
        <v>0</v>
      </c>
    </row>
    <row r="496" spans="1:18">
      <c r="A496">
        <v>495</v>
      </c>
      <c r="B496" t="s">
        <v>1706</v>
      </c>
      <c r="C496" t="s">
        <v>1707</v>
      </c>
      <c r="D496" t="s">
        <v>1708</v>
      </c>
      <c r="E496" t="s">
        <v>1701</v>
      </c>
      <c r="F496" t="s">
        <v>1702</v>
      </c>
      <c r="G496" t="str">
        <f>_xlfn.XLOOKUP(frasest[[#This Row],[author_es]],autorest[author_es],autorest[author_la])</f>
        <v>Fridericus Froebel</v>
      </c>
      <c r="H496"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6"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6" t="str">
        <f>_xlfn.XLOOKUP(frasest[[#This Row],[author_es]],autorest[author_es],autorest[iso3691])</f>
        <v>de</v>
      </c>
      <c r="K496" t="str">
        <f>_xlfn.XLOOKUP(frasest[[#This Row],[author_es]],autorest[author_es],autorest[language_es])</f>
        <v>Alemán</v>
      </c>
      <c r="L496" t="str">
        <f>_xlfn.XLOOKUP(frasest[[#This Row],[author_es]],autorest[author_es],autorest[language_la])</f>
        <v>Lingua Germanica</v>
      </c>
      <c r="M496" t="str">
        <f>_xlfn.XLOOKUP(frasest[[#This Row],[author_es]],autorest[author_es],autorest[nation_es])</f>
        <v>Alemania</v>
      </c>
      <c r="N496" t="str">
        <f>_xlfn.XLOOKUP(frasest[[#This Row],[author_es]],autorest[author_es],autorest[nation_la])</f>
        <v>Germania</v>
      </c>
      <c r="O496" t="str">
        <f>_xlfn.XLOOKUP(frasest[[#This Row],[author_es]],autorest[author_es],autorest[age_es])</f>
        <v>Edad Moderna</v>
      </c>
      <c r="P496" t="str">
        <f>_xlfn.XLOOKUP(frasest[[#This Row],[author_es]],autorest[author_es],autorest[age_la])</f>
        <v>Nova Aetas</v>
      </c>
      <c r="Q496" t="str">
        <f>_xlfn.XLOOKUP(frasest[[#This Row],[author_es]],autorest[author_es],autorest[image])</f>
        <v>https://i.ibb.co/0jwMS3vT/froebel.png</v>
      </c>
      <c r="R496">
        <f>_xlfn.XLOOKUP(frasest[[#This Row],[author_es]],autorest[author_es],autorest[image_atr])</f>
        <v>0</v>
      </c>
    </row>
    <row r="497" spans="1:18">
      <c r="A497">
        <v>496</v>
      </c>
      <c r="B497" t="s">
        <v>1709</v>
      </c>
      <c r="C497" t="s">
        <v>1710</v>
      </c>
      <c r="D497" t="s">
        <v>1711</v>
      </c>
      <c r="E497" t="s">
        <v>1701</v>
      </c>
      <c r="F497" t="s">
        <v>1702</v>
      </c>
      <c r="G497" t="str">
        <f>_xlfn.XLOOKUP(frasest[[#This Row],[author_es]],autorest[author_es],autorest[author_la])</f>
        <v>Fridericus Froebel</v>
      </c>
      <c r="H497"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7"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7" t="str">
        <f>_xlfn.XLOOKUP(frasest[[#This Row],[author_es]],autorest[author_es],autorest[iso3691])</f>
        <v>de</v>
      </c>
      <c r="K497" t="str">
        <f>_xlfn.XLOOKUP(frasest[[#This Row],[author_es]],autorest[author_es],autorest[language_es])</f>
        <v>Alemán</v>
      </c>
      <c r="L497" t="str">
        <f>_xlfn.XLOOKUP(frasest[[#This Row],[author_es]],autorest[author_es],autorest[language_la])</f>
        <v>Lingua Germanica</v>
      </c>
      <c r="M497" t="str">
        <f>_xlfn.XLOOKUP(frasest[[#This Row],[author_es]],autorest[author_es],autorest[nation_es])</f>
        <v>Alemania</v>
      </c>
      <c r="N497" t="str">
        <f>_xlfn.XLOOKUP(frasest[[#This Row],[author_es]],autorest[author_es],autorest[nation_la])</f>
        <v>Germania</v>
      </c>
      <c r="O497" t="str">
        <f>_xlfn.XLOOKUP(frasest[[#This Row],[author_es]],autorest[author_es],autorest[age_es])</f>
        <v>Edad Moderna</v>
      </c>
      <c r="P497" t="str">
        <f>_xlfn.XLOOKUP(frasest[[#This Row],[author_es]],autorest[author_es],autorest[age_la])</f>
        <v>Nova Aetas</v>
      </c>
      <c r="Q497" t="str">
        <f>_xlfn.XLOOKUP(frasest[[#This Row],[author_es]],autorest[author_es],autorest[image])</f>
        <v>https://i.ibb.co/0jwMS3vT/froebel.png</v>
      </c>
      <c r="R497">
        <f>_xlfn.XLOOKUP(frasest[[#This Row],[author_es]],autorest[author_es],autorest[image_atr])</f>
        <v>0</v>
      </c>
    </row>
    <row r="498" spans="1:18">
      <c r="A498">
        <v>497</v>
      </c>
      <c r="B498" t="s">
        <v>1712</v>
      </c>
      <c r="C498" t="s">
        <v>1713</v>
      </c>
      <c r="D498" t="s">
        <v>1714</v>
      </c>
      <c r="E498" t="s">
        <v>1701</v>
      </c>
      <c r="F498" t="s">
        <v>1702</v>
      </c>
      <c r="G498" t="str">
        <f>_xlfn.XLOOKUP(frasest[[#This Row],[author_es]],autorest[author_es],autorest[author_la])</f>
        <v>Fridericus Froebel</v>
      </c>
      <c r="H498"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8"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8" t="str">
        <f>_xlfn.XLOOKUP(frasest[[#This Row],[author_es]],autorest[author_es],autorest[iso3691])</f>
        <v>de</v>
      </c>
      <c r="K498" t="str">
        <f>_xlfn.XLOOKUP(frasest[[#This Row],[author_es]],autorest[author_es],autorest[language_es])</f>
        <v>Alemán</v>
      </c>
      <c r="L498" t="str">
        <f>_xlfn.XLOOKUP(frasest[[#This Row],[author_es]],autorest[author_es],autorest[language_la])</f>
        <v>Lingua Germanica</v>
      </c>
      <c r="M498" t="str">
        <f>_xlfn.XLOOKUP(frasest[[#This Row],[author_es]],autorest[author_es],autorest[nation_es])</f>
        <v>Alemania</v>
      </c>
      <c r="N498" t="str">
        <f>_xlfn.XLOOKUP(frasest[[#This Row],[author_es]],autorest[author_es],autorest[nation_la])</f>
        <v>Germania</v>
      </c>
      <c r="O498" t="str">
        <f>_xlfn.XLOOKUP(frasest[[#This Row],[author_es]],autorest[author_es],autorest[age_es])</f>
        <v>Edad Moderna</v>
      </c>
      <c r="P498" t="str">
        <f>_xlfn.XLOOKUP(frasest[[#This Row],[author_es]],autorest[author_es],autorest[age_la])</f>
        <v>Nova Aetas</v>
      </c>
      <c r="Q498" t="str">
        <f>_xlfn.XLOOKUP(frasest[[#This Row],[author_es]],autorest[author_es],autorest[image])</f>
        <v>https://i.ibb.co/0jwMS3vT/froebel.png</v>
      </c>
      <c r="R498">
        <f>_xlfn.XLOOKUP(frasest[[#This Row],[author_es]],autorest[author_es],autorest[image_atr])</f>
        <v>0</v>
      </c>
    </row>
    <row r="499" spans="1:18">
      <c r="A499">
        <v>498</v>
      </c>
      <c r="B499" t="s">
        <v>1715</v>
      </c>
      <c r="C499" t="s">
        <v>1716</v>
      </c>
      <c r="D499" t="s">
        <v>1717</v>
      </c>
      <c r="E499" t="s">
        <v>1701</v>
      </c>
      <c r="F499" t="s">
        <v>1702</v>
      </c>
      <c r="G499" t="str">
        <f>_xlfn.XLOOKUP(frasest[[#This Row],[author_es]],autorest[author_es],autorest[author_la])</f>
        <v>Fridericus Froebel</v>
      </c>
      <c r="H499"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499"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499" t="str">
        <f>_xlfn.XLOOKUP(frasest[[#This Row],[author_es]],autorest[author_es],autorest[iso3691])</f>
        <v>de</v>
      </c>
      <c r="K499" t="str">
        <f>_xlfn.XLOOKUP(frasest[[#This Row],[author_es]],autorest[author_es],autorest[language_es])</f>
        <v>Alemán</v>
      </c>
      <c r="L499" t="str">
        <f>_xlfn.XLOOKUP(frasest[[#This Row],[author_es]],autorest[author_es],autorest[language_la])</f>
        <v>Lingua Germanica</v>
      </c>
      <c r="M499" t="str">
        <f>_xlfn.XLOOKUP(frasest[[#This Row],[author_es]],autorest[author_es],autorest[nation_es])</f>
        <v>Alemania</v>
      </c>
      <c r="N499" t="str">
        <f>_xlfn.XLOOKUP(frasest[[#This Row],[author_es]],autorest[author_es],autorest[nation_la])</f>
        <v>Germania</v>
      </c>
      <c r="O499" t="str">
        <f>_xlfn.XLOOKUP(frasest[[#This Row],[author_es]],autorest[author_es],autorest[age_es])</f>
        <v>Edad Moderna</v>
      </c>
      <c r="P499" t="str">
        <f>_xlfn.XLOOKUP(frasest[[#This Row],[author_es]],autorest[author_es],autorest[age_la])</f>
        <v>Nova Aetas</v>
      </c>
      <c r="Q499" t="str">
        <f>_xlfn.XLOOKUP(frasest[[#This Row],[author_es]],autorest[author_es],autorest[image])</f>
        <v>https://i.ibb.co/0jwMS3vT/froebel.png</v>
      </c>
      <c r="R499">
        <f>_xlfn.XLOOKUP(frasest[[#This Row],[author_es]],autorest[author_es],autorest[image_atr])</f>
        <v>0</v>
      </c>
    </row>
    <row r="500" spans="1:18">
      <c r="A500">
        <v>499</v>
      </c>
      <c r="B500" t="s">
        <v>1718</v>
      </c>
      <c r="C500" t="s">
        <v>1719</v>
      </c>
      <c r="D500" t="s">
        <v>1720</v>
      </c>
      <c r="E500" t="s">
        <v>1721</v>
      </c>
      <c r="F500" t="s">
        <v>1722</v>
      </c>
      <c r="G500" t="str">
        <f>_xlfn.XLOOKUP(frasest[[#This Row],[author_es]],autorest[author_es],autorest[author_la])</f>
        <v>Ovidius Decroly</v>
      </c>
      <c r="H500"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0"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0" t="str">
        <f>_xlfn.XLOOKUP(frasest[[#This Row],[author_es]],autorest[author_es],autorest[iso3691])</f>
        <v>fr</v>
      </c>
      <c r="K500" t="str">
        <f>_xlfn.XLOOKUP(frasest[[#This Row],[author_es]],autorest[author_es],autorest[language_es])</f>
        <v>Francés</v>
      </c>
      <c r="L500" t="str">
        <f>_xlfn.XLOOKUP(frasest[[#This Row],[author_es]],autorest[author_es],autorest[language_la])</f>
        <v>Lingua Gallica</v>
      </c>
      <c r="M500" t="str">
        <f>_xlfn.XLOOKUP(frasest[[#This Row],[author_es]],autorest[author_es],autorest[nation_es])</f>
        <v>Bélgica</v>
      </c>
      <c r="N500" t="str">
        <f>_xlfn.XLOOKUP(frasest[[#This Row],[author_es]],autorest[author_es],autorest[nation_la])</f>
        <v>Belgica</v>
      </c>
      <c r="O500" t="str">
        <f>_xlfn.XLOOKUP(frasest[[#This Row],[author_es]],autorest[author_es],autorest[age_es])</f>
        <v>Edad Contemporánea</v>
      </c>
      <c r="P500" t="str">
        <f>_xlfn.XLOOKUP(frasest[[#This Row],[author_es]],autorest[author_es],autorest[age_la])</f>
        <v>Aetas Contemporanea</v>
      </c>
      <c r="Q500" t="str">
        <f>_xlfn.XLOOKUP(frasest[[#This Row],[author_es]],autorest[author_es],autorest[image])</f>
        <v>https://i.ibb.co/C5S7WqXv/decroly.png</v>
      </c>
      <c r="R500">
        <f>_xlfn.XLOOKUP(frasest[[#This Row],[author_es]],autorest[author_es],autorest[image_atr])</f>
        <v>0</v>
      </c>
    </row>
    <row r="501" spans="1:18">
      <c r="A501">
        <v>500</v>
      </c>
      <c r="B501" t="s">
        <v>1723</v>
      </c>
      <c r="C501" t="s">
        <v>1724</v>
      </c>
      <c r="D501" t="s">
        <v>1725</v>
      </c>
      <c r="E501" t="s">
        <v>1721</v>
      </c>
      <c r="F501" t="s">
        <v>1722</v>
      </c>
      <c r="G501" t="str">
        <f>_xlfn.XLOOKUP(frasest[[#This Row],[author_es]],autorest[author_es],autorest[author_la])</f>
        <v>Ovidius Decroly</v>
      </c>
      <c r="H501"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1"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1" t="str">
        <f>_xlfn.XLOOKUP(frasest[[#This Row],[author_es]],autorest[author_es],autorest[iso3691])</f>
        <v>fr</v>
      </c>
      <c r="K501" t="str">
        <f>_xlfn.XLOOKUP(frasest[[#This Row],[author_es]],autorest[author_es],autorest[language_es])</f>
        <v>Francés</v>
      </c>
      <c r="L501" t="str">
        <f>_xlfn.XLOOKUP(frasest[[#This Row],[author_es]],autorest[author_es],autorest[language_la])</f>
        <v>Lingua Gallica</v>
      </c>
      <c r="M501" t="str">
        <f>_xlfn.XLOOKUP(frasest[[#This Row],[author_es]],autorest[author_es],autorest[nation_es])</f>
        <v>Bélgica</v>
      </c>
      <c r="N501" t="str">
        <f>_xlfn.XLOOKUP(frasest[[#This Row],[author_es]],autorest[author_es],autorest[nation_la])</f>
        <v>Belgica</v>
      </c>
      <c r="O501" t="str">
        <f>_xlfn.XLOOKUP(frasest[[#This Row],[author_es]],autorest[author_es],autorest[age_es])</f>
        <v>Edad Contemporánea</v>
      </c>
      <c r="P501" t="str">
        <f>_xlfn.XLOOKUP(frasest[[#This Row],[author_es]],autorest[author_es],autorest[age_la])</f>
        <v>Aetas Contemporanea</v>
      </c>
      <c r="Q501" t="str">
        <f>_xlfn.XLOOKUP(frasest[[#This Row],[author_es]],autorest[author_es],autorest[image])</f>
        <v>https://i.ibb.co/C5S7WqXv/decroly.png</v>
      </c>
      <c r="R501">
        <f>_xlfn.XLOOKUP(frasest[[#This Row],[author_es]],autorest[author_es],autorest[image_atr])</f>
        <v>0</v>
      </c>
    </row>
    <row r="502" spans="1:18">
      <c r="A502">
        <v>501</v>
      </c>
      <c r="B502" t="s">
        <v>1726</v>
      </c>
      <c r="C502" t="s">
        <v>1727</v>
      </c>
      <c r="D502" t="s">
        <v>1728</v>
      </c>
      <c r="E502" t="s">
        <v>1721</v>
      </c>
      <c r="F502" t="s">
        <v>1722</v>
      </c>
      <c r="G502" t="str">
        <f>_xlfn.XLOOKUP(frasest[[#This Row],[author_es]],autorest[author_es],autorest[author_la])</f>
        <v>Ovidius Decroly</v>
      </c>
      <c r="H502"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2"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2" t="str">
        <f>_xlfn.XLOOKUP(frasest[[#This Row],[author_es]],autorest[author_es],autorest[iso3691])</f>
        <v>fr</v>
      </c>
      <c r="K502" t="str">
        <f>_xlfn.XLOOKUP(frasest[[#This Row],[author_es]],autorest[author_es],autorest[language_es])</f>
        <v>Francés</v>
      </c>
      <c r="L502" t="str">
        <f>_xlfn.XLOOKUP(frasest[[#This Row],[author_es]],autorest[author_es],autorest[language_la])</f>
        <v>Lingua Gallica</v>
      </c>
      <c r="M502" t="str">
        <f>_xlfn.XLOOKUP(frasest[[#This Row],[author_es]],autorest[author_es],autorest[nation_es])</f>
        <v>Bélgica</v>
      </c>
      <c r="N502" t="str">
        <f>_xlfn.XLOOKUP(frasest[[#This Row],[author_es]],autorest[author_es],autorest[nation_la])</f>
        <v>Belgica</v>
      </c>
      <c r="O502" t="str">
        <f>_xlfn.XLOOKUP(frasest[[#This Row],[author_es]],autorest[author_es],autorest[age_es])</f>
        <v>Edad Contemporánea</v>
      </c>
      <c r="P502" t="str">
        <f>_xlfn.XLOOKUP(frasest[[#This Row],[author_es]],autorest[author_es],autorest[age_la])</f>
        <v>Aetas Contemporanea</v>
      </c>
      <c r="Q502" t="str">
        <f>_xlfn.XLOOKUP(frasest[[#This Row],[author_es]],autorest[author_es],autorest[image])</f>
        <v>https://i.ibb.co/C5S7WqXv/decroly.png</v>
      </c>
      <c r="R502">
        <f>_xlfn.XLOOKUP(frasest[[#This Row],[author_es]],autorest[author_es],autorest[image_atr])</f>
        <v>0</v>
      </c>
    </row>
    <row r="503" spans="1:18">
      <c r="A503">
        <v>502</v>
      </c>
      <c r="B503" t="s">
        <v>1729</v>
      </c>
      <c r="C503" t="s">
        <v>1730</v>
      </c>
      <c r="D503" t="s">
        <v>1731</v>
      </c>
      <c r="E503" t="s">
        <v>1721</v>
      </c>
      <c r="F503" t="s">
        <v>1722</v>
      </c>
      <c r="G503" t="str">
        <f>_xlfn.XLOOKUP(frasest[[#This Row],[author_es]],autorest[author_es],autorest[author_la])</f>
        <v>Ovidius Decroly</v>
      </c>
      <c r="H503"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3"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3" t="str">
        <f>_xlfn.XLOOKUP(frasest[[#This Row],[author_es]],autorest[author_es],autorest[iso3691])</f>
        <v>fr</v>
      </c>
      <c r="K503" t="str">
        <f>_xlfn.XLOOKUP(frasest[[#This Row],[author_es]],autorest[author_es],autorest[language_es])</f>
        <v>Francés</v>
      </c>
      <c r="L503" t="str">
        <f>_xlfn.XLOOKUP(frasest[[#This Row],[author_es]],autorest[author_es],autorest[language_la])</f>
        <v>Lingua Gallica</v>
      </c>
      <c r="M503" t="str">
        <f>_xlfn.XLOOKUP(frasest[[#This Row],[author_es]],autorest[author_es],autorest[nation_es])</f>
        <v>Bélgica</v>
      </c>
      <c r="N503" t="str">
        <f>_xlfn.XLOOKUP(frasest[[#This Row],[author_es]],autorest[author_es],autorest[nation_la])</f>
        <v>Belgica</v>
      </c>
      <c r="O503" t="str">
        <f>_xlfn.XLOOKUP(frasest[[#This Row],[author_es]],autorest[author_es],autorest[age_es])</f>
        <v>Edad Contemporánea</v>
      </c>
      <c r="P503" t="str">
        <f>_xlfn.XLOOKUP(frasest[[#This Row],[author_es]],autorest[author_es],autorest[age_la])</f>
        <v>Aetas Contemporanea</v>
      </c>
      <c r="Q503" t="str">
        <f>_xlfn.XLOOKUP(frasest[[#This Row],[author_es]],autorest[author_es],autorest[image])</f>
        <v>https://i.ibb.co/C5S7WqXv/decroly.png</v>
      </c>
      <c r="R503">
        <f>_xlfn.XLOOKUP(frasest[[#This Row],[author_es]],autorest[author_es],autorest[image_atr])</f>
        <v>0</v>
      </c>
    </row>
    <row r="504" spans="1:18">
      <c r="A504">
        <v>503</v>
      </c>
      <c r="B504" t="s">
        <v>1732</v>
      </c>
      <c r="C504" t="s">
        <v>1733</v>
      </c>
      <c r="D504" t="s">
        <v>1734</v>
      </c>
      <c r="E504" t="s">
        <v>1721</v>
      </c>
      <c r="F504" t="s">
        <v>1722</v>
      </c>
      <c r="G504" t="str">
        <f>_xlfn.XLOOKUP(frasest[[#This Row],[author_es]],autorest[author_es],autorest[author_la])</f>
        <v>Ovidius Decroly</v>
      </c>
      <c r="H504"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4"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4" t="str">
        <f>_xlfn.XLOOKUP(frasest[[#This Row],[author_es]],autorest[author_es],autorest[iso3691])</f>
        <v>fr</v>
      </c>
      <c r="K504" t="str">
        <f>_xlfn.XLOOKUP(frasest[[#This Row],[author_es]],autorest[author_es],autorest[language_es])</f>
        <v>Francés</v>
      </c>
      <c r="L504" t="str">
        <f>_xlfn.XLOOKUP(frasest[[#This Row],[author_es]],autorest[author_es],autorest[language_la])</f>
        <v>Lingua Gallica</v>
      </c>
      <c r="M504" t="str">
        <f>_xlfn.XLOOKUP(frasest[[#This Row],[author_es]],autorest[author_es],autorest[nation_es])</f>
        <v>Bélgica</v>
      </c>
      <c r="N504" t="str">
        <f>_xlfn.XLOOKUP(frasest[[#This Row],[author_es]],autorest[author_es],autorest[nation_la])</f>
        <v>Belgica</v>
      </c>
      <c r="O504" t="str">
        <f>_xlfn.XLOOKUP(frasest[[#This Row],[author_es]],autorest[author_es],autorest[age_es])</f>
        <v>Edad Contemporánea</v>
      </c>
      <c r="P504" t="str">
        <f>_xlfn.XLOOKUP(frasest[[#This Row],[author_es]],autorest[author_es],autorest[age_la])</f>
        <v>Aetas Contemporanea</v>
      </c>
      <c r="Q504" t="str">
        <f>_xlfn.XLOOKUP(frasest[[#This Row],[author_es]],autorest[author_es],autorest[image])</f>
        <v>https://i.ibb.co/C5S7WqXv/decroly.png</v>
      </c>
      <c r="R504">
        <f>_xlfn.XLOOKUP(frasest[[#This Row],[author_es]],autorest[author_es],autorest[image_atr])</f>
        <v>0</v>
      </c>
    </row>
    <row r="505" spans="1:18">
      <c r="A505">
        <v>504</v>
      </c>
      <c r="B505" t="s">
        <v>1735</v>
      </c>
      <c r="C505" t="s">
        <v>1736</v>
      </c>
      <c r="D505" t="s">
        <v>1737</v>
      </c>
      <c r="E505" t="s">
        <v>1721</v>
      </c>
      <c r="F505" t="s">
        <v>1722</v>
      </c>
      <c r="G505" t="str">
        <f>_xlfn.XLOOKUP(frasest[[#This Row],[author_es]],autorest[author_es],autorest[author_la])</f>
        <v>Ovidius Decroly</v>
      </c>
      <c r="H505" t="str">
        <f>_xlfn.XLOOKUP(frasest[[#This Row],[author_es]],autorest[author_es],autorest[bio_es])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I505" t="str">
        <f>_xlfn.XLOOKUP(frasest[[#This Row],[author_es]],autorest[author_es],autorest[bio_la])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J505" t="str">
        <f>_xlfn.XLOOKUP(frasest[[#This Row],[author_es]],autorest[author_es],autorest[iso3691])</f>
        <v>fr</v>
      </c>
      <c r="K505" t="str">
        <f>_xlfn.XLOOKUP(frasest[[#This Row],[author_es]],autorest[author_es],autorest[language_es])</f>
        <v>Francés</v>
      </c>
      <c r="L505" t="str">
        <f>_xlfn.XLOOKUP(frasest[[#This Row],[author_es]],autorest[author_es],autorest[language_la])</f>
        <v>Lingua Gallica</v>
      </c>
      <c r="M505" t="str">
        <f>_xlfn.XLOOKUP(frasest[[#This Row],[author_es]],autorest[author_es],autorest[nation_es])</f>
        <v>Bélgica</v>
      </c>
      <c r="N505" t="str">
        <f>_xlfn.XLOOKUP(frasest[[#This Row],[author_es]],autorest[author_es],autorest[nation_la])</f>
        <v>Belgica</v>
      </c>
      <c r="O505" t="str">
        <f>_xlfn.XLOOKUP(frasest[[#This Row],[author_es]],autorest[author_es],autorest[age_es])</f>
        <v>Edad Contemporánea</v>
      </c>
      <c r="P505" t="str">
        <f>_xlfn.XLOOKUP(frasest[[#This Row],[author_es]],autorest[author_es],autorest[age_la])</f>
        <v>Aetas Contemporanea</v>
      </c>
      <c r="Q505" t="str">
        <f>_xlfn.XLOOKUP(frasest[[#This Row],[author_es]],autorest[author_es],autorest[image])</f>
        <v>https://i.ibb.co/C5S7WqXv/decroly.png</v>
      </c>
      <c r="R505">
        <f>_xlfn.XLOOKUP(frasest[[#This Row],[author_es]],autorest[author_es],autorest[image_atr])</f>
        <v>0</v>
      </c>
    </row>
    <row r="506" spans="1:18">
      <c r="A506">
        <v>505</v>
      </c>
      <c r="B506" t="s">
        <v>1738</v>
      </c>
      <c r="C506" t="s">
        <v>1739</v>
      </c>
      <c r="D506" t="s">
        <v>1740</v>
      </c>
      <c r="E506" t="s">
        <v>1741</v>
      </c>
      <c r="F506" t="s">
        <v>1742</v>
      </c>
      <c r="G506" t="str">
        <f>_xlfn.XLOOKUP(frasest[[#This Row],[author_es]],autorest[author_es],autorest[author_la])</f>
        <v>Sanctus Philippus Nerius</v>
      </c>
      <c r="H506"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6"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6" t="str">
        <f>_xlfn.XLOOKUP(frasest[[#This Row],[author_es]],autorest[author_es],autorest[iso3691])</f>
        <v>it</v>
      </c>
      <c r="K506" t="str">
        <f>_xlfn.XLOOKUP(frasest[[#This Row],[author_es]],autorest[author_es],autorest[language_es])</f>
        <v>Italiano</v>
      </c>
      <c r="L506" t="str">
        <f>_xlfn.XLOOKUP(frasest[[#This Row],[author_es]],autorest[author_es],autorest[language_la])</f>
        <v>Lingua Italica</v>
      </c>
      <c r="M506" t="str">
        <f>_xlfn.XLOOKUP(frasest[[#This Row],[author_es]],autorest[author_es],autorest[nation_es])</f>
        <v>Italia</v>
      </c>
      <c r="N506" t="str">
        <f>_xlfn.XLOOKUP(frasest[[#This Row],[author_es]],autorest[author_es],autorest[nation_la])</f>
        <v>Italia</v>
      </c>
      <c r="O506" t="str">
        <f>_xlfn.XLOOKUP(frasest[[#This Row],[author_es]],autorest[author_es],autorest[age_es])</f>
        <v>Edad Moderna</v>
      </c>
      <c r="P506" t="str">
        <f>_xlfn.XLOOKUP(frasest[[#This Row],[author_es]],autorest[author_es],autorest[age_la])</f>
        <v>Nova Aetas</v>
      </c>
      <c r="Q506" t="str">
        <f>_xlfn.XLOOKUP(frasest[[#This Row],[author_es]],autorest[author_es],autorest[image])</f>
        <v>https://i.ibb.co/60VT5xTj/sanfelipeneri.png</v>
      </c>
      <c r="R506">
        <f>_xlfn.XLOOKUP(frasest[[#This Row],[author_es]],autorest[author_es],autorest[image_atr])</f>
        <v>0</v>
      </c>
    </row>
    <row r="507" spans="1:18">
      <c r="A507">
        <v>506</v>
      </c>
      <c r="B507" t="s">
        <v>1743</v>
      </c>
      <c r="C507" t="s">
        <v>1744</v>
      </c>
      <c r="D507" t="s">
        <v>1745</v>
      </c>
      <c r="E507" t="s">
        <v>1741</v>
      </c>
      <c r="F507" t="s">
        <v>1742</v>
      </c>
      <c r="G507" t="str">
        <f>_xlfn.XLOOKUP(frasest[[#This Row],[author_es]],autorest[author_es],autorest[author_la])</f>
        <v>Sanctus Philippus Nerius</v>
      </c>
      <c r="H507"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7"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7" t="str">
        <f>_xlfn.XLOOKUP(frasest[[#This Row],[author_es]],autorest[author_es],autorest[iso3691])</f>
        <v>it</v>
      </c>
      <c r="K507" t="str">
        <f>_xlfn.XLOOKUP(frasest[[#This Row],[author_es]],autorest[author_es],autorest[language_es])</f>
        <v>Italiano</v>
      </c>
      <c r="L507" t="str">
        <f>_xlfn.XLOOKUP(frasest[[#This Row],[author_es]],autorest[author_es],autorest[language_la])</f>
        <v>Lingua Italica</v>
      </c>
      <c r="M507" t="str">
        <f>_xlfn.XLOOKUP(frasest[[#This Row],[author_es]],autorest[author_es],autorest[nation_es])</f>
        <v>Italia</v>
      </c>
      <c r="N507" t="str">
        <f>_xlfn.XLOOKUP(frasest[[#This Row],[author_es]],autorest[author_es],autorest[nation_la])</f>
        <v>Italia</v>
      </c>
      <c r="O507" t="str">
        <f>_xlfn.XLOOKUP(frasest[[#This Row],[author_es]],autorest[author_es],autorest[age_es])</f>
        <v>Edad Moderna</v>
      </c>
      <c r="P507" t="str">
        <f>_xlfn.XLOOKUP(frasest[[#This Row],[author_es]],autorest[author_es],autorest[age_la])</f>
        <v>Nova Aetas</v>
      </c>
      <c r="Q507" t="str">
        <f>_xlfn.XLOOKUP(frasest[[#This Row],[author_es]],autorest[author_es],autorest[image])</f>
        <v>https://i.ibb.co/60VT5xTj/sanfelipeneri.png</v>
      </c>
      <c r="R507">
        <f>_xlfn.XLOOKUP(frasest[[#This Row],[author_es]],autorest[author_es],autorest[image_atr])</f>
        <v>0</v>
      </c>
    </row>
    <row r="508" spans="1:18">
      <c r="A508">
        <v>507</v>
      </c>
      <c r="B508" t="s">
        <v>1746</v>
      </c>
      <c r="C508" t="s">
        <v>1747</v>
      </c>
      <c r="D508" t="s">
        <v>1748</v>
      </c>
      <c r="E508" t="s">
        <v>1741</v>
      </c>
      <c r="F508" t="s">
        <v>1742</v>
      </c>
      <c r="G508" t="str">
        <f>_xlfn.XLOOKUP(frasest[[#This Row],[author_es]],autorest[author_es],autorest[author_la])</f>
        <v>Sanctus Philippus Nerius</v>
      </c>
      <c r="H508"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8"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8" t="str">
        <f>_xlfn.XLOOKUP(frasest[[#This Row],[author_es]],autorest[author_es],autorest[iso3691])</f>
        <v>it</v>
      </c>
      <c r="K508" t="str">
        <f>_xlfn.XLOOKUP(frasest[[#This Row],[author_es]],autorest[author_es],autorest[language_es])</f>
        <v>Italiano</v>
      </c>
      <c r="L508" t="str">
        <f>_xlfn.XLOOKUP(frasest[[#This Row],[author_es]],autorest[author_es],autorest[language_la])</f>
        <v>Lingua Italica</v>
      </c>
      <c r="M508" t="str">
        <f>_xlfn.XLOOKUP(frasest[[#This Row],[author_es]],autorest[author_es],autorest[nation_es])</f>
        <v>Italia</v>
      </c>
      <c r="N508" t="str">
        <f>_xlfn.XLOOKUP(frasest[[#This Row],[author_es]],autorest[author_es],autorest[nation_la])</f>
        <v>Italia</v>
      </c>
      <c r="O508" t="str">
        <f>_xlfn.XLOOKUP(frasest[[#This Row],[author_es]],autorest[author_es],autorest[age_es])</f>
        <v>Edad Moderna</v>
      </c>
      <c r="P508" t="str">
        <f>_xlfn.XLOOKUP(frasest[[#This Row],[author_es]],autorest[author_es],autorest[age_la])</f>
        <v>Nova Aetas</v>
      </c>
      <c r="Q508" t="str">
        <f>_xlfn.XLOOKUP(frasest[[#This Row],[author_es]],autorest[author_es],autorest[image])</f>
        <v>https://i.ibb.co/60VT5xTj/sanfelipeneri.png</v>
      </c>
      <c r="R508">
        <f>_xlfn.XLOOKUP(frasest[[#This Row],[author_es]],autorest[author_es],autorest[image_atr])</f>
        <v>0</v>
      </c>
    </row>
    <row r="509" spans="1:18">
      <c r="A509">
        <v>508</v>
      </c>
      <c r="B509" t="s">
        <v>1749</v>
      </c>
      <c r="C509" t="s">
        <v>1750</v>
      </c>
      <c r="D509" t="s">
        <v>1751</v>
      </c>
      <c r="E509" t="s">
        <v>1741</v>
      </c>
      <c r="F509" t="s">
        <v>1742</v>
      </c>
      <c r="G509" t="str">
        <f>_xlfn.XLOOKUP(frasest[[#This Row],[author_es]],autorest[author_es],autorest[author_la])</f>
        <v>Sanctus Philippus Nerius</v>
      </c>
      <c r="H509"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09"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09" t="str">
        <f>_xlfn.XLOOKUP(frasest[[#This Row],[author_es]],autorest[author_es],autorest[iso3691])</f>
        <v>it</v>
      </c>
      <c r="K509" t="str">
        <f>_xlfn.XLOOKUP(frasest[[#This Row],[author_es]],autorest[author_es],autorest[language_es])</f>
        <v>Italiano</v>
      </c>
      <c r="L509" t="str">
        <f>_xlfn.XLOOKUP(frasest[[#This Row],[author_es]],autorest[author_es],autorest[language_la])</f>
        <v>Lingua Italica</v>
      </c>
      <c r="M509" t="str">
        <f>_xlfn.XLOOKUP(frasest[[#This Row],[author_es]],autorest[author_es],autorest[nation_es])</f>
        <v>Italia</v>
      </c>
      <c r="N509" t="str">
        <f>_xlfn.XLOOKUP(frasest[[#This Row],[author_es]],autorest[author_es],autorest[nation_la])</f>
        <v>Italia</v>
      </c>
      <c r="O509" t="str">
        <f>_xlfn.XLOOKUP(frasest[[#This Row],[author_es]],autorest[author_es],autorest[age_es])</f>
        <v>Edad Moderna</v>
      </c>
      <c r="P509" t="str">
        <f>_xlfn.XLOOKUP(frasest[[#This Row],[author_es]],autorest[author_es],autorest[age_la])</f>
        <v>Nova Aetas</v>
      </c>
      <c r="Q509" t="str">
        <f>_xlfn.XLOOKUP(frasest[[#This Row],[author_es]],autorest[author_es],autorest[image])</f>
        <v>https://i.ibb.co/60VT5xTj/sanfelipeneri.png</v>
      </c>
      <c r="R509">
        <f>_xlfn.XLOOKUP(frasest[[#This Row],[author_es]],autorest[author_es],autorest[image_atr])</f>
        <v>0</v>
      </c>
    </row>
    <row r="510" spans="1:18">
      <c r="A510">
        <v>509</v>
      </c>
      <c r="B510" t="s">
        <v>1752</v>
      </c>
      <c r="C510" t="s">
        <v>1753</v>
      </c>
      <c r="D510" t="s">
        <v>1754</v>
      </c>
      <c r="E510" t="s">
        <v>1741</v>
      </c>
      <c r="F510" t="s">
        <v>1742</v>
      </c>
      <c r="G510" t="str">
        <f>_xlfn.XLOOKUP(frasest[[#This Row],[author_es]],autorest[author_es],autorest[author_la])</f>
        <v>Sanctus Philippus Nerius</v>
      </c>
      <c r="H510"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0"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0" t="str">
        <f>_xlfn.XLOOKUP(frasest[[#This Row],[author_es]],autorest[author_es],autorest[iso3691])</f>
        <v>it</v>
      </c>
      <c r="K510" t="str">
        <f>_xlfn.XLOOKUP(frasest[[#This Row],[author_es]],autorest[author_es],autorest[language_es])</f>
        <v>Italiano</v>
      </c>
      <c r="L510" t="str">
        <f>_xlfn.XLOOKUP(frasest[[#This Row],[author_es]],autorest[author_es],autorest[language_la])</f>
        <v>Lingua Italica</v>
      </c>
      <c r="M510" t="str">
        <f>_xlfn.XLOOKUP(frasest[[#This Row],[author_es]],autorest[author_es],autorest[nation_es])</f>
        <v>Italia</v>
      </c>
      <c r="N510" t="str">
        <f>_xlfn.XLOOKUP(frasest[[#This Row],[author_es]],autorest[author_es],autorest[nation_la])</f>
        <v>Italia</v>
      </c>
      <c r="O510" t="str">
        <f>_xlfn.XLOOKUP(frasest[[#This Row],[author_es]],autorest[author_es],autorest[age_es])</f>
        <v>Edad Moderna</v>
      </c>
      <c r="P510" t="str">
        <f>_xlfn.XLOOKUP(frasest[[#This Row],[author_es]],autorest[author_es],autorest[age_la])</f>
        <v>Nova Aetas</v>
      </c>
      <c r="Q510" t="str">
        <f>_xlfn.XLOOKUP(frasest[[#This Row],[author_es]],autorest[author_es],autorest[image])</f>
        <v>https://i.ibb.co/60VT5xTj/sanfelipeneri.png</v>
      </c>
      <c r="R510">
        <f>_xlfn.XLOOKUP(frasest[[#This Row],[author_es]],autorest[author_es],autorest[image_atr])</f>
        <v>0</v>
      </c>
    </row>
    <row r="511" spans="1:18">
      <c r="A511">
        <v>510</v>
      </c>
      <c r="B511" t="s">
        <v>1755</v>
      </c>
      <c r="C511" t="s">
        <v>1756</v>
      </c>
      <c r="D511" t="s">
        <v>1757</v>
      </c>
      <c r="E511" t="s">
        <v>1741</v>
      </c>
      <c r="F511" t="s">
        <v>1742</v>
      </c>
      <c r="G511" t="str">
        <f>_xlfn.XLOOKUP(frasest[[#This Row],[author_es]],autorest[author_es],autorest[author_la])</f>
        <v>Sanctus Philippus Nerius</v>
      </c>
      <c r="H511"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1"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1" t="str">
        <f>_xlfn.XLOOKUP(frasest[[#This Row],[author_es]],autorest[author_es],autorest[iso3691])</f>
        <v>it</v>
      </c>
      <c r="K511" t="str">
        <f>_xlfn.XLOOKUP(frasest[[#This Row],[author_es]],autorest[author_es],autorest[language_es])</f>
        <v>Italiano</v>
      </c>
      <c r="L511" t="str">
        <f>_xlfn.XLOOKUP(frasest[[#This Row],[author_es]],autorest[author_es],autorest[language_la])</f>
        <v>Lingua Italica</v>
      </c>
      <c r="M511" t="str">
        <f>_xlfn.XLOOKUP(frasest[[#This Row],[author_es]],autorest[author_es],autorest[nation_es])</f>
        <v>Italia</v>
      </c>
      <c r="N511" t="str">
        <f>_xlfn.XLOOKUP(frasest[[#This Row],[author_es]],autorest[author_es],autorest[nation_la])</f>
        <v>Italia</v>
      </c>
      <c r="O511" t="str">
        <f>_xlfn.XLOOKUP(frasest[[#This Row],[author_es]],autorest[author_es],autorest[age_es])</f>
        <v>Edad Moderna</v>
      </c>
      <c r="P511" t="str">
        <f>_xlfn.XLOOKUP(frasest[[#This Row],[author_es]],autorest[author_es],autorest[age_la])</f>
        <v>Nova Aetas</v>
      </c>
      <c r="Q511" t="str">
        <f>_xlfn.XLOOKUP(frasest[[#This Row],[author_es]],autorest[author_es],autorest[image])</f>
        <v>https://i.ibb.co/60VT5xTj/sanfelipeneri.png</v>
      </c>
      <c r="R511">
        <f>_xlfn.XLOOKUP(frasest[[#This Row],[author_es]],autorest[author_es],autorest[image_atr])</f>
        <v>0</v>
      </c>
    </row>
    <row r="512" spans="1:18">
      <c r="A512">
        <v>511</v>
      </c>
      <c r="B512" t="s">
        <v>1758</v>
      </c>
      <c r="C512" t="s">
        <v>1759</v>
      </c>
      <c r="D512" t="s">
        <v>1760</v>
      </c>
      <c r="E512" t="s">
        <v>1741</v>
      </c>
      <c r="F512" t="s">
        <v>1742</v>
      </c>
      <c r="G512" t="str">
        <f>_xlfn.XLOOKUP(frasest[[#This Row],[author_es]],autorest[author_es],autorest[author_la])</f>
        <v>Sanctus Philippus Nerius</v>
      </c>
      <c r="H512"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2"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2" t="str">
        <f>_xlfn.XLOOKUP(frasest[[#This Row],[author_es]],autorest[author_es],autorest[iso3691])</f>
        <v>it</v>
      </c>
      <c r="K512" t="str">
        <f>_xlfn.XLOOKUP(frasest[[#This Row],[author_es]],autorest[author_es],autorest[language_es])</f>
        <v>Italiano</v>
      </c>
      <c r="L512" t="str">
        <f>_xlfn.XLOOKUP(frasest[[#This Row],[author_es]],autorest[author_es],autorest[language_la])</f>
        <v>Lingua Italica</v>
      </c>
      <c r="M512" t="str">
        <f>_xlfn.XLOOKUP(frasest[[#This Row],[author_es]],autorest[author_es],autorest[nation_es])</f>
        <v>Italia</v>
      </c>
      <c r="N512" t="str">
        <f>_xlfn.XLOOKUP(frasest[[#This Row],[author_es]],autorest[author_es],autorest[nation_la])</f>
        <v>Italia</v>
      </c>
      <c r="O512" t="str">
        <f>_xlfn.XLOOKUP(frasest[[#This Row],[author_es]],autorest[author_es],autorest[age_es])</f>
        <v>Edad Moderna</v>
      </c>
      <c r="P512" t="str">
        <f>_xlfn.XLOOKUP(frasest[[#This Row],[author_es]],autorest[author_es],autorest[age_la])</f>
        <v>Nova Aetas</v>
      </c>
      <c r="Q512" t="str">
        <f>_xlfn.XLOOKUP(frasest[[#This Row],[author_es]],autorest[author_es],autorest[image])</f>
        <v>https://i.ibb.co/60VT5xTj/sanfelipeneri.png</v>
      </c>
      <c r="R512">
        <f>_xlfn.XLOOKUP(frasest[[#This Row],[author_es]],autorest[author_es],autorest[image_atr])</f>
        <v>0</v>
      </c>
    </row>
    <row r="513" spans="1:18">
      <c r="A513">
        <v>512</v>
      </c>
      <c r="B513" t="s">
        <v>1761</v>
      </c>
      <c r="C513" t="s">
        <v>1762</v>
      </c>
      <c r="D513" t="s">
        <v>1763</v>
      </c>
      <c r="E513" t="s">
        <v>1741</v>
      </c>
      <c r="F513" t="s">
        <v>1742</v>
      </c>
      <c r="G513" t="str">
        <f>_xlfn.XLOOKUP(frasest[[#This Row],[author_es]],autorest[author_es],autorest[author_la])</f>
        <v>Sanctus Philippus Nerius</v>
      </c>
      <c r="H513" t="str">
        <f>_xlfn.XLOOKUP(frasest[[#This Row],[author_es]],autorest[author_es],autorest[bio_es])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I513" t="str">
        <f>_xlfn.XLOOKUP(frasest[[#This Row],[author_es]],autorest[author_es],autorest[bio_la])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J513" t="str">
        <f>_xlfn.XLOOKUP(frasest[[#This Row],[author_es]],autorest[author_es],autorest[iso3691])</f>
        <v>it</v>
      </c>
      <c r="K513" t="str">
        <f>_xlfn.XLOOKUP(frasest[[#This Row],[author_es]],autorest[author_es],autorest[language_es])</f>
        <v>Italiano</v>
      </c>
      <c r="L513" t="str">
        <f>_xlfn.XLOOKUP(frasest[[#This Row],[author_es]],autorest[author_es],autorest[language_la])</f>
        <v>Lingua Italica</v>
      </c>
      <c r="M513" t="str">
        <f>_xlfn.XLOOKUP(frasest[[#This Row],[author_es]],autorest[author_es],autorest[nation_es])</f>
        <v>Italia</v>
      </c>
      <c r="N513" t="str">
        <f>_xlfn.XLOOKUP(frasest[[#This Row],[author_es]],autorest[author_es],autorest[nation_la])</f>
        <v>Italia</v>
      </c>
      <c r="O513" t="str">
        <f>_xlfn.XLOOKUP(frasest[[#This Row],[author_es]],autorest[author_es],autorest[age_es])</f>
        <v>Edad Moderna</v>
      </c>
      <c r="P513" t="str">
        <f>_xlfn.XLOOKUP(frasest[[#This Row],[author_es]],autorest[author_es],autorest[age_la])</f>
        <v>Nova Aetas</v>
      </c>
      <c r="Q513" t="str">
        <f>_xlfn.XLOOKUP(frasest[[#This Row],[author_es]],autorest[author_es],autorest[image])</f>
        <v>https://i.ibb.co/60VT5xTj/sanfelipeneri.png</v>
      </c>
      <c r="R513">
        <f>_xlfn.XLOOKUP(frasest[[#This Row],[author_es]],autorest[author_es],autorest[image_atr])</f>
        <v>0</v>
      </c>
    </row>
    <row r="514" spans="1:18">
      <c r="A514">
        <v>513</v>
      </c>
      <c r="B514" t="s">
        <v>1764</v>
      </c>
      <c r="C514" t="s">
        <v>1765</v>
      </c>
      <c r="D514" t="s">
        <v>1766</v>
      </c>
      <c r="E514" t="s">
        <v>1767</v>
      </c>
      <c r="F514" t="s">
        <v>1768</v>
      </c>
      <c r="G514" t="str">
        <f>_xlfn.XLOOKUP(frasest[[#This Row],[author_es]],autorest[author_es],autorest[author_la])</f>
        <v xml:space="preserve">Teresia Benedicta a Cruce </v>
      </c>
      <c r="H514"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4"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4" t="str">
        <f>_xlfn.XLOOKUP(frasest[[#This Row],[author_es]],autorest[author_es],autorest[iso3691])</f>
        <v>de</v>
      </c>
      <c r="K514" t="str">
        <f>_xlfn.XLOOKUP(frasest[[#This Row],[author_es]],autorest[author_es],autorest[language_es])</f>
        <v>Alemán</v>
      </c>
      <c r="L514" t="str">
        <f>_xlfn.XLOOKUP(frasest[[#This Row],[author_es]],autorest[author_es],autorest[language_la])</f>
        <v>Lingua Germanica</v>
      </c>
      <c r="M514" t="str">
        <f>_xlfn.XLOOKUP(frasest[[#This Row],[author_es]],autorest[author_es],autorest[nation_es])</f>
        <v>Alemania</v>
      </c>
      <c r="N514" t="str">
        <f>_xlfn.XLOOKUP(frasest[[#This Row],[author_es]],autorest[author_es],autorest[nation_la])</f>
        <v>Germania</v>
      </c>
      <c r="O514" t="str">
        <f>_xlfn.XLOOKUP(frasest[[#This Row],[author_es]],autorest[author_es],autorest[age_es])</f>
        <v>Edad Contemporánea</v>
      </c>
      <c r="P514" t="str">
        <f>_xlfn.XLOOKUP(frasest[[#This Row],[author_es]],autorest[author_es],autorest[age_la])</f>
        <v>Aetas Contemporanea</v>
      </c>
      <c r="Q514" t="str">
        <f>_xlfn.XLOOKUP(frasest[[#This Row],[author_es]],autorest[author_es],autorest[image])</f>
        <v>https://i.ibb.co/sdgNknh0/santateresadelacruz.png</v>
      </c>
      <c r="R514">
        <f>_xlfn.XLOOKUP(frasest[[#This Row],[author_es]],autorest[author_es],autorest[image_atr])</f>
        <v>0</v>
      </c>
    </row>
    <row r="515" spans="1:18">
      <c r="A515">
        <v>514</v>
      </c>
      <c r="B515" t="s">
        <v>1769</v>
      </c>
      <c r="C515" t="s">
        <v>1770</v>
      </c>
      <c r="D515" t="s">
        <v>1771</v>
      </c>
      <c r="E515" t="s">
        <v>1767</v>
      </c>
      <c r="F515" t="s">
        <v>1768</v>
      </c>
      <c r="G515" t="str">
        <f>_xlfn.XLOOKUP(frasest[[#This Row],[author_es]],autorest[author_es],autorest[author_la])</f>
        <v xml:space="preserve">Teresia Benedicta a Cruce </v>
      </c>
      <c r="H515"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5"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5" t="str">
        <f>_xlfn.XLOOKUP(frasest[[#This Row],[author_es]],autorest[author_es],autorest[iso3691])</f>
        <v>de</v>
      </c>
      <c r="K515" t="str">
        <f>_xlfn.XLOOKUP(frasest[[#This Row],[author_es]],autorest[author_es],autorest[language_es])</f>
        <v>Alemán</v>
      </c>
      <c r="L515" t="str">
        <f>_xlfn.XLOOKUP(frasest[[#This Row],[author_es]],autorest[author_es],autorest[language_la])</f>
        <v>Lingua Germanica</v>
      </c>
      <c r="M515" t="str">
        <f>_xlfn.XLOOKUP(frasest[[#This Row],[author_es]],autorest[author_es],autorest[nation_es])</f>
        <v>Alemania</v>
      </c>
      <c r="N515" t="str">
        <f>_xlfn.XLOOKUP(frasest[[#This Row],[author_es]],autorest[author_es],autorest[nation_la])</f>
        <v>Germania</v>
      </c>
      <c r="O515" t="str">
        <f>_xlfn.XLOOKUP(frasest[[#This Row],[author_es]],autorest[author_es],autorest[age_es])</f>
        <v>Edad Contemporánea</v>
      </c>
      <c r="P515" t="str">
        <f>_xlfn.XLOOKUP(frasest[[#This Row],[author_es]],autorest[author_es],autorest[age_la])</f>
        <v>Aetas Contemporanea</v>
      </c>
      <c r="Q515" t="str">
        <f>_xlfn.XLOOKUP(frasest[[#This Row],[author_es]],autorest[author_es],autorest[image])</f>
        <v>https://i.ibb.co/sdgNknh0/santateresadelacruz.png</v>
      </c>
      <c r="R515">
        <f>_xlfn.XLOOKUP(frasest[[#This Row],[author_es]],autorest[author_es],autorest[image_atr])</f>
        <v>0</v>
      </c>
    </row>
    <row r="516" spans="1:18">
      <c r="A516">
        <v>515</v>
      </c>
      <c r="B516" t="s">
        <v>1772</v>
      </c>
      <c r="C516" t="s">
        <v>1773</v>
      </c>
      <c r="D516" t="s">
        <v>1774</v>
      </c>
      <c r="E516" t="s">
        <v>1767</v>
      </c>
      <c r="F516" t="s">
        <v>1768</v>
      </c>
      <c r="G516" t="str">
        <f>_xlfn.XLOOKUP(frasest[[#This Row],[author_es]],autorest[author_es],autorest[author_la])</f>
        <v xml:space="preserve">Teresia Benedicta a Cruce </v>
      </c>
      <c r="H516"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6"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6" t="str">
        <f>_xlfn.XLOOKUP(frasest[[#This Row],[author_es]],autorest[author_es],autorest[iso3691])</f>
        <v>de</v>
      </c>
      <c r="K516" t="str">
        <f>_xlfn.XLOOKUP(frasest[[#This Row],[author_es]],autorest[author_es],autorest[language_es])</f>
        <v>Alemán</v>
      </c>
      <c r="L516" t="str">
        <f>_xlfn.XLOOKUP(frasest[[#This Row],[author_es]],autorest[author_es],autorest[language_la])</f>
        <v>Lingua Germanica</v>
      </c>
      <c r="M516" t="str">
        <f>_xlfn.XLOOKUP(frasest[[#This Row],[author_es]],autorest[author_es],autorest[nation_es])</f>
        <v>Alemania</v>
      </c>
      <c r="N516" t="str">
        <f>_xlfn.XLOOKUP(frasest[[#This Row],[author_es]],autorest[author_es],autorest[nation_la])</f>
        <v>Germania</v>
      </c>
      <c r="O516" t="str">
        <f>_xlfn.XLOOKUP(frasest[[#This Row],[author_es]],autorest[author_es],autorest[age_es])</f>
        <v>Edad Contemporánea</v>
      </c>
      <c r="P516" t="str">
        <f>_xlfn.XLOOKUP(frasest[[#This Row],[author_es]],autorest[author_es],autorest[age_la])</f>
        <v>Aetas Contemporanea</v>
      </c>
      <c r="Q516" t="str">
        <f>_xlfn.XLOOKUP(frasest[[#This Row],[author_es]],autorest[author_es],autorest[image])</f>
        <v>https://i.ibb.co/sdgNknh0/santateresadelacruz.png</v>
      </c>
      <c r="R516">
        <f>_xlfn.XLOOKUP(frasest[[#This Row],[author_es]],autorest[author_es],autorest[image_atr])</f>
        <v>0</v>
      </c>
    </row>
    <row r="517" spans="1:18">
      <c r="A517">
        <v>516</v>
      </c>
      <c r="B517" t="s">
        <v>1775</v>
      </c>
      <c r="C517" t="s">
        <v>1776</v>
      </c>
      <c r="D517" t="s">
        <v>1777</v>
      </c>
      <c r="E517" t="s">
        <v>1767</v>
      </c>
      <c r="F517" t="s">
        <v>1768</v>
      </c>
      <c r="G517" t="str">
        <f>_xlfn.XLOOKUP(frasest[[#This Row],[author_es]],autorest[author_es],autorest[author_la])</f>
        <v xml:space="preserve">Teresia Benedicta a Cruce </v>
      </c>
      <c r="H517"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7"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7" t="str">
        <f>_xlfn.XLOOKUP(frasest[[#This Row],[author_es]],autorest[author_es],autorest[iso3691])</f>
        <v>de</v>
      </c>
      <c r="K517" t="str">
        <f>_xlfn.XLOOKUP(frasest[[#This Row],[author_es]],autorest[author_es],autorest[language_es])</f>
        <v>Alemán</v>
      </c>
      <c r="L517" t="str">
        <f>_xlfn.XLOOKUP(frasest[[#This Row],[author_es]],autorest[author_es],autorest[language_la])</f>
        <v>Lingua Germanica</v>
      </c>
      <c r="M517" t="str">
        <f>_xlfn.XLOOKUP(frasest[[#This Row],[author_es]],autorest[author_es],autorest[nation_es])</f>
        <v>Alemania</v>
      </c>
      <c r="N517" t="str">
        <f>_xlfn.XLOOKUP(frasest[[#This Row],[author_es]],autorest[author_es],autorest[nation_la])</f>
        <v>Germania</v>
      </c>
      <c r="O517" t="str">
        <f>_xlfn.XLOOKUP(frasest[[#This Row],[author_es]],autorest[author_es],autorest[age_es])</f>
        <v>Edad Contemporánea</v>
      </c>
      <c r="P517" t="str">
        <f>_xlfn.XLOOKUP(frasest[[#This Row],[author_es]],autorest[author_es],autorest[age_la])</f>
        <v>Aetas Contemporanea</v>
      </c>
      <c r="Q517" t="str">
        <f>_xlfn.XLOOKUP(frasest[[#This Row],[author_es]],autorest[author_es],autorest[image])</f>
        <v>https://i.ibb.co/sdgNknh0/santateresadelacruz.png</v>
      </c>
      <c r="R517">
        <f>_xlfn.XLOOKUP(frasest[[#This Row],[author_es]],autorest[author_es],autorest[image_atr])</f>
        <v>0</v>
      </c>
    </row>
    <row r="518" spans="1:18">
      <c r="A518">
        <v>517</v>
      </c>
      <c r="B518" t="s">
        <v>1778</v>
      </c>
      <c r="C518" t="s">
        <v>1779</v>
      </c>
      <c r="D518" t="s">
        <v>1780</v>
      </c>
      <c r="E518" t="s">
        <v>1767</v>
      </c>
      <c r="F518" t="s">
        <v>1768</v>
      </c>
      <c r="G518" t="str">
        <f>_xlfn.XLOOKUP(frasest[[#This Row],[author_es]],autorest[author_es],autorest[author_la])</f>
        <v xml:space="preserve">Teresia Benedicta a Cruce </v>
      </c>
      <c r="H518"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8"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8" t="str">
        <f>_xlfn.XLOOKUP(frasest[[#This Row],[author_es]],autorest[author_es],autorest[iso3691])</f>
        <v>de</v>
      </c>
      <c r="K518" t="str">
        <f>_xlfn.XLOOKUP(frasest[[#This Row],[author_es]],autorest[author_es],autorest[language_es])</f>
        <v>Alemán</v>
      </c>
      <c r="L518" t="str">
        <f>_xlfn.XLOOKUP(frasest[[#This Row],[author_es]],autorest[author_es],autorest[language_la])</f>
        <v>Lingua Germanica</v>
      </c>
      <c r="M518" t="str">
        <f>_xlfn.XLOOKUP(frasest[[#This Row],[author_es]],autorest[author_es],autorest[nation_es])</f>
        <v>Alemania</v>
      </c>
      <c r="N518" t="str">
        <f>_xlfn.XLOOKUP(frasest[[#This Row],[author_es]],autorest[author_es],autorest[nation_la])</f>
        <v>Germania</v>
      </c>
      <c r="O518" t="str">
        <f>_xlfn.XLOOKUP(frasest[[#This Row],[author_es]],autorest[author_es],autorest[age_es])</f>
        <v>Edad Contemporánea</v>
      </c>
      <c r="P518" t="str">
        <f>_xlfn.XLOOKUP(frasest[[#This Row],[author_es]],autorest[author_es],autorest[age_la])</f>
        <v>Aetas Contemporanea</v>
      </c>
      <c r="Q518" t="str">
        <f>_xlfn.XLOOKUP(frasest[[#This Row],[author_es]],autorest[author_es],autorest[image])</f>
        <v>https://i.ibb.co/sdgNknh0/santateresadelacruz.png</v>
      </c>
      <c r="R518">
        <f>_xlfn.XLOOKUP(frasest[[#This Row],[author_es]],autorest[author_es],autorest[image_atr])</f>
        <v>0</v>
      </c>
    </row>
    <row r="519" spans="1:18">
      <c r="A519">
        <v>518</v>
      </c>
      <c r="B519" t="s">
        <v>1781</v>
      </c>
      <c r="C519" t="s">
        <v>1782</v>
      </c>
      <c r="D519" t="s">
        <v>1783</v>
      </c>
      <c r="E519" t="s">
        <v>1767</v>
      </c>
      <c r="F519" t="s">
        <v>1768</v>
      </c>
      <c r="G519" t="str">
        <f>_xlfn.XLOOKUP(frasest[[#This Row],[author_es]],autorest[author_es],autorest[author_la])</f>
        <v xml:space="preserve">Teresia Benedicta a Cruce </v>
      </c>
      <c r="H519"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19"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19" t="str">
        <f>_xlfn.XLOOKUP(frasest[[#This Row],[author_es]],autorest[author_es],autorest[iso3691])</f>
        <v>de</v>
      </c>
      <c r="K519" t="str">
        <f>_xlfn.XLOOKUP(frasest[[#This Row],[author_es]],autorest[author_es],autorest[language_es])</f>
        <v>Alemán</v>
      </c>
      <c r="L519" t="str">
        <f>_xlfn.XLOOKUP(frasest[[#This Row],[author_es]],autorest[author_es],autorest[language_la])</f>
        <v>Lingua Germanica</v>
      </c>
      <c r="M519" t="str">
        <f>_xlfn.XLOOKUP(frasest[[#This Row],[author_es]],autorest[author_es],autorest[nation_es])</f>
        <v>Alemania</v>
      </c>
      <c r="N519" t="str">
        <f>_xlfn.XLOOKUP(frasest[[#This Row],[author_es]],autorest[author_es],autorest[nation_la])</f>
        <v>Germania</v>
      </c>
      <c r="O519" t="str">
        <f>_xlfn.XLOOKUP(frasest[[#This Row],[author_es]],autorest[author_es],autorest[age_es])</f>
        <v>Edad Contemporánea</v>
      </c>
      <c r="P519" t="str">
        <f>_xlfn.XLOOKUP(frasest[[#This Row],[author_es]],autorest[author_es],autorest[age_la])</f>
        <v>Aetas Contemporanea</v>
      </c>
      <c r="Q519" t="str">
        <f>_xlfn.XLOOKUP(frasest[[#This Row],[author_es]],autorest[author_es],autorest[image])</f>
        <v>https://i.ibb.co/sdgNknh0/santateresadelacruz.png</v>
      </c>
      <c r="R519">
        <f>_xlfn.XLOOKUP(frasest[[#This Row],[author_es]],autorest[author_es],autorest[image_atr])</f>
        <v>0</v>
      </c>
    </row>
    <row r="520" spans="1:18">
      <c r="A520">
        <v>519</v>
      </c>
      <c r="B520" t="s">
        <v>1784</v>
      </c>
      <c r="C520" t="s">
        <v>1785</v>
      </c>
      <c r="D520" t="s">
        <v>1786</v>
      </c>
      <c r="E520" t="s">
        <v>1767</v>
      </c>
      <c r="F520" t="s">
        <v>1768</v>
      </c>
      <c r="G520" t="str">
        <f>_xlfn.XLOOKUP(frasest[[#This Row],[author_es]],autorest[author_es],autorest[author_la])</f>
        <v xml:space="preserve">Teresia Benedicta a Cruce </v>
      </c>
      <c r="H520"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0"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0" t="str">
        <f>_xlfn.XLOOKUP(frasest[[#This Row],[author_es]],autorest[author_es],autorest[iso3691])</f>
        <v>de</v>
      </c>
      <c r="K520" t="str">
        <f>_xlfn.XLOOKUP(frasest[[#This Row],[author_es]],autorest[author_es],autorest[language_es])</f>
        <v>Alemán</v>
      </c>
      <c r="L520" t="str">
        <f>_xlfn.XLOOKUP(frasest[[#This Row],[author_es]],autorest[author_es],autorest[language_la])</f>
        <v>Lingua Germanica</v>
      </c>
      <c r="M520" t="str">
        <f>_xlfn.XLOOKUP(frasest[[#This Row],[author_es]],autorest[author_es],autorest[nation_es])</f>
        <v>Alemania</v>
      </c>
      <c r="N520" t="str">
        <f>_xlfn.XLOOKUP(frasest[[#This Row],[author_es]],autorest[author_es],autorest[nation_la])</f>
        <v>Germania</v>
      </c>
      <c r="O520" t="str">
        <f>_xlfn.XLOOKUP(frasest[[#This Row],[author_es]],autorest[author_es],autorest[age_es])</f>
        <v>Edad Contemporánea</v>
      </c>
      <c r="P520" t="str">
        <f>_xlfn.XLOOKUP(frasest[[#This Row],[author_es]],autorest[author_es],autorest[age_la])</f>
        <v>Aetas Contemporanea</v>
      </c>
      <c r="Q520" t="str">
        <f>_xlfn.XLOOKUP(frasest[[#This Row],[author_es]],autorest[author_es],autorest[image])</f>
        <v>https://i.ibb.co/sdgNknh0/santateresadelacruz.png</v>
      </c>
      <c r="R520">
        <f>_xlfn.XLOOKUP(frasest[[#This Row],[author_es]],autorest[author_es],autorest[image_atr])</f>
        <v>0</v>
      </c>
    </row>
    <row r="521" spans="1:18">
      <c r="A521">
        <v>520</v>
      </c>
      <c r="B521" t="s">
        <v>1787</v>
      </c>
      <c r="C521" t="s">
        <v>1788</v>
      </c>
      <c r="D521" t="s">
        <v>1789</v>
      </c>
      <c r="E521" t="s">
        <v>1767</v>
      </c>
      <c r="F521" t="s">
        <v>1768</v>
      </c>
      <c r="G521" t="str">
        <f>_xlfn.XLOOKUP(frasest[[#This Row],[author_es]],autorest[author_es],autorest[author_la])</f>
        <v xml:space="preserve">Teresia Benedicta a Cruce </v>
      </c>
      <c r="H521" t="str">
        <f>_xlfn.XLOOKUP(frasest[[#This Row],[author_es]],autorest[author_es],autorest[bio_es])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I521" t="str">
        <f>_xlfn.XLOOKUP(frasest[[#This Row],[author_es]],autorest[author_es],autorest[bio_la])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J521" t="str">
        <f>_xlfn.XLOOKUP(frasest[[#This Row],[author_es]],autorest[author_es],autorest[iso3691])</f>
        <v>de</v>
      </c>
      <c r="K521" t="str">
        <f>_xlfn.XLOOKUP(frasest[[#This Row],[author_es]],autorest[author_es],autorest[language_es])</f>
        <v>Alemán</v>
      </c>
      <c r="L521" t="str">
        <f>_xlfn.XLOOKUP(frasest[[#This Row],[author_es]],autorest[author_es],autorest[language_la])</f>
        <v>Lingua Germanica</v>
      </c>
      <c r="M521" t="str">
        <f>_xlfn.XLOOKUP(frasest[[#This Row],[author_es]],autorest[author_es],autorest[nation_es])</f>
        <v>Alemania</v>
      </c>
      <c r="N521" t="str">
        <f>_xlfn.XLOOKUP(frasest[[#This Row],[author_es]],autorest[author_es],autorest[nation_la])</f>
        <v>Germania</v>
      </c>
      <c r="O521" t="str">
        <f>_xlfn.XLOOKUP(frasest[[#This Row],[author_es]],autorest[author_es],autorest[age_es])</f>
        <v>Edad Contemporánea</v>
      </c>
      <c r="P521" t="str">
        <f>_xlfn.XLOOKUP(frasest[[#This Row],[author_es]],autorest[author_es],autorest[age_la])</f>
        <v>Aetas Contemporanea</v>
      </c>
      <c r="Q521" t="str">
        <f>_xlfn.XLOOKUP(frasest[[#This Row],[author_es]],autorest[author_es],autorest[image])</f>
        <v>https://i.ibb.co/sdgNknh0/santateresadelacruz.png</v>
      </c>
      <c r="R521">
        <f>_xlfn.XLOOKUP(frasest[[#This Row],[author_es]],autorest[author_es],autorest[image_atr])</f>
        <v>0</v>
      </c>
    </row>
    <row r="522" spans="1:18">
      <c r="A522">
        <v>521</v>
      </c>
      <c r="B522" t="s">
        <v>1790</v>
      </c>
      <c r="C522" t="s">
        <v>1791</v>
      </c>
      <c r="D522" t="s">
        <v>1792</v>
      </c>
      <c r="E522" t="s">
        <v>1793</v>
      </c>
      <c r="F522" t="s">
        <v>1794</v>
      </c>
      <c r="G522" t="str">
        <f>_xlfn.XLOOKUP(frasest[[#This Row],[author_es]],autorest[author_es],autorest[author_la])</f>
        <v>Beatus Carolus Acutis</v>
      </c>
      <c r="H522"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2"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2" t="str">
        <f>_xlfn.XLOOKUP(frasest[[#This Row],[author_es]],autorest[author_es],autorest[iso3691])</f>
        <v>it</v>
      </c>
      <c r="K522" t="str">
        <f>_xlfn.XLOOKUP(frasest[[#This Row],[author_es]],autorest[author_es],autorest[language_es])</f>
        <v>Italiano</v>
      </c>
      <c r="L522" t="str">
        <f>_xlfn.XLOOKUP(frasest[[#This Row],[author_es]],autorest[author_es],autorest[language_la])</f>
        <v>Lingua Italica</v>
      </c>
      <c r="M522" t="str">
        <f>_xlfn.XLOOKUP(frasest[[#This Row],[author_es]],autorest[author_es],autorest[nation_es])</f>
        <v>Italia</v>
      </c>
      <c r="N522" t="str">
        <f>_xlfn.XLOOKUP(frasest[[#This Row],[author_es]],autorest[author_es],autorest[nation_la])</f>
        <v>Italia</v>
      </c>
      <c r="O522" t="str">
        <f>_xlfn.XLOOKUP(frasest[[#This Row],[author_es]],autorest[author_es],autorest[age_es])</f>
        <v>Edad Contemporánea</v>
      </c>
      <c r="P522" t="str">
        <f>_xlfn.XLOOKUP(frasest[[#This Row],[author_es]],autorest[author_es],autorest[age_la])</f>
        <v>Aetas Contemporanea</v>
      </c>
      <c r="Q522" t="str">
        <f>_xlfn.XLOOKUP(frasest[[#This Row],[author_es]],autorest[author_es],autorest[image])</f>
        <v>https://i.ibb.co/Xxv42TMM/carloacutis.png</v>
      </c>
      <c r="R522">
        <f>_xlfn.XLOOKUP(frasest[[#This Row],[author_es]],autorest[author_es],autorest[image_atr])</f>
        <v>0</v>
      </c>
    </row>
    <row r="523" spans="1:18">
      <c r="A523">
        <v>522</v>
      </c>
      <c r="B523" t="s">
        <v>1795</v>
      </c>
      <c r="C523" t="s">
        <v>1796</v>
      </c>
      <c r="D523" t="s">
        <v>1797</v>
      </c>
      <c r="E523" t="s">
        <v>1793</v>
      </c>
      <c r="F523" t="s">
        <v>1794</v>
      </c>
      <c r="G523" t="str">
        <f>_xlfn.XLOOKUP(frasest[[#This Row],[author_es]],autorest[author_es],autorest[author_la])</f>
        <v>Beatus Carolus Acutis</v>
      </c>
      <c r="H523"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3"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3" t="str">
        <f>_xlfn.XLOOKUP(frasest[[#This Row],[author_es]],autorest[author_es],autorest[iso3691])</f>
        <v>it</v>
      </c>
      <c r="K523" t="str">
        <f>_xlfn.XLOOKUP(frasest[[#This Row],[author_es]],autorest[author_es],autorest[language_es])</f>
        <v>Italiano</v>
      </c>
      <c r="L523" t="str">
        <f>_xlfn.XLOOKUP(frasest[[#This Row],[author_es]],autorest[author_es],autorest[language_la])</f>
        <v>Lingua Italica</v>
      </c>
      <c r="M523" t="str">
        <f>_xlfn.XLOOKUP(frasest[[#This Row],[author_es]],autorest[author_es],autorest[nation_es])</f>
        <v>Italia</v>
      </c>
      <c r="N523" t="str">
        <f>_xlfn.XLOOKUP(frasest[[#This Row],[author_es]],autorest[author_es],autorest[nation_la])</f>
        <v>Italia</v>
      </c>
      <c r="O523" t="str">
        <f>_xlfn.XLOOKUP(frasest[[#This Row],[author_es]],autorest[author_es],autorest[age_es])</f>
        <v>Edad Contemporánea</v>
      </c>
      <c r="P523" t="str">
        <f>_xlfn.XLOOKUP(frasest[[#This Row],[author_es]],autorest[author_es],autorest[age_la])</f>
        <v>Aetas Contemporanea</v>
      </c>
      <c r="Q523" t="str">
        <f>_xlfn.XLOOKUP(frasest[[#This Row],[author_es]],autorest[author_es],autorest[image])</f>
        <v>https://i.ibb.co/Xxv42TMM/carloacutis.png</v>
      </c>
      <c r="R523">
        <f>_xlfn.XLOOKUP(frasest[[#This Row],[author_es]],autorest[author_es],autorest[image_atr])</f>
        <v>0</v>
      </c>
    </row>
    <row r="524" spans="1:18">
      <c r="A524">
        <v>523</v>
      </c>
      <c r="B524" t="s">
        <v>1798</v>
      </c>
      <c r="C524" t="s">
        <v>1799</v>
      </c>
      <c r="D524" t="s">
        <v>1800</v>
      </c>
      <c r="E524" t="s">
        <v>1793</v>
      </c>
      <c r="F524" t="s">
        <v>1794</v>
      </c>
      <c r="G524" t="str">
        <f>_xlfn.XLOOKUP(frasest[[#This Row],[author_es]],autorest[author_es],autorest[author_la])</f>
        <v>Beatus Carolus Acutis</v>
      </c>
      <c r="H524"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4"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4" t="str">
        <f>_xlfn.XLOOKUP(frasest[[#This Row],[author_es]],autorest[author_es],autorest[iso3691])</f>
        <v>it</v>
      </c>
      <c r="K524" t="str">
        <f>_xlfn.XLOOKUP(frasest[[#This Row],[author_es]],autorest[author_es],autorest[language_es])</f>
        <v>Italiano</v>
      </c>
      <c r="L524" t="str">
        <f>_xlfn.XLOOKUP(frasest[[#This Row],[author_es]],autorest[author_es],autorest[language_la])</f>
        <v>Lingua Italica</v>
      </c>
      <c r="M524" t="str">
        <f>_xlfn.XLOOKUP(frasest[[#This Row],[author_es]],autorest[author_es],autorest[nation_es])</f>
        <v>Italia</v>
      </c>
      <c r="N524" t="str">
        <f>_xlfn.XLOOKUP(frasest[[#This Row],[author_es]],autorest[author_es],autorest[nation_la])</f>
        <v>Italia</v>
      </c>
      <c r="O524" t="str">
        <f>_xlfn.XLOOKUP(frasest[[#This Row],[author_es]],autorest[author_es],autorest[age_es])</f>
        <v>Edad Contemporánea</v>
      </c>
      <c r="P524" t="str">
        <f>_xlfn.XLOOKUP(frasest[[#This Row],[author_es]],autorest[author_es],autorest[age_la])</f>
        <v>Aetas Contemporanea</v>
      </c>
      <c r="Q524" t="str">
        <f>_xlfn.XLOOKUP(frasest[[#This Row],[author_es]],autorest[author_es],autorest[image])</f>
        <v>https://i.ibb.co/Xxv42TMM/carloacutis.png</v>
      </c>
      <c r="R524">
        <f>_xlfn.XLOOKUP(frasest[[#This Row],[author_es]],autorest[author_es],autorest[image_atr])</f>
        <v>0</v>
      </c>
    </row>
    <row r="525" spans="1:18">
      <c r="A525">
        <v>524</v>
      </c>
      <c r="B525" t="s">
        <v>1801</v>
      </c>
      <c r="C525" t="s">
        <v>1802</v>
      </c>
      <c r="D525" t="s">
        <v>1803</v>
      </c>
      <c r="E525" t="s">
        <v>1793</v>
      </c>
      <c r="F525" t="s">
        <v>1794</v>
      </c>
      <c r="G525" t="str">
        <f>_xlfn.XLOOKUP(frasest[[#This Row],[author_es]],autorest[author_es],autorest[author_la])</f>
        <v>Beatus Carolus Acutis</v>
      </c>
      <c r="H525"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5"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5" t="str">
        <f>_xlfn.XLOOKUP(frasest[[#This Row],[author_es]],autorest[author_es],autorest[iso3691])</f>
        <v>it</v>
      </c>
      <c r="K525" t="str">
        <f>_xlfn.XLOOKUP(frasest[[#This Row],[author_es]],autorest[author_es],autorest[language_es])</f>
        <v>Italiano</v>
      </c>
      <c r="L525" t="str">
        <f>_xlfn.XLOOKUP(frasest[[#This Row],[author_es]],autorest[author_es],autorest[language_la])</f>
        <v>Lingua Italica</v>
      </c>
      <c r="M525" t="str">
        <f>_xlfn.XLOOKUP(frasest[[#This Row],[author_es]],autorest[author_es],autorest[nation_es])</f>
        <v>Italia</v>
      </c>
      <c r="N525" t="str">
        <f>_xlfn.XLOOKUP(frasest[[#This Row],[author_es]],autorest[author_es],autorest[nation_la])</f>
        <v>Italia</v>
      </c>
      <c r="O525" t="str">
        <f>_xlfn.XLOOKUP(frasest[[#This Row],[author_es]],autorest[author_es],autorest[age_es])</f>
        <v>Edad Contemporánea</v>
      </c>
      <c r="P525" t="str">
        <f>_xlfn.XLOOKUP(frasest[[#This Row],[author_es]],autorest[author_es],autorest[age_la])</f>
        <v>Aetas Contemporanea</v>
      </c>
      <c r="Q525" t="str">
        <f>_xlfn.XLOOKUP(frasest[[#This Row],[author_es]],autorest[author_es],autorest[image])</f>
        <v>https://i.ibb.co/Xxv42TMM/carloacutis.png</v>
      </c>
      <c r="R525">
        <f>_xlfn.XLOOKUP(frasest[[#This Row],[author_es]],autorest[author_es],autorest[image_atr])</f>
        <v>0</v>
      </c>
    </row>
    <row r="526" spans="1:18">
      <c r="A526">
        <v>525</v>
      </c>
      <c r="B526" t="s">
        <v>1804</v>
      </c>
      <c r="C526" t="s">
        <v>1805</v>
      </c>
      <c r="D526" t="s">
        <v>1806</v>
      </c>
      <c r="E526" t="s">
        <v>1793</v>
      </c>
      <c r="F526" t="s">
        <v>1794</v>
      </c>
      <c r="G526" t="str">
        <f>_xlfn.XLOOKUP(frasest[[#This Row],[author_es]],autorest[author_es],autorest[author_la])</f>
        <v>Beatus Carolus Acutis</v>
      </c>
      <c r="H526"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6"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6" t="str">
        <f>_xlfn.XLOOKUP(frasest[[#This Row],[author_es]],autorest[author_es],autorest[iso3691])</f>
        <v>it</v>
      </c>
      <c r="K526" t="str">
        <f>_xlfn.XLOOKUP(frasest[[#This Row],[author_es]],autorest[author_es],autorest[language_es])</f>
        <v>Italiano</v>
      </c>
      <c r="L526" t="str">
        <f>_xlfn.XLOOKUP(frasest[[#This Row],[author_es]],autorest[author_es],autorest[language_la])</f>
        <v>Lingua Italica</v>
      </c>
      <c r="M526" t="str">
        <f>_xlfn.XLOOKUP(frasest[[#This Row],[author_es]],autorest[author_es],autorest[nation_es])</f>
        <v>Italia</v>
      </c>
      <c r="N526" t="str">
        <f>_xlfn.XLOOKUP(frasest[[#This Row],[author_es]],autorest[author_es],autorest[nation_la])</f>
        <v>Italia</v>
      </c>
      <c r="O526" t="str">
        <f>_xlfn.XLOOKUP(frasest[[#This Row],[author_es]],autorest[author_es],autorest[age_es])</f>
        <v>Edad Contemporánea</v>
      </c>
      <c r="P526" t="str">
        <f>_xlfn.XLOOKUP(frasest[[#This Row],[author_es]],autorest[author_es],autorest[age_la])</f>
        <v>Aetas Contemporanea</v>
      </c>
      <c r="Q526" t="str">
        <f>_xlfn.XLOOKUP(frasest[[#This Row],[author_es]],autorest[author_es],autorest[image])</f>
        <v>https://i.ibb.co/Xxv42TMM/carloacutis.png</v>
      </c>
      <c r="R526">
        <f>_xlfn.XLOOKUP(frasest[[#This Row],[author_es]],autorest[author_es],autorest[image_atr])</f>
        <v>0</v>
      </c>
    </row>
    <row r="527" spans="1:18">
      <c r="A527">
        <v>526</v>
      </c>
      <c r="B527" t="s">
        <v>1807</v>
      </c>
      <c r="C527" t="s">
        <v>1808</v>
      </c>
      <c r="D527" t="s">
        <v>1809</v>
      </c>
      <c r="E527" t="s">
        <v>1793</v>
      </c>
      <c r="F527" t="s">
        <v>1794</v>
      </c>
      <c r="G527" t="str">
        <f>_xlfn.XLOOKUP(frasest[[#This Row],[author_es]],autorest[author_es],autorest[author_la])</f>
        <v>Beatus Carolus Acutis</v>
      </c>
      <c r="H527"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7"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7" t="str">
        <f>_xlfn.XLOOKUP(frasest[[#This Row],[author_es]],autorest[author_es],autorest[iso3691])</f>
        <v>it</v>
      </c>
      <c r="K527" t="str">
        <f>_xlfn.XLOOKUP(frasest[[#This Row],[author_es]],autorest[author_es],autorest[language_es])</f>
        <v>Italiano</v>
      </c>
      <c r="L527" t="str">
        <f>_xlfn.XLOOKUP(frasest[[#This Row],[author_es]],autorest[author_es],autorest[language_la])</f>
        <v>Lingua Italica</v>
      </c>
      <c r="M527" t="str">
        <f>_xlfn.XLOOKUP(frasest[[#This Row],[author_es]],autorest[author_es],autorest[nation_es])</f>
        <v>Italia</v>
      </c>
      <c r="N527" t="str">
        <f>_xlfn.XLOOKUP(frasest[[#This Row],[author_es]],autorest[author_es],autorest[nation_la])</f>
        <v>Italia</v>
      </c>
      <c r="O527" t="str">
        <f>_xlfn.XLOOKUP(frasest[[#This Row],[author_es]],autorest[author_es],autorest[age_es])</f>
        <v>Edad Contemporánea</v>
      </c>
      <c r="P527" t="str">
        <f>_xlfn.XLOOKUP(frasest[[#This Row],[author_es]],autorest[author_es],autorest[age_la])</f>
        <v>Aetas Contemporanea</v>
      </c>
      <c r="Q527" t="str">
        <f>_xlfn.XLOOKUP(frasest[[#This Row],[author_es]],autorest[author_es],autorest[image])</f>
        <v>https://i.ibb.co/Xxv42TMM/carloacutis.png</v>
      </c>
      <c r="R527">
        <f>_xlfn.XLOOKUP(frasest[[#This Row],[author_es]],autorest[author_es],autorest[image_atr])</f>
        <v>0</v>
      </c>
    </row>
    <row r="528" spans="1:18">
      <c r="A528">
        <v>527</v>
      </c>
      <c r="B528" t="s">
        <v>1810</v>
      </c>
      <c r="C528" t="s">
        <v>1811</v>
      </c>
      <c r="D528" t="s">
        <v>1812</v>
      </c>
      <c r="E528" t="s">
        <v>1793</v>
      </c>
      <c r="F528" t="s">
        <v>1794</v>
      </c>
      <c r="G528" t="str">
        <f>_xlfn.XLOOKUP(frasest[[#This Row],[author_es]],autorest[author_es],autorest[author_la])</f>
        <v>Beatus Carolus Acutis</v>
      </c>
      <c r="H528"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8"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8" t="str">
        <f>_xlfn.XLOOKUP(frasest[[#This Row],[author_es]],autorest[author_es],autorest[iso3691])</f>
        <v>it</v>
      </c>
      <c r="K528" t="str">
        <f>_xlfn.XLOOKUP(frasest[[#This Row],[author_es]],autorest[author_es],autorest[language_es])</f>
        <v>Italiano</v>
      </c>
      <c r="L528" t="str">
        <f>_xlfn.XLOOKUP(frasest[[#This Row],[author_es]],autorest[author_es],autorest[language_la])</f>
        <v>Lingua Italica</v>
      </c>
      <c r="M528" t="str">
        <f>_xlfn.XLOOKUP(frasest[[#This Row],[author_es]],autorest[author_es],autorest[nation_es])</f>
        <v>Italia</v>
      </c>
      <c r="N528" t="str">
        <f>_xlfn.XLOOKUP(frasest[[#This Row],[author_es]],autorest[author_es],autorest[nation_la])</f>
        <v>Italia</v>
      </c>
      <c r="O528" t="str">
        <f>_xlfn.XLOOKUP(frasest[[#This Row],[author_es]],autorest[author_es],autorest[age_es])</f>
        <v>Edad Contemporánea</v>
      </c>
      <c r="P528" t="str">
        <f>_xlfn.XLOOKUP(frasest[[#This Row],[author_es]],autorest[author_es],autorest[age_la])</f>
        <v>Aetas Contemporanea</v>
      </c>
      <c r="Q528" t="str">
        <f>_xlfn.XLOOKUP(frasest[[#This Row],[author_es]],autorest[author_es],autorest[image])</f>
        <v>https://i.ibb.co/Xxv42TMM/carloacutis.png</v>
      </c>
      <c r="R528">
        <f>_xlfn.XLOOKUP(frasest[[#This Row],[author_es]],autorest[author_es],autorest[image_atr])</f>
        <v>0</v>
      </c>
    </row>
    <row r="529" spans="1:18">
      <c r="A529">
        <v>528</v>
      </c>
      <c r="B529" t="s">
        <v>1813</v>
      </c>
      <c r="C529" t="s">
        <v>1814</v>
      </c>
      <c r="D529" t="s">
        <v>1815</v>
      </c>
      <c r="E529" t="s">
        <v>1793</v>
      </c>
      <c r="F529" t="s">
        <v>1794</v>
      </c>
      <c r="G529" t="str">
        <f>_xlfn.XLOOKUP(frasest[[#This Row],[author_es]],autorest[author_es],autorest[author_la])</f>
        <v>Beatus Carolus Acutis</v>
      </c>
      <c r="H529" t="str">
        <f>_xlfn.XLOOKUP(frasest[[#This Row],[author_es]],autorest[author_es],autorest[bio_es])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I529" t="str">
        <f>_xlfn.XLOOKUP(frasest[[#This Row],[author_es]],autorest[author_es],autorest[bio_la])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J529" t="str">
        <f>_xlfn.XLOOKUP(frasest[[#This Row],[author_es]],autorest[author_es],autorest[iso3691])</f>
        <v>it</v>
      </c>
      <c r="K529" t="str">
        <f>_xlfn.XLOOKUP(frasest[[#This Row],[author_es]],autorest[author_es],autorest[language_es])</f>
        <v>Italiano</v>
      </c>
      <c r="L529" t="str">
        <f>_xlfn.XLOOKUP(frasest[[#This Row],[author_es]],autorest[author_es],autorest[language_la])</f>
        <v>Lingua Italica</v>
      </c>
      <c r="M529" t="str">
        <f>_xlfn.XLOOKUP(frasest[[#This Row],[author_es]],autorest[author_es],autorest[nation_es])</f>
        <v>Italia</v>
      </c>
      <c r="N529" t="str">
        <f>_xlfn.XLOOKUP(frasest[[#This Row],[author_es]],autorest[author_es],autorest[nation_la])</f>
        <v>Italia</v>
      </c>
      <c r="O529" t="str">
        <f>_xlfn.XLOOKUP(frasest[[#This Row],[author_es]],autorest[author_es],autorest[age_es])</f>
        <v>Edad Contemporánea</v>
      </c>
      <c r="P529" t="str">
        <f>_xlfn.XLOOKUP(frasest[[#This Row],[author_es]],autorest[author_es],autorest[age_la])</f>
        <v>Aetas Contemporanea</v>
      </c>
      <c r="Q529" t="str">
        <f>_xlfn.XLOOKUP(frasest[[#This Row],[author_es]],autorest[author_es],autorest[image])</f>
        <v>https://i.ibb.co/Xxv42TMM/carloacutis.png</v>
      </c>
      <c r="R529">
        <f>_xlfn.XLOOKUP(frasest[[#This Row],[author_es]],autorest[author_es],autorest[image_atr])</f>
        <v>0</v>
      </c>
    </row>
    <row r="530" spans="1:18">
      <c r="A530">
        <v>529</v>
      </c>
      <c r="B530" t="s">
        <v>1816</v>
      </c>
      <c r="C530" t="s">
        <v>1699</v>
      </c>
      <c r="D530" t="s">
        <v>1700</v>
      </c>
      <c r="E530" t="s">
        <v>1701</v>
      </c>
      <c r="F530" t="s">
        <v>1817</v>
      </c>
      <c r="G530" t="str">
        <f>_xlfn.XLOOKUP(frasest[[#This Row],[author_es]],autorest[author_es],autorest[author_la])</f>
        <v>Fridericus Froebel</v>
      </c>
      <c r="H530"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0"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0" t="str">
        <f>_xlfn.XLOOKUP(frasest[[#This Row],[author_es]],autorest[author_es],autorest[iso3691])</f>
        <v>de</v>
      </c>
      <c r="K530" t="str">
        <f>_xlfn.XLOOKUP(frasest[[#This Row],[author_es]],autorest[author_es],autorest[language_es])</f>
        <v>Alemán</v>
      </c>
      <c r="L530" t="str">
        <f>_xlfn.XLOOKUP(frasest[[#This Row],[author_es]],autorest[author_es],autorest[language_la])</f>
        <v>Lingua Germanica</v>
      </c>
      <c r="M530" t="str">
        <f>_xlfn.XLOOKUP(frasest[[#This Row],[author_es]],autorest[author_es],autorest[nation_es])</f>
        <v>Alemania</v>
      </c>
      <c r="N530" t="str">
        <f>_xlfn.XLOOKUP(frasest[[#This Row],[author_es]],autorest[author_es],autorest[nation_la])</f>
        <v>Germania</v>
      </c>
      <c r="O530" t="str">
        <f>_xlfn.XLOOKUP(frasest[[#This Row],[author_es]],autorest[author_es],autorest[age_es])</f>
        <v>Edad Moderna</v>
      </c>
      <c r="P530" t="str">
        <f>_xlfn.XLOOKUP(frasest[[#This Row],[author_es]],autorest[author_es],autorest[age_la])</f>
        <v>Nova Aetas</v>
      </c>
      <c r="Q530" t="str">
        <f>_xlfn.XLOOKUP(frasest[[#This Row],[author_es]],autorest[author_es],autorest[image])</f>
        <v>https://i.ibb.co/0jwMS3vT/froebel.png</v>
      </c>
      <c r="R530">
        <f>_xlfn.XLOOKUP(frasest[[#This Row],[author_es]],autorest[author_es],autorest[image_atr])</f>
        <v>0</v>
      </c>
    </row>
    <row r="531" spans="1:18">
      <c r="A531">
        <v>530</v>
      </c>
      <c r="B531" t="s">
        <v>1703</v>
      </c>
      <c r="C531" t="s">
        <v>1704</v>
      </c>
      <c r="D531" t="s">
        <v>1705</v>
      </c>
      <c r="E531" t="s">
        <v>1701</v>
      </c>
      <c r="F531" t="s">
        <v>1817</v>
      </c>
      <c r="G531" t="str">
        <f>_xlfn.XLOOKUP(frasest[[#This Row],[author_es]],autorest[author_es],autorest[author_la])</f>
        <v>Fridericus Froebel</v>
      </c>
      <c r="H531"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1"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1" t="str">
        <f>_xlfn.XLOOKUP(frasest[[#This Row],[author_es]],autorest[author_es],autorest[iso3691])</f>
        <v>de</v>
      </c>
      <c r="K531" t="str">
        <f>_xlfn.XLOOKUP(frasest[[#This Row],[author_es]],autorest[author_es],autorest[language_es])</f>
        <v>Alemán</v>
      </c>
      <c r="L531" t="str">
        <f>_xlfn.XLOOKUP(frasest[[#This Row],[author_es]],autorest[author_es],autorest[language_la])</f>
        <v>Lingua Germanica</v>
      </c>
      <c r="M531" t="str">
        <f>_xlfn.XLOOKUP(frasest[[#This Row],[author_es]],autorest[author_es],autorest[nation_es])</f>
        <v>Alemania</v>
      </c>
      <c r="N531" t="str">
        <f>_xlfn.XLOOKUP(frasest[[#This Row],[author_es]],autorest[author_es],autorest[nation_la])</f>
        <v>Germania</v>
      </c>
      <c r="O531" t="str">
        <f>_xlfn.XLOOKUP(frasest[[#This Row],[author_es]],autorest[author_es],autorest[age_es])</f>
        <v>Edad Moderna</v>
      </c>
      <c r="P531" t="str">
        <f>_xlfn.XLOOKUP(frasest[[#This Row],[author_es]],autorest[author_es],autorest[age_la])</f>
        <v>Nova Aetas</v>
      </c>
      <c r="Q531" t="str">
        <f>_xlfn.XLOOKUP(frasest[[#This Row],[author_es]],autorest[author_es],autorest[image])</f>
        <v>https://i.ibb.co/0jwMS3vT/froebel.png</v>
      </c>
      <c r="R531">
        <f>_xlfn.XLOOKUP(frasest[[#This Row],[author_es]],autorest[author_es],autorest[image_atr])</f>
        <v>0</v>
      </c>
    </row>
    <row r="532" spans="1:18">
      <c r="A532">
        <v>531</v>
      </c>
      <c r="B532" t="s">
        <v>1818</v>
      </c>
      <c r="C532" t="s">
        <v>1819</v>
      </c>
      <c r="D532" t="s">
        <v>1820</v>
      </c>
      <c r="E532" t="s">
        <v>1701</v>
      </c>
      <c r="F532" t="s">
        <v>1817</v>
      </c>
      <c r="G532" t="str">
        <f>_xlfn.XLOOKUP(frasest[[#This Row],[author_es]],autorest[author_es],autorest[author_la])</f>
        <v>Fridericus Froebel</v>
      </c>
      <c r="H532"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2"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2" t="str">
        <f>_xlfn.XLOOKUP(frasest[[#This Row],[author_es]],autorest[author_es],autorest[iso3691])</f>
        <v>de</v>
      </c>
      <c r="K532" t="str">
        <f>_xlfn.XLOOKUP(frasest[[#This Row],[author_es]],autorest[author_es],autorest[language_es])</f>
        <v>Alemán</v>
      </c>
      <c r="L532" t="str">
        <f>_xlfn.XLOOKUP(frasest[[#This Row],[author_es]],autorest[author_es],autorest[language_la])</f>
        <v>Lingua Germanica</v>
      </c>
      <c r="M532" t="str">
        <f>_xlfn.XLOOKUP(frasest[[#This Row],[author_es]],autorest[author_es],autorest[nation_es])</f>
        <v>Alemania</v>
      </c>
      <c r="N532" t="str">
        <f>_xlfn.XLOOKUP(frasest[[#This Row],[author_es]],autorest[author_es],autorest[nation_la])</f>
        <v>Germania</v>
      </c>
      <c r="O532" t="str">
        <f>_xlfn.XLOOKUP(frasest[[#This Row],[author_es]],autorest[author_es],autorest[age_es])</f>
        <v>Edad Moderna</v>
      </c>
      <c r="P532" t="str">
        <f>_xlfn.XLOOKUP(frasest[[#This Row],[author_es]],autorest[author_es],autorest[age_la])</f>
        <v>Nova Aetas</v>
      </c>
      <c r="Q532" t="str">
        <f>_xlfn.XLOOKUP(frasest[[#This Row],[author_es]],autorest[author_es],autorest[image])</f>
        <v>https://i.ibb.co/0jwMS3vT/froebel.png</v>
      </c>
      <c r="R532">
        <f>_xlfn.XLOOKUP(frasest[[#This Row],[author_es]],autorest[author_es],autorest[image_atr])</f>
        <v>0</v>
      </c>
    </row>
    <row r="533" spans="1:18">
      <c r="A533">
        <v>532</v>
      </c>
      <c r="B533" t="s">
        <v>1709</v>
      </c>
      <c r="C533" t="s">
        <v>1821</v>
      </c>
      <c r="D533" t="s">
        <v>1711</v>
      </c>
      <c r="E533" t="s">
        <v>1701</v>
      </c>
      <c r="F533" t="s">
        <v>1817</v>
      </c>
      <c r="G533" t="str">
        <f>_xlfn.XLOOKUP(frasest[[#This Row],[author_es]],autorest[author_es],autorest[author_la])</f>
        <v>Fridericus Froebel</v>
      </c>
      <c r="H533"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3"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3" t="str">
        <f>_xlfn.XLOOKUP(frasest[[#This Row],[author_es]],autorest[author_es],autorest[iso3691])</f>
        <v>de</v>
      </c>
      <c r="K533" t="str">
        <f>_xlfn.XLOOKUP(frasest[[#This Row],[author_es]],autorest[author_es],autorest[language_es])</f>
        <v>Alemán</v>
      </c>
      <c r="L533" t="str">
        <f>_xlfn.XLOOKUP(frasest[[#This Row],[author_es]],autorest[author_es],autorest[language_la])</f>
        <v>Lingua Germanica</v>
      </c>
      <c r="M533" t="str">
        <f>_xlfn.XLOOKUP(frasest[[#This Row],[author_es]],autorest[author_es],autorest[nation_es])</f>
        <v>Alemania</v>
      </c>
      <c r="N533" t="str">
        <f>_xlfn.XLOOKUP(frasest[[#This Row],[author_es]],autorest[author_es],autorest[nation_la])</f>
        <v>Germania</v>
      </c>
      <c r="O533" t="str">
        <f>_xlfn.XLOOKUP(frasest[[#This Row],[author_es]],autorest[author_es],autorest[age_es])</f>
        <v>Edad Moderna</v>
      </c>
      <c r="P533" t="str">
        <f>_xlfn.XLOOKUP(frasest[[#This Row],[author_es]],autorest[author_es],autorest[age_la])</f>
        <v>Nova Aetas</v>
      </c>
      <c r="Q533" t="str">
        <f>_xlfn.XLOOKUP(frasest[[#This Row],[author_es]],autorest[author_es],autorest[image])</f>
        <v>https://i.ibb.co/0jwMS3vT/froebel.png</v>
      </c>
      <c r="R533">
        <f>_xlfn.XLOOKUP(frasest[[#This Row],[author_es]],autorest[author_es],autorest[image_atr])</f>
        <v>0</v>
      </c>
    </row>
    <row r="534" spans="1:18">
      <c r="A534">
        <v>533</v>
      </c>
      <c r="B534" t="s">
        <v>1712</v>
      </c>
      <c r="C534" t="s">
        <v>1713</v>
      </c>
      <c r="D534" t="s">
        <v>1714</v>
      </c>
      <c r="E534" t="s">
        <v>1701</v>
      </c>
      <c r="F534" t="s">
        <v>1817</v>
      </c>
      <c r="G534" t="str">
        <f>_xlfn.XLOOKUP(frasest[[#This Row],[author_es]],autorest[author_es],autorest[author_la])</f>
        <v>Fridericus Froebel</v>
      </c>
      <c r="H534"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4"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4" t="str">
        <f>_xlfn.XLOOKUP(frasest[[#This Row],[author_es]],autorest[author_es],autorest[iso3691])</f>
        <v>de</v>
      </c>
      <c r="K534" t="str">
        <f>_xlfn.XLOOKUP(frasest[[#This Row],[author_es]],autorest[author_es],autorest[language_es])</f>
        <v>Alemán</v>
      </c>
      <c r="L534" t="str">
        <f>_xlfn.XLOOKUP(frasest[[#This Row],[author_es]],autorest[author_es],autorest[language_la])</f>
        <v>Lingua Germanica</v>
      </c>
      <c r="M534" t="str">
        <f>_xlfn.XLOOKUP(frasest[[#This Row],[author_es]],autorest[author_es],autorest[nation_es])</f>
        <v>Alemania</v>
      </c>
      <c r="N534" t="str">
        <f>_xlfn.XLOOKUP(frasest[[#This Row],[author_es]],autorest[author_es],autorest[nation_la])</f>
        <v>Germania</v>
      </c>
      <c r="O534" t="str">
        <f>_xlfn.XLOOKUP(frasest[[#This Row],[author_es]],autorest[author_es],autorest[age_es])</f>
        <v>Edad Moderna</v>
      </c>
      <c r="P534" t="str">
        <f>_xlfn.XLOOKUP(frasest[[#This Row],[author_es]],autorest[author_es],autorest[age_la])</f>
        <v>Nova Aetas</v>
      </c>
      <c r="Q534" t="str">
        <f>_xlfn.XLOOKUP(frasest[[#This Row],[author_es]],autorest[author_es],autorest[image])</f>
        <v>https://i.ibb.co/0jwMS3vT/froebel.png</v>
      </c>
      <c r="R534">
        <f>_xlfn.XLOOKUP(frasest[[#This Row],[author_es]],autorest[author_es],autorest[image_atr])</f>
        <v>0</v>
      </c>
    </row>
    <row r="535" spans="1:18">
      <c r="A535">
        <v>534</v>
      </c>
      <c r="B535" t="s">
        <v>1715</v>
      </c>
      <c r="C535" t="s">
        <v>1716</v>
      </c>
      <c r="D535" t="s">
        <v>1717</v>
      </c>
      <c r="E535" t="s">
        <v>1701</v>
      </c>
      <c r="F535" t="s">
        <v>1817</v>
      </c>
      <c r="G535" t="str">
        <f>_xlfn.XLOOKUP(frasest[[#This Row],[author_es]],autorest[author_es],autorest[author_la])</f>
        <v>Fridericus Froebel</v>
      </c>
      <c r="H535" t="str">
        <f>_xlfn.XLOOKUP(frasest[[#This Row],[author_es]],autorest[author_es],autorest[bio_es])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I535" t="str">
        <f>_xlfn.XLOOKUP(frasest[[#This Row],[author_es]],autorest[author_es],autorest[bio_la])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J535" t="str">
        <f>_xlfn.XLOOKUP(frasest[[#This Row],[author_es]],autorest[author_es],autorest[iso3691])</f>
        <v>de</v>
      </c>
      <c r="K535" t="str">
        <f>_xlfn.XLOOKUP(frasest[[#This Row],[author_es]],autorest[author_es],autorest[language_es])</f>
        <v>Alemán</v>
      </c>
      <c r="L535" t="str">
        <f>_xlfn.XLOOKUP(frasest[[#This Row],[author_es]],autorest[author_es],autorest[language_la])</f>
        <v>Lingua Germanica</v>
      </c>
      <c r="M535" t="str">
        <f>_xlfn.XLOOKUP(frasest[[#This Row],[author_es]],autorest[author_es],autorest[nation_es])</f>
        <v>Alemania</v>
      </c>
      <c r="N535" t="str">
        <f>_xlfn.XLOOKUP(frasest[[#This Row],[author_es]],autorest[author_es],autorest[nation_la])</f>
        <v>Germania</v>
      </c>
      <c r="O535" t="str">
        <f>_xlfn.XLOOKUP(frasest[[#This Row],[author_es]],autorest[author_es],autorest[age_es])</f>
        <v>Edad Moderna</v>
      </c>
      <c r="P535" t="str">
        <f>_xlfn.XLOOKUP(frasest[[#This Row],[author_es]],autorest[author_es],autorest[age_la])</f>
        <v>Nova Aetas</v>
      </c>
      <c r="Q535" t="str">
        <f>_xlfn.XLOOKUP(frasest[[#This Row],[author_es]],autorest[author_es],autorest[image])</f>
        <v>https://i.ibb.co/0jwMS3vT/froebel.png</v>
      </c>
      <c r="R535">
        <f>_xlfn.XLOOKUP(frasest[[#This Row],[author_es]],autorest[author_es],autorest[image_atr])</f>
        <v>0</v>
      </c>
    </row>
    <row r="536" spans="1:18">
      <c r="A536">
        <v>535</v>
      </c>
      <c r="B536" t="s">
        <v>1822</v>
      </c>
      <c r="C536" t="s">
        <v>1823</v>
      </c>
      <c r="D536" t="s">
        <v>1824</v>
      </c>
      <c r="E536" t="s">
        <v>1825</v>
      </c>
      <c r="F536" t="s">
        <v>1826</v>
      </c>
      <c r="G536" t="str">
        <f>_xlfn.XLOOKUP(frasest[[#This Row],[author_es]],autorest[author_es],autorest[author_la])</f>
        <v>Rudolphus Steiner</v>
      </c>
      <c r="H536"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6"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6" t="str">
        <f>_xlfn.XLOOKUP(frasest[[#This Row],[author_es]],autorest[author_es],autorest[iso3691])</f>
        <v>de</v>
      </c>
      <c r="K536" t="str">
        <f>_xlfn.XLOOKUP(frasest[[#This Row],[author_es]],autorest[author_es],autorest[language_es])</f>
        <v>Alemán</v>
      </c>
      <c r="L536" t="str">
        <f>_xlfn.XLOOKUP(frasest[[#This Row],[author_es]],autorest[author_es],autorest[language_la])</f>
        <v>Lingua Germanica</v>
      </c>
      <c r="M536" t="str">
        <f>_xlfn.XLOOKUP(frasest[[#This Row],[author_es]],autorest[author_es],autorest[nation_es])</f>
        <v>Austria</v>
      </c>
      <c r="N536" t="str">
        <f>_xlfn.XLOOKUP(frasest[[#This Row],[author_es]],autorest[author_es],autorest[nation_la])</f>
        <v>Austria</v>
      </c>
      <c r="O536" t="str">
        <f>_xlfn.XLOOKUP(frasest[[#This Row],[author_es]],autorest[author_es],autorest[age_es])</f>
        <v>Edad Contemporánea</v>
      </c>
      <c r="P536" t="str">
        <f>_xlfn.XLOOKUP(frasest[[#This Row],[author_es]],autorest[author_es],autorest[age_la])</f>
        <v>Aetas Contemporanea</v>
      </c>
      <c r="Q536" t="str">
        <f>_xlfn.XLOOKUP(frasest[[#This Row],[author_es]],autorest[author_es],autorest[image])</f>
        <v>https://i.ibb.co/S7Bw3Wgz/steiner.png</v>
      </c>
      <c r="R536">
        <f>_xlfn.XLOOKUP(frasest[[#This Row],[author_es]],autorest[author_es],autorest[image_atr])</f>
        <v>0</v>
      </c>
    </row>
    <row r="537" spans="1:18">
      <c r="A537">
        <v>536</v>
      </c>
      <c r="B537" t="s">
        <v>1827</v>
      </c>
      <c r="C537" t="s">
        <v>1828</v>
      </c>
      <c r="D537" t="s">
        <v>1829</v>
      </c>
      <c r="E537" t="s">
        <v>1825</v>
      </c>
      <c r="F537" t="s">
        <v>1826</v>
      </c>
      <c r="G537" t="str">
        <f>_xlfn.XLOOKUP(frasest[[#This Row],[author_es]],autorest[author_es],autorest[author_la])</f>
        <v>Rudolphus Steiner</v>
      </c>
      <c r="H537"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7"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7" t="str">
        <f>_xlfn.XLOOKUP(frasest[[#This Row],[author_es]],autorest[author_es],autorest[iso3691])</f>
        <v>de</v>
      </c>
      <c r="K537" t="str">
        <f>_xlfn.XLOOKUP(frasest[[#This Row],[author_es]],autorest[author_es],autorest[language_es])</f>
        <v>Alemán</v>
      </c>
      <c r="L537" t="str">
        <f>_xlfn.XLOOKUP(frasest[[#This Row],[author_es]],autorest[author_es],autorest[language_la])</f>
        <v>Lingua Germanica</v>
      </c>
      <c r="M537" t="str">
        <f>_xlfn.XLOOKUP(frasest[[#This Row],[author_es]],autorest[author_es],autorest[nation_es])</f>
        <v>Austria</v>
      </c>
      <c r="N537" t="str">
        <f>_xlfn.XLOOKUP(frasest[[#This Row],[author_es]],autorest[author_es],autorest[nation_la])</f>
        <v>Austria</v>
      </c>
      <c r="O537" t="str">
        <f>_xlfn.XLOOKUP(frasest[[#This Row],[author_es]],autorest[author_es],autorest[age_es])</f>
        <v>Edad Contemporánea</v>
      </c>
      <c r="P537" t="str">
        <f>_xlfn.XLOOKUP(frasest[[#This Row],[author_es]],autorest[author_es],autorest[age_la])</f>
        <v>Aetas Contemporanea</v>
      </c>
      <c r="Q537" t="str">
        <f>_xlfn.XLOOKUP(frasest[[#This Row],[author_es]],autorest[author_es],autorest[image])</f>
        <v>https://i.ibb.co/S7Bw3Wgz/steiner.png</v>
      </c>
      <c r="R537">
        <f>_xlfn.XLOOKUP(frasest[[#This Row],[author_es]],autorest[author_es],autorest[image_atr])</f>
        <v>0</v>
      </c>
    </row>
    <row r="538" spans="1:18">
      <c r="A538">
        <v>537</v>
      </c>
      <c r="B538" t="s">
        <v>1830</v>
      </c>
      <c r="C538" t="s">
        <v>1831</v>
      </c>
      <c r="D538" t="s">
        <v>1832</v>
      </c>
      <c r="E538" t="s">
        <v>1825</v>
      </c>
      <c r="F538" t="s">
        <v>1826</v>
      </c>
      <c r="G538" t="str">
        <f>_xlfn.XLOOKUP(frasest[[#This Row],[author_es]],autorest[author_es],autorest[author_la])</f>
        <v>Rudolphus Steiner</v>
      </c>
      <c r="H538"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8"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8" t="str">
        <f>_xlfn.XLOOKUP(frasest[[#This Row],[author_es]],autorest[author_es],autorest[iso3691])</f>
        <v>de</v>
      </c>
      <c r="K538" t="str">
        <f>_xlfn.XLOOKUP(frasest[[#This Row],[author_es]],autorest[author_es],autorest[language_es])</f>
        <v>Alemán</v>
      </c>
      <c r="L538" t="str">
        <f>_xlfn.XLOOKUP(frasest[[#This Row],[author_es]],autorest[author_es],autorest[language_la])</f>
        <v>Lingua Germanica</v>
      </c>
      <c r="M538" t="str">
        <f>_xlfn.XLOOKUP(frasest[[#This Row],[author_es]],autorest[author_es],autorest[nation_es])</f>
        <v>Austria</v>
      </c>
      <c r="N538" t="str">
        <f>_xlfn.XLOOKUP(frasest[[#This Row],[author_es]],autorest[author_es],autorest[nation_la])</f>
        <v>Austria</v>
      </c>
      <c r="O538" t="str">
        <f>_xlfn.XLOOKUP(frasest[[#This Row],[author_es]],autorest[author_es],autorest[age_es])</f>
        <v>Edad Contemporánea</v>
      </c>
      <c r="P538" t="str">
        <f>_xlfn.XLOOKUP(frasest[[#This Row],[author_es]],autorest[author_es],autorest[age_la])</f>
        <v>Aetas Contemporanea</v>
      </c>
      <c r="Q538" t="str">
        <f>_xlfn.XLOOKUP(frasest[[#This Row],[author_es]],autorest[author_es],autorest[image])</f>
        <v>https://i.ibb.co/S7Bw3Wgz/steiner.png</v>
      </c>
      <c r="R538">
        <f>_xlfn.XLOOKUP(frasest[[#This Row],[author_es]],autorest[author_es],autorest[image_atr])</f>
        <v>0</v>
      </c>
    </row>
    <row r="539" spans="1:18">
      <c r="A539">
        <v>538</v>
      </c>
      <c r="B539" t="s">
        <v>1833</v>
      </c>
      <c r="C539" t="s">
        <v>1834</v>
      </c>
      <c r="D539" t="s">
        <v>1835</v>
      </c>
      <c r="E539" t="s">
        <v>1825</v>
      </c>
      <c r="F539" t="s">
        <v>1826</v>
      </c>
      <c r="G539" t="str">
        <f>_xlfn.XLOOKUP(frasest[[#This Row],[author_es]],autorest[author_es],autorest[author_la])</f>
        <v>Rudolphus Steiner</v>
      </c>
      <c r="H539"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39"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39" t="str">
        <f>_xlfn.XLOOKUP(frasest[[#This Row],[author_es]],autorest[author_es],autorest[iso3691])</f>
        <v>de</v>
      </c>
      <c r="K539" t="str">
        <f>_xlfn.XLOOKUP(frasest[[#This Row],[author_es]],autorest[author_es],autorest[language_es])</f>
        <v>Alemán</v>
      </c>
      <c r="L539" t="str">
        <f>_xlfn.XLOOKUP(frasest[[#This Row],[author_es]],autorest[author_es],autorest[language_la])</f>
        <v>Lingua Germanica</v>
      </c>
      <c r="M539" t="str">
        <f>_xlfn.XLOOKUP(frasest[[#This Row],[author_es]],autorest[author_es],autorest[nation_es])</f>
        <v>Austria</v>
      </c>
      <c r="N539" t="str">
        <f>_xlfn.XLOOKUP(frasest[[#This Row],[author_es]],autorest[author_es],autorest[nation_la])</f>
        <v>Austria</v>
      </c>
      <c r="O539" t="str">
        <f>_xlfn.XLOOKUP(frasest[[#This Row],[author_es]],autorest[author_es],autorest[age_es])</f>
        <v>Edad Contemporánea</v>
      </c>
      <c r="P539" t="str">
        <f>_xlfn.XLOOKUP(frasest[[#This Row],[author_es]],autorest[author_es],autorest[age_la])</f>
        <v>Aetas Contemporanea</v>
      </c>
      <c r="Q539" t="str">
        <f>_xlfn.XLOOKUP(frasest[[#This Row],[author_es]],autorest[author_es],autorest[image])</f>
        <v>https://i.ibb.co/S7Bw3Wgz/steiner.png</v>
      </c>
      <c r="R539">
        <f>_xlfn.XLOOKUP(frasest[[#This Row],[author_es]],autorest[author_es],autorest[image_atr])</f>
        <v>0</v>
      </c>
    </row>
    <row r="540" spans="1:18">
      <c r="A540">
        <v>539</v>
      </c>
      <c r="B540" t="s">
        <v>1836</v>
      </c>
      <c r="C540" t="s">
        <v>1837</v>
      </c>
      <c r="D540" t="s">
        <v>1838</v>
      </c>
      <c r="E540" t="s">
        <v>1825</v>
      </c>
      <c r="F540" t="s">
        <v>1826</v>
      </c>
      <c r="G540" t="str">
        <f>_xlfn.XLOOKUP(frasest[[#This Row],[author_es]],autorest[author_es],autorest[author_la])</f>
        <v>Rudolphus Steiner</v>
      </c>
      <c r="H540"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0"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0" t="str">
        <f>_xlfn.XLOOKUP(frasest[[#This Row],[author_es]],autorest[author_es],autorest[iso3691])</f>
        <v>de</v>
      </c>
      <c r="K540" t="str">
        <f>_xlfn.XLOOKUP(frasest[[#This Row],[author_es]],autorest[author_es],autorest[language_es])</f>
        <v>Alemán</v>
      </c>
      <c r="L540" t="str">
        <f>_xlfn.XLOOKUP(frasest[[#This Row],[author_es]],autorest[author_es],autorest[language_la])</f>
        <v>Lingua Germanica</v>
      </c>
      <c r="M540" t="str">
        <f>_xlfn.XLOOKUP(frasest[[#This Row],[author_es]],autorest[author_es],autorest[nation_es])</f>
        <v>Austria</v>
      </c>
      <c r="N540" t="str">
        <f>_xlfn.XLOOKUP(frasest[[#This Row],[author_es]],autorest[author_es],autorest[nation_la])</f>
        <v>Austria</v>
      </c>
      <c r="O540" t="str">
        <f>_xlfn.XLOOKUP(frasest[[#This Row],[author_es]],autorest[author_es],autorest[age_es])</f>
        <v>Edad Contemporánea</v>
      </c>
      <c r="P540" t="str">
        <f>_xlfn.XLOOKUP(frasest[[#This Row],[author_es]],autorest[author_es],autorest[age_la])</f>
        <v>Aetas Contemporanea</v>
      </c>
      <c r="Q540" t="str">
        <f>_xlfn.XLOOKUP(frasest[[#This Row],[author_es]],autorest[author_es],autorest[image])</f>
        <v>https://i.ibb.co/S7Bw3Wgz/steiner.png</v>
      </c>
      <c r="R540">
        <f>_xlfn.XLOOKUP(frasest[[#This Row],[author_es]],autorest[author_es],autorest[image_atr])</f>
        <v>0</v>
      </c>
    </row>
    <row r="541" spans="1:18">
      <c r="A541">
        <v>540</v>
      </c>
      <c r="B541" t="s">
        <v>1839</v>
      </c>
      <c r="C541" t="s">
        <v>1840</v>
      </c>
      <c r="D541" t="s">
        <v>1841</v>
      </c>
      <c r="E541" t="s">
        <v>1825</v>
      </c>
      <c r="F541" t="s">
        <v>1826</v>
      </c>
      <c r="G541" t="str">
        <f>_xlfn.XLOOKUP(frasest[[#This Row],[author_es]],autorest[author_es],autorest[author_la])</f>
        <v>Rudolphus Steiner</v>
      </c>
      <c r="H541"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1"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1" t="str">
        <f>_xlfn.XLOOKUP(frasest[[#This Row],[author_es]],autorest[author_es],autorest[iso3691])</f>
        <v>de</v>
      </c>
      <c r="K541" t="str">
        <f>_xlfn.XLOOKUP(frasest[[#This Row],[author_es]],autorest[author_es],autorest[language_es])</f>
        <v>Alemán</v>
      </c>
      <c r="L541" t="str">
        <f>_xlfn.XLOOKUP(frasest[[#This Row],[author_es]],autorest[author_es],autorest[language_la])</f>
        <v>Lingua Germanica</v>
      </c>
      <c r="M541" t="str">
        <f>_xlfn.XLOOKUP(frasest[[#This Row],[author_es]],autorest[author_es],autorest[nation_es])</f>
        <v>Austria</v>
      </c>
      <c r="N541" t="str">
        <f>_xlfn.XLOOKUP(frasest[[#This Row],[author_es]],autorest[author_es],autorest[nation_la])</f>
        <v>Austria</v>
      </c>
      <c r="O541" t="str">
        <f>_xlfn.XLOOKUP(frasest[[#This Row],[author_es]],autorest[author_es],autorest[age_es])</f>
        <v>Edad Contemporánea</v>
      </c>
      <c r="P541" t="str">
        <f>_xlfn.XLOOKUP(frasest[[#This Row],[author_es]],autorest[author_es],autorest[age_la])</f>
        <v>Aetas Contemporanea</v>
      </c>
      <c r="Q541" t="str">
        <f>_xlfn.XLOOKUP(frasest[[#This Row],[author_es]],autorest[author_es],autorest[image])</f>
        <v>https://i.ibb.co/S7Bw3Wgz/steiner.png</v>
      </c>
      <c r="R541">
        <f>_xlfn.XLOOKUP(frasest[[#This Row],[author_es]],autorest[author_es],autorest[image_atr])</f>
        <v>0</v>
      </c>
    </row>
    <row r="542" spans="1:18">
      <c r="A542">
        <v>541</v>
      </c>
      <c r="B542" t="s">
        <v>1842</v>
      </c>
      <c r="C542" t="s">
        <v>1843</v>
      </c>
      <c r="D542" t="s">
        <v>1844</v>
      </c>
      <c r="E542" t="s">
        <v>1825</v>
      </c>
      <c r="F542" t="s">
        <v>1826</v>
      </c>
      <c r="G542" t="str">
        <f>_xlfn.XLOOKUP(frasest[[#This Row],[author_es]],autorest[author_es],autorest[author_la])</f>
        <v>Rudolphus Steiner</v>
      </c>
      <c r="H542"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2"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2" t="str">
        <f>_xlfn.XLOOKUP(frasest[[#This Row],[author_es]],autorest[author_es],autorest[iso3691])</f>
        <v>de</v>
      </c>
      <c r="K542" t="str">
        <f>_xlfn.XLOOKUP(frasest[[#This Row],[author_es]],autorest[author_es],autorest[language_es])</f>
        <v>Alemán</v>
      </c>
      <c r="L542" t="str">
        <f>_xlfn.XLOOKUP(frasest[[#This Row],[author_es]],autorest[author_es],autorest[language_la])</f>
        <v>Lingua Germanica</v>
      </c>
      <c r="M542" t="str">
        <f>_xlfn.XLOOKUP(frasest[[#This Row],[author_es]],autorest[author_es],autorest[nation_es])</f>
        <v>Austria</v>
      </c>
      <c r="N542" t="str">
        <f>_xlfn.XLOOKUP(frasest[[#This Row],[author_es]],autorest[author_es],autorest[nation_la])</f>
        <v>Austria</v>
      </c>
      <c r="O542" t="str">
        <f>_xlfn.XLOOKUP(frasest[[#This Row],[author_es]],autorest[author_es],autorest[age_es])</f>
        <v>Edad Contemporánea</v>
      </c>
      <c r="P542" t="str">
        <f>_xlfn.XLOOKUP(frasest[[#This Row],[author_es]],autorest[author_es],autorest[age_la])</f>
        <v>Aetas Contemporanea</v>
      </c>
      <c r="Q542" t="str">
        <f>_xlfn.XLOOKUP(frasest[[#This Row],[author_es]],autorest[author_es],autorest[image])</f>
        <v>https://i.ibb.co/S7Bw3Wgz/steiner.png</v>
      </c>
      <c r="R542">
        <f>_xlfn.XLOOKUP(frasest[[#This Row],[author_es]],autorest[author_es],autorest[image_atr])</f>
        <v>0</v>
      </c>
    </row>
    <row r="543" spans="1:18">
      <c r="A543">
        <v>542</v>
      </c>
      <c r="B543" t="s">
        <v>1845</v>
      </c>
      <c r="C543" t="s">
        <v>1846</v>
      </c>
      <c r="D543" t="s">
        <v>1847</v>
      </c>
      <c r="E543" t="s">
        <v>1825</v>
      </c>
      <c r="F543" t="s">
        <v>1826</v>
      </c>
      <c r="G543" t="str">
        <f>_xlfn.XLOOKUP(frasest[[#This Row],[author_es]],autorest[author_es],autorest[author_la])</f>
        <v>Rudolphus Steiner</v>
      </c>
      <c r="H543" t="str">
        <f>_xlfn.XLOOKUP(frasest[[#This Row],[author_es]],autorest[author_es],autorest[bio_es])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I543" t="str">
        <f>_xlfn.XLOOKUP(frasest[[#This Row],[author_es]],autorest[author_es],autorest[bio_la])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J543" t="str">
        <f>_xlfn.XLOOKUP(frasest[[#This Row],[author_es]],autorest[author_es],autorest[iso3691])</f>
        <v>de</v>
      </c>
      <c r="K543" t="str">
        <f>_xlfn.XLOOKUP(frasest[[#This Row],[author_es]],autorest[author_es],autorest[language_es])</f>
        <v>Alemán</v>
      </c>
      <c r="L543" t="str">
        <f>_xlfn.XLOOKUP(frasest[[#This Row],[author_es]],autorest[author_es],autorest[language_la])</f>
        <v>Lingua Germanica</v>
      </c>
      <c r="M543" t="str">
        <f>_xlfn.XLOOKUP(frasest[[#This Row],[author_es]],autorest[author_es],autorest[nation_es])</f>
        <v>Austria</v>
      </c>
      <c r="N543" t="str">
        <f>_xlfn.XLOOKUP(frasest[[#This Row],[author_es]],autorest[author_es],autorest[nation_la])</f>
        <v>Austria</v>
      </c>
      <c r="O543" t="str">
        <f>_xlfn.XLOOKUP(frasest[[#This Row],[author_es]],autorest[author_es],autorest[age_es])</f>
        <v>Edad Contemporánea</v>
      </c>
      <c r="P543" t="str">
        <f>_xlfn.XLOOKUP(frasest[[#This Row],[author_es]],autorest[author_es],autorest[age_la])</f>
        <v>Aetas Contemporanea</v>
      </c>
      <c r="Q543" t="str">
        <f>_xlfn.XLOOKUP(frasest[[#This Row],[author_es]],autorest[author_es],autorest[image])</f>
        <v>https://i.ibb.co/S7Bw3Wgz/steiner.png</v>
      </c>
      <c r="R543">
        <f>_xlfn.XLOOKUP(frasest[[#This Row],[author_es]],autorest[author_es],autorest[image_atr])</f>
        <v>0</v>
      </c>
    </row>
    <row r="544" spans="1:18">
      <c r="A544">
        <v>543</v>
      </c>
      <c r="B544" t="s">
        <v>1848</v>
      </c>
      <c r="C544" t="s">
        <v>1849</v>
      </c>
      <c r="D544" t="s">
        <v>1848</v>
      </c>
      <c r="E544" t="s">
        <v>1850</v>
      </c>
      <c r="F544" t="s">
        <v>1851</v>
      </c>
      <c r="G544" t="str">
        <f>_xlfn.XLOOKUP(frasest[[#This Row],[author_es]],autorest[author_es],autorest[author_la])</f>
        <v>Gabriela Mistral</v>
      </c>
      <c r="H544"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4"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4" t="str">
        <f>_xlfn.XLOOKUP(frasest[[#This Row],[author_es]],autorest[author_es],autorest[iso3691])</f>
        <v>es</v>
      </c>
      <c r="K544" t="str">
        <f>_xlfn.XLOOKUP(frasest[[#This Row],[author_es]],autorest[author_es],autorest[language_es])</f>
        <v>Español</v>
      </c>
      <c r="L544" t="str">
        <f>_xlfn.XLOOKUP(frasest[[#This Row],[author_es]],autorest[author_es],autorest[language_la])</f>
        <v>Lingua Hispanica</v>
      </c>
      <c r="M544" t="str">
        <f>_xlfn.XLOOKUP(frasest[[#This Row],[author_es]],autorest[author_es],autorest[nation_es])</f>
        <v>Chile</v>
      </c>
      <c r="N544" t="str">
        <f>_xlfn.XLOOKUP(frasest[[#This Row],[author_es]],autorest[author_es],autorest[nation_la])</f>
        <v>Chili</v>
      </c>
      <c r="O544" t="str">
        <f>_xlfn.XLOOKUP(frasest[[#This Row],[author_es]],autorest[author_es],autorest[age_es])</f>
        <v>Edad Contemporánea</v>
      </c>
      <c r="P544" t="str">
        <f>_xlfn.XLOOKUP(frasest[[#This Row],[author_es]],autorest[author_es],autorest[age_la])</f>
        <v>Aetas Contemporanea</v>
      </c>
      <c r="Q544" t="str">
        <f>_xlfn.XLOOKUP(frasest[[#This Row],[author_es]],autorest[author_es],autorest[image])</f>
        <v>https://i.ibb.co/XTz1rHj/gabrielamistral.png</v>
      </c>
      <c r="R544">
        <f>_xlfn.XLOOKUP(frasest[[#This Row],[author_es]],autorest[author_es],autorest[image_atr])</f>
        <v>0</v>
      </c>
    </row>
    <row r="545" spans="1:18">
      <c r="A545">
        <v>544</v>
      </c>
      <c r="B545" t="s">
        <v>1852</v>
      </c>
      <c r="C545" t="s">
        <v>1853</v>
      </c>
      <c r="D545" t="s">
        <v>1852</v>
      </c>
      <c r="E545" t="s">
        <v>1850</v>
      </c>
      <c r="F545" t="s">
        <v>1854</v>
      </c>
      <c r="G545" t="str">
        <f>_xlfn.XLOOKUP(frasest[[#This Row],[author_es]],autorest[author_es],autorest[author_la])</f>
        <v>Gabriela Mistral</v>
      </c>
      <c r="H545"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5"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5" t="str">
        <f>_xlfn.XLOOKUP(frasest[[#This Row],[author_es]],autorest[author_es],autorest[iso3691])</f>
        <v>es</v>
      </c>
      <c r="K545" t="str">
        <f>_xlfn.XLOOKUP(frasest[[#This Row],[author_es]],autorest[author_es],autorest[language_es])</f>
        <v>Español</v>
      </c>
      <c r="L545" t="str">
        <f>_xlfn.XLOOKUP(frasest[[#This Row],[author_es]],autorest[author_es],autorest[language_la])</f>
        <v>Lingua Hispanica</v>
      </c>
      <c r="M545" t="str">
        <f>_xlfn.XLOOKUP(frasest[[#This Row],[author_es]],autorest[author_es],autorest[nation_es])</f>
        <v>Chile</v>
      </c>
      <c r="N545" t="str">
        <f>_xlfn.XLOOKUP(frasest[[#This Row],[author_es]],autorest[author_es],autorest[nation_la])</f>
        <v>Chili</v>
      </c>
      <c r="O545" t="str">
        <f>_xlfn.XLOOKUP(frasest[[#This Row],[author_es]],autorest[author_es],autorest[age_es])</f>
        <v>Edad Contemporánea</v>
      </c>
      <c r="P545" t="str">
        <f>_xlfn.XLOOKUP(frasest[[#This Row],[author_es]],autorest[author_es],autorest[age_la])</f>
        <v>Aetas Contemporanea</v>
      </c>
      <c r="Q545" t="str">
        <f>_xlfn.XLOOKUP(frasest[[#This Row],[author_es]],autorest[author_es],autorest[image])</f>
        <v>https://i.ibb.co/XTz1rHj/gabrielamistral.png</v>
      </c>
      <c r="R545">
        <f>_xlfn.XLOOKUP(frasest[[#This Row],[author_es]],autorest[author_es],autorest[image_atr])</f>
        <v>0</v>
      </c>
    </row>
    <row r="546" spans="1:18">
      <c r="A546">
        <v>545</v>
      </c>
      <c r="B546" t="s">
        <v>1855</v>
      </c>
      <c r="C546" t="s">
        <v>1856</v>
      </c>
      <c r="D546" t="s">
        <v>1855</v>
      </c>
      <c r="E546" t="s">
        <v>1850</v>
      </c>
      <c r="F546" t="s">
        <v>1857</v>
      </c>
      <c r="G546" t="str">
        <f>_xlfn.XLOOKUP(frasest[[#This Row],[author_es]],autorest[author_es],autorest[author_la])</f>
        <v>Gabriela Mistral</v>
      </c>
      <c r="H546"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6"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6" t="str">
        <f>_xlfn.XLOOKUP(frasest[[#This Row],[author_es]],autorest[author_es],autorest[iso3691])</f>
        <v>es</v>
      </c>
      <c r="K546" t="str">
        <f>_xlfn.XLOOKUP(frasest[[#This Row],[author_es]],autorest[author_es],autorest[language_es])</f>
        <v>Español</v>
      </c>
      <c r="L546" t="str">
        <f>_xlfn.XLOOKUP(frasest[[#This Row],[author_es]],autorest[author_es],autorest[language_la])</f>
        <v>Lingua Hispanica</v>
      </c>
      <c r="M546" t="str">
        <f>_xlfn.XLOOKUP(frasest[[#This Row],[author_es]],autorest[author_es],autorest[nation_es])</f>
        <v>Chile</v>
      </c>
      <c r="N546" t="str">
        <f>_xlfn.XLOOKUP(frasest[[#This Row],[author_es]],autorest[author_es],autorest[nation_la])</f>
        <v>Chili</v>
      </c>
      <c r="O546" t="str">
        <f>_xlfn.XLOOKUP(frasest[[#This Row],[author_es]],autorest[author_es],autorest[age_es])</f>
        <v>Edad Contemporánea</v>
      </c>
      <c r="P546" t="str">
        <f>_xlfn.XLOOKUP(frasest[[#This Row],[author_es]],autorest[author_es],autorest[age_la])</f>
        <v>Aetas Contemporanea</v>
      </c>
      <c r="Q546" t="str">
        <f>_xlfn.XLOOKUP(frasest[[#This Row],[author_es]],autorest[author_es],autorest[image])</f>
        <v>https://i.ibb.co/XTz1rHj/gabrielamistral.png</v>
      </c>
      <c r="R546">
        <f>_xlfn.XLOOKUP(frasest[[#This Row],[author_es]],autorest[author_es],autorest[image_atr])</f>
        <v>0</v>
      </c>
    </row>
    <row r="547" spans="1:18">
      <c r="A547">
        <v>546</v>
      </c>
      <c r="B547" t="s">
        <v>1858</v>
      </c>
      <c r="C547" t="s">
        <v>1859</v>
      </c>
      <c r="D547" t="s">
        <v>1858</v>
      </c>
      <c r="E547" t="s">
        <v>1850</v>
      </c>
      <c r="F547" t="s">
        <v>1860</v>
      </c>
      <c r="G547" t="str">
        <f>_xlfn.XLOOKUP(frasest[[#This Row],[author_es]],autorest[author_es],autorest[author_la])</f>
        <v>Gabriela Mistral</v>
      </c>
      <c r="H547"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7"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7" t="str">
        <f>_xlfn.XLOOKUP(frasest[[#This Row],[author_es]],autorest[author_es],autorest[iso3691])</f>
        <v>es</v>
      </c>
      <c r="K547" t="str">
        <f>_xlfn.XLOOKUP(frasest[[#This Row],[author_es]],autorest[author_es],autorest[language_es])</f>
        <v>Español</v>
      </c>
      <c r="L547" t="str">
        <f>_xlfn.XLOOKUP(frasest[[#This Row],[author_es]],autorest[author_es],autorest[language_la])</f>
        <v>Lingua Hispanica</v>
      </c>
      <c r="M547" t="str">
        <f>_xlfn.XLOOKUP(frasest[[#This Row],[author_es]],autorest[author_es],autorest[nation_es])</f>
        <v>Chile</v>
      </c>
      <c r="N547" t="str">
        <f>_xlfn.XLOOKUP(frasest[[#This Row],[author_es]],autorest[author_es],autorest[nation_la])</f>
        <v>Chili</v>
      </c>
      <c r="O547" t="str">
        <f>_xlfn.XLOOKUP(frasest[[#This Row],[author_es]],autorest[author_es],autorest[age_es])</f>
        <v>Edad Contemporánea</v>
      </c>
      <c r="P547" t="str">
        <f>_xlfn.XLOOKUP(frasest[[#This Row],[author_es]],autorest[author_es],autorest[age_la])</f>
        <v>Aetas Contemporanea</v>
      </c>
      <c r="Q547" t="str">
        <f>_xlfn.XLOOKUP(frasest[[#This Row],[author_es]],autorest[author_es],autorest[image])</f>
        <v>https://i.ibb.co/XTz1rHj/gabrielamistral.png</v>
      </c>
      <c r="R547">
        <f>_xlfn.XLOOKUP(frasest[[#This Row],[author_es]],autorest[author_es],autorest[image_atr])</f>
        <v>0</v>
      </c>
    </row>
    <row r="548" spans="1:18">
      <c r="A548">
        <v>547</v>
      </c>
      <c r="B548" t="s">
        <v>1861</v>
      </c>
      <c r="C548" t="s">
        <v>1862</v>
      </c>
      <c r="D548" t="s">
        <v>1861</v>
      </c>
      <c r="E548" t="s">
        <v>1850</v>
      </c>
      <c r="F548" t="s">
        <v>1863</v>
      </c>
      <c r="G548" t="str">
        <f>_xlfn.XLOOKUP(frasest[[#This Row],[author_es]],autorest[author_es],autorest[author_la])</f>
        <v>Gabriela Mistral</v>
      </c>
      <c r="H548"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8"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8" t="str">
        <f>_xlfn.XLOOKUP(frasest[[#This Row],[author_es]],autorest[author_es],autorest[iso3691])</f>
        <v>es</v>
      </c>
      <c r="K548" t="str">
        <f>_xlfn.XLOOKUP(frasest[[#This Row],[author_es]],autorest[author_es],autorest[language_es])</f>
        <v>Español</v>
      </c>
      <c r="L548" t="str">
        <f>_xlfn.XLOOKUP(frasest[[#This Row],[author_es]],autorest[author_es],autorest[language_la])</f>
        <v>Lingua Hispanica</v>
      </c>
      <c r="M548" t="str">
        <f>_xlfn.XLOOKUP(frasest[[#This Row],[author_es]],autorest[author_es],autorest[nation_es])</f>
        <v>Chile</v>
      </c>
      <c r="N548" t="str">
        <f>_xlfn.XLOOKUP(frasest[[#This Row],[author_es]],autorest[author_es],autorest[nation_la])</f>
        <v>Chili</v>
      </c>
      <c r="O548" t="str">
        <f>_xlfn.XLOOKUP(frasest[[#This Row],[author_es]],autorest[author_es],autorest[age_es])</f>
        <v>Edad Contemporánea</v>
      </c>
      <c r="P548" t="str">
        <f>_xlfn.XLOOKUP(frasest[[#This Row],[author_es]],autorest[author_es],autorest[age_la])</f>
        <v>Aetas Contemporanea</v>
      </c>
      <c r="Q548" t="str">
        <f>_xlfn.XLOOKUP(frasest[[#This Row],[author_es]],autorest[author_es],autorest[image])</f>
        <v>https://i.ibb.co/XTz1rHj/gabrielamistral.png</v>
      </c>
      <c r="R548">
        <f>_xlfn.XLOOKUP(frasest[[#This Row],[author_es]],autorest[author_es],autorest[image_atr])</f>
        <v>0</v>
      </c>
    </row>
    <row r="549" spans="1:18">
      <c r="A549">
        <v>548</v>
      </c>
      <c r="B549" t="s">
        <v>1864</v>
      </c>
      <c r="C549" t="s">
        <v>1865</v>
      </c>
      <c r="D549" t="s">
        <v>1864</v>
      </c>
      <c r="E549" t="s">
        <v>1850</v>
      </c>
      <c r="F549" t="s">
        <v>1866</v>
      </c>
      <c r="G549" t="str">
        <f>_xlfn.XLOOKUP(frasest[[#This Row],[author_es]],autorest[author_es],autorest[author_la])</f>
        <v>Gabriela Mistral</v>
      </c>
      <c r="H549"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49"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49" t="str">
        <f>_xlfn.XLOOKUP(frasest[[#This Row],[author_es]],autorest[author_es],autorest[iso3691])</f>
        <v>es</v>
      </c>
      <c r="K549" t="str">
        <f>_xlfn.XLOOKUP(frasest[[#This Row],[author_es]],autorest[author_es],autorest[language_es])</f>
        <v>Español</v>
      </c>
      <c r="L549" t="str">
        <f>_xlfn.XLOOKUP(frasest[[#This Row],[author_es]],autorest[author_es],autorest[language_la])</f>
        <v>Lingua Hispanica</v>
      </c>
      <c r="M549" t="str">
        <f>_xlfn.XLOOKUP(frasest[[#This Row],[author_es]],autorest[author_es],autorest[nation_es])</f>
        <v>Chile</v>
      </c>
      <c r="N549" t="str">
        <f>_xlfn.XLOOKUP(frasest[[#This Row],[author_es]],autorest[author_es],autorest[nation_la])</f>
        <v>Chili</v>
      </c>
      <c r="O549" t="str">
        <f>_xlfn.XLOOKUP(frasest[[#This Row],[author_es]],autorest[author_es],autorest[age_es])</f>
        <v>Edad Contemporánea</v>
      </c>
      <c r="P549" t="str">
        <f>_xlfn.XLOOKUP(frasest[[#This Row],[author_es]],autorest[author_es],autorest[age_la])</f>
        <v>Aetas Contemporanea</v>
      </c>
      <c r="Q549" t="str">
        <f>_xlfn.XLOOKUP(frasest[[#This Row],[author_es]],autorest[author_es],autorest[image])</f>
        <v>https://i.ibb.co/XTz1rHj/gabrielamistral.png</v>
      </c>
      <c r="R549">
        <f>_xlfn.XLOOKUP(frasest[[#This Row],[author_es]],autorest[author_es],autorest[image_atr])</f>
        <v>0</v>
      </c>
    </row>
    <row r="550" spans="1:18">
      <c r="A550">
        <v>549</v>
      </c>
      <c r="B550" t="s">
        <v>1867</v>
      </c>
      <c r="C550" t="s">
        <v>1868</v>
      </c>
      <c r="D550" t="s">
        <v>1867</v>
      </c>
      <c r="E550" t="s">
        <v>1850</v>
      </c>
      <c r="F550" t="s">
        <v>1869</v>
      </c>
      <c r="G550" t="str">
        <f>_xlfn.XLOOKUP(frasest[[#This Row],[author_es]],autorest[author_es],autorest[author_la])</f>
        <v>Gabriela Mistral</v>
      </c>
      <c r="H550"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0"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0" t="str">
        <f>_xlfn.XLOOKUP(frasest[[#This Row],[author_es]],autorest[author_es],autorest[iso3691])</f>
        <v>es</v>
      </c>
      <c r="K550" t="str">
        <f>_xlfn.XLOOKUP(frasest[[#This Row],[author_es]],autorest[author_es],autorest[language_es])</f>
        <v>Español</v>
      </c>
      <c r="L550" t="str">
        <f>_xlfn.XLOOKUP(frasest[[#This Row],[author_es]],autorest[author_es],autorest[language_la])</f>
        <v>Lingua Hispanica</v>
      </c>
      <c r="M550" t="str">
        <f>_xlfn.XLOOKUP(frasest[[#This Row],[author_es]],autorest[author_es],autorest[nation_es])</f>
        <v>Chile</v>
      </c>
      <c r="N550" t="str">
        <f>_xlfn.XLOOKUP(frasest[[#This Row],[author_es]],autorest[author_es],autorest[nation_la])</f>
        <v>Chili</v>
      </c>
      <c r="O550" t="str">
        <f>_xlfn.XLOOKUP(frasest[[#This Row],[author_es]],autorest[author_es],autorest[age_es])</f>
        <v>Edad Contemporánea</v>
      </c>
      <c r="P550" t="str">
        <f>_xlfn.XLOOKUP(frasest[[#This Row],[author_es]],autorest[author_es],autorest[age_la])</f>
        <v>Aetas Contemporanea</v>
      </c>
      <c r="Q550" t="str">
        <f>_xlfn.XLOOKUP(frasest[[#This Row],[author_es]],autorest[author_es],autorest[image])</f>
        <v>https://i.ibb.co/XTz1rHj/gabrielamistral.png</v>
      </c>
      <c r="R550">
        <f>_xlfn.XLOOKUP(frasest[[#This Row],[author_es]],autorest[author_es],autorest[image_atr])</f>
        <v>0</v>
      </c>
    </row>
    <row r="551" spans="1:18">
      <c r="A551">
        <v>550</v>
      </c>
      <c r="B551" t="s">
        <v>1870</v>
      </c>
      <c r="C551" t="s">
        <v>1871</v>
      </c>
      <c r="D551" t="s">
        <v>1870</v>
      </c>
      <c r="E551" t="s">
        <v>1850</v>
      </c>
      <c r="F551" t="s">
        <v>1872</v>
      </c>
      <c r="G551" t="str">
        <f>_xlfn.XLOOKUP(frasest[[#This Row],[author_es]],autorest[author_es],autorest[author_la])</f>
        <v>Gabriela Mistral</v>
      </c>
      <c r="H551"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1"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1" t="str">
        <f>_xlfn.XLOOKUP(frasest[[#This Row],[author_es]],autorest[author_es],autorest[iso3691])</f>
        <v>es</v>
      </c>
      <c r="K551" t="str">
        <f>_xlfn.XLOOKUP(frasest[[#This Row],[author_es]],autorest[author_es],autorest[language_es])</f>
        <v>Español</v>
      </c>
      <c r="L551" t="str">
        <f>_xlfn.XLOOKUP(frasest[[#This Row],[author_es]],autorest[author_es],autorest[language_la])</f>
        <v>Lingua Hispanica</v>
      </c>
      <c r="M551" t="str">
        <f>_xlfn.XLOOKUP(frasest[[#This Row],[author_es]],autorest[author_es],autorest[nation_es])</f>
        <v>Chile</v>
      </c>
      <c r="N551" t="str">
        <f>_xlfn.XLOOKUP(frasest[[#This Row],[author_es]],autorest[author_es],autorest[nation_la])</f>
        <v>Chili</v>
      </c>
      <c r="O551" t="str">
        <f>_xlfn.XLOOKUP(frasest[[#This Row],[author_es]],autorest[author_es],autorest[age_es])</f>
        <v>Edad Contemporánea</v>
      </c>
      <c r="P551" t="str">
        <f>_xlfn.XLOOKUP(frasest[[#This Row],[author_es]],autorest[author_es],autorest[age_la])</f>
        <v>Aetas Contemporanea</v>
      </c>
      <c r="Q551" t="str">
        <f>_xlfn.XLOOKUP(frasest[[#This Row],[author_es]],autorest[author_es],autorest[image])</f>
        <v>https://i.ibb.co/XTz1rHj/gabrielamistral.png</v>
      </c>
      <c r="R551">
        <f>_xlfn.XLOOKUP(frasest[[#This Row],[author_es]],autorest[author_es],autorest[image_atr])</f>
        <v>0</v>
      </c>
    </row>
    <row r="552" spans="1:18">
      <c r="A552">
        <v>551</v>
      </c>
      <c r="B552" t="s">
        <v>1873</v>
      </c>
      <c r="C552" t="s">
        <v>1874</v>
      </c>
      <c r="D552" t="s">
        <v>1873</v>
      </c>
      <c r="E552" t="s">
        <v>1850</v>
      </c>
      <c r="F552" t="s">
        <v>1875</v>
      </c>
      <c r="G552" t="str">
        <f>_xlfn.XLOOKUP(frasest[[#This Row],[author_es]],autorest[author_es],autorest[author_la])</f>
        <v>Gabriela Mistral</v>
      </c>
      <c r="H552"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2"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2" t="str">
        <f>_xlfn.XLOOKUP(frasest[[#This Row],[author_es]],autorest[author_es],autorest[iso3691])</f>
        <v>es</v>
      </c>
      <c r="K552" t="str">
        <f>_xlfn.XLOOKUP(frasest[[#This Row],[author_es]],autorest[author_es],autorest[language_es])</f>
        <v>Español</v>
      </c>
      <c r="L552" t="str">
        <f>_xlfn.XLOOKUP(frasest[[#This Row],[author_es]],autorest[author_es],autorest[language_la])</f>
        <v>Lingua Hispanica</v>
      </c>
      <c r="M552" t="str">
        <f>_xlfn.XLOOKUP(frasest[[#This Row],[author_es]],autorest[author_es],autorest[nation_es])</f>
        <v>Chile</v>
      </c>
      <c r="N552" t="str">
        <f>_xlfn.XLOOKUP(frasest[[#This Row],[author_es]],autorest[author_es],autorest[nation_la])</f>
        <v>Chili</v>
      </c>
      <c r="O552" t="str">
        <f>_xlfn.XLOOKUP(frasest[[#This Row],[author_es]],autorest[author_es],autorest[age_es])</f>
        <v>Edad Contemporánea</v>
      </c>
      <c r="P552" t="str">
        <f>_xlfn.XLOOKUP(frasest[[#This Row],[author_es]],autorest[author_es],autorest[age_la])</f>
        <v>Aetas Contemporanea</v>
      </c>
      <c r="Q552" t="str">
        <f>_xlfn.XLOOKUP(frasest[[#This Row],[author_es]],autorest[author_es],autorest[image])</f>
        <v>https://i.ibb.co/XTz1rHj/gabrielamistral.png</v>
      </c>
      <c r="R552">
        <f>_xlfn.XLOOKUP(frasest[[#This Row],[author_es]],autorest[author_es],autorest[image_atr])</f>
        <v>0</v>
      </c>
    </row>
    <row r="553" spans="1:18">
      <c r="A553">
        <v>552</v>
      </c>
      <c r="B553" t="s">
        <v>1876</v>
      </c>
      <c r="C553" t="s">
        <v>1877</v>
      </c>
      <c r="D553" t="s">
        <v>1876</v>
      </c>
      <c r="E553" t="s">
        <v>1850</v>
      </c>
      <c r="F553" t="s">
        <v>1878</v>
      </c>
      <c r="G553" t="str">
        <f>_xlfn.XLOOKUP(frasest[[#This Row],[author_es]],autorest[author_es],autorest[author_la])</f>
        <v>Gabriela Mistral</v>
      </c>
      <c r="H553" t="str">
        <f>_xlfn.XLOOKUP(frasest[[#This Row],[author_es]],autorest[author_es],autorest[bio_es])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I553" t="str">
        <f>_xlfn.XLOOKUP(frasest[[#This Row],[author_es]],autorest[author_es],autorest[bio_la])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J553" t="str">
        <f>_xlfn.XLOOKUP(frasest[[#This Row],[author_es]],autorest[author_es],autorest[iso3691])</f>
        <v>es</v>
      </c>
      <c r="K553" t="str">
        <f>_xlfn.XLOOKUP(frasest[[#This Row],[author_es]],autorest[author_es],autorest[language_es])</f>
        <v>Español</v>
      </c>
      <c r="L553" t="str">
        <f>_xlfn.XLOOKUP(frasest[[#This Row],[author_es]],autorest[author_es],autorest[language_la])</f>
        <v>Lingua Hispanica</v>
      </c>
      <c r="M553" t="str">
        <f>_xlfn.XLOOKUP(frasest[[#This Row],[author_es]],autorest[author_es],autorest[nation_es])</f>
        <v>Chile</v>
      </c>
      <c r="N553" t="str">
        <f>_xlfn.XLOOKUP(frasest[[#This Row],[author_es]],autorest[author_es],autorest[nation_la])</f>
        <v>Chili</v>
      </c>
      <c r="O553" t="str">
        <f>_xlfn.XLOOKUP(frasest[[#This Row],[author_es]],autorest[author_es],autorest[age_es])</f>
        <v>Edad Contemporánea</v>
      </c>
      <c r="P553" t="str">
        <f>_xlfn.XLOOKUP(frasest[[#This Row],[author_es]],autorest[author_es],autorest[age_la])</f>
        <v>Aetas Contemporanea</v>
      </c>
      <c r="Q553" t="str">
        <f>_xlfn.XLOOKUP(frasest[[#This Row],[author_es]],autorest[author_es],autorest[image])</f>
        <v>https://i.ibb.co/XTz1rHj/gabrielamistral.png</v>
      </c>
      <c r="R553">
        <f>_xlfn.XLOOKUP(frasest[[#This Row],[author_es]],autorest[author_es],autorest[image_atr])</f>
        <v>0</v>
      </c>
    </row>
    <row r="554" spans="1:18">
      <c r="A554">
        <v>553</v>
      </c>
      <c r="B554" t="s">
        <v>1879</v>
      </c>
      <c r="C554" t="s">
        <v>1880</v>
      </c>
      <c r="D554" t="s">
        <v>1881</v>
      </c>
      <c r="E554" t="s">
        <v>1882</v>
      </c>
      <c r="F554" t="s">
        <v>1883</v>
      </c>
      <c r="G554" t="str">
        <f>_xlfn.XLOOKUP(frasest[[#This Row],[author_es]],autorest[author_es],autorest[author_la])</f>
        <v>Howardus Gardner</v>
      </c>
      <c r="H554"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4"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4" t="str">
        <f>_xlfn.XLOOKUP(frasest[[#This Row],[author_es]],autorest[author_es],autorest[iso3691])</f>
        <v>en</v>
      </c>
      <c r="K554" t="str">
        <f>_xlfn.XLOOKUP(frasest[[#This Row],[author_es]],autorest[author_es],autorest[language_es])</f>
        <v>Inglés</v>
      </c>
      <c r="L554" t="str">
        <f>_xlfn.XLOOKUP(frasest[[#This Row],[author_es]],autorest[author_es],autorest[language_la])</f>
        <v>Lingua Anglica</v>
      </c>
      <c r="M554" t="str">
        <f>_xlfn.XLOOKUP(frasest[[#This Row],[author_es]],autorest[author_es],autorest[nation_es])</f>
        <v>Estados Unidos</v>
      </c>
      <c r="N554" t="str">
        <f>_xlfn.XLOOKUP(frasest[[#This Row],[author_es]],autorest[author_es],autorest[nation_la])</f>
        <v>Civitates Foederatae Americae</v>
      </c>
      <c r="O554" t="str">
        <f>_xlfn.XLOOKUP(frasest[[#This Row],[author_es]],autorest[author_es],autorest[age_es])</f>
        <v>Edad Contemporánea</v>
      </c>
      <c r="P554" t="str">
        <f>_xlfn.XLOOKUP(frasest[[#This Row],[author_es]],autorest[author_es],autorest[age_la])</f>
        <v>Aetas Contemporanea</v>
      </c>
      <c r="Q554" t="str">
        <f>_xlfn.XLOOKUP(frasest[[#This Row],[author_es]],autorest[author_es],autorest[image])</f>
        <v>https://i.ibb.co/6c49K80z/gardner.png</v>
      </c>
      <c r="R554">
        <f>_xlfn.XLOOKUP(frasest[[#This Row],[author_es]],autorest[author_es],autorest[image_atr])</f>
        <v>0</v>
      </c>
    </row>
    <row r="555" spans="1:18">
      <c r="A555">
        <v>554</v>
      </c>
      <c r="B555" t="s">
        <v>1884</v>
      </c>
      <c r="C555" t="s">
        <v>1885</v>
      </c>
      <c r="D555" t="s">
        <v>1886</v>
      </c>
      <c r="E555" t="s">
        <v>1882</v>
      </c>
      <c r="F555" t="s">
        <v>1887</v>
      </c>
      <c r="G555" t="str">
        <f>_xlfn.XLOOKUP(frasest[[#This Row],[author_es]],autorest[author_es],autorest[author_la])</f>
        <v>Howardus Gardner</v>
      </c>
      <c r="H555"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5"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5" t="str">
        <f>_xlfn.XLOOKUP(frasest[[#This Row],[author_es]],autorest[author_es],autorest[iso3691])</f>
        <v>en</v>
      </c>
      <c r="K555" t="str">
        <f>_xlfn.XLOOKUP(frasest[[#This Row],[author_es]],autorest[author_es],autorest[language_es])</f>
        <v>Inglés</v>
      </c>
      <c r="L555" t="str">
        <f>_xlfn.XLOOKUP(frasest[[#This Row],[author_es]],autorest[author_es],autorest[language_la])</f>
        <v>Lingua Anglica</v>
      </c>
      <c r="M555" t="str">
        <f>_xlfn.XLOOKUP(frasest[[#This Row],[author_es]],autorest[author_es],autorest[nation_es])</f>
        <v>Estados Unidos</v>
      </c>
      <c r="N555" t="str">
        <f>_xlfn.XLOOKUP(frasest[[#This Row],[author_es]],autorest[author_es],autorest[nation_la])</f>
        <v>Civitates Foederatae Americae</v>
      </c>
      <c r="O555" t="str">
        <f>_xlfn.XLOOKUP(frasest[[#This Row],[author_es]],autorest[author_es],autorest[age_es])</f>
        <v>Edad Contemporánea</v>
      </c>
      <c r="P555" t="str">
        <f>_xlfn.XLOOKUP(frasest[[#This Row],[author_es]],autorest[author_es],autorest[age_la])</f>
        <v>Aetas Contemporanea</v>
      </c>
      <c r="Q555" t="str">
        <f>_xlfn.XLOOKUP(frasest[[#This Row],[author_es]],autorest[author_es],autorest[image])</f>
        <v>https://i.ibb.co/6c49K80z/gardner.png</v>
      </c>
      <c r="R555">
        <f>_xlfn.XLOOKUP(frasest[[#This Row],[author_es]],autorest[author_es],autorest[image_atr])</f>
        <v>0</v>
      </c>
    </row>
    <row r="556" spans="1:18">
      <c r="A556">
        <v>555</v>
      </c>
      <c r="B556" t="s">
        <v>1888</v>
      </c>
      <c r="C556" t="s">
        <v>1889</v>
      </c>
      <c r="D556" t="s">
        <v>1890</v>
      </c>
      <c r="E556" t="s">
        <v>1882</v>
      </c>
      <c r="F556" t="s">
        <v>1891</v>
      </c>
      <c r="G556" t="str">
        <f>_xlfn.XLOOKUP(frasest[[#This Row],[author_es]],autorest[author_es],autorest[author_la])</f>
        <v>Howardus Gardner</v>
      </c>
      <c r="H556"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6"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6" t="str">
        <f>_xlfn.XLOOKUP(frasest[[#This Row],[author_es]],autorest[author_es],autorest[iso3691])</f>
        <v>en</v>
      </c>
      <c r="K556" t="str">
        <f>_xlfn.XLOOKUP(frasest[[#This Row],[author_es]],autorest[author_es],autorest[language_es])</f>
        <v>Inglés</v>
      </c>
      <c r="L556" t="str">
        <f>_xlfn.XLOOKUP(frasest[[#This Row],[author_es]],autorest[author_es],autorest[language_la])</f>
        <v>Lingua Anglica</v>
      </c>
      <c r="M556" t="str">
        <f>_xlfn.XLOOKUP(frasest[[#This Row],[author_es]],autorest[author_es],autorest[nation_es])</f>
        <v>Estados Unidos</v>
      </c>
      <c r="N556" t="str">
        <f>_xlfn.XLOOKUP(frasest[[#This Row],[author_es]],autorest[author_es],autorest[nation_la])</f>
        <v>Civitates Foederatae Americae</v>
      </c>
      <c r="O556" t="str">
        <f>_xlfn.XLOOKUP(frasest[[#This Row],[author_es]],autorest[author_es],autorest[age_es])</f>
        <v>Edad Contemporánea</v>
      </c>
      <c r="P556" t="str">
        <f>_xlfn.XLOOKUP(frasest[[#This Row],[author_es]],autorest[author_es],autorest[age_la])</f>
        <v>Aetas Contemporanea</v>
      </c>
      <c r="Q556" t="str">
        <f>_xlfn.XLOOKUP(frasest[[#This Row],[author_es]],autorest[author_es],autorest[image])</f>
        <v>https://i.ibb.co/6c49K80z/gardner.png</v>
      </c>
      <c r="R556">
        <f>_xlfn.XLOOKUP(frasest[[#This Row],[author_es]],autorest[author_es],autorest[image_atr])</f>
        <v>0</v>
      </c>
    </row>
    <row r="557" spans="1:18">
      <c r="A557">
        <v>556</v>
      </c>
      <c r="B557" t="s">
        <v>1892</v>
      </c>
      <c r="C557" t="s">
        <v>1893</v>
      </c>
      <c r="D557" t="s">
        <v>1894</v>
      </c>
      <c r="E557" t="s">
        <v>1882</v>
      </c>
      <c r="F557" t="s">
        <v>1895</v>
      </c>
      <c r="G557" t="str">
        <f>_xlfn.XLOOKUP(frasest[[#This Row],[author_es]],autorest[author_es],autorest[author_la])</f>
        <v>Howardus Gardner</v>
      </c>
      <c r="H557"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7"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7" t="str">
        <f>_xlfn.XLOOKUP(frasest[[#This Row],[author_es]],autorest[author_es],autorest[iso3691])</f>
        <v>en</v>
      </c>
      <c r="K557" t="str">
        <f>_xlfn.XLOOKUP(frasest[[#This Row],[author_es]],autorest[author_es],autorest[language_es])</f>
        <v>Inglés</v>
      </c>
      <c r="L557" t="str">
        <f>_xlfn.XLOOKUP(frasest[[#This Row],[author_es]],autorest[author_es],autorest[language_la])</f>
        <v>Lingua Anglica</v>
      </c>
      <c r="M557" t="str">
        <f>_xlfn.XLOOKUP(frasest[[#This Row],[author_es]],autorest[author_es],autorest[nation_es])</f>
        <v>Estados Unidos</v>
      </c>
      <c r="N557" t="str">
        <f>_xlfn.XLOOKUP(frasest[[#This Row],[author_es]],autorest[author_es],autorest[nation_la])</f>
        <v>Civitates Foederatae Americae</v>
      </c>
      <c r="O557" t="str">
        <f>_xlfn.XLOOKUP(frasest[[#This Row],[author_es]],autorest[author_es],autorest[age_es])</f>
        <v>Edad Contemporánea</v>
      </c>
      <c r="P557" t="str">
        <f>_xlfn.XLOOKUP(frasest[[#This Row],[author_es]],autorest[author_es],autorest[age_la])</f>
        <v>Aetas Contemporanea</v>
      </c>
      <c r="Q557" t="str">
        <f>_xlfn.XLOOKUP(frasest[[#This Row],[author_es]],autorest[author_es],autorest[image])</f>
        <v>https://i.ibb.co/6c49K80z/gardner.png</v>
      </c>
      <c r="R557">
        <f>_xlfn.XLOOKUP(frasest[[#This Row],[author_es]],autorest[author_es],autorest[image_atr])</f>
        <v>0</v>
      </c>
    </row>
    <row r="558" spans="1:18">
      <c r="A558">
        <v>557</v>
      </c>
      <c r="B558" t="s">
        <v>1896</v>
      </c>
      <c r="C558" t="s">
        <v>1897</v>
      </c>
      <c r="D558" t="s">
        <v>1898</v>
      </c>
      <c r="E558" t="s">
        <v>1882</v>
      </c>
      <c r="F558" t="s">
        <v>1899</v>
      </c>
      <c r="G558" t="str">
        <f>_xlfn.XLOOKUP(frasest[[#This Row],[author_es]],autorest[author_es],autorest[author_la])</f>
        <v>Howardus Gardner</v>
      </c>
      <c r="H558"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8"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8" t="str">
        <f>_xlfn.XLOOKUP(frasest[[#This Row],[author_es]],autorest[author_es],autorest[iso3691])</f>
        <v>en</v>
      </c>
      <c r="K558" t="str">
        <f>_xlfn.XLOOKUP(frasest[[#This Row],[author_es]],autorest[author_es],autorest[language_es])</f>
        <v>Inglés</v>
      </c>
      <c r="L558" t="str">
        <f>_xlfn.XLOOKUP(frasest[[#This Row],[author_es]],autorest[author_es],autorest[language_la])</f>
        <v>Lingua Anglica</v>
      </c>
      <c r="M558" t="str">
        <f>_xlfn.XLOOKUP(frasest[[#This Row],[author_es]],autorest[author_es],autorest[nation_es])</f>
        <v>Estados Unidos</v>
      </c>
      <c r="N558" t="str">
        <f>_xlfn.XLOOKUP(frasest[[#This Row],[author_es]],autorest[author_es],autorest[nation_la])</f>
        <v>Civitates Foederatae Americae</v>
      </c>
      <c r="O558" t="str">
        <f>_xlfn.XLOOKUP(frasest[[#This Row],[author_es]],autorest[author_es],autorest[age_es])</f>
        <v>Edad Contemporánea</v>
      </c>
      <c r="P558" t="str">
        <f>_xlfn.XLOOKUP(frasest[[#This Row],[author_es]],autorest[author_es],autorest[age_la])</f>
        <v>Aetas Contemporanea</v>
      </c>
      <c r="Q558" t="str">
        <f>_xlfn.XLOOKUP(frasest[[#This Row],[author_es]],autorest[author_es],autorest[image])</f>
        <v>https://i.ibb.co/6c49K80z/gardner.png</v>
      </c>
      <c r="R558">
        <f>_xlfn.XLOOKUP(frasest[[#This Row],[author_es]],autorest[author_es],autorest[image_atr])</f>
        <v>0</v>
      </c>
    </row>
    <row r="559" spans="1:18">
      <c r="A559">
        <v>558</v>
      </c>
      <c r="B559" t="s">
        <v>1900</v>
      </c>
      <c r="C559" t="s">
        <v>1901</v>
      </c>
      <c r="D559" t="s">
        <v>1902</v>
      </c>
      <c r="E559" t="s">
        <v>1882</v>
      </c>
      <c r="F559" t="s">
        <v>1903</v>
      </c>
      <c r="G559" t="str">
        <f>_xlfn.XLOOKUP(frasest[[#This Row],[author_es]],autorest[author_es],autorest[author_la])</f>
        <v>Howardus Gardner</v>
      </c>
      <c r="H559" t="str">
        <f>_xlfn.XLOOKUP(frasest[[#This Row],[author_es]],autorest[author_es],autorest[bio_es])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I559" t="str">
        <f>_xlfn.XLOOKUP(frasest[[#This Row],[author_es]],autorest[author_es],autorest[bio_la])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J559" t="str">
        <f>_xlfn.XLOOKUP(frasest[[#This Row],[author_es]],autorest[author_es],autorest[iso3691])</f>
        <v>en</v>
      </c>
      <c r="K559" t="str">
        <f>_xlfn.XLOOKUP(frasest[[#This Row],[author_es]],autorest[author_es],autorest[language_es])</f>
        <v>Inglés</v>
      </c>
      <c r="L559" t="str">
        <f>_xlfn.XLOOKUP(frasest[[#This Row],[author_es]],autorest[author_es],autorest[language_la])</f>
        <v>Lingua Anglica</v>
      </c>
      <c r="M559" t="str">
        <f>_xlfn.XLOOKUP(frasest[[#This Row],[author_es]],autorest[author_es],autorest[nation_es])</f>
        <v>Estados Unidos</v>
      </c>
      <c r="N559" t="str">
        <f>_xlfn.XLOOKUP(frasest[[#This Row],[author_es]],autorest[author_es],autorest[nation_la])</f>
        <v>Civitates Foederatae Americae</v>
      </c>
      <c r="O559" t="str">
        <f>_xlfn.XLOOKUP(frasest[[#This Row],[author_es]],autorest[author_es],autorest[age_es])</f>
        <v>Edad Contemporánea</v>
      </c>
      <c r="P559" t="str">
        <f>_xlfn.XLOOKUP(frasest[[#This Row],[author_es]],autorest[author_es],autorest[age_la])</f>
        <v>Aetas Contemporanea</v>
      </c>
      <c r="Q559" t="str">
        <f>_xlfn.XLOOKUP(frasest[[#This Row],[author_es]],autorest[author_es],autorest[image])</f>
        <v>https://i.ibb.co/6c49K80z/gardner.png</v>
      </c>
      <c r="R559">
        <f>_xlfn.XLOOKUP(frasest[[#This Row],[author_es]],autorest[author_es],autorest[image_atr])</f>
        <v>0</v>
      </c>
    </row>
    <row r="560" spans="1:18">
      <c r="A560">
        <v>559</v>
      </c>
      <c r="B560" t="s">
        <v>1904</v>
      </c>
      <c r="C560" t="s">
        <v>1905</v>
      </c>
      <c r="D560" t="s">
        <v>1906</v>
      </c>
      <c r="E560" t="s">
        <v>1907</v>
      </c>
      <c r="F560" t="s">
        <v>1908</v>
      </c>
      <c r="G560" t="str">
        <f>_xlfn.XLOOKUP(frasest[[#This Row],[author_es]],autorest[author_es],autorest[author_la])</f>
        <v>Ken Robinson</v>
      </c>
      <c r="H560"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0"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0" t="str">
        <f>_xlfn.XLOOKUP(frasest[[#This Row],[author_es]],autorest[author_es],autorest[iso3691])</f>
        <v>en</v>
      </c>
      <c r="K560" t="str">
        <f>_xlfn.XLOOKUP(frasest[[#This Row],[author_es]],autorest[author_es],autorest[language_es])</f>
        <v>Inglés</v>
      </c>
      <c r="L560" t="str">
        <f>_xlfn.XLOOKUP(frasest[[#This Row],[author_es]],autorest[author_es],autorest[language_la])</f>
        <v>Lingua Anglica</v>
      </c>
      <c r="M560" t="str">
        <f>_xlfn.XLOOKUP(frasest[[#This Row],[author_es]],autorest[author_es],autorest[nation_es])</f>
        <v>Reino Unido</v>
      </c>
      <c r="N560" t="str">
        <f>_xlfn.XLOOKUP(frasest[[#This Row],[author_es]],autorest[author_es],autorest[nation_la])</f>
        <v>Regnum Unitum</v>
      </c>
      <c r="O560" t="str">
        <f>_xlfn.XLOOKUP(frasest[[#This Row],[author_es]],autorest[author_es],autorest[age_es])</f>
        <v>Edad Contemporánea</v>
      </c>
      <c r="P560" t="str">
        <f>_xlfn.XLOOKUP(frasest[[#This Row],[author_es]],autorest[author_es],autorest[age_la])</f>
        <v>Aetas Contemporanea</v>
      </c>
      <c r="Q560" t="str">
        <f>_xlfn.XLOOKUP(frasest[[#This Row],[author_es]],autorest[author_es],autorest[image])</f>
        <v>https://i.ibb.co/pBt9Ty7Z/kenrobinson.png</v>
      </c>
      <c r="R560">
        <f>_xlfn.XLOOKUP(frasest[[#This Row],[author_es]],autorest[author_es],autorest[image_atr])</f>
        <v>0</v>
      </c>
    </row>
    <row r="561" spans="1:18">
      <c r="A561">
        <v>560</v>
      </c>
      <c r="B561" t="s">
        <v>1909</v>
      </c>
      <c r="C561" t="s">
        <v>1910</v>
      </c>
      <c r="D561" t="s">
        <v>1911</v>
      </c>
      <c r="E561" t="s">
        <v>1907</v>
      </c>
      <c r="F561" t="s">
        <v>1912</v>
      </c>
      <c r="G561" t="str">
        <f>_xlfn.XLOOKUP(frasest[[#This Row],[author_es]],autorest[author_es],autorest[author_la])</f>
        <v>Ken Robinson</v>
      </c>
      <c r="H561"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1"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1" t="str">
        <f>_xlfn.XLOOKUP(frasest[[#This Row],[author_es]],autorest[author_es],autorest[iso3691])</f>
        <v>en</v>
      </c>
      <c r="K561" t="str">
        <f>_xlfn.XLOOKUP(frasest[[#This Row],[author_es]],autorest[author_es],autorest[language_es])</f>
        <v>Inglés</v>
      </c>
      <c r="L561" t="str">
        <f>_xlfn.XLOOKUP(frasest[[#This Row],[author_es]],autorest[author_es],autorest[language_la])</f>
        <v>Lingua Anglica</v>
      </c>
      <c r="M561" t="str">
        <f>_xlfn.XLOOKUP(frasest[[#This Row],[author_es]],autorest[author_es],autorest[nation_es])</f>
        <v>Reino Unido</v>
      </c>
      <c r="N561" t="str">
        <f>_xlfn.XLOOKUP(frasest[[#This Row],[author_es]],autorest[author_es],autorest[nation_la])</f>
        <v>Regnum Unitum</v>
      </c>
      <c r="O561" t="str">
        <f>_xlfn.XLOOKUP(frasest[[#This Row],[author_es]],autorest[author_es],autorest[age_es])</f>
        <v>Edad Contemporánea</v>
      </c>
      <c r="P561" t="str">
        <f>_xlfn.XLOOKUP(frasest[[#This Row],[author_es]],autorest[author_es],autorest[age_la])</f>
        <v>Aetas Contemporanea</v>
      </c>
      <c r="Q561" t="str">
        <f>_xlfn.XLOOKUP(frasest[[#This Row],[author_es]],autorest[author_es],autorest[image])</f>
        <v>https://i.ibb.co/pBt9Ty7Z/kenrobinson.png</v>
      </c>
      <c r="R561">
        <f>_xlfn.XLOOKUP(frasest[[#This Row],[author_es]],autorest[author_es],autorest[image_atr])</f>
        <v>0</v>
      </c>
    </row>
    <row r="562" spans="1:18">
      <c r="A562">
        <v>561</v>
      </c>
      <c r="B562" t="s">
        <v>1913</v>
      </c>
      <c r="C562" t="s">
        <v>1914</v>
      </c>
      <c r="D562" t="s">
        <v>1915</v>
      </c>
      <c r="E562" t="s">
        <v>1907</v>
      </c>
      <c r="F562" t="s">
        <v>1912</v>
      </c>
      <c r="G562" t="str">
        <f>_xlfn.XLOOKUP(frasest[[#This Row],[author_es]],autorest[author_es],autorest[author_la])</f>
        <v>Ken Robinson</v>
      </c>
      <c r="H562"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2"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2" t="str">
        <f>_xlfn.XLOOKUP(frasest[[#This Row],[author_es]],autorest[author_es],autorest[iso3691])</f>
        <v>en</v>
      </c>
      <c r="K562" t="str">
        <f>_xlfn.XLOOKUP(frasest[[#This Row],[author_es]],autorest[author_es],autorest[language_es])</f>
        <v>Inglés</v>
      </c>
      <c r="L562" t="str">
        <f>_xlfn.XLOOKUP(frasest[[#This Row],[author_es]],autorest[author_es],autorest[language_la])</f>
        <v>Lingua Anglica</v>
      </c>
      <c r="M562" t="str">
        <f>_xlfn.XLOOKUP(frasest[[#This Row],[author_es]],autorest[author_es],autorest[nation_es])</f>
        <v>Reino Unido</v>
      </c>
      <c r="N562" t="str">
        <f>_xlfn.XLOOKUP(frasest[[#This Row],[author_es]],autorest[author_es],autorest[nation_la])</f>
        <v>Regnum Unitum</v>
      </c>
      <c r="O562" t="str">
        <f>_xlfn.XLOOKUP(frasest[[#This Row],[author_es]],autorest[author_es],autorest[age_es])</f>
        <v>Edad Contemporánea</v>
      </c>
      <c r="P562" t="str">
        <f>_xlfn.XLOOKUP(frasest[[#This Row],[author_es]],autorest[author_es],autorest[age_la])</f>
        <v>Aetas Contemporanea</v>
      </c>
      <c r="Q562" t="str">
        <f>_xlfn.XLOOKUP(frasest[[#This Row],[author_es]],autorest[author_es],autorest[image])</f>
        <v>https://i.ibb.co/pBt9Ty7Z/kenrobinson.png</v>
      </c>
      <c r="R562">
        <f>_xlfn.XLOOKUP(frasest[[#This Row],[author_es]],autorest[author_es],autorest[image_atr])</f>
        <v>0</v>
      </c>
    </row>
    <row r="563" spans="1:18">
      <c r="A563">
        <v>562</v>
      </c>
      <c r="B563" t="s">
        <v>1916</v>
      </c>
      <c r="C563" t="s">
        <v>1917</v>
      </c>
      <c r="D563" t="s">
        <v>1918</v>
      </c>
      <c r="E563" t="s">
        <v>1907</v>
      </c>
      <c r="F563" t="s">
        <v>1919</v>
      </c>
      <c r="G563" t="str">
        <f>_xlfn.XLOOKUP(frasest[[#This Row],[author_es]],autorest[author_es],autorest[author_la])</f>
        <v>Ken Robinson</v>
      </c>
      <c r="H563"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3"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3" t="str">
        <f>_xlfn.XLOOKUP(frasest[[#This Row],[author_es]],autorest[author_es],autorest[iso3691])</f>
        <v>en</v>
      </c>
      <c r="K563" t="str">
        <f>_xlfn.XLOOKUP(frasest[[#This Row],[author_es]],autorest[author_es],autorest[language_es])</f>
        <v>Inglés</v>
      </c>
      <c r="L563" t="str">
        <f>_xlfn.XLOOKUP(frasest[[#This Row],[author_es]],autorest[author_es],autorest[language_la])</f>
        <v>Lingua Anglica</v>
      </c>
      <c r="M563" t="str">
        <f>_xlfn.XLOOKUP(frasest[[#This Row],[author_es]],autorest[author_es],autorest[nation_es])</f>
        <v>Reino Unido</v>
      </c>
      <c r="N563" t="str">
        <f>_xlfn.XLOOKUP(frasest[[#This Row],[author_es]],autorest[author_es],autorest[nation_la])</f>
        <v>Regnum Unitum</v>
      </c>
      <c r="O563" t="str">
        <f>_xlfn.XLOOKUP(frasest[[#This Row],[author_es]],autorest[author_es],autorest[age_es])</f>
        <v>Edad Contemporánea</v>
      </c>
      <c r="P563" t="str">
        <f>_xlfn.XLOOKUP(frasest[[#This Row],[author_es]],autorest[author_es],autorest[age_la])</f>
        <v>Aetas Contemporanea</v>
      </c>
      <c r="Q563" t="str">
        <f>_xlfn.XLOOKUP(frasest[[#This Row],[author_es]],autorest[author_es],autorest[image])</f>
        <v>https://i.ibb.co/pBt9Ty7Z/kenrobinson.png</v>
      </c>
      <c r="R563">
        <f>_xlfn.XLOOKUP(frasest[[#This Row],[author_es]],autorest[author_es],autorest[image_atr])</f>
        <v>0</v>
      </c>
    </row>
    <row r="564" spans="1:18">
      <c r="A564">
        <v>563</v>
      </c>
      <c r="B564" t="s">
        <v>1920</v>
      </c>
      <c r="C564" t="s">
        <v>1921</v>
      </c>
      <c r="D564" t="s">
        <v>1922</v>
      </c>
      <c r="E564" t="s">
        <v>1907</v>
      </c>
      <c r="F564" t="s">
        <v>1923</v>
      </c>
      <c r="G564" t="str">
        <f>_xlfn.XLOOKUP(frasest[[#This Row],[author_es]],autorest[author_es],autorest[author_la])</f>
        <v>Ken Robinson</v>
      </c>
      <c r="H564"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4"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4" t="str">
        <f>_xlfn.XLOOKUP(frasest[[#This Row],[author_es]],autorest[author_es],autorest[iso3691])</f>
        <v>en</v>
      </c>
      <c r="K564" t="str">
        <f>_xlfn.XLOOKUP(frasest[[#This Row],[author_es]],autorest[author_es],autorest[language_es])</f>
        <v>Inglés</v>
      </c>
      <c r="L564" t="str">
        <f>_xlfn.XLOOKUP(frasest[[#This Row],[author_es]],autorest[author_es],autorest[language_la])</f>
        <v>Lingua Anglica</v>
      </c>
      <c r="M564" t="str">
        <f>_xlfn.XLOOKUP(frasest[[#This Row],[author_es]],autorest[author_es],autorest[nation_es])</f>
        <v>Reino Unido</v>
      </c>
      <c r="N564" t="str">
        <f>_xlfn.XLOOKUP(frasest[[#This Row],[author_es]],autorest[author_es],autorest[nation_la])</f>
        <v>Regnum Unitum</v>
      </c>
      <c r="O564" t="str">
        <f>_xlfn.XLOOKUP(frasest[[#This Row],[author_es]],autorest[author_es],autorest[age_es])</f>
        <v>Edad Contemporánea</v>
      </c>
      <c r="P564" t="str">
        <f>_xlfn.XLOOKUP(frasest[[#This Row],[author_es]],autorest[author_es],autorest[age_la])</f>
        <v>Aetas Contemporanea</v>
      </c>
      <c r="Q564" t="str">
        <f>_xlfn.XLOOKUP(frasest[[#This Row],[author_es]],autorest[author_es],autorest[image])</f>
        <v>https://i.ibb.co/pBt9Ty7Z/kenrobinson.png</v>
      </c>
      <c r="R564">
        <f>_xlfn.XLOOKUP(frasest[[#This Row],[author_es]],autorest[author_es],autorest[image_atr])</f>
        <v>0</v>
      </c>
    </row>
    <row r="565" spans="1:18">
      <c r="A565">
        <v>564</v>
      </c>
      <c r="B565" t="s">
        <v>1924</v>
      </c>
      <c r="C565" t="s">
        <v>1925</v>
      </c>
      <c r="D565" t="s">
        <v>1926</v>
      </c>
      <c r="E565" t="s">
        <v>1907</v>
      </c>
      <c r="F565" t="s">
        <v>1927</v>
      </c>
      <c r="G565" t="str">
        <f>_xlfn.XLOOKUP(frasest[[#This Row],[author_es]],autorest[author_es],autorest[author_la])</f>
        <v>Ken Robinson</v>
      </c>
      <c r="H565"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5"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5" t="str">
        <f>_xlfn.XLOOKUP(frasest[[#This Row],[author_es]],autorest[author_es],autorest[iso3691])</f>
        <v>en</v>
      </c>
      <c r="K565" t="str">
        <f>_xlfn.XLOOKUP(frasest[[#This Row],[author_es]],autorest[author_es],autorest[language_es])</f>
        <v>Inglés</v>
      </c>
      <c r="L565" t="str">
        <f>_xlfn.XLOOKUP(frasest[[#This Row],[author_es]],autorest[author_es],autorest[language_la])</f>
        <v>Lingua Anglica</v>
      </c>
      <c r="M565" t="str">
        <f>_xlfn.XLOOKUP(frasest[[#This Row],[author_es]],autorest[author_es],autorest[nation_es])</f>
        <v>Reino Unido</v>
      </c>
      <c r="N565" t="str">
        <f>_xlfn.XLOOKUP(frasest[[#This Row],[author_es]],autorest[author_es],autorest[nation_la])</f>
        <v>Regnum Unitum</v>
      </c>
      <c r="O565" t="str">
        <f>_xlfn.XLOOKUP(frasest[[#This Row],[author_es]],autorest[author_es],autorest[age_es])</f>
        <v>Edad Contemporánea</v>
      </c>
      <c r="P565" t="str">
        <f>_xlfn.XLOOKUP(frasest[[#This Row],[author_es]],autorest[author_es],autorest[age_la])</f>
        <v>Aetas Contemporanea</v>
      </c>
      <c r="Q565" t="str">
        <f>_xlfn.XLOOKUP(frasest[[#This Row],[author_es]],autorest[author_es],autorest[image])</f>
        <v>https://i.ibb.co/pBt9Ty7Z/kenrobinson.png</v>
      </c>
      <c r="R565">
        <f>_xlfn.XLOOKUP(frasest[[#This Row],[author_es]],autorest[author_es],autorest[image_atr])</f>
        <v>0</v>
      </c>
    </row>
    <row r="566" spans="1:18">
      <c r="A566">
        <v>565</v>
      </c>
      <c r="B566" t="s">
        <v>1928</v>
      </c>
      <c r="C566" t="s">
        <v>1929</v>
      </c>
      <c r="D566" t="s">
        <v>1930</v>
      </c>
      <c r="E566" t="s">
        <v>1907</v>
      </c>
      <c r="F566" t="s">
        <v>1912</v>
      </c>
      <c r="G566" t="str">
        <f>_xlfn.XLOOKUP(frasest[[#This Row],[author_es]],autorest[author_es],autorest[author_la])</f>
        <v>Ken Robinson</v>
      </c>
      <c r="H566"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6"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6" t="str">
        <f>_xlfn.XLOOKUP(frasest[[#This Row],[author_es]],autorest[author_es],autorest[iso3691])</f>
        <v>en</v>
      </c>
      <c r="K566" t="str">
        <f>_xlfn.XLOOKUP(frasest[[#This Row],[author_es]],autorest[author_es],autorest[language_es])</f>
        <v>Inglés</v>
      </c>
      <c r="L566" t="str">
        <f>_xlfn.XLOOKUP(frasest[[#This Row],[author_es]],autorest[author_es],autorest[language_la])</f>
        <v>Lingua Anglica</v>
      </c>
      <c r="M566" t="str">
        <f>_xlfn.XLOOKUP(frasest[[#This Row],[author_es]],autorest[author_es],autorest[nation_es])</f>
        <v>Reino Unido</v>
      </c>
      <c r="N566" t="str">
        <f>_xlfn.XLOOKUP(frasest[[#This Row],[author_es]],autorest[author_es],autorest[nation_la])</f>
        <v>Regnum Unitum</v>
      </c>
      <c r="O566" t="str">
        <f>_xlfn.XLOOKUP(frasest[[#This Row],[author_es]],autorest[author_es],autorest[age_es])</f>
        <v>Edad Contemporánea</v>
      </c>
      <c r="P566" t="str">
        <f>_xlfn.XLOOKUP(frasest[[#This Row],[author_es]],autorest[author_es],autorest[age_la])</f>
        <v>Aetas Contemporanea</v>
      </c>
      <c r="Q566" t="str">
        <f>_xlfn.XLOOKUP(frasest[[#This Row],[author_es]],autorest[author_es],autorest[image])</f>
        <v>https://i.ibb.co/pBt9Ty7Z/kenrobinson.png</v>
      </c>
      <c r="R566">
        <f>_xlfn.XLOOKUP(frasest[[#This Row],[author_es]],autorest[author_es],autorest[image_atr])</f>
        <v>0</v>
      </c>
    </row>
    <row r="567" spans="1:18">
      <c r="A567">
        <v>566</v>
      </c>
      <c r="B567" t="s">
        <v>1931</v>
      </c>
      <c r="C567" t="s">
        <v>1932</v>
      </c>
      <c r="D567" t="s">
        <v>1933</v>
      </c>
      <c r="E567" t="s">
        <v>1907</v>
      </c>
      <c r="F567" t="s">
        <v>1934</v>
      </c>
      <c r="G567" t="str">
        <f>_xlfn.XLOOKUP(frasest[[#This Row],[author_es]],autorest[author_es],autorest[author_la])</f>
        <v>Ken Robinson</v>
      </c>
      <c r="H567" t="str">
        <f>_xlfn.XLOOKUP(frasest[[#This Row],[author_es]],autorest[author_es],autorest[bio_es])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I567" t="str">
        <f>_xlfn.XLOOKUP(frasest[[#This Row],[author_es]],autorest[author_es],autorest[bio_la])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J567" t="str">
        <f>_xlfn.XLOOKUP(frasest[[#This Row],[author_es]],autorest[author_es],autorest[iso3691])</f>
        <v>en</v>
      </c>
      <c r="K567" t="str">
        <f>_xlfn.XLOOKUP(frasest[[#This Row],[author_es]],autorest[author_es],autorest[language_es])</f>
        <v>Inglés</v>
      </c>
      <c r="L567" t="str">
        <f>_xlfn.XLOOKUP(frasest[[#This Row],[author_es]],autorest[author_es],autorest[language_la])</f>
        <v>Lingua Anglica</v>
      </c>
      <c r="M567" t="str">
        <f>_xlfn.XLOOKUP(frasest[[#This Row],[author_es]],autorest[author_es],autorest[nation_es])</f>
        <v>Reino Unido</v>
      </c>
      <c r="N567" t="str">
        <f>_xlfn.XLOOKUP(frasest[[#This Row],[author_es]],autorest[author_es],autorest[nation_la])</f>
        <v>Regnum Unitum</v>
      </c>
      <c r="O567" t="str">
        <f>_xlfn.XLOOKUP(frasest[[#This Row],[author_es]],autorest[author_es],autorest[age_es])</f>
        <v>Edad Contemporánea</v>
      </c>
      <c r="P567" t="str">
        <f>_xlfn.XLOOKUP(frasest[[#This Row],[author_es]],autorest[author_es],autorest[age_la])</f>
        <v>Aetas Contemporanea</v>
      </c>
      <c r="Q567" t="str">
        <f>_xlfn.XLOOKUP(frasest[[#This Row],[author_es]],autorest[author_es],autorest[image])</f>
        <v>https://i.ibb.co/pBt9Ty7Z/kenrobinson.png</v>
      </c>
      <c r="R567">
        <f>_xlfn.XLOOKUP(frasest[[#This Row],[author_es]],autorest[author_es],autorest[image_atr])</f>
        <v>0</v>
      </c>
    </row>
    <row r="568" spans="1:18">
      <c r="A568">
        <v>567</v>
      </c>
      <c r="B568" t="s">
        <v>1935</v>
      </c>
      <c r="C568" t="s">
        <v>1936</v>
      </c>
      <c r="D568" t="s">
        <v>1937</v>
      </c>
      <c r="E568" t="s">
        <v>1938</v>
      </c>
      <c r="F568" t="s">
        <v>1939</v>
      </c>
      <c r="G568" t="str">
        <f>_xlfn.XLOOKUP(frasest[[#This Row],[author_es]],autorest[author_es],autorest[author_la])</f>
        <v>Albertus Bandura</v>
      </c>
      <c r="H568"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8"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8" t="str">
        <f>_xlfn.XLOOKUP(frasest[[#This Row],[author_es]],autorest[author_es],autorest[iso3691])</f>
        <v>en</v>
      </c>
      <c r="K568" t="str">
        <f>_xlfn.XLOOKUP(frasest[[#This Row],[author_es]],autorest[author_es],autorest[language_es])</f>
        <v>Inglés</v>
      </c>
      <c r="L568" t="str">
        <f>_xlfn.XLOOKUP(frasest[[#This Row],[author_es]],autorest[author_es],autorest[language_la])</f>
        <v>Lingua Anglica</v>
      </c>
      <c r="M568" t="str">
        <f>_xlfn.XLOOKUP(frasest[[#This Row],[author_es]],autorest[author_es],autorest[nation_es])</f>
        <v>Canadá</v>
      </c>
      <c r="N568" t="str">
        <f>_xlfn.XLOOKUP(frasest[[#This Row],[author_es]],autorest[author_es],autorest[nation_la])</f>
        <v>Canada</v>
      </c>
      <c r="O568" t="str">
        <f>_xlfn.XLOOKUP(frasest[[#This Row],[author_es]],autorest[author_es],autorest[age_es])</f>
        <v>Edad Contemporánea</v>
      </c>
      <c r="P568" t="str">
        <f>_xlfn.XLOOKUP(frasest[[#This Row],[author_es]],autorest[author_es],autorest[age_la])</f>
        <v>Aetas Contemporanea</v>
      </c>
      <c r="Q568" t="str">
        <f>_xlfn.XLOOKUP(frasest[[#This Row],[author_es]],autorest[author_es],autorest[image])</f>
        <v>https://i.ibb.co/21zkG8D5/albertbandura.png</v>
      </c>
      <c r="R568">
        <f>_xlfn.XLOOKUP(frasest[[#This Row],[author_es]],autorest[author_es],autorest[image_atr])</f>
        <v>0</v>
      </c>
    </row>
    <row r="569" spans="1:18">
      <c r="A569">
        <v>568</v>
      </c>
      <c r="B569" t="s">
        <v>1940</v>
      </c>
      <c r="C569" t="s">
        <v>1941</v>
      </c>
      <c r="D569" t="s">
        <v>1942</v>
      </c>
      <c r="E569" t="s">
        <v>1938</v>
      </c>
      <c r="F569" t="s">
        <v>1943</v>
      </c>
      <c r="G569" t="str">
        <f>_xlfn.XLOOKUP(frasest[[#This Row],[author_es]],autorest[author_es],autorest[author_la])</f>
        <v>Albertus Bandura</v>
      </c>
      <c r="H569"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69"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69" t="str">
        <f>_xlfn.XLOOKUP(frasest[[#This Row],[author_es]],autorest[author_es],autorest[iso3691])</f>
        <v>en</v>
      </c>
      <c r="K569" t="str">
        <f>_xlfn.XLOOKUP(frasest[[#This Row],[author_es]],autorest[author_es],autorest[language_es])</f>
        <v>Inglés</v>
      </c>
      <c r="L569" t="str">
        <f>_xlfn.XLOOKUP(frasest[[#This Row],[author_es]],autorest[author_es],autorest[language_la])</f>
        <v>Lingua Anglica</v>
      </c>
      <c r="M569" t="str">
        <f>_xlfn.XLOOKUP(frasest[[#This Row],[author_es]],autorest[author_es],autorest[nation_es])</f>
        <v>Canadá</v>
      </c>
      <c r="N569" t="str">
        <f>_xlfn.XLOOKUP(frasest[[#This Row],[author_es]],autorest[author_es],autorest[nation_la])</f>
        <v>Canada</v>
      </c>
      <c r="O569" t="str">
        <f>_xlfn.XLOOKUP(frasest[[#This Row],[author_es]],autorest[author_es],autorest[age_es])</f>
        <v>Edad Contemporánea</v>
      </c>
      <c r="P569" t="str">
        <f>_xlfn.XLOOKUP(frasest[[#This Row],[author_es]],autorest[author_es],autorest[age_la])</f>
        <v>Aetas Contemporanea</v>
      </c>
      <c r="Q569" t="str">
        <f>_xlfn.XLOOKUP(frasest[[#This Row],[author_es]],autorest[author_es],autorest[image])</f>
        <v>https://i.ibb.co/21zkG8D5/albertbandura.png</v>
      </c>
      <c r="R569">
        <f>_xlfn.XLOOKUP(frasest[[#This Row],[author_es]],autorest[author_es],autorest[image_atr])</f>
        <v>0</v>
      </c>
    </row>
    <row r="570" spans="1:18">
      <c r="A570">
        <v>569</v>
      </c>
      <c r="B570" t="s">
        <v>1944</v>
      </c>
      <c r="C570" t="s">
        <v>1945</v>
      </c>
      <c r="D570" t="s">
        <v>1946</v>
      </c>
      <c r="E570" t="s">
        <v>1938</v>
      </c>
      <c r="F570" t="s">
        <v>1947</v>
      </c>
      <c r="G570" t="str">
        <f>_xlfn.XLOOKUP(frasest[[#This Row],[author_es]],autorest[author_es],autorest[author_la])</f>
        <v>Albertus Bandura</v>
      </c>
      <c r="H570"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0"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0" t="str">
        <f>_xlfn.XLOOKUP(frasest[[#This Row],[author_es]],autorest[author_es],autorest[iso3691])</f>
        <v>en</v>
      </c>
      <c r="K570" t="str">
        <f>_xlfn.XLOOKUP(frasest[[#This Row],[author_es]],autorest[author_es],autorest[language_es])</f>
        <v>Inglés</v>
      </c>
      <c r="L570" t="str">
        <f>_xlfn.XLOOKUP(frasest[[#This Row],[author_es]],autorest[author_es],autorest[language_la])</f>
        <v>Lingua Anglica</v>
      </c>
      <c r="M570" t="str">
        <f>_xlfn.XLOOKUP(frasest[[#This Row],[author_es]],autorest[author_es],autorest[nation_es])</f>
        <v>Canadá</v>
      </c>
      <c r="N570" t="str">
        <f>_xlfn.XLOOKUP(frasest[[#This Row],[author_es]],autorest[author_es],autorest[nation_la])</f>
        <v>Canada</v>
      </c>
      <c r="O570" t="str">
        <f>_xlfn.XLOOKUP(frasest[[#This Row],[author_es]],autorest[author_es],autorest[age_es])</f>
        <v>Edad Contemporánea</v>
      </c>
      <c r="P570" t="str">
        <f>_xlfn.XLOOKUP(frasest[[#This Row],[author_es]],autorest[author_es],autorest[age_la])</f>
        <v>Aetas Contemporanea</v>
      </c>
      <c r="Q570" t="str">
        <f>_xlfn.XLOOKUP(frasest[[#This Row],[author_es]],autorest[author_es],autorest[image])</f>
        <v>https://i.ibb.co/21zkG8D5/albertbandura.png</v>
      </c>
      <c r="R570">
        <f>_xlfn.XLOOKUP(frasest[[#This Row],[author_es]],autorest[author_es],autorest[image_atr])</f>
        <v>0</v>
      </c>
    </row>
    <row r="571" spans="1:18">
      <c r="A571">
        <v>570</v>
      </c>
      <c r="B571" t="s">
        <v>1948</v>
      </c>
      <c r="C571" t="s">
        <v>1949</v>
      </c>
      <c r="D571" t="s">
        <v>1950</v>
      </c>
      <c r="E571" t="s">
        <v>1938</v>
      </c>
      <c r="F571" t="s">
        <v>1951</v>
      </c>
      <c r="G571" t="str">
        <f>_xlfn.XLOOKUP(frasest[[#This Row],[author_es]],autorest[author_es],autorest[author_la])</f>
        <v>Albertus Bandura</v>
      </c>
      <c r="H571"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1"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1" t="str">
        <f>_xlfn.XLOOKUP(frasest[[#This Row],[author_es]],autorest[author_es],autorest[iso3691])</f>
        <v>en</v>
      </c>
      <c r="K571" t="str">
        <f>_xlfn.XLOOKUP(frasest[[#This Row],[author_es]],autorest[author_es],autorest[language_es])</f>
        <v>Inglés</v>
      </c>
      <c r="L571" t="str">
        <f>_xlfn.XLOOKUP(frasest[[#This Row],[author_es]],autorest[author_es],autorest[language_la])</f>
        <v>Lingua Anglica</v>
      </c>
      <c r="M571" t="str">
        <f>_xlfn.XLOOKUP(frasest[[#This Row],[author_es]],autorest[author_es],autorest[nation_es])</f>
        <v>Canadá</v>
      </c>
      <c r="N571" t="str">
        <f>_xlfn.XLOOKUP(frasest[[#This Row],[author_es]],autorest[author_es],autorest[nation_la])</f>
        <v>Canada</v>
      </c>
      <c r="O571" t="str">
        <f>_xlfn.XLOOKUP(frasest[[#This Row],[author_es]],autorest[author_es],autorest[age_es])</f>
        <v>Edad Contemporánea</v>
      </c>
      <c r="P571" t="str">
        <f>_xlfn.XLOOKUP(frasest[[#This Row],[author_es]],autorest[author_es],autorest[age_la])</f>
        <v>Aetas Contemporanea</v>
      </c>
      <c r="Q571" t="str">
        <f>_xlfn.XLOOKUP(frasest[[#This Row],[author_es]],autorest[author_es],autorest[image])</f>
        <v>https://i.ibb.co/21zkG8D5/albertbandura.png</v>
      </c>
      <c r="R571">
        <f>_xlfn.XLOOKUP(frasest[[#This Row],[author_es]],autorest[author_es],autorest[image_atr])</f>
        <v>0</v>
      </c>
    </row>
    <row r="572" spans="1:18">
      <c r="A572">
        <v>571</v>
      </c>
      <c r="B572" t="s">
        <v>1952</v>
      </c>
      <c r="C572" t="s">
        <v>1953</v>
      </c>
      <c r="D572" t="s">
        <v>1954</v>
      </c>
      <c r="E572" t="s">
        <v>1938</v>
      </c>
      <c r="F572" t="s">
        <v>1939</v>
      </c>
      <c r="G572" t="str">
        <f>_xlfn.XLOOKUP(frasest[[#This Row],[author_es]],autorest[author_es],autorest[author_la])</f>
        <v>Albertus Bandura</v>
      </c>
      <c r="H572"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2"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2" t="str">
        <f>_xlfn.XLOOKUP(frasest[[#This Row],[author_es]],autorest[author_es],autorest[iso3691])</f>
        <v>en</v>
      </c>
      <c r="K572" t="str">
        <f>_xlfn.XLOOKUP(frasest[[#This Row],[author_es]],autorest[author_es],autorest[language_es])</f>
        <v>Inglés</v>
      </c>
      <c r="L572" t="str">
        <f>_xlfn.XLOOKUP(frasest[[#This Row],[author_es]],autorest[author_es],autorest[language_la])</f>
        <v>Lingua Anglica</v>
      </c>
      <c r="M572" t="str">
        <f>_xlfn.XLOOKUP(frasest[[#This Row],[author_es]],autorest[author_es],autorest[nation_es])</f>
        <v>Canadá</v>
      </c>
      <c r="N572" t="str">
        <f>_xlfn.XLOOKUP(frasest[[#This Row],[author_es]],autorest[author_es],autorest[nation_la])</f>
        <v>Canada</v>
      </c>
      <c r="O572" t="str">
        <f>_xlfn.XLOOKUP(frasest[[#This Row],[author_es]],autorest[author_es],autorest[age_es])</f>
        <v>Edad Contemporánea</v>
      </c>
      <c r="P572" t="str">
        <f>_xlfn.XLOOKUP(frasest[[#This Row],[author_es]],autorest[author_es],autorest[age_la])</f>
        <v>Aetas Contemporanea</v>
      </c>
      <c r="Q572" t="str">
        <f>_xlfn.XLOOKUP(frasest[[#This Row],[author_es]],autorest[author_es],autorest[image])</f>
        <v>https://i.ibb.co/21zkG8D5/albertbandura.png</v>
      </c>
      <c r="R572">
        <f>_xlfn.XLOOKUP(frasest[[#This Row],[author_es]],autorest[author_es],autorest[image_atr])</f>
        <v>0</v>
      </c>
    </row>
    <row r="573" spans="1:18">
      <c r="A573">
        <v>572</v>
      </c>
      <c r="B573" t="s">
        <v>1955</v>
      </c>
      <c r="C573" t="s">
        <v>1956</v>
      </c>
      <c r="D573" t="s">
        <v>1957</v>
      </c>
      <c r="E573" t="s">
        <v>1938</v>
      </c>
      <c r="F573" t="s">
        <v>1958</v>
      </c>
      <c r="G573" t="str">
        <f>_xlfn.XLOOKUP(frasest[[#This Row],[author_es]],autorest[author_es],autorest[author_la])</f>
        <v>Albertus Bandura</v>
      </c>
      <c r="H573" t="str">
        <f>_xlfn.XLOOKUP(frasest[[#This Row],[author_es]],autorest[author_es],autorest[bio_es])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I573" t="str">
        <f>_xlfn.XLOOKUP(frasest[[#This Row],[author_es]],autorest[author_es],autorest[bio_la])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J573" t="str">
        <f>_xlfn.XLOOKUP(frasest[[#This Row],[author_es]],autorest[author_es],autorest[iso3691])</f>
        <v>en</v>
      </c>
      <c r="K573" t="str">
        <f>_xlfn.XLOOKUP(frasest[[#This Row],[author_es]],autorest[author_es],autorest[language_es])</f>
        <v>Inglés</v>
      </c>
      <c r="L573" t="str">
        <f>_xlfn.XLOOKUP(frasest[[#This Row],[author_es]],autorest[author_es],autorest[language_la])</f>
        <v>Lingua Anglica</v>
      </c>
      <c r="M573" t="str">
        <f>_xlfn.XLOOKUP(frasest[[#This Row],[author_es]],autorest[author_es],autorest[nation_es])</f>
        <v>Canadá</v>
      </c>
      <c r="N573" t="str">
        <f>_xlfn.XLOOKUP(frasest[[#This Row],[author_es]],autorest[author_es],autorest[nation_la])</f>
        <v>Canada</v>
      </c>
      <c r="O573" t="str">
        <f>_xlfn.XLOOKUP(frasest[[#This Row],[author_es]],autorest[author_es],autorest[age_es])</f>
        <v>Edad Contemporánea</v>
      </c>
      <c r="P573" t="str">
        <f>_xlfn.XLOOKUP(frasest[[#This Row],[author_es]],autorest[author_es],autorest[age_la])</f>
        <v>Aetas Contemporanea</v>
      </c>
      <c r="Q573" t="str">
        <f>_xlfn.XLOOKUP(frasest[[#This Row],[author_es]],autorest[author_es],autorest[image])</f>
        <v>https://i.ibb.co/21zkG8D5/albertbandura.png</v>
      </c>
      <c r="R573">
        <f>_xlfn.XLOOKUP(frasest[[#This Row],[author_es]],autorest[author_es],autorest[image_atr])</f>
        <v>0</v>
      </c>
    </row>
    <row r="574" spans="1:18">
      <c r="A574">
        <v>573</v>
      </c>
      <c r="B574" t="s">
        <v>1959</v>
      </c>
      <c r="C574" t="s">
        <v>1960</v>
      </c>
      <c r="D574" t="s">
        <v>1961</v>
      </c>
      <c r="E574" t="s">
        <v>1962</v>
      </c>
      <c r="F574" t="s">
        <v>1963</v>
      </c>
      <c r="G574" t="str">
        <f>_xlfn.XLOOKUP(frasest[[#This Row],[author_es]],autorest[author_es],autorest[author_la])</f>
        <v>Burrhus Frederic Skinner</v>
      </c>
      <c r="H574"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4"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4" t="str">
        <f>_xlfn.XLOOKUP(frasest[[#This Row],[author_es]],autorest[author_es],autorest[iso3691])</f>
        <v>en</v>
      </c>
      <c r="K574" t="str">
        <f>_xlfn.XLOOKUP(frasest[[#This Row],[author_es]],autorest[author_es],autorest[language_es])</f>
        <v>Inglés</v>
      </c>
      <c r="L574" t="str">
        <f>_xlfn.XLOOKUP(frasest[[#This Row],[author_es]],autorest[author_es],autorest[language_la])</f>
        <v>Lingua Anglica</v>
      </c>
      <c r="M574" t="str">
        <f>_xlfn.XLOOKUP(frasest[[#This Row],[author_es]],autorest[author_es],autorest[nation_es])</f>
        <v>Estados Unidos</v>
      </c>
      <c r="N574" t="str">
        <f>_xlfn.XLOOKUP(frasest[[#This Row],[author_es]],autorest[author_es],autorest[nation_la])</f>
        <v>Civitates Foederatae Americae</v>
      </c>
      <c r="O574" t="str">
        <f>_xlfn.XLOOKUP(frasest[[#This Row],[author_es]],autorest[author_es],autorest[age_es])</f>
        <v>Edad Contemporánea</v>
      </c>
      <c r="P574" t="str">
        <f>_xlfn.XLOOKUP(frasest[[#This Row],[author_es]],autorest[author_es],autorest[age_la])</f>
        <v>Aetas Contemporanea</v>
      </c>
      <c r="Q574" t="str">
        <f>_xlfn.XLOOKUP(frasest[[#This Row],[author_es]],autorest[author_es],autorest[image])</f>
        <v>https://i.ibb.co/QFcznP4m/skinner.png</v>
      </c>
      <c r="R574">
        <f>_xlfn.XLOOKUP(frasest[[#This Row],[author_es]],autorest[author_es],autorest[image_atr])</f>
        <v>0</v>
      </c>
    </row>
    <row r="575" spans="1:18">
      <c r="A575">
        <v>574</v>
      </c>
      <c r="B575" t="s">
        <v>1964</v>
      </c>
      <c r="C575" t="s">
        <v>1965</v>
      </c>
      <c r="D575" t="s">
        <v>1966</v>
      </c>
      <c r="E575" t="s">
        <v>1962</v>
      </c>
      <c r="F575" t="s">
        <v>1967</v>
      </c>
      <c r="G575" t="str">
        <f>_xlfn.XLOOKUP(frasest[[#This Row],[author_es]],autorest[author_es],autorest[author_la])</f>
        <v>Burrhus Frederic Skinner</v>
      </c>
      <c r="H575"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5"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5" t="str">
        <f>_xlfn.XLOOKUP(frasest[[#This Row],[author_es]],autorest[author_es],autorest[iso3691])</f>
        <v>en</v>
      </c>
      <c r="K575" t="str">
        <f>_xlfn.XLOOKUP(frasest[[#This Row],[author_es]],autorest[author_es],autorest[language_es])</f>
        <v>Inglés</v>
      </c>
      <c r="L575" t="str">
        <f>_xlfn.XLOOKUP(frasest[[#This Row],[author_es]],autorest[author_es],autorest[language_la])</f>
        <v>Lingua Anglica</v>
      </c>
      <c r="M575" t="str">
        <f>_xlfn.XLOOKUP(frasest[[#This Row],[author_es]],autorest[author_es],autorest[nation_es])</f>
        <v>Estados Unidos</v>
      </c>
      <c r="N575" t="str">
        <f>_xlfn.XLOOKUP(frasest[[#This Row],[author_es]],autorest[author_es],autorest[nation_la])</f>
        <v>Civitates Foederatae Americae</v>
      </c>
      <c r="O575" t="str">
        <f>_xlfn.XLOOKUP(frasest[[#This Row],[author_es]],autorest[author_es],autorest[age_es])</f>
        <v>Edad Contemporánea</v>
      </c>
      <c r="P575" t="str">
        <f>_xlfn.XLOOKUP(frasest[[#This Row],[author_es]],autorest[author_es],autorest[age_la])</f>
        <v>Aetas Contemporanea</v>
      </c>
      <c r="Q575" t="str">
        <f>_xlfn.XLOOKUP(frasest[[#This Row],[author_es]],autorest[author_es],autorest[image])</f>
        <v>https://i.ibb.co/QFcznP4m/skinner.png</v>
      </c>
      <c r="R575">
        <f>_xlfn.XLOOKUP(frasest[[#This Row],[author_es]],autorest[author_es],autorest[image_atr])</f>
        <v>0</v>
      </c>
    </row>
    <row r="576" spans="1:18">
      <c r="A576">
        <v>575</v>
      </c>
      <c r="B576" t="s">
        <v>1968</v>
      </c>
      <c r="C576" t="s">
        <v>1969</v>
      </c>
      <c r="D576" t="s">
        <v>1970</v>
      </c>
      <c r="E576" t="s">
        <v>1962</v>
      </c>
      <c r="F576" t="s">
        <v>1971</v>
      </c>
      <c r="G576" t="str">
        <f>_xlfn.XLOOKUP(frasest[[#This Row],[author_es]],autorest[author_es],autorest[author_la])</f>
        <v>Burrhus Frederic Skinner</v>
      </c>
      <c r="H576"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6"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6" t="str">
        <f>_xlfn.XLOOKUP(frasest[[#This Row],[author_es]],autorest[author_es],autorest[iso3691])</f>
        <v>en</v>
      </c>
      <c r="K576" t="str">
        <f>_xlfn.XLOOKUP(frasest[[#This Row],[author_es]],autorest[author_es],autorest[language_es])</f>
        <v>Inglés</v>
      </c>
      <c r="L576" t="str">
        <f>_xlfn.XLOOKUP(frasest[[#This Row],[author_es]],autorest[author_es],autorest[language_la])</f>
        <v>Lingua Anglica</v>
      </c>
      <c r="M576" t="str">
        <f>_xlfn.XLOOKUP(frasest[[#This Row],[author_es]],autorest[author_es],autorest[nation_es])</f>
        <v>Estados Unidos</v>
      </c>
      <c r="N576" t="str">
        <f>_xlfn.XLOOKUP(frasest[[#This Row],[author_es]],autorest[author_es],autorest[nation_la])</f>
        <v>Civitates Foederatae Americae</v>
      </c>
      <c r="O576" t="str">
        <f>_xlfn.XLOOKUP(frasest[[#This Row],[author_es]],autorest[author_es],autorest[age_es])</f>
        <v>Edad Contemporánea</v>
      </c>
      <c r="P576" t="str">
        <f>_xlfn.XLOOKUP(frasest[[#This Row],[author_es]],autorest[author_es],autorest[age_la])</f>
        <v>Aetas Contemporanea</v>
      </c>
      <c r="Q576" t="str">
        <f>_xlfn.XLOOKUP(frasest[[#This Row],[author_es]],autorest[author_es],autorest[image])</f>
        <v>https://i.ibb.co/QFcznP4m/skinner.png</v>
      </c>
      <c r="R576">
        <f>_xlfn.XLOOKUP(frasest[[#This Row],[author_es]],autorest[author_es],autorest[image_atr])</f>
        <v>0</v>
      </c>
    </row>
    <row r="577" spans="1:18">
      <c r="A577">
        <v>576</v>
      </c>
      <c r="B577" t="s">
        <v>1972</v>
      </c>
      <c r="C577" t="s">
        <v>1973</v>
      </c>
      <c r="D577" t="s">
        <v>1974</v>
      </c>
      <c r="E577" t="s">
        <v>1962</v>
      </c>
      <c r="F577" t="s">
        <v>1975</v>
      </c>
      <c r="G577" t="str">
        <f>_xlfn.XLOOKUP(frasest[[#This Row],[author_es]],autorest[author_es],autorest[author_la])</f>
        <v>Burrhus Frederic Skinner</v>
      </c>
      <c r="H577"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7"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7" t="str">
        <f>_xlfn.XLOOKUP(frasest[[#This Row],[author_es]],autorest[author_es],autorest[iso3691])</f>
        <v>en</v>
      </c>
      <c r="K577" t="str">
        <f>_xlfn.XLOOKUP(frasest[[#This Row],[author_es]],autorest[author_es],autorest[language_es])</f>
        <v>Inglés</v>
      </c>
      <c r="L577" t="str">
        <f>_xlfn.XLOOKUP(frasest[[#This Row],[author_es]],autorest[author_es],autorest[language_la])</f>
        <v>Lingua Anglica</v>
      </c>
      <c r="M577" t="str">
        <f>_xlfn.XLOOKUP(frasest[[#This Row],[author_es]],autorest[author_es],autorest[nation_es])</f>
        <v>Estados Unidos</v>
      </c>
      <c r="N577" t="str">
        <f>_xlfn.XLOOKUP(frasest[[#This Row],[author_es]],autorest[author_es],autorest[nation_la])</f>
        <v>Civitates Foederatae Americae</v>
      </c>
      <c r="O577" t="str">
        <f>_xlfn.XLOOKUP(frasest[[#This Row],[author_es]],autorest[author_es],autorest[age_es])</f>
        <v>Edad Contemporánea</v>
      </c>
      <c r="P577" t="str">
        <f>_xlfn.XLOOKUP(frasest[[#This Row],[author_es]],autorest[author_es],autorest[age_la])</f>
        <v>Aetas Contemporanea</v>
      </c>
      <c r="Q577" t="str">
        <f>_xlfn.XLOOKUP(frasest[[#This Row],[author_es]],autorest[author_es],autorest[image])</f>
        <v>https://i.ibb.co/QFcznP4m/skinner.png</v>
      </c>
      <c r="R577">
        <f>_xlfn.XLOOKUP(frasest[[#This Row],[author_es]],autorest[author_es],autorest[image_atr])</f>
        <v>0</v>
      </c>
    </row>
    <row r="578" spans="1:18">
      <c r="A578">
        <v>577</v>
      </c>
      <c r="B578" t="s">
        <v>1976</v>
      </c>
      <c r="C578" t="s">
        <v>1977</v>
      </c>
      <c r="D578" t="s">
        <v>1978</v>
      </c>
      <c r="E578" t="s">
        <v>1962</v>
      </c>
      <c r="F578" t="s">
        <v>1979</v>
      </c>
      <c r="G578" t="str">
        <f>_xlfn.XLOOKUP(frasest[[#This Row],[author_es]],autorest[author_es],autorest[author_la])</f>
        <v>Burrhus Frederic Skinner</v>
      </c>
      <c r="H578"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8"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8" t="str">
        <f>_xlfn.XLOOKUP(frasest[[#This Row],[author_es]],autorest[author_es],autorest[iso3691])</f>
        <v>en</v>
      </c>
      <c r="K578" t="str">
        <f>_xlfn.XLOOKUP(frasest[[#This Row],[author_es]],autorest[author_es],autorest[language_es])</f>
        <v>Inglés</v>
      </c>
      <c r="L578" t="str">
        <f>_xlfn.XLOOKUP(frasest[[#This Row],[author_es]],autorest[author_es],autorest[language_la])</f>
        <v>Lingua Anglica</v>
      </c>
      <c r="M578" t="str">
        <f>_xlfn.XLOOKUP(frasest[[#This Row],[author_es]],autorest[author_es],autorest[nation_es])</f>
        <v>Estados Unidos</v>
      </c>
      <c r="N578" t="str">
        <f>_xlfn.XLOOKUP(frasest[[#This Row],[author_es]],autorest[author_es],autorest[nation_la])</f>
        <v>Civitates Foederatae Americae</v>
      </c>
      <c r="O578" t="str">
        <f>_xlfn.XLOOKUP(frasest[[#This Row],[author_es]],autorest[author_es],autorest[age_es])</f>
        <v>Edad Contemporánea</v>
      </c>
      <c r="P578" t="str">
        <f>_xlfn.XLOOKUP(frasest[[#This Row],[author_es]],autorest[author_es],autorest[age_la])</f>
        <v>Aetas Contemporanea</v>
      </c>
      <c r="Q578" t="str">
        <f>_xlfn.XLOOKUP(frasest[[#This Row],[author_es]],autorest[author_es],autorest[image])</f>
        <v>https://i.ibb.co/QFcznP4m/skinner.png</v>
      </c>
      <c r="R578">
        <f>_xlfn.XLOOKUP(frasest[[#This Row],[author_es]],autorest[author_es],autorest[image_atr])</f>
        <v>0</v>
      </c>
    </row>
    <row r="579" spans="1:18">
      <c r="A579">
        <v>578</v>
      </c>
      <c r="B579" t="s">
        <v>1980</v>
      </c>
      <c r="C579" t="s">
        <v>1981</v>
      </c>
      <c r="D579" t="s">
        <v>1982</v>
      </c>
      <c r="E579" t="s">
        <v>1962</v>
      </c>
      <c r="F579" t="s">
        <v>1983</v>
      </c>
      <c r="G579" t="str">
        <f>_xlfn.XLOOKUP(frasest[[#This Row],[author_es]],autorest[author_es],autorest[author_la])</f>
        <v>Burrhus Frederic Skinner</v>
      </c>
      <c r="H579" t="str">
        <f>_xlfn.XLOOKUP(frasest[[#This Row],[author_es]],autorest[author_es],autorest[bio_es])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I579" t="str">
        <f>_xlfn.XLOOKUP(frasest[[#This Row],[author_es]],autorest[author_es],autorest[bio_la])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J579" t="str">
        <f>_xlfn.XLOOKUP(frasest[[#This Row],[author_es]],autorest[author_es],autorest[iso3691])</f>
        <v>en</v>
      </c>
      <c r="K579" t="str">
        <f>_xlfn.XLOOKUP(frasest[[#This Row],[author_es]],autorest[author_es],autorest[language_es])</f>
        <v>Inglés</v>
      </c>
      <c r="L579" t="str">
        <f>_xlfn.XLOOKUP(frasest[[#This Row],[author_es]],autorest[author_es],autorest[language_la])</f>
        <v>Lingua Anglica</v>
      </c>
      <c r="M579" t="str">
        <f>_xlfn.XLOOKUP(frasest[[#This Row],[author_es]],autorest[author_es],autorest[nation_es])</f>
        <v>Estados Unidos</v>
      </c>
      <c r="N579" t="str">
        <f>_xlfn.XLOOKUP(frasest[[#This Row],[author_es]],autorest[author_es],autorest[nation_la])</f>
        <v>Civitates Foederatae Americae</v>
      </c>
      <c r="O579" t="str">
        <f>_xlfn.XLOOKUP(frasest[[#This Row],[author_es]],autorest[author_es],autorest[age_es])</f>
        <v>Edad Contemporánea</v>
      </c>
      <c r="P579" t="str">
        <f>_xlfn.XLOOKUP(frasest[[#This Row],[author_es]],autorest[author_es],autorest[age_la])</f>
        <v>Aetas Contemporanea</v>
      </c>
      <c r="Q579" t="str">
        <f>_xlfn.XLOOKUP(frasest[[#This Row],[author_es]],autorest[author_es],autorest[image])</f>
        <v>https://i.ibb.co/QFcznP4m/skinner.png</v>
      </c>
      <c r="R579">
        <f>_xlfn.XLOOKUP(frasest[[#This Row],[author_es]],autorest[author_es],autorest[image_atr])</f>
        <v>0</v>
      </c>
    </row>
    <row r="580" spans="1:18">
      <c r="A580">
        <v>579</v>
      </c>
      <c r="B580" t="s">
        <v>1984</v>
      </c>
      <c r="C580" t="s">
        <v>1985</v>
      </c>
      <c r="D580" t="s">
        <v>1986</v>
      </c>
      <c r="E580" t="s">
        <v>1987</v>
      </c>
      <c r="F580" t="s">
        <v>1988</v>
      </c>
      <c r="G580" t="str">
        <f>_xlfn.XLOOKUP(frasest[[#This Row],[author_es]],autorest[author_es],autorest[author_la])</f>
        <v>Iacobus Maritain</v>
      </c>
      <c r="H580"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0"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0" t="str">
        <f>_xlfn.XLOOKUP(frasest[[#This Row],[author_es]],autorest[author_es],autorest[iso3691])</f>
        <v>fr</v>
      </c>
      <c r="K580" t="str">
        <f>_xlfn.XLOOKUP(frasest[[#This Row],[author_es]],autorest[author_es],autorest[language_es])</f>
        <v>Francés</v>
      </c>
      <c r="L580" t="str">
        <f>_xlfn.XLOOKUP(frasest[[#This Row],[author_es]],autorest[author_es],autorest[language_la])</f>
        <v>Lingua Gallica</v>
      </c>
      <c r="M580" t="str">
        <f>_xlfn.XLOOKUP(frasest[[#This Row],[author_es]],autorest[author_es],autorest[nation_es])</f>
        <v>Francia</v>
      </c>
      <c r="N580" t="str">
        <f>_xlfn.XLOOKUP(frasest[[#This Row],[author_es]],autorest[author_es],autorest[nation_la])</f>
        <v>Francia</v>
      </c>
      <c r="O580" t="str">
        <f>_xlfn.XLOOKUP(frasest[[#This Row],[author_es]],autorest[author_es],autorest[age_es])</f>
        <v>Edad Contemporánea</v>
      </c>
      <c r="P580" t="str">
        <f>_xlfn.XLOOKUP(frasest[[#This Row],[author_es]],autorest[author_es],autorest[age_la])</f>
        <v>Aetas Contemporanea</v>
      </c>
      <c r="Q580" t="str">
        <f>_xlfn.XLOOKUP(frasest[[#This Row],[author_es]],autorest[author_es],autorest[image])</f>
        <v>https://i.ibb.co/tMwzk5gg/maritain.png</v>
      </c>
      <c r="R580">
        <f>_xlfn.XLOOKUP(frasest[[#This Row],[author_es]],autorest[author_es],autorest[image_atr])</f>
        <v>0</v>
      </c>
    </row>
    <row r="581" spans="1:18">
      <c r="A581">
        <v>580</v>
      </c>
      <c r="B581" t="s">
        <v>1989</v>
      </c>
      <c r="C581" t="s">
        <v>1990</v>
      </c>
      <c r="D581" t="s">
        <v>1991</v>
      </c>
      <c r="E581" t="s">
        <v>1987</v>
      </c>
      <c r="F581" t="s">
        <v>1992</v>
      </c>
      <c r="G581" t="str">
        <f>_xlfn.XLOOKUP(frasest[[#This Row],[author_es]],autorest[author_es],autorest[author_la])</f>
        <v>Iacobus Maritain</v>
      </c>
      <c r="H581"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1"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1" t="str">
        <f>_xlfn.XLOOKUP(frasest[[#This Row],[author_es]],autorest[author_es],autorest[iso3691])</f>
        <v>fr</v>
      </c>
      <c r="K581" t="str">
        <f>_xlfn.XLOOKUP(frasest[[#This Row],[author_es]],autorest[author_es],autorest[language_es])</f>
        <v>Francés</v>
      </c>
      <c r="L581" t="str">
        <f>_xlfn.XLOOKUP(frasest[[#This Row],[author_es]],autorest[author_es],autorest[language_la])</f>
        <v>Lingua Gallica</v>
      </c>
      <c r="M581" t="str">
        <f>_xlfn.XLOOKUP(frasest[[#This Row],[author_es]],autorest[author_es],autorest[nation_es])</f>
        <v>Francia</v>
      </c>
      <c r="N581" t="str">
        <f>_xlfn.XLOOKUP(frasest[[#This Row],[author_es]],autorest[author_es],autorest[nation_la])</f>
        <v>Francia</v>
      </c>
      <c r="O581" t="str">
        <f>_xlfn.XLOOKUP(frasest[[#This Row],[author_es]],autorest[author_es],autorest[age_es])</f>
        <v>Edad Contemporánea</v>
      </c>
      <c r="P581" t="str">
        <f>_xlfn.XLOOKUP(frasest[[#This Row],[author_es]],autorest[author_es],autorest[age_la])</f>
        <v>Aetas Contemporanea</v>
      </c>
      <c r="Q581" t="str">
        <f>_xlfn.XLOOKUP(frasest[[#This Row],[author_es]],autorest[author_es],autorest[image])</f>
        <v>https://i.ibb.co/tMwzk5gg/maritain.png</v>
      </c>
      <c r="R581">
        <f>_xlfn.XLOOKUP(frasest[[#This Row],[author_es]],autorest[author_es],autorest[image_atr])</f>
        <v>0</v>
      </c>
    </row>
    <row r="582" spans="1:18">
      <c r="A582">
        <v>581</v>
      </c>
      <c r="B582" t="s">
        <v>1993</v>
      </c>
      <c r="C582" t="s">
        <v>1994</v>
      </c>
      <c r="D582" t="s">
        <v>1995</v>
      </c>
      <c r="E582" t="s">
        <v>1987</v>
      </c>
      <c r="F582" t="s">
        <v>1996</v>
      </c>
      <c r="G582" t="str">
        <f>_xlfn.XLOOKUP(frasest[[#This Row],[author_es]],autorest[author_es],autorest[author_la])</f>
        <v>Iacobus Maritain</v>
      </c>
      <c r="H582"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2"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2" t="str">
        <f>_xlfn.XLOOKUP(frasest[[#This Row],[author_es]],autorest[author_es],autorest[iso3691])</f>
        <v>fr</v>
      </c>
      <c r="K582" t="str">
        <f>_xlfn.XLOOKUP(frasest[[#This Row],[author_es]],autorest[author_es],autorest[language_es])</f>
        <v>Francés</v>
      </c>
      <c r="L582" t="str">
        <f>_xlfn.XLOOKUP(frasest[[#This Row],[author_es]],autorest[author_es],autorest[language_la])</f>
        <v>Lingua Gallica</v>
      </c>
      <c r="M582" t="str">
        <f>_xlfn.XLOOKUP(frasest[[#This Row],[author_es]],autorest[author_es],autorest[nation_es])</f>
        <v>Francia</v>
      </c>
      <c r="N582" t="str">
        <f>_xlfn.XLOOKUP(frasest[[#This Row],[author_es]],autorest[author_es],autorest[nation_la])</f>
        <v>Francia</v>
      </c>
      <c r="O582" t="str">
        <f>_xlfn.XLOOKUP(frasest[[#This Row],[author_es]],autorest[author_es],autorest[age_es])</f>
        <v>Edad Contemporánea</v>
      </c>
      <c r="P582" t="str">
        <f>_xlfn.XLOOKUP(frasest[[#This Row],[author_es]],autorest[author_es],autorest[age_la])</f>
        <v>Aetas Contemporanea</v>
      </c>
      <c r="Q582" t="str">
        <f>_xlfn.XLOOKUP(frasest[[#This Row],[author_es]],autorest[author_es],autorest[image])</f>
        <v>https://i.ibb.co/tMwzk5gg/maritain.png</v>
      </c>
      <c r="R582">
        <f>_xlfn.XLOOKUP(frasest[[#This Row],[author_es]],autorest[author_es],autorest[image_atr])</f>
        <v>0</v>
      </c>
    </row>
    <row r="583" spans="1:18">
      <c r="A583">
        <v>582</v>
      </c>
      <c r="B583" t="s">
        <v>1997</v>
      </c>
      <c r="C583" t="s">
        <v>1998</v>
      </c>
      <c r="D583" t="s">
        <v>1999</v>
      </c>
      <c r="E583" t="s">
        <v>1987</v>
      </c>
      <c r="F583" t="s">
        <v>2000</v>
      </c>
      <c r="G583" t="str">
        <f>_xlfn.XLOOKUP(frasest[[#This Row],[author_es]],autorest[author_es],autorest[author_la])</f>
        <v>Iacobus Maritain</v>
      </c>
      <c r="H583"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3"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3" t="str">
        <f>_xlfn.XLOOKUP(frasest[[#This Row],[author_es]],autorest[author_es],autorest[iso3691])</f>
        <v>fr</v>
      </c>
      <c r="K583" t="str">
        <f>_xlfn.XLOOKUP(frasest[[#This Row],[author_es]],autorest[author_es],autorest[language_es])</f>
        <v>Francés</v>
      </c>
      <c r="L583" t="str">
        <f>_xlfn.XLOOKUP(frasest[[#This Row],[author_es]],autorest[author_es],autorest[language_la])</f>
        <v>Lingua Gallica</v>
      </c>
      <c r="M583" t="str">
        <f>_xlfn.XLOOKUP(frasest[[#This Row],[author_es]],autorest[author_es],autorest[nation_es])</f>
        <v>Francia</v>
      </c>
      <c r="N583" t="str">
        <f>_xlfn.XLOOKUP(frasest[[#This Row],[author_es]],autorest[author_es],autorest[nation_la])</f>
        <v>Francia</v>
      </c>
      <c r="O583" t="str">
        <f>_xlfn.XLOOKUP(frasest[[#This Row],[author_es]],autorest[author_es],autorest[age_es])</f>
        <v>Edad Contemporánea</v>
      </c>
      <c r="P583" t="str">
        <f>_xlfn.XLOOKUP(frasest[[#This Row],[author_es]],autorest[author_es],autorest[age_la])</f>
        <v>Aetas Contemporanea</v>
      </c>
      <c r="Q583" t="str">
        <f>_xlfn.XLOOKUP(frasest[[#This Row],[author_es]],autorest[author_es],autorest[image])</f>
        <v>https://i.ibb.co/tMwzk5gg/maritain.png</v>
      </c>
      <c r="R583">
        <f>_xlfn.XLOOKUP(frasest[[#This Row],[author_es]],autorest[author_es],autorest[image_atr])</f>
        <v>0</v>
      </c>
    </row>
    <row r="584" spans="1:18">
      <c r="A584">
        <v>583</v>
      </c>
      <c r="B584" t="s">
        <v>2001</v>
      </c>
      <c r="C584" t="s">
        <v>2002</v>
      </c>
      <c r="D584" t="s">
        <v>2003</v>
      </c>
      <c r="E584" t="s">
        <v>1987</v>
      </c>
      <c r="F584" t="s">
        <v>2004</v>
      </c>
      <c r="G584" t="str">
        <f>_xlfn.XLOOKUP(frasest[[#This Row],[author_es]],autorest[author_es],autorest[author_la])</f>
        <v>Iacobus Maritain</v>
      </c>
      <c r="H584"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4"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4" t="str">
        <f>_xlfn.XLOOKUP(frasest[[#This Row],[author_es]],autorest[author_es],autorest[iso3691])</f>
        <v>fr</v>
      </c>
      <c r="K584" t="str">
        <f>_xlfn.XLOOKUP(frasest[[#This Row],[author_es]],autorest[author_es],autorest[language_es])</f>
        <v>Francés</v>
      </c>
      <c r="L584" t="str">
        <f>_xlfn.XLOOKUP(frasest[[#This Row],[author_es]],autorest[author_es],autorest[language_la])</f>
        <v>Lingua Gallica</v>
      </c>
      <c r="M584" t="str">
        <f>_xlfn.XLOOKUP(frasest[[#This Row],[author_es]],autorest[author_es],autorest[nation_es])</f>
        <v>Francia</v>
      </c>
      <c r="N584" t="str">
        <f>_xlfn.XLOOKUP(frasest[[#This Row],[author_es]],autorest[author_es],autorest[nation_la])</f>
        <v>Francia</v>
      </c>
      <c r="O584" t="str">
        <f>_xlfn.XLOOKUP(frasest[[#This Row],[author_es]],autorest[author_es],autorest[age_es])</f>
        <v>Edad Contemporánea</v>
      </c>
      <c r="P584" t="str">
        <f>_xlfn.XLOOKUP(frasest[[#This Row],[author_es]],autorest[author_es],autorest[age_la])</f>
        <v>Aetas Contemporanea</v>
      </c>
      <c r="Q584" t="str">
        <f>_xlfn.XLOOKUP(frasest[[#This Row],[author_es]],autorest[author_es],autorest[image])</f>
        <v>https://i.ibb.co/tMwzk5gg/maritain.png</v>
      </c>
      <c r="R584">
        <f>_xlfn.XLOOKUP(frasest[[#This Row],[author_es]],autorest[author_es],autorest[image_atr])</f>
        <v>0</v>
      </c>
    </row>
    <row r="585" spans="1:18">
      <c r="A585">
        <v>584</v>
      </c>
      <c r="B585" t="s">
        <v>2005</v>
      </c>
      <c r="C585" t="s">
        <v>2006</v>
      </c>
      <c r="D585" t="s">
        <v>2007</v>
      </c>
      <c r="E585" t="s">
        <v>1987</v>
      </c>
      <c r="F585" t="s">
        <v>2008</v>
      </c>
      <c r="G585" t="str">
        <f>_xlfn.XLOOKUP(frasest[[#This Row],[author_es]],autorest[author_es],autorest[author_la])</f>
        <v>Iacobus Maritain</v>
      </c>
      <c r="H585" t="str">
        <f>_xlfn.XLOOKUP(frasest[[#This Row],[author_es]],autorest[author_es],autorest[bio_es])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I585" t="str">
        <f>_xlfn.XLOOKUP(frasest[[#This Row],[author_es]],autorest[author_es],autorest[bio_la])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J585" t="str">
        <f>_xlfn.XLOOKUP(frasest[[#This Row],[author_es]],autorest[author_es],autorest[iso3691])</f>
        <v>fr</v>
      </c>
      <c r="K585" t="str">
        <f>_xlfn.XLOOKUP(frasest[[#This Row],[author_es]],autorest[author_es],autorest[language_es])</f>
        <v>Francés</v>
      </c>
      <c r="L585" t="str">
        <f>_xlfn.XLOOKUP(frasest[[#This Row],[author_es]],autorest[author_es],autorest[language_la])</f>
        <v>Lingua Gallica</v>
      </c>
      <c r="M585" t="str">
        <f>_xlfn.XLOOKUP(frasest[[#This Row],[author_es]],autorest[author_es],autorest[nation_es])</f>
        <v>Francia</v>
      </c>
      <c r="N585" t="str">
        <f>_xlfn.XLOOKUP(frasest[[#This Row],[author_es]],autorest[author_es],autorest[nation_la])</f>
        <v>Francia</v>
      </c>
      <c r="O585" t="str">
        <f>_xlfn.XLOOKUP(frasest[[#This Row],[author_es]],autorest[author_es],autorest[age_es])</f>
        <v>Edad Contemporánea</v>
      </c>
      <c r="P585" t="str">
        <f>_xlfn.XLOOKUP(frasest[[#This Row],[author_es]],autorest[author_es],autorest[age_la])</f>
        <v>Aetas Contemporanea</v>
      </c>
      <c r="Q585" t="str">
        <f>_xlfn.XLOOKUP(frasest[[#This Row],[author_es]],autorest[author_es],autorest[image])</f>
        <v>https://i.ibb.co/tMwzk5gg/maritain.png</v>
      </c>
      <c r="R585">
        <f>_xlfn.XLOOKUP(frasest[[#This Row],[author_es]],autorest[author_es],autorest[image_atr])</f>
        <v>0</v>
      </c>
    </row>
    <row r="586" spans="1:18">
      <c r="A586">
        <v>585</v>
      </c>
      <c r="B586" t="s">
        <v>2009</v>
      </c>
      <c r="C586" t="s">
        <v>2010</v>
      </c>
      <c r="D586" t="s">
        <v>2011</v>
      </c>
      <c r="E586" t="s">
        <v>2012</v>
      </c>
      <c r="F586" t="s">
        <v>2013</v>
      </c>
      <c r="G586" t="str">
        <f>_xlfn.XLOOKUP(frasest[[#This Row],[author_es]],autorest[author_es],autorest[author_la])</f>
        <v>Clive Staples Lewis</v>
      </c>
      <c r="H586"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6"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6" t="str">
        <f>_xlfn.XLOOKUP(frasest[[#This Row],[author_es]],autorest[author_es],autorest[iso3691])</f>
        <v>en</v>
      </c>
      <c r="K586" t="str">
        <f>_xlfn.XLOOKUP(frasest[[#This Row],[author_es]],autorest[author_es],autorest[language_es])</f>
        <v>Inglés</v>
      </c>
      <c r="L586" t="str">
        <f>_xlfn.XLOOKUP(frasest[[#This Row],[author_es]],autorest[author_es],autorest[language_la])</f>
        <v>Lingua Anglica</v>
      </c>
      <c r="M586" t="str">
        <f>_xlfn.XLOOKUP(frasest[[#This Row],[author_es]],autorest[author_es],autorest[nation_es])</f>
        <v>Reino Unido</v>
      </c>
      <c r="N586" t="str">
        <f>_xlfn.XLOOKUP(frasest[[#This Row],[author_es]],autorest[author_es],autorest[nation_la])</f>
        <v>Regnum Unitum</v>
      </c>
      <c r="O586" t="str">
        <f>_xlfn.XLOOKUP(frasest[[#This Row],[author_es]],autorest[author_es],autorest[age_es])</f>
        <v>Edad Contemporánea</v>
      </c>
      <c r="P586" t="str">
        <f>_xlfn.XLOOKUP(frasest[[#This Row],[author_es]],autorest[author_es],autorest[age_la])</f>
        <v>Aetas Contemporanea</v>
      </c>
      <c r="Q586" t="str">
        <f>_xlfn.XLOOKUP(frasest[[#This Row],[author_es]],autorest[author_es],autorest[image])</f>
        <v>https://i.ibb.co/VY2H7VMM/cslewis.png</v>
      </c>
      <c r="R586">
        <f>_xlfn.XLOOKUP(frasest[[#This Row],[author_es]],autorest[author_es],autorest[image_atr])</f>
        <v>0</v>
      </c>
    </row>
    <row r="587" spans="1:18">
      <c r="A587">
        <v>586</v>
      </c>
      <c r="B587" t="s">
        <v>2014</v>
      </c>
      <c r="C587" t="s">
        <v>2015</v>
      </c>
      <c r="D587" t="s">
        <v>2016</v>
      </c>
      <c r="E587" t="s">
        <v>2012</v>
      </c>
      <c r="F587" t="s">
        <v>2017</v>
      </c>
      <c r="G587" t="str">
        <f>_xlfn.XLOOKUP(frasest[[#This Row],[author_es]],autorest[author_es],autorest[author_la])</f>
        <v>Clive Staples Lewis</v>
      </c>
      <c r="H587"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7"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7" t="str">
        <f>_xlfn.XLOOKUP(frasest[[#This Row],[author_es]],autorest[author_es],autorest[iso3691])</f>
        <v>en</v>
      </c>
      <c r="K587" t="str">
        <f>_xlfn.XLOOKUP(frasest[[#This Row],[author_es]],autorest[author_es],autorest[language_es])</f>
        <v>Inglés</v>
      </c>
      <c r="L587" t="str">
        <f>_xlfn.XLOOKUP(frasest[[#This Row],[author_es]],autorest[author_es],autorest[language_la])</f>
        <v>Lingua Anglica</v>
      </c>
      <c r="M587" t="str">
        <f>_xlfn.XLOOKUP(frasest[[#This Row],[author_es]],autorest[author_es],autorest[nation_es])</f>
        <v>Reino Unido</v>
      </c>
      <c r="N587" t="str">
        <f>_xlfn.XLOOKUP(frasest[[#This Row],[author_es]],autorest[author_es],autorest[nation_la])</f>
        <v>Regnum Unitum</v>
      </c>
      <c r="O587" t="str">
        <f>_xlfn.XLOOKUP(frasest[[#This Row],[author_es]],autorest[author_es],autorest[age_es])</f>
        <v>Edad Contemporánea</v>
      </c>
      <c r="P587" t="str">
        <f>_xlfn.XLOOKUP(frasest[[#This Row],[author_es]],autorest[author_es],autorest[age_la])</f>
        <v>Aetas Contemporanea</v>
      </c>
      <c r="Q587" t="str">
        <f>_xlfn.XLOOKUP(frasest[[#This Row],[author_es]],autorest[author_es],autorest[image])</f>
        <v>https://i.ibb.co/VY2H7VMM/cslewis.png</v>
      </c>
      <c r="R587">
        <f>_xlfn.XLOOKUP(frasest[[#This Row],[author_es]],autorest[author_es],autorest[image_atr])</f>
        <v>0</v>
      </c>
    </row>
    <row r="588" spans="1:18">
      <c r="A588">
        <v>587</v>
      </c>
      <c r="B588" t="s">
        <v>2018</v>
      </c>
      <c r="C588" t="s">
        <v>2019</v>
      </c>
      <c r="D588" t="s">
        <v>2020</v>
      </c>
      <c r="E588" t="s">
        <v>2012</v>
      </c>
      <c r="F588" t="s">
        <v>2021</v>
      </c>
      <c r="G588" t="str">
        <f>_xlfn.XLOOKUP(frasest[[#This Row],[author_es]],autorest[author_es],autorest[author_la])</f>
        <v>Clive Staples Lewis</v>
      </c>
      <c r="H588"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8"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8" t="str">
        <f>_xlfn.XLOOKUP(frasest[[#This Row],[author_es]],autorest[author_es],autorest[iso3691])</f>
        <v>en</v>
      </c>
      <c r="K588" t="str">
        <f>_xlfn.XLOOKUP(frasest[[#This Row],[author_es]],autorest[author_es],autorest[language_es])</f>
        <v>Inglés</v>
      </c>
      <c r="L588" t="str">
        <f>_xlfn.XLOOKUP(frasest[[#This Row],[author_es]],autorest[author_es],autorest[language_la])</f>
        <v>Lingua Anglica</v>
      </c>
      <c r="M588" t="str">
        <f>_xlfn.XLOOKUP(frasest[[#This Row],[author_es]],autorest[author_es],autorest[nation_es])</f>
        <v>Reino Unido</v>
      </c>
      <c r="N588" t="str">
        <f>_xlfn.XLOOKUP(frasest[[#This Row],[author_es]],autorest[author_es],autorest[nation_la])</f>
        <v>Regnum Unitum</v>
      </c>
      <c r="O588" t="str">
        <f>_xlfn.XLOOKUP(frasest[[#This Row],[author_es]],autorest[author_es],autorest[age_es])</f>
        <v>Edad Contemporánea</v>
      </c>
      <c r="P588" t="str">
        <f>_xlfn.XLOOKUP(frasest[[#This Row],[author_es]],autorest[author_es],autorest[age_la])</f>
        <v>Aetas Contemporanea</v>
      </c>
      <c r="Q588" t="str">
        <f>_xlfn.XLOOKUP(frasest[[#This Row],[author_es]],autorest[author_es],autorest[image])</f>
        <v>https://i.ibb.co/VY2H7VMM/cslewis.png</v>
      </c>
      <c r="R588">
        <f>_xlfn.XLOOKUP(frasest[[#This Row],[author_es]],autorest[author_es],autorest[image_atr])</f>
        <v>0</v>
      </c>
    </row>
    <row r="589" spans="1:18">
      <c r="A589">
        <v>588</v>
      </c>
      <c r="B589" t="s">
        <v>2022</v>
      </c>
      <c r="C589" t="s">
        <v>2023</v>
      </c>
      <c r="D589" t="s">
        <v>2024</v>
      </c>
      <c r="E589" t="s">
        <v>2012</v>
      </c>
      <c r="F589" t="s">
        <v>2021</v>
      </c>
      <c r="G589" t="str">
        <f>_xlfn.XLOOKUP(frasest[[#This Row],[author_es]],autorest[author_es],autorest[author_la])</f>
        <v>Clive Staples Lewis</v>
      </c>
      <c r="H589"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89"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89" t="str">
        <f>_xlfn.XLOOKUP(frasest[[#This Row],[author_es]],autorest[author_es],autorest[iso3691])</f>
        <v>en</v>
      </c>
      <c r="K589" t="str">
        <f>_xlfn.XLOOKUP(frasest[[#This Row],[author_es]],autorest[author_es],autorest[language_es])</f>
        <v>Inglés</v>
      </c>
      <c r="L589" t="str">
        <f>_xlfn.XLOOKUP(frasest[[#This Row],[author_es]],autorest[author_es],autorest[language_la])</f>
        <v>Lingua Anglica</v>
      </c>
      <c r="M589" t="str">
        <f>_xlfn.XLOOKUP(frasest[[#This Row],[author_es]],autorest[author_es],autorest[nation_es])</f>
        <v>Reino Unido</v>
      </c>
      <c r="N589" t="str">
        <f>_xlfn.XLOOKUP(frasest[[#This Row],[author_es]],autorest[author_es],autorest[nation_la])</f>
        <v>Regnum Unitum</v>
      </c>
      <c r="O589" t="str">
        <f>_xlfn.XLOOKUP(frasest[[#This Row],[author_es]],autorest[author_es],autorest[age_es])</f>
        <v>Edad Contemporánea</v>
      </c>
      <c r="P589" t="str">
        <f>_xlfn.XLOOKUP(frasest[[#This Row],[author_es]],autorest[author_es],autorest[age_la])</f>
        <v>Aetas Contemporanea</v>
      </c>
      <c r="Q589" t="str">
        <f>_xlfn.XLOOKUP(frasest[[#This Row],[author_es]],autorest[author_es],autorest[image])</f>
        <v>https://i.ibb.co/VY2H7VMM/cslewis.png</v>
      </c>
      <c r="R589">
        <f>_xlfn.XLOOKUP(frasest[[#This Row],[author_es]],autorest[author_es],autorest[image_atr])</f>
        <v>0</v>
      </c>
    </row>
    <row r="590" spans="1:18">
      <c r="A590">
        <v>589</v>
      </c>
      <c r="B590" t="s">
        <v>2025</v>
      </c>
      <c r="C590" t="s">
        <v>2026</v>
      </c>
      <c r="D590" t="s">
        <v>2027</v>
      </c>
      <c r="E590" t="s">
        <v>2012</v>
      </c>
      <c r="F590" t="s">
        <v>2028</v>
      </c>
      <c r="G590" t="str">
        <f>_xlfn.XLOOKUP(frasest[[#This Row],[author_es]],autorest[author_es],autorest[author_la])</f>
        <v>Clive Staples Lewis</v>
      </c>
      <c r="H590"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0"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0" t="str">
        <f>_xlfn.XLOOKUP(frasest[[#This Row],[author_es]],autorest[author_es],autorest[iso3691])</f>
        <v>en</v>
      </c>
      <c r="K590" t="str">
        <f>_xlfn.XLOOKUP(frasest[[#This Row],[author_es]],autorest[author_es],autorest[language_es])</f>
        <v>Inglés</v>
      </c>
      <c r="L590" t="str">
        <f>_xlfn.XLOOKUP(frasest[[#This Row],[author_es]],autorest[author_es],autorest[language_la])</f>
        <v>Lingua Anglica</v>
      </c>
      <c r="M590" t="str">
        <f>_xlfn.XLOOKUP(frasest[[#This Row],[author_es]],autorest[author_es],autorest[nation_es])</f>
        <v>Reino Unido</v>
      </c>
      <c r="N590" t="str">
        <f>_xlfn.XLOOKUP(frasest[[#This Row],[author_es]],autorest[author_es],autorest[nation_la])</f>
        <v>Regnum Unitum</v>
      </c>
      <c r="O590" t="str">
        <f>_xlfn.XLOOKUP(frasest[[#This Row],[author_es]],autorest[author_es],autorest[age_es])</f>
        <v>Edad Contemporánea</v>
      </c>
      <c r="P590" t="str">
        <f>_xlfn.XLOOKUP(frasest[[#This Row],[author_es]],autorest[author_es],autorest[age_la])</f>
        <v>Aetas Contemporanea</v>
      </c>
      <c r="Q590" t="str">
        <f>_xlfn.XLOOKUP(frasest[[#This Row],[author_es]],autorest[author_es],autorest[image])</f>
        <v>https://i.ibb.co/VY2H7VMM/cslewis.png</v>
      </c>
      <c r="R590">
        <f>_xlfn.XLOOKUP(frasest[[#This Row],[author_es]],autorest[author_es],autorest[image_atr])</f>
        <v>0</v>
      </c>
    </row>
    <row r="591" spans="1:18">
      <c r="A591">
        <v>590</v>
      </c>
      <c r="B591" t="s">
        <v>2029</v>
      </c>
      <c r="C591" t="s">
        <v>2030</v>
      </c>
      <c r="D591" t="s">
        <v>2031</v>
      </c>
      <c r="E591" t="s">
        <v>2012</v>
      </c>
      <c r="F591" t="s">
        <v>2032</v>
      </c>
      <c r="G591" t="str">
        <f>_xlfn.XLOOKUP(frasest[[#This Row],[author_es]],autorest[author_es],autorest[author_la])</f>
        <v>Clive Staples Lewis</v>
      </c>
      <c r="H591" t="str">
        <f>_xlfn.XLOOKUP(frasest[[#This Row],[author_es]],autorest[author_es],autorest[bio_es])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I591" t="str">
        <f>_xlfn.XLOOKUP(frasest[[#This Row],[author_es]],autorest[author_es],autorest[bio_la])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J591" t="str">
        <f>_xlfn.XLOOKUP(frasest[[#This Row],[author_es]],autorest[author_es],autorest[iso3691])</f>
        <v>en</v>
      </c>
      <c r="K591" t="str">
        <f>_xlfn.XLOOKUP(frasest[[#This Row],[author_es]],autorest[author_es],autorest[language_es])</f>
        <v>Inglés</v>
      </c>
      <c r="L591" t="str">
        <f>_xlfn.XLOOKUP(frasest[[#This Row],[author_es]],autorest[author_es],autorest[language_la])</f>
        <v>Lingua Anglica</v>
      </c>
      <c r="M591" t="str">
        <f>_xlfn.XLOOKUP(frasest[[#This Row],[author_es]],autorest[author_es],autorest[nation_es])</f>
        <v>Reino Unido</v>
      </c>
      <c r="N591" t="str">
        <f>_xlfn.XLOOKUP(frasest[[#This Row],[author_es]],autorest[author_es],autorest[nation_la])</f>
        <v>Regnum Unitum</v>
      </c>
      <c r="O591" t="str">
        <f>_xlfn.XLOOKUP(frasest[[#This Row],[author_es]],autorest[author_es],autorest[age_es])</f>
        <v>Edad Contemporánea</v>
      </c>
      <c r="P591" t="str">
        <f>_xlfn.XLOOKUP(frasest[[#This Row],[author_es]],autorest[author_es],autorest[age_la])</f>
        <v>Aetas Contemporanea</v>
      </c>
      <c r="Q591" t="str">
        <f>_xlfn.XLOOKUP(frasest[[#This Row],[author_es]],autorest[author_es],autorest[image])</f>
        <v>https://i.ibb.co/VY2H7VMM/cslewis.png</v>
      </c>
      <c r="R591">
        <f>_xlfn.XLOOKUP(frasest[[#This Row],[author_es]],autorest[author_es],autorest[image_atr])</f>
        <v>0</v>
      </c>
    </row>
    <row r="592" spans="1:18">
      <c r="A592">
        <v>591</v>
      </c>
      <c r="B592" t="s">
        <v>2033</v>
      </c>
      <c r="C592" t="s">
        <v>2034</v>
      </c>
      <c r="D592" t="s">
        <v>2033</v>
      </c>
      <c r="E592" t="s">
        <v>2035</v>
      </c>
      <c r="F592" t="s">
        <v>2036</v>
      </c>
      <c r="G592" t="str">
        <f>_xlfn.XLOOKUP(frasest[[#This Row],[author_es]],autorest[author_es],autorest[author_la])</f>
        <v>Gregorius Luri</v>
      </c>
      <c r="H592"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2"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2" t="str">
        <f>_xlfn.XLOOKUP(frasest[[#This Row],[author_es]],autorest[author_es],autorest[iso3691])</f>
        <v>es</v>
      </c>
      <c r="K592" t="str">
        <f>_xlfn.XLOOKUP(frasest[[#This Row],[author_es]],autorest[author_es],autorest[language_es])</f>
        <v>Español</v>
      </c>
      <c r="L592" t="str">
        <f>_xlfn.XLOOKUP(frasest[[#This Row],[author_es]],autorest[author_es],autorest[language_la])</f>
        <v>Lingua Hispanica</v>
      </c>
      <c r="M592" t="str">
        <f>_xlfn.XLOOKUP(frasest[[#This Row],[author_es]],autorest[author_es],autorest[nation_es])</f>
        <v>España</v>
      </c>
      <c r="N592" t="str">
        <f>_xlfn.XLOOKUP(frasest[[#This Row],[author_es]],autorest[author_es],autorest[nation_la])</f>
        <v>Hispania</v>
      </c>
      <c r="O592" t="str">
        <f>_xlfn.XLOOKUP(frasest[[#This Row],[author_es]],autorest[author_es],autorest[age_es])</f>
        <v>Edad Contemporánea</v>
      </c>
      <c r="P592" t="str">
        <f>_xlfn.XLOOKUP(frasest[[#This Row],[author_es]],autorest[author_es],autorest[age_la])</f>
        <v>Aetas Contemporanea</v>
      </c>
      <c r="Q592" t="str">
        <f>_xlfn.XLOOKUP(frasest[[#This Row],[author_es]],autorest[author_es],autorest[image])</f>
        <v>https://i.ibb.co/WvdGWZ6r/gregorioluri.png</v>
      </c>
      <c r="R592">
        <f>_xlfn.XLOOKUP(frasest[[#This Row],[author_es]],autorest[author_es],autorest[image_atr])</f>
        <v>0</v>
      </c>
    </row>
    <row r="593" spans="1:18">
      <c r="A593">
        <v>592</v>
      </c>
      <c r="B593" t="s">
        <v>2037</v>
      </c>
      <c r="C593" t="s">
        <v>2038</v>
      </c>
      <c r="D593" t="s">
        <v>2037</v>
      </c>
      <c r="E593" t="s">
        <v>2035</v>
      </c>
      <c r="F593" t="s">
        <v>2039</v>
      </c>
      <c r="G593" t="str">
        <f>_xlfn.XLOOKUP(frasest[[#This Row],[author_es]],autorest[author_es],autorest[author_la])</f>
        <v>Gregorius Luri</v>
      </c>
      <c r="H593"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3"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3" t="str">
        <f>_xlfn.XLOOKUP(frasest[[#This Row],[author_es]],autorest[author_es],autorest[iso3691])</f>
        <v>es</v>
      </c>
      <c r="K593" t="str">
        <f>_xlfn.XLOOKUP(frasest[[#This Row],[author_es]],autorest[author_es],autorest[language_es])</f>
        <v>Español</v>
      </c>
      <c r="L593" t="str">
        <f>_xlfn.XLOOKUP(frasest[[#This Row],[author_es]],autorest[author_es],autorest[language_la])</f>
        <v>Lingua Hispanica</v>
      </c>
      <c r="M593" t="str">
        <f>_xlfn.XLOOKUP(frasest[[#This Row],[author_es]],autorest[author_es],autorest[nation_es])</f>
        <v>España</v>
      </c>
      <c r="N593" t="str">
        <f>_xlfn.XLOOKUP(frasest[[#This Row],[author_es]],autorest[author_es],autorest[nation_la])</f>
        <v>Hispania</v>
      </c>
      <c r="O593" t="str">
        <f>_xlfn.XLOOKUP(frasest[[#This Row],[author_es]],autorest[author_es],autorest[age_es])</f>
        <v>Edad Contemporánea</v>
      </c>
      <c r="P593" t="str">
        <f>_xlfn.XLOOKUP(frasest[[#This Row],[author_es]],autorest[author_es],autorest[age_la])</f>
        <v>Aetas Contemporanea</v>
      </c>
      <c r="Q593" t="str">
        <f>_xlfn.XLOOKUP(frasest[[#This Row],[author_es]],autorest[author_es],autorest[image])</f>
        <v>https://i.ibb.co/WvdGWZ6r/gregorioluri.png</v>
      </c>
      <c r="R593">
        <f>_xlfn.XLOOKUP(frasest[[#This Row],[author_es]],autorest[author_es],autorest[image_atr])</f>
        <v>0</v>
      </c>
    </row>
    <row r="594" spans="1:18">
      <c r="A594">
        <v>593</v>
      </c>
      <c r="B594" t="s">
        <v>2040</v>
      </c>
      <c r="C594" t="s">
        <v>2041</v>
      </c>
      <c r="D594" t="s">
        <v>2040</v>
      </c>
      <c r="E594" t="s">
        <v>2035</v>
      </c>
      <c r="F594" t="s">
        <v>2042</v>
      </c>
      <c r="G594" t="str">
        <f>_xlfn.XLOOKUP(frasest[[#This Row],[author_es]],autorest[author_es],autorest[author_la])</f>
        <v>Gregorius Luri</v>
      </c>
      <c r="H594"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4"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4" t="str">
        <f>_xlfn.XLOOKUP(frasest[[#This Row],[author_es]],autorest[author_es],autorest[iso3691])</f>
        <v>es</v>
      </c>
      <c r="K594" t="str">
        <f>_xlfn.XLOOKUP(frasest[[#This Row],[author_es]],autorest[author_es],autorest[language_es])</f>
        <v>Español</v>
      </c>
      <c r="L594" t="str">
        <f>_xlfn.XLOOKUP(frasest[[#This Row],[author_es]],autorest[author_es],autorest[language_la])</f>
        <v>Lingua Hispanica</v>
      </c>
      <c r="M594" t="str">
        <f>_xlfn.XLOOKUP(frasest[[#This Row],[author_es]],autorest[author_es],autorest[nation_es])</f>
        <v>España</v>
      </c>
      <c r="N594" t="str">
        <f>_xlfn.XLOOKUP(frasest[[#This Row],[author_es]],autorest[author_es],autorest[nation_la])</f>
        <v>Hispania</v>
      </c>
      <c r="O594" t="str">
        <f>_xlfn.XLOOKUP(frasest[[#This Row],[author_es]],autorest[author_es],autorest[age_es])</f>
        <v>Edad Contemporánea</v>
      </c>
      <c r="P594" t="str">
        <f>_xlfn.XLOOKUP(frasest[[#This Row],[author_es]],autorest[author_es],autorest[age_la])</f>
        <v>Aetas Contemporanea</v>
      </c>
      <c r="Q594" t="str">
        <f>_xlfn.XLOOKUP(frasest[[#This Row],[author_es]],autorest[author_es],autorest[image])</f>
        <v>https://i.ibb.co/WvdGWZ6r/gregorioluri.png</v>
      </c>
      <c r="R594">
        <f>_xlfn.XLOOKUP(frasest[[#This Row],[author_es]],autorest[author_es],autorest[image_atr])</f>
        <v>0</v>
      </c>
    </row>
    <row r="595" spans="1:18">
      <c r="A595">
        <v>594</v>
      </c>
      <c r="B595" t="s">
        <v>2043</v>
      </c>
      <c r="C595" t="s">
        <v>2044</v>
      </c>
      <c r="D595" t="s">
        <v>2043</v>
      </c>
      <c r="E595" t="s">
        <v>2035</v>
      </c>
      <c r="F595" t="s">
        <v>2045</v>
      </c>
      <c r="G595" t="str">
        <f>_xlfn.XLOOKUP(frasest[[#This Row],[author_es]],autorest[author_es],autorest[author_la])</f>
        <v>Gregorius Luri</v>
      </c>
      <c r="H595"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5"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5" t="str">
        <f>_xlfn.XLOOKUP(frasest[[#This Row],[author_es]],autorest[author_es],autorest[iso3691])</f>
        <v>es</v>
      </c>
      <c r="K595" t="str">
        <f>_xlfn.XLOOKUP(frasest[[#This Row],[author_es]],autorest[author_es],autorest[language_es])</f>
        <v>Español</v>
      </c>
      <c r="L595" t="str">
        <f>_xlfn.XLOOKUP(frasest[[#This Row],[author_es]],autorest[author_es],autorest[language_la])</f>
        <v>Lingua Hispanica</v>
      </c>
      <c r="M595" t="str">
        <f>_xlfn.XLOOKUP(frasest[[#This Row],[author_es]],autorest[author_es],autorest[nation_es])</f>
        <v>España</v>
      </c>
      <c r="N595" t="str">
        <f>_xlfn.XLOOKUP(frasest[[#This Row],[author_es]],autorest[author_es],autorest[nation_la])</f>
        <v>Hispania</v>
      </c>
      <c r="O595" t="str">
        <f>_xlfn.XLOOKUP(frasest[[#This Row],[author_es]],autorest[author_es],autorest[age_es])</f>
        <v>Edad Contemporánea</v>
      </c>
      <c r="P595" t="str">
        <f>_xlfn.XLOOKUP(frasest[[#This Row],[author_es]],autorest[author_es],autorest[age_la])</f>
        <v>Aetas Contemporanea</v>
      </c>
      <c r="Q595" t="str">
        <f>_xlfn.XLOOKUP(frasest[[#This Row],[author_es]],autorest[author_es],autorest[image])</f>
        <v>https://i.ibb.co/WvdGWZ6r/gregorioluri.png</v>
      </c>
      <c r="R595">
        <f>_xlfn.XLOOKUP(frasest[[#This Row],[author_es]],autorest[author_es],autorest[image_atr])</f>
        <v>0</v>
      </c>
    </row>
    <row r="596" spans="1:18">
      <c r="A596">
        <v>595</v>
      </c>
      <c r="B596" t="s">
        <v>2046</v>
      </c>
      <c r="C596" t="s">
        <v>2047</v>
      </c>
      <c r="D596" t="s">
        <v>2046</v>
      </c>
      <c r="E596" t="s">
        <v>2035</v>
      </c>
      <c r="F596" t="s">
        <v>2048</v>
      </c>
      <c r="G596" t="str">
        <f>_xlfn.XLOOKUP(frasest[[#This Row],[author_es]],autorest[author_es],autorest[author_la])</f>
        <v>Gregorius Luri</v>
      </c>
      <c r="H596"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6"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6" t="str">
        <f>_xlfn.XLOOKUP(frasest[[#This Row],[author_es]],autorest[author_es],autorest[iso3691])</f>
        <v>es</v>
      </c>
      <c r="K596" t="str">
        <f>_xlfn.XLOOKUP(frasest[[#This Row],[author_es]],autorest[author_es],autorest[language_es])</f>
        <v>Español</v>
      </c>
      <c r="L596" t="str">
        <f>_xlfn.XLOOKUP(frasest[[#This Row],[author_es]],autorest[author_es],autorest[language_la])</f>
        <v>Lingua Hispanica</v>
      </c>
      <c r="M596" t="str">
        <f>_xlfn.XLOOKUP(frasest[[#This Row],[author_es]],autorest[author_es],autorest[nation_es])</f>
        <v>España</v>
      </c>
      <c r="N596" t="str">
        <f>_xlfn.XLOOKUP(frasest[[#This Row],[author_es]],autorest[author_es],autorest[nation_la])</f>
        <v>Hispania</v>
      </c>
      <c r="O596" t="str">
        <f>_xlfn.XLOOKUP(frasest[[#This Row],[author_es]],autorest[author_es],autorest[age_es])</f>
        <v>Edad Contemporánea</v>
      </c>
      <c r="P596" t="str">
        <f>_xlfn.XLOOKUP(frasest[[#This Row],[author_es]],autorest[author_es],autorest[age_la])</f>
        <v>Aetas Contemporanea</v>
      </c>
      <c r="Q596" t="str">
        <f>_xlfn.XLOOKUP(frasest[[#This Row],[author_es]],autorest[author_es],autorest[image])</f>
        <v>https://i.ibb.co/WvdGWZ6r/gregorioluri.png</v>
      </c>
      <c r="R596">
        <f>_xlfn.XLOOKUP(frasest[[#This Row],[author_es]],autorest[author_es],autorest[image_atr])</f>
        <v>0</v>
      </c>
    </row>
    <row r="597" spans="1:18">
      <c r="A597">
        <v>596</v>
      </c>
      <c r="B597" t="s">
        <v>2049</v>
      </c>
      <c r="C597" t="s">
        <v>2050</v>
      </c>
      <c r="D597" t="s">
        <v>2049</v>
      </c>
      <c r="E597" t="s">
        <v>2035</v>
      </c>
      <c r="F597" t="s">
        <v>2051</v>
      </c>
      <c r="G597" t="str">
        <f>_xlfn.XLOOKUP(frasest[[#This Row],[author_es]],autorest[author_es],autorest[author_la])</f>
        <v>Gregorius Luri</v>
      </c>
      <c r="H597" t="str">
        <f>_xlfn.XLOOKUP(frasest[[#This Row],[author_es]],autorest[author_es],autorest[bio_es])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I597" t="str">
        <f>_xlfn.XLOOKUP(frasest[[#This Row],[author_es]],autorest[author_es],autorest[bio_la])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J597" t="str">
        <f>_xlfn.XLOOKUP(frasest[[#This Row],[author_es]],autorest[author_es],autorest[iso3691])</f>
        <v>es</v>
      </c>
      <c r="K597" t="str">
        <f>_xlfn.XLOOKUP(frasest[[#This Row],[author_es]],autorest[author_es],autorest[language_es])</f>
        <v>Español</v>
      </c>
      <c r="L597" t="str">
        <f>_xlfn.XLOOKUP(frasest[[#This Row],[author_es]],autorest[author_es],autorest[language_la])</f>
        <v>Lingua Hispanica</v>
      </c>
      <c r="M597" t="str">
        <f>_xlfn.XLOOKUP(frasest[[#This Row],[author_es]],autorest[author_es],autorest[nation_es])</f>
        <v>España</v>
      </c>
      <c r="N597" t="str">
        <f>_xlfn.XLOOKUP(frasest[[#This Row],[author_es]],autorest[author_es],autorest[nation_la])</f>
        <v>Hispania</v>
      </c>
      <c r="O597" t="str">
        <f>_xlfn.XLOOKUP(frasest[[#This Row],[author_es]],autorest[author_es],autorest[age_es])</f>
        <v>Edad Contemporánea</v>
      </c>
      <c r="P597" t="str">
        <f>_xlfn.XLOOKUP(frasest[[#This Row],[author_es]],autorest[author_es],autorest[age_la])</f>
        <v>Aetas Contemporanea</v>
      </c>
      <c r="Q597" t="str">
        <f>_xlfn.XLOOKUP(frasest[[#This Row],[author_es]],autorest[author_es],autorest[image])</f>
        <v>https://i.ibb.co/WvdGWZ6r/gregorioluri.png</v>
      </c>
      <c r="R597">
        <f>_xlfn.XLOOKUP(frasest[[#This Row],[author_es]],autorest[author_es],autorest[image_atr])</f>
        <v>0</v>
      </c>
    </row>
    <row r="598" spans="1:18">
      <c r="A598">
        <v>597</v>
      </c>
      <c r="B598" t="s">
        <v>2052</v>
      </c>
      <c r="C598" t="s">
        <v>2053</v>
      </c>
      <c r="D598" t="s">
        <v>2054</v>
      </c>
      <c r="E598" t="s">
        <v>2055</v>
      </c>
      <c r="F598" t="s">
        <v>2056</v>
      </c>
      <c r="G598" t="str">
        <f>_xlfn.XLOOKUP(frasest[[#This Row],[author_es]],autorest[author_es],autorest[author_la])</f>
        <v>Ioannes Hattie</v>
      </c>
      <c r="H598"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8"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8" t="str">
        <f>_xlfn.XLOOKUP(frasest[[#This Row],[author_es]],autorest[author_es],autorest[iso3691])</f>
        <v>en</v>
      </c>
      <c r="K598" t="str">
        <f>_xlfn.XLOOKUP(frasest[[#This Row],[author_es]],autorest[author_es],autorest[language_es])</f>
        <v>Inglés</v>
      </c>
      <c r="L598" t="str">
        <f>_xlfn.XLOOKUP(frasest[[#This Row],[author_es]],autorest[author_es],autorest[language_la])</f>
        <v>Lingua Anglica</v>
      </c>
      <c r="M598" t="str">
        <f>_xlfn.XLOOKUP(frasest[[#This Row],[author_es]],autorest[author_es],autorest[nation_es])</f>
        <v>Nueva Zelanda</v>
      </c>
      <c r="N598" t="str">
        <f>_xlfn.XLOOKUP(frasest[[#This Row],[author_es]],autorest[author_es],autorest[nation_la])</f>
        <v>Nova Zelandia</v>
      </c>
      <c r="O598" t="str">
        <f>_xlfn.XLOOKUP(frasest[[#This Row],[author_es]],autorest[author_es],autorest[age_es])</f>
        <v>Edad Contemporánea</v>
      </c>
      <c r="P598" t="str">
        <f>_xlfn.XLOOKUP(frasest[[#This Row],[author_es]],autorest[author_es],autorest[age_la])</f>
        <v>Aetas Contemporanea</v>
      </c>
      <c r="Q598" t="str">
        <f>_xlfn.XLOOKUP(frasest[[#This Row],[author_es]],autorest[author_es],autorest[image])</f>
        <v>https://i.ibb.co/20HTMSQF/johnhattie.png</v>
      </c>
      <c r="R598">
        <f>_xlfn.XLOOKUP(frasest[[#This Row],[author_es]],autorest[author_es],autorest[image_atr])</f>
        <v>0</v>
      </c>
    </row>
    <row r="599" spans="1:18">
      <c r="A599">
        <v>598</v>
      </c>
      <c r="B599" t="s">
        <v>2057</v>
      </c>
      <c r="C599" t="s">
        <v>2058</v>
      </c>
      <c r="D599" t="s">
        <v>2059</v>
      </c>
      <c r="E599" t="s">
        <v>2055</v>
      </c>
      <c r="F599" t="s">
        <v>2056</v>
      </c>
      <c r="G599" t="str">
        <f>_xlfn.XLOOKUP(frasest[[#This Row],[author_es]],autorest[author_es],autorest[author_la])</f>
        <v>Ioannes Hattie</v>
      </c>
      <c r="H599"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599"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599" t="str">
        <f>_xlfn.XLOOKUP(frasest[[#This Row],[author_es]],autorest[author_es],autorest[iso3691])</f>
        <v>en</v>
      </c>
      <c r="K599" t="str">
        <f>_xlfn.XLOOKUP(frasest[[#This Row],[author_es]],autorest[author_es],autorest[language_es])</f>
        <v>Inglés</v>
      </c>
      <c r="L599" t="str">
        <f>_xlfn.XLOOKUP(frasest[[#This Row],[author_es]],autorest[author_es],autorest[language_la])</f>
        <v>Lingua Anglica</v>
      </c>
      <c r="M599" t="str">
        <f>_xlfn.XLOOKUP(frasest[[#This Row],[author_es]],autorest[author_es],autorest[nation_es])</f>
        <v>Nueva Zelanda</v>
      </c>
      <c r="N599" t="str">
        <f>_xlfn.XLOOKUP(frasest[[#This Row],[author_es]],autorest[author_es],autorest[nation_la])</f>
        <v>Nova Zelandia</v>
      </c>
      <c r="O599" t="str">
        <f>_xlfn.XLOOKUP(frasest[[#This Row],[author_es]],autorest[author_es],autorest[age_es])</f>
        <v>Edad Contemporánea</v>
      </c>
      <c r="P599" t="str">
        <f>_xlfn.XLOOKUP(frasest[[#This Row],[author_es]],autorest[author_es],autorest[age_la])</f>
        <v>Aetas Contemporanea</v>
      </c>
      <c r="Q599" t="str">
        <f>_xlfn.XLOOKUP(frasest[[#This Row],[author_es]],autorest[author_es],autorest[image])</f>
        <v>https://i.ibb.co/20HTMSQF/johnhattie.png</v>
      </c>
      <c r="R599">
        <f>_xlfn.XLOOKUP(frasest[[#This Row],[author_es]],autorest[author_es],autorest[image_atr])</f>
        <v>0</v>
      </c>
    </row>
    <row r="600" spans="1:18">
      <c r="A600">
        <v>599</v>
      </c>
      <c r="B600" t="s">
        <v>2060</v>
      </c>
      <c r="C600" t="s">
        <v>2061</v>
      </c>
      <c r="D600" t="s">
        <v>2062</v>
      </c>
      <c r="E600" t="s">
        <v>2055</v>
      </c>
      <c r="F600" t="s">
        <v>2056</v>
      </c>
      <c r="G600" t="str">
        <f>_xlfn.XLOOKUP(frasest[[#This Row],[author_es]],autorest[author_es],autorest[author_la])</f>
        <v>Ioannes Hattie</v>
      </c>
      <c r="H600"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0"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0" t="str">
        <f>_xlfn.XLOOKUP(frasest[[#This Row],[author_es]],autorest[author_es],autorest[iso3691])</f>
        <v>en</v>
      </c>
      <c r="K600" t="str">
        <f>_xlfn.XLOOKUP(frasest[[#This Row],[author_es]],autorest[author_es],autorest[language_es])</f>
        <v>Inglés</v>
      </c>
      <c r="L600" t="str">
        <f>_xlfn.XLOOKUP(frasest[[#This Row],[author_es]],autorest[author_es],autorest[language_la])</f>
        <v>Lingua Anglica</v>
      </c>
      <c r="M600" t="str">
        <f>_xlfn.XLOOKUP(frasest[[#This Row],[author_es]],autorest[author_es],autorest[nation_es])</f>
        <v>Nueva Zelanda</v>
      </c>
      <c r="N600" t="str">
        <f>_xlfn.XLOOKUP(frasest[[#This Row],[author_es]],autorest[author_es],autorest[nation_la])</f>
        <v>Nova Zelandia</v>
      </c>
      <c r="O600" t="str">
        <f>_xlfn.XLOOKUP(frasest[[#This Row],[author_es]],autorest[author_es],autorest[age_es])</f>
        <v>Edad Contemporánea</v>
      </c>
      <c r="P600" t="str">
        <f>_xlfn.XLOOKUP(frasest[[#This Row],[author_es]],autorest[author_es],autorest[age_la])</f>
        <v>Aetas Contemporanea</v>
      </c>
      <c r="Q600" t="str">
        <f>_xlfn.XLOOKUP(frasest[[#This Row],[author_es]],autorest[author_es],autorest[image])</f>
        <v>https://i.ibb.co/20HTMSQF/johnhattie.png</v>
      </c>
      <c r="R600">
        <f>_xlfn.XLOOKUP(frasest[[#This Row],[author_es]],autorest[author_es],autorest[image_atr])</f>
        <v>0</v>
      </c>
    </row>
    <row r="601" spans="1:18">
      <c r="A601">
        <v>600</v>
      </c>
      <c r="B601" t="s">
        <v>2063</v>
      </c>
      <c r="C601" t="s">
        <v>2064</v>
      </c>
      <c r="D601" t="s">
        <v>2065</v>
      </c>
      <c r="E601" t="s">
        <v>2055</v>
      </c>
      <c r="F601" t="s">
        <v>2066</v>
      </c>
      <c r="G601" t="str">
        <f>_xlfn.XLOOKUP(frasest[[#This Row],[author_es]],autorest[author_es],autorest[author_la])</f>
        <v>Ioannes Hattie</v>
      </c>
      <c r="H601"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1"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1" t="str">
        <f>_xlfn.XLOOKUP(frasest[[#This Row],[author_es]],autorest[author_es],autorest[iso3691])</f>
        <v>en</v>
      </c>
      <c r="K601" t="str">
        <f>_xlfn.XLOOKUP(frasest[[#This Row],[author_es]],autorest[author_es],autorest[language_es])</f>
        <v>Inglés</v>
      </c>
      <c r="L601" t="str">
        <f>_xlfn.XLOOKUP(frasest[[#This Row],[author_es]],autorest[author_es],autorest[language_la])</f>
        <v>Lingua Anglica</v>
      </c>
      <c r="M601" t="str">
        <f>_xlfn.XLOOKUP(frasest[[#This Row],[author_es]],autorest[author_es],autorest[nation_es])</f>
        <v>Nueva Zelanda</v>
      </c>
      <c r="N601" t="str">
        <f>_xlfn.XLOOKUP(frasest[[#This Row],[author_es]],autorest[author_es],autorest[nation_la])</f>
        <v>Nova Zelandia</v>
      </c>
      <c r="O601" t="str">
        <f>_xlfn.XLOOKUP(frasest[[#This Row],[author_es]],autorest[author_es],autorest[age_es])</f>
        <v>Edad Contemporánea</v>
      </c>
      <c r="P601" t="str">
        <f>_xlfn.XLOOKUP(frasest[[#This Row],[author_es]],autorest[author_es],autorest[age_la])</f>
        <v>Aetas Contemporanea</v>
      </c>
      <c r="Q601" t="str">
        <f>_xlfn.XLOOKUP(frasest[[#This Row],[author_es]],autorest[author_es],autorest[image])</f>
        <v>https://i.ibb.co/20HTMSQF/johnhattie.png</v>
      </c>
      <c r="R601">
        <f>_xlfn.XLOOKUP(frasest[[#This Row],[author_es]],autorest[author_es],autorest[image_atr])</f>
        <v>0</v>
      </c>
    </row>
    <row r="602" spans="1:18">
      <c r="A602">
        <v>601</v>
      </c>
      <c r="B602" t="s">
        <v>2067</v>
      </c>
      <c r="C602" t="s">
        <v>2068</v>
      </c>
      <c r="D602" t="s">
        <v>2069</v>
      </c>
      <c r="E602" t="s">
        <v>2055</v>
      </c>
      <c r="F602" t="s">
        <v>2056</v>
      </c>
      <c r="G602" t="str">
        <f>_xlfn.XLOOKUP(frasest[[#This Row],[author_es]],autorest[author_es],autorest[author_la])</f>
        <v>Ioannes Hattie</v>
      </c>
      <c r="H602"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2"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2" t="str">
        <f>_xlfn.XLOOKUP(frasest[[#This Row],[author_es]],autorest[author_es],autorest[iso3691])</f>
        <v>en</v>
      </c>
      <c r="K602" t="str">
        <f>_xlfn.XLOOKUP(frasest[[#This Row],[author_es]],autorest[author_es],autorest[language_es])</f>
        <v>Inglés</v>
      </c>
      <c r="L602" t="str">
        <f>_xlfn.XLOOKUP(frasest[[#This Row],[author_es]],autorest[author_es],autorest[language_la])</f>
        <v>Lingua Anglica</v>
      </c>
      <c r="M602" t="str">
        <f>_xlfn.XLOOKUP(frasest[[#This Row],[author_es]],autorest[author_es],autorest[nation_es])</f>
        <v>Nueva Zelanda</v>
      </c>
      <c r="N602" t="str">
        <f>_xlfn.XLOOKUP(frasest[[#This Row],[author_es]],autorest[author_es],autorest[nation_la])</f>
        <v>Nova Zelandia</v>
      </c>
      <c r="O602" t="str">
        <f>_xlfn.XLOOKUP(frasest[[#This Row],[author_es]],autorest[author_es],autorest[age_es])</f>
        <v>Edad Contemporánea</v>
      </c>
      <c r="P602" t="str">
        <f>_xlfn.XLOOKUP(frasest[[#This Row],[author_es]],autorest[author_es],autorest[age_la])</f>
        <v>Aetas Contemporanea</v>
      </c>
      <c r="Q602" t="str">
        <f>_xlfn.XLOOKUP(frasest[[#This Row],[author_es]],autorest[author_es],autorest[image])</f>
        <v>https://i.ibb.co/20HTMSQF/johnhattie.png</v>
      </c>
      <c r="R602">
        <f>_xlfn.XLOOKUP(frasest[[#This Row],[author_es]],autorest[author_es],autorest[image_atr])</f>
        <v>0</v>
      </c>
    </row>
    <row r="603" spans="1:18">
      <c r="A603">
        <v>602</v>
      </c>
      <c r="B603" t="s">
        <v>2070</v>
      </c>
      <c r="C603" t="s">
        <v>2071</v>
      </c>
      <c r="D603" t="s">
        <v>2072</v>
      </c>
      <c r="E603" t="s">
        <v>2055</v>
      </c>
      <c r="F603" t="s">
        <v>2073</v>
      </c>
      <c r="G603" t="str">
        <f>_xlfn.XLOOKUP(frasest[[#This Row],[author_es]],autorest[author_es],autorest[author_la])</f>
        <v>Ioannes Hattie</v>
      </c>
      <c r="H603" t="str">
        <f>_xlfn.XLOOKUP(frasest[[#This Row],[author_es]],autorest[author_es],autorest[bio_es])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I603" t="str">
        <f>_xlfn.XLOOKUP(frasest[[#This Row],[author_es]],autorest[author_es],autorest[bio_la])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J603" t="str">
        <f>_xlfn.XLOOKUP(frasest[[#This Row],[author_es]],autorest[author_es],autorest[iso3691])</f>
        <v>en</v>
      </c>
      <c r="K603" t="str">
        <f>_xlfn.XLOOKUP(frasest[[#This Row],[author_es]],autorest[author_es],autorest[language_es])</f>
        <v>Inglés</v>
      </c>
      <c r="L603" t="str">
        <f>_xlfn.XLOOKUP(frasest[[#This Row],[author_es]],autorest[author_es],autorest[language_la])</f>
        <v>Lingua Anglica</v>
      </c>
      <c r="M603" t="str">
        <f>_xlfn.XLOOKUP(frasest[[#This Row],[author_es]],autorest[author_es],autorest[nation_es])</f>
        <v>Nueva Zelanda</v>
      </c>
      <c r="N603" t="str">
        <f>_xlfn.XLOOKUP(frasest[[#This Row],[author_es]],autorest[author_es],autorest[nation_la])</f>
        <v>Nova Zelandia</v>
      </c>
      <c r="O603" t="str">
        <f>_xlfn.XLOOKUP(frasest[[#This Row],[author_es]],autorest[author_es],autorest[age_es])</f>
        <v>Edad Contemporánea</v>
      </c>
      <c r="P603" t="str">
        <f>_xlfn.XLOOKUP(frasest[[#This Row],[author_es]],autorest[author_es],autorest[age_la])</f>
        <v>Aetas Contemporanea</v>
      </c>
      <c r="Q603" t="str">
        <f>_xlfn.XLOOKUP(frasest[[#This Row],[author_es]],autorest[author_es],autorest[image])</f>
        <v>https://i.ibb.co/20HTMSQF/johnhattie.png</v>
      </c>
      <c r="R603">
        <f>_xlfn.XLOOKUP(frasest[[#This Row],[author_es]],autorest[author_es],autorest[image_atr])</f>
        <v>0</v>
      </c>
    </row>
    <row r="604" spans="1:18">
      <c r="A604">
        <v>603</v>
      </c>
      <c r="B604" t="s">
        <v>2074</v>
      </c>
      <c r="C604" t="s">
        <v>2075</v>
      </c>
      <c r="D604" t="s">
        <v>2076</v>
      </c>
      <c r="E604" t="s">
        <v>2077</v>
      </c>
      <c r="F604" t="s">
        <v>2078</v>
      </c>
      <c r="G604" t="str">
        <f>_xlfn.XLOOKUP(frasest[[#This Row],[author_es]],autorest[author_es],autorest[author_la])</f>
        <v>Ioannes Locke</v>
      </c>
      <c r="H604"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4"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4" t="str">
        <f>_xlfn.XLOOKUP(frasest[[#This Row],[author_es]],autorest[author_es],autorest[iso3691])</f>
        <v>en</v>
      </c>
      <c r="K604" t="str">
        <f>_xlfn.XLOOKUP(frasest[[#This Row],[author_es]],autorest[author_es],autorest[language_es])</f>
        <v>Inglés</v>
      </c>
      <c r="L604" t="str">
        <f>_xlfn.XLOOKUP(frasest[[#This Row],[author_es]],autorest[author_es],autorest[language_la])</f>
        <v>Lingua Anglica</v>
      </c>
      <c r="M604" t="str">
        <f>_xlfn.XLOOKUP(frasest[[#This Row],[author_es]],autorest[author_es],autorest[nation_es])</f>
        <v>Reino Unido</v>
      </c>
      <c r="N604" t="str">
        <f>_xlfn.XLOOKUP(frasest[[#This Row],[author_es]],autorest[author_es],autorest[nation_la])</f>
        <v>Regnum Unitum</v>
      </c>
      <c r="O604" t="str">
        <f>_xlfn.XLOOKUP(frasest[[#This Row],[author_es]],autorest[author_es],autorest[age_es])</f>
        <v>Edad Moderna</v>
      </c>
      <c r="P604" t="str">
        <f>_xlfn.XLOOKUP(frasest[[#This Row],[author_es]],autorest[author_es],autorest[age_la])</f>
        <v>Nova Aetas</v>
      </c>
      <c r="Q604" t="str">
        <f>_xlfn.XLOOKUP(frasest[[#This Row],[author_es]],autorest[author_es],autorest[image])</f>
        <v>https://i.ibb.co/9HRt5j9n/johnlocke.png</v>
      </c>
      <c r="R604">
        <f>_xlfn.XLOOKUP(frasest[[#This Row],[author_es]],autorest[author_es],autorest[image_atr])</f>
        <v>0</v>
      </c>
    </row>
    <row r="605" spans="1:18">
      <c r="A605">
        <v>604</v>
      </c>
      <c r="B605" t="s">
        <v>2079</v>
      </c>
      <c r="C605" t="s">
        <v>2080</v>
      </c>
      <c r="D605" t="s">
        <v>2081</v>
      </c>
      <c r="E605" t="s">
        <v>2077</v>
      </c>
      <c r="F605" t="s">
        <v>2082</v>
      </c>
      <c r="G605" t="str">
        <f>_xlfn.XLOOKUP(frasest[[#This Row],[author_es]],autorest[author_es],autorest[author_la])</f>
        <v>Ioannes Locke</v>
      </c>
      <c r="H605"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5"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5" t="str">
        <f>_xlfn.XLOOKUP(frasest[[#This Row],[author_es]],autorest[author_es],autorest[iso3691])</f>
        <v>en</v>
      </c>
      <c r="K605" t="str">
        <f>_xlfn.XLOOKUP(frasest[[#This Row],[author_es]],autorest[author_es],autorest[language_es])</f>
        <v>Inglés</v>
      </c>
      <c r="L605" t="str">
        <f>_xlfn.XLOOKUP(frasest[[#This Row],[author_es]],autorest[author_es],autorest[language_la])</f>
        <v>Lingua Anglica</v>
      </c>
      <c r="M605" t="str">
        <f>_xlfn.XLOOKUP(frasest[[#This Row],[author_es]],autorest[author_es],autorest[nation_es])</f>
        <v>Reino Unido</v>
      </c>
      <c r="N605" t="str">
        <f>_xlfn.XLOOKUP(frasest[[#This Row],[author_es]],autorest[author_es],autorest[nation_la])</f>
        <v>Regnum Unitum</v>
      </c>
      <c r="O605" t="str">
        <f>_xlfn.XLOOKUP(frasest[[#This Row],[author_es]],autorest[author_es],autorest[age_es])</f>
        <v>Edad Moderna</v>
      </c>
      <c r="P605" t="str">
        <f>_xlfn.XLOOKUP(frasest[[#This Row],[author_es]],autorest[author_es],autorest[age_la])</f>
        <v>Nova Aetas</v>
      </c>
      <c r="Q605" t="str">
        <f>_xlfn.XLOOKUP(frasest[[#This Row],[author_es]],autorest[author_es],autorest[image])</f>
        <v>https://i.ibb.co/9HRt5j9n/johnlocke.png</v>
      </c>
      <c r="R605">
        <f>_xlfn.XLOOKUP(frasest[[#This Row],[author_es]],autorest[author_es],autorest[image_atr])</f>
        <v>0</v>
      </c>
    </row>
    <row r="606" spans="1:18">
      <c r="A606">
        <v>605</v>
      </c>
      <c r="B606" t="s">
        <v>2083</v>
      </c>
      <c r="C606" t="s">
        <v>597</v>
      </c>
      <c r="D606" t="s">
        <v>2084</v>
      </c>
      <c r="E606" t="s">
        <v>2077</v>
      </c>
      <c r="F606" t="s">
        <v>2085</v>
      </c>
      <c r="G606" t="str">
        <f>_xlfn.XLOOKUP(frasest[[#This Row],[author_es]],autorest[author_es],autorest[author_la])</f>
        <v>Ioannes Locke</v>
      </c>
      <c r="H606"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6"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6" t="str">
        <f>_xlfn.XLOOKUP(frasest[[#This Row],[author_es]],autorest[author_es],autorest[iso3691])</f>
        <v>en</v>
      </c>
      <c r="K606" t="str">
        <f>_xlfn.XLOOKUP(frasest[[#This Row],[author_es]],autorest[author_es],autorest[language_es])</f>
        <v>Inglés</v>
      </c>
      <c r="L606" t="str">
        <f>_xlfn.XLOOKUP(frasest[[#This Row],[author_es]],autorest[author_es],autorest[language_la])</f>
        <v>Lingua Anglica</v>
      </c>
      <c r="M606" t="str">
        <f>_xlfn.XLOOKUP(frasest[[#This Row],[author_es]],autorest[author_es],autorest[nation_es])</f>
        <v>Reino Unido</v>
      </c>
      <c r="N606" t="str">
        <f>_xlfn.XLOOKUP(frasest[[#This Row],[author_es]],autorest[author_es],autorest[nation_la])</f>
        <v>Regnum Unitum</v>
      </c>
      <c r="O606" t="str">
        <f>_xlfn.XLOOKUP(frasest[[#This Row],[author_es]],autorest[author_es],autorest[age_es])</f>
        <v>Edad Moderna</v>
      </c>
      <c r="P606" t="str">
        <f>_xlfn.XLOOKUP(frasest[[#This Row],[author_es]],autorest[author_es],autorest[age_la])</f>
        <v>Nova Aetas</v>
      </c>
      <c r="Q606" t="str">
        <f>_xlfn.XLOOKUP(frasest[[#This Row],[author_es]],autorest[author_es],autorest[image])</f>
        <v>https://i.ibb.co/9HRt5j9n/johnlocke.png</v>
      </c>
      <c r="R606">
        <f>_xlfn.XLOOKUP(frasest[[#This Row],[author_es]],autorest[author_es],autorest[image_atr])</f>
        <v>0</v>
      </c>
    </row>
    <row r="607" spans="1:18">
      <c r="A607">
        <v>606</v>
      </c>
      <c r="B607" t="s">
        <v>2086</v>
      </c>
      <c r="C607" t="s">
        <v>2087</v>
      </c>
      <c r="D607" t="s">
        <v>2088</v>
      </c>
      <c r="E607" t="s">
        <v>2077</v>
      </c>
      <c r="F607" t="s">
        <v>2089</v>
      </c>
      <c r="G607" t="str">
        <f>_xlfn.XLOOKUP(frasest[[#This Row],[author_es]],autorest[author_es],autorest[author_la])</f>
        <v>Ioannes Locke</v>
      </c>
      <c r="H607"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7"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7" t="str">
        <f>_xlfn.XLOOKUP(frasest[[#This Row],[author_es]],autorest[author_es],autorest[iso3691])</f>
        <v>en</v>
      </c>
      <c r="K607" t="str">
        <f>_xlfn.XLOOKUP(frasest[[#This Row],[author_es]],autorest[author_es],autorest[language_es])</f>
        <v>Inglés</v>
      </c>
      <c r="L607" t="str">
        <f>_xlfn.XLOOKUP(frasest[[#This Row],[author_es]],autorest[author_es],autorest[language_la])</f>
        <v>Lingua Anglica</v>
      </c>
      <c r="M607" t="str">
        <f>_xlfn.XLOOKUP(frasest[[#This Row],[author_es]],autorest[author_es],autorest[nation_es])</f>
        <v>Reino Unido</v>
      </c>
      <c r="N607" t="str">
        <f>_xlfn.XLOOKUP(frasest[[#This Row],[author_es]],autorest[author_es],autorest[nation_la])</f>
        <v>Regnum Unitum</v>
      </c>
      <c r="O607" t="str">
        <f>_xlfn.XLOOKUP(frasest[[#This Row],[author_es]],autorest[author_es],autorest[age_es])</f>
        <v>Edad Moderna</v>
      </c>
      <c r="P607" t="str">
        <f>_xlfn.XLOOKUP(frasest[[#This Row],[author_es]],autorest[author_es],autorest[age_la])</f>
        <v>Nova Aetas</v>
      </c>
      <c r="Q607" t="str">
        <f>_xlfn.XLOOKUP(frasest[[#This Row],[author_es]],autorest[author_es],autorest[image])</f>
        <v>https://i.ibb.co/9HRt5j9n/johnlocke.png</v>
      </c>
      <c r="R607">
        <f>_xlfn.XLOOKUP(frasest[[#This Row],[author_es]],autorest[author_es],autorest[image_atr])</f>
        <v>0</v>
      </c>
    </row>
    <row r="608" spans="1:18">
      <c r="A608">
        <v>607</v>
      </c>
      <c r="B608" t="s">
        <v>2090</v>
      </c>
      <c r="C608" t="s">
        <v>2091</v>
      </c>
      <c r="D608" t="s">
        <v>2092</v>
      </c>
      <c r="E608" t="s">
        <v>2077</v>
      </c>
      <c r="F608" t="s">
        <v>2093</v>
      </c>
      <c r="G608" t="str">
        <f>_xlfn.XLOOKUP(frasest[[#This Row],[author_es]],autorest[author_es],autorest[author_la])</f>
        <v>Ioannes Locke</v>
      </c>
      <c r="H608"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8"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8" t="str">
        <f>_xlfn.XLOOKUP(frasest[[#This Row],[author_es]],autorest[author_es],autorest[iso3691])</f>
        <v>en</v>
      </c>
      <c r="K608" t="str">
        <f>_xlfn.XLOOKUP(frasest[[#This Row],[author_es]],autorest[author_es],autorest[language_es])</f>
        <v>Inglés</v>
      </c>
      <c r="L608" t="str">
        <f>_xlfn.XLOOKUP(frasest[[#This Row],[author_es]],autorest[author_es],autorest[language_la])</f>
        <v>Lingua Anglica</v>
      </c>
      <c r="M608" t="str">
        <f>_xlfn.XLOOKUP(frasest[[#This Row],[author_es]],autorest[author_es],autorest[nation_es])</f>
        <v>Reino Unido</v>
      </c>
      <c r="N608" t="str">
        <f>_xlfn.XLOOKUP(frasest[[#This Row],[author_es]],autorest[author_es],autorest[nation_la])</f>
        <v>Regnum Unitum</v>
      </c>
      <c r="O608" t="str">
        <f>_xlfn.XLOOKUP(frasest[[#This Row],[author_es]],autorest[author_es],autorest[age_es])</f>
        <v>Edad Moderna</v>
      </c>
      <c r="P608" t="str">
        <f>_xlfn.XLOOKUP(frasest[[#This Row],[author_es]],autorest[author_es],autorest[age_la])</f>
        <v>Nova Aetas</v>
      </c>
      <c r="Q608" t="str">
        <f>_xlfn.XLOOKUP(frasest[[#This Row],[author_es]],autorest[author_es],autorest[image])</f>
        <v>https://i.ibb.co/9HRt5j9n/johnlocke.png</v>
      </c>
      <c r="R608">
        <f>_xlfn.XLOOKUP(frasest[[#This Row],[author_es]],autorest[author_es],autorest[image_atr])</f>
        <v>0</v>
      </c>
    </row>
    <row r="609" spans="1:18">
      <c r="A609">
        <v>608</v>
      </c>
      <c r="B609" t="s">
        <v>2094</v>
      </c>
      <c r="C609" t="s">
        <v>2095</v>
      </c>
      <c r="D609" t="s">
        <v>2096</v>
      </c>
      <c r="E609" t="s">
        <v>2077</v>
      </c>
      <c r="F609" t="s">
        <v>2097</v>
      </c>
      <c r="G609" t="str">
        <f>_xlfn.XLOOKUP(frasest[[#This Row],[author_es]],autorest[author_es],autorest[author_la])</f>
        <v>Ioannes Locke</v>
      </c>
      <c r="H609" t="str">
        <f>_xlfn.XLOOKUP(frasest[[#This Row],[author_es]],autorest[author_es],autorest[bio_es])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I609" t="str">
        <f>_xlfn.XLOOKUP(frasest[[#This Row],[author_es]],autorest[author_es],autorest[bio_la])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J609" t="str">
        <f>_xlfn.XLOOKUP(frasest[[#This Row],[author_es]],autorest[author_es],autorest[iso3691])</f>
        <v>en</v>
      </c>
      <c r="K609" t="str">
        <f>_xlfn.XLOOKUP(frasest[[#This Row],[author_es]],autorest[author_es],autorest[language_es])</f>
        <v>Inglés</v>
      </c>
      <c r="L609" t="str">
        <f>_xlfn.XLOOKUP(frasest[[#This Row],[author_es]],autorest[author_es],autorest[language_la])</f>
        <v>Lingua Anglica</v>
      </c>
      <c r="M609" t="str">
        <f>_xlfn.XLOOKUP(frasest[[#This Row],[author_es]],autorest[author_es],autorest[nation_es])</f>
        <v>Reino Unido</v>
      </c>
      <c r="N609" t="str">
        <f>_xlfn.XLOOKUP(frasest[[#This Row],[author_es]],autorest[author_es],autorest[nation_la])</f>
        <v>Regnum Unitum</v>
      </c>
      <c r="O609" t="str">
        <f>_xlfn.XLOOKUP(frasest[[#This Row],[author_es]],autorest[author_es],autorest[age_es])</f>
        <v>Edad Moderna</v>
      </c>
      <c r="P609" t="str">
        <f>_xlfn.XLOOKUP(frasest[[#This Row],[author_es]],autorest[author_es],autorest[age_la])</f>
        <v>Nova Aetas</v>
      </c>
      <c r="Q609" t="str">
        <f>_xlfn.XLOOKUP(frasest[[#This Row],[author_es]],autorest[author_es],autorest[image])</f>
        <v>https://i.ibb.co/9HRt5j9n/johnlocke.png</v>
      </c>
      <c r="R609">
        <f>_xlfn.XLOOKUP(frasest[[#This Row],[author_es]],autorest[author_es],autorest[image_atr])</f>
        <v>0</v>
      </c>
    </row>
    <row r="610" spans="1:18">
      <c r="A610">
        <v>609</v>
      </c>
      <c r="B610" t="s">
        <v>2098</v>
      </c>
      <c r="C610" t="s">
        <v>2099</v>
      </c>
      <c r="D610" t="s">
        <v>2100</v>
      </c>
      <c r="E610" t="s">
        <v>2101</v>
      </c>
      <c r="F610" t="s">
        <v>2102</v>
      </c>
      <c r="G610" t="str">
        <f>_xlfn.XLOOKUP(frasest[[#This Row],[author_es]],autorest[author_es],autorest[author_la])</f>
        <v>Rabindranath Tagore</v>
      </c>
      <c r="H610"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0"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0" t="str">
        <f>_xlfn.XLOOKUP(frasest[[#This Row],[author_es]],autorest[author_es],autorest[iso3691])</f>
        <v>bn</v>
      </c>
      <c r="K610" t="str">
        <f>_xlfn.XLOOKUP(frasest[[#This Row],[author_es]],autorest[author_es],autorest[language_es])</f>
        <v>Bengalí</v>
      </c>
      <c r="L610" t="str">
        <f>_xlfn.XLOOKUP(frasest[[#This Row],[author_es]],autorest[author_es],autorest[language_la])</f>
        <v>Lingua Bengalice</v>
      </c>
      <c r="M610" t="str">
        <f>_xlfn.XLOOKUP(frasest[[#This Row],[author_es]],autorest[author_es],autorest[nation_es])</f>
        <v>India</v>
      </c>
      <c r="N610" t="str">
        <f>_xlfn.XLOOKUP(frasest[[#This Row],[author_es]],autorest[author_es],autorest[nation_la])</f>
        <v>India</v>
      </c>
      <c r="O610" t="str">
        <f>_xlfn.XLOOKUP(frasest[[#This Row],[author_es]],autorest[author_es],autorest[age_es])</f>
        <v>Edad Contemporánea</v>
      </c>
      <c r="P610" t="str">
        <f>_xlfn.XLOOKUP(frasest[[#This Row],[author_es]],autorest[author_es],autorest[age_la])</f>
        <v>Aetas Contemporanea</v>
      </c>
      <c r="Q610" t="str">
        <f>_xlfn.XLOOKUP(frasest[[#This Row],[author_es]],autorest[author_es],autorest[image])</f>
        <v>https://i.ibb.co/kgbszCVd/tagore.png</v>
      </c>
      <c r="R610">
        <f>_xlfn.XLOOKUP(frasest[[#This Row],[author_es]],autorest[author_es],autorest[image_atr])</f>
        <v>0</v>
      </c>
    </row>
    <row r="611" spans="1:18">
      <c r="A611">
        <v>610</v>
      </c>
      <c r="B611" t="s">
        <v>2103</v>
      </c>
      <c r="C611" t="s">
        <v>2104</v>
      </c>
      <c r="D611" t="s">
        <v>2105</v>
      </c>
      <c r="E611" t="s">
        <v>2101</v>
      </c>
      <c r="F611" t="s">
        <v>2106</v>
      </c>
      <c r="G611" t="str">
        <f>_xlfn.XLOOKUP(frasest[[#This Row],[author_es]],autorest[author_es],autorest[author_la])</f>
        <v>Rabindranath Tagore</v>
      </c>
      <c r="H611"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1"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1" t="str">
        <f>_xlfn.XLOOKUP(frasest[[#This Row],[author_es]],autorest[author_es],autorest[iso3691])</f>
        <v>bn</v>
      </c>
      <c r="K611" t="str">
        <f>_xlfn.XLOOKUP(frasest[[#This Row],[author_es]],autorest[author_es],autorest[language_es])</f>
        <v>Bengalí</v>
      </c>
      <c r="L611" t="str">
        <f>_xlfn.XLOOKUP(frasest[[#This Row],[author_es]],autorest[author_es],autorest[language_la])</f>
        <v>Lingua Bengalice</v>
      </c>
      <c r="M611" t="str">
        <f>_xlfn.XLOOKUP(frasest[[#This Row],[author_es]],autorest[author_es],autorest[nation_es])</f>
        <v>India</v>
      </c>
      <c r="N611" t="str">
        <f>_xlfn.XLOOKUP(frasest[[#This Row],[author_es]],autorest[author_es],autorest[nation_la])</f>
        <v>India</v>
      </c>
      <c r="O611" t="str">
        <f>_xlfn.XLOOKUP(frasest[[#This Row],[author_es]],autorest[author_es],autorest[age_es])</f>
        <v>Edad Contemporánea</v>
      </c>
      <c r="P611" t="str">
        <f>_xlfn.XLOOKUP(frasest[[#This Row],[author_es]],autorest[author_es],autorest[age_la])</f>
        <v>Aetas Contemporanea</v>
      </c>
      <c r="Q611" t="str">
        <f>_xlfn.XLOOKUP(frasest[[#This Row],[author_es]],autorest[author_es],autorest[image])</f>
        <v>https://i.ibb.co/kgbszCVd/tagore.png</v>
      </c>
      <c r="R611">
        <f>_xlfn.XLOOKUP(frasest[[#This Row],[author_es]],autorest[author_es],autorest[image_atr])</f>
        <v>0</v>
      </c>
    </row>
    <row r="612" spans="1:18">
      <c r="A612">
        <v>611</v>
      </c>
      <c r="B612" t="s">
        <v>2107</v>
      </c>
      <c r="C612" t="s">
        <v>2108</v>
      </c>
      <c r="D612" t="s">
        <v>2109</v>
      </c>
      <c r="E612" t="s">
        <v>2101</v>
      </c>
      <c r="F612" t="s">
        <v>2110</v>
      </c>
      <c r="G612" t="str">
        <f>_xlfn.XLOOKUP(frasest[[#This Row],[author_es]],autorest[author_es],autorest[author_la])</f>
        <v>Rabindranath Tagore</v>
      </c>
      <c r="H612"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2"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2" t="str">
        <f>_xlfn.XLOOKUP(frasest[[#This Row],[author_es]],autorest[author_es],autorest[iso3691])</f>
        <v>bn</v>
      </c>
      <c r="K612" t="str">
        <f>_xlfn.XLOOKUP(frasest[[#This Row],[author_es]],autorest[author_es],autorest[language_es])</f>
        <v>Bengalí</v>
      </c>
      <c r="L612" t="str">
        <f>_xlfn.XLOOKUP(frasest[[#This Row],[author_es]],autorest[author_es],autorest[language_la])</f>
        <v>Lingua Bengalice</v>
      </c>
      <c r="M612" t="str">
        <f>_xlfn.XLOOKUP(frasest[[#This Row],[author_es]],autorest[author_es],autorest[nation_es])</f>
        <v>India</v>
      </c>
      <c r="N612" t="str">
        <f>_xlfn.XLOOKUP(frasest[[#This Row],[author_es]],autorest[author_es],autorest[nation_la])</f>
        <v>India</v>
      </c>
      <c r="O612" t="str">
        <f>_xlfn.XLOOKUP(frasest[[#This Row],[author_es]],autorest[author_es],autorest[age_es])</f>
        <v>Edad Contemporánea</v>
      </c>
      <c r="P612" t="str">
        <f>_xlfn.XLOOKUP(frasest[[#This Row],[author_es]],autorest[author_es],autorest[age_la])</f>
        <v>Aetas Contemporanea</v>
      </c>
      <c r="Q612" t="str">
        <f>_xlfn.XLOOKUP(frasest[[#This Row],[author_es]],autorest[author_es],autorest[image])</f>
        <v>https://i.ibb.co/kgbszCVd/tagore.png</v>
      </c>
      <c r="R612">
        <f>_xlfn.XLOOKUP(frasest[[#This Row],[author_es]],autorest[author_es],autorest[image_atr])</f>
        <v>0</v>
      </c>
    </row>
    <row r="613" spans="1:18">
      <c r="A613">
        <v>612</v>
      </c>
      <c r="B613" t="s">
        <v>2111</v>
      </c>
      <c r="C613" t="s">
        <v>2112</v>
      </c>
      <c r="D613" t="s">
        <v>2113</v>
      </c>
      <c r="E613" t="s">
        <v>2101</v>
      </c>
      <c r="F613" t="s">
        <v>2114</v>
      </c>
      <c r="G613" t="str">
        <f>_xlfn.XLOOKUP(frasest[[#This Row],[author_es]],autorest[author_es],autorest[author_la])</f>
        <v>Rabindranath Tagore</v>
      </c>
      <c r="H613"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3"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3" t="str">
        <f>_xlfn.XLOOKUP(frasest[[#This Row],[author_es]],autorest[author_es],autorest[iso3691])</f>
        <v>bn</v>
      </c>
      <c r="K613" t="str">
        <f>_xlfn.XLOOKUP(frasest[[#This Row],[author_es]],autorest[author_es],autorest[language_es])</f>
        <v>Bengalí</v>
      </c>
      <c r="L613" t="str">
        <f>_xlfn.XLOOKUP(frasest[[#This Row],[author_es]],autorest[author_es],autorest[language_la])</f>
        <v>Lingua Bengalice</v>
      </c>
      <c r="M613" t="str">
        <f>_xlfn.XLOOKUP(frasest[[#This Row],[author_es]],autorest[author_es],autorest[nation_es])</f>
        <v>India</v>
      </c>
      <c r="N613" t="str">
        <f>_xlfn.XLOOKUP(frasest[[#This Row],[author_es]],autorest[author_es],autorest[nation_la])</f>
        <v>India</v>
      </c>
      <c r="O613" t="str">
        <f>_xlfn.XLOOKUP(frasest[[#This Row],[author_es]],autorest[author_es],autorest[age_es])</f>
        <v>Edad Contemporánea</v>
      </c>
      <c r="P613" t="str">
        <f>_xlfn.XLOOKUP(frasest[[#This Row],[author_es]],autorest[author_es],autorest[age_la])</f>
        <v>Aetas Contemporanea</v>
      </c>
      <c r="Q613" t="str">
        <f>_xlfn.XLOOKUP(frasest[[#This Row],[author_es]],autorest[author_es],autorest[image])</f>
        <v>https://i.ibb.co/kgbszCVd/tagore.png</v>
      </c>
      <c r="R613">
        <f>_xlfn.XLOOKUP(frasest[[#This Row],[author_es]],autorest[author_es],autorest[image_atr])</f>
        <v>0</v>
      </c>
    </row>
    <row r="614" spans="1:18">
      <c r="A614">
        <v>613</v>
      </c>
      <c r="B614" t="s">
        <v>2115</v>
      </c>
      <c r="C614" t="s">
        <v>2116</v>
      </c>
      <c r="D614" t="s">
        <v>2117</v>
      </c>
      <c r="E614" t="s">
        <v>2101</v>
      </c>
      <c r="F614" t="s">
        <v>2118</v>
      </c>
      <c r="G614" t="str">
        <f>_xlfn.XLOOKUP(frasest[[#This Row],[author_es]],autorest[author_es],autorest[author_la])</f>
        <v>Rabindranath Tagore</v>
      </c>
      <c r="H614" t="str">
        <f>_xlfn.XLOOKUP(frasest[[#This Row],[author_es]],autorest[author_es],autorest[bio_es])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I614" t="str">
        <f>_xlfn.XLOOKUP(frasest[[#This Row],[author_es]],autorest[author_es],autorest[bio_la])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J614" t="str">
        <f>_xlfn.XLOOKUP(frasest[[#This Row],[author_es]],autorest[author_es],autorest[iso3691])</f>
        <v>bn</v>
      </c>
      <c r="K614" t="str">
        <f>_xlfn.XLOOKUP(frasest[[#This Row],[author_es]],autorest[author_es],autorest[language_es])</f>
        <v>Bengalí</v>
      </c>
      <c r="L614" t="str">
        <f>_xlfn.XLOOKUP(frasest[[#This Row],[author_es]],autorest[author_es],autorest[language_la])</f>
        <v>Lingua Bengalice</v>
      </c>
      <c r="M614" t="str">
        <f>_xlfn.XLOOKUP(frasest[[#This Row],[author_es]],autorest[author_es],autorest[nation_es])</f>
        <v>India</v>
      </c>
      <c r="N614" t="str">
        <f>_xlfn.XLOOKUP(frasest[[#This Row],[author_es]],autorest[author_es],autorest[nation_la])</f>
        <v>India</v>
      </c>
      <c r="O614" t="str">
        <f>_xlfn.XLOOKUP(frasest[[#This Row],[author_es]],autorest[author_es],autorest[age_es])</f>
        <v>Edad Contemporánea</v>
      </c>
      <c r="P614" t="str">
        <f>_xlfn.XLOOKUP(frasest[[#This Row],[author_es]],autorest[author_es],autorest[age_la])</f>
        <v>Aetas Contemporanea</v>
      </c>
      <c r="Q614" t="str">
        <f>_xlfn.XLOOKUP(frasest[[#This Row],[author_es]],autorest[author_es],autorest[image])</f>
        <v>https://i.ibb.co/kgbszCVd/tagore.png</v>
      </c>
      <c r="R614">
        <f>_xlfn.XLOOKUP(frasest[[#This Row],[author_es]],autorest[author_es],autorest[image_atr])</f>
        <v>0</v>
      </c>
    </row>
    <row r="615" spans="1:18">
      <c r="A615">
        <v>614</v>
      </c>
      <c r="B615" t="s">
        <v>2119</v>
      </c>
      <c r="C615" t="s">
        <v>2120</v>
      </c>
      <c r="D615" t="s">
        <v>2121</v>
      </c>
      <c r="E615" t="s">
        <v>2122</v>
      </c>
      <c r="F615" t="s">
        <v>2123</v>
      </c>
      <c r="G615" t="str">
        <f>_xlfn.XLOOKUP(frasest[[#This Row],[author_es]],autorest[author_es],autorest[author_la])</f>
        <v>Iosephus D. Novak</v>
      </c>
      <c r="H615"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5"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5" t="str">
        <f>_xlfn.XLOOKUP(frasest[[#This Row],[author_es]],autorest[author_es],autorest[iso3691])</f>
        <v>en</v>
      </c>
      <c r="K615" t="str">
        <f>_xlfn.XLOOKUP(frasest[[#This Row],[author_es]],autorest[author_es],autorest[language_es])</f>
        <v>Inglés</v>
      </c>
      <c r="L615" t="str">
        <f>_xlfn.XLOOKUP(frasest[[#This Row],[author_es]],autorest[author_es],autorest[language_la])</f>
        <v>Lingua Anglica</v>
      </c>
      <c r="M615" t="str">
        <f>_xlfn.XLOOKUP(frasest[[#This Row],[author_es]],autorest[author_es],autorest[nation_es])</f>
        <v>Estados Unidos</v>
      </c>
      <c r="N615" t="str">
        <f>_xlfn.XLOOKUP(frasest[[#This Row],[author_es]],autorest[author_es],autorest[nation_la])</f>
        <v>Civitates Foederatae Americae</v>
      </c>
      <c r="O615" t="str">
        <f>_xlfn.XLOOKUP(frasest[[#This Row],[author_es]],autorest[author_es],autorest[age_es])</f>
        <v>Edad Contemporánea</v>
      </c>
      <c r="P615" t="str">
        <f>_xlfn.XLOOKUP(frasest[[#This Row],[author_es]],autorest[author_es],autorest[age_la])</f>
        <v>Aetas Contemporanea</v>
      </c>
      <c r="Q615" t="str">
        <f>_xlfn.XLOOKUP(frasest[[#This Row],[author_es]],autorest[author_es],autorest[image])</f>
        <v>https://i.ibb.co/sdL6mZws/novak.png</v>
      </c>
      <c r="R615">
        <f>_xlfn.XLOOKUP(frasest[[#This Row],[author_es]],autorest[author_es],autorest[image_atr])</f>
        <v>0</v>
      </c>
    </row>
    <row r="616" spans="1:18">
      <c r="A616">
        <v>615</v>
      </c>
      <c r="B616" t="s">
        <v>2124</v>
      </c>
      <c r="C616" t="s">
        <v>2125</v>
      </c>
      <c r="D616" t="s">
        <v>2126</v>
      </c>
      <c r="E616" t="s">
        <v>2122</v>
      </c>
      <c r="F616" t="s">
        <v>2127</v>
      </c>
      <c r="G616" t="str">
        <f>_xlfn.XLOOKUP(frasest[[#This Row],[author_es]],autorest[author_es],autorest[author_la])</f>
        <v>Iosephus D. Novak</v>
      </c>
      <c r="H616"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6"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6" t="str">
        <f>_xlfn.XLOOKUP(frasest[[#This Row],[author_es]],autorest[author_es],autorest[iso3691])</f>
        <v>en</v>
      </c>
      <c r="K616" t="str">
        <f>_xlfn.XLOOKUP(frasest[[#This Row],[author_es]],autorest[author_es],autorest[language_es])</f>
        <v>Inglés</v>
      </c>
      <c r="L616" t="str">
        <f>_xlfn.XLOOKUP(frasest[[#This Row],[author_es]],autorest[author_es],autorest[language_la])</f>
        <v>Lingua Anglica</v>
      </c>
      <c r="M616" t="str">
        <f>_xlfn.XLOOKUP(frasest[[#This Row],[author_es]],autorest[author_es],autorest[nation_es])</f>
        <v>Estados Unidos</v>
      </c>
      <c r="N616" t="str">
        <f>_xlfn.XLOOKUP(frasest[[#This Row],[author_es]],autorest[author_es],autorest[nation_la])</f>
        <v>Civitates Foederatae Americae</v>
      </c>
      <c r="O616" t="str">
        <f>_xlfn.XLOOKUP(frasest[[#This Row],[author_es]],autorest[author_es],autorest[age_es])</f>
        <v>Edad Contemporánea</v>
      </c>
      <c r="P616" t="str">
        <f>_xlfn.XLOOKUP(frasest[[#This Row],[author_es]],autorest[author_es],autorest[age_la])</f>
        <v>Aetas Contemporanea</v>
      </c>
      <c r="Q616" t="str">
        <f>_xlfn.XLOOKUP(frasest[[#This Row],[author_es]],autorest[author_es],autorest[image])</f>
        <v>https://i.ibb.co/sdL6mZws/novak.png</v>
      </c>
      <c r="R616">
        <f>_xlfn.XLOOKUP(frasest[[#This Row],[author_es]],autorest[author_es],autorest[image_atr])</f>
        <v>0</v>
      </c>
    </row>
    <row r="617" spans="1:18">
      <c r="A617">
        <v>616</v>
      </c>
      <c r="B617" t="s">
        <v>2128</v>
      </c>
      <c r="C617" t="s">
        <v>2129</v>
      </c>
      <c r="D617" t="s">
        <v>2130</v>
      </c>
      <c r="E617" t="s">
        <v>2122</v>
      </c>
      <c r="F617" t="s">
        <v>2131</v>
      </c>
      <c r="G617" t="str">
        <f>_xlfn.XLOOKUP(frasest[[#This Row],[author_es]],autorest[author_es],autorest[author_la])</f>
        <v>Iosephus D. Novak</v>
      </c>
      <c r="H617"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7"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7" t="str">
        <f>_xlfn.XLOOKUP(frasest[[#This Row],[author_es]],autorest[author_es],autorest[iso3691])</f>
        <v>en</v>
      </c>
      <c r="K617" t="str">
        <f>_xlfn.XLOOKUP(frasest[[#This Row],[author_es]],autorest[author_es],autorest[language_es])</f>
        <v>Inglés</v>
      </c>
      <c r="L617" t="str">
        <f>_xlfn.XLOOKUP(frasest[[#This Row],[author_es]],autorest[author_es],autorest[language_la])</f>
        <v>Lingua Anglica</v>
      </c>
      <c r="M617" t="str">
        <f>_xlfn.XLOOKUP(frasest[[#This Row],[author_es]],autorest[author_es],autorest[nation_es])</f>
        <v>Estados Unidos</v>
      </c>
      <c r="N617" t="str">
        <f>_xlfn.XLOOKUP(frasest[[#This Row],[author_es]],autorest[author_es],autorest[nation_la])</f>
        <v>Civitates Foederatae Americae</v>
      </c>
      <c r="O617" t="str">
        <f>_xlfn.XLOOKUP(frasest[[#This Row],[author_es]],autorest[author_es],autorest[age_es])</f>
        <v>Edad Contemporánea</v>
      </c>
      <c r="P617" t="str">
        <f>_xlfn.XLOOKUP(frasest[[#This Row],[author_es]],autorest[author_es],autorest[age_la])</f>
        <v>Aetas Contemporanea</v>
      </c>
      <c r="Q617" t="str">
        <f>_xlfn.XLOOKUP(frasest[[#This Row],[author_es]],autorest[author_es],autorest[image])</f>
        <v>https://i.ibb.co/sdL6mZws/novak.png</v>
      </c>
      <c r="R617">
        <f>_xlfn.XLOOKUP(frasest[[#This Row],[author_es]],autorest[author_es],autorest[image_atr])</f>
        <v>0</v>
      </c>
    </row>
    <row r="618" spans="1:18">
      <c r="A618">
        <v>617</v>
      </c>
      <c r="B618" t="s">
        <v>2132</v>
      </c>
      <c r="C618" t="s">
        <v>2133</v>
      </c>
      <c r="D618" t="s">
        <v>2134</v>
      </c>
      <c r="E618" t="s">
        <v>2122</v>
      </c>
      <c r="F618" t="s">
        <v>2123</v>
      </c>
      <c r="G618" t="str">
        <f>_xlfn.XLOOKUP(frasest[[#This Row],[author_es]],autorest[author_es],autorest[author_la])</f>
        <v>Iosephus D. Novak</v>
      </c>
      <c r="H618"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8"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8" t="str">
        <f>_xlfn.XLOOKUP(frasest[[#This Row],[author_es]],autorest[author_es],autorest[iso3691])</f>
        <v>en</v>
      </c>
      <c r="K618" t="str">
        <f>_xlfn.XLOOKUP(frasest[[#This Row],[author_es]],autorest[author_es],autorest[language_es])</f>
        <v>Inglés</v>
      </c>
      <c r="L618" t="str">
        <f>_xlfn.XLOOKUP(frasest[[#This Row],[author_es]],autorest[author_es],autorest[language_la])</f>
        <v>Lingua Anglica</v>
      </c>
      <c r="M618" t="str">
        <f>_xlfn.XLOOKUP(frasest[[#This Row],[author_es]],autorest[author_es],autorest[nation_es])</f>
        <v>Estados Unidos</v>
      </c>
      <c r="N618" t="str">
        <f>_xlfn.XLOOKUP(frasest[[#This Row],[author_es]],autorest[author_es],autorest[nation_la])</f>
        <v>Civitates Foederatae Americae</v>
      </c>
      <c r="O618" t="str">
        <f>_xlfn.XLOOKUP(frasest[[#This Row],[author_es]],autorest[author_es],autorest[age_es])</f>
        <v>Edad Contemporánea</v>
      </c>
      <c r="P618" t="str">
        <f>_xlfn.XLOOKUP(frasest[[#This Row],[author_es]],autorest[author_es],autorest[age_la])</f>
        <v>Aetas Contemporanea</v>
      </c>
      <c r="Q618" t="str">
        <f>_xlfn.XLOOKUP(frasest[[#This Row],[author_es]],autorest[author_es],autorest[image])</f>
        <v>https://i.ibb.co/sdL6mZws/novak.png</v>
      </c>
      <c r="R618">
        <f>_xlfn.XLOOKUP(frasest[[#This Row],[author_es]],autorest[author_es],autorest[image_atr])</f>
        <v>0</v>
      </c>
    </row>
    <row r="619" spans="1:18">
      <c r="A619">
        <v>618</v>
      </c>
      <c r="B619" t="s">
        <v>2135</v>
      </c>
      <c r="C619" t="s">
        <v>2136</v>
      </c>
      <c r="D619" t="s">
        <v>2137</v>
      </c>
      <c r="E619" t="s">
        <v>2122</v>
      </c>
      <c r="F619" t="s">
        <v>2127</v>
      </c>
      <c r="G619" t="str">
        <f>_xlfn.XLOOKUP(frasest[[#This Row],[author_es]],autorest[author_es],autorest[author_la])</f>
        <v>Iosephus D. Novak</v>
      </c>
      <c r="H619" t="str">
        <f>_xlfn.XLOOKUP(frasest[[#This Row],[author_es]],autorest[author_es],autorest[bio_es])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I619" t="str">
        <f>_xlfn.XLOOKUP(frasest[[#This Row],[author_es]],autorest[author_es],autorest[bio_la])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J619" t="str">
        <f>_xlfn.XLOOKUP(frasest[[#This Row],[author_es]],autorest[author_es],autorest[iso3691])</f>
        <v>en</v>
      </c>
      <c r="K619" t="str">
        <f>_xlfn.XLOOKUP(frasest[[#This Row],[author_es]],autorest[author_es],autorest[language_es])</f>
        <v>Inglés</v>
      </c>
      <c r="L619" t="str">
        <f>_xlfn.XLOOKUP(frasest[[#This Row],[author_es]],autorest[author_es],autorest[language_la])</f>
        <v>Lingua Anglica</v>
      </c>
      <c r="M619" t="str">
        <f>_xlfn.XLOOKUP(frasest[[#This Row],[author_es]],autorest[author_es],autorest[nation_es])</f>
        <v>Estados Unidos</v>
      </c>
      <c r="N619" t="str">
        <f>_xlfn.XLOOKUP(frasest[[#This Row],[author_es]],autorest[author_es],autorest[nation_la])</f>
        <v>Civitates Foederatae Americae</v>
      </c>
      <c r="O619" t="str">
        <f>_xlfn.XLOOKUP(frasest[[#This Row],[author_es]],autorest[author_es],autorest[age_es])</f>
        <v>Edad Contemporánea</v>
      </c>
      <c r="P619" t="str">
        <f>_xlfn.XLOOKUP(frasest[[#This Row],[author_es]],autorest[author_es],autorest[age_la])</f>
        <v>Aetas Contemporanea</v>
      </c>
      <c r="Q619" t="str">
        <f>_xlfn.XLOOKUP(frasest[[#This Row],[author_es]],autorest[author_es],autorest[image])</f>
        <v>https://i.ibb.co/sdL6mZws/novak.png</v>
      </c>
      <c r="R619">
        <f>_xlfn.XLOOKUP(frasest[[#This Row],[author_es]],autorest[author_es],autorest[image_atr])</f>
        <v>0</v>
      </c>
    </row>
    <row r="620" spans="1:18">
      <c r="A620">
        <v>619</v>
      </c>
      <c r="B620" t="s">
        <v>2138</v>
      </c>
      <c r="C620" t="s">
        <v>2139</v>
      </c>
      <c r="D620" t="s">
        <v>2140</v>
      </c>
      <c r="E620" t="s">
        <v>2141</v>
      </c>
      <c r="F620" t="s">
        <v>2142</v>
      </c>
      <c r="G620" t="str">
        <f>_xlfn.XLOOKUP(frasest[[#This Row],[author_es]],autorest[author_es],autorest[author_la])</f>
        <v>David Paulus Ausubel</v>
      </c>
      <c r="H620"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0"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0" t="str">
        <f>_xlfn.XLOOKUP(frasest[[#This Row],[author_es]],autorest[author_es],autorest[iso3691])</f>
        <v>en</v>
      </c>
      <c r="K620" t="str">
        <f>_xlfn.XLOOKUP(frasest[[#This Row],[author_es]],autorest[author_es],autorest[language_es])</f>
        <v>Inglés</v>
      </c>
      <c r="L620" t="str">
        <f>_xlfn.XLOOKUP(frasest[[#This Row],[author_es]],autorest[author_es],autorest[language_la])</f>
        <v>Lingua Anglica</v>
      </c>
      <c r="M620" t="str">
        <f>_xlfn.XLOOKUP(frasest[[#This Row],[author_es]],autorest[author_es],autorest[nation_es])</f>
        <v>Estados Unidos</v>
      </c>
      <c r="N620" t="str">
        <f>_xlfn.XLOOKUP(frasest[[#This Row],[author_es]],autorest[author_es],autorest[nation_la])</f>
        <v>Civitates Foederatae Americae</v>
      </c>
      <c r="O620" t="str">
        <f>_xlfn.XLOOKUP(frasest[[#This Row],[author_es]],autorest[author_es],autorest[age_es])</f>
        <v>Edad Contemporánea</v>
      </c>
      <c r="P620" t="str">
        <f>_xlfn.XLOOKUP(frasest[[#This Row],[author_es]],autorest[author_es],autorest[age_la])</f>
        <v>Aetas Contemporanea</v>
      </c>
      <c r="Q620" t="str">
        <f>_xlfn.XLOOKUP(frasest[[#This Row],[author_es]],autorest[author_es],autorest[image])</f>
        <v>https://i.ibb.co/s9xMVWJK/ausubel.png</v>
      </c>
      <c r="R620">
        <f>_xlfn.XLOOKUP(frasest[[#This Row],[author_es]],autorest[author_es],autorest[image_atr])</f>
        <v>0</v>
      </c>
    </row>
    <row r="621" spans="1:18">
      <c r="A621">
        <v>620</v>
      </c>
      <c r="B621" t="s">
        <v>2143</v>
      </c>
      <c r="C621" t="s">
        <v>2144</v>
      </c>
      <c r="D621" t="s">
        <v>2145</v>
      </c>
      <c r="E621" t="s">
        <v>2141</v>
      </c>
      <c r="F621" t="s">
        <v>2146</v>
      </c>
      <c r="G621" t="str">
        <f>_xlfn.XLOOKUP(frasest[[#This Row],[author_es]],autorest[author_es],autorest[author_la])</f>
        <v>David Paulus Ausubel</v>
      </c>
      <c r="H621"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1"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1" t="str">
        <f>_xlfn.XLOOKUP(frasest[[#This Row],[author_es]],autorest[author_es],autorest[iso3691])</f>
        <v>en</v>
      </c>
      <c r="K621" t="str">
        <f>_xlfn.XLOOKUP(frasest[[#This Row],[author_es]],autorest[author_es],autorest[language_es])</f>
        <v>Inglés</v>
      </c>
      <c r="L621" t="str">
        <f>_xlfn.XLOOKUP(frasest[[#This Row],[author_es]],autorest[author_es],autorest[language_la])</f>
        <v>Lingua Anglica</v>
      </c>
      <c r="M621" t="str">
        <f>_xlfn.XLOOKUP(frasest[[#This Row],[author_es]],autorest[author_es],autorest[nation_es])</f>
        <v>Estados Unidos</v>
      </c>
      <c r="N621" t="str">
        <f>_xlfn.XLOOKUP(frasest[[#This Row],[author_es]],autorest[author_es],autorest[nation_la])</f>
        <v>Civitates Foederatae Americae</v>
      </c>
      <c r="O621" t="str">
        <f>_xlfn.XLOOKUP(frasest[[#This Row],[author_es]],autorest[author_es],autorest[age_es])</f>
        <v>Edad Contemporánea</v>
      </c>
      <c r="P621" t="str">
        <f>_xlfn.XLOOKUP(frasest[[#This Row],[author_es]],autorest[author_es],autorest[age_la])</f>
        <v>Aetas Contemporanea</v>
      </c>
      <c r="Q621" t="str">
        <f>_xlfn.XLOOKUP(frasest[[#This Row],[author_es]],autorest[author_es],autorest[image])</f>
        <v>https://i.ibb.co/s9xMVWJK/ausubel.png</v>
      </c>
      <c r="R621">
        <f>_xlfn.XLOOKUP(frasest[[#This Row],[author_es]],autorest[author_es],autorest[image_atr])</f>
        <v>0</v>
      </c>
    </row>
    <row r="622" spans="1:18">
      <c r="A622">
        <v>621</v>
      </c>
      <c r="B622" t="s">
        <v>2147</v>
      </c>
      <c r="C622" t="s">
        <v>2148</v>
      </c>
      <c r="D622" t="s">
        <v>2149</v>
      </c>
      <c r="E622" t="s">
        <v>2141</v>
      </c>
      <c r="F622" t="s">
        <v>2150</v>
      </c>
      <c r="G622" t="str">
        <f>_xlfn.XLOOKUP(frasest[[#This Row],[author_es]],autorest[author_es],autorest[author_la])</f>
        <v>David Paulus Ausubel</v>
      </c>
      <c r="H622"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2"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2" t="str">
        <f>_xlfn.XLOOKUP(frasest[[#This Row],[author_es]],autorest[author_es],autorest[iso3691])</f>
        <v>en</v>
      </c>
      <c r="K622" t="str">
        <f>_xlfn.XLOOKUP(frasest[[#This Row],[author_es]],autorest[author_es],autorest[language_es])</f>
        <v>Inglés</v>
      </c>
      <c r="L622" t="str">
        <f>_xlfn.XLOOKUP(frasest[[#This Row],[author_es]],autorest[author_es],autorest[language_la])</f>
        <v>Lingua Anglica</v>
      </c>
      <c r="M622" t="str">
        <f>_xlfn.XLOOKUP(frasest[[#This Row],[author_es]],autorest[author_es],autorest[nation_es])</f>
        <v>Estados Unidos</v>
      </c>
      <c r="N622" t="str">
        <f>_xlfn.XLOOKUP(frasest[[#This Row],[author_es]],autorest[author_es],autorest[nation_la])</f>
        <v>Civitates Foederatae Americae</v>
      </c>
      <c r="O622" t="str">
        <f>_xlfn.XLOOKUP(frasest[[#This Row],[author_es]],autorest[author_es],autorest[age_es])</f>
        <v>Edad Contemporánea</v>
      </c>
      <c r="P622" t="str">
        <f>_xlfn.XLOOKUP(frasest[[#This Row],[author_es]],autorest[author_es],autorest[age_la])</f>
        <v>Aetas Contemporanea</v>
      </c>
      <c r="Q622" t="str">
        <f>_xlfn.XLOOKUP(frasest[[#This Row],[author_es]],autorest[author_es],autorest[image])</f>
        <v>https://i.ibb.co/s9xMVWJK/ausubel.png</v>
      </c>
      <c r="R622">
        <f>_xlfn.XLOOKUP(frasest[[#This Row],[author_es]],autorest[author_es],autorest[image_atr])</f>
        <v>0</v>
      </c>
    </row>
    <row r="623" spans="1:18">
      <c r="A623">
        <v>622</v>
      </c>
      <c r="B623" t="s">
        <v>2151</v>
      </c>
      <c r="C623" t="s">
        <v>2152</v>
      </c>
      <c r="D623" t="s">
        <v>2153</v>
      </c>
      <c r="E623" t="s">
        <v>2141</v>
      </c>
      <c r="F623" t="s">
        <v>2154</v>
      </c>
      <c r="G623" t="str">
        <f>_xlfn.XLOOKUP(frasest[[#This Row],[author_es]],autorest[author_es],autorest[author_la])</f>
        <v>David Paulus Ausubel</v>
      </c>
      <c r="H623"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3"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3" t="str">
        <f>_xlfn.XLOOKUP(frasest[[#This Row],[author_es]],autorest[author_es],autorest[iso3691])</f>
        <v>en</v>
      </c>
      <c r="K623" t="str">
        <f>_xlfn.XLOOKUP(frasest[[#This Row],[author_es]],autorest[author_es],autorest[language_es])</f>
        <v>Inglés</v>
      </c>
      <c r="L623" t="str">
        <f>_xlfn.XLOOKUP(frasest[[#This Row],[author_es]],autorest[author_es],autorest[language_la])</f>
        <v>Lingua Anglica</v>
      </c>
      <c r="M623" t="str">
        <f>_xlfn.XLOOKUP(frasest[[#This Row],[author_es]],autorest[author_es],autorest[nation_es])</f>
        <v>Estados Unidos</v>
      </c>
      <c r="N623" t="str">
        <f>_xlfn.XLOOKUP(frasest[[#This Row],[author_es]],autorest[author_es],autorest[nation_la])</f>
        <v>Civitates Foederatae Americae</v>
      </c>
      <c r="O623" t="str">
        <f>_xlfn.XLOOKUP(frasest[[#This Row],[author_es]],autorest[author_es],autorest[age_es])</f>
        <v>Edad Contemporánea</v>
      </c>
      <c r="P623" t="str">
        <f>_xlfn.XLOOKUP(frasest[[#This Row],[author_es]],autorest[author_es],autorest[age_la])</f>
        <v>Aetas Contemporanea</v>
      </c>
      <c r="Q623" t="str">
        <f>_xlfn.XLOOKUP(frasest[[#This Row],[author_es]],autorest[author_es],autorest[image])</f>
        <v>https://i.ibb.co/s9xMVWJK/ausubel.png</v>
      </c>
      <c r="R623">
        <f>_xlfn.XLOOKUP(frasest[[#This Row],[author_es]],autorest[author_es],autorest[image_atr])</f>
        <v>0</v>
      </c>
    </row>
    <row r="624" spans="1:18">
      <c r="A624">
        <v>623</v>
      </c>
      <c r="B624" t="s">
        <v>2155</v>
      </c>
      <c r="C624" t="s">
        <v>2156</v>
      </c>
      <c r="D624" t="s">
        <v>2157</v>
      </c>
      <c r="E624" t="s">
        <v>2141</v>
      </c>
      <c r="F624" t="s">
        <v>2158</v>
      </c>
      <c r="G624" t="str">
        <f>_xlfn.XLOOKUP(frasest[[#This Row],[author_es]],autorest[author_es],autorest[author_la])</f>
        <v>David Paulus Ausubel</v>
      </c>
      <c r="H624"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4"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4" t="str">
        <f>_xlfn.XLOOKUP(frasest[[#This Row],[author_es]],autorest[author_es],autorest[iso3691])</f>
        <v>en</v>
      </c>
      <c r="K624" t="str">
        <f>_xlfn.XLOOKUP(frasest[[#This Row],[author_es]],autorest[author_es],autorest[language_es])</f>
        <v>Inglés</v>
      </c>
      <c r="L624" t="str">
        <f>_xlfn.XLOOKUP(frasest[[#This Row],[author_es]],autorest[author_es],autorest[language_la])</f>
        <v>Lingua Anglica</v>
      </c>
      <c r="M624" t="str">
        <f>_xlfn.XLOOKUP(frasest[[#This Row],[author_es]],autorest[author_es],autorest[nation_es])</f>
        <v>Estados Unidos</v>
      </c>
      <c r="N624" t="str">
        <f>_xlfn.XLOOKUP(frasest[[#This Row],[author_es]],autorest[author_es],autorest[nation_la])</f>
        <v>Civitates Foederatae Americae</v>
      </c>
      <c r="O624" t="str">
        <f>_xlfn.XLOOKUP(frasest[[#This Row],[author_es]],autorest[author_es],autorest[age_es])</f>
        <v>Edad Contemporánea</v>
      </c>
      <c r="P624" t="str">
        <f>_xlfn.XLOOKUP(frasest[[#This Row],[author_es]],autorest[author_es],autorest[age_la])</f>
        <v>Aetas Contemporanea</v>
      </c>
      <c r="Q624" t="str">
        <f>_xlfn.XLOOKUP(frasest[[#This Row],[author_es]],autorest[author_es],autorest[image])</f>
        <v>https://i.ibb.co/s9xMVWJK/ausubel.png</v>
      </c>
      <c r="R624">
        <f>_xlfn.XLOOKUP(frasest[[#This Row],[author_es]],autorest[author_es],autorest[image_atr])</f>
        <v>0</v>
      </c>
    </row>
    <row r="625" spans="1:18">
      <c r="A625">
        <v>624</v>
      </c>
      <c r="B625" t="s">
        <v>2159</v>
      </c>
      <c r="C625" t="s">
        <v>2160</v>
      </c>
      <c r="D625" t="s">
        <v>2161</v>
      </c>
      <c r="E625" t="s">
        <v>2141</v>
      </c>
      <c r="F625" t="s">
        <v>2162</v>
      </c>
      <c r="G625" t="str">
        <f>_xlfn.XLOOKUP(frasest[[#This Row],[author_es]],autorest[author_es],autorest[author_la])</f>
        <v>David Paulus Ausubel</v>
      </c>
      <c r="H625"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5"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5" t="str">
        <f>_xlfn.XLOOKUP(frasest[[#This Row],[author_es]],autorest[author_es],autorest[iso3691])</f>
        <v>en</v>
      </c>
      <c r="K625" t="str">
        <f>_xlfn.XLOOKUP(frasest[[#This Row],[author_es]],autorest[author_es],autorest[language_es])</f>
        <v>Inglés</v>
      </c>
      <c r="L625" t="str">
        <f>_xlfn.XLOOKUP(frasest[[#This Row],[author_es]],autorest[author_es],autorest[language_la])</f>
        <v>Lingua Anglica</v>
      </c>
      <c r="M625" t="str">
        <f>_xlfn.XLOOKUP(frasest[[#This Row],[author_es]],autorest[author_es],autorest[nation_es])</f>
        <v>Estados Unidos</v>
      </c>
      <c r="N625" t="str">
        <f>_xlfn.XLOOKUP(frasest[[#This Row],[author_es]],autorest[author_es],autorest[nation_la])</f>
        <v>Civitates Foederatae Americae</v>
      </c>
      <c r="O625" t="str">
        <f>_xlfn.XLOOKUP(frasest[[#This Row],[author_es]],autorest[author_es],autorest[age_es])</f>
        <v>Edad Contemporánea</v>
      </c>
      <c r="P625" t="str">
        <f>_xlfn.XLOOKUP(frasest[[#This Row],[author_es]],autorest[author_es],autorest[age_la])</f>
        <v>Aetas Contemporanea</v>
      </c>
      <c r="Q625" t="str">
        <f>_xlfn.XLOOKUP(frasest[[#This Row],[author_es]],autorest[author_es],autorest[image])</f>
        <v>https://i.ibb.co/s9xMVWJK/ausubel.png</v>
      </c>
      <c r="R625">
        <f>_xlfn.XLOOKUP(frasest[[#This Row],[author_es]],autorest[author_es],autorest[image_atr])</f>
        <v>0</v>
      </c>
    </row>
    <row r="626" spans="1:18">
      <c r="A626">
        <v>625</v>
      </c>
      <c r="B626" t="s">
        <v>2163</v>
      </c>
      <c r="C626" t="s">
        <v>2164</v>
      </c>
      <c r="D626" t="s">
        <v>2165</v>
      </c>
      <c r="E626" t="s">
        <v>2141</v>
      </c>
      <c r="F626" t="s">
        <v>2142</v>
      </c>
      <c r="G626" t="str">
        <f>_xlfn.XLOOKUP(frasest[[#This Row],[author_es]],autorest[author_es],autorest[author_la])</f>
        <v>David Paulus Ausubel</v>
      </c>
      <c r="H626" t="str">
        <f>_xlfn.XLOOKUP(frasest[[#This Row],[author_es]],autorest[author_es],autorest[bio_es])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I626" t="str">
        <f>_xlfn.XLOOKUP(frasest[[#This Row],[author_es]],autorest[author_es],autorest[bio_la])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J626" t="str">
        <f>_xlfn.XLOOKUP(frasest[[#This Row],[author_es]],autorest[author_es],autorest[iso3691])</f>
        <v>en</v>
      </c>
      <c r="K626" t="str">
        <f>_xlfn.XLOOKUP(frasest[[#This Row],[author_es]],autorest[author_es],autorest[language_es])</f>
        <v>Inglés</v>
      </c>
      <c r="L626" t="str">
        <f>_xlfn.XLOOKUP(frasest[[#This Row],[author_es]],autorest[author_es],autorest[language_la])</f>
        <v>Lingua Anglica</v>
      </c>
      <c r="M626" t="str">
        <f>_xlfn.XLOOKUP(frasest[[#This Row],[author_es]],autorest[author_es],autorest[nation_es])</f>
        <v>Estados Unidos</v>
      </c>
      <c r="N626" t="str">
        <f>_xlfn.XLOOKUP(frasest[[#This Row],[author_es]],autorest[author_es],autorest[nation_la])</f>
        <v>Civitates Foederatae Americae</v>
      </c>
      <c r="O626" t="str">
        <f>_xlfn.XLOOKUP(frasest[[#This Row],[author_es]],autorest[author_es],autorest[age_es])</f>
        <v>Edad Contemporánea</v>
      </c>
      <c r="P626" t="str">
        <f>_xlfn.XLOOKUP(frasest[[#This Row],[author_es]],autorest[author_es],autorest[age_la])</f>
        <v>Aetas Contemporanea</v>
      </c>
      <c r="Q626" t="str">
        <f>_xlfn.XLOOKUP(frasest[[#This Row],[author_es]],autorest[author_es],autorest[image])</f>
        <v>https://i.ibb.co/s9xMVWJK/ausubel.png</v>
      </c>
      <c r="R626">
        <f>_xlfn.XLOOKUP(frasest[[#This Row],[author_es]],autorest[author_es],autorest[image_atr])</f>
        <v>0</v>
      </c>
    </row>
    <row r="627" spans="1:18">
      <c r="A627">
        <v>626</v>
      </c>
      <c r="B627" t="s">
        <v>2166</v>
      </c>
      <c r="C627" t="s">
        <v>2167</v>
      </c>
      <c r="D627" t="s">
        <v>2166</v>
      </c>
      <c r="E627" t="s">
        <v>2168</v>
      </c>
      <c r="G627" t="str">
        <f>_xlfn.XLOOKUP(frasest[[#This Row],[author_es]],autorest[author_es],autorest[author_la])</f>
        <v>Proverbium Africanum</v>
      </c>
      <c r="H627"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27"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27" t="e">
        <f>_xlfn.XLOOKUP(frasest[[#This Row],[author_es]],autorest[author_es],autorest[iso3691])</f>
        <v>#N/A</v>
      </c>
      <c r="K627">
        <f>_xlfn.XLOOKUP(frasest[[#This Row],[author_es]],autorest[author_es],autorest[language_es])</f>
        <v>0</v>
      </c>
      <c r="L627" t="e">
        <f>_xlfn.XLOOKUP(frasest[[#This Row],[author_es]],autorest[author_es],autorest[language_la])</f>
        <v>#N/A</v>
      </c>
      <c r="M627">
        <f>_xlfn.XLOOKUP(frasest[[#This Row],[author_es]],autorest[author_es],autorest[nation_es])</f>
        <v>0</v>
      </c>
      <c r="N627" t="e">
        <f>_xlfn.XLOOKUP(frasest[[#This Row],[author_es]],autorest[author_es],autorest[nation_la])</f>
        <v>#N/A</v>
      </c>
      <c r="O627" t="str">
        <f>_xlfn.XLOOKUP(frasest[[#This Row],[author_es]],autorest[author_es],autorest[age_es])</f>
        <v>Epoca Desconocida</v>
      </c>
      <c r="P627" t="str">
        <f>_xlfn.XLOOKUP(frasest[[#This Row],[author_es]],autorest[author_es],autorest[age_la])</f>
        <v>Epocha Ignota</v>
      </c>
      <c r="Q627" t="str">
        <f>_xlfn.XLOOKUP(frasest[[#This Row],[author_es]],autorest[author_es],autorest[image])</f>
        <v>https://i.ibb.co/BKdVkDB2/africa.png</v>
      </c>
      <c r="R627">
        <f>_xlfn.XLOOKUP(frasest[[#This Row],[author_es]],autorest[author_es],autorest[image_atr])</f>
        <v>0</v>
      </c>
    </row>
    <row r="628" spans="1:18">
      <c r="A628">
        <v>627</v>
      </c>
      <c r="B628" t="s">
        <v>2169</v>
      </c>
      <c r="C628" t="s">
        <v>2170</v>
      </c>
      <c r="D628" t="s">
        <v>2171</v>
      </c>
      <c r="E628" t="s">
        <v>2172</v>
      </c>
      <c r="G628" t="str">
        <f>_xlfn.XLOOKUP(frasest[[#This Row],[author_es]],autorest[author_es],autorest[author_la])</f>
        <v>Proverbium Iudaicum</v>
      </c>
      <c r="H628"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8"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8" t="str">
        <f>_xlfn.XLOOKUP(frasest[[#This Row],[author_es]],autorest[author_es],autorest[iso3691])</f>
        <v>he</v>
      </c>
      <c r="K628" t="str">
        <f>_xlfn.XLOOKUP(frasest[[#This Row],[author_es]],autorest[author_es],autorest[language_es])</f>
        <v>Hebreo</v>
      </c>
      <c r="L628" t="str">
        <f>_xlfn.XLOOKUP(frasest[[#This Row],[author_es]],autorest[author_es],autorest[language_la])</f>
        <v>Lingua Hebraica</v>
      </c>
      <c r="M628" t="str">
        <f>_xlfn.XLOOKUP(frasest[[#This Row],[author_es]],autorest[author_es],autorest[nation_es])</f>
        <v>Israel</v>
      </c>
      <c r="N628" t="str">
        <f>_xlfn.XLOOKUP(frasest[[#This Row],[author_es]],autorest[author_es],autorest[nation_la])</f>
        <v>Israel</v>
      </c>
      <c r="O628" t="str">
        <f>_xlfn.XLOOKUP(frasest[[#This Row],[author_es]],autorest[author_es],autorest[age_es])</f>
        <v>Epoca Desconocida</v>
      </c>
      <c r="P628" t="str">
        <f>_xlfn.XLOOKUP(frasest[[#This Row],[author_es]],autorest[author_es],autorest[age_la])</f>
        <v>Epocha Ignota</v>
      </c>
      <c r="Q628" t="str">
        <f>_xlfn.XLOOKUP(frasest[[#This Row],[author_es]],autorest[author_es],autorest[image])</f>
        <v>https://i.ibb.co/HDXxrpfv/israel.png</v>
      </c>
      <c r="R628">
        <f>_xlfn.XLOOKUP(frasest[[#This Row],[author_es]],autorest[author_es],autorest[image_atr])</f>
        <v>0</v>
      </c>
    </row>
    <row r="629" spans="1:18">
      <c r="A629">
        <v>628</v>
      </c>
      <c r="B629" t="s">
        <v>2173</v>
      </c>
      <c r="C629" t="s">
        <v>2174</v>
      </c>
      <c r="D629" t="s">
        <v>2175</v>
      </c>
      <c r="E629" t="s">
        <v>2172</v>
      </c>
      <c r="G629" t="str">
        <f>_xlfn.XLOOKUP(frasest[[#This Row],[author_es]],autorest[author_es],autorest[author_la])</f>
        <v>Proverbium Iudaicum</v>
      </c>
      <c r="H629"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29"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29" t="str">
        <f>_xlfn.XLOOKUP(frasest[[#This Row],[author_es]],autorest[author_es],autorest[iso3691])</f>
        <v>he</v>
      </c>
      <c r="K629" t="str">
        <f>_xlfn.XLOOKUP(frasest[[#This Row],[author_es]],autorest[author_es],autorest[language_es])</f>
        <v>Hebreo</v>
      </c>
      <c r="L629" t="str">
        <f>_xlfn.XLOOKUP(frasest[[#This Row],[author_es]],autorest[author_es],autorest[language_la])</f>
        <v>Lingua Hebraica</v>
      </c>
      <c r="M629" t="str">
        <f>_xlfn.XLOOKUP(frasest[[#This Row],[author_es]],autorest[author_es],autorest[nation_es])</f>
        <v>Israel</v>
      </c>
      <c r="N629" t="str">
        <f>_xlfn.XLOOKUP(frasest[[#This Row],[author_es]],autorest[author_es],autorest[nation_la])</f>
        <v>Israel</v>
      </c>
      <c r="O629" t="str">
        <f>_xlfn.XLOOKUP(frasest[[#This Row],[author_es]],autorest[author_es],autorest[age_es])</f>
        <v>Epoca Desconocida</v>
      </c>
      <c r="P629" t="str">
        <f>_xlfn.XLOOKUP(frasest[[#This Row],[author_es]],autorest[author_es],autorest[age_la])</f>
        <v>Epocha Ignota</v>
      </c>
      <c r="Q629" t="str">
        <f>_xlfn.XLOOKUP(frasest[[#This Row],[author_es]],autorest[author_es],autorest[image])</f>
        <v>https://i.ibb.co/HDXxrpfv/israel.png</v>
      </c>
      <c r="R629">
        <f>_xlfn.XLOOKUP(frasest[[#This Row],[author_es]],autorest[author_es],autorest[image_atr])</f>
        <v>0</v>
      </c>
    </row>
    <row r="630" spans="1:18">
      <c r="A630">
        <v>629</v>
      </c>
      <c r="B630" t="s">
        <v>2176</v>
      </c>
      <c r="C630" t="s">
        <v>2177</v>
      </c>
      <c r="D630" t="s">
        <v>2176</v>
      </c>
      <c r="E630" t="s">
        <v>2168</v>
      </c>
      <c r="G630" t="str">
        <f>_xlfn.XLOOKUP(frasest[[#This Row],[author_es]],autorest[author_es],autorest[author_la])</f>
        <v>Proverbium Africanum</v>
      </c>
      <c r="H630"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0"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0" t="e">
        <f>_xlfn.XLOOKUP(frasest[[#This Row],[author_es]],autorest[author_es],autorest[iso3691])</f>
        <v>#N/A</v>
      </c>
      <c r="K630">
        <f>_xlfn.XLOOKUP(frasest[[#This Row],[author_es]],autorest[author_es],autorest[language_es])</f>
        <v>0</v>
      </c>
      <c r="L630" t="e">
        <f>_xlfn.XLOOKUP(frasest[[#This Row],[author_es]],autorest[author_es],autorest[language_la])</f>
        <v>#N/A</v>
      </c>
      <c r="M630">
        <f>_xlfn.XLOOKUP(frasest[[#This Row],[author_es]],autorest[author_es],autorest[nation_es])</f>
        <v>0</v>
      </c>
      <c r="N630" t="e">
        <f>_xlfn.XLOOKUP(frasest[[#This Row],[author_es]],autorest[author_es],autorest[nation_la])</f>
        <v>#N/A</v>
      </c>
      <c r="O630" t="str">
        <f>_xlfn.XLOOKUP(frasest[[#This Row],[author_es]],autorest[author_es],autorest[age_es])</f>
        <v>Epoca Desconocida</v>
      </c>
      <c r="P630" t="str">
        <f>_xlfn.XLOOKUP(frasest[[#This Row],[author_es]],autorest[author_es],autorest[age_la])</f>
        <v>Epocha Ignota</v>
      </c>
      <c r="Q630" t="str">
        <f>_xlfn.XLOOKUP(frasest[[#This Row],[author_es]],autorest[author_es],autorest[image])</f>
        <v>https://i.ibb.co/BKdVkDB2/africa.png</v>
      </c>
      <c r="R630">
        <f>_xlfn.XLOOKUP(frasest[[#This Row],[author_es]],autorest[author_es],autorest[image_atr])</f>
        <v>0</v>
      </c>
    </row>
    <row r="631" spans="1:18">
      <c r="A631">
        <v>630</v>
      </c>
      <c r="B631" t="s">
        <v>2178</v>
      </c>
      <c r="C631" t="s">
        <v>2179</v>
      </c>
      <c r="D631" t="s">
        <v>2178</v>
      </c>
      <c r="E631" t="s">
        <v>2168</v>
      </c>
      <c r="G631" t="str">
        <f>_xlfn.XLOOKUP(frasest[[#This Row],[author_es]],autorest[author_es],autorest[author_la])</f>
        <v>Proverbium Africanum</v>
      </c>
      <c r="H631"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1"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1" t="e">
        <f>_xlfn.XLOOKUP(frasest[[#This Row],[author_es]],autorest[author_es],autorest[iso3691])</f>
        <v>#N/A</v>
      </c>
      <c r="K631">
        <f>_xlfn.XLOOKUP(frasest[[#This Row],[author_es]],autorest[author_es],autorest[language_es])</f>
        <v>0</v>
      </c>
      <c r="L631" t="e">
        <f>_xlfn.XLOOKUP(frasest[[#This Row],[author_es]],autorest[author_es],autorest[language_la])</f>
        <v>#N/A</v>
      </c>
      <c r="M631">
        <f>_xlfn.XLOOKUP(frasest[[#This Row],[author_es]],autorest[author_es],autorest[nation_es])</f>
        <v>0</v>
      </c>
      <c r="N631" t="e">
        <f>_xlfn.XLOOKUP(frasest[[#This Row],[author_es]],autorest[author_es],autorest[nation_la])</f>
        <v>#N/A</v>
      </c>
      <c r="O631" t="str">
        <f>_xlfn.XLOOKUP(frasest[[#This Row],[author_es]],autorest[author_es],autorest[age_es])</f>
        <v>Epoca Desconocida</v>
      </c>
      <c r="P631" t="str">
        <f>_xlfn.XLOOKUP(frasest[[#This Row],[author_es]],autorest[author_es],autorest[age_la])</f>
        <v>Epocha Ignota</v>
      </c>
      <c r="Q631" t="str">
        <f>_xlfn.XLOOKUP(frasest[[#This Row],[author_es]],autorest[author_es],autorest[image])</f>
        <v>https://i.ibb.co/BKdVkDB2/africa.png</v>
      </c>
      <c r="R631">
        <f>_xlfn.XLOOKUP(frasest[[#This Row],[author_es]],autorest[author_es],autorest[image_atr])</f>
        <v>0</v>
      </c>
    </row>
    <row r="632" spans="1:18">
      <c r="A632">
        <v>631</v>
      </c>
      <c r="B632" t="s">
        <v>2180</v>
      </c>
      <c r="C632" t="s">
        <v>2181</v>
      </c>
      <c r="D632" t="s">
        <v>2180</v>
      </c>
      <c r="E632" t="s">
        <v>2168</v>
      </c>
      <c r="G632" t="str">
        <f>_xlfn.XLOOKUP(frasest[[#This Row],[author_es]],autorest[author_es],autorest[author_la])</f>
        <v>Proverbium Africanum</v>
      </c>
      <c r="H632"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2"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2" t="e">
        <f>_xlfn.XLOOKUP(frasest[[#This Row],[author_es]],autorest[author_es],autorest[iso3691])</f>
        <v>#N/A</v>
      </c>
      <c r="K632">
        <f>_xlfn.XLOOKUP(frasest[[#This Row],[author_es]],autorest[author_es],autorest[language_es])</f>
        <v>0</v>
      </c>
      <c r="L632" t="e">
        <f>_xlfn.XLOOKUP(frasest[[#This Row],[author_es]],autorest[author_es],autorest[language_la])</f>
        <v>#N/A</v>
      </c>
      <c r="M632">
        <f>_xlfn.XLOOKUP(frasest[[#This Row],[author_es]],autorest[author_es],autorest[nation_es])</f>
        <v>0</v>
      </c>
      <c r="N632" t="e">
        <f>_xlfn.XLOOKUP(frasest[[#This Row],[author_es]],autorest[author_es],autorest[nation_la])</f>
        <v>#N/A</v>
      </c>
      <c r="O632" t="str">
        <f>_xlfn.XLOOKUP(frasest[[#This Row],[author_es]],autorest[author_es],autorest[age_es])</f>
        <v>Epoca Desconocida</v>
      </c>
      <c r="P632" t="str">
        <f>_xlfn.XLOOKUP(frasest[[#This Row],[author_es]],autorest[author_es],autorest[age_la])</f>
        <v>Epocha Ignota</v>
      </c>
      <c r="Q632" t="str">
        <f>_xlfn.XLOOKUP(frasest[[#This Row],[author_es]],autorest[author_es],autorest[image])</f>
        <v>https://i.ibb.co/BKdVkDB2/africa.png</v>
      </c>
      <c r="R632">
        <f>_xlfn.XLOOKUP(frasest[[#This Row],[author_es]],autorest[author_es],autorest[image_atr])</f>
        <v>0</v>
      </c>
    </row>
    <row r="633" spans="1:18">
      <c r="A633">
        <v>632</v>
      </c>
      <c r="B633" t="s">
        <v>2182</v>
      </c>
      <c r="C633" t="s">
        <v>2183</v>
      </c>
      <c r="D633" t="s">
        <v>2182</v>
      </c>
      <c r="E633" t="s">
        <v>2168</v>
      </c>
      <c r="G633" t="str">
        <f>_xlfn.XLOOKUP(frasest[[#This Row],[author_es]],autorest[author_es],autorest[author_la])</f>
        <v>Proverbium Africanum</v>
      </c>
      <c r="H633"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3"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3" t="e">
        <f>_xlfn.XLOOKUP(frasest[[#This Row],[author_es]],autorest[author_es],autorest[iso3691])</f>
        <v>#N/A</v>
      </c>
      <c r="K633">
        <f>_xlfn.XLOOKUP(frasest[[#This Row],[author_es]],autorest[author_es],autorest[language_es])</f>
        <v>0</v>
      </c>
      <c r="L633" t="e">
        <f>_xlfn.XLOOKUP(frasest[[#This Row],[author_es]],autorest[author_es],autorest[language_la])</f>
        <v>#N/A</v>
      </c>
      <c r="M633">
        <f>_xlfn.XLOOKUP(frasest[[#This Row],[author_es]],autorest[author_es],autorest[nation_es])</f>
        <v>0</v>
      </c>
      <c r="N633" t="e">
        <f>_xlfn.XLOOKUP(frasest[[#This Row],[author_es]],autorest[author_es],autorest[nation_la])</f>
        <v>#N/A</v>
      </c>
      <c r="O633" t="str">
        <f>_xlfn.XLOOKUP(frasest[[#This Row],[author_es]],autorest[author_es],autorest[age_es])</f>
        <v>Epoca Desconocida</v>
      </c>
      <c r="P633" t="str">
        <f>_xlfn.XLOOKUP(frasest[[#This Row],[author_es]],autorest[author_es],autorest[age_la])</f>
        <v>Epocha Ignota</v>
      </c>
      <c r="Q633" t="str">
        <f>_xlfn.XLOOKUP(frasest[[#This Row],[author_es]],autorest[author_es],autorest[image])</f>
        <v>https://i.ibb.co/BKdVkDB2/africa.png</v>
      </c>
      <c r="R633">
        <f>_xlfn.XLOOKUP(frasest[[#This Row],[author_es]],autorest[author_es],autorest[image_atr])</f>
        <v>0</v>
      </c>
    </row>
    <row r="634" spans="1:18">
      <c r="A634">
        <v>633</v>
      </c>
      <c r="B634" t="s">
        <v>2184</v>
      </c>
      <c r="C634" t="s">
        <v>2185</v>
      </c>
      <c r="D634" t="s">
        <v>2184</v>
      </c>
      <c r="E634" t="s">
        <v>2168</v>
      </c>
      <c r="G634" t="str">
        <f>_xlfn.XLOOKUP(frasest[[#This Row],[author_es]],autorest[author_es],autorest[author_la])</f>
        <v>Proverbium Africanum</v>
      </c>
      <c r="H634"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4"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4" t="e">
        <f>_xlfn.XLOOKUP(frasest[[#This Row],[author_es]],autorest[author_es],autorest[iso3691])</f>
        <v>#N/A</v>
      </c>
      <c r="K634">
        <f>_xlfn.XLOOKUP(frasest[[#This Row],[author_es]],autorest[author_es],autorest[language_es])</f>
        <v>0</v>
      </c>
      <c r="L634" t="e">
        <f>_xlfn.XLOOKUP(frasest[[#This Row],[author_es]],autorest[author_es],autorest[language_la])</f>
        <v>#N/A</v>
      </c>
      <c r="M634">
        <f>_xlfn.XLOOKUP(frasest[[#This Row],[author_es]],autorest[author_es],autorest[nation_es])</f>
        <v>0</v>
      </c>
      <c r="N634" t="e">
        <f>_xlfn.XLOOKUP(frasest[[#This Row],[author_es]],autorest[author_es],autorest[nation_la])</f>
        <v>#N/A</v>
      </c>
      <c r="O634" t="str">
        <f>_xlfn.XLOOKUP(frasest[[#This Row],[author_es]],autorest[author_es],autorest[age_es])</f>
        <v>Epoca Desconocida</v>
      </c>
      <c r="P634" t="str">
        <f>_xlfn.XLOOKUP(frasest[[#This Row],[author_es]],autorest[author_es],autorest[age_la])</f>
        <v>Epocha Ignota</v>
      </c>
      <c r="Q634" t="str">
        <f>_xlfn.XLOOKUP(frasest[[#This Row],[author_es]],autorest[author_es],autorest[image])</f>
        <v>https://i.ibb.co/BKdVkDB2/africa.png</v>
      </c>
      <c r="R634">
        <f>_xlfn.XLOOKUP(frasest[[#This Row],[author_es]],autorest[author_es],autorest[image_atr])</f>
        <v>0</v>
      </c>
    </row>
    <row r="635" spans="1:18">
      <c r="A635">
        <v>634</v>
      </c>
      <c r="B635" t="s">
        <v>2186</v>
      </c>
      <c r="C635" t="s">
        <v>2187</v>
      </c>
      <c r="D635" t="s">
        <v>2186</v>
      </c>
      <c r="E635" t="s">
        <v>2168</v>
      </c>
      <c r="G635" t="str">
        <f>_xlfn.XLOOKUP(frasest[[#This Row],[author_es]],autorest[author_es],autorest[author_la])</f>
        <v>Proverbium Africanum</v>
      </c>
      <c r="H635"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5"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5" t="e">
        <f>_xlfn.XLOOKUP(frasest[[#This Row],[author_es]],autorest[author_es],autorest[iso3691])</f>
        <v>#N/A</v>
      </c>
      <c r="K635">
        <f>_xlfn.XLOOKUP(frasest[[#This Row],[author_es]],autorest[author_es],autorest[language_es])</f>
        <v>0</v>
      </c>
      <c r="L635" t="e">
        <f>_xlfn.XLOOKUP(frasest[[#This Row],[author_es]],autorest[author_es],autorest[language_la])</f>
        <v>#N/A</v>
      </c>
      <c r="M635">
        <f>_xlfn.XLOOKUP(frasest[[#This Row],[author_es]],autorest[author_es],autorest[nation_es])</f>
        <v>0</v>
      </c>
      <c r="N635" t="e">
        <f>_xlfn.XLOOKUP(frasest[[#This Row],[author_es]],autorest[author_es],autorest[nation_la])</f>
        <v>#N/A</v>
      </c>
      <c r="O635" t="str">
        <f>_xlfn.XLOOKUP(frasest[[#This Row],[author_es]],autorest[author_es],autorest[age_es])</f>
        <v>Epoca Desconocida</v>
      </c>
      <c r="P635" t="str">
        <f>_xlfn.XLOOKUP(frasest[[#This Row],[author_es]],autorest[author_es],autorest[age_la])</f>
        <v>Epocha Ignota</v>
      </c>
      <c r="Q635" t="str">
        <f>_xlfn.XLOOKUP(frasest[[#This Row],[author_es]],autorest[author_es],autorest[image])</f>
        <v>https://i.ibb.co/BKdVkDB2/africa.png</v>
      </c>
      <c r="R635">
        <f>_xlfn.XLOOKUP(frasest[[#This Row],[author_es]],autorest[author_es],autorest[image_atr])</f>
        <v>0</v>
      </c>
    </row>
    <row r="636" spans="1:18">
      <c r="A636">
        <v>635</v>
      </c>
      <c r="B636" t="s">
        <v>2188</v>
      </c>
      <c r="C636" t="s">
        <v>2189</v>
      </c>
      <c r="D636" t="s">
        <v>2188</v>
      </c>
      <c r="E636" t="s">
        <v>2168</v>
      </c>
      <c r="G636" t="str">
        <f>_xlfn.XLOOKUP(frasest[[#This Row],[author_es]],autorest[author_es],autorest[author_la])</f>
        <v>Proverbium Africanum</v>
      </c>
      <c r="H636"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6"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6" t="e">
        <f>_xlfn.XLOOKUP(frasest[[#This Row],[author_es]],autorest[author_es],autorest[iso3691])</f>
        <v>#N/A</v>
      </c>
      <c r="K636">
        <f>_xlfn.XLOOKUP(frasest[[#This Row],[author_es]],autorest[author_es],autorest[language_es])</f>
        <v>0</v>
      </c>
      <c r="L636" t="e">
        <f>_xlfn.XLOOKUP(frasest[[#This Row],[author_es]],autorest[author_es],autorest[language_la])</f>
        <v>#N/A</v>
      </c>
      <c r="M636">
        <f>_xlfn.XLOOKUP(frasest[[#This Row],[author_es]],autorest[author_es],autorest[nation_es])</f>
        <v>0</v>
      </c>
      <c r="N636" t="e">
        <f>_xlfn.XLOOKUP(frasest[[#This Row],[author_es]],autorest[author_es],autorest[nation_la])</f>
        <v>#N/A</v>
      </c>
      <c r="O636" t="str">
        <f>_xlfn.XLOOKUP(frasest[[#This Row],[author_es]],autorest[author_es],autorest[age_es])</f>
        <v>Epoca Desconocida</v>
      </c>
      <c r="P636" t="str">
        <f>_xlfn.XLOOKUP(frasest[[#This Row],[author_es]],autorest[author_es],autorest[age_la])</f>
        <v>Epocha Ignota</v>
      </c>
      <c r="Q636" t="str">
        <f>_xlfn.XLOOKUP(frasest[[#This Row],[author_es]],autorest[author_es],autorest[image])</f>
        <v>https://i.ibb.co/BKdVkDB2/africa.png</v>
      </c>
      <c r="R636">
        <f>_xlfn.XLOOKUP(frasest[[#This Row],[author_es]],autorest[author_es],autorest[image_atr])</f>
        <v>0</v>
      </c>
    </row>
    <row r="637" spans="1:18">
      <c r="A637">
        <v>636</v>
      </c>
      <c r="B637" t="s">
        <v>2190</v>
      </c>
      <c r="C637" t="s">
        <v>2191</v>
      </c>
      <c r="D637" t="s">
        <v>2190</v>
      </c>
      <c r="E637" t="s">
        <v>2168</v>
      </c>
      <c r="G637" t="str">
        <f>_xlfn.XLOOKUP(frasest[[#This Row],[author_es]],autorest[author_es],autorest[author_la])</f>
        <v>Proverbium Africanum</v>
      </c>
      <c r="H637" t="str">
        <f>_xlfn.XLOOKUP(frasest[[#This Row],[author_es]],autorest[author_es],autorest[bio_es])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I637" t="str">
        <f>_xlfn.XLOOKUP(frasest[[#This Row],[author_es]],autorest[author_es],autorest[bio_la])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J637" t="e">
        <f>_xlfn.XLOOKUP(frasest[[#This Row],[author_es]],autorest[author_es],autorest[iso3691])</f>
        <v>#N/A</v>
      </c>
      <c r="K637">
        <f>_xlfn.XLOOKUP(frasest[[#This Row],[author_es]],autorest[author_es],autorest[language_es])</f>
        <v>0</v>
      </c>
      <c r="L637" t="e">
        <f>_xlfn.XLOOKUP(frasest[[#This Row],[author_es]],autorest[author_es],autorest[language_la])</f>
        <v>#N/A</v>
      </c>
      <c r="M637">
        <f>_xlfn.XLOOKUP(frasest[[#This Row],[author_es]],autorest[author_es],autorest[nation_es])</f>
        <v>0</v>
      </c>
      <c r="N637" t="e">
        <f>_xlfn.XLOOKUP(frasest[[#This Row],[author_es]],autorest[author_es],autorest[nation_la])</f>
        <v>#N/A</v>
      </c>
      <c r="O637" t="str">
        <f>_xlfn.XLOOKUP(frasest[[#This Row],[author_es]],autorest[author_es],autorest[age_es])</f>
        <v>Epoca Desconocida</v>
      </c>
      <c r="P637" t="str">
        <f>_xlfn.XLOOKUP(frasest[[#This Row],[author_es]],autorest[author_es],autorest[age_la])</f>
        <v>Epocha Ignota</v>
      </c>
      <c r="Q637" t="str">
        <f>_xlfn.XLOOKUP(frasest[[#This Row],[author_es]],autorest[author_es],autorest[image])</f>
        <v>https://i.ibb.co/BKdVkDB2/africa.png</v>
      </c>
      <c r="R637">
        <f>_xlfn.XLOOKUP(frasest[[#This Row],[author_es]],autorest[author_es],autorest[image_atr])</f>
        <v>0</v>
      </c>
    </row>
    <row r="638" spans="1:18">
      <c r="A638">
        <v>637</v>
      </c>
      <c r="B638" t="s">
        <v>2192</v>
      </c>
      <c r="C638" t="s">
        <v>2193</v>
      </c>
      <c r="D638" t="s">
        <v>2194</v>
      </c>
      <c r="E638" t="s">
        <v>2172</v>
      </c>
      <c r="G638" t="str">
        <f>_xlfn.XLOOKUP(frasest[[#This Row],[author_es]],autorest[author_es],autorest[author_la])</f>
        <v>Proverbium Iudaicum</v>
      </c>
      <c r="H638"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8"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8" t="str">
        <f>_xlfn.XLOOKUP(frasest[[#This Row],[author_es]],autorest[author_es],autorest[iso3691])</f>
        <v>he</v>
      </c>
      <c r="K638" t="str">
        <f>_xlfn.XLOOKUP(frasest[[#This Row],[author_es]],autorest[author_es],autorest[language_es])</f>
        <v>Hebreo</v>
      </c>
      <c r="L638" t="str">
        <f>_xlfn.XLOOKUP(frasest[[#This Row],[author_es]],autorest[author_es],autorest[language_la])</f>
        <v>Lingua Hebraica</v>
      </c>
      <c r="M638" t="str">
        <f>_xlfn.XLOOKUP(frasest[[#This Row],[author_es]],autorest[author_es],autorest[nation_es])</f>
        <v>Israel</v>
      </c>
      <c r="N638" t="str">
        <f>_xlfn.XLOOKUP(frasest[[#This Row],[author_es]],autorest[author_es],autorest[nation_la])</f>
        <v>Israel</v>
      </c>
      <c r="O638" t="str">
        <f>_xlfn.XLOOKUP(frasest[[#This Row],[author_es]],autorest[author_es],autorest[age_es])</f>
        <v>Epoca Desconocida</v>
      </c>
      <c r="P638" t="str">
        <f>_xlfn.XLOOKUP(frasest[[#This Row],[author_es]],autorest[author_es],autorest[age_la])</f>
        <v>Epocha Ignota</v>
      </c>
      <c r="Q638" t="str">
        <f>_xlfn.XLOOKUP(frasest[[#This Row],[author_es]],autorest[author_es],autorest[image])</f>
        <v>https://i.ibb.co/HDXxrpfv/israel.png</v>
      </c>
      <c r="R638">
        <f>_xlfn.XLOOKUP(frasest[[#This Row],[author_es]],autorest[author_es],autorest[image_atr])</f>
        <v>0</v>
      </c>
    </row>
    <row r="639" spans="1:18">
      <c r="A639">
        <v>638</v>
      </c>
      <c r="B639" t="s">
        <v>2195</v>
      </c>
      <c r="C639" t="s">
        <v>2196</v>
      </c>
      <c r="D639" t="s">
        <v>2197</v>
      </c>
      <c r="E639" t="s">
        <v>2172</v>
      </c>
      <c r="G639" t="str">
        <f>_xlfn.XLOOKUP(frasest[[#This Row],[author_es]],autorest[author_es],autorest[author_la])</f>
        <v>Proverbium Iudaicum</v>
      </c>
      <c r="H639"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39"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39" t="str">
        <f>_xlfn.XLOOKUP(frasest[[#This Row],[author_es]],autorest[author_es],autorest[iso3691])</f>
        <v>he</v>
      </c>
      <c r="K639" t="str">
        <f>_xlfn.XLOOKUP(frasest[[#This Row],[author_es]],autorest[author_es],autorest[language_es])</f>
        <v>Hebreo</v>
      </c>
      <c r="L639" t="str">
        <f>_xlfn.XLOOKUP(frasest[[#This Row],[author_es]],autorest[author_es],autorest[language_la])</f>
        <v>Lingua Hebraica</v>
      </c>
      <c r="M639" t="str">
        <f>_xlfn.XLOOKUP(frasest[[#This Row],[author_es]],autorest[author_es],autorest[nation_es])</f>
        <v>Israel</v>
      </c>
      <c r="N639" t="str">
        <f>_xlfn.XLOOKUP(frasest[[#This Row],[author_es]],autorest[author_es],autorest[nation_la])</f>
        <v>Israel</v>
      </c>
      <c r="O639" t="str">
        <f>_xlfn.XLOOKUP(frasest[[#This Row],[author_es]],autorest[author_es],autorest[age_es])</f>
        <v>Epoca Desconocida</v>
      </c>
      <c r="P639" t="str">
        <f>_xlfn.XLOOKUP(frasest[[#This Row],[author_es]],autorest[author_es],autorest[age_la])</f>
        <v>Epocha Ignota</v>
      </c>
      <c r="Q639" t="str">
        <f>_xlfn.XLOOKUP(frasest[[#This Row],[author_es]],autorest[author_es],autorest[image])</f>
        <v>https://i.ibb.co/HDXxrpfv/israel.png</v>
      </c>
      <c r="R639">
        <f>_xlfn.XLOOKUP(frasest[[#This Row],[author_es]],autorest[author_es],autorest[image_atr])</f>
        <v>0</v>
      </c>
    </row>
    <row r="640" spans="1:18">
      <c r="A640">
        <v>639</v>
      </c>
      <c r="B640" t="s">
        <v>2198</v>
      </c>
      <c r="C640" t="s">
        <v>2199</v>
      </c>
      <c r="D640" t="s">
        <v>2200</v>
      </c>
      <c r="E640" t="s">
        <v>2172</v>
      </c>
      <c r="G640" t="str">
        <f>_xlfn.XLOOKUP(frasest[[#This Row],[author_es]],autorest[author_es],autorest[author_la])</f>
        <v>Proverbium Iudaicum</v>
      </c>
      <c r="H640"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0"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0" t="str">
        <f>_xlfn.XLOOKUP(frasest[[#This Row],[author_es]],autorest[author_es],autorest[iso3691])</f>
        <v>he</v>
      </c>
      <c r="K640" t="str">
        <f>_xlfn.XLOOKUP(frasest[[#This Row],[author_es]],autorest[author_es],autorest[language_es])</f>
        <v>Hebreo</v>
      </c>
      <c r="L640" t="str">
        <f>_xlfn.XLOOKUP(frasest[[#This Row],[author_es]],autorest[author_es],autorest[language_la])</f>
        <v>Lingua Hebraica</v>
      </c>
      <c r="M640" t="str">
        <f>_xlfn.XLOOKUP(frasest[[#This Row],[author_es]],autorest[author_es],autorest[nation_es])</f>
        <v>Israel</v>
      </c>
      <c r="N640" t="str">
        <f>_xlfn.XLOOKUP(frasest[[#This Row],[author_es]],autorest[author_es],autorest[nation_la])</f>
        <v>Israel</v>
      </c>
      <c r="O640" t="str">
        <f>_xlfn.XLOOKUP(frasest[[#This Row],[author_es]],autorest[author_es],autorest[age_es])</f>
        <v>Epoca Desconocida</v>
      </c>
      <c r="P640" t="str">
        <f>_xlfn.XLOOKUP(frasest[[#This Row],[author_es]],autorest[author_es],autorest[age_la])</f>
        <v>Epocha Ignota</v>
      </c>
      <c r="Q640" t="str">
        <f>_xlfn.XLOOKUP(frasest[[#This Row],[author_es]],autorest[author_es],autorest[image])</f>
        <v>https://i.ibb.co/HDXxrpfv/israel.png</v>
      </c>
      <c r="R640">
        <f>_xlfn.XLOOKUP(frasest[[#This Row],[author_es]],autorest[author_es],autorest[image_atr])</f>
        <v>0</v>
      </c>
    </row>
    <row r="641" spans="1:18">
      <c r="A641">
        <v>640</v>
      </c>
      <c r="B641" t="s">
        <v>2201</v>
      </c>
      <c r="C641" t="s">
        <v>2202</v>
      </c>
      <c r="D641" t="s">
        <v>2203</v>
      </c>
      <c r="E641" t="s">
        <v>2172</v>
      </c>
      <c r="G641" t="str">
        <f>_xlfn.XLOOKUP(frasest[[#This Row],[author_es]],autorest[author_es],autorest[author_la])</f>
        <v>Proverbium Iudaicum</v>
      </c>
      <c r="H641"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1"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1" t="str">
        <f>_xlfn.XLOOKUP(frasest[[#This Row],[author_es]],autorest[author_es],autorest[iso3691])</f>
        <v>he</v>
      </c>
      <c r="K641" t="str">
        <f>_xlfn.XLOOKUP(frasest[[#This Row],[author_es]],autorest[author_es],autorest[language_es])</f>
        <v>Hebreo</v>
      </c>
      <c r="L641" t="str">
        <f>_xlfn.XLOOKUP(frasest[[#This Row],[author_es]],autorest[author_es],autorest[language_la])</f>
        <v>Lingua Hebraica</v>
      </c>
      <c r="M641" t="str">
        <f>_xlfn.XLOOKUP(frasest[[#This Row],[author_es]],autorest[author_es],autorest[nation_es])</f>
        <v>Israel</v>
      </c>
      <c r="N641" t="str">
        <f>_xlfn.XLOOKUP(frasest[[#This Row],[author_es]],autorest[author_es],autorest[nation_la])</f>
        <v>Israel</v>
      </c>
      <c r="O641" t="str">
        <f>_xlfn.XLOOKUP(frasest[[#This Row],[author_es]],autorest[author_es],autorest[age_es])</f>
        <v>Epoca Desconocida</v>
      </c>
      <c r="P641" t="str">
        <f>_xlfn.XLOOKUP(frasest[[#This Row],[author_es]],autorest[author_es],autorest[age_la])</f>
        <v>Epocha Ignota</v>
      </c>
      <c r="Q641" t="str">
        <f>_xlfn.XLOOKUP(frasest[[#This Row],[author_es]],autorest[author_es],autorest[image])</f>
        <v>https://i.ibb.co/HDXxrpfv/israel.png</v>
      </c>
      <c r="R641">
        <f>_xlfn.XLOOKUP(frasest[[#This Row],[author_es]],autorest[author_es],autorest[image_atr])</f>
        <v>0</v>
      </c>
    </row>
    <row r="642" spans="1:18">
      <c r="A642">
        <v>641</v>
      </c>
      <c r="B642" t="s">
        <v>2204</v>
      </c>
      <c r="C642" t="s">
        <v>2205</v>
      </c>
      <c r="D642" t="s">
        <v>2206</v>
      </c>
      <c r="E642" t="s">
        <v>2172</v>
      </c>
      <c r="G642" t="str">
        <f>_xlfn.XLOOKUP(frasest[[#This Row],[author_es]],autorest[author_es],autorest[author_la])</f>
        <v>Proverbium Iudaicum</v>
      </c>
      <c r="H642"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2"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2" t="str">
        <f>_xlfn.XLOOKUP(frasest[[#This Row],[author_es]],autorest[author_es],autorest[iso3691])</f>
        <v>he</v>
      </c>
      <c r="K642" t="str">
        <f>_xlfn.XLOOKUP(frasest[[#This Row],[author_es]],autorest[author_es],autorest[language_es])</f>
        <v>Hebreo</v>
      </c>
      <c r="L642" t="str">
        <f>_xlfn.XLOOKUP(frasest[[#This Row],[author_es]],autorest[author_es],autorest[language_la])</f>
        <v>Lingua Hebraica</v>
      </c>
      <c r="M642" t="str">
        <f>_xlfn.XLOOKUP(frasest[[#This Row],[author_es]],autorest[author_es],autorest[nation_es])</f>
        <v>Israel</v>
      </c>
      <c r="N642" t="str">
        <f>_xlfn.XLOOKUP(frasest[[#This Row],[author_es]],autorest[author_es],autorest[nation_la])</f>
        <v>Israel</v>
      </c>
      <c r="O642" t="str">
        <f>_xlfn.XLOOKUP(frasest[[#This Row],[author_es]],autorest[author_es],autorest[age_es])</f>
        <v>Epoca Desconocida</v>
      </c>
      <c r="P642" t="str">
        <f>_xlfn.XLOOKUP(frasest[[#This Row],[author_es]],autorest[author_es],autorest[age_la])</f>
        <v>Epocha Ignota</v>
      </c>
      <c r="Q642" t="str">
        <f>_xlfn.XLOOKUP(frasest[[#This Row],[author_es]],autorest[author_es],autorest[image])</f>
        <v>https://i.ibb.co/HDXxrpfv/israel.png</v>
      </c>
      <c r="R642">
        <f>_xlfn.XLOOKUP(frasest[[#This Row],[author_es]],autorest[author_es],autorest[image_atr])</f>
        <v>0</v>
      </c>
    </row>
    <row r="643" spans="1:18">
      <c r="A643">
        <v>642</v>
      </c>
      <c r="B643" t="s">
        <v>2207</v>
      </c>
      <c r="C643" t="s">
        <v>2208</v>
      </c>
      <c r="D643" t="s">
        <v>2209</v>
      </c>
      <c r="E643" t="s">
        <v>2172</v>
      </c>
      <c r="G643" t="str">
        <f>_xlfn.XLOOKUP(frasest[[#This Row],[author_es]],autorest[author_es],autorest[author_la])</f>
        <v>Proverbium Iudaicum</v>
      </c>
      <c r="H643"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3"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3" t="str">
        <f>_xlfn.XLOOKUP(frasest[[#This Row],[author_es]],autorest[author_es],autorest[iso3691])</f>
        <v>he</v>
      </c>
      <c r="K643" t="str">
        <f>_xlfn.XLOOKUP(frasest[[#This Row],[author_es]],autorest[author_es],autorest[language_es])</f>
        <v>Hebreo</v>
      </c>
      <c r="L643" t="str">
        <f>_xlfn.XLOOKUP(frasest[[#This Row],[author_es]],autorest[author_es],autorest[language_la])</f>
        <v>Lingua Hebraica</v>
      </c>
      <c r="M643" t="str">
        <f>_xlfn.XLOOKUP(frasest[[#This Row],[author_es]],autorest[author_es],autorest[nation_es])</f>
        <v>Israel</v>
      </c>
      <c r="N643" t="str">
        <f>_xlfn.XLOOKUP(frasest[[#This Row],[author_es]],autorest[author_es],autorest[nation_la])</f>
        <v>Israel</v>
      </c>
      <c r="O643" t="str">
        <f>_xlfn.XLOOKUP(frasest[[#This Row],[author_es]],autorest[author_es],autorest[age_es])</f>
        <v>Epoca Desconocida</v>
      </c>
      <c r="P643" t="str">
        <f>_xlfn.XLOOKUP(frasest[[#This Row],[author_es]],autorest[author_es],autorest[age_la])</f>
        <v>Epocha Ignota</v>
      </c>
      <c r="Q643" t="str">
        <f>_xlfn.XLOOKUP(frasest[[#This Row],[author_es]],autorest[author_es],autorest[image])</f>
        <v>https://i.ibb.co/HDXxrpfv/israel.png</v>
      </c>
      <c r="R643">
        <f>_xlfn.XLOOKUP(frasest[[#This Row],[author_es]],autorest[author_es],autorest[image_atr])</f>
        <v>0</v>
      </c>
    </row>
    <row r="644" spans="1:18">
      <c r="A644">
        <v>643</v>
      </c>
      <c r="B644" t="s">
        <v>2210</v>
      </c>
      <c r="C644" t="s">
        <v>2211</v>
      </c>
      <c r="D644" t="s">
        <v>2212</v>
      </c>
      <c r="E644" t="s">
        <v>2172</v>
      </c>
      <c r="G644" t="str">
        <f>_xlfn.XLOOKUP(frasest[[#This Row],[author_es]],autorest[author_es],autorest[author_la])</f>
        <v>Proverbium Iudaicum</v>
      </c>
      <c r="H644"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4"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4" t="str">
        <f>_xlfn.XLOOKUP(frasest[[#This Row],[author_es]],autorest[author_es],autorest[iso3691])</f>
        <v>he</v>
      </c>
      <c r="K644" t="str">
        <f>_xlfn.XLOOKUP(frasest[[#This Row],[author_es]],autorest[author_es],autorest[language_es])</f>
        <v>Hebreo</v>
      </c>
      <c r="L644" t="str">
        <f>_xlfn.XLOOKUP(frasest[[#This Row],[author_es]],autorest[author_es],autorest[language_la])</f>
        <v>Lingua Hebraica</v>
      </c>
      <c r="M644" t="str">
        <f>_xlfn.XLOOKUP(frasest[[#This Row],[author_es]],autorest[author_es],autorest[nation_es])</f>
        <v>Israel</v>
      </c>
      <c r="N644" t="str">
        <f>_xlfn.XLOOKUP(frasest[[#This Row],[author_es]],autorest[author_es],autorest[nation_la])</f>
        <v>Israel</v>
      </c>
      <c r="O644" t="str">
        <f>_xlfn.XLOOKUP(frasest[[#This Row],[author_es]],autorest[author_es],autorest[age_es])</f>
        <v>Epoca Desconocida</v>
      </c>
      <c r="P644" t="str">
        <f>_xlfn.XLOOKUP(frasest[[#This Row],[author_es]],autorest[author_es],autorest[age_la])</f>
        <v>Epocha Ignota</v>
      </c>
      <c r="Q644" t="str">
        <f>_xlfn.XLOOKUP(frasest[[#This Row],[author_es]],autorest[author_es],autorest[image])</f>
        <v>https://i.ibb.co/HDXxrpfv/israel.png</v>
      </c>
      <c r="R644">
        <f>_xlfn.XLOOKUP(frasest[[#This Row],[author_es]],autorest[author_es],autorest[image_atr])</f>
        <v>0</v>
      </c>
    </row>
    <row r="645" spans="1:18">
      <c r="A645">
        <v>644</v>
      </c>
      <c r="B645" t="s">
        <v>2213</v>
      </c>
      <c r="C645" t="s">
        <v>2214</v>
      </c>
      <c r="D645" t="s">
        <v>2215</v>
      </c>
      <c r="E645" t="s">
        <v>2172</v>
      </c>
      <c r="G645" t="str">
        <f>_xlfn.XLOOKUP(frasest[[#This Row],[author_es]],autorest[author_es],autorest[author_la])</f>
        <v>Proverbium Iudaicum</v>
      </c>
      <c r="H645" t="str">
        <f>_xlfn.XLOOKUP(frasest[[#This Row],[author_es]],autorest[author_es],autorest[bio_es])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I645" t="str">
        <f>_xlfn.XLOOKUP(frasest[[#This Row],[author_es]],autorest[author_es],autorest[bio_la])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J645" t="str">
        <f>_xlfn.XLOOKUP(frasest[[#This Row],[author_es]],autorest[author_es],autorest[iso3691])</f>
        <v>he</v>
      </c>
      <c r="K645" t="str">
        <f>_xlfn.XLOOKUP(frasest[[#This Row],[author_es]],autorest[author_es],autorest[language_es])</f>
        <v>Hebreo</v>
      </c>
      <c r="L645" t="str">
        <f>_xlfn.XLOOKUP(frasest[[#This Row],[author_es]],autorest[author_es],autorest[language_la])</f>
        <v>Lingua Hebraica</v>
      </c>
      <c r="M645" t="str">
        <f>_xlfn.XLOOKUP(frasest[[#This Row],[author_es]],autorest[author_es],autorest[nation_es])</f>
        <v>Israel</v>
      </c>
      <c r="N645" t="str">
        <f>_xlfn.XLOOKUP(frasest[[#This Row],[author_es]],autorest[author_es],autorest[nation_la])</f>
        <v>Israel</v>
      </c>
      <c r="O645" t="str">
        <f>_xlfn.XLOOKUP(frasest[[#This Row],[author_es]],autorest[author_es],autorest[age_es])</f>
        <v>Epoca Desconocida</v>
      </c>
      <c r="P645" t="str">
        <f>_xlfn.XLOOKUP(frasest[[#This Row],[author_es]],autorest[author_es],autorest[age_la])</f>
        <v>Epocha Ignota</v>
      </c>
      <c r="Q645" t="str">
        <f>_xlfn.XLOOKUP(frasest[[#This Row],[author_es]],autorest[author_es],autorest[image])</f>
        <v>https://i.ibb.co/HDXxrpfv/israel.png</v>
      </c>
      <c r="R645">
        <f>_xlfn.XLOOKUP(frasest[[#This Row],[author_es]],autorest[author_es],autorest[image_atr])</f>
        <v>0</v>
      </c>
    </row>
    <row r="646" spans="1:18">
      <c r="A646">
        <v>645</v>
      </c>
      <c r="B646" t="s">
        <v>2216</v>
      </c>
      <c r="C646" t="s">
        <v>2217</v>
      </c>
      <c r="D646" t="s">
        <v>2218</v>
      </c>
      <c r="E646" t="s">
        <v>1236</v>
      </c>
      <c r="G646" t="str">
        <f>_xlfn.XLOOKUP(frasest[[#This Row],[author_es]],autorest[author_es],autorest[author_la])</f>
        <v>Sententia Vasconica</v>
      </c>
      <c r="H646" t="str">
        <f>_xlfn.XLOOKUP(frasest[[#This Row],[author_es]],autorest[author_es],autorest[bio_es])</f>
        <v>Proverbios de la tradición oral vasca que reflejan la relación con la naturaleza, el trabajo y los valores comunitarios del pueblo vasco.</v>
      </c>
      <c r="I646" t="str">
        <f>_xlfn.XLOOKUP(frasest[[#This Row],[author_es]],autorest[author_es],autorest[bio_la])</f>
        <v>Collectio sententiarum Vasconicarum.</v>
      </c>
      <c r="J646" t="str">
        <f>_xlfn.XLOOKUP(frasest[[#This Row],[author_es]],autorest[author_es],autorest[iso3691])</f>
        <v>eu</v>
      </c>
      <c r="K646" t="str">
        <f>_xlfn.XLOOKUP(frasest[[#This Row],[author_es]],autorest[author_es],autorest[language_es])</f>
        <v>Euskara</v>
      </c>
      <c r="L646" t="str">
        <f>_xlfn.XLOOKUP(frasest[[#This Row],[author_es]],autorest[author_es],autorest[language_la])</f>
        <v>Lingua Vasconica</v>
      </c>
      <c r="M646" t="str">
        <f>_xlfn.XLOOKUP(frasest[[#This Row],[author_es]],autorest[author_es],autorest[nation_es])</f>
        <v>España</v>
      </c>
      <c r="N646" t="str">
        <f>_xlfn.XLOOKUP(frasest[[#This Row],[author_es]],autorest[author_es],autorest[nation_la])</f>
        <v>Hispania</v>
      </c>
      <c r="O646" t="str">
        <f>_xlfn.XLOOKUP(frasest[[#This Row],[author_es]],autorest[author_es],autorest[age_es])</f>
        <v>Epoca Desconocida</v>
      </c>
      <c r="P646" t="str">
        <f>_xlfn.XLOOKUP(frasest[[#This Row],[author_es]],autorest[author_es],autorest[age_la])</f>
        <v>Epocha Ignota</v>
      </c>
      <c r="Q646" t="str">
        <f>_xlfn.XLOOKUP(frasest[[#This Row],[author_es]],autorest[author_es],autorest[image])</f>
        <v>https://i.ibb.co/bjgxB3kn/euskadi.png</v>
      </c>
      <c r="R646">
        <f>_xlfn.XLOOKUP(frasest[[#This Row],[author_es]],autorest[author_es],autorest[image_atr])</f>
        <v>0</v>
      </c>
    </row>
    <row r="647" spans="1:18">
      <c r="A647">
        <v>646</v>
      </c>
      <c r="B647" t="s">
        <v>2219</v>
      </c>
      <c r="C647" t="s">
        <v>2220</v>
      </c>
      <c r="D647" t="s">
        <v>2221</v>
      </c>
      <c r="E647" t="s">
        <v>1236</v>
      </c>
      <c r="G647" t="str">
        <f>_xlfn.XLOOKUP(frasest[[#This Row],[author_es]],autorest[author_es],autorest[author_la])</f>
        <v>Sententia Vasconica</v>
      </c>
      <c r="H647" t="str">
        <f>_xlfn.XLOOKUP(frasest[[#This Row],[author_es]],autorest[author_es],autorest[bio_es])</f>
        <v>Proverbios de la tradición oral vasca que reflejan la relación con la naturaleza, el trabajo y los valores comunitarios del pueblo vasco.</v>
      </c>
      <c r="I647" t="str">
        <f>_xlfn.XLOOKUP(frasest[[#This Row],[author_es]],autorest[author_es],autorest[bio_la])</f>
        <v>Collectio sententiarum Vasconicarum.</v>
      </c>
      <c r="J647" t="str">
        <f>_xlfn.XLOOKUP(frasest[[#This Row],[author_es]],autorest[author_es],autorest[iso3691])</f>
        <v>eu</v>
      </c>
      <c r="K647" t="str">
        <f>_xlfn.XLOOKUP(frasest[[#This Row],[author_es]],autorest[author_es],autorest[language_es])</f>
        <v>Euskara</v>
      </c>
      <c r="L647" t="str">
        <f>_xlfn.XLOOKUP(frasest[[#This Row],[author_es]],autorest[author_es],autorest[language_la])</f>
        <v>Lingua Vasconica</v>
      </c>
      <c r="M647" t="str">
        <f>_xlfn.XLOOKUP(frasest[[#This Row],[author_es]],autorest[author_es],autorest[nation_es])</f>
        <v>España</v>
      </c>
      <c r="N647" t="str">
        <f>_xlfn.XLOOKUP(frasest[[#This Row],[author_es]],autorest[author_es],autorest[nation_la])</f>
        <v>Hispania</v>
      </c>
      <c r="O647" t="str">
        <f>_xlfn.XLOOKUP(frasest[[#This Row],[author_es]],autorest[author_es],autorest[age_es])</f>
        <v>Epoca Desconocida</v>
      </c>
      <c r="P647" t="str">
        <f>_xlfn.XLOOKUP(frasest[[#This Row],[author_es]],autorest[author_es],autorest[age_la])</f>
        <v>Epocha Ignota</v>
      </c>
      <c r="Q647" t="str">
        <f>_xlfn.XLOOKUP(frasest[[#This Row],[author_es]],autorest[author_es],autorest[image])</f>
        <v>https://i.ibb.co/bjgxB3kn/euskadi.png</v>
      </c>
      <c r="R647">
        <f>_xlfn.XLOOKUP(frasest[[#This Row],[author_es]],autorest[author_es],autorest[image_atr])</f>
        <v>0</v>
      </c>
    </row>
    <row r="648" spans="1:18">
      <c r="A648">
        <v>647</v>
      </c>
      <c r="B648" t="s">
        <v>2222</v>
      </c>
      <c r="C648" t="s">
        <v>2223</v>
      </c>
      <c r="D648" t="s">
        <v>2224</v>
      </c>
      <c r="E648" t="s">
        <v>1236</v>
      </c>
      <c r="G648" t="str">
        <f>_xlfn.XLOOKUP(frasest[[#This Row],[author_es]],autorest[author_es],autorest[author_la])</f>
        <v>Sententia Vasconica</v>
      </c>
      <c r="H648" t="str">
        <f>_xlfn.XLOOKUP(frasest[[#This Row],[author_es]],autorest[author_es],autorest[bio_es])</f>
        <v>Proverbios de la tradición oral vasca que reflejan la relación con la naturaleza, el trabajo y los valores comunitarios del pueblo vasco.</v>
      </c>
      <c r="I648" t="str">
        <f>_xlfn.XLOOKUP(frasest[[#This Row],[author_es]],autorest[author_es],autorest[bio_la])</f>
        <v>Collectio sententiarum Vasconicarum.</v>
      </c>
      <c r="J648" t="str">
        <f>_xlfn.XLOOKUP(frasest[[#This Row],[author_es]],autorest[author_es],autorest[iso3691])</f>
        <v>eu</v>
      </c>
      <c r="K648" t="str">
        <f>_xlfn.XLOOKUP(frasest[[#This Row],[author_es]],autorest[author_es],autorest[language_es])</f>
        <v>Euskara</v>
      </c>
      <c r="L648" t="str">
        <f>_xlfn.XLOOKUP(frasest[[#This Row],[author_es]],autorest[author_es],autorest[language_la])</f>
        <v>Lingua Vasconica</v>
      </c>
      <c r="M648" t="str">
        <f>_xlfn.XLOOKUP(frasest[[#This Row],[author_es]],autorest[author_es],autorest[nation_es])</f>
        <v>España</v>
      </c>
      <c r="N648" t="str">
        <f>_xlfn.XLOOKUP(frasest[[#This Row],[author_es]],autorest[author_es],autorest[nation_la])</f>
        <v>Hispania</v>
      </c>
      <c r="O648" t="str">
        <f>_xlfn.XLOOKUP(frasest[[#This Row],[author_es]],autorest[author_es],autorest[age_es])</f>
        <v>Epoca Desconocida</v>
      </c>
      <c r="P648" t="str">
        <f>_xlfn.XLOOKUP(frasest[[#This Row],[author_es]],autorest[author_es],autorest[age_la])</f>
        <v>Epocha Ignota</v>
      </c>
      <c r="Q648" t="str">
        <f>_xlfn.XLOOKUP(frasest[[#This Row],[author_es]],autorest[author_es],autorest[image])</f>
        <v>https://i.ibb.co/bjgxB3kn/euskadi.png</v>
      </c>
      <c r="R648">
        <f>_xlfn.XLOOKUP(frasest[[#This Row],[author_es]],autorest[author_es],autorest[image_atr])</f>
        <v>0</v>
      </c>
    </row>
    <row r="649" spans="1:18">
      <c r="A649">
        <v>648</v>
      </c>
      <c r="B649" t="s">
        <v>2225</v>
      </c>
      <c r="C649" t="s">
        <v>2226</v>
      </c>
      <c r="D649" t="s">
        <v>2227</v>
      </c>
      <c r="E649" t="s">
        <v>1236</v>
      </c>
      <c r="G649" t="str">
        <f>_xlfn.XLOOKUP(frasest[[#This Row],[author_es]],autorest[author_es],autorest[author_la])</f>
        <v>Sententia Vasconica</v>
      </c>
      <c r="H649" t="str">
        <f>_xlfn.XLOOKUP(frasest[[#This Row],[author_es]],autorest[author_es],autorest[bio_es])</f>
        <v>Proverbios de la tradición oral vasca que reflejan la relación con la naturaleza, el trabajo y los valores comunitarios del pueblo vasco.</v>
      </c>
      <c r="I649" t="str">
        <f>_xlfn.XLOOKUP(frasest[[#This Row],[author_es]],autorest[author_es],autorest[bio_la])</f>
        <v>Collectio sententiarum Vasconicarum.</v>
      </c>
      <c r="J649" t="str">
        <f>_xlfn.XLOOKUP(frasest[[#This Row],[author_es]],autorest[author_es],autorest[iso3691])</f>
        <v>eu</v>
      </c>
      <c r="K649" t="str">
        <f>_xlfn.XLOOKUP(frasest[[#This Row],[author_es]],autorest[author_es],autorest[language_es])</f>
        <v>Euskara</v>
      </c>
      <c r="L649" t="str">
        <f>_xlfn.XLOOKUP(frasest[[#This Row],[author_es]],autorest[author_es],autorest[language_la])</f>
        <v>Lingua Vasconica</v>
      </c>
      <c r="M649" t="str">
        <f>_xlfn.XLOOKUP(frasest[[#This Row],[author_es]],autorest[author_es],autorest[nation_es])</f>
        <v>España</v>
      </c>
      <c r="N649" t="str">
        <f>_xlfn.XLOOKUP(frasest[[#This Row],[author_es]],autorest[author_es],autorest[nation_la])</f>
        <v>Hispania</v>
      </c>
      <c r="O649" t="str">
        <f>_xlfn.XLOOKUP(frasest[[#This Row],[author_es]],autorest[author_es],autorest[age_es])</f>
        <v>Epoca Desconocida</v>
      </c>
      <c r="P649" t="str">
        <f>_xlfn.XLOOKUP(frasest[[#This Row],[author_es]],autorest[author_es],autorest[age_la])</f>
        <v>Epocha Ignota</v>
      </c>
      <c r="Q649" t="str">
        <f>_xlfn.XLOOKUP(frasest[[#This Row],[author_es]],autorest[author_es],autorest[image])</f>
        <v>https://i.ibb.co/bjgxB3kn/euskadi.png</v>
      </c>
      <c r="R649">
        <f>_xlfn.XLOOKUP(frasest[[#This Row],[author_es]],autorest[author_es],autorest[image_atr])</f>
        <v>0</v>
      </c>
    </row>
    <row r="650" spans="1:18">
      <c r="A650">
        <v>649</v>
      </c>
      <c r="B650" t="s">
        <v>2228</v>
      </c>
      <c r="C650" t="s">
        <v>2229</v>
      </c>
      <c r="D650" t="s">
        <v>2230</v>
      </c>
      <c r="E650" t="s">
        <v>1236</v>
      </c>
      <c r="G650" t="str">
        <f>_xlfn.XLOOKUP(frasest[[#This Row],[author_es]],autorest[author_es],autorest[author_la])</f>
        <v>Sententia Vasconica</v>
      </c>
      <c r="H650" t="str">
        <f>_xlfn.XLOOKUP(frasest[[#This Row],[author_es]],autorest[author_es],autorest[bio_es])</f>
        <v>Proverbios de la tradición oral vasca que reflejan la relación con la naturaleza, el trabajo y los valores comunitarios del pueblo vasco.</v>
      </c>
      <c r="I650" t="str">
        <f>_xlfn.XLOOKUP(frasest[[#This Row],[author_es]],autorest[author_es],autorest[bio_la])</f>
        <v>Collectio sententiarum Vasconicarum.</v>
      </c>
      <c r="J650" t="str">
        <f>_xlfn.XLOOKUP(frasest[[#This Row],[author_es]],autorest[author_es],autorest[iso3691])</f>
        <v>eu</v>
      </c>
      <c r="K650" t="str">
        <f>_xlfn.XLOOKUP(frasest[[#This Row],[author_es]],autorest[author_es],autorest[language_es])</f>
        <v>Euskara</v>
      </c>
      <c r="L650" t="str">
        <f>_xlfn.XLOOKUP(frasest[[#This Row],[author_es]],autorest[author_es],autorest[language_la])</f>
        <v>Lingua Vasconica</v>
      </c>
      <c r="M650" t="str">
        <f>_xlfn.XLOOKUP(frasest[[#This Row],[author_es]],autorest[author_es],autorest[nation_es])</f>
        <v>España</v>
      </c>
      <c r="N650" t="str">
        <f>_xlfn.XLOOKUP(frasest[[#This Row],[author_es]],autorest[author_es],autorest[nation_la])</f>
        <v>Hispania</v>
      </c>
      <c r="O650" t="str">
        <f>_xlfn.XLOOKUP(frasest[[#This Row],[author_es]],autorest[author_es],autorest[age_es])</f>
        <v>Epoca Desconocida</v>
      </c>
      <c r="P650" t="str">
        <f>_xlfn.XLOOKUP(frasest[[#This Row],[author_es]],autorest[author_es],autorest[age_la])</f>
        <v>Epocha Ignota</v>
      </c>
      <c r="Q650" t="str">
        <f>_xlfn.XLOOKUP(frasest[[#This Row],[author_es]],autorest[author_es],autorest[image])</f>
        <v>https://i.ibb.co/bjgxB3kn/euskadi.png</v>
      </c>
      <c r="R650">
        <f>_xlfn.XLOOKUP(frasest[[#This Row],[author_es]],autorest[author_es],autorest[image_atr])</f>
        <v>0</v>
      </c>
    </row>
    <row r="651" spans="1:18">
      <c r="A651">
        <v>650</v>
      </c>
      <c r="B651" t="s">
        <v>2231</v>
      </c>
      <c r="C651" t="s">
        <v>2232</v>
      </c>
      <c r="D651" t="s">
        <v>2233</v>
      </c>
      <c r="E651" t="s">
        <v>1236</v>
      </c>
      <c r="G651" t="str">
        <f>_xlfn.XLOOKUP(frasest[[#This Row],[author_es]],autorest[author_es],autorest[author_la])</f>
        <v>Sententia Vasconica</v>
      </c>
      <c r="H651" t="str">
        <f>_xlfn.XLOOKUP(frasest[[#This Row],[author_es]],autorest[author_es],autorest[bio_es])</f>
        <v>Proverbios de la tradición oral vasca que reflejan la relación con la naturaleza, el trabajo y los valores comunitarios del pueblo vasco.</v>
      </c>
      <c r="I651" t="str">
        <f>_xlfn.XLOOKUP(frasest[[#This Row],[author_es]],autorest[author_es],autorest[bio_la])</f>
        <v>Collectio sententiarum Vasconicarum.</v>
      </c>
      <c r="J651" t="str">
        <f>_xlfn.XLOOKUP(frasest[[#This Row],[author_es]],autorest[author_es],autorest[iso3691])</f>
        <v>eu</v>
      </c>
      <c r="K651" t="str">
        <f>_xlfn.XLOOKUP(frasest[[#This Row],[author_es]],autorest[author_es],autorest[language_es])</f>
        <v>Euskara</v>
      </c>
      <c r="L651" t="str">
        <f>_xlfn.XLOOKUP(frasest[[#This Row],[author_es]],autorest[author_es],autorest[language_la])</f>
        <v>Lingua Vasconica</v>
      </c>
      <c r="M651" t="str">
        <f>_xlfn.XLOOKUP(frasest[[#This Row],[author_es]],autorest[author_es],autorest[nation_es])</f>
        <v>España</v>
      </c>
      <c r="N651" t="str">
        <f>_xlfn.XLOOKUP(frasest[[#This Row],[author_es]],autorest[author_es],autorest[nation_la])</f>
        <v>Hispania</v>
      </c>
      <c r="O651" t="str">
        <f>_xlfn.XLOOKUP(frasest[[#This Row],[author_es]],autorest[author_es],autorest[age_es])</f>
        <v>Epoca Desconocida</v>
      </c>
      <c r="P651" t="str">
        <f>_xlfn.XLOOKUP(frasest[[#This Row],[author_es]],autorest[author_es],autorest[age_la])</f>
        <v>Epocha Ignota</v>
      </c>
      <c r="Q651" t="str">
        <f>_xlfn.XLOOKUP(frasest[[#This Row],[author_es]],autorest[author_es],autorest[image])</f>
        <v>https://i.ibb.co/bjgxB3kn/euskadi.png</v>
      </c>
      <c r="R651">
        <f>_xlfn.XLOOKUP(frasest[[#This Row],[author_es]],autorest[author_es],autorest[image_atr])</f>
        <v>0</v>
      </c>
    </row>
    <row r="652" spans="1:18">
      <c r="A652">
        <v>651</v>
      </c>
      <c r="B652" t="s">
        <v>2234</v>
      </c>
      <c r="C652" t="s">
        <v>2235</v>
      </c>
      <c r="D652" t="s">
        <v>2236</v>
      </c>
      <c r="E652" t="s">
        <v>1236</v>
      </c>
      <c r="G652" t="str">
        <f>_xlfn.XLOOKUP(frasest[[#This Row],[author_es]],autorest[author_es],autorest[author_la])</f>
        <v>Sententia Vasconica</v>
      </c>
      <c r="H652" t="str">
        <f>_xlfn.XLOOKUP(frasest[[#This Row],[author_es]],autorest[author_es],autorest[bio_es])</f>
        <v>Proverbios de la tradición oral vasca que reflejan la relación con la naturaleza, el trabajo y los valores comunitarios del pueblo vasco.</v>
      </c>
      <c r="I652" t="str">
        <f>_xlfn.XLOOKUP(frasest[[#This Row],[author_es]],autorest[author_es],autorest[bio_la])</f>
        <v>Collectio sententiarum Vasconicarum.</v>
      </c>
      <c r="J652" t="str">
        <f>_xlfn.XLOOKUP(frasest[[#This Row],[author_es]],autorest[author_es],autorest[iso3691])</f>
        <v>eu</v>
      </c>
      <c r="K652" t="str">
        <f>_xlfn.XLOOKUP(frasest[[#This Row],[author_es]],autorest[author_es],autorest[language_es])</f>
        <v>Euskara</v>
      </c>
      <c r="L652" t="str">
        <f>_xlfn.XLOOKUP(frasest[[#This Row],[author_es]],autorest[author_es],autorest[language_la])</f>
        <v>Lingua Vasconica</v>
      </c>
      <c r="M652" t="str">
        <f>_xlfn.XLOOKUP(frasest[[#This Row],[author_es]],autorest[author_es],autorest[nation_es])</f>
        <v>España</v>
      </c>
      <c r="N652" t="str">
        <f>_xlfn.XLOOKUP(frasest[[#This Row],[author_es]],autorest[author_es],autorest[nation_la])</f>
        <v>Hispania</v>
      </c>
      <c r="O652" t="str">
        <f>_xlfn.XLOOKUP(frasest[[#This Row],[author_es]],autorest[author_es],autorest[age_es])</f>
        <v>Epoca Desconocida</v>
      </c>
      <c r="P652" t="str">
        <f>_xlfn.XLOOKUP(frasest[[#This Row],[author_es]],autorest[author_es],autorest[age_la])</f>
        <v>Epocha Ignota</v>
      </c>
      <c r="Q652" t="str">
        <f>_xlfn.XLOOKUP(frasest[[#This Row],[author_es]],autorest[author_es],autorest[image])</f>
        <v>https://i.ibb.co/bjgxB3kn/euskadi.png</v>
      </c>
      <c r="R652">
        <f>_xlfn.XLOOKUP(frasest[[#This Row],[author_es]],autorest[author_es],autorest[image_atr])</f>
        <v>0</v>
      </c>
    </row>
    <row r="653" spans="1:18">
      <c r="A653">
        <v>652</v>
      </c>
      <c r="B653" t="s">
        <v>2237</v>
      </c>
      <c r="C653" t="s">
        <v>2238</v>
      </c>
      <c r="D653" t="s">
        <v>2239</v>
      </c>
      <c r="E653" t="s">
        <v>1236</v>
      </c>
      <c r="G653" t="str">
        <f>_xlfn.XLOOKUP(frasest[[#This Row],[author_es]],autorest[author_es],autorest[author_la])</f>
        <v>Sententia Vasconica</v>
      </c>
      <c r="H653" t="str">
        <f>_xlfn.XLOOKUP(frasest[[#This Row],[author_es]],autorest[author_es],autorest[bio_es])</f>
        <v>Proverbios de la tradición oral vasca que reflejan la relación con la naturaleza, el trabajo y los valores comunitarios del pueblo vasco.</v>
      </c>
      <c r="I653" t="str">
        <f>_xlfn.XLOOKUP(frasest[[#This Row],[author_es]],autorest[author_es],autorest[bio_la])</f>
        <v>Collectio sententiarum Vasconicarum.</v>
      </c>
      <c r="J653" t="str">
        <f>_xlfn.XLOOKUP(frasest[[#This Row],[author_es]],autorest[author_es],autorest[iso3691])</f>
        <v>eu</v>
      </c>
      <c r="K653" t="str">
        <f>_xlfn.XLOOKUP(frasest[[#This Row],[author_es]],autorest[author_es],autorest[language_es])</f>
        <v>Euskara</v>
      </c>
      <c r="L653" t="str">
        <f>_xlfn.XLOOKUP(frasest[[#This Row],[author_es]],autorest[author_es],autorest[language_la])</f>
        <v>Lingua Vasconica</v>
      </c>
      <c r="M653" t="str">
        <f>_xlfn.XLOOKUP(frasest[[#This Row],[author_es]],autorest[author_es],autorest[nation_es])</f>
        <v>España</v>
      </c>
      <c r="N653" t="str">
        <f>_xlfn.XLOOKUP(frasest[[#This Row],[author_es]],autorest[author_es],autorest[nation_la])</f>
        <v>Hispania</v>
      </c>
      <c r="O653" t="str">
        <f>_xlfn.XLOOKUP(frasest[[#This Row],[author_es]],autorest[author_es],autorest[age_es])</f>
        <v>Epoca Desconocida</v>
      </c>
      <c r="P653" t="str">
        <f>_xlfn.XLOOKUP(frasest[[#This Row],[author_es]],autorest[author_es],autorest[age_la])</f>
        <v>Epocha Ignota</v>
      </c>
      <c r="Q653" t="str">
        <f>_xlfn.XLOOKUP(frasest[[#This Row],[author_es]],autorest[author_es],autorest[image])</f>
        <v>https://i.ibb.co/bjgxB3kn/euskadi.png</v>
      </c>
      <c r="R653">
        <f>_xlfn.XLOOKUP(frasest[[#This Row],[author_es]],autorest[author_es],autorest[image_atr])</f>
        <v>0</v>
      </c>
    </row>
    <row r="654" spans="1:18">
      <c r="A654">
        <v>653</v>
      </c>
      <c r="B654" t="s">
        <v>2240</v>
      </c>
      <c r="C654" t="s">
        <v>2241</v>
      </c>
      <c r="D654" t="s">
        <v>2242</v>
      </c>
      <c r="E654" t="s">
        <v>1236</v>
      </c>
      <c r="G654" t="str">
        <f>_xlfn.XLOOKUP(frasest[[#This Row],[author_es]],autorest[author_es],autorest[author_la])</f>
        <v>Sententia Vasconica</v>
      </c>
      <c r="H654" t="str">
        <f>_xlfn.XLOOKUP(frasest[[#This Row],[author_es]],autorest[author_es],autorest[bio_es])</f>
        <v>Proverbios de la tradición oral vasca que reflejan la relación con la naturaleza, el trabajo y los valores comunitarios del pueblo vasco.</v>
      </c>
      <c r="I654" t="str">
        <f>_xlfn.XLOOKUP(frasest[[#This Row],[author_es]],autorest[author_es],autorest[bio_la])</f>
        <v>Collectio sententiarum Vasconicarum.</v>
      </c>
      <c r="J654" t="str">
        <f>_xlfn.XLOOKUP(frasest[[#This Row],[author_es]],autorest[author_es],autorest[iso3691])</f>
        <v>eu</v>
      </c>
      <c r="K654" t="str">
        <f>_xlfn.XLOOKUP(frasest[[#This Row],[author_es]],autorest[author_es],autorest[language_es])</f>
        <v>Euskara</v>
      </c>
      <c r="L654" t="str">
        <f>_xlfn.XLOOKUP(frasest[[#This Row],[author_es]],autorest[author_es],autorest[language_la])</f>
        <v>Lingua Vasconica</v>
      </c>
      <c r="M654" t="str">
        <f>_xlfn.XLOOKUP(frasest[[#This Row],[author_es]],autorest[author_es],autorest[nation_es])</f>
        <v>España</v>
      </c>
      <c r="N654" t="str">
        <f>_xlfn.XLOOKUP(frasest[[#This Row],[author_es]],autorest[author_es],autorest[nation_la])</f>
        <v>Hispania</v>
      </c>
      <c r="O654" t="str">
        <f>_xlfn.XLOOKUP(frasest[[#This Row],[author_es]],autorest[author_es],autorest[age_es])</f>
        <v>Epoca Desconocida</v>
      </c>
      <c r="P654" t="str">
        <f>_xlfn.XLOOKUP(frasest[[#This Row],[author_es]],autorest[author_es],autorest[age_la])</f>
        <v>Epocha Ignota</v>
      </c>
      <c r="Q654" t="str">
        <f>_xlfn.XLOOKUP(frasest[[#This Row],[author_es]],autorest[author_es],autorest[image])</f>
        <v>https://i.ibb.co/bjgxB3kn/euskadi.png</v>
      </c>
      <c r="R654">
        <f>_xlfn.XLOOKUP(frasest[[#This Row],[author_es]],autorest[author_es],autorest[image_atr])</f>
        <v>0</v>
      </c>
    </row>
    <row r="655" spans="1:18">
      <c r="A655">
        <v>654</v>
      </c>
      <c r="B655" t="s">
        <v>2243</v>
      </c>
      <c r="C655" t="s">
        <v>2244</v>
      </c>
      <c r="D655" t="s">
        <v>2245</v>
      </c>
      <c r="E655" t="s">
        <v>1236</v>
      </c>
      <c r="G655" t="str">
        <f>_xlfn.XLOOKUP(frasest[[#This Row],[author_es]],autorest[author_es],autorest[author_la])</f>
        <v>Sententia Vasconica</v>
      </c>
      <c r="H655" t="str">
        <f>_xlfn.XLOOKUP(frasest[[#This Row],[author_es]],autorest[author_es],autorest[bio_es])</f>
        <v>Proverbios de la tradición oral vasca que reflejan la relación con la naturaleza, el trabajo y los valores comunitarios del pueblo vasco.</v>
      </c>
      <c r="I655" t="str">
        <f>_xlfn.XLOOKUP(frasest[[#This Row],[author_es]],autorest[author_es],autorest[bio_la])</f>
        <v>Collectio sententiarum Vasconicarum.</v>
      </c>
      <c r="J655" t="str">
        <f>_xlfn.XLOOKUP(frasest[[#This Row],[author_es]],autorest[author_es],autorest[iso3691])</f>
        <v>eu</v>
      </c>
      <c r="K655" t="str">
        <f>_xlfn.XLOOKUP(frasest[[#This Row],[author_es]],autorest[author_es],autorest[language_es])</f>
        <v>Euskara</v>
      </c>
      <c r="L655" t="str">
        <f>_xlfn.XLOOKUP(frasest[[#This Row],[author_es]],autorest[author_es],autorest[language_la])</f>
        <v>Lingua Vasconica</v>
      </c>
      <c r="M655" t="str">
        <f>_xlfn.XLOOKUP(frasest[[#This Row],[author_es]],autorest[author_es],autorest[nation_es])</f>
        <v>España</v>
      </c>
      <c r="N655" t="str">
        <f>_xlfn.XLOOKUP(frasest[[#This Row],[author_es]],autorest[author_es],autorest[nation_la])</f>
        <v>Hispania</v>
      </c>
      <c r="O655" t="str">
        <f>_xlfn.XLOOKUP(frasest[[#This Row],[author_es]],autorest[author_es],autorest[age_es])</f>
        <v>Epoca Desconocida</v>
      </c>
      <c r="P655" t="str">
        <f>_xlfn.XLOOKUP(frasest[[#This Row],[author_es]],autorest[author_es],autorest[age_la])</f>
        <v>Epocha Ignota</v>
      </c>
      <c r="Q655" t="str">
        <f>_xlfn.XLOOKUP(frasest[[#This Row],[author_es]],autorest[author_es],autorest[image])</f>
        <v>https://i.ibb.co/bjgxB3kn/euskadi.png</v>
      </c>
      <c r="R655">
        <f>_xlfn.XLOOKUP(frasest[[#This Row],[author_es]],autorest[author_es],autorest[image_atr])</f>
        <v>0</v>
      </c>
    </row>
    <row r="656" spans="1:18">
      <c r="A656">
        <v>655</v>
      </c>
      <c r="B656" t="s">
        <v>2246</v>
      </c>
      <c r="C656" t="s">
        <v>2247</v>
      </c>
      <c r="D656" t="s">
        <v>2248</v>
      </c>
      <c r="E656" t="s">
        <v>1236</v>
      </c>
      <c r="G656" t="str">
        <f>_xlfn.XLOOKUP(frasest[[#This Row],[author_es]],autorest[author_es],autorest[author_la])</f>
        <v>Sententia Vasconica</v>
      </c>
      <c r="H656" t="str">
        <f>_xlfn.XLOOKUP(frasest[[#This Row],[author_es]],autorest[author_es],autorest[bio_es])</f>
        <v>Proverbios de la tradición oral vasca que reflejan la relación con la naturaleza, el trabajo y los valores comunitarios del pueblo vasco.</v>
      </c>
      <c r="I656" t="str">
        <f>_xlfn.XLOOKUP(frasest[[#This Row],[author_es]],autorest[author_es],autorest[bio_la])</f>
        <v>Collectio sententiarum Vasconicarum.</v>
      </c>
      <c r="J656" t="str">
        <f>_xlfn.XLOOKUP(frasest[[#This Row],[author_es]],autorest[author_es],autorest[iso3691])</f>
        <v>eu</v>
      </c>
      <c r="K656" t="str">
        <f>_xlfn.XLOOKUP(frasest[[#This Row],[author_es]],autorest[author_es],autorest[language_es])</f>
        <v>Euskara</v>
      </c>
      <c r="L656" t="str">
        <f>_xlfn.XLOOKUP(frasest[[#This Row],[author_es]],autorest[author_es],autorest[language_la])</f>
        <v>Lingua Vasconica</v>
      </c>
      <c r="M656" t="str">
        <f>_xlfn.XLOOKUP(frasest[[#This Row],[author_es]],autorest[author_es],autorest[nation_es])</f>
        <v>España</v>
      </c>
      <c r="N656" t="str">
        <f>_xlfn.XLOOKUP(frasest[[#This Row],[author_es]],autorest[author_es],autorest[nation_la])</f>
        <v>Hispania</v>
      </c>
      <c r="O656" t="str">
        <f>_xlfn.XLOOKUP(frasest[[#This Row],[author_es]],autorest[author_es],autorest[age_es])</f>
        <v>Epoca Desconocida</v>
      </c>
      <c r="P656" t="str">
        <f>_xlfn.XLOOKUP(frasest[[#This Row],[author_es]],autorest[author_es],autorest[age_la])</f>
        <v>Epocha Ignota</v>
      </c>
      <c r="Q656" t="str">
        <f>_xlfn.XLOOKUP(frasest[[#This Row],[author_es]],autorest[author_es],autorest[image])</f>
        <v>https://i.ibb.co/bjgxB3kn/euskadi.png</v>
      </c>
      <c r="R656">
        <f>_xlfn.XLOOKUP(frasest[[#This Row],[author_es]],autorest[author_es],autorest[image_atr])</f>
        <v>0</v>
      </c>
    </row>
    <row r="657" spans="1:18">
      <c r="A657">
        <v>656</v>
      </c>
      <c r="B657" t="s">
        <v>2249</v>
      </c>
      <c r="C657" t="s">
        <v>2250</v>
      </c>
      <c r="D657" t="s">
        <v>2251</v>
      </c>
      <c r="E657" t="s">
        <v>1236</v>
      </c>
      <c r="G657" t="str">
        <f>_xlfn.XLOOKUP(frasest[[#This Row],[author_es]],autorest[author_es],autorest[author_la])</f>
        <v>Sententia Vasconica</v>
      </c>
      <c r="H657" t="str">
        <f>_xlfn.XLOOKUP(frasest[[#This Row],[author_es]],autorest[author_es],autorest[bio_es])</f>
        <v>Proverbios de la tradición oral vasca que reflejan la relación con la naturaleza, el trabajo y los valores comunitarios del pueblo vasco.</v>
      </c>
      <c r="I657" t="str">
        <f>_xlfn.XLOOKUP(frasest[[#This Row],[author_es]],autorest[author_es],autorest[bio_la])</f>
        <v>Collectio sententiarum Vasconicarum.</v>
      </c>
      <c r="J657" t="str">
        <f>_xlfn.XLOOKUP(frasest[[#This Row],[author_es]],autorest[author_es],autorest[iso3691])</f>
        <v>eu</v>
      </c>
      <c r="K657" t="str">
        <f>_xlfn.XLOOKUP(frasest[[#This Row],[author_es]],autorest[author_es],autorest[language_es])</f>
        <v>Euskara</v>
      </c>
      <c r="L657" t="str">
        <f>_xlfn.XLOOKUP(frasest[[#This Row],[author_es]],autorest[author_es],autorest[language_la])</f>
        <v>Lingua Vasconica</v>
      </c>
      <c r="M657" t="str">
        <f>_xlfn.XLOOKUP(frasest[[#This Row],[author_es]],autorest[author_es],autorest[nation_es])</f>
        <v>España</v>
      </c>
      <c r="N657" t="str">
        <f>_xlfn.XLOOKUP(frasest[[#This Row],[author_es]],autorest[author_es],autorest[nation_la])</f>
        <v>Hispania</v>
      </c>
      <c r="O657" t="str">
        <f>_xlfn.XLOOKUP(frasest[[#This Row],[author_es]],autorest[author_es],autorest[age_es])</f>
        <v>Epoca Desconocida</v>
      </c>
      <c r="P657" t="str">
        <f>_xlfn.XLOOKUP(frasest[[#This Row],[author_es]],autorest[author_es],autorest[age_la])</f>
        <v>Epocha Ignota</v>
      </c>
      <c r="Q657" t="str">
        <f>_xlfn.XLOOKUP(frasest[[#This Row],[author_es]],autorest[author_es],autorest[image])</f>
        <v>https://i.ibb.co/bjgxB3kn/euskadi.png</v>
      </c>
      <c r="R657">
        <f>_xlfn.XLOOKUP(frasest[[#This Row],[author_es]],autorest[author_es],autorest[image_atr])</f>
        <v>0</v>
      </c>
    </row>
    <row r="658" spans="1:18">
      <c r="A658">
        <v>657</v>
      </c>
      <c r="B658" t="s">
        <v>2252</v>
      </c>
      <c r="C658" t="s">
        <v>2253</v>
      </c>
      <c r="D658" t="s">
        <v>2254</v>
      </c>
      <c r="E658" t="s">
        <v>1236</v>
      </c>
      <c r="G658" t="str">
        <f>_xlfn.XLOOKUP(frasest[[#This Row],[author_es]],autorest[author_es],autorest[author_la])</f>
        <v>Sententia Vasconica</v>
      </c>
      <c r="H658" t="str">
        <f>_xlfn.XLOOKUP(frasest[[#This Row],[author_es]],autorest[author_es],autorest[bio_es])</f>
        <v>Proverbios de la tradición oral vasca que reflejan la relación con la naturaleza, el trabajo y los valores comunitarios del pueblo vasco.</v>
      </c>
      <c r="I658" t="str">
        <f>_xlfn.XLOOKUP(frasest[[#This Row],[author_es]],autorest[author_es],autorest[bio_la])</f>
        <v>Collectio sententiarum Vasconicarum.</v>
      </c>
      <c r="J658" t="str">
        <f>_xlfn.XLOOKUP(frasest[[#This Row],[author_es]],autorest[author_es],autorest[iso3691])</f>
        <v>eu</v>
      </c>
      <c r="K658" t="str">
        <f>_xlfn.XLOOKUP(frasest[[#This Row],[author_es]],autorest[author_es],autorest[language_es])</f>
        <v>Euskara</v>
      </c>
      <c r="L658" t="str">
        <f>_xlfn.XLOOKUP(frasest[[#This Row],[author_es]],autorest[author_es],autorest[language_la])</f>
        <v>Lingua Vasconica</v>
      </c>
      <c r="M658" t="str">
        <f>_xlfn.XLOOKUP(frasest[[#This Row],[author_es]],autorest[author_es],autorest[nation_es])</f>
        <v>España</v>
      </c>
      <c r="N658" t="str">
        <f>_xlfn.XLOOKUP(frasest[[#This Row],[author_es]],autorest[author_es],autorest[nation_la])</f>
        <v>Hispania</v>
      </c>
      <c r="O658" t="str">
        <f>_xlfn.XLOOKUP(frasest[[#This Row],[author_es]],autorest[author_es],autorest[age_es])</f>
        <v>Epoca Desconocida</v>
      </c>
      <c r="P658" t="str">
        <f>_xlfn.XLOOKUP(frasest[[#This Row],[author_es]],autorest[author_es],autorest[age_la])</f>
        <v>Epocha Ignota</v>
      </c>
      <c r="Q658" t="str">
        <f>_xlfn.XLOOKUP(frasest[[#This Row],[author_es]],autorest[author_es],autorest[image])</f>
        <v>https://i.ibb.co/bjgxB3kn/euskadi.png</v>
      </c>
      <c r="R658">
        <f>_xlfn.XLOOKUP(frasest[[#This Row],[author_es]],autorest[author_es],autorest[image_atr])</f>
        <v>0</v>
      </c>
    </row>
    <row r="659" spans="1:18">
      <c r="A659">
        <v>658</v>
      </c>
      <c r="B659" t="s">
        <v>2255</v>
      </c>
      <c r="C659" t="s">
        <v>2256</v>
      </c>
      <c r="D659" t="s">
        <v>2257</v>
      </c>
      <c r="E659" t="s">
        <v>1236</v>
      </c>
      <c r="G659" t="str">
        <f>_xlfn.XLOOKUP(frasest[[#This Row],[author_es]],autorest[author_es],autorest[author_la])</f>
        <v>Sententia Vasconica</v>
      </c>
      <c r="H659" t="str">
        <f>_xlfn.XLOOKUP(frasest[[#This Row],[author_es]],autorest[author_es],autorest[bio_es])</f>
        <v>Proverbios de la tradición oral vasca que reflejan la relación con la naturaleza, el trabajo y los valores comunitarios del pueblo vasco.</v>
      </c>
      <c r="I659" t="str">
        <f>_xlfn.XLOOKUP(frasest[[#This Row],[author_es]],autorest[author_es],autorest[bio_la])</f>
        <v>Collectio sententiarum Vasconicarum.</v>
      </c>
      <c r="J659" t="str">
        <f>_xlfn.XLOOKUP(frasest[[#This Row],[author_es]],autorest[author_es],autorest[iso3691])</f>
        <v>eu</v>
      </c>
      <c r="K659" t="str">
        <f>_xlfn.XLOOKUP(frasest[[#This Row],[author_es]],autorest[author_es],autorest[language_es])</f>
        <v>Euskara</v>
      </c>
      <c r="L659" t="str">
        <f>_xlfn.XLOOKUP(frasest[[#This Row],[author_es]],autorest[author_es],autorest[language_la])</f>
        <v>Lingua Vasconica</v>
      </c>
      <c r="M659" t="str">
        <f>_xlfn.XLOOKUP(frasest[[#This Row],[author_es]],autorest[author_es],autorest[nation_es])</f>
        <v>España</v>
      </c>
      <c r="N659" t="str">
        <f>_xlfn.XLOOKUP(frasest[[#This Row],[author_es]],autorest[author_es],autorest[nation_la])</f>
        <v>Hispania</v>
      </c>
      <c r="O659" t="str">
        <f>_xlfn.XLOOKUP(frasest[[#This Row],[author_es]],autorest[author_es],autorest[age_es])</f>
        <v>Epoca Desconocida</v>
      </c>
      <c r="P659" t="str">
        <f>_xlfn.XLOOKUP(frasest[[#This Row],[author_es]],autorest[author_es],autorest[age_la])</f>
        <v>Epocha Ignota</v>
      </c>
      <c r="Q659" t="str">
        <f>_xlfn.XLOOKUP(frasest[[#This Row],[author_es]],autorest[author_es],autorest[image])</f>
        <v>https://i.ibb.co/bjgxB3kn/euskadi.png</v>
      </c>
      <c r="R659">
        <f>_xlfn.XLOOKUP(frasest[[#This Row],[author_es]],autorest[author_es],autorest[image_atr])</f>
        <v>0</v>
      </c>
    </row>
    <row r="660" spans="1:18">
      <c r="A660">
        <v>659</v>
      </c>
      <c r="B660" t="s">
        <v>2258</v>
      </c>
      <c r="C660" t="s">
        <v>2259</v>
      </c>
      <c r="D660" t="s">
        <v>2260</v>
      </c>
      <c r="E660" t="s">
        <v>1236</v>
      </c>
      <c r="G660" t="str">
        <f>_xlfn.XLOOKUP(frasest[[#This Row],[author_es]],autorest[author_es],autorest[author_la])</f>
        <v>Sententia Vasconica</v>
      </c>
      <c r="H660" t="str">
        <f>_xlfn.XLOOKUP(frasest[[#This Row],[author_es]],autorest[author_es],autorest[bio_es])</f>
        <v>Proverbios de la tradición oral vasca que reflejan la relación con la naturaleza, el trabajo y los valores comunitarios del pueblo vasco.</v>
      </c>
      <c r="I660" t="str">
        <f>_xlfn.XLOOKUP(frasest[[#This Row],[author_es]],autorest[author_es],autorest[bio_la])</f>
        <v>Collectio sententiarum Vasconicarum.</v>
      </c>
      <c r="J660" t="str">
        <f>_xlfn.XLOOKUP(frasest[[#This Row],[author_es]],autorest[author_es],autorest[iso3691])</f>
        <v>eu</v>
      </c>
      <c r="K660" t="str">
        <f>_xlfn.XLOOKUP(frasest[[#This Row],[author_es]],autorest[author_es],autorest[language_es])</f>
        <v>Euskara</v>
      </c>
      <c r="L660" t="str">
        <f>_xlfn.XLOOKUP(frasest[[#This Row],[author_es]],autorest[author_es],autorest[language_la])</f>
        <v>Lingua Vasconica</v>
      </c>
      <c r="M660" t="str">
        <f>_xlfn.XLOOKUP(frasest[[#This Row],[author_es]],autorest[author_es],autorest[nation_es])</f>
        <v>España</v>
      </c>
      <c r="N660" t="str">
        <f>_xlfn.XLOOKUP(frasest[[#This Row],[author_es]],autorest[author_es],autorest[nation_la])</f>
        <v>Hispania</v>
      </c>
      <c r="O660" t="str">
        <f>_xlfn.XLOOKUP(frasest[[#This Row],[author_es]],autorest[author_es],autorest[age_es])</f>
        <v>Epoca Desconocida</v>
      </c>
      <c r="P660" t="str">
        <f>_xlfn.XLOOKUP(frasest[[#This Row],[author_es]],autorest[author_es],autorest[age_la])</f>
        <v>Epocha Ignota</v>
      </c>
      <c r="Q660" t="str">
        <f>_xlfn.XLOOKUP(frasest[[#This Row],[author_es]],autorest[author_es],autorest[image])</f>
        <v>https://i.ibb.co/bjgxB3kn/euskadi.png</v>
      </c>
      <c r="R660">
        <f>_xlfn.XLOOKUP(frasest[[#This Row],[author_es]],autorest[author_es],autorest[image_atr])</f>
        <v>0</v>
      </c>
    </row>
    <row r="661" spans="1:18">
      <c r="A661">
        <v>660</v>
      </c>
      <c r="B661" t="s">
        <v>2261</v>
      </c>
      <c r="C661" t="s">
        <v>2262</v>
      </c>
      <c r="D661" t="s">
        <v>2263</v>
      </c>
      <c r="E661" t="s">
        <v>1236</v>
      </c>
      <c r="G661" t="str">
        <f>_xlfn.XLOOKUP(frasest[[#This Row],[author_es]],autorest[author_es],autorest[author_la])</f>
        <v>Sententia Vasconica</v>
      </c>
      <c r="H661" t="str">
        <f>_xlfn.XLOOKUP(frasest[[#This Row],[author_es]],autorest[author_es],autorest[bio_es])</f>
        <v>Proverbios de la tradición oral vasca que reflejan la relación con la naturaleza, el trabajo y los valores comunitarios del pueblo vasco.</v>
      </c>
      <c r="I661" t="str">
        <f>_xlfn.XLOOKUP(frasest[[#This Row],[author_es]],autorest[author_es],autorest[bio_la])</f>
        <v>Collectio sententiarum Vasconicarum.</v>
      </c>
      <c r="J661" t="str">
        <f>_xlfn.XLOOKUP(frasest[[#This Row],[author_es]],autorest[author_es],autorest[iso3691])</f>
        <v>eu</v>
      </c>
      <c r="K661" t="str">
        <f>_xlfn.XLOOKUP(frasest[[#This Row],[author_es]],autorest[author_es],autorest[language_es])</f>
        <v>Euskara</v>
      </c>
      <c r="L661" t="str">
        <f>_xlfn.XLOOKUP(frasest[[#This Row],[author_es]],autorest[author_es],autorest[language_la])</f>
        <v>Lingua Vasconica</v>
      </c>
      <c r="M661" t="str">
        <f>_xlfn.XLOOKUP(frasest[[#This Row],[author_es]],autorest[author_es],autorest[nation_es])</f>
        <v>España</v>
      </c>
      <c r="N661" t="str">
        <f>_xlfn.XLOOKUP(frasest[[#This Row],[author_es]],autorest[author_es],autorest[nation_la])</f>
        <v>Hispania</v>
      </c>
      <c r="O661" t="str">
        <f>_xlfn.XLOOKUP(frasest[[#This Row],[author_es]],autorest[author_es],autorest[age_es])</f>
        <v>Epoca Desconocida</v>
      </c>
      <c r="P661" t="str">
        <f>_xlfn.XLOOKUP(frasest[[#This Row],[author_es]],autorest[author_es],autorest[age_la])</f>
        <v>Epocha Ignota</v>
      </c>
      <c r="Q661" t="str">
        <f>_xlfn.XLOOKUP(frasest[[#This Row],[author_es]],autorest[author_es],autorest[image])</f>
        <v>https://i.ibb.co/bjgxB3kn/euskadi.png</v>
      </c>
      <c r="R661">
        <f>_xlfn.XLOOKUP(frasest[[#This Row],[author_es]],autorest[author_es],autorest[image_atr])</f>
        <v>0</v>
      </c>
    </row>
    <row r="662" spans="1:18">
      <c r="A662">
        <v>661</v>
      </c>
      <c r="B662" t="s">
        <v>2264</v>
      </c>
      <c r="C662" t="s">
        <v>2265</v>
      </c>
      <c r="D662" t="s">
        <v>2266</v>
      </c>
      <c r="E662" t="s">
        <v>1236</v>
      </c>
      <c r="G662" t="str">
        <f>_xlfn.XLOOKUP(frasest[[#This Row],[author_es]],autorest[author_es],autorest[author_la])</f>
        <v>Sententia Vasconica</v>
      </c>
      <c r="H662" t="str">
        <f>_xlfn.XLOOKUP(frasest[[#This Row],[author_es]],autorest[author_es],autorest[bio_es])</f>
        <v>Proverbios de la tradición oral vasca que reflejan la relación con la naturaleza, el trabajo y los valores comunitarios del pueblo vasco.</v>
      </c>
      <c r="I662" t="str">
        <f>_xlfn.XLOOKUP(frasest[[#This Row],[author_es]],autorest[author_es],autorest[bio_la])</f>
        <v>Collectio sententiarum Vasconicarum.</v>
      </c>
      <c r="J662" t="str">
        <f>_xlfn.XLOOKUP(frasest[[#This Row],[author_es]],autorest[author_es],autorest[iso3691])</f>
        <v>eu</v>
      </c>
      <c r="K662" t="str">
        <f>_xlfn.XLOOKUP(frasest[[#This Row],[author_es]],autorest[author_es],autorest[language_es])</f>
        <v>Euskara</v>
      </c>
      <c r="L662" t="str">
        <f>_xlfn.XLOOKUP(frasest[[#This Row],[author_es]],autorest[author_es],autorest[language_la])</f>
        <v>Lingua Vasconica</v>
      </c>
      <c r="M662" t="str">
        <f>_xlfn.XLOOKUP(frasest[[#This Row],[author_es]],autorest[author_es],autorest[nation_es])</f>
        <v>España</v>
      </c>
      <c r="N662" t="str">
        <f>_xlfn.XLOOKUP(frasest[[#This Row],[author_es]],autorest[author_es],autorest[nation_la])</f>
        <v>Hispania</v>
      </c>
      <c r="O662" t="str">
        <f>_xlfn.XLOOKUP(frasest[[#This Row],[author_es]],autorest[author_es],autorest[age_es])</f>
        <v>Epoca Desconocida</v>
      </c>
      <c r="P662" t="str">
        <f>_xlfn.XLOOKUP(frasest[[#This Row],[author_es]],autorest[author_es],autorest[age_la])</f>
        <v>Epocha Ignota</v>
      </c>
      <c r="Q662" t="str">
        <f>_xlfn.XLOOKUP(frasest[[#This Row],[author_es]],autorest[author_es],autorest[image])</f>
        <v>https://i.ibb.co/bjgxB3kn/euskadi.png</v>
      </c>
      <c r="R662">
        <f>_xlfn.XLOOKUP(frasest[[#This Row],[author_es]],autorest[author_es],autorest[image_atr])</f>
        <v>0</v>
      </c>
    </row>
    <row r="663" spans="1:18">
      <c r="A663">
        <v>662</v>
      </c>
      <c r="B663" t="s">
        <v>2267</v>
      </c>
      <c r="C663" t="s">
        <v>2268</v>
      </c>
      <c r="D663" t="s">
        <v>2269</v>
      </c>
      <c r="E663" t="s">
        <v>1236</v>
      </c>
      <c r="G663" t="str">
        <f>_xlfn.XLOOKUP(frasest[[#This Row],[author_es]],autorest[author_es],autorest[author_la])</f>
        <v>Sententia Vasconica</v>
      </c>
      <c r="H663" t="str">
        <f>_xlfn.XLOOKUP(frasest[[#This Row],[author_es]],autorest[author_es],autorest[bio_es])</f>
        <v>Proverbios de la tradición oral vasca que reflejan la relación con la naturaleza, el trabajo y los valores comunitarios del pueblo vasco.</v>
      </c>
      <c r="I663" t="str">
        <f>_xlfn.XLOOKUP(frasest[[#This Row],[author_es]],autorest[author_es],autorest[bio_la])</f>
        <v>Collectio sententiarum Vasconicarum.</v>
      </c>
      <c r="J663" t="str">
        <f>_xlfn.XLOOKUP(frasest[[#This Row],[author_es]],autorest[author_es],autorest[iso3691])</f>
        <v>eu</v>
      </c>
      <c r="K663" t="str">
        <f>_xlfn.XLOOKUP(frasest[[#This Row],[author_es]],autorest[author_es],autorest[language_es])</f>
        <v>Euskara</v>
      </c>
      <c r="L663" t="str">
        <f>_xlfn.XLOOKUP(frasest[[#This Row],[author_es]],autorest[author_es],autorest[language_la])</f>
        <v>Lingua Vasconica</v>
      </c>
      <c r="M663" t="str">
        <f>_xlfn.XLOOKUP(frasest[[#This Row],[author_es]],autorest[author_es],autorest[nation_es])</f>
        <v>España</v>
      </c>
      <c r="N663" t="str">
        <f>_xlfn.XLOOKUP(frasest[[#This Row],[author_es]],autorest[author_es],autorest[nation_la])</f>
        <v>Hispania</v>
      </c>
      <c r="O663" t="str">
        <f>_xlfn.XLOOKUP(frasest[[#This Row],[author_es]],autorest[author_es],autorest[age_es])</f>
        <v>Epoca Desconocida</v>
      </c>
      <c r="P663" t="str">
        <f>_xlfn.XLOOKUP(frasest[[#This Row],[author_es]],autorest[author_es],autorest[age_la])</f>
        <v>Epocha Ignota</v>
      </c>
      <c r="Q663" t="str">
        <f>_xlfn.XLOOKUP(frasest[[#This Row],[author_es]],autorest[author_es],autorest[image])</f>
        <v>https://i.ibb.co/bjgxB3kn/euskadi.png</v>
      </c>
      <c r="R663">
        <f>_xlfn.XLOOKUP(frasest[[#This Row],[author_es]],autorest[author_es],autorest[image_atr])</f>
        <v>0</v>
      </c>
    </row>
    <row r="664" spans="1:18">
      <c r="A664">
        <v>663</v>
      </c>
      <c r="B664" t="s">
        <v>2270</v>
      </c>
      <c r="C664" t="s">
        <v>2271</v>
      </c>
      <c r="D664" t="s">
        <v>2272</v>
      </c>
      <c r="E664" t="s">
        <v>1236</v>
      </c>
      <c r="G664" t="str">
        <f>_xlfn.XLOOKUP(frasest[[#This Row],[author_es]],autorest[author_es],autorest[author_la])</f>
        <v>Sententia Vasconica</v>
      </c>
      <c r="H664" t="str">
        <f>_xlfn.XLOOKUP(frasest[[#This Row],[author_es]],autorest[author_es],autorest[bio_es])</f>
        <v>Proverbios de la tradición oral vasca que reflejan la relación con la naturaleza, el trabajo y los valores comunitarios del pueblo vasco.</v>
      </c>
      <c r="I664" t="str">
        <f>_xlfn.XLOOKUP(frasest[[#This Row],[author_es]],autorest[author_es],autorest[bio_la])</f>
        <v>Collectio sententiarum Vasconicarum.</v>
      </c>
      <c r="J664" t="str">
        <f>_xlfn.XLOOKUP(frasest[[#This Row],[author_es]],autorest[author_es],autorest[iso3691])</f>
        <v>eu</v>
      </c>
      <c r="K664" t="str">
        <f>_xlfn.XLOOKUP(frasest[[#This Row],[author_es]],autorest[author_es],autorest[language_es])</f>
        <v>Euskara</v>
      </c>
      <c r="L664" t="str">
        <f>_xlfn.XLOOKUP(frasest[[#This Row],[author_es]],autorest[author_es],autorest[language_la])</f>
        <v>Lingua Vasconica</v>
      </c>
      <c r="M664" t="str">
        <f>_xlfn.XLOOKUP(frasest[[#This Row],[author_es]],autorest[author_es],autorest[nation_es])</f>
        <v>España</v>
      </c>
      <c r="N664" t="str">
        <f>_xlfn.XLOOKUP(frasest[[#This Row],[author_es]],autorest[author_es],autorest[nation_la])</f>
        <v>Hispania</v>
      </c>
      <c r="O664" t="str">
        <f>_xlfn.XLOOKUP(frasest[[#This Row],[author_es]],autorest[author_es],autorest[age_es])</f>
        <v>Epoca Desconocida</v>
      </c>
      <c r="P664" t="str">
        <f>_xlfn.XLOOKUP(frasest[[#This Row],[author_es]],autorest[author_es],autorest[age_la])</f>
        <v>Epocha Ignota</v>
      </c>
      <c r="Q664" t="str">
        <f>_xlfn.XLOOKUP(frasest[[#This Row],[author_es]],autorest[author_es],autorest[image])</f>
        <v>https://i.ibb.co/bjgxB3kn/euskadi.png</v>
      </c>
      <c r="R664">
        <f>_xlfn.XLOOKUP(frasest[[#This Row],[author_es]],autorest[author_es],autorest[image_atr])</f>
        <v>0</v>
      </c>
    </row>
    <row r="665" spans="1:18">
      <c r="A665">
        <v>664</v>
      </c>
      <c r="B665" t="s">
        <v>2273</v>
      </c>
      <c r="C665" t="s">
        <v>2274</v>
      </c>
      <c r="D665" t="s">
        <v>2275</v>
      </c>
      <c r="E665" t="s">
        <v>1236</v>
      </c>
      <c r="G665" t="str">
        <f>_xlfn.XLOOKUP(frasest[[#This Row],[author_es]],autorest[author_es],autorest[author_la])</f>
        <v>Sententia Vasconica</v>
      </c>
      <c r="H665" t="str">
        <f>_xlfn.XLOOKUP(frasest[[#This Row],[author_es]],autorest[author_es],autorest[bio_es])</f>
        <v>Proverbios de la tradición oral vasca que reflejan la relación con la naturaleza, el trabajo y los valores comunitarios del pueblo vasco.</v>
      </c>
      <c r="I665" t="str">
        <f>_xlfn.XLOOKUP(frasest[[#This Row],[author_es]],autorest[author_es],autorest[bio_la])</f>
        <v>Collectio sententiarum Vasconicarum.</v>
      </c>
      <c r="J665" t="str">
        <f>_xlfn.XLOOKUP(frasest[[#This Row],[author_es]],autorest[author_es],autorest[iso3691])</f>
        <v>eu</v>
      </c>
      <c r="K665" t="str">
        <f>_xlfn.XLOOKUP(frasest[[#This Row],[author_es]],autorest[author_es],autorest[language_es])</f>
        <v>Euskara</v>
      </c>
      <c r="L665" t="str">
        <f>_xlfn.XLOOKUP(frasest[[#This Row],[author_es]],autorest[author_es],autorest[language_la])</f>
        <v>Lingua Vasconica</v>
      </c>
      <c r="M665" t="str">
        <f>_xlfn.XLOOKUP(frasest[[#This Row],[author_es]],autorest[author_es],autorest[nation_es])</f>
        <v>España</v>
      </c>
      <c r="N665" t="str">
        <f>_xlfn.XLOOKUP(frasest[[#This Row],[author_es]],autorest[author_es],autorest[nation_la])</f>
        <v>Hispania</v>
      </c>
      <c r="O665" t="str">
        <f>_xlfn.XLOOKUP(frasest[[#This Row],[author_es]],autorest[author_es],autorest[age_es])</f>
        <v>Epoca Desconocida</v>
      </c>
      <c r="P665" t="str">
        <f>_xlfn.XLOOKUP(frasest[[#This Row],[author_es]],autorest[author_es],autorest[age_la])</f>
        <v>Epocha Ignota</v>
      </c>
      <c r="Q665" t="str">
        <f>_xlfn.XLOOKUP(frasest[[#This Row],[author_es]],autorest[author_es],autorest[image])</f>
        <v>https://i.ibb.co/bjgxB3kn/euskadi.png</v>
      </c>
      <c r="R665">
        <f>_xlfn.XLOOKUP(frasest[[#This Row],[author_es]],autorest[author_es],autorest[image_atr])</f>
        <v>0</v>
      </c>
    </row>
    <row r="666" spans="1:18">
      <c r="A666">
        <v>665</v>
      </c>
      <c r="B666" t="s">
        <v>2276</v>
      </c>
      <c r="C666" t="s">
        <v>2277</v>
      </c>
      <c r="D666" t="s">
        <v>2278</v>
      </c>
      <c r="E666" t="s">
        <v>1236</v>
      </c>
      <c r="G666" t="str">
        <f>_xlfn.XLOOKUP(frasest[[#This Row],[author_es]],autorest[author_es],autorest[author_la])</f>
        <v>Sententia Vasconica</v>
      </c>
      <c r="H666" t="str">
        <f>_xlfn.XLOOKUP(frasest[[#This Row],[author_es]],autorest[author_es],autorest[bio_es])</f>
        <v>Proverbios de la tradición oral vasca que reflejan la relación con la naturaleza, el trabajo y los valores comunitarios del pueblo vasco.</v>
      </c>
      <c r="I666" t="str">
        <f>_xlfn.XLOOKUP(frasest[[#This Row],[author_es]],autorest[author_es],autorest[bio_la])</f>
        <v>Collectio sententiarum Vasconicarum.</v>
      </c>
      <c r="J666" t="str">
        <f>_xlfn.XLOOKUP(frasest[[#This Row],[author_es]],autorest[author_es],autorest[iso3691])</f>
        <v>eu</v>
      </c>
      <c r="K666" t="str">
        <f>_xlfn.XLOOKUP(frasest[[#This Row],[author_es]],autorest[author_es],autorest[language_es])</f>
        <v>Euskara</v>
      </c>
      <c r="L666" t="str">
        <f>_xlfn.XLOOKUP(frasest[[#This Row],[author_es]],autorest[author_es],autorest[language_la])</f>
        <v>Lingua Vasconica</v>
      </c>
      <c r="M666" t="str">
        <f>_xlfn.XLOOKUP(frasest[[#This Row],[author_es]],autorest[author_es],autorest[nation_es])</f>
        <v>España</v>
      </c>
      <c r="N666" t="str">
        <f>_xlfn.XLOOKUP(frasest[[#This Row],[author_es]],autorest[author_es],autorest[nation_la])</f>
        <v>Hispania</v>
      </c>
      <c r="O666" t="str">
        <f>_xlfn.XLOOKUP(frasest[[#This Row],[author_es]],autorest[author_es],autorest[age_es])</f>
        <v>Epoca Desconocida</v>
      </c>
      <c r="P666" t="str">
        <f>_xlfn.XLOOKUP(frasest[[#This Row],[author_es]],autorest[author_es],autorest[age_la])</f>
        <v>Epocha Ignota</v>
      </c>
      <c r="Q666" t="str">
        <f>_xlfn.XLOOKUP(frasest[[#This Row],[author_es]],autorest[author_es],autorest[image])</f>
        <v>https://i.ibb.co/bjgxB3kn/euskadi.png</v>
      </c>
      <c r="R666">
        <f>_xlfn.XLOOKUP(frasest[[#This Row],[author_es]],autorest[author_es],autorest[image_atr])</f>
        <v>0</v>
      </c>
    </row>
    <row r="667" spans="1:18">
      <c r="A667">
        <v>666</v>
      </c>
      <c r="B667" t="s">
        <v>2279</v>
      </c>
      <c r="C667" t="s">
        <v>2280</v>
      </c>
      <c r="D667" t="s">
        <v>2281</v>
      </c>
      <c r="E667" t="s">
        <v>1236</v>
      </c>
      <c r="G667" t="str">
        <f>_xlfn.XLOOKUP(frasest[[#This Row],[author_es]],autorest[author_es],autorest[author_la])</f>
        <v>Sententia Vasconica</v>
      </c>
      <c r="H667" t="str">
        <f>_xlfn.XLOOKUP(frasest[[#This Row],[author_es]],autorest[author_es],autorest[bio_es])</f>
        <v>Proverbios de la tradición oral vasca que reflejan la relación con la naturaleza, el trabajo y los valores comunitarios del pueblo vasco.</v>
      </c>
      <c r="I667" t="str">
        <f>_xlfn.XLOOKUP(frasest[[#This Row],[author_es]],autorest[author_es],autorest[bio_la])</f>
        <v>Collectio sententiarum Vasconicarum.</v>
      </c>
      <c r="J667" t="str">
        <f>_xlfn.XLOOKUP(frasest[[#This Row],[author_es]],autorest[author_es],autorest[iso3691])</f>
        <v>eu</v>
      </c>
      <c r="K667" t="str">
        <f>_xlfn.XLOOKUP(frasest[[#This Row],[author_es]],autorest[author_es],autorest[language_es])</f>
        <v>Euskara</v>
      </c>
      <c r="L667" t="str">
        <f>_xlfn.XLOOKUP(frasest[[#This Row],[author_es]],autorest[author_es],autorest[language_la])</f>
        <v>Lingua Vasconica</v>
      </c>
      <c r="M667" t="str">
        <f>_xlfn.XLOOKUP(frasest[[#This Row],[author_es]],autorest[author_es],autorest[nation_es])</f>
        <v>España</v>
      </c>
      <c r="N667" t="str">
        <f>_xlfn.XLOOKUP(frasest[[#This Row],[author_es]],autorest[author_es],autorest[nation_la])</f>
        <v>Hispania</v>
      </c>
      <c r="O667" t="str">
        <f>_xlfn.XLOOKUP(frasest[[#This Row],[author_es]],autorest[author_es],autorest[age_es])</f>
        <v>Epoca Desconocida</v>
      </c>
      <c r="P667" t="str">
        <f>_xlfn.XLOOKUP(frasest[[#This Row],[author_es]],autorest[author_es],autorest[age_la])</f>
        <v>Epocha Ignota</v>
      </c>
      <c r="Q667" t="str">
        <f>_xlfn.XLOOKUP(frasest[[#This Row],[author_es]],autorest[author_es],autorest[image])</f>
        <v>https://i.ibb.co/bjgxB3kn/euskadi.png</v>
      </c>
      <c r="R667">
        <f>_xlfn.XLOOKUP(frasest[[#This Row],[author_es]],autorest[author_es],autorest[image_atr])</f>
        <v>0</v>
      </c>
    </row>
    <row r="668" spans="1:18">
      <c r="A668">
        <v>667</v>
      </c>
      <c r="B668" t="s">
        <v>2282</v>
      </c>
      <c r="C668" t="s">
        <v>2283</v>
      </c>
      <c r="D668" t="s">
        <v>2284</v>
      </c>
      <c r="E668" t="s">
        <v>1236</v>
      </c>
      <c r="G668" t="str">
        <f>_xlfn.XLOOKUP(frasest[[#This Row],[author_es]],autorest[author_es],autorest[author_la])</f>
        <v>Sententia Vasconica</v>
      </c>
      <c r="H668" t="str">
        <f>_xlfn.XLOOKUP(frasest[[#This Row],[author_es]],autorest[author_es],autorest[bio_es])</f>
        <v>Proverbios de la tradición oral vasca que reflejan la relación con la naturaleza, el trabajo y los valores comunitarios del pueblo vasco.</v>
      </c>
      <c r="I668" t="str">
        <f>_xlfn.XLOOKUP(frasest[[#This Row],[author_es]],autorest[author_es],autorest[bio_la])</f>
        <v>Collectio sententiarum Vasconicarum.</v>
      </c>
      <c r="J668" t="str">
        <f>_xlfn.XLOOKUP(frasest[[#This Row],[author_es]],autorest[author_es],autorest[iso3691])</f>
        <v>eu</v>
      </c>
      <c r="K668" t="str">
        <f>_xlfn.XLOOKUP(frasest[[#This Row],[author_es]],autorest[author_es],autorest[language_es])</f>
        <v>Euskara</v>
      </c>
      <c r="L668" t="str">
        <f>_xlfn.XLOOKUP(frasest[[#This Row],[author_es]],autorest[author_es],autorest[language_la])</f>
        <v>Lingua Vasconica</v>
      </c>
      <c r="M668" t="str">
        <f>_xlfn.XLOOKUP(frasest[[#This Row],[author_es]],autorest[author_es],autorest[nation_es])</f>
        <v>España</v>
      </c>
      <c r="N668" t="str">
        <f>_xlfn.XLOOKUP(frasest[[#This Row],[author_es]],autorest[author_es],autorest[nation_la])</f>
        <v>Hispania</v>
      </c>
      <c r="O668" t="str">
        <f>_xlfn.XLOOKUP(frasest[[#This Row],[author_es]],autorest[author_es],autorest[age_es])</f>
        <v>Epoca Desconocida</v>
      </c>
      <c r="P668" t="str">
        <f>_xlfn.XLOOKUP(frasest[[#This Row],[author_es]],autorest[author_es],autorest[age_la])</f>
        <v>Epocha Ignota</v>
      </c>
      <c r="Q668" t="str">
        <f>_xlfn.XLOOKUP(frasest[[#This Row],[author_es]],autorest[author_es],autorest[image])</f>
        <v>https://i.ibb.co/bjgxB3kn/euskadi.png</v>
      </c>
      <c r="R668">
        <f>_xlfn.XLOOKUP(frasest[[#This Row],[author_es]],autorest[author_es],autorest[image_atr])</f>
        <v>0</v>
      </c>
    </row>
    <row r="669" spans="1:18">
      <c r="A669">
        <v>668</v>
      </c>
      <c r="B669" t="s">
        <v>2285</v>
      </c>
      <c r="C669" t="s">
        <v>2286</v>
      </c>
      <c r="D669" t="s">
        <v>2287</v>
      </c>
      <c r="E669" t="s">
        <v>1236</v>
      </c>
      <c r="G669" t="str">
        <f>_xlfn.XLOOKUP(frasest[[#This Row],[author_es]],autorest[author_es],autorest[author_la])</f>
        <v>Sententia Vasconica</v>
      </c>
      <c r="H669" t="str">
        <f>_xlfn.XLOOKUP(frasest[[#This Row],[author_es]],autorest[author_es],autorest[bio_es])</f>
        <v>Proverbios de la tradición oral vasca que reflejan la relación con la naturaleza, el trabajo y los valores comunitarios del pueblo vasco.</v>
      </c>
      <c r="I669" t="str">
        <f>_xlfn.XLOOKUP(frasest[[#This Row],[author_es]],autorest[author_es],autorest[bio_la])</f>
        <v>Collectio sententiarum Vasconicarum.</v>
      </c>
      <c r="J669" t="str">
        <f>_xlfn.XLOOKUP(frasest[[#This Row],[author_es]],autorest[author_es],autorest[iso3691])</f>
        <v>eu</v>
      </c>
      <c r="K669" t="str">
        <f>_xlfn.XLOOKUP(frasest[[#This Row],[author_es]],autorest[author_es],autorest[language_es])</f>
        <v>Euskara</v>
      </c>
      <c r="L669" t="str">
        <f>_xlfn.XLOOKUP(frasest[[#This Row],[author_es]],autorest[author_es],autorest[language_la])</f>
        <v>Lingua Vasconica</v>
      </c>
      <c r="M669" t="str">
        <f>_xlfn.XLOOKUP(frasest[[#This Row],[author_es]],autorest[author_es],autorest[nation_es])</f>
        <v>España</v>
      </c>
      <c r="N669" t="str">
        <f>_xlfn.XLOOKUP(frasest[[#This Row],[author_es]],autorest[author_es],autorest[nation_la])</f>
        <v>Hispania</v>
      </c>
      <c r="O669" t="str">
        <f>_xlfn.XLOOKUP(frasest[[#This Row],[author_es]],autorest[author_es],autorest[age_es])</f>
        <v>Epoca Desconocida</v>
      </c>
      <c r="P669" t="str">
        <f>_xlfn.XLOOKUP(frasest[[#This Row],[author_es]],autorest[author_es],autorest[age_la])</f>
        <v>Epocha Ignota</v>
      </c>
      <c r="Q669" t="str">
        <f>_xlfn.XLOOKUP(frasest[[#This Row],[author_es]],autorest[author_es],autorest[image])</f>
        <v>https://i.ibb.co/bjgxB3kn/euskadi.png</v>
      </c>
      <c r="R669">
        <f>_xlfn.XLOOKUP(frasest[[#This Row],[author_es]],autorest[author_es],autorest[image_atr])</f>
        <v>0</v>
      </c>
    </row>
    <row r="670" spans="1:18">
      <c r="A670">
        <v>669</v>
      </c>
      <c r="B670" t="s">
        <v>2288</v>
      </c>
      <c r="C670" t="s">
        <v>2289</v>
      </c>
      <c r="D670" t="s">
        <v>2290</v>
      </c>
      <c r="E670" t="s">
        <v>1236</v>
      </c>
      <c r="G670" t="str">
        <f>_xlfn.XLOOKUP(frasest[[#This Row],[author_es]],autorest[author_es],autorest[author_la])</f>
        <v>Sententia Vasconica</v>
      </c>
      <c r="H670" t="str">
        <f>_xlfn.XLOOKUP(frasest[[#This Row],[author_es]],autorest[author_es],autorest[bio_es])</f>
        <v>Proverbios de la tradición oral vasca que reflejan la relación con la naturaleza, el trabajo y los valores comunitarios del pueblo vasco.</v>
      </c>
      <c r="I670" t="str">
        <f>_xlfn.XLOOKUP(frasest[[#This Row],[author_es]],autorest[author_es],autorest[bio_la])</f>
        <v>Collectio sententiarum Vasconicarum.</v>
      </c>
      <c r="J670" t="str">
        <f>_xlfn.XLOOKUP(frasest[[#This Row],[author_es]],autorest[author_es],autorest[iso3691])</f>
        <v>eu</v>
      </c>
      <c r="K670" t="str">
        <f>_xlfn.XLOOKUP(frasest[[#This Row],[author_es]],autorest[author_es],autorest[language_es])</f>
        <v>Euskara</v>
      </c>
      <c r="L670" t="str">
        <f>_xlfn.XLOOKUP(frasest[[#This Row],[author_es]],autorest[author_es],autorest[language_la])</f>
        <v>Lingua Vasconica</v>
      </c>
      <c r="M670" t="str">
        <f>_xlfn.XLOOKUP(frasest[[#This Row],[author_es]],autorest[author_es],autorest[nation_es])</f>
        <v>España</v>
      </c>
      <c r="N670" t="str">
        <f>_xlfn.XLOOKUP(frasest[[#This Row],[author_es]],autorest[author_es],autorest[nation_la])</f>
        <v>Hispania</v>
      </c>
      <c r="O670" t="str">
        <f>_xlfn.XLOOKUP(frasest[[#This Row],[author_es]],autorest[author_es],autorest[age_es])</f>
        <v>Epoca Desconocida</v>
      </c>
      <c r="P670" t="str">
        <f>_xlfn.XLOOKUP(frasest[[#This Row],[author_es]],autorest[author_es],autorest[age_la])</f>
        <v>Epocha Ignota</v>
      </c>
      <c r="Q670" t="str">
        <f>_xlfn.XLOOKUP(frasest[[#This Row],[author_es]],autorest[author_es],autorest[image])</f>
        <v>https://i.ibb.co/bjgxB3kn/euskadi.png</v>
      </c>
      <c r="R670">
        <f>_xlfn.XLOOKUP(frasest[[#This Row],[author_es]],autorest[author_es],autorest[image_atr])</f>
        <v>0</v>
      </c>
    </row>
    <row r="671" spans="1:18">
      <c r="A671">
        <v>670</v>
      </c>
      <c r="B671" t="s">
        <v>2291</v>
      </c>
      <c r="C671" t="s">
        <v>2292</v>
      </c>
      <c r="D671" t="s">
        <v>2293</v>
      </c>
      <c r="E671" t="s">
        <v>1236</v>
      </c>
      <c r="G671" t="str">
        <f>_xlfn.XLOOKUP(frasest[[#This Row],[author_es]],autorest[author_es],autorest[author_la])</f>
        <v>Sententia Vasconica</v>
      </c>
      <c r="H671" t="str">
        <f>_xlfn.XLOOKUP(frasest[[#This Row],[author_es]],autorest[author_es],autorest[bio_es])</f>
        <v>Proverbios de la tradición oral vasca que reflejan la relación con la naturaleza, el trabajo y los valores comunitarios del pueblo vasco.</v>
      </c>
      <c r="I671" t="str">
        <f>_xlfn.XLOOKUP(frasest[[#This Row],[author_es]],autorest[author_es],autorest[bio_la])</f>
        <v>Collectio sententiarum Vasconicarum.</v>
      </c>
      <c r="J671" t="str">
        <f>_xlfn.XLOOKUP(frasest[[#This Row],[author_es]],autorest[author_es],autorest[iso3691])</f>
        <v>eu</v>
      </c>
      <c r="K671" t="str">
        <f>_xlfn.XLOOKUP(frasest[[#This Row],[author_es]],autorest[author_es],autorest[language_es])</f>
        <v>Euskara</v>
      </c>
      <c r="L671" t="str">
        <f>_xlfn.XLOOKUP(frasest[[#This Row],[author_es]],autorest[author_es],autorest[language_la])</f>
        <v>Lingua Vasconica</v>
      </c>
      <c r="M671" t="str">
        <f>_xlfn.XLOOKUP(frasest[[#This Row],[author_es]],autorest[author_es],autorest[nation_es])</f>
        <v>España</v>
      </c>
      <c r="N671" t="str">
        <f>_xlfn.XLOOKUP(frasest[[#This Row],[author_es]],autorest[author_es],autorest[nation_la])</f>
        <v>Hispania</v>
      </c>
      <c r="O671" t="str">
        <f>_xlfn.XLOOKUP(frasest[[#This Row],[author_es]],autorest[author_es],autorest[age_es])</f>
        <v>Epoca Desconocida</v>
      </c>
      <c r="P671" t="str">
        <f>_xlfn.XLOOKUP(frasest[[#This Row],[author_es]],autorest[author_es],autorest[age_la])</f>
        <v>Epocha Ignota</v>
      </c>
      <c r="Q671" t="str">
        <f>_xlfn.XLOOKUP(frasest[[#This Row],[author_es]],autorest[author_es],autorest[image])</f>
        <v>https://i.ibb.co/bjgxB3kn/euskadi.png</v>
      </c>
      <c r="R671">
        <f>_xlfn.XLOOKUP(frasest[[#This Row],[author_es]],autorest[author_es],autorest[image_atr])</f>
        <v>0</v>
      </c>
    </row>
    <row r="672" spans="1:18">
      <c r="A672">
        <v>671</v>
      </c>
      <c r="B672" t="s">
        <v>2294</v>
      </c>
      <c r="C672" t="s">
        <v>2295</v>
      </c>
      <c r="D672" t="s">
        <v>2296</v>
      </c>
      <c r="E672" t="s">
        <v>1236</v>
      </c>
      <c r="G672" t="str">
        <f>_xlfn.XLOOKUP(frasest[[#This Row],[author_es]],autorest[author_es],autorest[author_la])</f>
        <v>Sententia Vasconica</v>
      </c>
      <c r="H672" t="str">
        <f>_xlfn.XLOOKUP(frasest[[#This Row],[author_es]],autorest[author_es],autorest[bio_es])</f>
        <v>Proverbios de la tradición oral vasca que reflejan la relación con la naturaleza, el trabajo y los valores comunitarios del pueblo vasco.</v>
      </c>
      <c r="I672" t="str">
        <f>_xlfn.XLOOKUP(frasest[[#This Row],[author_es]],autorest[author_es],autorest[bio_la])</f>
        <v>Collectio sententiarum Vasconicarum.</v>
      </c>
      <c r="J672" t="str">
        <f>_xlfn.XLOOKUP(frasest[[#This Row],[author_es]],autorest[author_es],autorest[iso3691])</f>
        <v>eu</v>
      </c>
      <c r="K672" t="str">
        <f>_xlfn.XLOOKUP(frasest[[#This Row],[author_es]],autorest[author_es],autorest[language_es])</f>
        <v>Euskara</v>
      </c>
      <c r="L672" t="str">
        <f>_xlfn.XLOOKUP(frasest[[#This Row],[author_es]],autorest[author_es],autorest[language_la])</f>
        <v>Lingua Vasconica</v>
      </c>
      <c r="M672" t="str">
        <f>_xlfn.XLOOKUP(frasest[[#This Row],[author_es]],autorest[author_es],autorest[nation_es])</f>
        <v>España</v>
      </c>
      <c r="N672" t="str">
        <f>_xlfn.XLOOKUP(frasest[[#This Row],[author_es]],autorest[author_es],autorest[nation_la])</f>
        <v>Hispania</v>
      </c>
      <c r="O672" t="str">
        <f>_xlfn.XLOOKUP(frasest[[#This Row],[author_es]],autorest[author_es],autorest[age_es])</f>
        <v>Epoca Desconocida</v>
      </c>
      <c r="P672" t="str">
        <f>_xlfn.XLOOKUP(frasest[[#This Row],[author_es]],autorest[author_es],autorest[age_la])</f>
        <v>Epocha Ignota</v>
      </c>
      <c r="Q672" t="str">
        <f>_xlfn.XLOOKUP(frasest[[#This Row],[author_es]],autorest[author_es],autorest[image])</f>
        <v>https://i.ibb.co/bjgxB3kn/euskadi.png</v>
      </c>
      <c r="R672">
        <f>_xlfn.XLOOKUP(frasest[[#This Row],[author_es]],autorest[author_es],autorest[image_atr])</f>
        <v>0</v>
      </c>
    </row>
    <row r="673" spans="1:18">
      <c r="A673">
        <v>672</v>
      </c>
      <c r="B673" t="s">
        <v>2297</v>
      </c>
      <c r="C673" t="s">
        <v>2298</v>
      </c>
      <c r="D673" t="s">
        <v>2299</v>
      </c>
      <c r="E673" t="s">
        <v>1236</v>
      </c>
      <c r="G673" t="str">
        <f>_xlfn.XLOOKUP(frasest[[#This Row],[author_es]],autorest[author_es],autorest[author_la])</f>
        <v>Sententia Vasconica</v>
      </c>
      <c r="H673" t="str">
        <f>_xlfn.XLOOKUP(frasest[[#This Row],[author_es]],autorest[author_es],autorest[bio_es])</f>
        <v>Proverbios de la tradición oral vasca que reflejan la relación con la naturaleza, el trabajo y los valores comunitarios del pueblo vasco.</v>
      </c>
      <c r="I673" t="str">
        <f>_xlfn.XLOOKUP(frasest[[#This Row],[author_es]],autorest[author_es],autorest[bio_la])</f>
        <v>Collectio sententiarum Vasconicarum.</v>
      </c>
      <c r="J673" t="str">
        <f>_xlfn.XLOOKUP(frasest[[#This Row],[author_es]],autorest[author_es],autorest[iso3691])</f>
        <v>eu</v>
      </c>
      <c r="K673" t="str">
        <f>_xlfn.XLOOKUP(frasest[[#This Row],[author_es]],autorest[author_es],autorest[language_es])</f>
        <v>Euskara</v>
      </c>
      <c r="L673" t="str">
        <f>_xlfn.XLOOKUP(frasest[[#This Row],[author_es]],autorest[author_es],autorest[language_la])</f>
        <v>Lingua Vasconica</v>
      </c>
      <c r="M673" t="str">
        <f>_xlfn.XLOOKUP(frasest[[#This Row],[author_es]],autorest[author_es],autorest[nation_es])</f>
        <v>España</v>
      </c>
      <c r="N673" t="str">
        <f>_xlfn.XLOOKUP(frasest[[#This Row],[author_es]],autorest[author_es],autorest[nation_la])</f>
        <v>Hispania</v>
      </c>
      <c r="O673" t="str">
        <f>_xlfn.XLOOKUP(frasest[[#This Row],[author_es]],autorest[author_es],autorest[age_es])</f>
        <v>Epoca Desconocida</v>
      </c>
      <c r="P673" t="str">
        <f>_xlfn.XLOOKUP(frasest[[#This Row],[author_es]],autorest[author_es],autorest[age_la])</f>
        <v>Epocha Ignota</v>
      </c>
      <c r="Q673" t="str">
        <f>_xlfn.XLOOKUP(frasest[[#This Row],[author_es]],autorest[author_es],autorest[image])</f>
        <v>https://i.ibb.co/bjgxB3kn/euskadi.png</v>
      </c>
      <c r="R673">
        <f>_xlfn.XLOOKUP(frasest[[#This Row],[author_es]],autorest[author_es],autorest[image_atr])</f>
        <v>0</v>
      </c>
    </row>
    <row r="674" spans="1:18">
      <c r="A674">
        <v>673</v>
      </c>
      <c r="B674" t="s">
        <v>2300</v>
      </c>
      <c r="C674" t="s">
        <v>2301</v>
      </c>
      <c r="D674" t="s">
        <v>2302</v>
      </c>
      <c r="E674" t="s">
        <v>1236</v>
      </c>
      <c r="G674" t="str">
        <f>_xlfn.XLOOKUP(frasest[[#This Row],[author_es]],autorest[author_es],autorest[author_la])</f>
        <v>Sententia Vasconica</v>
      </c>
      <c r="H674" t="str">
        <f>_xlfn.XLOOKUP(frasest[[#This Row],[author_es]],autorest[author_es],autorest[bio_es])</f>
        <v>Proverbios de la tradición oral vasca que reflejan la relación con la naturaleza, el trabajo y los valores comunitarios del pueblo vasco.</v>
      </c>
      <c r="I674" t="str">
        <f>_xlfn.XLOOKUP(frasest[[#This Row],[author_es]],autorest[author_es],autorest[bio_la])</f>
        <v>Collectio sententiarum Vasconicarum.</v>
      </c>
      <c r="J674" t="str">
        <f>_xlfn.XLOOKUP(frasest[[#This Row],[author_es]],autorest[author_es],autorest[iso3691])</f>
        <v>eu</v>
      </c>
      <c r="K674" t="str">
        <f>_xlfn.XLOOKUP(frasest[[#This Row],[author_es]],autorest[author_es],autorest[language_es])</f>
        <v>Euskara</v>
      </c>
      <c r="L674" t="str">
        <f>_xlfn.XLOOKUP(frasest[[#This Row],[author_es]],autorest[author_es],autorest[language_la])</f>
        <v>Lingua Vasconica</v>
      </c>
      <c r="M674" t="str">
        <f>_xlfn.XLOOKUP(frasest[[#This Row],[author_es]],autorest[author_es],autorest[nation_es])</f>
        <v>España</v>
      </c>
      <c r="N674" t="str">
        <f>_xlfn.XLOOKUP(frasest[[#This Row],[author_es]],autorest[author_es],autorest[nation_la])</f>
        <v>Hispania</v>
      </c>
      <c r="O674" t="str">
        <f>_xlfn.XLOOKUP(frasest[[#This Row],[author_es]],autorest[author_es],autorest[age_es])</f>
        <v>Epoca Desconocida</v>
      </c>
      <c r="P674" t="str">
        <f>_xlfn.XLOOKUP(frasest[[#This Row],[author_es]],autorest[author_es],autorest[age_la])</f>
        <v>Epocha Ignota</v>
      </c>
      <c r="Q674" t="str">
        <f>_xlfn.XLOOKUP(frasest[[#This Row],[author_es]],autorest[author_es],autorest[image])</f>
        <v>https://i.ibb.co/bjgxB3kn/euskadi.png</v>
      </c>
      <c r="R674">
        <f>_xlfn.XLOOKUP(frasest[[#This Row],[author_es]],autorest[author_es],autorest[image_atr])</f>
        <v>0</v>
      </c>
    </row>
    <row r="675" spans="1:18">
      <c r="A675">
        <v>674</v>
      </c>
      <c r="B675" t="s">
        <v>2303</v>
      </c>
      <c r="C675" t="s">
        <v>2304</v>
      </c>
      <c r="D675" t="s">
        <v>2305</v>
      </c>
      <c r="E675" t="s">
        <v>1236</v>
      </c>
      <c r="G675" t="str">
        <f>_xlfn.XLOOKUP(frasest[[#This Row],[author_es]],autorest[author_es],autorest[author_la])</f>
        <v>Sententia Vasconica</v>
      </c>
      <c r="H675" t="str">
        <f>_xlfn.XLOOKUP(frasest[[#This Row],[author_es]],autorest[author_es],autorest[bio_es])</f>
        <v>Proverbios de la tradición oral vasca que reflejan la relación con la naturaleza, el trabajo y los valores comunitarios del pueblo vasco.</v>
      </c>
      <c r="I675" t="str">
        <f>_xlfn.XLOOKUP(frasest[[#This Row],[author_es]],autorest[author_es],autorest[bio_la])</f>
        <v>Collectio sententiarum Vasconicarum.</v>
      </c>
      <c r="J675" t="str">
        <f>_xlfn.XLOOKUP(frasest[[#This Row],[author_es]],autorest[author_es],autorest[iso3691])</f>
        <v>eu</v>
      </c>
      <c r="K675" t="str">
        <f>_xlfn.XLOOKUP(frasest[[#This Row],[author_es]],autorest[author_es],autorest[language_es])</f>
        <v>Euskara</v>
      </c>
      <c r="L675" t="str">
        <f>_xlfn.XLOOKUP(frasest[[#This Row],[author_es]],autorest[author_es],autorest[language_la])</f>
        <v>Lingua Vasconica</v>
      </c>
      <c r="M675" t="str">
        <f>_xlfn.XLOOKUP(frasest[[#This Row],[author_es]],autorest[author_es],autorest[nation_es])</f>
        <v>España</v>
      </c>
      <c r="N675" t="str">
        <f>_xlfn.XLOOKUP(frasest[[#This Row],[author_es]],autorest[author_es],autorest[nation_la])</f>
        <v>Hispania</v>
      </c>
      <c r="O675" t="str">
        <f>_xlfn.XLOOKUP(frasest[[#This Row],[author_es]],autorest[author_es],autorest[age_es])</f>
        <v>Epoca Desconocida</v>
      </c>
      <c r="P675" t="str">
        <f>_xlfn.XLOOKUP(frasest[[#This Row],[author_es]],autorest[author_es],autorest[age_la])</f>
        <v>Epocha Ignota</v>
      </c>
      <c r="Q675" t="str">
        <f>_xlfn.XLOOKUP(frasest[[#This Row],[author_es]],autorest[author_es],autorest[image])</f>
        <v>https://i.ibb.co/bjgxB3kn/euskadi.png</v>
      </c>
      <c r="R675">
        <f>_xlfn.XLOOKUP(frasest[[#This Row],[author_es]],autorest[author_es],autorest[image_atr])</f>
        <v>0</v>
      </c>
    </row>
    <row r="676" spans="1:18">
      <c r="A676">
        <v>675</v>
      </c>
      <c r="B676" t="s">
        <v>2306</v>
      </c>
      <c r="C676" t="s">
        <v>2307</v>
      </c>
      <c r="D676" t="s">
        <v>2308</v>
      </c>
      <c r="E676" t="s">
        <v>1236</v>
      </c>
      <c r="G676" t="str">
        <f>_xlfn.XLOOKUP(frasest[[#This Row],[author_es]],autorest[author_es],autorest[author_la])</f>
        <v>Sententia Vasconica</v>
      </c>
      <c r="H676" t="str">
        <f>_xlfn.XLOOKUP(frasest[[#This Row],[author_es]],autorest[author_es],autorest[bio_es])</f>
        <v>Proverbios de la tradición oral vasca que reflejan la relación con la naturaleza, el trabajo y los valores comunitarios del pueblo vasco.</v>
      </c>
      <c r="I676" t="str">
        <f>_xlfn.XLOOKUP(frasest[[#This Row],[author_es]],autorest[author_es],autorest[bio_la])</f>
        <v>Collectio sententiarum Vasconicarum.</v>
      </c>
      <c r="J676" t="str">
        <f>_xlfn.XLOOKUP(frasest[[#This Row],[author_es]],autorest[author_es],autorest[iso3691])</f>
        <v>eu</v>
      </c>
      <c r="K676" t="str">
        <f>_xlfn.XLOOKUP(frasest[[#This Row],[author_es]],autorest[author_es],autorest[language_es])</f>
        <v>Euskara</v>
      </c>
      <c r="L676" t="str">
        <f>_xlfn.XLOOKUP(frasest[[#This Row],[author_es]],autorest[author_es],autorest[language_la])</f>
        <v>Lingua Vasconica</v>
      </c>
      <c r="M676" t="str">
        <f>_xlfn.XLOOKUP(frasest[[#This Row],[author_es]],autorest[author_es],autorest[nation_es])</f>
        <v>España</v>
      </c>
      <c r="N676" t="str">
        <f>_xlfn.XLOOKUP(frasest[[#This Row],[author_es]],autorest[author_es],autorest[nation_la])</f>
        <v>Hispania</v>
      </c>
      <c r="O676" t="str">
        <f>_xlfn.XLOOKUP(frasest[[#This Row],[author_es]],autorest[author_es],autorest[age_es])</f>
        <v>Epoca Desconocida</v>
      </c>
      <c r="P676" t="str">
        <f>_xlfn.XLOOKUP(frasest[[#This Row],[author_es]],autorest[author_es],autorest[age_la])</f>
        <v>Epocha Ignota</v>
      </c>
      <c r="Q676" t="str">
        <f>_xlfn.XLOOKUP(frasest[[#This Row],[author_es]],autorest[author_es],autorest[image])</f>
        <v>https://i.ibb.co/bjgxB3kn/euskadi.png</v>
      </c>
      <c r="R676">
        <f>_xlfn.XLOOKUP(frasest[[#This Row],[author_es]],autorest[author_es],autorest[image_atr])</f>
        <v>0</v>
      </c>
    </row>
    <row r="677" spans="1:18">
      <c r="A677">
        <v>676</v>
      </c>
      <c r="B677" t="s">
        <v>2309</v>
      </c>
      <c r="C677" t="s">
        <v>2310</v>
      </c>
      <c r="D677" t="s">
        <v>2311</v>
      </c>
      <c r="E677" t="s">
        <v>1236</v>
      </c>
      <c r="G677" t="str">
        <f>_xlfn.XLOOKUP(frasest[[#This Row],[author_es]],autorest[author_es],autorest[author_la])</f>
        <v>Sententia Vasconica</v>
      </c>
      <c r="H677" t="str">
        <f>_xlfn.XLOOKUP(frasest[[#This Row],[author_es]],autorest[author_es],autorest[bio_es])</f>
        <v>Proverbios de la tradición oral vasca que reflejan la relación con la naturaleza, el trabajo y los valores comunitarios del pueblo vasco.</v>
      </c>
      <c r="I677" t="str">
        <f>_xlfn.XLOOKUP(frasest[[#This Row],[author_es]],autorest[author_es],autorest[bio_la])</f>
        <v>Collectio sententiarum Vasconicarum.</v>
      </c>
      <c r="J677" t="str">
        <f>_xlfn.XLOOKUP(frasest[[#This Row],[author_es]],autorest[author_es],autorest[iso3691])</f>
        <v>eu</v>
      </c>
      <c r="K677" t="str">
        <f>_xlfn.XLOOKUP(frasest[[#This Row],[author_es]],autorest[author_es],autorest[language_es])</f>
        <v>Euskara</v>
      </c>
      <c r="L677" t="str">
        <f>_xlfn.XLOOKUP(frasest[[#This Row],[author_es]],autorest[author_es],autorest[language_la])</f>
        <v>Lingua Vasconica</v>
      </c>
      <c r="M677" t="str">
        <f>_xlfn.XLOOKUP(frasest[[#This Row],[author_es]],autorest[author_es],autorest[nation_es])</f>
        <v>España</v>
      </c>
      <c r="N677" t="str">
        <f>_xlfn.XLOOKUP(frasest[[#This Row],[author_es]],autorest[author_es],autorest[nation_la])</f>
        <v>Hispania</v>
      </c>
      <c r="O677" t="str">
        <f>_xlfn.XLOOKUP(frasest[[#This Row],[author_es]],autorest[author_es],autorest[age_es])</f>
        <v>Epoca Desconocida</v>
      </c>
      <c r="P677" t="str">
        <f>_xlfn.XLOOKUP(frasest[[#This Row],[author_es]],autorest[author_es],autorest[age_la])</f>
        <v>Epocha Ignota</v>
      </c>
      <c r="Q677" t="str">
        <f>_xlfn.XLOOKUP(frasest[[#This Row],[author_es]],autorest[author_es],autorest[image])</f>
        <v>https://i.ibb.co/bjgxB3kn/euskadi.png</v>
      </c>
      <c r="R677">
        <f>_xlfn.XLOOKUP(frasest[[#This Row],[author_es]],autorest[author_es],autorest[image_atr])</f>
        <v>0</v>
      </c>
    </row>
    <row r="678" spans="1:18">
      <c r="A678">
        <v>677</v>
      </c>
      <c r="B678" t="s">
        <v>2312</v>
      </c>
      <c r="C678" t="s">
        <v>2313</v>
      </c>
      <c r="D678" t="s">
        <v>2314</v>
      </c>
      <c r="E678" t="s">
        <v>1236</v>
      </c>
      <c r="G678" t="str">
        <f>_xlfn.XLOOKUP(frasest[[#This Row],[author_es]],autorest[author_es],autorest[author_la])</f>
        <v>Sententia Vasconica</v>
      </c>
      <c r="H678" t="str">
        <f>_xlfn.XLOOKUP(frasest[[#This Row],[author_es]],autorest[author_es],autorest[bio_es])</f>
        <v>Proverbios de la tradición oral vasca que reflejan la relación con la naturaleza, el trabajo y los valores comunitarios del pueblo vasco.</v>
      </c>
      <c r="I678" t="str">
        <f>_xlfn.XLOOKUP(frasest[[#This Row],[author_es]],autorest[author_es],autorest[bio_la])</f>
        <v>Collectio sententiarum Vasconicarum.</v>
      </c>
      <c r="J678" t="str">
        <f>_xlfn.XLOOKUP(frasest[[#This Row],[author_es]],autorest[author_es],autorest[iso3691])</f>
        <v>eu</v>
      </c>
      <c r="K678" t="str">
        <f>_xlfn.XLOOKUP(frasest[[#This Row],[author_es]],autorest[author_es],autorest[language_es])</f>
        <v>Euskara</v>
      </c>
      <c r="L678" t="str">
        <f>_xlfn.XLOOKUP(frasest[[#This Row],[author_es]],autorest[author_es],autorest[language_la])</f>
        <v>Lingua Vasconica</v>
      </c>
      <c r="M678" t="str">
        <f>_xlfn.XLOOKUP(frasest[[#This Row],[author_es]],autorest[author_es],autorest[nation_es])</f>
        <v>España</v>
      </c>
      <c r="N678" t="str">
        <f>_xlfn.XLOOKUP(frasest[[#This Row],[author_es]],autorest[author_es],autorest[nation_la])</f>
        <v>Hispania</v>
      </c>
      <c r="O678" t="str">
        <f>_xlfn.XLOOKUP(frasest[[#This Row],[author_es]],autorest[author_es],autorest[age_es])</f>
        <v>Epoca Desconocida</v>
      </c>
      <c r="P678" t="str">
        <f>_xlfn.XLOOKUP(frasest[[#This Row],[author_es]],autorest[author_es],autorest[age_la])</f>
        <v>Epocha Ignota</v>
      </c>
      <c r="Q678" t="str">
        <f>_xlfn.XLOOKUP(frasest[[#This Row],[author_es]],autorest[author_es],autorest[image])</f>
        <v>https://i.ibb.co/bjgxB3kn/euskadi.png</v>
      </c>
      <c r="R678">
        <f>_xlfn.XLOOKUP(frasest[[#This Row],[author_es]],autorest[author_es],autorest[image_atr])</f>
        <v>0</v>
      </c>
    </row>
    <row r="679" spans="1:18">
      <c r="A679">
        <v>678</v>
      </c>
      <c r="B679" t="s">
        <v>2315</v>
      </c>
      <c r="C679" t="s">
        <v>2316</v>
      </c>
      <c r="D679" t="s">
        <v>2317</v>
      </c>
      <c r="E679" t="s">
        <v>1236</v>
      </c>
      <c r="G679" t="str">
        <f>_xlfn.XLOOKUP(frasest[[#This Row],[author_es]],autorest[author_es],autorest[author_la])</f>
        <v>Sententia Vasconica</v>
      </c>
      <c r="H679" t="str">
        <f>_xlfn.XLOOKUP(frasest[[#This Row],[author_es]],autorest[author_es],autorest[bio_es])</f>
        <v>Proverbios de la tradición oral vasca que reflejan la relación con la naturaleza, el trabajo y los valores comunitarios del pueblo vasco.</v>
      </c>
      <c r="I679" t="str">
        <f>_xlfn.XLOOKUP(frasest[[#This Row],[author_es]],autorest[author_es],autorest[bio_la])</f>
        <v>Collectio sententiarum Vasconicarum.</v>
      </c>
      <c r="J679" t="str">
        <f>_xlfn.XLOOKUP(frasest[[#This Row],[author_es]],autorest[author_es],autorest[iso3691])</f>
        <v>eu</v>
      </c>
      <c r="K679" t="str">
        <f>_xlfn.XLOOKUP(frasest[[#This Row],[author_es]],autorest[author_es],autorest[language_es])</f>
        <v>Euskara</v>
      </c>
      <c r="L679" t="str">
        <f>_xlfn.XLOOKUP(frasest[[#This Row],[author_es]],autorest[author_es],autorest[language_la])</f>
        <v>Lingua Vasconica</v>
      </c>
      <c r="M679" t="str">
        <f>_xlfn.XLOOKUP(frasest[[#This Row],[author_es]],autorest[author_es],autorest[nation_es])</f>
        <v>España</v>
      </c>
      <c r="N679" t="str">
        <f>_xlfn.XLOOKUP(frasest[[#This Row],[author_es]],autorest[author_es],autorest[nation_la])</f>
        <v>Hispania</v>
      </c>
      <c r="O679" t="str">
        <f>_xlfn.XLOOKUP(frasest[[#This Row],[author_es]],autorest[author_es],autorest[age_es])</f>
        <v>Epoca Desconocida</v>
      </c>
      <c r="P679" t="str">
        <f>_xlfn.XLOOKUP(frasest[[#This Row],[author_es]],autorest[author_es],autorest[age_la])</f>
        <v>Epocha Ignota</v>
      </c>
      <c r="Q679" t="str">
        <f>_xlfn.XLOOKUP(frasest[[#This Row],[author_es]],autorest[author_es],autorest[image])</f>
        <v>https://i.ibb.co/bjgxB3kn/euskadi.png</v>
      </c>
      <c r="R679">
        <f>_xlfn.XLOOKUP(frasest[[#This Row],[author_es]],autorest[author_es],autorest[image_atr])</f>
        <v>0</v>
      </c>
    </row>
    <row r="680" spans="1:18">
      <c r="A680">
        <v>679</v>
      </c>
      <c r="B680" t="s">
        <v>2318</v>
      </c>
      <c r="C680" t="s">
        <v>2319</v>
      </c>
      <c r="D680" t="s">
        <v>2320</v>
      </c>
      <c r="E680" t="s">
        <v>1236</v>
      </c>
      <c r="G680" t="str">
        <f>_xlfn.XLOOKUP(frasest[[#This Row],[author_es]],autorest[author_es],autorest[author_la])</f>
        <v>Sententia Vasconica</v>
      </c>
      <c r="H680" t="str">
        <f>_xlfn.XLOOKUP(frasest[[#This Row],[author_es]],autorest[author_es],autorest[bio_es])</f>
        <v>Proverbios de la tradición oral vasca que reflejan la relación con la naturaleza, el trabajo y los valores comunitarios del pueblo vasco.</v>
      </c>
      <c r="I680" t="str">
        <f>_xlfn.XLOOKUP(frasest[[#This Row],[author_es]],autorest[author_es],autorest[bio_la])</f>
        <v>Collectio sententiarum Vasconicarum.</v>
      </c>
      <c r="J680" t="str">
        <f>_xlfn.XLOOKUP(frasest[[#This Row],[author_es]],autorest[author_es],autorest[iso3691])</f>
        <v>eu</v>
      </c>
      <c r="K680" t="str">
        <f>_xlfn.XLOOKUP(frasest[[#This Row],[author_es]],autorest[author_es],autorest[language_es])</f>
        <v>Euskara</v>
      </c>
      <c r="L680" t="str">
        <f>_xlfn.XLOOKUP(frasest[[#This Row],[author_es]],autorest[author_es],autorest[language_la])</f>
        <v>Lingua Vasconica</v>
      </c>
      <c r="M680" t="str">
        <f>_xlfn.XLOOKUP(frasest[[#This Row],[author_es]],autorest[author_es],autorest[nation_es])</f>
        <v>España</v>
      </c>
      <c r="N680" t="str">
        <f>_xlfn.XLOOKUP(frasest[[#This Row],[author_es]],autorest[author_es],autorest[nation_la])</f>
        <v>Hispania</v>
      </c>
      <c r="O680" t="str">
        <f>_xlfn.XLOOKUP(frasest[[#This Row],[author_es]],autorest[author_es],autorest[age_es])</f>
        <v>Epoca Desconocida</v>
      </c>
      <c r="P680" t="str">
        <f>_xlfn.XLOOKUP(frasest[[#This Row],[author_es]],autorest[author_es],autorest[age_la])</f>
        <v>Epocha Ignota</v>
      </c>
      <c r="Q680" t="str">
        <f>_xlfn.XLOOKUP(frasest[[#This Row],[author_es]],autorest[author_es],autorest[image])</f>
        <v>https://i.ibb.co/bjgxB3kn/euskadi.png</v>
      </c>
      <c r="R680">
        <f>_xlfn.XLOOKUP(frasest[[#This Row],[author_es]],autorest[author_es],autorest[image_atr])</f>
        <v>0</v>
      </c>
    </row>
    <row r="681" spans="1:18">
      <c r="A681">
        <v>680</v>
      </c>
      <c r="B681" t="s">
        <v>2321</v>
      </c>
      <c r="C681" t="s">
        <v>2322</v>
      </c>
      <c r="D681" t="s">
        <v>2323</v>
      </c>
      <c r="E681" t="s">
        <v>1236</v>
      </c>
      <c r="G681" t="str">
        <f>_xlfn.XLOOKUP(frasest[[#This Row],[author_es]],autorest[author_es],autorest[author_la])</f>
        <v>Sententia Vasconica</v>
      </c>
      <c r="H681" t="str">
        <f>_xlfn.XLOOKUP(frasest[[#This Row],[author_es]],autorest[author_es],autorest[bio_es])</f>
        <v>Proverbios de la tradición oral vasca que reflejan la relación con la naturaleza, el trabajo y los valores comunitarios del pueblo vasco.</v>
      </c>
      <c r="I681" t="str">
        <f>_xlfn.XLOOKUP(frasest[[#This Row],[author_es]],autorest[author_es],autorest[bio_la])</f>
        <v>Collectio sententiarum Vasconicarum.</v>
      </c>
      <c r="J681" t="str">
        <f>_xlfn.XLOOKUP(frasest[[#This Row],[author_es]],autorest[author_es],autorest[iso3691])</f>
        <v>eu</v>
      </c>
      <c r="K681" t="str">
        <f>_xlfn.XLOOKUP(frasest[[#This Row],[author_es]],autorest[author_es],autorest[language_es])</f>
        <v>Euskara</v>
      </c>
      <c r="L681" t="str">
        <f>_xlfn.XLOOKUP(frasest[[#This Row],[author_es]],autorest[author_es],autorest[language_la])</f>
        <v>Lingua Vasconica</v>
      </c>
      <c r="M681" t="str">
        <f>_xlfn.XLOOKUP(frasest[[#This Row],[author_es]],autorest[author_es],autorest[nation_es])</f>
        <v>España</v>
      </c>
      <c r="N681" t="str">
        <f>_xlfn.XLOOKUP(frasest[[#This Row],[author_es]],autorest[author_es],autorest[nation_la])</f>
        <v>Hispania</v>
      </c>
      <c r="O681" t="str">
        <f>_xlfn.XLOOKUP(frasest[[#This Row],[author_es]],autorest[author_es],autorest[age_es])</f>
        <v>Epoca Desconocida</v>
      </c>
      <c r="P681" t="str">
        <f>_xlfn.XLOOKUP(frasest[[#This Row],[author_es]],autorest[author_es],autorest[age_la])</f>
        <v>Epocha Ignota</v>
      </c>
      <c r="Q681" t="str">
        <f>_xlfn.XLOOKUP(frasest[[#This Row],[author_es]],autorest[author_es],autorest[image])</f>
        <v>https://i.ibb.co/bjgxB3kn/euskadi.png</v>
      </c>
      <c r="R681">
        <f>_xlfn.XLOOKUP(frasest[[#This Row],[author_es]],autorest[author_es],autorest[image_atr])</f>
        <v>0</v>
      </c>
    </row>
    <row r="682" spans="1:18">
      <c r="A682">
        <v>681</v>
      </c>
      <c r="B682" t="s">
        <v>2324</v>
      </c>
      <c r="C682" t="s">
        <v>2325</v>
      </c>
      <c r="D682" t="s">
        <v>2326</v>
      </c>
      <c r="E682" t="s">
        <v>1236</v>
      </c>
      <c r="G682" t="str">
        <f>_xlfn.XLOOKUP(frasest[[#This Row],[author_es]],autorest[author_es],autorest[author_la])</f>
        <v>Sententia Vasconica</v>
      </c>
      <c r="H682" t="str">
        <f>_xlfn.XLOOKUP(frasest[[#This Row],[author_es]],autorest[author_es],autorest[bio_es])</f>
        <v>Proverbios de la tradición oral vasca que reflejan la relación con la naturaleza, el trabajo y los valores comunitarios del pueblo vasco.</v>
      </c>
      <c r="I682" t="str">
        <f>_xlfn.XLOOKUP(frasest[[#This Row],[author_es]],autorest[author_es],autorest[bio_la])</f>
        <v>Collectio sententiarum Vasconicarum.</v>
      </c>
      <c r="J682" t="str">
        <f>_xlfn.XLOOKUP(frasest[[#This Row],[author_es]],autorest[author_es],autorest[iso3691])</f>
        <v>eu</v>
      </c>
      <c r="K682" t="str">
        <f>_xlfn.XLOOKUP(frasest[[#This Row],[author_es]],autorest[author_es],autorest[language_es])</f>
        <v>Euskara</v>
      </c>
      <c r="L682" t="str">
        <f>_xlfn.XLOOKUP(frasest[[#This Row],[author_es]],autorest[author_es],autorest[language_la])</f>
        <v>Lingua Vasconica</v>
      </c>
      <c r="M682" t="str">
        <f>_xlfn.XLOOKUP(frasest[[#This Row],[author_es]],autorest[author_es],autorest[nation_es])</f>
        <v>España</v>
      </c>
      <c r="N682" t="str">
        <f>_xlfn.XLOOKUP(frasest[[#This Row],[author_es]],autorest[author_es],autorest[nation_la])</f>
        <v>Hispania</v>
      </c>
      <c r="O682" t="str">
        <f>_xlfn.XLOOKUP(frasest[[#This Row],[author_es]],autorest[author_es],autorest[age_es])</f>
        <v>Epoca Desconocida</v>
      </c>
      <c r="P682" t="str">
        <f>_xlfn.XLOOKUP(frasest[[#This Row],[author_es]],autorest[author_es],autorest[age_la])</f>
        <v>Epocha Ignota</v>
      </c>
      <c r="Q682" t="str">
        <f>_xlfn.XLOOKUP(frasest[[#This Row],[author_es]],autorest[author_es],autorest[image])</f>
        <v>https://i.ibb.co/bjgxB3kn/euskadi.png</v>
      </c>
      <c r="R682">
        <f>_xlfn.XLOOKUP(frasest[[#This Row],[author_es]],autorest[author_es],autorest[image_atr])</f>
        <v>0</v>
      </c>
    </row>
    <row r="683" spans="1:18">
      <c r="A683">
        <v>682</v>
      </c>
      <c r="B683" t="s">
        <v>2327</v>
      </c>
      <c r="C683" t="s">
        <v>2328</v>
      </c>
      <c r="D683" t="s">
        <v>2329</v>
      </c>
      <c r="E683" t="s">
        <v>1236</v>
      </c>
      <c r="G683" t="str">
        <f>_xlfn.XLOOKUP(frasest[[#This Row],[author_es]],autorest[author_es],autorest[author_la])</f>
        <v>Sententia Vasconica</v>
      </c>
      <c r="H683" t="str">
        <f>_xlfn.XLOOKUP(frasest[[#This Row],[author_es]],autorest[author_es],autorest[bio_es])</f>
        <v>Proverbios de la tradición oral vasca que reflejan la relación con la naturaleza, el trabajo y los valores comunitarios del pueblo vasco.</v>
      </c>
      <c r="I683" t="str">
        <f>_xlfn.XLOOKUP(frasest[[#This Row],[author_es]],autorest[author_es],autorest[bio_la])</f>
        <v>Collectio sententiarum Vasconicarum.</v>
      </c>
      <c r="J683" t="str">
        <f>_xlfn.XLOOKUP(frasest[[#This Row],[author_es]],autorest[author_es],autorest[iso3691])</f>
        <v>eu</v>
      </c>
      <c r="K683" t="str">
        <f>_xlfn.XLOOKUP(frasest[[#This Row],[author_es]],autorest[author_es],autorest[language_es])</f>
        <v>Euskara</v>
      </c>
      <c r="L683" t="str">
        <f>_xlfn.XLOOKUP(frasest[[#This Row],[author_es]],autorest[author_es],autorest[language_la])</f>
        <v>Lingua Vasconica</v>
      </c>
      <c r="M683" t="str">
        <f>_xlfn.XLOOKUP(frasest[[#This Row],[author_es]],autorest[author_es],autorest[nation_es])</f>
        <v>España</v>
      </c>
      <c r="N683" t="str">
        <f>_xlfn.XLOOKUP(frasest[[#This Row],[author_es]],autorest[author_es],autorest[nation_la])</f>
        <v>Hispania</v>
      </c>
      <c r="O683" t="str">
        <f>_xlfn.XLOOKUP(frasest[[#This Row],[author_es]],autorest[author_es],autorest[age_es])</f>
        <v>Epoca Desconocida</v>
      </c>
      <c r="P683" t="str">
        <f>_xlfn.XLOOKUP(frasest[[#This Row],[author_es]],autorest[author_es],autorest[age_la])</f>
        <v>Epocha Ignota</v>
      </c>
      <c r="Q683" t="str">
        <f>_xlfn.XLOOKUP(frasest[[#This Row],[author_es]],autorest[author_es],autorest[image])</f>
        <v>https://i.ibb.co/bjgxB3kn/euskadi.png</v>
      </c>
      <c r="R683">
        <f>_xlfn.XLOOKUP(frasest[[#This Row],[author_es]],autorest[author_es],autorest[image_atr])</f>
        <v>0</v>
      </c>
    </row>
    <row r="684" spans="1:18">
      <c r="A684">
        <v>683</v>
      </c>
      <c r="B684" t="s">
        <v>2330</v>
      </c>
      <c r="C684" t="s">
        <v>2331</v>
      </c>
      <c r="D684" t="s">
        <v>2332</v>
      </c>
      <c r="E684" t="s">
        <v>1236</v>
      </c>
      <c r="G684" t="str">
        <f>_xlfn.XLOOKUP(frasest[[#This Row],[author_es]],autorest[author_es],autorest[author_la])</f>
        <v>Sententia Vasconica</v>
      </c>
      <c r="H684" t="str">
        <f>_xlfn.XLOOKUP(frasest[[#This Row],[author_es]],autorest[author_es],autorest[bio_es])</f>
        <v>Proverbios de la tradición oral vasca que reflejan la relación con la naturaleza, el trabajo y los valores comunitarios del pueblo vasco.</v>
      </c>
      <c r="I684" t="str">
        <f>_xlfn.XLOOKUP(frasest[[#This Row],[author_es]],autorest[author_es],autorest[bio_la])</f>
        <v>Collectio sententiarum Vasconicarum.</v>
      </c>
      <c r="J684" t="str">
        <f>_xlfn.XLOOKUP(frasest[[#This Row],[author_es]],autorest[author_es],autorest[iso3691])</f>
        <v>eu</v>
      </c>
      <c r="K684" t="str">
        <f>_xlfn.XLOOKUP(frasest[[#This Row],[author_es]],autorest[author_es],autorest[language_es])</f>
        <v>Euskara</v>
      </c>
      <c r="L684" t="str">
        <f>_xlfn.XLOOKUP(frasest[[#This Row],[author_es]],autorest[author_es],autorest[language_la])</f>
        <v>Lingua Vasconica</v>
      </c>
      <c r="M684" t="str">
        <f>_xlfn.XLOOKUP(frasest[[#This Row],[author_es]],autorest[author_es],autorest[nation_es])</f>
        <v>España</v>
      </c>
      <c r="N684" t="str">
        <f>_xlfn.XLOOKUP(frasest[[#This Row],[author_es]],autorest[author_es],autorest[nation_la])</f>
        <v>Hispania</v>
      </c>
      <c r="O684" t="str">
        <f>_xlfn.XLOOKUP(frasest[[#This Row],[author_es]],autorest[author_es],autorest[age_es])</f>
        <v>Epoca Desconocida</v>
      </c>
      <c r="P684" t="str">
        <f>_xlfn.XLOOKUP(frasest[[#This Row],[author_es]],autorest[author_es],autorest[age_la])</f>
        <v>Epocha Ignota</v>
      </c>
      <c r="Q684" t="str">
        <f>_xlfn.XLOOKUP(frasest[[#This Row],[author_es]],autorest[author_es],autorest[image])</f>
        <v>https://i.ibb.co/bjgxB3kn/euskadi.png</v>
      </c>
      <c r="R684">
        <f>_xlfn.XLOOKUP(frasest[[#This Row],[author_es]],autorest[author_es],autorest[image_atr])</f>
        <v>0</v>
      </c>
    </row>
    <row r="685" spans="1:18">
      <c r="A685">
        <v>684</v>
      </c>
      <c r="B685" t="s">
        <v>2333</v>
      </c>
      <c r="C685" t="s">
        <v>2334</v>
      </c>
      <c r="D685" t="s">
        <v>2335</v>
      </c>
      <c r="E685" t="s">
        <v>1236</v>
      </c>
      <c r="G685" t="str">
        <f>_xlfn.XLOOKUP(frasest[[#This Row],[author_es]],autorest[author_es],autorest[author_la])</f>
        <v>Sententia Vasconica</v>
      </c>
      <c r="H685" t="str">
        <f>_xlfn.XLOOKUP(frasest[[#This Row],[author_es]],autorest[author_es],autorest[bio_es])</f>
        <v>Proverbios de la tradición oral vasca que reflejan la relación con la naturaleza, el trabajo y los valores comunitarios del pueblo vasco.</v>
      </c>
      <c r="I685" t="str">
        <f>_xlfn.XLOOKUP(frasest[[#This Row],[author_es]],autorest[author_es],autorest[bio_la])</f>
        <v>Collectio sententiarum Vasconicarum.</v>
      </c>
      <c r="J685" t="str">
        <f>_xlfn.XLOOKUP(frasest[[#This Row],[author_es]],autorest[author_es],autorest[iso3691])</f>
        <v>eu</v>
      </c>
      <c r="K685" t="str">
        <f>_xlfn.XLOOKUP(frasest[[#This Row],[author_es]],autorest[author_es],autorest[language_es])</f>
        <v>Euskara</v>
      </c>
      <c r="L685" t="str">
        <f>_xlfn.XLOOKUP(frasest[[#This Row],[author_es]],autorest[author_es],autorest[language_la])</f>
        <v>Lingua Vasconica</v>
      </c>
      <c r="M685" t="str">
        <f>_xlfn.XLOOKUP(frasest[[#This Row],[author_es]],autorest[author_es],autorest[nation_es])</f>
        <v>España</v>
      </c>
      <c r="N685" t="str">
        <f>_xlfn.XLOOKUP(frasest[[#This Row],[author_es]],autorest[author_es],autorest[nation_la])</f>
        <v>Hispania</v>
      </c>
      <c r="O685" t="str">
        <f>_xlfn.XLOOKUP(frasest[[#This Row],[author_es]],autorest[author_es],autorest[age_es])</f>
        <v>Epoca Desconocida</v>
      </c>
      <c r="P685" t="str">
        <f>_xlfn.XLOOKUP(frasest[[#This Row],[author_es]],autorest[author_es],autorest[age_la])</f>
        <v>Epocha Ignota</v>
      </c>
      <c r="Q685" t="str">
        <f>_xlfn.XLOOKUP(frasest[[#This Row],[author_es]],autorest[author_es],autorest[image])</f>
        <v>https://i.ibb.co/bjgxB3kn/euskadi.png</v>
      </c>
      <c r="R685">
        <f>_xlfn.XLOOKUP(frasest[[#This Row],[author_es]],autorest[author_es],autorest[image_atr])</f>
        <v>0</v>
      </c>
    </row>
    <row r="686" spans="1:18">
      <c r="A686">
        <v>685</v>
      </c>
      <c r="B686" t="s">
        <v>64</v>
      </c>
      <c r="C686" t="s">
        <v>2336</v>
      </c>
      <c r="D686" t="s">
        <v>2337</v>
      </c>
      <c r="E686" t="s">
        <v>1236</v>
      </c>
      <c r="G686" t="str">
        <f>_xlfn.XLOOKUP(frasest[[#This Row],[author_es]],autorest[author_es],autorest[author_la])</f>
        <v>Sententia Vasconica</v>
      </c>
      <c r="H686" t="str">
        <f>_xlfn.XLOOKUP(frasest[[#This Row],[author_es]],autorest[author_es],autorest[bio_es])</f>
        <v>Proverbios de la tradición oral vasca que reflejan la relación con la naturaleza, el trabajo y los valores comunitarios del pueblo vasco.</v>
      </c>
      <c r="I686" t="str">
        <f>_xlfn.XLOOKUP(frasest[[#This Row],[author_es]],autorest[author_es],autorest[bio_la])</f>
        <v>Collectio sententiarum Vasconicarum.</v>
      </c>
      <c r="J686" t="str">
        <f>_xlfn.XLOOKUP(frasest[[#This Row],[author_es]],autorest[author_es],autorest[iso3691])</f>
        <v>eu</v>
      </c>
      <c r="K686" t="str">
        <f>_xlfn.XLOOKUP(frasest[[#This Row],[author_es]],autorest[author_es],autorest[language_es])</f>
        <v>Euskara</v>
      </c>
      <c r="L686" t="str">
        <f>_xlfn.XLOOKUP(frasest[[#This Row],[author_es]],autorest[author_es],autorest[language_la])</f>
        <v>Lingua Vasconica</v>
      </c>
      <c r="M686" t="str">
        <f>_xlfn.XLOOKUP(frasest[[#This Row],[author_es]],autorest[author_es],autorest[nation_es])</f>
        <v>España</v>
      </c>
      <c r="N686" t="str">
        <f>_xlfn.XLOOKUP(frasest[[#This Row],[author_es]],autorest[author_es],autorest[nation_la])</f>
        <v>Hispania</v>
      </c>
      <c r="O686" t="str">
        <f>_xlfn.XLOOKUP(frasest[[#This Row],[author_es]],autorest[author_es],autorest[age_es])</f>
        <v>Epoca Desconocida</v>
      </c>
      <c r="P686" t="str">
        <f>_xlfn.XLOOKUP(frasest[[#This Row],[author_es]],autorest[author_es],autorest[age_la])</f>
        <v>Epocha Ignota</v>
      </c>
      <c r="Q686" t="str">
        <f>_xlfn.XLOOKUP(frasest[[#This Row],[author_es]],autorest[author_es],autorest[image])</f>
        <v>https://i.ibb.co/bjgxB3kn/euskadi.png</v>
      </c>
      <c r="R686">
        <f>_xlfn.XLOOKUP(frasest[[#This Row],[author_es]],autorest[author_es],autorest[image_atr])</f>
        <v>0</v>
      </c>
    </row>
    <row r="687" spans="1:18">
      <c r="A687">
        <v>686</v>
      </c>
      <c r="B687" t="s">
        <v>2338</v>
      </c>
      <c r="C687" t="s">
        <v>2339</v>
      </c>
      <c r="D687" t="s">
        <v>2340</v>
      </c>
      <c r="E687" t="s">
        <v>1236</v>
      </c>
      <c r="G687" t="str">
        <f>_xlfn.XLOOKUP(frasest[[#This Row],[author_es]],autorest[author_es],autorest[author_la])</f>
        <v>Sententia Vasconica</v>
      </c>
      <c r="H687" t="str">
        <f>_xlfn.XLOOKUP(frasest[[#This Row],[author_es]],autorest[author_es],autorest[bio_es])</f>
        <v>Proverbios de la tradición oral vasca que reflejan la relación con la naturaleza, el trabajo y los valores comunitarios del pueblo vasco.</v>
      </c>
      <c r="I687" t="str">
        <f>_xlfn.XLOOKUP(frasest[[#This Row],[author_es]],autorest[author_es],autorest[bio_la])</f>
        <v>Collectio sententiarum Vasconicarum.</v>
      </c>
      <c r="J687" t="str">
        <f>_xlfn.XLOOKUP(frasest[[#This Row],[author_es]],autorest[author_es],autorest[iso3691])</f>
        <v>eu</v>
      </c>
      <c r="K687" t="str">
        <f>_xlfn.XLOOKUP(frasest[[#This Row],[author_es]],autorest[author_es],autorest[language_es])</f>
        <v>Euskara</v>
      </c>
      <c r="L687" t="str">
        <f>_xlfn.XLOOKUP(frasest[[#This Row],[author_es]],autorest[author_es],autorest[language_la])</f>
        <v>Lingua Vasconica</v>
      </c>
      <c r="M687" t="str">
        <f>_xlfn.XLOOKUP(frasest[[#This Row],[author_es]],autorest[author_es],autorest[nation_es])</f>
        <v>España</v>
      </c>
      <c r="N687" t="str">
        <f>_xlfn.XLOOKUP(frasest[[#This Row],[author_es]],autorest[author_es],autorest[nation_la])</f>
        <v>Hispania</v>
      </c>
      <c r="O687" t="str">
        <f>_xlfn.XLOOKUP(frasest[[#This Row],[author_es]],autorest[author_es],autorest[age_es])</f>
        <v>Epoca Desconocida</v>
      </c>
      <c r="P687" t="str">
        <f>_xlfn.XLOOKUP(frasest[[#This Row],[author_es]],autorest[author_es],autorest[age_la])</f>
        <v>Epocha Ignota</v>
      </c>
      <c r="Q687" t="str">
        <f>_xlfn.XLOOKUP(frasest[[#This Row],[author_es]],autorest[author_es],autorest[image])</f>
        <v>https://i.ibb.co/bjgxB3kn/euskadi.png</v>
      </c>
      <c r="R687">
        <f>_xlfn.XLOOKUP(frasest[[#This Row],[author_es]],autorest[author_es],autorest[image_atr])</f>
        <v>0</v>
      </c>
    </row>
    <row r="688" spans="1:18">
      <c r="A688">
        <v>687</v>
      </c>
      <c r="B688" t="s">
        <v>2341</v>
      </c>
      <c r="C688" t="s">
        <v>2342</v>
      </c>
      <c r="D688" t="s">
        <v>2343</v>
      </c>
      <c r="E688" t="s">
        <v>1236</v>
      </c>
      <c r="G688" t="str">
        <f>_xlfn.XLOOKUP(frasest[[#This Row],[author_es]],autorest[author_es],autorest[author_la])</f>
        <v>Sententia Vasconica</v>
      </c>
      <c r="H688" t="str">
        <f>_xlfn.XLOOKUP(frasest[[#This Row],[author_es]],autorest[author_es],autorest[bio_es])</f>
        <v>Proverbios de la tradición oral vasca que reflejan la relación con la naturaleza, el trabajo y los valores comunitarios del pueblo vasco.</v>
      </c>
      <c r="I688" t="str">
        <f>_xlfn.XLOOKUP(frasest[[#This Row],[author_es]],autorest[author_es],autorest[bio_la])</f>
        <v>Collectio sententiarum Vasconicarum.</v>
      </c>
      <c r="J688" t="str">
        <f>_xlfn.XLOOKUP(frasest[[#This Row],[author_es]],autorest[author_es],autorest[iso3691])</f>
        <v>eu</v>
      </c>
      <c r="K688" t="str">
        <f>_xlfn.XLOOKUP(frasest[[#This Row],[author_es]],autorest[author_es],autorest[language_es])</f>
        <v>Euskara</v>
      </c>
      <c r="L688" t="str">
        <f>_xlfn.XLOOKUP(frasest[[#This Row],[author_es]],autorest[author_es],autorest[language_la])</f>
        <v>Lingua Vasconica</v>
      </c>
      <c r="M688" t="str">
        <f>_xlfn.XLOOKUP(frasest[[#This Row],[author_es]],autorest[author_es],autorest[nation_es])</f>
        <v>España</v>
      </c>
      <c r="N688" t="str">
        <f>_xlfn.XLOOKUP(frasest[[#This Row],[author_es]],autorest[author_es],autorest[nation_la])</f>
        <v>Hispania</v>
      </c>
      <c r="O688" t="str">
        <f>_xlfn.XLOOKUP(frasest[[#This Row],[author_es]],autorest[author_es],autorest[age_es])</f>
        <v>Epoca Desconocida</v>
      </c>
      <c r="P688" t="str">
        <f>_xlfn.XLOOKUP(frasest[[#This Row],[author_es]],autorest[author_es],autorest[age_la])</f>
        <v>Epocha Ignota</v>
      </c>
      <c r="Q688" t="str">
        <f>_xlfn.XLOOKUP(frasest[[#This Row],[author_es]],autorest[author_es],autorest[image])</f>
        <v>https://i.ibb.co/bjgxB3kn/euskadi.png</v>
      </c>
      <c r="R688">
        <f>_xlfn.XLOOKUP(frasest[[#This Row],[author_es]],autorest[author_es],autorest[image_atr])</f>
        <v>0</v>
      </c>
    </row>
    <row r="689" spans="1:18">
      <c r="A689">
        <v>688</v>
      </c>
      <c r="B689" t="s">
        <v>2344</v>
      </c>
      <c r="C689" t="s">
        <v>2345</v>
      </c>
      <c r="D689" t="s">
        <v>2346</v>
      </c>
      <c r="E689" t="s">
        <v>1236</v>
      </c>
      <c r="G689" t="str">
        <f>_xlfn.XLOOKUP(frasest[[#This Row],[author_es]],autorest[author_es],autorest[author_la])</f>
        <v>Sententia Vasconica</v>
      </c>
      <c r="H689" t="str">
        <f>_xlfn.XLOOKUP(frasest[[#This Row],[author_es]],autorest[author_es],autorest[bio_es])</f>
        <v>Proverbios de la tradición oral vasca que reflejan la relación con la naturaleza, el trabajo y los valores comunitarios del pueblo vasco.</v>
      </c>
      <c r="I689" t="str">
        <f>_xlfn.XLOOKUP(frasest[[#This Row],[author_es]],autorest[author_es],autorest[bio_la])</f>
        <v>Collectio sententiarum Vasconicarum.</v>
      </c>
      <c r="J689" t="str">
        <f>_xlfn.XLOOKUP(frasest[[#This Row],[author_es]],autorest[author_es],autorest[iso3691])</f>
        <v>eu</v>
      </c>
      <c r="K689" t="str">
        <f>_xlfn.XLOOKUP(frasest[[#This Row],[author_es]],autorest[author_es],autorest[language_es])</f>
        <v>Euskara</v>
      </c>
      <c r="L689" t="str">
        <f>_xlfn.XLOOKUP(frasest[[#This Row],[author_es]],autorest[author_es],autorest[language_la])</f>
        <v>Lingua Vasconica</v>
      </c>
      <c r="M689" t="str">
        <f>_xlfn.XLOOKUP(frasest[[#This Row],[author_es]],autorest[author_es],autorest[nation_es])</f>
        <v>España</v>
      </c>
      <c r="N689" t="str">
        <f>_xlfn.XLOOKUP(frasest[[#This Row],[author_es]],autorest[author_es],autorest[nation_la])</f>
        <v>Hispania</v>
      </c>
      <c r="O689" t="str">
        <f>_xlfn.XLOOKUP(frasest[[#This Row],[author_es]],autorest[author_es],autorest[age_es])</f>
        <v>Epoca Desconocida</v>
      </c>
      <c r="P689" t="str">
        <f>_xlfn.XLOOKUP(frasest[[#This Row],[author_es]],autorest[author_es],autorest[age_la])</f>
        <v>Epocha Ignota</v>
      </c>
      <c r="Q689" t="str">
        <f>_xlfn.XLOOKUP(frasest[[#This Row],[author_es]],autorest[author_es],autorest[image])</f>
        <v>https://i.ibb.co/bjgxB3kn/euskadi.png</v>
      </c>
      <c r="R689">
        <f>_xlfn.XLOOKUP(frasest[[#This Row],[author_es]],autorest[author_es],autorest[image_atr])</f>
        <v>0</v>
      </c>
    </row>
    <row r="690" spans="1:18">
      <c r="A690">
        <v>689</v>
      </c>
      <c r="B690" t="s">
        <v>2347</v>
      </c>
      <c r="C690" t="s">
        <v>2348</v>
      </c>
      <c r="D690" t="s">
        <v>2349</v>
      </c>
      <c r="E690" t="s">
        <v>1236</v>
      </c>
      <c r="G690" t="str">
        <f>_xlfn.XLOOKUP(frasest[[#This Row],[author_es]],autorest[author_es],autorest[author_la])</f>
        <v>Sententia Vasconica</v>
      </c>
      <c r="H690" t="str">
        <f>_xlfn.XLOOKUP(frasest[[#This Row],[author_es]],autorest[author_es],autorest[bio_es])</f>
        <v>Proverbios de la tradición oral vasca que reflejan la relación con la naturaleza, el trabajo y los valores comunitarios del pueblo vasco.</v>
      </c>
      <c r="I690" t="str">
        <f>_xlfn.XLOOKUP(frasest[[#This Row],[author_es]],autorest[author_es],autorest[bio_la])</f>
        <v>Collectio sententiarum Vasconicarum.</v>
      </c>
      <c r="J690" t="str">
        <f>_xlfn.XLOOKUP(frasest[[#This Row],[author_es]],autorest[author_es],autorest[iso3691])</f>
        <v>eu</v>
      </c>
      <c r="K690" t="str">
        <f>_xlfn.XLOOKUP(frasest[[#This Row],[author_es]],autorest[author_es],autorest[language_es])</f>
        <v>Euskara</v>
      </c>
      <c r="L690" t="str">
        <f>_xlfn.XLOOKUP(frasest[[#This Row],[author_es]],autorest[author_es],autorest[language_la])</f>
        <v>Lingua Vasconica</v>
      </c>
      <c r="M690" t="str">
        <f>_xlfn.XLOOKUP(frasest[[#This Row],[author_es]],autorest[author_es],autorest[nation_es])</f>
        <v>España</v>
      </c>
      <c r="N690" t="str">
        <f>_xlfn.XLOOKUP(frasest[[#This Row],[author_es]],autorest[author_es],autorest[nation_la])</f>
        <v>Hispania</v>
      </c>
      <c r="O690" t="str">
        <f>_xlfn.XLOOKUP(frasest[[#This Row],[author_es]],autorest[author_es],autorest[age_es])</f>
        <v>Epoca Desconocida</v>
      </c>
      <c r="P690" t="str">
        <f>_xlfn.XLOOKUP(frasest[[#This Row],[author_es]],autorest[author_es],autorest[age_la])</f>
        <v>Epocha Ignota</v>
      </c>
      <c r="Q690" t="str">
        <f>_xlfn.XLOOKUP(frasest[[#This Row],[author_es]],autorest[author_es],autorest[image])</f>
        <v>https://i.ibb.co/bjgxB3kn/euskadi.png</v>
      </c>
      <c r="R690">
        <f>_xlfn.XLOOKUP(frasest[[#This Row],[author_es]],autorest[author_es],autorest[image_atr])</f>
        <v>0</v>
      </c>
    </row>
    <row r="691" spans="1:18">
      <c r="A691">
        <v>690</v>
      </c>
      <c r="B691" t="s">
        <v>2350</v>
      </c>
      <c r="C691" t="s">
        <v>2351</v>
      </c>
      <c r="D691" t="s">
        <v>2352</v>
      </c>
      <c r="E691" t="s">
        <v>1236</v>
      </c>
      <c r="G691" t="str">
        <f>_xlfn.XLOOKUP(frasest[[#This Row],[author_es]],autorest[author_es],autorest[author_la])</f>
        <v>Sententia Vasconica</v>
      </c>
      <c r="H691" t="str">
        <f>_xlfn.XLOOKUP(frasest[[#This Row],[author_es]],autorest[author_es],autorest[bio_es])</f>
        <v>Proverbios de la tradición oral vasca que reflejan la relación con la naturaleza, el trabajo y los valores comunitarios del pueblo vasco.</v>
      </c>
      <c r="I691" t="str">
        <f>_xlfn.XLOOKUP(frasest[[#This Row],[author_es]],autorest[author_es],autorest[bio_la])</f>
        <v>Collectio sententiarum Vasconicarum.</v>
      </c>
      <c r="J691" t="str">
        <f>_xlfn.XLOOKUP(frasest[[#This Row],[author_es]],autorest[author_es],autorest[iso3691])</f>
        <v>eu</v>
      </c>
      <c r="K691" t="str">
        <f>_xlfn.XLOOKUP(frasest[[#This Row],[author_es]],autorest[author_es],autorest[language_es])</f>
        <v>Euskara</v>
      </c>
      <c r="L691" t="str">
        <f>_xlfn.XLOOKUP(frasest[[#This Row],[author_es]],autorest[author_es],autorest[language_la])</f>
        <v>Lingua Vasconica</v>
      </c>
      <c r="M691" t="str">
        <f>_xlfn.XLOOKUP(frasest[[#This Row],[author_es]],autorest[author_es],autorest[nation_es])</f>
        <v>España</v>
      </c>
      <c r="N691" t="str">
        <f>_xlfn.XLOOKUP(frasest[[#This Row],[author_es]],autorest[author_es],autorest[nation_la])</f>
        <v>Hispania</v>
      </c>
      <c r="O691" t="str">
        <f>_xlfn.XLOOKUP(frasest[[#This Row],[author_es]],autorest[author_es],autorest[age_es])</f>
        <v>Epoca Desconocida</v>
      </c>
      <c r="P691" t="str">
        <f>_xlfn.XLOOKUP(frasest[[#This Row],[author_es]],autorest[author_es],autorest[age_la])</f>
        <v>Epocha Ignota</v>
      </c>
      <c r="Q691" t="str">
        <f>_xlfn.XLOOKUP(frasest[[#This Row],[author_es]],autorest[author_es],autorest[image])</f>
        <v>https://i.ibb.co/bjgxB3kn/euskadi.png</v>
      </c>
      <c r="R691">
        <f>_xlfn.XLOOKUP(frasest[[#This Row],[author_es]],autorest[author_es],autorest[image_atr])</f>
        <v>0</v>
      </c>
    </row>
    <row r="692" spans="1:18">
      <c r="A692">
        <v>691</v>
      </c>
      <c r="B692" t="s">
        <v>2353</v>
      </c>
      <c r="C692" t="s">
        <v>2354</v>
      </c>
      <c r="D692" t="s">
        <v>2355</v>
      </c>
      <c r="E692" t="s">
        <v>1236</v>
      </c>
      <c r="G692" t="str">
        <f>_xlfn.XLOOKUP(frasest[[#This Row],[author_es]],autorest[author_es],autorest[author_la])</f>
        <v>Sententia Vasconica</v>
      </c>
      <c r="H692" t="str">
        <f>_xlfn.XLOOKUP(frasest[[#This Row],[author_es]],autorest[author_es],autorest[bio_es])</f>
        <v>Proverbios de la tradición oral vasca que reflejan la relación con la naturaleza, el trabajo y los valores comunitarios del pueblo vasco.</v>
      </c>
      <c r="I692" t="str">
        <f>_xlfn.XLOOKUP(frasest[[#This Row],[author_es]],autorest[author_es],autorest[bio_la])</f>
        <v>Collectio sententiarum Vasconicarum.</v>
      </c>
      <c r="J692" t="str">
        <f>_xlfn.XLOOKUP(frasest[[#This Row],[author_es]],autorest[author_es],autorest[iso3691])</f>
        <v>eu</v>
      </c>
      <c r="K692" t="str">
        <f>_xlfn.XLOOKUP(frasest[[#This Row],[author_es]],autorest[author_es],autorest[language_es])</f>
        <v>Euskara</v>
      </c>
      <c r="L692" t="str">
        <f>_xlfn.XLOOKUP(frasest[[#This Row],[author_es]],autorest[author_es],autorest[language_la])</f>
        <v>Lingua Vasconica</v>
      </c>
      <c r="M692" t="str">
        <f>_xlfn.XLOOKUP(frasest[[#This Row],[author_es]],autorest[author_es],autorest[nation_es])</f>
        <v>España</v>
      </c>
      <c r="N692" t="str">
        <f>_xlfn.XLOOKUP(frasest[[#This Row],[author_es]],autorest[author_es],autorest[nation_la])</f>
        <v>Hispania</v>
      </c>
      <c r="O692" t="str">
        <f>_xlfn.XLOOKUP(frasest[[#This Row],[author_es]],autorest[author_es],autorest[age_es])</f>
        <v>Epoca Desconocida</v>
      </c>
      <c r="P692" t="str">
        <f>_xlfn.XLOOKUP(frasest[[#This Row],[author_es]],autorest[author_es],autorest[age_la])</f>
        <v>Epocha Ignota</v>
      </c>
      <c r="Q692" t="str">
        <f>_xlfn.XLOOKUP(frasest[[#This Row],[author_es]],autorest[author_es],autorest[image])</f>
        <v>https://i.ibb.co/bjgxB3kn/euskadi.png</v>
      </c>
      <c r="R692">
        <f>_xlfn.XLOOKUP(frasest[[#This Row],[author_es]],autorest[author_es],autorest[image_atr])</f>
        <v>0</v>
      </c>
    </row>
    <row r="693" spans="1:18">
      <c r="A693">
        <v>692</v>
      </c>
      <c r="B693" t="s">
        <v>2356</v>
      </c>
      <c r="C693" t="s">
        <v>2357</v>
      </c>
      <c r="D693" t="s">
        <v>2358</v>
      </c>
      <c r="E693" t="s">
        <v>1236</v>
      </c>
      <c r="G693" t="str">
        <f>_xlfn.XLOOKUP(frasest[[#This Row],[author_es]],autorest[author_es],autorest[author_la])</f>
        <v>Sententia Vasconica</v>
      </c>
      <c r="H693" t="str">
        <f>_xlfn.XLOOKUP(frasest[[#This Row],[author_es]],autorest[author_es],autorest[bio_es])</f>
        <v>Proverbios de la tradición oral vasca que reflejan la relación con la naturaleza, el trabajo y los valores comunitarios del pueblo vasco.</v>
      </c>
      <c r="I693" t="str">
        <f>_xlfn.XLOOKUP(frasest[[#This Row],[author_es]],autorest[author_es],autorest[bio_la])</f>
        <v>Collectio sententiarum Vasconicarum.</v>
      </c>
      <c r="J693" t="str">
        <f>_xlfn.XLOOKUP(frasest[[#This Row],[author_es]],autorest[author_es],autorest[iso3691])</f>
        <v>eu</v>
      </c>
      <c r="K693" t="str">
        <f>_xlfn.XLOOKUP(frasest[[#This Row],[author_es]],autorest[author_es],autorest[language_es])</f>
        <v>Euskara</v>
      </c>
      <c r="L693" t="str">
        <f>_xlfn.XLOOKUP(frasest[[#This Row],[author_es]],autorest[author_es],autorest[language_la])</f>
        <v>Lingua Vasconica</v>
      </c>
      <c r="M693" t="str">
        <f>_xlfn.XLOOKUP(frasest[[#This Row],[author_es]],autorest[author_es],autorest[nation_es])</f>
        <v>España</v>
      </c>
      <c r="N693" t="str">
        <f>_xlfn.XLOOKUP(frasest[[#This Row],[author_es]],autorest[author_es],autorest[nation_la])</f>
        <v>Hispania</v>
      </c>
      <c r="O693" t="str">
        <f>_xlfn.XLOOKUP(frasest[[#This Row],[author_es]],autorest[author_es],autorest[age_es])</f>
        <v>Epoca Desconocida</v>
      </c>
      <c r="P693" t="str">
        <f>_xlfn.XLOOKUP(frasest[[#This Row],[author_es]],autorest[author_es],autorest[age_la])</f>
        <v>Epocha Ignota</v>
      </c>
      <c r="Q693" t="str">
        <f>_xlfn.XLOOKUP(frasest[[#This Row],[author_es]],autorest[author_es],autorest[image])</f>
        <v>https://i.ibb.co/bjgxB3kn/euskadi.png</v>
      </c>
      <c r="R693">
        <f>_xlfn.XLOOKUP(frasest[[#This Row],[author_es]],autorest[author_es],autorest[image_atr])</f>
        <v>0</v>
      </c>
    </row>
    <row r="694" spans="1:18">
      <c r="A694">
        <v>693</v>
      </c>
      <c r="B694" t="s">
        <v>2359</v>
      </c>
      <c r="C694" t="s">
        <v>2360</v>
      </c>
      <c r="D694" t="s">
        <v>2361</v>
      </c>
      <c r="E694" t="s">
        <v>1236</v>
      </c>
      <c r="G694" t="str">
        <f>_xlfn.XLOOKUP(frasest[[#This Row],[author_es]],autorest[author_es],autorest[author_la])</f>
        <v>Sententia Vasconica</v>
      </c>
      <c r="H694" t="str">
        <f>_xlfn.XLOOKUP(frasest[[#This Row],[author_es]],autorest[author_es],autorest[bio_es])</f>
        <v>Proverbios de la tradición oral vasca que reflejan la relación con la naturaleza, el trabajo y los valores comunitarios del pueblo vasco.</v>
      </c>
      <c r="I694" t="str">
        <f>_xlfn.XLOOKUP(frasest[[#This Row],[author_es]],autorest[author_es],autorest[bio_la])</f>
        <v>Collectio sententiarum Vasconicarum.</v>
      </c>
      <c r="J694" t="str">
        <f>_xlfn.XLOOKUP(frasest[[#This Row],[author_es]],autorest[author_es],autorest[iso3691])</f>
        <v>eu</v>
      </c>
      <c r="K694" t="str">
        <f>_xlfn.XLOOKUP(frasest[[#This Row],[author_es]],autorest[author_es],autorest[language_es])</f>
        <v>Euskara</v>
      </c>
      <c r="L694" t="str">
        <f>_xlfn.XLOOKUP(frasest[[#This Row],[author_es]],autorest[author_es],autorest[language_la])</f>
        <v>Lingua Vasconica</v>
      </c>
      <c r="M694" t="str">
        <f>_xlfn.XLOOKUP(frasest[[#This Row],[author_es]],autorest[author_es],autorest[nation_es])</f>
        <v>España</v>
      </c>
      <c r="N694" t="str">
        <f>_xlfn.XLOOKUP(frasest[[#This Row],[author_es]],autorest[author_es],autorest[nation_la])</f>
        <v>Hispania</v>
      </c>
      <c r="O694" t="str">
        <f>_xlfn.XLOOKUP(frasest[[#This Row],[author_es]],autorest[author_es],autorest[age_es])</f>
        <v>Epoca Desconocida</v>
      </c>
      <c r="P694" t="str">
        <f>_xlfn.XLOOKUP(frasest[[#This Row],[author_es]],autorest[author_es],autorest[age_la])</f>
        <v>Epocha Ignota</v>
      </c>
      <c r="Q694" t="str">
        <f>_xlfn.XLOOKUP(frasest[[#This Row],[author_es]],autorest[author_es],autorest[image])</f>
        <v>https://i.ibb.co/bjgxB3kn/euskadi.png</v>
      </c>
      <c r="R694">
        <f>_xlfn.XLOOKUP(frasest[[#This Row],[author_es]],autorest[author_es],autorest[image_atr])</f>
        <v>0</v>
      </c>
    </row>
    <row r="695" spans="1:18">
      <c r="A695">
        <v>694</v>
      </c>
      <c r="B695" t="s">
        <v>2362</v>
      </c>
      <c r="C695" t="s">
        <v>2363</v>
      </c>
      <c r="D695" t="s">
        <v>2364</v>
      </c>
      <c r="E695" t="s">
        <v>1236</v>
      </c>
      <c r="G695" t="str">
        <f>_xlfn.XLOOKUP(frasest[[#This Row],[author_es]],autorest[author_es],autorest[author_la])</f>
        <v>Sententia Vasconica</v>
      </c>
      <c r="H695" t="str">
        <f>_xlfn.XLOOKUP(frasest[[#This Row],[author_es]],autorest[author_es],autorest[bio_es])</f>
        <v>Proverbios de la tradición oral vasca que reflejan la relación con la naturaleza, el trabajo y los valores comunitarios del pueblo vasco.</v>
      </c>
      <c r="I695" t="str">
        <f>_xlfn.XLOOKUP(frasest[[#This Row],[author_es]],autorest[author_es],autorest[bio_la])</f>
        <v>Collectio sententiarum Vasconicarum.</v>
      </c>
      <c r="J695" t="str">
        <f>_xlfn.XLOOKUP(frasest[[#This Row],[author_es]],autorest[author_es],autorest[iso3691])</f>
        <v>eu</v>
      </c>
      <c r="K695" t="str">
        <f>_xlfn.XLOOKUP(frasest[[#This Row],[author_es]],autorest[author_es],autorest[language_es])</f>
        <v>Euskara</v>
      </c>
      <c r="L695" t="str">
        <f>_xlfn.XLOOKUP(frasest[[#This Row],[author_es]],autorest[author_es],autorest[language_la])</f>
        <v>Lingua Vasconica</v>
      </c>
      <c r="M695" t="str">
        <f>_xlfn.XLOOKUP(frasest[[#This Row],[author_es]],autorest[author_es],autorest[nation_es])</f>
        <v>España</v>
      </c>
      <c r="N695" t="str">
        <f>_xlfn.XLOOKUP(frasest[[#This Row],[author_es]],autorest[author_es],autorest[nation_la])</f>
        <v>Hispania</v>
      </c>
      <c r="O695" t="str">
        <f>_xlfn.XLOOKUP(frasest[[#This Row],[author_es]],autorest[author_es],autorest[age_es])</f>
        <v>Epoca Desconocida</v>
      </c>
      <c r="P695" t="str">
        <f>_xlfn.XLOOKUP(frasest[[#This Row],[author_es]],autorest[author_es],autorest[age_la])</f>
        <v>Epocha Ignota</v>
      </c>
      <c r="Q695" t="str">
        <f>_xlfn.XLOOKUP(frasest[[#This Row],[author_es]],autorest[author_es],autorest[image])</f>
        <v>https://i.ibb.co/bjgxB3kn/euskadi.png</v>
      </c>
      <c r="R695">
        <f>_xlfn.XLOOKUP(frasest[[#This Row],[author_es]],autorest[author_es],autorest[image_atr])</f>
        <v>0</v>
      </c>
    </row>
    <row r="696" spans="1:18">
      <c r="A696">
        <v>695</v>
      </c>
      <c r="B696" t="s">
        <v>2365</v>
      </c>
      <c r="C696" t="s">
        <v>2366</v>
      </c>
      <c r="D696" t="s">
        <v>2367</v>
      </c>
      <c r="E696" t="s">
        <v>1236</v>
      </c>
      <c r="G696" t="str">
        <f>_xlfn.XLOOKUP(frasest[[#This Row],[author_es]],autorest[author_es],autorest[author_la])</f>
        <v>Sententia Vasconica</v>
      </c>
      <c r="H696" t="str">
        <f>_xlfn.XLOOKUP(frasest[[#This Row],[author_es]],autorest[author_es],autorest[bio_es])</f>
        <v>Proverbios de la tradición oral vasca que reflejan la relación con la naturaleza, el trabajo y los valores comunitarios del pueblo vasco.</v>
      </c>
      <c r="I696" t="str">
        <f>_xlfn.XLOOKUP(frasest[[#This Row],[author_es]],autorest[author_es],autorest[bio_la])</f>
        <v>Collectio sententiarum Vasconicarum.</v>
      </c>
      <c r="J696" t="str">
        <f>_xlfn.XLOOKUP(frasest[[#This Row],[author_es]],autorest[author_es],autorest[iso3691])</f>
        <v>eu</v>
      </c>
      <c r="K696" t="str">
        <f>_xlfn.XLOOKUP(frasest[[#This Row],[author_es]],autorest[author_es],autorest[language_es])</f>
        <v>Euskara</v>
      </c>
      <c r="L696" t="str">
        <f>_xlfn.XLOOKUP(frasest[[#This Row],[author_es]],autorest[author_es],autorest[language_la])</f>
        <v>Lingua Vasconica</v>
      </c>
      <c r="M696" t="str">
        <f>_xlfn.XLOOKUP(frasest[[#This Row],[author_es]],autorest[author_es],autorest[nation_es])</f>
        <v>España</v>
      </c>
      <c r="N696" t="str">
        <f>_xlfn.XLOOKUP(frasest[[#This Row],[author_es]],autorest[author_es],autorest[nation_la])</f>
        <v>Hispania</v>
      </c>
      <c r="O696" t="str">
        <f>_xlfn.XLOOKUP(frasest[[#This Row],[author_es]],autorest[author_es],autorest[age_es])</f>
        <v>Epoca Desconocida</v>
      </c>
      <c r="P696" t="str">
        <f>_xlfn.XLOOKUP(frasest[[#This Row],[author_es]],autorest[author_es],autorest[age_la])</f>
        <v>Epocha Ignota</v>
      </c>
      <c r="Q696" t="str">
        <f>_xlfn.XLOOKUP(frasest[[#This Row],[author_es]],autorest[author_es],autorest[image])</f>
        <v>https://i.ibb.co/bjgxB3kn/euskadi.png</v>
      </c>
      <c r="R696">
        <f>_xlfn.XLOOKUP(frasest[[#This Row],[author_es]],autorest[author_es],autorest[image_atr])</f>
        <v>0</v>
      </c>
    </row>
    <row r="697" spans="1:18">
      <c r="A697">
        <v>696</v>
      </c>
      <c r="B697" t="s">
        <v>2368</v>
      </c>
      <c r="C697" t="s">
        <v>2369</v>
      </c>
      <c r="D697" t="s">
        <v>2370</v>
      </c>
      <c r="E697" t="s">
        <v>1236</v>
      </c>
      <c r="G697" t="str">
        <f>_xlfn.XLOOKUP(frasest[[#This Row],[author_es]],autorest[author_es],autorest[author_la])</f>
        <v>Sententia Vasconica</v>
      </c>
      <c r="H697" t="str">
        <f>_xlfn.XLOOKUP(frasest[[#This Row],[author_es]],autorest[author_es],autorest[bio_es])</f>
        <v>Proverbios de la tradición oral vasca que reflejan la relación con la naturaleza, el trabajo y los valores comunitarios del pueblo vasco.</v>
      </c>
      <c r="I697" t="str">
        <f>_xlfn.XLOOKUP(frasest[[#This Row],[author_es]],autorest[author_es],autorest[bio_la])</f>
        <v>Collectio sententiarum Vasconicarum.</v>
      </c>
      <c r="J697" t="str">
        <f>_xlfn.XLOOKUP(frasest[[#This Row],[author_es]],autorest[author_es],autorest[iso3691])</f>
        <v>eu</v>
      </c>
      <c r="K697" t="str">
        <f>_xlfn.XLOOKUP(frasest[[#This Row],[author_es]],autorest[author_es],autorest[language_es])</f>
        <v>Euskara</v>
      </c>
      <c r="L697" t="str">
        <f>_xlfn.XLOOKUP(frasest[[#This Row],[author_es]],autorest[author_es],autorest[language_la])</f>
        <v>Lingua Vasconica</v>
      </c>
      <c r="M697" t="str">
        <f>_xlfn.XLOOKUP(frasest[[#This Row],[author_es]],autorest[author_es],autorest[nation_es])</f>
        <v>España</v>
      </c>
      <c r="N697" t="str">
        <f>_xlfn.XLOOKUP(frasest[[#This Row],[author_es]],autorest[author_es],autorest[nation_la])</f>
        <v>Hispania</v>
      </c>
      <c r="O697" t="str">
        <f>_xlfn.XLOOKUP(frasest[[#This Row],[author_es]],autorest[author_es],autorest[age_es])</f>
        <v>Epoca Desconocida</v>
      </c>
      <c r="P697" t="str">
        <f>_xlfn.XLOOKUP(frasest[[#This Row],[author_es]],autorest[author_es],autorest[age_la])</f>
        <v>Epocha Ignota</v>
      </c>
      <c r="Q697" t="str">
        <f>_xlfn.XLOOKUP(frasest[[#This Row],[author_es]],autorest[author_es],autorest[image])</f>
        <v>https://i.ibb.co/bjgxB3kn/euskadi.png</v>
      </c>
      <c r="R697">
        <f>_xlfn.XLOOKUP(frasest[[#This Row],[author_es]],autorest[author_es],autorest[image_atr])</f>
        <v>0</v>
      </c>
    </row>
    <row r="698" spans="1:18">
      <c r="A698">
        <v>697</v>
      </c>
      <c r="B698" t="s">
        <v>2371</v>
      </c>
      <c r="C698" t="s">
        <v>2372</v>
      </c>
      <c r="D698" t="s">
        <v>2373</v>
      </c>
      <c r="E698" t="s">
        <v>1236</v>
      </c>
      <c r="G698" t="str">
        <f>_xlfn.XLOOKUP(frasest[[#This Row],[author_es]],autorest[author_es],autorest[author_la])</f>
        <v>Sententia Vasconica</v>
      </c>
      <c r="H698" t="str">
        <f>_xlfn.XLOOKUP(frasest[[#This Row],[author_es]],autorest[author_es],autorest[bio_es])</f>
        <v>Proverbios de la tradición oral vasca que reflejan la relación con la naturaleza, el trabajo y los valores comunitarios del pueblo vasco.</v>
      </c>
      <c r="I698" t="str">
        <f>_xlfn.XLOOKUP(frasest[[#This Row],[author_es]],autorest[author_es],autorest[bio_la])</f>
        <v>Collectio sententiarum Vasconicarum.</v>
      </c>
      <c r="J698" t="str">
        <f>_xlfn.XLOOKUP(frasest[[#This Row],[author_es]],autorest[author_es],autorest[iso3691])</f>
        <v>eu</v>
      </c>
      <c r="K698" t="str">
        <f>_xlfn.XLOOKUP(frasest[[#This Row],[author_es]],autorest[author_es],autorest[language_es])</f>
        <v>Euskara</v>
      </c>
      <c r="L698" t="str">
        <f>_xlfn.XLOOKUP(frasest[[#This Row],[author_es]],autorest[author_es],autorest[language_la])</f>
        <v>Lingua Vasconica</v>
      </c>
      <c r="M698" t="str">
        <f>_xlfn.XLOOKUP(frasest[[#This Row],[author_es]],autorest[author_es],autorest[nation_es])</f>
        <v>España</v>
      </c>
      <c r="N698" t="str">
        <f>_xlfn.XLOOKUP(frasest[[#This Row],[author_es]],autorest[author_es],autorest[nation_la])</f>
        <v>Hispania</v>
      </c>
      <c r="O698" t="str">
        <f>_xlfn.XLOOKUP(frasest[[#This Row],[author_es]],autorest[author_es],autorest[age_es])</f>
        <v>Epoca Desconocida</v>
      </c>
      <c r="P698" t="str">
        <f>_xlfn.XLOOKUP(frasest[[#This Row],[author_es]],autorest[author_es],autorest[age_la])</f>
        <v>Epocha Ignota</v>
      </c>
      <c r="Q698" t="str">
        <f>_xlfn.XLOOKUP(frasest[[#This Row],[author_es]],autorest[author_es],autorest[image])</f>
        <v>https://i.ibb.co/bjgxB3kn/euskadi.png</v>
      </c>
      <c r="R698">
        <f>_xlfn.XLOOKUP(frasest[[#This Row],[author_es]],autorest[author_es],autorest[image_atr])</f>
        <v>0</v>
      </c>
    </row>
    <row r="699" spans="1:18">
      <c r="A699">
        <v>698</v>
      </c>
      <c r="B699" t="s">
        <v>2374</v>
      </c>
      <c r="C699" t="s">
        <v>2375</v>
      </c>
      <c r="D699" t="s">
        <v>2376</v>
      </c>
      <c r="E699" t="s">
        <v>1236</v>
      </c>
      <c r="G699" t="str">
        <f>_xlfn.XLOOKUP(frasest[[#This Row],[author_es]],autorest[author_es],autorest[author_la])</f>
        <v>Sententia Vasconica</v>
      </c>
      <c r="H699" t="str">
        <f>_xlfn.XLOOKUP(frasest[[#This Row],[author_es]],autorest[author_es],autorest[bio_es])</f>
        <v>Proverbios de la tradición oral vasca que reflejan la relación con la naturaleza, el trabajo y los valores comunitarios del pueblo vasco.</v>
      </c>
      <c r="I699" t="str">
        <f>_xlfn.XLOOKUP(frasest[[#This Row],[author_es]],autorest[author_es],autorest[bio_la])</f>
        <v>Collectio sententiarum Vasconicarum.</v>
      </c>
      <c r="J699" t="str">
        <f>_xlfn.XLOOKUP(frasest[[#This Row],[author_es]],autorest[author_es],autorest[iso3691])</f>
        <v>eu</v>
      </c>
      <c r="K699" t="str">
        <f>_xlfn.XLOOKUP(frasest[[#This Row],[author_es]],autorest[author_es],autorest[language_es])</f>
        <v>Euskara</v>
      </c>
      <c r="L699" t="str">
        <f>_xlfn.XLOOKUP(frasest[[#This Row],[author_es]],autorest[author_es],autorest[language_la])</f>
        <v>Lingua Vasconica</v>
      </c>
      <c r="M699" t="str">
        <f>_xlfn.XLOOKUP(frasest[[#This Row],[author_es]],autorest[author_es],autorest[nation_es])</f>
        <v>España</v>
      </c>
      <c r="N699" t="str">
        <f>_xlfn.XLOOKUP(frasest[[#This Row],[author_es]],autorest[author_es],autorest[nation_la])</f>
        <v>Hispania</v>
      </c>
      <c r="O699" t="str">
        <f>_xlfn.XLOOKUP(frasest[[#This Row],[author_es]],autorest[author_es],autorest[age_es])</f>
        <v>Epoca Desconocida</v>
      </c>
      <c r="P699" t="str">
        <f>_xlfn.XLOOKUP(frasest[[#This Row],[author_es]],autorest[author_es],autorest[age_la])</f>
        <v>Epocha Ignota</v>
      </c>
      <c r="Q699" t="str">
        <f>_xlfn.XLOOKUP(frasest[[#This Row],[author_es]],autorest[author_es],autorest[image])</f>
        <v>https://i.ibb.co/bjgxB3kn/euskadi.png</v>
      </c>
      <c r="R699">
        <f>_xlfn.XLOOKUP(frasest[[#This Row],[author_es]],autorest[author_es],autorest[image_atr])</f>
        <v>0</v>
      </c>
    </row>
    <row r="700" spans="1:18">
      <c r="A700">
        <v>699</v>
      </c>
      <c r="B700" t="s">
        <v>2377</v>
      </c>
      <c r="C700" t="s">
        <v>2378</v>
      </c>
      <c r="D700" t="s">
        <v>2379</v>
      </c>
      <c r="E700" t="s">
        <v>1236</v>
      </c>
      <c r="G700" t="str">
        <f>_xlfn.XLOOKUP(frasest[[#This Row],[author_es]],autorest[author_es],autorest[author_la])</f>
        <v>Sententia Vasconica</v>
      </c>
      <c r="H700" t="str">
        <f>_xlfn.XLOOKUP(frasest[[#This Row],[author_es]],autorest[author_es],autorest[bio_es])</f>
        <v>Proverbios de la tradición oral vasca que reflejan la relación con la naturaleza, el trabajo y los valores comunitarios del pueblo vasco.</v>
      </c>
      <c r="I700" t="str">
        <f>_xlfn.XLOOKUP(frasest[[#This Row],[author_es]],autorest[author_es],autorest[bio_la])</f>
        <v>Collectio sententiarum Vasconicarum.</v>
      </c>
      <c r="J700" t="str">
        <f>_xlfn.XLOOKUP(frasest[[#This Row],[author_es]],autorest[author_es],autorest[iso3691])</f>
        <v>eu</v>
      </c>
      <c r="K700" t="str">
        <f>_xlfn.XLOOKUP(frasest[[#This Row],[author_es]],autorest[author_es],autorest[language_es])</f>
        <v>Euskara</v>
      </c>
      <c r="L700" t="str">
        <f>_xlfn.XLOOKUP(frasest[[#This Row],[author_es]],autorest[author_es],autorest[language_la])</f>
        <v>Lingua Vasconica</v>
      </c>
      <c r="M700" t="str">
        <f>_xlfn.XLOOKUP(frasest[[#This Row],[author_es]],autorest[author_es],autorest[nation_es])</f>
        <v>España</v>
      </c>
      <c r="N700" t="str">
        <f>_xlfn.XLOOKUP(frasest[[#This Row],[author_es]],autorest[author_es],autorest[nation_la])</f>
        <v>Hispania</v>
      </c>
      <c r="O700" t="str">
        <f>_xlfn.XLOOKUP(frasest[[#This Row],[author_es]],autorest[author_es],autorest[age_es])</f>
        <v>Epoca Desconocida</v>
      </c>
      <c r="P700" t="str">
        <f>_xlfn.XLOOKUP(frasest[[#This Row],[author_es]],autorest[author_es],autorest[age_la])</f>
        <v>Epocha Ignota</v>
      </c>
      <c r="Q700" t="str">
        <f>_xlfn.XLOOKUP(frasest[[#This Row],[author_es]],autorest[author_es],autorest[image])</f>
        <v>https://i.ibb.co/bjgxB3kn/euskadi.png</v>
      </c>
      <c r="R700">
        <f>_xlfn.XLOOKUP(frasest[[#This Row],[author_es]],autorest[author_es],autorest[image_atr])</f>
        <v>0</v>
      </c>
    </row>
    <row r="701" spans="1:18">
      <c r="A701">
        <v>700</v>
      </c>
      <c r="B701" t="s">
        <v>2380</v>
      </c>
      <c r="C701" t="s">
        <v>2381</v>
      </c>
      <c r="D701" t="s">
        <v>2382</v>
      </c>
      <c r="E701" t="s">
        <v>1236</v>
      </c>
      <c r="G701" t="str">
        <f>_xlfn.XLOOKUP(frasest[[#This Row],[author_es]],autorest[author_es],autorest[author_la])</f>
        <v>Sententia Vasconica</v>
      </c>
      <c r="H701" t="str">
        <f>_xlfn.XLOOKUP(frasest[[#This Row],[author_es]],autorest[author_es],autorest[bio_es])</f>
        <v>Proverbios de la tradición oral vasca que reflejan la relación con la naturaleza, el trabajo y los valores comunitarios del pueblo vasco.</v>
      </c>
      <c r="I701" t="str">
        <f>_xlfn.XLOOKUP(frasest[[#This Row],[author_es]],autorest[author_es],autorest[bio_la])</f>
        <v>Collectio sententiarum Vasconicarum.</v>
      </c>
      <c r="J701" t="str">
        <f>_xlfn.XLOOKUP(frasest[[#This Row],[author_es]],autorest[author_es],autorest[iso3691])</f>
        <v>eu</v>
      </c>
      <c r="K701" t="str">
        <f>_xlfn.XLOOKUP(frasest[[#This Row],[author_es]],autorest[author_es],autorest[language_es])</f>
        <v>Euskara</v>
      </c>
      <c r="L701" t="str">
        <f>_xlfn.XLOOKUP(frasest[[#This Row],[author_es]],autorest[author_es],autorest[language_la])</f>
        <v>Lingua Vasconica</v>
      </c>
      <c r="M701" t="str">
        <f>_xlfn.XLOOKUP(frasest[[#This Row],[author_es]],autorest[author_es],autorest[nation_es])</f>
        <v>España</v>
      </c>
      <c r="N701" t="str">
        <f>_xlfn.XLOOKUP(frasest[[#This Row],[author_es]],autorest[author_es],autorest[nation_la])</f>
        <v>Hispania</v>
      </c>
      <c r="O701" t="str">
        <f>_xlfn.XLOOKUP(frasest[[#This Row],[author_es]],autorest[author_es],autorest[age_es])</f>
        <v>Epoca Desconocida</v>
      </c>
      <c r="P701" t="str">
        <f>_xlfn.XLOOKUP(frasest[[#This Row],[author_es]],autorest[author_es],autorest[age_la])</f>
        <v>Epocha Ignota</v>
      </c>
      <c r="Q701" t="str">
        <f>_xlfn.XLOOKUP(frasest[[#This Row],[author_es]],autorest[author_es],autorest[image])</f>
        <v>https://i.ibb.co/bjgxB3kn/euskadi.png</v>
      </c>
      <c r="R701">
        <f>_xlfn.XLOOKUP(frasest[[#This Row],[author_es]],autorest[author_es],autorest[image_atr])</f>
        <v>0</v>
      </c>
    </row>
    <row r="702" spans="1:18">
      <c r="A702">
        <v>701</v>
      </c>
      <c r="B702" t="s">
        <v>2383</v>
      </c>
      <c r="C702" t="s">
        <v>2384</v>
      </c>
      <c r="D702" t="s">
        <v>2385</v>
      </c>
      <c r="E702" t="s">
        <v>1236</v>
      </c>
      <c r="G702" t="str">
        <f>_xlfn.XLOOKUP(frasest[[#This Row],[author_es]],autorest[author_es],autorest[author_la])</f>
        <v>Sententia Vasconica</v>
      </c>
      <c r="H702" t="str">
        <f>_xlfn.XLOOKUP(frasest[[#This Row],[author_es]],autorest[author_es],autorest[bio_es])</f>
        <v>Proverbios de la tradición oral vasca que reflejan la relación con la naturaleza, el trabajo y los valores comunitarios del pueblo vasco.</v>
      </c>
      <c r="I702" t="str">
        <f>_xlfn.XLOOKUP(frasest[[#This Row],[author_es]],autorest[author_es],autorest[bio_la])</f>
        <v>Collectio sententiarum Vasconicarum.</v>
      </c>
      <c r="J702" t="str">
        <f>_xlfn.XLOOKUP(frasest[[#This Row],[author_es]],autorest[author_es],autorest[iso3691])</f>
        <v>eu</v>
      </c>
      <c r="K702" t="str">
        <f>_xlfn.XLOOKUP(frasest[[#This Row],[author_es]],autorest[author_es],autorest[language_es])</f>
        <v>Euskara</v>
      </c>
      <c r="L702" t="str">
        <f>_xlfn.XLOOKUP(frasest[[#This Row],[author_es]],autorest[author_es],autorest[language_la])</f>
        <v>Lingua Vasconica</v>
      </c>
      <c r="M702" t="str">
        <f>_xlfn.XLOOKUP(frasest[[#This Row],[author_es]],autorest[author_es],autorest[nation_es])</f>
        <v>España</v>
      </c>
      <c r="N702" t="str">
        <f>_xlfn.XLOOKUP(frasest[[#This Row],[author_es]],autorest[author_es],autorest[nation_la])</f>
        <v>Hispania</v>
      </c>
      <c r="O702" t="str">
        <f>_xlfn.XLOOKUP(frasest[[#This Row],[author_es]],autorest[author_es],autorest[age_es])</f>
        <v>Epoca Desconocida</v>
      </c>
      <c r="P702" t="str">
        <f>_xlfn.XLOOKUP(frasest[[#This Row],[author_es]],autorest[author_es],autorest[age_la])</f>
        <v>Epocha Ignota</v>
      </c>
      <c r="Q702" t="str">
        <f>_xlfn.XLOOKUP(frasest[[#This Row],[author_es]],autorest[author_es],autorest[image])</f>
        <v>https://i.ibb.co/bjgxB3kn/euskadi.png</v>
      </c>
      <c r="R702">
        <f>_xlfn.XLOOKUP(frasest[[#This Row],[author_es]],autorest[author_es],autorest[image_atr])</f>
        <v>0</v>
      </c>
    </row>
    <row r="703" spans="1:18">
      <c r="A703">
        <v>702</v>
      </c>
      <c r="B703" t="s">
        <v>2386</v>
      </c>
      <c r="C703" t="s">
        <v>2387</v>
      </c>
      <c r="D703" t="s">
        <v>2388</v>
      </c>
      <c r="E703" t="s">
        <v>1236</v>
      </c>
      <c r="G703" t="str">
        <f>_xlfn.XLOOKUP(frasest[[#This Row],[author_es]],autorest[author_es],autorest[author_la])</f>
        <v>Sententia Vasconica</v>
      </c>
      <c r="H703" t="str">
        <f>_xlfn.XLOOKUP(frasest[[#This Row],[author_es]],autorest[author_es],autorest[bio_es])</f>
        <v>Proverbios de la tradición oral vasca que reflejan la relación con la naturaleza, el trabajo y los valores comunitarios del pueblo vasco.</v>
      </c>
      <c r="I703" t="str">
        <f>_xlfn.XLOOKUP(frasest[[#This Row],[author_es]],autorest[author_es],autorest[bio_la])</f>
        <v>Collectio sententiarum Vasconicarum.</v>
      </c>
      <c r="J703" t="str">
        <f>_xlfn.XLOOKUP(frasest[[#This Row],[author_es]],autorest[author_es],autorest[iso3691])</f>
        <v>eu</v>
      </c>
      <c r="K703" t="str">
        <f>_xlfn.XLOOKUP(frasest[[#This Row],[author_es]],autorest[author_es],autorest[language_es])</f>
        <v>Euskara</v>
      </c>
      <c r="L703" t="str">
        <f>_xlfn.XLOOKUP(frasest[[#This Row],[author_es]],autorest[author_es],autorest[language_la])</f>
        <v>Lingua Vasconica</v>
      </c>
      <c r="M703" t="str">
        <f>_xlfn.XLOOKUP(frasest[[#This Row],[author_es]],autorest[author_es],autorest[nation_es])</f>
        <v>España</v>
      </c>
      <c r="N703" t="str">
        <f>_xlfn.XLOOKUP(frasest[[#This Row],[author_es]],autorest[author_es],autorest[nation_la])</f>
        <v>Hispania</v>
      </c>
      <c r="O703" t="str">
        <f>_xlfn.XLOOKUP(frasest[[#This Row],[author_es]],autorest[author_es],autorest[age_es])</f>
        <v>Epoca Desconocida</v>
      </c>
      <c r="P703" t="str">
        <f>_xlfn.XLOOKUP(frasest[[#This Row],[author_es]],autorest[author_es],autorest[age_la])</f>
        <v>Epocha Ignota</v>
      </c>
      <c r="Q703" t="str">
        <f>_xlfn.XLOOKUP(frasest[[#This Row],[author_es]],autorest[author_es],autorest[image])</f>
        <v>https://i.ibb.co/bjgxB3kn/euskadi.png</v>
      </c>
      <c r="R703">
        <f>_xlfn.XLOOKUP(frasest[[#This Row],[author_es]],autorest[author_es],autorest[image_atr])</f>
        <v>0</v>
      </c>
    </row>
    <row r="704" spans="1:18">
      <c r="A704">
        <v>703</v>
      </c>
      <c r="B704" t="s">
        <v>2389</v>
      </c>
      <c r="C704" t="s">
        <v>2390</v>
      </c>
      <c r="D704" t="s">
        <v>2391</v>
      </c>
      <c r="E704" t="s">
        <v>1236</v>
      </c>
      <c r="G704" t="str">
        <f>_xlfn.XLOOKUP(frasest[[#This Row],[author_es]],autorest[author_es],autorest[author_la])</f>
        <v>Sententia Vasconica</v>
      </c>
      <c r="H704" t="str">
        <f>_xlfn.XLOOKUP(frasest[[#This Row],[author_es]],autorest[author_es],autorest[bio_es])</f>
        <v>Proverbios de la tradición oral vasca que reflejan la relación con la naturaleza, el trabajo y los valores comunitarios del pueblo vasco.</v>
      </c>
      <c r="I704" t="str">
        <f>_xlfn.XLOOKUP(frasest[[#This Row],[author_es]],autorest[author_es],autorest[bio_la])</f>
        <v>Collectio sententiarum Vasconicarum.</v>
      </c>
      <c r="J704" t="str">
        <f>_xlfn.XLOOKUP(frasest[[#This Row],[author_es]],autorest[author_es],autorest[iso3691])</f>
        <v>eu</v>
      </c>
      <c r="K704" t="str">
        <f>_xlfn.XLOOKUP(frasest[[#This Row],[author_es]],autorest[author_es],autorest[language_es])</f>
        <v>Euskara</v>
      </c>
      <c r="L704" t="str">
        <f>_xlfn.XLOOKUP(frasest[[#This Row],[author_es]],autorest[author_es],autorest[language_la])</f>
        <v>Lingua Vasconica</v>
      </c>
      <c r="M704" t="str">
        <f>_xlfn.XLOOKUP(frasest[[#This Row],[author_es]],autorest[author_es],autorest[nation_es])</f>
        <v>España</v>
      </c>
      <c r="N704" t="str">
        <f>_xlfn.XLOOKUP(frasest[[#This Row],[author_es]],autorest[author_es],autorest[nation_la])</f>
        <v>Hispania</v>
      </c>
      <c r="O704" t="str">
        <f>_xlfn.XLOOKUP(frasest[[#This Row],[author_es]],autorest[author_es],autorest[age_es])</f>
        <v>Epoca Desconocida</v>
      </c>
      <c r="P704" t="str">
        <f>_xlfn.XLOOKUP(frasest[[#This Row],[author_es]],autorest[author_es],autorest[age_la])</f>
        <v>Epocha Ignota</v>
      </c>
      <c r="Q704" t="str">
        <f>_xlfn.XLOOKUP(frasest[[#This Row],[author_es]],autorest[author_es],autorest[image])</f>
        <v>https://i.ibb.co/bjgxB3kn/euskadi.png</v>
      </c>
      <c r="R704">
        <f>_xlfn.XLOOKUP(frasest[[#This Row],[author_es]],autorest[author_es],autorest[image_atr])</f>
        <v>0</v>
      </c>
    </row>
    <row r="705" spans="1:18">
      <c r="A705">
        <v>704</v>
      </c>
      <c r="B705" t="s">
        <v>2392</v>
      </c>
      <c r="C705" t="s">
        <v>2393</v>
      </c>
      <c r="D705" t="s">
        <v>2394</v>
      </c>
      <c r="E705" t="s">
        <v>1236</v>
      </c>
      <c r="G705" t="str">
        <f>_xlfn.XLOOKUP(frasest[[#This Row],[author_es]],autorest[author_es],autorest[author_la])</f>
        <v>Sententia Vasconica</v>
      </c>
      <c r="H705" t="str">
        <f>_xlfn.XLOOKUP(frasest[[#This Row],[author_es]],autorest[author_es],autorest[bio_es])</f>
        <v>Proverbios de la tradición oral vasca que reflejan la relación con la naturaleza, el trabajo y los valores comunitarios del pueblo vasco.</v>
      </c>
      <c r="I705" t="str">
        <f>_xlfn.XLOOKUP(frasest[[#This Row],[author_es]],autorest[author_es],autorest[bio_la])</f>
        <v>Collectio sententiarum Vasconicarum.</v>
      </c>
      <c r="J705" t="str">
        <f>_xlfn.XLOOKUP(frasest[[#This Row],[author_es]],autorest[author_es],autorest[iso3691])</f>
        <v>eu</v>
      </c>
      <c r="K705" t="str">
        <f>_xlfn.XLOOKUP(frasest[[#This Row],[author_es]],autorest[author_es],autorest[language_es])</f>
        <v>Euskara</v>
      </c>
      <c r="L705" t="str">
        <f>_xlfn.XLOOKUP(frasest[[#This Row],[author_es]],autorest[author_es],autorest[language_la])</f>
        <v>Lingua Vasconica</v>
      </c>
      <c r="M705" t="str">
        <f>_xlfn.XLOOKUP(frasest[[#This Row],[author_es]],autorest[author_es],autorest[nation_es])</f>
        <v>España</v>
      </c>
      <c r="N705" t="str">
        <f>_xlfn.XLOOKUP(frasest[[#This Row],[author_es]],autorest[author_es],autorest[nation_la])</f>
        <v>Hispania</v>
      </c>
      <c r="O705" t="str">
        <f>_xlfn.XLOOKUP(frasest[[#This Row],[author_es]],autorest[author_es],autorest[age_es])</f>
        <v>Epoca Desconocida</v>
      </c>
      <c r="P705" t="str">
        <f>_xlfn.XLOOKUP(frasest[[#This Row],[author_es]],autorest[author_es],autorest[age_la])</f>
        <v>Epocha Ignota</v>
      </c>
      <c r="Q705" t="str">
        <f>_xlfn.XLOOKUP(frasest[[#This Row],[author_es]],autorest[author_es],autorest[image])</f>
        <v>https://i.ibb.co/bjgxB3kn/euskadi.png</v>
      </c>
      <c r="R705">
        <f>_xlfn.XLOOKUP(frasest[[#This Row],[author_es]],autorest[author_es],autorest[image_atr])</f>
        <v>0</v>
      </c>
    </row>
    <row r="706" spans="1:18">
      <c r="A706">
        <v>705</v>
      </c>
      <c r="B706" t="s">
        <v>2395</v>
      </c>
      <c r="C706" t="s">
        <v>2396</v>
      </c>
      <c r="D706" t="s">
        <v>2397</v>
      </c>
      <c r="E706" t="s">
        <v>1236</v>
      </c>
      <c r="G706" t="str">
        <f>_xlfn.XLOOKUP(frasest[[#This Row],[author_es]],autorest[author_es],autorest[author_la])</f>
        <v>Sententia Vasconica</v>
      </c>
      <c r="H706" t="str">
        <f>_xlfn.XLOOKUP(frasest[[#This Row],[author_es]],autorest[author_es],autorest[bio_es])</f>
        <v>Proverbios de la tradición oral vasca que reflejan la relación con la naturaleza, el trabajo y los valores comunitarios del pueblo vasco.</v>
      </c>
      <c r="I706" t="str">
        <f>_xlfn.XLOOKUP(frasest[[#This Row],[author_es]],autorest[author_es],autorest[bio_la])</f>
        <v>Collectio sententiarum Vasconicarum.</v>
      </c>
      <c r="J706" t="str">
        <f>_xlfn.XLOOKUP(frasest[[#This Row],[author_es]],autorest[author_es],autorest[iso3691])</f>
        <v>eu</v>
      </c>
      <c r="K706" t="str">
        <f>_xlfn.XLOOKUP(frasest[[#This Row],[author_es]],autorest[author_es],autorest[language_es])</f>
        <v>Euskara</v>
      </c>
      <c r="L706" t="str">
        <f>_xlfn.XLOOKUP(frasest[[#This Row],[author_es]],autorest[author_es],autorest[language_la])</f>
        <v>Lingua Vasconica</v>
      </c>
      <c r="M706" t="str">
        <f>_xlfn.XLOOKUP(frasest[[#This Row],[author_es]],autorest[author_es],autorest[nation_es])</f>
        <v>España</v>
      </c>
      <c r="N706" t="str">
        <f>_xlfn.XLOOKUP(frasest[[#This Row],[author_es]],autorest[author_es],autorest[nation_la])</f>
        <v>Hispania</v>
      </c>
      <c r="O706" t="str">
        <f>_xlfn.XLOOKUP(frasest[[#This Row],[author_es]],autorest[author_es],autorest[age_es])</f>
        <v>Epoca Desconocida</v>
      </c>
      <c r="P706" t="str">
        <f>_xlfn.XLOOKUP(frasest[[#This Row],[author_es]],autorest[author_es],autorest[age_la])</f>
        <v>Epocha Ignota</v>
      </c>
      <c r="Q706" t="str">
        <f>_xlfn.XLOOKUP(frasest[[#This Row],[author_es]],autorest[author_es],autorest[image])</f>
        <v>https://i.ibb.co/bjgxB3kn/euskadi.png</v>
      </c>
      <c r="R706">
        <f>_xlfn.XLOOKUP(frasest[[#This Row],[author_es]],autorest[author_es],autorest[image_atr])</f>
        <v>0</v>
      </c>
    </row>
    <row r="707" spans="1:18">
      <c r="A707">
        <v>706</v>
      </c>
      <c r="B707" t="s">
        <v>2398</v>
      </c>
      <c r="C707" t="s">
        <v>2399</v>
      </c>
      <c r="D707" t="s">
        <v>2400</v>
      </c>
      <c r="E707" t="s">
        <v>1236</v>
      </c>
      <c r="G707" t="str">
        <f>_xlfn.XLOOKUP(frasest[[#This Row],[author_es]],autorest[author_es],autorest[author_la])</f>
        <v>Sententia Vasconica</v>
      </c>
      <c r="H707" t="str">
        <f>_xlfn.XLOOKUP(frasest[[#This Row],[author_es]],autorest[author_es],autorest[bio_es])</f>
        <v>Proverbios de la tradición oral vasca que reflejan la relación con la naturaleza, el trabajo y los valores comunitarios del pueblo vasco.</v>
      </c>
      <c r="I707" t="str">
        <f>_xlfn.XLOOKUP(frasest[[#This Row],[author_es]],autorest[author_es],autorest[bio_la])</f>
        <v>Collectio sententiarum Vasconicarum.</v>
      </c>
      <c r="J707" t="str">
        <f>_xlfn.XLOOKUP(frasest[[#This Row],[author_es]],autorest[author_es],autorest[iso3691])</f>
        <v>eu</v>
      </c>
      <c r="K707" t="str">
        <f>_xlfn.XLOOKUP(frasest[[#This Row],[author_es]],autorest[author_es],autorest[language_es])</f>
        <v>Euskara</v>
      </c>
      <c r="L707" t="str">
        <f>_xlfn.XLOOKUP(frasest[[#This Row],[author_es]],autorest[author_es],autorest[language_la])</f>
        <v>Lingua Vasconica</v>
      </c>
      <c r="M707" t="str">
        <f>_xlfn.XLOOKUP(frasest[[#This Row],[author_es]],autorest[author_es],autorest[nation_es])</f>
        <v>España</v>
      </c>
      <c r="N707" t="str">
        <f>_xlfn.XLOOKUP(frasest[[#This Row],[author_es]],autorest[author_es],autorest[nation_la])</f>
        <v>Hispania</v>
      </c>
      <c r="O707" t="str">
        <f>_xlfn.XLOOKUP(frasest[[#This Row],[author_es]],autorest[author_es],autorest[age_es])</f>
        <v>Epoca Desconocida</v>
      </c>
      <c r="P707" t="str">
        <f>_xlfn.XLOOKUP(frasest[[#This Row],[author_es]],autorest[author_es],autorest[age_la])</f>
        <v>Epocha Ignota</v>
      </c>
      <c r="Q707" t="str">
        <f>_xlfn.XLOOKUP(frasest[[#This Row],[author_es]],autorest[author_es],autorest[image])</f>
        <v>https://i.ibb.co/bjgxB3kn/euskadi.png</v>
      </c>
      <c r="R707">
        <f>_xlfn.XLOOKUP(frasest[[#This Row],[author_es]],autorest[author_es],autorest[image_atr])</f>
        <v>0</v>
      </c>
    </row>
    <row r="708" spans="1:18">
      <c r="A708">
        <v>707</v>
      </c>
      <c r="B708" t="s">
        <v>2401</v>
      </c>
      <c r="C708" t="s">
        <v>2402</v>
      </c>
      <c r="D708" t="s">
        <v>2403</v>
      </c>
      <c r="E708" t="s">
        <v>1236</v>
      </c>
      <c r="G708" t="str">
        <f>_xlfn.XLOOKUP(frasest[[#This Row],[author_es]],autorest[author_es],autorest[author_la])</f>
        <v>Sententia Vasconica</v>
      </c>
      <c r="H708" t="str">
        <f>_xlfn.XLOOKUP(frasest[[#This Row],[author_es]],autorest[author_es],autorest[bio_es])</f>
        <v>Proverbios de la tradición oral vasca que reflejan la relación con la naturaleza, el trabajo y los valores comunitarios del pueblo vasco.</v>
      </c>
      <c r="I708" t="str">
        <f>_xlfn.XLOOKUP(frasest[[#This Row],[author_es]],autorest[author_es],autorest[bio_la])</f>
        <v>Collectio sententiarum Vasconicarum.</v>
      </c>
      <c r="J708" t="str">
        <f>_xlfn.XLOOKUP(frasest[[#This Row],[author_es]],autorest[author_es],autorest[iso3691])</f>
        <v>eu</v>
      </c>
      <c r="K708" t="str">
        <f>_xlfn.XLOOKUP(frasest[[#This Row],[author_es]],autorest[author_es],autorest[language_es])</f>
        <v>Euskara</v>
      </c>
      <c r="L708" t="str">
        <f>_xlfn.XLOOKUP(frasest[[#This Row],[author_es]],autorest[author_es],autorest[language_la])</f>
        <v>Lingua Vasconica</v>
      </c>
      <c r="M708" t="str">
        <f>_xlfn.XLOOKUP(frasest[[#This Row],[author_es]],autorest[author_es],autorest[nation_es])</f>
        <v>España</v>
      </c>
      <c r="N708" t="str">
        <f>_xlfn.XLOOKUP(frasest[[#This Row],[author_es]],autorest[author_es],autorest[nation_la])</f>
        <v>Hispania</v>
      </c>
      <c r="O708" t="str">
        <f>_xlfn.XLOOKUP(frasest[[#This Row],[author_es]],autorest[author_es],autorest[age_es])</f>
        <v>Epoca Desconocida</v>
      </c>
      <c r="P708" t="str">
        <f>_xlfn.XLOOKUP(frasest[[#This Row],[author_es]],autorest[author_es],autorest[age_la])</f>
        <v>Epocha Ignota</v>
      </c>
      <c r="Q708" t="str">
        <f>_xlfn.XLOOKUP(frasest[[#This Row],[author_es]],autorest[author_es],autorest[image])</f>
        <v>https://i.ibb.co/bjgxB3kn/euskadi.png</v>
      </c>
      <c r="R708">
        <f>_xlfn.XLOOKUP(frasest[[#This Row],[author_es]],autorest[author_es],autorest[image_atr])</f>
        <v>0</v>
      </c>
    </row>
    <row r="709" spans="1:18">
      <c r="A709">
        <v>708</v>
      </c>
      <c r="B709" t="s">
        <v>2404</v>
      </c>
      <c r="C709" t="s">
        <v>2405</v>
      </c>
      <c r="D709" t="s">
        <v>2406</v>
      </c>
      <c r="E709" t="s">
        <v>1236</v>
      </c>
      <c r="G709" t="str">
        <f>_xlfn.XLOOKUP(frasest[[#This Row],[author_es]],autorest[author_es],autorest[author_la])</f>
        <v>Sententia Vasconica</v>
      </c>
      <c r="H709" t="str">
        <f>_xlfn.XLOOKUP(frasest[[#This Row],[author_es]],autorest[author_es],autorest[bio_es])</f>
        <v>Proverbios de la tradición oral vasca que reflejan la relación con la naturaleza, el trabajo y los valores comunitarios del pueblo vasco.</v>
      </c>
      <c r="I709" t="str">
        <f>_xlfn.XLOOKUP(frasest[[#This Row],[author_es]],autorest[author_es],autorest[bio_la])</f>
        <v>Collectio sententiarum Vasconicarum.</v>
      </c>
      <c r="J709" t="str">
        <f>_xlfn.XLOOKUP(frasest[[#This Row],[author_es]],autorest[author_es],autorest[iso3691])</f>
        <v>eu</v>
      </c>
      <c r="K709" t="str">
        <f>_xlfn.XLOOKUP(frasest[[#This Row],[author_es]],autorest[author_es],autorest[language_es])</f>
        <v>Euskara</v>
      </c>
      <c r="L709" t="str">
        <f>_xlfn.XLOOKUP(frasest[[#This Row],[author_es]],autorest[author_es],autorest[language_la])</f>
        <v>Lingua Vasconica</v>
      </c>
      <c r="M709" t="str">
        <f>_xlfn.XLOOKUP(frasest[[#This Row],[author_es]],autorest[author_es],autorest[nation_es])</f>
        <v>España</v>
      </c>
      <c r="N709" t="str">
        <f>_xlfn.XLOOKUP(frasest[[#This Row],[author_es]],autorest[author_es],autorest[nation_la])</f>
        <v>Hispania</v>
      </c>
      <c r="O709" t="str">
        <f>_xlfn.XLOOKUP(frasest[[#This Row],[author_es]],autorest[author_es],autorest[age_es])</f>
        <v>Epoca Desconocida</v>
      </c>
      <c r="P709" t="str">
        <f>_xlfn.XLOOKUP(frasest[[#This Row],[author_es]],autorest[author_es],autorest[age_la])</f>
        <v>Epocha Ignota</v>
      </c>
      <c r="Q709" t="str">
        <f>_xlfn.XLOOKUP(frasest[[#This Row],[author_es]],autorest[author_es],autorest[image])</f>
        <v>https://i.ibb.co/bjgxB3kn/euskadi.png</v>
      </c>
      <c r="R709">
        <f>_xlfn.XLOOKUP(frasest[[#This Row],[author_es]],autorest[author_es],autorest[image_atr])</f>
        <v>0</v>
      </c>
    </row>
    <row r="710" spans="1:18">
      <c r="A710">
        <v>709</v>
      </c>
      <c r="B710" t="s">
        <v>2407</v>
      </c>
      <c r="C710" t="s">
        <v>2408</v>
      </c>
      <c r="D710" t="s">
        <v>2409</v>
      </c>
      <c r="E710" t="s">
        <v>1236</v>
      </c>
      <c r="G710" t="str">
        <f>_xlfn.XLOOKUP(frasest[[#This Row],[author_es]],autorest[author_es],autorest[author_la])</f>
        <v>Sententia Vasconica</v>
      </c>
      <c r="H710" t="str">
        <f>_xlfn.XLOOKUP(frasest[[#This Row],[author_es]],autorest[author_es],autorest[bio_es])</f>
        <v>Proverbios de la tradición oral vasca que reflejan la relación con la naturaleza, el trabajo y los valores comunitarios del pueblo vasco.</v>
      </c>
      <c r="I710" t="str">
        <f>_xlfn.XLOOKUP(frasest[[#This Row],[author_es]],autorest[author_es],autorest[bio_la])</f>
        <v>Collectio sententiarum Vasconicarum.</v>
      </c>
      <c r="J710" t="str">
        <f>_xlfn.XLOOKUP(frasest[[#This Row],[author_es]],autorest[author_es],autorest[iso3691])</f>
        <v>eu</v>
      </c>
      <c r="K710" t="str">
        <f>_xlfn.XLOOKUP(frasest[[#This Row],[author_es]],autorest[author_es],autorest[language_es])</f>
        <v>Euskara</v>
      </c>
      <c r="L710" t="str">
        <f>_xlfn.XLOOKUP(frasest[[#This Row],[author_es]],autorest[author_es],autorest[language_la])</f>
        <v>Lingua Vasconica</v>
      </c>
      <c r="M710" t="str">
        <f>_xlfn.XLOOKUP(frasest[[#This Row],[author_es]],autorest[author_es],autorest[nation_es])</f>
        <v>España</v>
      </c>
      <c r="N710" t="str">
        <f>_xlfn.XLOOKUP(frasest[[#This Row],[author_es]],autorest[author_es],autorest[nation_la])</f>
        <v>Hispania</v>
      </c>
      <c r="O710" t="str">
        <f>_xlfn.XLOOKUP(frasest[[#This Row],[author_es]],autorest[author_es],autorest[age_es])</f>
        <v>Epoca Desconocida</v>
      </c>
      <c r="P710" t="str">
        <f>_xlfn.XLOOKUP(frasest[[#This Row],[author_es]],autorest[author_es],autorest[age_la])</f>
        <v>Epocha Ignota</v>
      </c>
      <c r="Q710" t="str">
        <f>_xlfn.XLOOKUP(frasest[[#This Row],[author_es]],autorest[author_es],autorest[image])</f>
        <v>https://i.ibb.co/bjgxB3kn/euskadi.png</v>
      </c>
      <c r="R710">
        <f>_xlfn.XLOOKUP(frasest[[#This Row],[author_es]],autorest[author_es],autorest[image_atr])</f>
        <v>0</v>
      </c>
    </row>
    <row r="711" spans="1:18">
      <c r="A711">
        <v>710</v>
      </c>
      <c r="B711" t="s">
        <v>2410</v>
      </c>
      <c r="C711" t="s">
        <v>2411</v>
      </c>
      <c r="D711" t="s">
        <v>2412</v>
      </c>
      <c r="E711" t="s">
        <v>1236</v>
      </c>
      <c r="G711" t="str">
        <f>_xlfn.XLOOKUP(frasest[[#This Row],[author_es]],autorest[author_es],autorest[author_la])</f>
        <v>Sententia Vasconica</v>
      </c>
      <c r="H711" t="str">
        <f>_xlfn.XLOOKUP(frasest[[#This Row],[author_es]],autorest[author_es],autorest[bio_es])</f>
        <v>Proverbios de la tradición oral vasca que reflejan la relación con la naturaleza, el trabajo y los valores comunitarios del pueblo vasco.</v>
      </c>
      <c r="I711" t="str">
        <f>_xlfn.XLOOKUP(frasest[[#This Row],[author_es]],autorest[author_es],autorest[bio_la])</f>
        <v>Collectio sententiarum Vasconicarum.</v>
      </c>
      <c r="J711" t="str">
        <f>_xlfn.XLOOKUP(frasest[[#This Row],[author_es]],autorest[author_es],autorest[iso3691])</f>
        <v>eu</v>
      </c>
      <c r="K711" t="str">
        <f>_xlfn.XLOOKUP(frasest[[#This Row],[author_es]],autorest[author_es],autorest[language_es])</f>
        <v>Euskara</v>
      </c>
      <c r="L711" t="str">
        <f>_xlfn.XLOOKUP(frasest[[#This Row],[author_es]],autorest[author_es],autorest[language_la])</f>
        <v>Lingua Vasconica</v>
      </c>
      <c r="M711" t="str">
        <f>_xlfn.XLOOKUP(frasest[[#This Row],[author_es]],autorest[author_es],autorest[nation_es])</f>
        <v>España</v>
      </c>
      <c r="N711" t="str">
        <f>_xlfn.XLOOKUP(frasest[[#This Row],[author_es]],autorest[author_es],autorest[nation_la])</f>
        <v>Hispania</v>
      </c>
      <c r="O711" t="str">
        <f>_xlfn.XLOOKUP(frasest[[#This Row],[author_es]],autorest[author_es],autorest[age_es])</f>
        <v>Epoca Desconocida</v>
      </c>
      <c r="P711" t="str">
        <f>_xlfn.XLOOKUP(frasest[[#This Row],[author_es]],autorest[author_es],autorest[age_la])</f>
        <v>Epocha Ignota</v>
      </c>
      <c r="Q711" t="str">
        <f>_xlfn.XLOOKUP(frasest[[#This Row],[author_es]],autorest[author_es],autorest[image])</f>
        <v>https://i.ibb.co/bjgxB3kn/euskadi.png</v>
      </c>
      <c r="R711">
        <f>_xlfn.XLOOKUP(frasest[[#This Row],[author_es]],autorest[author_es],autorest[image_atr])</f>
        <v>0</v>
      </c>
    </row>
    <row r="712" spans="1:18">
      <c r="A712">
        <v>711</v>
      </c>
      <c r="B712" t="s">
        <v>2413</v>
      </c>
      <c r="C712" t="s">
        <v>2414</v>
      </c>
      <c r="D712" t="s">
        <v>2415</v>
      </c>
      <c r="E712" t="s">
        <v>1236</v>
      </c>
      <c r="G712" t="str">
        <f>_xlfn.XLOOKUP(frasest[[#This Row],[author_es]],autorest[author_es],autorest[author_la])</f>
        <v>Sententia Vasconica</v>
      </c>
      <c r="H712" t="str">
        <f>_xlfn.XLOOKUP(frasest[[#This Row],[author_es]],autorest[author_es],autorest[bio_es])</f>
        <v>Proverbios de la tradición oral vasca que reflejan la relación con la naturaleza, el trabajo y los valores comunitarios del pueblo vasco.</v>
      </c>
      <c r="I712" t="str">
        <f>_xlfn.XLOOKUP(frasest[[#This Row],[author_es]],autorest[author_es],autorest[bio_la])</f>
        <v>Collectio sententiarum Vasconicarum.</v>
      </c>
      <c r="J712" t="str">
        <f>_xlfn.XLOOKUP(frasest[[#This Row],[author_es]],autorest[author_es],autorest[iso3691])</f>
        <v>eu</v>
      </c>
      <c r="K712" t="str">
        <f>_xlfn.XLOOKUP(frasest[[#This Row],[author_es]],autorest[author_es],autorest[language_es])</f>
        <v>Euskara</v>
      </c>
      <c r="L712" t="str">
        <f>_xlfn.XLOOKUP(frasest[[#This Row],[author_es]],autorest[author_es],autorest[language_la])</f>
        <v>Lingua Vasconica</v>
      </c>
      <c r="M712" t="str">
        <f>_xlfn.XLOOKUP(frasest[[#This Row],[author_es]],autorest[author_es],autorest[nation_es])</f>
        <v>España</v>
      </c>
      <c r="N712" t="str">
        <f>_xlfn.XLOOKUP(frasest[[#This Row],[author_es]],autorest[author_es],autorest[nation_la])</f>
        <v>Hispania</v>
      </c>
      <c r="O712" t="str">
        <f>_xlfn.XLOOKUP(frasest[[#This Row],[author_es]],autorest[author_es],autorest[age_es])</f>
        <v>Epoca Desconocida</v>
      </c>
      <c r="P712" t="str">
        <f>_xlfn.XLOOKUP(frasest[[#This Row],[author_es]],autorest[author_es],autorest[age_la])</f>
        <v>Epocha Ignota</v>
      </c>
      <c r="Q712" t="str">
        <f>_xlfn.XLOOKUP(frasest[[#This Row],[author_es]],autorest[author_es],autorest[image])</f>
        <v>https://i.ibb.co/bjgxB3kn/euskadi.png</v>
      </c>
      <c r="R712">
        <f>_xlfn.XLOOKUP(frasest[[#This Row],[author_es]],autorest[author_es],autorest[image_atr])</f>
        <v>0</v>
      </c>
    </row>
    <row r="713" spans="1:18">
      <c r="A713">
        <v>712</v>
      </c>
      <c r="B713" t="s">
        <v>2416</v>
      </c>
      <c r="C713" t="s">
        <v>2417</v>
      </c>
      <c r="D713" t="s">
        <v>2418</v>
      </c>
      <c r="E713" t="s">
        <v>1236</v>
      </c>
      <c r="G713" t="str">
        <f>_xlfn.XLOOKUP(frasest[[#This Row],[author_es]],autorest[author_es],autorest[author_la])</f>
        <v>Sententia Vasconica</v>
      </c>
      <c r="H713" t="str">
        <f>_xlfn.XLOOKUP(frasest[[#This Row],[author_es]],autorest[author_es],autorest[bio_es])</f>
        <v>Proverbios de la tradición oral vasca que reflejan la relación con la naturaleza, el trabajo y los valores comunitarios del pueblo vasco.</v>
      </c>
      <c r="I713" t="str">
        <f>_xlfn.XLOOKUP(frasest[[#This Row],[author_es]],autorest[author_es],autorest[bio_la])</f>
        <v>Collectio sententiarum Vasconicarum.</v>
      </c>
      <c r="J713" t="str">
        <f>_xlfn.XLOOKUP(frasest[[#This Row],[author_es]],autorest[author_es],autorest[iso3691])</f>
        <v>eu</v>
      </c>
      <c r="K713" t="str">
        <f>_xlfn.XLOOKUP(frasest[[#This Row],[author_es]],autorest[author_es],autorest[language_es])</f>
        <v>Euskara</v>
      </c>
      <c r="L713" t="str">
        <f>_xlfn.XLOOKUP(frasest[[#This Row],[author_es]],autorest[author_es],autorest[language_la])</f>
        <v>Lingua Vasconica</v>
      </c>
      <c r="M713" t="str">
        <f>_xlfn.XLOOKUP(frasest[[#This Row],[author_es]],autorest[author_es],autorest[nation_es])</f>
        <v>España</v>
      </c>
      <c r="N713" t="str">
        <f>_xlfn.XLOOKUP(frasest[[#This Row],[author_es]],autorest[author_es],autorest[nation_la])</f>
        <v>Hispania</v>
      </c>
      <c r="O713" t="str">
        <f>_xlfn.XLOOKUP(frasest[[#This Row],[author_es]],autorest[author_es],autorest[age_es])</f>
        <v>Epoca Desconocida</v>
      </c>
      <c r="P713" t="str">
        <f>_xlfn.XLOOKUP(frasest[[#This Row],[author_es]],autorest[author_es],autorest[age_la])</f>
        <v>Epocha Ignota</v>
      </c>
      <c r="Q713" t="str">
        <f>_xlfn.XLOOKUP(frasest[[#This Row],[author_es]],autorest[author_es],autorest[image])</f>
        <v>https://i.ibb.co/bjgxB3kn/euskadi.png</v>
      </c>
      <c r="R713">
        <f>_xlfn.XLOOKUP(frasest[[#This Row],[author_es]],autorest[author_es],autorest[image_atr])</f>
        <v>0</v>
      </c>
    </row>
    <row r="714" spans="1:18">
      <c r="A714">
        <v>713</v>
      </c>
      <c r="B714" t="s">
        <v>2419</v>
      </c>
      <c r="C714" t="s">
        <v>2420</v>
      </c>
      <c r="D714" t="s">
        <v>2421</v>
      </c>
      <c r="E714" t="s">
        <v>1236</v>
      </c>
      <c r="G714" t="str">
        <f>_xlfn.XLOOKUP(frasest[[#This Row],[author_es]],autorest[author_es],autorest[author_la])</f>
        <v>Sententia Vasconica</v>
      </c>
      <c r="H714" t="str">
        <f>_xlfn.XLOOKUP(frasest[[#This Row],[author_es]],autorest[author_es],autorest[bio_es])</f>
        <v>Proverbios de la tradición oral vasca que reflejan la relación con la naturaleza, el trabajo y los valores comunitarios del pueblo vasco.</v>
      </c>
      <c r="I714" t="str">
        <f>_xlfn.XLOOKUP(frasest[[#This Row],[author_es]],autorest[author_es],autorest[bio_la])</f>
        <v>Collectio sententiarum Vasconicarum.</v>
      </c>
      <c r="J714" t="str">
        <f>_xlfn.XLOOKUP(frasest[[#This Row],[author_es]],autorest[author_es],autorest[iso3691])</f>
        <v>eu</v>
      </c>
      <c r="K714" t="str">
        <f>_xlfn.XLOOKUP(frasest[[#This Row],[author_es]],autorest[author_es],autorest[language_es])</f>
        <v>Euskara</v>
      </c>
      <c r="L714" t="str">
        <f>_xlfn.XLOOKUP(frasest[[#This Row],[author_es]],autorest[author_es],autorest[language_la])</f>
        <v>Lingua Vasconica</v>
      </c>
      <c r="M714" t="str">
        <f>_xlfn.XLOOKUP(frasest[[#This Row],[author_es]],autorest[author_es],autorest[nation_es])</f>
        <v>España</v>
      </c>
      <c r="N714" t="str">
        <f>_xlfn.XLOOKUP(frasest[[#This Row],[author_es]],autorest[author_es],autorest[nation_la])</f>
        <v>Hispania</v>
      </c>
      <c r="O714" t="str">
        <f>_xlfn.XLOOKUP(frasest[[#This Row],[author_es]],autorest[author_es],autorest[age_es])</f>
        <v>Epoca Desconocida</v>
      </c>
      <c r="P714" t="str">
        <f>_xlfn.XLOOKUP(frasest[[#This Row],[author_es]],autorest[author_es],autorest[age_la])</f>
        <v>Epocha Ignota</v>
      </c>
      <c r="Q714" t="str">
        <f>_xlfn.XLOOKUP(frasest[[#This Row],[author_es]],autorest[author_es],autorest[image])</f>
        <v>https://i.ibb.co/bjgxB3kn/euskadi.png</v>
      </c>
      <c r="R714">
        <f>_xlfn.XLOOKUP(frasest[[#This Row],[author_es]],autorest[author_es],autorest[image_atr])</f>
        <v>0</v>
      </c>
    </row>
    <row r="715" spans="1:18">
      <c r="A715">
        <v>714</v>
      </c>
      <c r="B715" t="s">
        <v>2422</v>
      </c>
      <c r="C715" t="s">
        <v>2423</v>
      </c>
      <c r="D715" t="s">
        <v>2424</v>
      </c>
      <c r="E715" t="s">
        <v>1236</v>
      </c>
      <c r="G715" t="str">
        <f>_xlfn.XLOOKUP(frasest[[#This Row],[author_es]],autorest[author_es],autorest[author_la])</f>
        <v>Sententia Vasconica</v>
      </c>
      <c r="H715" t="str">
        <f>_xlfn.XLOOKUP(frasest[[#This Row],[author_es]],autorest[author_es],autorest[bio_es])</f>
        <v>Proverbios de la tradición oral vasca que reflejan la relación con la naturaleza, el trabajo y los valores comunitarios del pueblo vasco.</v>
      </c>
      <c r="I715" t="str">
        <f>_xlfn.XLOOKUP(frasest[[#This Row],[author_es]],autorest[author_es],autorest[bio_la])</f>
        <v>Collectio sententiarum Vasconicarum.</v>
      </c>
      <c r="J715" t="str">
        <f>_xlfn.XLOOKUP(frasest[[#This Row],[author_es]],autorest[author_es],autorest[iso3691])</f>
        <v>eu</v>
      </c>
      <c r="K715" t="str">
        <f>_xlfn.XLOOKUP(frasest[[#This Row],[author_es]],autorest[author_es],autorest[language_es])</f>
        <v>Euskara</v>
      </c>
      <c r="L715" t="str">
        <f>_xlfn.XLOOKUP(frasest[[#This Row],[author_es]],autorest[author_es],autorest[language_la])</f>
        <v>Lingua Vasconica</v>
      </c>
      <c r="M715" t="str">
        <f>_xlfn.XLOOKUP(frasest[[#This Row],[author_es]],autorest[author_es],autorest[nation_es])</f>
        <v>España</v>
      </c>
      <c r="N715" t="str">
        <f>_xlfn.XLOOKUP(frasest[[#This Row],[author_es]],autorest[author_es],autorest[nation_la])</f>
        <v>Hispania</v>
      </c>
      <c r="O715" t="str">
        <f>_xlfn.XLOOKUP(frasest[[#This Row],[author_es]],autorest[author_es],autorest[age_es])</f>
        <v>Epoca Desconocida</v>
      </c>
      <c r="P715" t="str">
        <f>_xlfn.XLOOKUP(frasest[[#This Row],[author_es]],autorest[author_es],autorest[age_la])</f>
        <v>Epocha Ignota</v>
      </c>
      <c r="Q715" t="str">
        <f>_xlfn.XLOOKUP(frasest[[#This Row],[author_es]],autorest[author_es],autorest[image])</f>
        <v>https://i.ibb.co/bjgxB3kn/euskadi.png</v>
      </c>
      <c r="R715">
        <f>_xlfn.XLOOKUP(frasest[[#This Row],[author_es]],autorest[author_es],autorest[image_atr])</f>
        <v>0</v>
      </c>
    </row>
    <row r="716" spans="1:18">
      <c r="A716">
        <v>715</v>
      </c>
      <c r="B716" t="s">
        <v>2425</v>
      </c>
      <c r="C716" t="s">
        <v>2426</v>
      </c>
      <c r="D716" t="s">
        <v>2427</v>
      </c>
      <c r="E716" t="s">
        <v>1236</v>
      </c>
      <c r="G716" t="str">
        <f>_xlfn.XLOOKUP(frasest[[#This Row],[author_es]],autorest[author_es],autorest[author_la])</f>
        <v>Sententia Vasconica</v>
      </c>
      <c r="H716" t="str">
        <f>_xlfn.XLOOKUP(frasest[[#This Row],[author_es]],autorest[author_es],autorest[bio_es])</f>
        <v>Proverbios de la tradición oral vasca que reflejan la relación con la naturaleza, el trabajo y los valores comunitarios del pueblo vasco.</v>
      </c>
      <c r="I716" t="str">
        <f>_xlfn.XLOOKUP(frasest[[#This Row],[author_es]],autorest[author_es],autorest[bio_la])</f>
        <v>Collectio sententiarum Vasconicarum.</v>
      </c>
      <c r="J716" t="str">
        <f>_xlfn.XLOOKUP(frasest[[#This Row],[author_es]],autorest[author_es],autorest[iso3691])</f>
        <v>eu</v>
      </c>
      <c r="K716" t="str">
        <f>_xlfn.XLOOKUP(frasest[[#This Row],[author_es]],autorest[author_es],autorest[language_es])</f>
        <v>Euskara</v>
      </c>
      <c r="L716" t="str">
        <f>_xlfn.XLOOKUP(frasest[[#This Row],[author_es]],autorest[author_es],autorest[language_la])</f>
        <v>Lingua Vasconica</v>
      </c>
      <c r="M716" t="str">
        <f>_xlfn.XLOOKUP(frasest[[#This Row],[author_es]],autorest[author_es],autorest[nation_es])</f>
        <v>España</v>
      </c>
      <c r="N716" t="str">
        <f>_xlfn.XLOOKUP(frasest[[#This Row],[author_es]],autorest[author_es],autorest[nation_la])</f>
        <v>Hispania</v>
      </c>
      <c r="O716" t="str">
        <f>_xlfn.XLOOKUP(frasest[[#This Row],[author_es]],autorest[author_es],autorest[age_es])</f>
        <v>Epoca Desconocida</v>
      </c>
      <c r="P716" t="str">
        <f>_xlfn.XLOOKUP(frasest[[#This Row],[author_es]],autorest[author_es],autorest[age_la])</f>
        <v>Epocha Ignota</v>
      </c>
      <c r="Q716" t="str">
        <f>_xlfn.XLOOKUP(frasest[[#This Row],[author_es]],autorest[author_es],autorest[image])</f>
        <v>https://i.ibb.co/bjgxB3kn/euskadi.png</v>
      </c>
      <c r="R716">
        <f>_xlfn.XLOOKUP(frasest[[#This Row],[author_es]],autorest[author_es],autorest[image_atr])</f>
        <v>0</v>
      </c>
    </row>
    <row r="717" spans="1:18">
      <c r="A717">
        <v>716</v>
      </c>
      <c r="B717" t="s">
        <v>2428</v>
      </c>
      <c r="C717" t="s">
        <v>2429</v>
      </c>
      <c r="D717" t="s">
        <v>2430</v>
      </c>
      <c r="E717" t="s">
        <v>1236</v>
      </c>
      <c r="G717" t="str">
        <f>_xlfn.XLOOKUP(frasest[[#This Row],[author_es]],autorest[author_es],autorest[author_la])</f>
        <v>Sententia Vasconica</v>
      </c>
      <c r="H717" t="str">
        <f>_xlfn.XLOOKUP(frasest[[#This Row],[author_es]],autorest[author_es],autorest[bio_es])</f>
        <v>Proverbios de la tradición oral vasca que reflejan la relación con la naturaleza, el trabajo y los valores comunitarios del pueblo vasco.</v>
      </c>
      <c r="I717" t="str">
        <f>_xlfn.XLOOKUP(frasest[[#This Row],[author_es]],autorest[author_es],autorest[bio_la])</f>
        <v>Collectio sententiarum Vasconicarum.</v>
      </c>
      <c r="J717" t="str">
        <f>_xlfn.XLOOKUP(frasest[[#This Row],[author_es]],autorest[author_es],autorest[iso3691])</f>
        <v>eu</v>
      </c>
      <c r="K717" t="str">
        <f>_xlfn.XLOOKUP(frasest[[#This Row],[author_es]],autorest[author_es],autorest[language_es])</f>
        <v>Euskara</v>
      </c>
      <c r="L717" t="str">
        <f>_xlfn.XLOOKUP(frasest[[#This Row],[author_es]],autorest[author_es],autorest[language_la])</f>
        <v>Lingua Vasconica</v>
      </c>
      <c r="M717" t="str">
        <f>_xlfn.XLOOKUP(frasest[[#This Row],[author_es]],autorest[author_es],autorest[nation_es])</f>
        <v>España</v>
      </c>
      <c r="N717" t="str">
        <f>_xlfn.XLOOKUP(frasest[[#This Row],[author_es]],autorest[author_es],autorest[nation_la])</f>
        <v>Hispania</v>
      </c>
      <c r="O717" t="str">
        <f>_xlfn.XLOOKUP(frasest[[#This Row],[author_es]],autorest[author_es],autorest[age_es])</f>
        <v>Epoca Desconocida</v>
      </c>
      <c r="P717" t="str">
        <f>_xlfn.XLOOKUP(frasest[[#This Row],[author_es]],autorest[author_es],autorest[age_la])</f>
        <v>Epocha Ignota</v>
      </c>
      <c r="Q717" t="str">
        <f>_xlfn.XLOOKUP(frasest[[#This Row],[author_es]],autorest[author_es],autorest[image])</f>
        <v>https://i.ibb.co/bjgxB3kn/euskadi.png</v>
      </c>
      <c r="R717">
        <f>_xlfn.XLOOKUP(frasest[[#This Row],[author_es]],autorest[author_es],autorest[image_atr])</f>
        <v>0</v>
      </c>
    </row>
    <row r="718" spans="1:18">
      <c r="A718">
        <v>717</v>
      </c>
      <c r="B718" t="s">
        <v>2431</v>
      </c>
      <c r="C718" t="s">
        <v>2432</v>
      </c>
      <c r="D718" t="s">
        <v>2433</v>
      </c>
      <c r="E718" t="s">
        <v>1236</v>
      </c>
      <c r="G718" t="str">
        <f>_xlfn.XLOOKUP(frasest[[#This Row],[author_es]],autorest[author_es],autorest[author_la])</f>
        <v>Sententia Vasconica</v>
      </c>
      <c r="H718" t="str">
        <f>_xlfn.XLOOKUP(frasest[[#This Row],[author_es]],autorest[author_es],autorest[bio_es])</f>
        <v>Proverbios de la tradición oral vasca que reflejan la relación con la naturaleza, el trabajo y los valores comunitarios del pueblo vasco.</v>
      </c>
      <c r="I718" t="str">
        <f>_xlfn.XLOOKUP(frasest[[#This Row],[author_es]],autorest[author_es],autorest[bio_la])</f>
        <v>Collectio sententiarum Vasconicarum.</v>
      </c>
      <c r="J718" t="str">
        <f>_xlfn.XLOOKUP(frasest[[#This Row],[author_es]],autorest[author_es],autorest[iso3691])</f>
        <v>eu</v>
      </c>
      <c r="K718" t="str">
        <f>_xlfn.XLOOKUP(frasest[[#This Row],[author_es]],autorest[author_es],autorest[language_es])</f>
        <v>Euskara</v>
      </c>
      <c r="L718" t="str">
        <f>_xlfn.XLOOKUP(frasest[[#This Row],[author_es]],autorest[author_es],autorest[language_la])</f>
        <v>Lingua Vasconica</v>
      </c>
      <c r="M718" t="str">
        <f>_xlfn.XLOOKUP(frasest[[#This Row],[author_es]],autorest[author_es],autorest[nation_es])</f>
        <v>España</v>
      </c>
      <c r="N718" t="str">
        <f>_xlfn.XLOOKUP(frasest[[#This Row],[author_es]],autorest[author_es],autorest[nation_la])</f>
        <v>Hispania</v>
      </c>
      <c r="O718" t="str">
        <f>_xlfn.XLOOKUP(frasest[[#This Row],[author_es]],autorest[author_es],autorest[age_es])</f>
        <v>Epoca Desconocida</v>
      </c>
      <c r="P718" t="str">
        <f>_xlfn.XLOOKUP(frasest[[#This Row],[author_es]],autorest[author_es],autorest[age_la])</f>
        <v>Epocha Ignota</v>
      </c>
      <c r="Q718" t="str">
        <f>_xlfn.XLOOKUP(frasest[[#This Row],[author_es]],autorest[author_es],autorest[image])</f>
        <v>https://i.ibb.co/bjgxB3kn/euskadi.png</v>
      </c>
      <c r="R718">
        <f>_xlfn.XLOOKUP(frasest[[#This Row],[author_es]],autorest[author_es],autorest[image_atr])</f>
        <v>0</v>
      </c>
    </row>
    <row r="719" spans="1:18">
      <c r="A719">
        <v>718</v>
      </c>
      <c r="B719" t="s">
        <v>2434</v>
      </c>
      <c r="C719" t="s">
        <v>2435</v>
      </c>
      <c r="D719" t="s">
        <v>2436</v>
      </c>
      <c r="E719" t="s">
        <v>1236</v>
      </c>
      <c r="G719" t="str">
        <f>_xlfn.XLOOKUP(frasest[[#This Row],[author_es]],autorest[author_es],autorest[author_la])</f>
        <v>Sententia Vasconica</v>
      </c>
      <c r="H719" t="str">
        <f>_xlfn.XLOOKUP(frasest[[#This Row],[author_es]],autorest[author_es],autorest[bio_es])</f>
        <v>Proverbios de la tradición oral vasca que reflejan la relación con la naturaleza, el trabajo y los valores comunitarios del pueblo vasco.</v>
      </c>
      <c r="I719" t="str">
        <f>_xlfn.XLOOKUP(frasest[[#This Row],[author_es]],autorest[author_es],autorest[bio_la])</f>
        <v>Collectio sententiarum Vasconicarum.</v>
      </c>
      <c r="J719" t="str">
        <f>_xlfn.XLOOKUP(frasest[[#This Row],[author_es]],autorest[author_es],autorest[iso3691])</f>
        <v>eu</v>
      </c>
      <c r="K719" t="str">
        <f>_xlfn.XLOOKUP(frasest[[#This Row],[author_es]],autorest[author_es],autorest[language_es])</f>
        <v>Euskara</v>
      </c>
      <c r="L719" t="str">
        <f>_xlfn.XLOOKUP(frasest[[#This Row],[author_es]],autorest[author_es],autorest[language_la])</f>
        <v>Lingua Vasconica</v>
      </c>
      <c r="M719" t="str">
        <f>_xlfn.XLOOKUP(frasest[[#This Row],[author_es]],autorest[author_es],autorest[nation_es])</f>
        <v>España</v>
      </c>
      <c r="N719" t="str">
        <f>_xlfn.XLOOKUP(frasest[[#This Row],[author_es]],autorest[author_es],autorest[nation_la])</f>
        <v>Hispania</v>
      </c>
      <c r="O719" t="str">
        <f>_xlfn.XLOOKUP(frasest[[#This Row],[author_es]],autorest[author_es],autorest[age_es])</f>
        <v>Epoca Desconocida</v>
      </c>
      <c r="P719" t="str">
        <f>_xlfn.XLOOKUP(frasest[[#This Row],[author_es]],autorest[author_es],autorest[age_la])</f>
        <v>Epocha Ignota</v>
      </c>
      <c r="Q719" t="str">
        <f>_xlfn.XLOOKUP(frasest[[#This Row],[author_es]],autorest[author_es],autorest[image])</f>
        <v>https://i.ibb.co/bjgxB3kn/euskadi.png</v>
      </c>
      <c r="R719">
        <f>_xlfn.XLOOKUP(frasest[[#This Row],[author_es]],autorest[author_es],autorest[image_atr])</f>
        <v>0</v>
      </c>
    </row>
    <row r="720" spans="1:18">
      <c r="A720">
        <v>719</v>
      </c>
      <c r="B720" t="s">
        <v>2437</v>
      </c>
      <c r="C720" t="s">
        <v>2438</v>
      </c>
      <c r="D720" t="s">
        <v>2439</v>
      </c>
      <c r="E720" t="s">
        <v>1236</v>
      </c>
      <c r="G720" t="str">
        <f>_xlfn.XLOOKUP(frasest[[#This Row],[author_es]],autorest[author_es],autorest[author_la])</f>
        <v>Sententia Vasconica</v>
      </c>
      <c r="H720" t="str">
        <f>_xlfn.XLOOKUP(frasest[[#This Row],[author_es]],autorest[author_es],autorest[bio_es])</f>
        <v>Proverbios de la tradición oral vasca que reflejan la relación con la naturaleza, el trabajo y los valores comunitarios del pueblo vasco.</v>
      </c>
      <c r="I720" t="str">
        <f>_xlfn.XLOOKUP(frasest[[#This Row],[author_es]],autorest[author_es],autorest[bio_la])</f>
        <v>Collectio sententiarum Vasconicarum.</v>
      </c>
      <c r="J720" t="str">
        <f>_xlfn.XLOOKUP(frasest[[#This Row],[author_es]],autorest[author_es],autorest[iso3691])</f>
        <v>eu</v>
      </c>
      <c r="K720" t="str">
        <f>_xlfn.XLOOKUP(frasest[[#This Row],[author_es]],autorest[author_es],autorest[language_es])</f>
        <v>Euskara</v>
      </c>
      <c r="L720" t="str">
        <f>_xlfn.XLOOKUP(frasest[[#This Row],[author_es]],autorest[author_es],autorest[language_la])</f>
        <v>Lingua Vasconica</v>
      </c>
      <c r="M720" t="str">
        <f>_xlfn.XLOOKUP(frasest[[#This Row],[author_es]],autorest[author_es],autorest[nation_es])</f>
        <v>España</v>
      </c>
      <c r="N720" t="str">
        <f>_xlfn.XLOOKUP(frasest[[#This Row],[author_es]],autorest[author_es],autorest[nation_la])</f>
        <v>Hispania</v>
      </c>
      <c r="O720" t="str">
        <f>_xlfn.XLOOKUP(frasest[[#This Row],[author_es]],autorest[author_es],autorest[age_es])</f>
        <v>Epoca Desconocida</v>
      </c>
      <c r="P720" t="str">
        <f>_xlfn.XLOOKUP(frasest[[#This Row],[author_es]],autorest[author_es],autorest[age_la])</f>
        <v>Epocha Ignota</v>
      </c>
      <c r="Q720" t="str">
        <f>_xlfn.XLOOKUP(frasest[[#This Row],[author_es]],autorest[author_es],autorest[image])</f>
        <v>https://i.ibb.co/bjgxB3kn/euskadi.png</v>
      </c>
      <c r="R720">
        <f>_xlfn.XLOOKUP(frasest[[#This Row],[author_es]],autorest[author_es],autorest[image_atr])</f>
        <v>0</v>
      </c>
    </row>
    <row r="721" spans="1:18">
      <c r="A721">
        <v>720</v>
      </c>
      <c r="B721" t="s">
        <v>2440</v>
      </c>
      <c r="C721" t="s">
        <v>2441</v>
      </c>
      <c r="D721" t="s">
        <v>2442</v>
      </c>
      <c r="E721" t="s">
        <v>1236</v>
      </c>
      <c r="G721" t="str">
        <f>_xlfn.XLOOKUP(frasest[[#This Row],[author_es]],autorest[author_es],autorest[author_la])</f>
        <v>Sententia Vasconica</v>
      </c>
      <c r="H721" t="str">
        <f>_xlfn.XLOOKUP(frasest[[#This Row],[author_es]],autorest[author_es],autorest[bio_es])</f>
        <v>Proverbios de la tradición oral vasca que reflejan la relación con la naturaleza, el trabajo y los valores comunitarios del pueblo vasco.</v>
      </c>
      <c r="I721" t="str">
        <f>_xlfn.XLOOKUP(frasest[[#This Row],[author_es]],autorest[author_es],autorest[bio_la])</f>
        <v>Collectio sententiarum Vasconicarum.</v>
      </c>
      <c r="J721" t="str">
        <f>_xlfn.XLOOKUP(frasest[[#This Row],[author_es]],autorest[author_es],autorest[iso3691])</f>
        <v>eu</v>
      </c>
      <c r="K721" t="str">
        <f>_xlfn.XLOOKUP(frasest[[#This Row],[author_es]],autorest[author_es],autorest[language_es])</f>
        <v>Euskara</v>
      </c>
      <c r="L721" t="str">
        <f>_xlfn.XLOOKUP(frasest[[#This Row],[author_es]],autorest[author_es],autorest[language_la])</f>
        <v>Lingua Vasconica</v>
      </c>
      <c r="M721" t="str">
        <f>_xlfn.XLOOKUP(frasest[[#This Row],[author_es]],autorest[author_es],autorest[nation_es])</f>
        <v>España</v>
      </c>
      <c r="N721" t="str">
        <f>_xlfn.XLOOKUP(frasest[[#This Row],[author_es]],autorest[author_es],autorest[nation_la])</f>
        <v>Hispania</v>
      </c>
      <c r="O721" t="str">
        <f>_xlfn.XLOOKUP(frasest[[#This Row],[author_es]],autorest[author_es],autorest[age_es])</f>
        <v>Epoca Desconocida</v>
      </c>
      <c r="P721" t="str">
        <f>_xlfn.XLOOKUP(frasest[[#This Row],[author_es]],autorest[author_es],autorest[age_la])</f>
        <v>Epocha Ignota</v>
      </c>
      <c r="Q721" t="str">
        <f>_xlfn.XLOOKUP(frasest[[#This Row],[author_es]],autorest[author_es],autorest[image])</f>
        <v>https://i.ibb.co/bjgxB3kn/euskadi.png</v>
      </c>
      <c r="R721">
        <f>_xlfn.XLOOKUP(frasest[[#This Row],[author_es]],autorest[author_es],autorest[image_atr])</f>
        <v>0</v>
      </c>
    </row>
    <row r="722" spans="1:18">
      <c r="A722">
        <v>721</v>
      </c>
      <c r="B722" t="s">
        <v>2443</v>
      </c>
      <c r="C722" t="s">
        <v>2444</v>
      </c>
      <c r="D722" t="s">
        <v>2445</v>
      </c>
      <c r="E722" t="s">
        <v>1236</v>
      </c>
      <c r="G722" t="str">
        <f>_xlfn.XLOOKUP(frasest[[#This Row],[author_es]],autorest[author_es],autorest[author_la])</f>
        <v>Sententia Vasconica</v>
      </c>
      <c r="H722" t="str">
        <f>_xlfn.XLOOKUP(frasest[[#This Row],[author_es]],autorest[author_es],autorest[bio_es])</f>
        <v>Proverbios de la tradición oral vasca que reflejan la relación con la naturaleza, el trabajo y los valores comunitarios del pueblo vasco.</v>
      </c>
      <c r="I722" t="str">
        <f>_xlfn.XLOOKUP(frasest[[#This Row],[author_es]],autorest[author_es],autorest[bio_la])</f>
        <v>Collectio sententiarum Vasconicarum.</v>
      </c>
      <c r="J722" t="str">
        <f>_xlfn.XLOOKUP(frasest[[#This Row],[author_es]],autorest[author_es],autorest[iso3691])</f>
        <v>eu</v>
      </c>
      <c r="K722" t="str">
        <f>_xlfn.XLOOKUP(frasest[[#This Row],[author_es]],autorest[author_es],autorest[language_es])</f>
        <v>Euskara</v>
      </c>
      <c r="L722" t="str">
        <f>_xlfn.XLOOKUP(frasest[[#This Row],[author_es]],autorest[author_es],autorest[language_la])</f>
        <v>Lingua Vasconica</v>
      </c>
      <c r="M722" t="str">
        <f>_xlfn.XLOOKUP(frasest[[#This Row],[author_es]],autorest[author_es],autorest[nation_es])</f>
        <v>España</v>
      </c>
      <c r="N722" t="str">
        <f>_xlfn.XLOOKUP(frasest[[#This Row],[author_es]],autorest[author_es],autorest[nation_la])</f>
        <v>Hispania</v>
      </c>
      <c r="O722" t="str">
        <f>_xlfn.XLOOKUP(frasest[[#This Row],[author_es]],autorest[author_es],autorest[age_es])</f>
        <v>Epoca Desconocida</v>
      </c>
      <c r="P722" t="str">
        <f>_xlfn.XLOOKUP(frasest[[#This Row],[author_es]],autorest[author_es],autorest[age_la])</f>
        <v>Epocha Ignota</v>
      </c>
      <c r="Q722" t="str">
        <f>_xlfn.XLOOKUP(frasest[[#This Row],[author_es]],autorest[author_es],autorest[image])</f>
        <v>https://i.ibb.co/bjgxB3kn/euskadi.png</v>
      </c>
      <c r="R722">
        <f>_xlfn.XLOOKUP(frasest[[#This Row],[author_es]],autorest[author_es],autorest[image_atr])</f>
        <v>0</v>
      </c>
    </row>
    <row r="723" spans="1:18">
      <c r="A723">
        <v>722</v>
      </c>
      <c r="B723" t="s">
        <v>2446</v>
      </c>
      <c r="C723" t="s">
        <v>2447</v>
      </c>
      <c r="D723" t="s">
        <v>2448</v>
      </c>
      <c r="E723" t="s">
        <v>1236</v>
      </c>
      <c r="G723" t="str">
        <f>_xlfn.XLOOKUP(frasest[[#This Row],[author_es]],autorest[author_es],autorest[author_la])</f>
        <v>Sententia Vasconica</v>
      </c>
      <c r="H723" t="str">
        <f>_xlfn.XLOOKUP(frasest[[#This Row],[author_es]],autorest[author_es],autorest[bio_es])</f>
        <v>Proverbios de la tradición oral vasca que reflejan la relación con la naturaleza, el trabajo y los valores comunitarios del pueblo vasco.</v>
      </c>
      <c r="I723" t="str">
        <f>_xlfn.XLOOKUP(frasest[[#This Row],[author_es]],autorest[author_es],autorest[bio_la])</f>
        <v>Collectio sententiarum Vasconicarum.</v>
      </c>
      <c r="J723" t="str">
        <f>_xlfn.XLOOKUP(frasest[[#This Row],[author_es]],autorest[author_es],autorest[iso3691])</f>
        <v>eu</v>
      </c>
      <c r="K723" t="str">
        <f>_xlfn.XLOOKUP(frasest[[#This Row],[author_es]],autorest[author_es],autorest[language_es])</f>
        <v>Euskara</v>
      </c>
      <c r="L723" t="str">
        <f>_xlfn.XLOOKUP(frasest[[#This Row],[author_es]],autorest[author_es],autorest[language_la])</f>
        <v>Lingua Vasconica</v>
      </c>
      <c r="M723" t="str">
        <f>_xlfn.XLOOKUP(frasest[[#This Row],[author_es]],autorest[author_es],autorest[nation_es])</f>
        <v>España</v>
      </c>
      <c r="N723" t="str">
        <f>_xlfn.XLOOKUP(frasest[[#This Row],[author_es]],autorest[author_es],autorest[nation_la])</f>
        <v>Hispania</v>
      </c>
      <c r="O723" t="str">
        <f>_xlfn.XLOOKUP(frasest[[#This Row],[author_es]],autorest[author_es],autorest[age_es])</f>
        <v>Epoca Desconocida</v>
      </c>
      <c r="P723" t="str">
        <f>_xlfn.XLOOKUP(frasest[[#This Row],[author_es]],autorest[author_es],autorest[age_la])</f>
        <v>Epocha Ignota</v>
      </c>
      <c r="Q723" t="str">
        <f>_xlfn.XLOOKUP(frasest[[#This Row],[author_es]],autorest[author_es],autorest[image])</f>
        <v>https://i.ibb.co/bjgxB3kn/euskadi.png</v>
      </c>
      <c r="R723">
        <f>_xlfn.XLOOKUP(frasest[[#This Row],[author_es]],autorest[author_es],autorest[image_atr])</f>
        <v>0</v>
      </c>
    </row>
    <row r="724" spans="1:18">
      <c r="A724">
        <v>723</v>
      </c>
      <c r="B724" t="s">
        <v>2449</v>
      </c>
      <c r="C724" t="s">
        <v>2450</v>
      </c>
      <c r="D724" t="s">
        <v>2451</v>
      </c>
      <c r="E724" t="s">
        <v>1236</v>
      </c>
      <c r="G724" t="str">
        <f>_xlfn.XLOOKUP(frasest[[#This Row],[author_es]],autorest[author_es],autorest[author_la])</f>
        <v>Sententia Vasconica</v>
      </c>
      <c r="H724" t="str">
        <f>_xlfn.XLOOKUP(frasest[[#This Row],[author_es]],autorest[author_es],autorest[bio_es])</f>
        <v>Proverbios de la tradición oral vasca que reflejan la relación con la naturaleza, el trabajo y los valores comunitarios del pueblo vasco.</v>
      </c>
      <c r="I724" t="str">
        <f>_xlfn.XLOOKUP(frasest[[#This Row],[author_es]],autorest[author_es],autorest[bio_la])</f>
        <v>Collectio sententiarum Vasconicarum.</v>
      </c>
      <c r="J724" t="str">
        <f>_xlfn.XLOOKUP(frasest[[#This Row],[author_es]],autorest[author_es],autorest[iso3691])</f>
        <v>eu</v>
      </c>
      <c r="K724" t="str">
        <f>_xlfn.XLOOKUP(frasest[[#This Row],[author_es]],autorest[author_es],autorest[language_es])</f>
        <v>Euskara</v>
      </c>
      <c r="L724" t="str">
        <f>_xlfn.XLOOKUP(frasest[[#This Row],[author_es]],autorest[author_es],autorest[language_la])</f>
        <v>Lingua Vasconica</v>
      </c>
      <c r="M724" t="str">
        <f>_xlfn.XLOOKUP(frasest[[#This Row],[author_es]],autorest[author_es],autorest[nation_es])</f>
        <v>España</v>
      </c>
      <c r="N724" t="str">
        <f>_xlfn.XLOOKUP(frasest[[#This Row],[author_es]],autorest[author_es],autorest[nation_la])</f>
        <v>Hispania</v>
      </c>
      <c r="O724" t="str">
        <f>_xlfn.XLOOKUP(frasest[[#This Row],[author_es]],autorest[author_es],autorest[age_es])</f>
        <v>Epoca Desconocida</v>
      </c>
      <c r="P724" t="str">
        <f>_xlfn.XLOOKUP(frasest[[#This Row],[author_es]],autorest[author_es],autorest[age_la])</f>
        <v>Epocha Ignota</v>
      </c>
      <c r="Q724" t="str">
        <f>_xlfn.XLOOKUP(frasest[[#This Row],[author_es]],autorest[author_es],autorest[image])</f>
        <v>https://i.ibb.co/bjgxB3kn/euskadi.png</v>
      </c>
      <c r="R724">
        <f>_xlfn.XLOOKUP(frasest[[#This Row],[author_es]],autorest[author_es],autorest[image_atr])</f>
        <v>0</v>
      </c>
    </row>
    <row r="725" spans="1:18">
      <c r="A725">
        <v>724</v>
      </c>
      <c r="B725" t="s">
        <v>2452</v>
      </c>
      <c r="C725" t="s">
        <v>2453</v>
      </c>
      <c r="D725" t="s">
        <v>2454</v>
      </c>
      <c r="E725" t="s">
        <v>1236</v>
      </c>
      <c r="G725" t="str">
        <f>_xlfn.XLOOKUP(frasest[[#This Row],[author_es]],autorest[author_es],autorest[author_la])</f>
        <v>Sententia Vasconica</v>
      </c>
      <c r="H725" t="str">
        <f>_xlfn.XLOOKUP(frasest[[#This Row],[author_es]],autorest[author_es],autorest[bio_es])</f>
        <v>Proverbios de la tradición oral vasca que reflejan la relación con la naturaleza, el trabajo y los valores comunitarios del pueblo vasco.</v>
      </c>
      <c r="I725" t="str">
        <f>_xlfn.XLOOKUP(frasest[[#This Row],[author_es]],autorest[author_es],autorest[bio_la])</f>
        <v>Collectio sententiarum Vasconicarum.</v>
      </c>
      <c r="J725" t="str">
        <f>_xlfn.XLOOKUP(frasest[[#This Row],[author_es]],autorest[author_es],autorest[iso3691])</f>
        <v>eu</v>
      </c>
      <c r="K725" t="str">
        <f>_xlfn.XLOOKUP(frasest[[#This Row],[author_es]],autorest[author_es],autorest[language_es])</f>
        <v>Euskara</v>
      </c>
      <c r="L725" t="str">
        <f>_xlfn.XLOOKUP(frasest[[#This Row],[author_es]],autorest[author_es],autorest[language_la])</f>
        <v>Lingua Vasconica</v>
      </c>
      <c r="M725" t="str">
        <f>_xlfn.XLOOKUP(frasest[[#This Row],[author_es]],autorest[author_es],autorest[nation_es])</f>
        <v>España</v>
      </c>
      <c r="N725" t="str">
        <f>_xlfn.XLOOKUP(frasest[[#This Row],[author_es]],autorest[author_es],autorest[nation_la])</f>
        <v>Hispania</v>
      </c>
      <c r="O725" t="str">
        <f>_xlfn.XLOOKUP(frasest[[#This Row],[author_es]],autorest[author_es],autorest[age_es])</f>
        <v>Epoca Desconocida</v>
      </c>
      <c r="P725" t="str">
        <f>_xlfn.XLOOKUP(frasest[[#This Row],[author_es]],autorest[author_es],autorest[age_la])</f>
        <v>Epocha Ignota</v>
      </c>
      <c r="Q725" t="str">
        <f>_xlfn.XLOOKUP(frasest[[#This Row],[author_es]],autorest[author_es],autorest[image])</f>
        <v>https://i.ibb.co/bjgxB3kn/euskadi.png</v>
      </c>
      <c r="R725">
        <f>_xlfn.XLOOKUP(frasest[[#This Row],[author_es]],autorest[author_es],autorest[image_atr])</f>
        <v>0</v>
      </c>
    </row>
    <row r="726" spans="1:18">
      <c r="A726">
        <v>725</v>
      </c>
      <c r="B726" t="s">
        <v>2455</v>
      </c>
      <c r="C726" t="s">
        <v>2456</v>
      </c>
      <c r="D726" t="s">
        <v>2457</v>
      </c>
      <c r="E726" t="s">
        <v>1236</v>
      </c>
      <c r="G726" t="str">
        <f>_xlfn.XLOOKUP(frasest[[#This Row],[author_es]],autorest[author_es],autorest[author_la])</f>
        <v>Sententia Vasconica</v>
      </c>
      <c r="H726" t="str">
        <f>_xlfn.XLOOKUP(frasest[[#This Row],[author_es]],autorest[author_es],autorest[bio_es])</f>
        <v>Proverbios de la tradición oral vasca que reflejan la relación con la naturaleza, el trabajo y los valores comunitarios del pueblo vasco.</v>
      </c>
      <c r="I726" t="str">
        <f>_xlfn.XLOOKUP(frasest[[#This Row],[author_es]],autorest[author_es],autorest[bio_la])</f>
        <v>Collectio sententiarum Vasconicarum.</v>
      </c>
      <c r="J726" t="str">
        <f>_xlfn.XLOOKUP(frasest[[#This Row],[author_es]],autorest[author_es],autorest[iso3691])</f>
        <v>eu</v>
      </c>
      <c r="K726" t="str">
        <f>_xlfn.XLOOKUP(frasest[[#This Row],[author_es]],autorest[author_es],autorest[language_es])</f>
        <v>Euskara</v>
      </c>
      <c r="L726" t="str">
        <f>_xlfn.XLOOKUP(frasest[[#This Row],[author_es]],autorest[author_es],autorest[language_la])</f>
        <v>Lingua Vasconica</v>
      </c>
      <c r="M726" t="str">
        <f>_xlfn.XLOOKUP(frasest[[#This Row],[author_es]],autorest[author_es],autorest[nation_es])</f>
        <v>España</v>
      </c>
      <c r="N726" t="str">
        <f>_xlfn.XLOOKUP(frasest[[#This Row],[author_es]],autorest[author_es],autorest[nation_la])</f>
        <v>Hispania</v>
      </c>
      <c r="O726" t="str">
        <f>_xlfn.XLOOKUP(frasest[[#This Row],[author_es]],autorest[author_es],autorest[age_es])</f>
        <v>Epoca Desconocida</v>
      </c>
      <c r="P726" t="str">
        <f>_xlfn.XLOOKUP(frasest[[#This Row],[author_es]],autorest[author_es],autorest[age_la])</f>
        <v>Epocha Ignota</v>
      </c>
      <c r="Q726" t="str">
        <f>_xlfn.XLOOKUP(frasest[[#This Row],[author_es]],autorest[author_es],autorest[image])</f>
        <v>https://i.ibb.co/bjgxB3kn/euskadi.png</v>
      </c>
      <c r="R726">
        <f>_xlfn.XLOOKUP(frasest[[#This Row],[author_es]],autorest[author_es],autorest[image_atr])</f>
        <v>0</v>
      </c>
    </row>
    <row r="727" spans="1:18">
      <c r="A727">
        <v>726</v>
      </c>
      <c r="B727" t="s">
        <v>2458</v>
      </c>
      <c r="C727" t="s">
        <v>2459</v>
      </c>
      <c r="D727" t="s">
        <v>2460</v>
      </c>
      <c r="E727" t="s">
        <v>1236</v>
      </c>
      <c r="G727" t="str">
        <f>_xlfn.XLOOKUP(frasest[[#This Row],[author_es]],autorest[author_es],autorest[author_la])</f>
        <v>Sententia Vasconica</v>
      </c>
      <c r="H727" t="str">
        <f>_xlfn.XLOOKUP(frasest[[#This Row],[author_es]],autorest[author_es],autorest[bio_es])</f>
        <v>Proverbios de la tradición oral vasca que reflejan la relación con la naturaleza, el trabajo y los valores comunitarios del pueblo vasco.</v>
      </c>
      <c r="I727" t="str">
        <f>_xlfn.XLOOKUP(frasest[[#This Row],[author_es]],autorest[author_es],autorest[bio_la])</f>
        <v>Collectio sententiarum Vasconicarum.</v>
      </c>
      <c r="J727" t="str">
        <f>_xlfn.XLOOKUP(frasest[[#This Row],[author_es]],autorest[author_es],autorest[iso3691])</f>
        <v>eu</v>
      </c>
      <c r="K727" t="str">
        <f>_xlfn.XLOOKUP(frasest[[#This Row],[author_es]],autorest[author_es],autorest[language_es])</f>
        <v>Euskara</v>
      </c>
      <c r="L727" t="str">
        <f>_xlfn.XLOOKUP(frasest[[#This Row],[author_es]],autorest[author_es],autorest[language_la])</f>
        <v>Lingua Vasconica</v>
      </c>
      <c r="M727" t="str">
        <f>_xlfn.XLOOKUP(frasest[[#This Row],[author_es]],autorest[author_es],autorest[nation_es])</f>
        <v>España</v>
      </c>
      <c r="N727" t="str">
        <f>_xlfn.XLOOKUP(frasest[[#This Row],[author_es]],autorest[author_es],autorest[nation_la])</f>
        <v>Hispania</v>
      </c>
      <c r="O727" t="str">
        <f>_xlfn.XLOOKUP(frasest[[#This Row],[author_es]],autorest[author_es],autorest[age_es])</f>
        <v>Epoca Desconocida</v>
      </c>
      <c r="P727" t="str">
        <f>_xlfn.XLOOKUP(frasest[[#This Row],[author_es]],autorest[author_es],autorest[age_la])</f>
        <v>Epocha Ignota</v>
      </c>
      <c r="Q727" t="str">
        <f>_xlfn.XLOOKUP(frasest[[#This Row],[author_es]],autorest[author_es],autorest[image])</f>
        <v>https://i.ibb.co/bjgxB3kn/euskadi.png</v>
      </c>
      <c r="R727">
        <f>_xlfn.XLOOKUP(frasest[[#This Row],[author_es]],autorest[author_es],autorest[image_atr])</f>
        <v>0</v>
      </c>
    </row>
    <row r="728" spans="1:18">
      <c r="A728">
        <v>727</v>
      </c>
      <c r="B728" t="s">
        <v>2461</v>
      </c>
      <c r="C728" t="s">
        <v>2462</v>
      </c>
      <c r="D728" t="s">
        <v>2463</v>
      </c>
      <c r="E728" t="s">
        <v>1236</v>
      </c>
      <c r="G728" t="str">
        <f>_xlfn.XLOOKUP(frasest[[#This Row],[author_es]],autorest[author_es],autorest[author_la])</f>
        <v>Sententia Vasconica</v>
      </c>
      <c r="H728" t="str">
        <f>_xlfn.XLOOKUP(frasest[[#This Row],[author_es]],autorest[author_es],autorest[bio_es])</f>
        <v>Proverbios de la tradición oral vasca que reflejan la relación con la naturaleza, el trabajo y los valores comunitarios del pueblo vasco.</v>
      </c>
      <c r="I728" t="str">
        <f>_xlfn.XLOOKUP(frasest[[#This Row],[author_es]],autorest[author_es],autorest[bio_la])</f>
        <v>Collectio sententiarum Vasconicarum.</v>
      </c>
      <c r="J728" t="str">
        <f>_xlfn.XLOOKUP(frasest[[#This Row],[author_es]],autorest[author_es],autorest[iso3691])</f>
        <v>eu</v>
      </c>
      <c r="K728" t="str">
        <f>_xlfn.XLOOKUP(frasest[[#This Row],[author_es]],autorest[author_es],autorest[language_es])</f>
        <v>Euskara</v>
      </c>
      <c r="L728" t="str">
        <f>_xlfn.XLOOKUP(frasest[[#This Row],[author_es]],autorest[author_es],autorest[language_la])</f>
        <v>Lingua Vasconica</v>
      </c>
      <c r="M728" t="str">
        <f>_xlfn.XLOOKUP(frasest[[#This Row],[author_es]],autorest[author_es],autorest[nation_es])</f>
        <v>España</v>
      </c>
      <c r="N728" t="str">
        <f>_xlfn.XLOOKUP(frasest[[#This Row],[author_es]],autorest[author_es],autorest[nation_la])</f>
        <v>Hispania</v>
      </c>
      <c r="O728" t="str">
        <f>_xlfn.XLOOKUP(frasest[[#This Row],[author_es]],autorest[author_es],autorest[age_es])</f>
        <v>Epoca Desconocida</v>
      </c>
      <c r="P728" t="str">
        <f>_xlfn.XLOOKUP(frasest[[#This Row],[author_es]],autorest[author_es],autorest[age_la])</f>
        <v>Epocha Ignota</v>
      </c>
      <c r="Q728" t="str">
        <f>_xlfn.XLOOKUP(frasest[[#This Row],[author_es]],autorest[author_es],autorest[image])</f>
        <v>https://i.ibb.co/bjgxB3kn/euskadi.png</v>
      </c>
      <c r="R728">
        <f>_xlfn.XLOOKUP(frasest[[#This Row],[author_es]],autorest[author_es],autorest[image_atr])</f>
        <v>0</v>
      </c>
    </row>
    <row r="729" spans="1:18">
      <c r="A729">
        <v>728</v>
      </c>
      <c r="B729" t="s">
        <v>2464</v>
      </c>
      <c r="C729" t="s">
        <v>2465</v>
      </c>
      <c r="D729" t="s">
        <v>2466</v>
      </c>
      <c r="E729" t="s">
        <v>1236</v>
      </c>
      <c r="G729" t="str">
        <f>_xlfn.XLOOKUP(frasest[[#This Row],[author_es]],autorest[author_es],autorest[author_la])</f>
        <v>Sententia Vasconica</v>
      </c>
      <c r="H729" t="str">
        <f>_xlfn.XLOOKUP(frasest[[#This Row],[author_es]],autorest[author_es],autorest[bio_es])</f>
        <v>Proverbios de la tradición oral vasca que reflejan la relación con la naturaleza, el trabajo y los valores comunitarios del pueblo vasco.</v>
      </c>
      <c r="I729" t="str">
        <f>_xlfn.XLOOKUP(frasest[[#This Row],[author_es]],autorest[author_es],autorest[bio_la])</f>
        <v>Collectio sententiarum Vasconicarum.</v>
      </c>
      <c r="J729" t="str">
        <f>_xlfn.XLOOKUP(frasest[[#This Row],[author_es]],autorest[author_es],autorest[iso3691])</f>
        <v>eu</v>
      </c>
      <c r="K729" t="str">
        <f>_xlfn.XLOOKUP(frasest[[#This Row],[author_es]],autorest[author_es],autorest[language_es])</f>
        <v>Euskara</v>
      </c>
      <c r="L729" t="str">
        <f>_xlfn.XLOOKUP(frasest[[#This Row],[author_es]],autorest[author_es],autorest[language_la])</f>
        <v>Lingua Vasconica</v>
      </c>
      <c r="M729" t="str">
        <f>_xlfn.XLOOKUP(frasest[[#This Row],[author_es]],autorest[author_es],autorest[nation_es])</f>
        <v>España</v>
      </c>
      <c r="N729" t="str">
        <f>_xlfn.XLOOKUP(frasest[[#This Row],[author_es]],autorest[author_es],autorest[nation_la])</f>
        <v>Hispania</v>
      </c>
      <c r="O729" t="str">
        <f>_xlfn.XLOOKUP(frasest[[#This Row],[author_es]],autorest[author_es],autorest[age_es])</f>
        <v>Epoca Desconocida</v>
      </c>
      <c r="P729" t="str">
        <f>_xlfn.XLOOKUP(frasest[[#This Row],[author_es]],autorest[author_es],autorest[age_la])</f>
        <v>Epocha Ignota</v>
      </c>
      <c r="Q729" t="str">
        <f>_xlfn.XLOOKUP(frasest[[#This Row],[author_es]],autorest[author_es],autorest[image])</f>
        <v>https://i.ibb.co/bjgxB3kn/euskadi.png</v>
      </c>
      <c r="R729">
        <f>_xlfn.XLOOKUP(frasest[[#This Row],[author_es]],autorest[author_es],autorest[image_atr])</f>
        <v>0</v>
      </c>
    </row>
    <row r="730" spans="1:18">
      <c r="A730">
        <v>729</v>
      </c>
      <c r="B730" t="s">
        <v>2467</v>
      </c>
      <c r="C730" t="s">
        <v>2468</v>
      </c>
      <c r="D730" t="s">
        <v>2469</v>
      </c>
      <c r="E730" t="s">
        <v>1236</v>
      </c>
      <c r="G730" t="str">
        <f>_xlfn.XLOOKUP(frasest[[#This Row],[author_es]],autorest[author_es],autorest[author_la])</f>
        <v>Sententia Vasconica</v>
      </c>
      <c r="H730" t="str">
        <f>_xlfn.XLOOKUP(frasest[[#This Row],[author_es]],autorest[author_es],autorest[bio_es])</f>
        <v>Proverbios de la tradición oral vasca que reflejan la relación con la naturaleza, el trabajo y los valores comunitarios del pueblo vasco.</v>
      </c>
      <c r="I730" t="str">
        <f>_xlfn.XLOOKUP(frasest[[#This Row],[author_es]],autorest[author_es],autorest[bio_la])</f>
        <v>Collectio sententiarum Vasconicarum.</v>
      </c>
      <c r="J730" t="str">
        <f>_xlfn.XLOOKUP(frasest[[#This Row],[author_es]],autorest[author_es],autorest[iso3691])</f>
        <v>eu</v>
      </c>
      <c r="K730" t="str">
        <f>_xlfn.XLOOKUP(frasest[[#This Row],[author_es]],autorest[author_es],autorest[language_es])</f>
        <v>Euskara</v>
      </c>
      <c r="L730" t="str">
        <f>_xlfn.XLOOKUP(frasest[[#This Row],[author_es]],autorest[author_es],autorest[language_la])</f>
        <v>Lingua Vasconica</v>
      </c>
      <c r="M730" t="str">
        <f>_xlfn.XLOOKUP(frasest[[#This Row],[author_es]],autorest[author_es],autorest[nation_es])</f>
        <v>España</v>
      </c>
      <c r="N730" t="str">
        <f>_xlfn.XLOOKUP(frasest[[#This Row],[author_es]],autorest[author_es],autorest[nation_la])</f>
        <v>Hispania</v>
      </c>
      <c r="O730" t="str">
        <f>_xlfn.XLOOKUP(frasest[[#This Row],[author_es]],autorest[author_es],autorest[age_es])</f>
        <v>Epoca Desconocida</v>
      </c>
      <c r="P730" t="str">
        <f>_xlfn.XLOOKUP(frasest[[#This Row],[author_es]],autorest[author_es],autorest[age_la])</f>
        <v>Epocha Ignota</v>
      </c>
      <c r="Q730" t="str">
        <f>_xlfn.XLOOKUP(frasest[[#This Row],[author_es]],autorest[author_es],autorest[image])</f>
        <v>https://i.ibb.co/bjgxB3kn/euskadi.png</v>
      </c>
      <c r="R730">
        <f>_xlfn.XLOOKUP(frasest[[#This Row],[author_es]],autorest[author_es],autorest[image_atr])</f>
        <v>0</v>
      </c>
    </row>
    <row r="731" spans="1:18">
      <c r="A731">
        <v>730</v>
      </c>
      <c r="B731" t="s">
        <v>2470</v>
      </c>
      <c r="C731" t="s">
        <v>2471</v>
      </c>
      <c r="D731" t="s">
        <v>2472</v>
      </c>
      <c r="E731" t="s">
        <v>1236</v>
      </c>
      <c r="G731" t="str">
        <f>_xlfn.XLOOKUP(frasest[[#This Row],[author_es]],autorest[author_es],autorest[author_la])</f>
        <v>Sententia Vasconica</v>
      </c>
      <c r="H731" t="str">
        <f>_xlfn.XLOOKUP(frasest[[#This Row],[author_es]],autorest[author_es],autorest[bio_es])</f>
        <v>Proverbios de la tradición oral vasca que reflejan la relación con la naturaleza, el trabajo y los valores comunitarios del pueblo vasco.</v>
      </c>
      <c r="I731" t="str">
        <f>_xlfn.XLOOKUP(frasest[[#This Row],[author_es]],autorest[author_es],autorest[bio_la])</f>
        <v>Collectio sententiarum Vasconicarum.</v>
      </c>
      <c r="J731" t="str">
        <f>_xlfn.XLOOKUP(frasest[[#This Row],[author_es]],autorest[author_es],autorest[iso3691])</f>
        <v>eu</v>
      </c>
      <c r="K731" t="str">
        <f>_xlfn.XLOOKUP(frasest[[#This Row],[author_es]],autorest[author_es],autorest[language_es])</f>
        <v>Euskara</v>
      </c>
      <c r="L731" t="str">
        <f>_xlfn.XLOOKUP(frasest[[#This Row],[author_es]],autorest[author_es],autorest[language_la])</f>
        <v>Lingua Vasconica</v>
      </c>
      <c r="M731" t="str">
        <f>_xlfn.XLOOKUP(frasest[[#This Row],[author_es]],autorest[author_es],autorest[nation_es])</f>
        <v>España</v>
      </c>
      <c r="N731" t="str">
        <f>_xlfn.XLOOKUP(frasest[[#This Row],[author_es]],autorest[author_es],autorest[nation_la])</f>
        <v>Hispania</v>
      </c>
      <c r="O731" t="str">
        <f>_xlfn.XLOOKUP(frasest[[#This Row],[author_es]],autorest[author_es],autorest[age_es])</f>
        <v>Epoca Desconocida</v>
      </c>
      <c r="P731" t="str">
        <f>_xlfn.XLOOKUP(frasest[[#This Row],[author_es]],autorest[author_es],autorest[age_la])</f>
        <v>Epocha Ignota</v>
      </c>
      <c r="Q731" t="str">
        <f>_xlfn.XLOOKUP(frasest[[#This Row],[author_es]],autorest[author_es],autorest[image])</f>
        <v>https://i.ibb.co/bjgxB3kn/euskadi.png</v>
      </c>
      <c r="R731">
        <f>_xlfn.XLOOKUP(frasest[[#This Row],[author_es]],autorest[author_es],autorest[image_atr])</f>
        <v>0</v>
      </c>
    </row>
    <row r="732" spans="1:18">
      <c r="A732">
        <v>731</v>
      </c>
      <c r="B732" t="s">
        <v>2473</v>
      </c>
      <c r="C732" t="s">
        <v>2474</v>
      </c>
      <c r="D732" t="s">
        <v>2475</v>
      </c>
      <c r="E732" t="s">
        <v>1236</v>
      </c>
      <c r="G732" t="str">
        <f>_xlfn.XLOOKUP(frasest[[#This Row],[author_es]],autorest[author_es],autorest[author_la])</f>
        <v>Sententia Vasconica</v>
      </c>
      <c r="H732" t="str">
        <f>_xlfn.XLOOKUP(frasest[[#This Row],[author_es]],autorest[author_es],autorest[bio_es])</f>
        <v>Proverbios de la tradición oral vasca que reflejan la relación con la naturaleza, el trabajo y los valores comunitarios del pueblo vasco.</v>
      </c>
      <c r="I732" t="str">
        <f>_xlfn.XLOOKUP(frasest[[#This Row],[author_es]],autorest[author_es],autorest[bio_la])</f>
        <v>Collectio sententiarum Vasconicarum.</v>
      </c>
      <c r="J732" t="str">
        <f>_xlfn.XLOOKUP(frasest[[#This Row],[author_es]],autorest[author_es],autorest[iso3691])</f>
        <v>eu</v>
      </c>
      <c r="K732" t="str">
        <f>_xlfn.XLOOKUP(frasest[[#This Row],[author_es]],autorest[author_es],autorest[language_es])</f>
        <v>Euskara</v>
      </c>
      <c r="L732" t="str">
        <f>_xlfn.XLOOKUP(frasest[[#This Row],[author_es]],autorest[author_es],autorest[language_la])</f>
        <v>Lingua Vasconica</v>
      </c>
      <c r="M732" t="str">
        <f>_xlfn.XLOOKUP(frasest[[#This Row],[author_es]],autorest[author_es],autorest[nation_es])</f>
        <v>España</v>
      </c>
      <c r="N732" t="str">
        <f>_xlfn.XLOOKUP(frasest[[#This Row],[author_es]],autorest[author_es],autorest[nation_la])</f>
        <v>Hispania</v>
      </c>
      <c r="O732" t="str">
        <f>_xlfn.XLOOKUP(frasest[[#This Row],[author_es]],autorest[author_es],autorest[age_es])</f>
        <v>Epoca Desconocida</v>
      </c>
      <c r="P732" t="str">
        <f>_xlfn.XLOOKUP(frasest[[#This Row],[author_es]],autorest[author_es],autorest[age_la])</f>
        <v>Epocha Ignota</v>
      </c>
      <c r="Q732" t="str">
        <f>_xlfn.XLOOKUP(frasest[[#This Row],[author_es]],autorest[author_es],autorest[image])</f>
        <v>https://i.ibb.co/bjgxB3kn/euskadi.png</v>
      </c>
      <c r="R732">
        <f>_xlfn.XLOOKUP(frasest[[#This Row],[author_es]],autorest[author_es],autorest[image_atr])</f>
        <v>0</v>
      </c>
    </row>
    <row r="733" spans="1:18">
      <c r="A733">
        <v>732</v>
      </c>
      <c r="B733" t="s">
        <v>2476</v>
      </c>
      <c r="C733" t="s">
        <v>2477</v>
      </c>
      <c r="D733" t="s">
        <v>2478</v>
      </c>
      <c r="E733" t="s">
        <v>1236</v>
      </c>
      <c r="G733" t="str">
        <f>_xlfn.XLOOKUP(frasest[[#This Row],[author_es]],autorest[author_es],autorest[author_la])</f>
        <v>Sententia Vasconica</v>
      </c>
      <c r="H733" t="str">
        <f>_xlfn.XLOOKUP(frasest[[#This Row],[author_es]],autorest[author_es],autorest[bio_es])</f>
        <v>Proverbios de la tradición oral vasca que reflejan la relación con la naturaleza, el trabajo y los valores comunitarios del pueblo vasco.</v>
      </c>
      <c r="I733" t="str">
        <f>_xlfn.XLOOKUP(frasest[[#This Row],[author_es]],autorest[author_es],autorest[bio_la])</f>
        <v>Collectio sententiarum Vasconicarum.</v>
      </c>
      <c r="J733" t="str">
        <f>_xlfn.XLOOKUP(frasest[[#This Row],[author_es]],autorest[author_es],autorest[iso3691])</f>
        <v>eu</v>
      </c>
      <c r="K733" t="str">
        <f>_xlfn.XLOOKUP(frasest[[#This Row],[author_es]],autorest[author_es],autorest[language_es])</f>
        <v>Euskara</v>
      </c>
      <c r="L733" t="str">
        <f>_xlfn.XLOOKUP(frasest[[#This Row],[author_es]],autorest[author_es],autorest[language_la])</f>
        <v>Lingua Vasconica</v>
      </c>
      <c r="M733" t="str">
        <f>_xlfn.XLOOKUP(frasest[[#This Row],[author_es]],autorest[author_es],autorest[nation_es])</f>
        <v>España</v>
      </c>
      <c r="N733" t="str">
        <f>_xlfn.XLOOKUP(frasest[[#This Row],[author_es]],autorest[author_es],autorest[nation_la])</f>
        <v>Hispania</v>
      </c>
      <c r="O733" t="str">
        <f>_xlfn.XLOOKUP(frasest[[#This Row],[author_es]],autorest[author_es],autorest[age_es])</f>
        <v>Epoca Desconocida</v>
      </c>
      <c r="P733" t="str">
        <f>_xlfn.XLOOKUP(frasest[[#This Row],[author_es]],autorest[author_es],autorest[age_la])</f>
        <v>Epocha Ignota</v>
      </c>
      <c r="Q733" t="str">
        <f>_xlfn.XLOOKUP(frasest[[#This Row],[author_es]],autorest[author_es],autorest[image])</f>
        <v>https://i.ibb.co/bjgxB3kn/euskadi.png</v>
      </c>
      <c r="R733">
        <f>_xlfn.XLOOKUP(frasest[[#This Row],[author_es]],autorest[author_es],autorest[image_atr])</f>
        <v>0</v>
      </c>
    </row>
    <row r="734" spans="1:18">
      <c r="A734">
        <v>733</v>
      </c>
      <c r="B734" t="s">
        <v>2479</v>
      </c>
      <c r="C734" t="s">
        <v>2480</v>
      </c>
      <c r="D734" t="s">
        <v>2481</v>
      </c>
      <c r="E734" t="s">
        <v>1236</v>
      </c>
      <c r="G734" t="str">
        <f>_xlfn.XLOOKUP(frasest[[#This Row],[author_es]],autorest[author_es],autorest[author_la])</f>
        <v>Sententia Vasconica</v>
      </c>
      <c r="H734" t="str">
        <f>_xlfn.XLOOKUP(frasest[[#This Row],[author_es]],autorest[author_es],autorest[bio_es])</f>
        <v>Proverbios de la tradición oral vasca que reflejan la relación con la naturaleza, el trabajo y los valores comunitarios del pueblo vasco.</v>
      </c>
      <c r="I734" t="str">
        <f>_xlfn.XLOOKUP(frasest[[#This Row],[author_es]],autorest[author_es],autorest[bio_la])</f>
        <v>Collectio sententiarum Vasconicarum.</v>
      </c>
      <c r="J734" t="str">
        <f>_xlfn.XLOOKUP(frasest[[#This Row],[author_es]],autorest[author_es],autorest[iso3691])</f>
        <v>eu</v>
      </c>
      <c r="K734" t="str">
        <f>_xlfn.XLOOKUP(frasest[[#This Row],[author_es]],autorest[author_es],autorest[language_es])</f>
        <v>Euskara</v>
      </c>
      <c r="L734" t="str">
        <f>_xlfn.XLOOKUP(frasest[[#This Row],[author_es]],autorest[author_es],autorest[language_la])</f>
        <v>Lingua Vasconica</v>
      </c>
      <c r="M734" t="str">
        <f>_xlfn.XLOOKUP(frasest[[#This Row],[author_es]],autorest[author_es],autorest[nation_es])</f>
        <v>España</v>
      </c>
      <c r="N734" t="str">
        <f>_xlfn.XLOOKUP(frasest[[#This Row],[author_es]],autorest[author_es],autorest[nation_la])</f>
        <v>Hispania</v>
      </c>
      <c r="O734" t="str">
        <f>_xlfn.XLOOKUP(frasest[[#This Row],[author_es]],autorest[author_es],autorest[age_es])</f>
        <v>Epoca Desconocida</v>
      </c>
      <c r="P734" t="str">
        <f>_xlfn.XLOOKUP(frasest[[#This Row],[author_es]],autorest[author_es],autorest[age_la])</f>
        <v>Epocha Ignota</v>
      </c>
      <c r="Q734" t="str">
        <f>_xlfn.XLOOKUP(frasest[[#This Row],[author_es]],autorest[author_es],autorest[image])</f>
        <v>https://i.ibb.co/bjgxB3kn/euskadi.png</v>
      </c>
      <c r="R734">
        <f>_xlfn.XLOOKUP(frasest[[#This Row],[author_es]],autorest[author_es],autorest[image_atr])</f>
        <v>0</v>
      </c>
    </row>
    <row r="735" spans="1:18">
      <c r="A735">
        <v>734</v>
      </c>
      <c r="B735" t="s">
        <v>2482</v>
      </c>
      <c r="C735" t="s">
        <v>2483</v>
      </c>
      <c r="D735" t="s">
        <v>2484</v>
      </c>
      <c r="E735" t="s">
        <v>1236</v>
      </c>
      <c r="G735" t="str">
        <f>_xlfn.XLOOKUP(frasest[[#This Row],[author_es]],autorest[author_es],autorest[author_la])</f>
        <v>Sententia Vasconica</v>
      </c>
      <c r="H735" t="str">
        <f>_xlfn.XLOOKUP(frasest[[#This Row],[author_es]],autorest[author_es],autorest[bio_es])</f>
        <v>Proverbios de la tradición oral vasca que reflejan la relación con la naturaleza, el trabajo y los valores comunitarios del pueblo vasco.</v>
      </c>
      <c r="I735" t="str">
        <f>_xlfn.XLOOKUP(frasest[[#This Row],[author_es]],autorest[author_es],autorest[bio_la])</f>
        <v>Collectio sententiarum Vasconicarum.</v>
      </c>
      <c r="J735" t="str">
        <f>_xlfn.XLOOKUP(frasest[[#This Row],[author_es]],autorest[author_es],autorest[iso3691])</f>
        <v>eu</v>
      </c>
      <c r="K735" t="str">
        <f>_xlfn.XLOOKUP(frasest[[#This Row],[author_es]],autorest[author_es],autorest[language_es])</f>
        <v>Euskara</v>
      </c>
      <c r="L735" t="str">
        <f>_xlfn.XLOOKUP(frasest[[#This Row],[author_es]],autorest[author_es],autorest[language_la])</f>
        <v>Lingua Vasconica</v>
      </c>
      <c r="M735" t="str">
        <f>_xlfn.XLOOKUP(frasest[[#This Row],[author_es]],autorest[author_es],autorest[nation_es])</f>
        <v>España</v>
      </c>
      <c r="N735" t="str">
        <f>_xlfn.XLOOKUP(frasest[[#This Row],[author_es]],autorest[author_es],autorest[nation_la])</f>
        <v>Hispania</v>
      </c>
      <c r="O735" t="str">
        <f>_xlfn.XLOOKUP(frasest[[#This Row],[author_es]],autorest[author_es],autorest[age_es])</f>
        <v>Epoca Desconocida</v>
      </c>
      <c r="P735" t="str">
        <f>_xlfn.XLOOKUP(frasest[[#This Row],[author_es]],autorest[author_es],autorest[age_la])</f>
        <v>Epocha Ignota</v>
      </c>
      <c r="Q735" t="str">
        <f>_xlfn.XLOOKUP(frasest[[#This Row],[author_es]],autorest[author_es],autorest[image])</f>
        <v>https://i.ibb.co/bjgxB3kn/euskadi.png</v>
      </c>
      <c r="R735">
        <f>_xlfn.XLOOKUP(frasest[[#This Row],[author_es]],autorest[author_es],autorest[image_atr])</f>
        <v>0</v>
      </c>
    </row>
    <row r="736" spans="1:18">
      <c r="A736">
        <v>735</v>
      </c>
      <c r="B736" t="s">
        <v>2485</v>
      </c>
      <c r="C736" t="s">
        <v>2486</v>
      </c>
      <c r="D736" t="s">
        <v>2487</v>
      </c>
      <c r="E736" t="s">
        <v>1236</v>
      </c>
      <c r="G736" t="str">
        <f>_xlfn.XLOOKUP(frasest[[#This Row],[author_es]],autorest[author_es],autorest[author_la])</f>
        <v>Sententia Vasconica</v>
      </c>
      <c r="H736" t="str">
        <f>_xlfn.XLOOKUP(frasest[[#This Row],[author_es]],autorest[author_es],autorest[bio_es])</f>
        <v>Proverbios de la tradición oral vasca que reflejan la relación con la naturaleza, el trabajo y los valores comunitarios del pueblo vasco.</v>
      </c>
      <c r="I736" t="str">
        <f>_xlfn.XLOOKUP(frasest[[#This Row],[author_es]],autorest[author_es],autorest[bio_la])</f>
        <v>Collectio sententiarum Vasconicarum.</v>
      </c>
      <c r="J736" t="str">
        <f>_xlfn.XLOOKUP(frasest[[#This Row],[author_es]],autorest[author_es],autorest[iso3691])</f>
        <v>eu</v>
      </c>
      <c r="K736" t="str">
        <f>_xlfn.XLOOKUP(frasest[[#This Row],[author_es]],autorest[author_es],autorest[language_es])</f>
        <v>Euskara</v>
      </c>
      <c r="L736" t="str">
        <f>_xlfn.XLOOKUP(frasest[[#This Row],[author_es]],autorest[author_es],autorest[language_la])</f>
        <v>Lingua Vasconica</v>
      </c>
      <c r="M736" t="str">
        <f>_xlfn.XLOOKUP(frasest[[#This Row],[author_es]],autorest[author_es],autorest[nation_es])</f>
        <v>España</v>
      </c>
      <c r="N736" t="str">
        <f>_xlfn.XLOOKUP(frasest[[#This Row],[author_es]],autorest[author_es],autorest[nation_la])</f>
        <v>Hispania</v>
      </c>
      <c r="O736" t="str">
        <f>_xlfn.XLOOKUP(frasest[[#This Row],[author_es]],autorest[author_es],autorest[age_es])</f>
        <v>Epoca Desconocida</v>
      </c>
      <c r="P736" t="str">
        <f>_xlfn.XLOOKUP(frasest[[#This Row],[author_es]],autorest[author_es],autorest[age_la])</f>
        <v>Epocha Ignota</v>
      </c>
      <c r="Q736" t="str">
        <f>_xlfn.XLOOKUP(frasest[[#This Row],[author_es]],autorest[author_es],autorest[image])</f>
        <v>https://i.ibb.co/bjgxB3kn/euskadi.png</v>
      </c>
      <c r="R736">
        <f>_xlfn.XLOOKUP(frasest[[#This Row],[author_es]],autorest[author_es],autorest[image_atr])</f>
        <v>0</v>
      </c>
    </row>
    <row r="737" spans="1:18">
      <c r="A737">
        <v>736</v>
      </c>
      <c r="B737" t="s">
        <v>2488</v>
      </c>
      <c r="C737" t="s">
        <v>2489</v>
      </c>
      <c r="D737" t="s">
        <v>2490</v>
      </c>
      <c r="E737" t="s">
        <v>1236</v>
      </c>
      <c r="G737" t="str">
        <f>_xlfn.XLOOKUP(frasest[[#This Row],[author_es]],autorest[author_es],autorest[author_la])</f>
        <v>Sententia Vasconica</v>
      </c>
      <c r="H737" t="str">
        <f>_xlfn.XLOOKUP(frasest[[#This Row],[author_es]],autorest[author_es],autorest[bio_es])</f>
        <v>Proverbios de la tradición oral vasca que reflejan la relación con la naturaleza, el trabajo y los valores comunitarios del pueblo vasco.</v>
      </c>
      <c r="I737" t="str">
        <f>_xlfn.XLOOKUP(frasest[[#This Row],[author_es]],autorest[author_es],autorest[bio_la])</f>
        <v>Collectio sententiarum Vasconicarum.</v>
      </c>
      <c r="J737" t="str">
        <f>_xlfn.XLOOKUP(frasest[[#This Row],[author_es]],autorest[author_es],autorest[iso3691])</f>
        <v>eu</v>
      </c>
      <c r="K737" t="str">
        <f>_xlfn.XLOOKUP(frasest[[#This Row],[author_es]],autorest[author_es],autorest[language_es])</f>
        <v>Euskara</v>
      </c>
      <c r="L737" t="str">
        <f>_xlfn.XLOOKUP(frasest[[#This Row],[author_es]],autorest[author_es],autorest[language_la])</f>
        <v>Lingua Vasconica</v>
      </c>
      <c r="M737" t="str">
        <f>_xlfn.XLOOKUP(frasest[[#This Row],[author_es]],autorest[author_es],autorest[nation_es])</f>
        <v>España</v>
      </c>
      <c r="N737" t="str">
        <f>_xlfn.XLOOKUP(frasest[[#This Row],[author_es]],autorest[author_es],autorest[nation_la])</f>
        <v>Hispania</v>
      </c>
      <c r="O737" t="str">
        <f>_xlfn.XLOOKUP(frasest[[#This Row],[author_es]],autorest[author_es],autorest[age_es])</f>
        <v>Epoca Desconocida</v>
      </c>
      <c r="P737" t="str">
        <f>_xlfn.XLOOKUP(frasest[[#This Row],[author_es]],autorest[author_es],autorest[age_la])</f>
        <v>Epocha Ignota</v>
      </c>
      <c r="Q737" t="str">
        <f>_xlfn.XLOOKUP(frasest[[#This Row],[author_es]],autorest[author_es],autorest[image])</f>
        <v>https://i.ibb.co/bjgxB3kn/euskadi.png</v>
      </c>
      <c r="R737">
        <f>_xlfn.XLOOKUP(frasest[[#This Row],[author_es]],autorest[author_es],autorest[image_atr])</f>
        <v>0</v>
      </c>
    </row>
    <row r="738" spans="1:18">
      <c r="A738">
        <v>737</v>
      </c>
      <c r="B738" t="s">
        <v>2491</v>
      </c>
      <c r="C738" t="s">
        <v>2492</v>
      </c>
      <c r="D738" t="s">
        <v>2493</v>
      </c>
      <c r="E738" t="s">
        <v>1236</v>
      </c>
      <c r="G738" t="str">
        <f>_xlfn.XLOOKUP(frasest[[#This Row],[author_es]],autorest[author_es],autorest[author_la])</f>
        <v>Sententia Vasconica</v>
      </c>
      <c r="H738" t="str">
        <f>_xlfn.XLOOKUP(frasest[[#This Row],[author_es]],autorest[author_es],autorest[bio_es])</f>
        <v>Proverbios de la tradición oral vasca que reflejan la relación con la naturaleza, el trabajo y los valores comunitarios del pueblo vasco.</v>
      </c>
      <c r="I738" t="str">
        <f>_xlfn.XLOOKUP(frasest[[#This Row],[author_es]],autorest[author_es],autorest[bio_la])</f>
        <v>Collectio sententiarum Vasconicarum.</v>
      </c>
      <c r="J738" t="str">
        <f>_xlfn.XLOOKUP(frasest[[#This Row],[author_es]],autorest[author_es],autorest[iso3691])</f>
        <v>eu</v>
      </c>
      <c r="K738" t="str">
        <f>_xlfn.XLOOKUP(frasest[[#This Row],[author_es]],autorest[author_es],autorest[language_es])</f>
        <v>Euskara</v>
      </c>
      <c r="L738" t="str">
        <f>_xlfn.XLOOKUP(frasest[[#This Row],[author_es]],autorest[author_es],autorest[language_la])</f>
        <v>Lingua Vasconica</v>
      </c>
      <c r="M738" t="str">
        <f>_xlfn.XLOOKUP(frasest[[#This Row],[author_es]],autorest[author_es],autorest[nation_es])</f>
        <v>España</v>
      </c>
      <c r="N738" t="str">
        <f>_xlfn.XLOOKUP(frasest[[#This Row],[author_es]],autorest[author_es],autorest[nation_la])</f>
        <v>Hispania</v>
      </c>
      <c r="O738" t="str">
        <f>_xlfn.XLOOKUP(frasest[[#This Row],[author_es]],autorest[author_es],autorest[age_es])</f>
        <v>Epoca Desconocida</v>
      </c>
      <c r="P738" t="str">
        <f>_xlfn.XLOOKUP(frasest[[#This Row],[author_es]],autorest[author_es],autorest[age_la])</f>
        <v>Epocha Ignota</v>
      </c>
      <c r="Q738" t="str">
        <f>_xlfn.XLOOKUP(frasest[[#This Row],[author_es]],autorest[author_es],autorest[image])</f>
        <v>https://i.ibb.co/bjgxB3kn/euskadi.png</v>
      </c>
      <c r="R738">
        <f>_xlfn.XLOOKUP(frasest[[#This Row],[author_es]],autorest[author_es],autorest[image_atr])</f>
        <v>0</v>
      </c>
    </row>
    <row r="739" spans="1:18">
      <c r="A739">
        <v>738</v>
      </c>
      <c r="B739" t="s">
        <v>2494</v>
      </c>
      <c r="C739" t="s">
        <v>2495</v>
      </c>
      <c r="D739" t="s">
        <v>2496</v>
      </c>
      <c r="E739" t="s">
        <v>1236</v>
      </c>
      <c r="G739" t="str">
        <f>_xlfn.XLOOKUP(frasest[[#This Row],[author_es]],autorest[author_es],autorest[author_la])</f>
        <v>Sententia Vasconica</v>
      </c>
      <c r="H739" t="str">
        <f>_xlfn.XLOOKUP(frasest[[#This Row],[author_es]],autorest[author_es],autorest[bio_es])</f>
        <v>Proverbios de la tradición oral vasca que reflejan la relación con la naturaleza, el trabajo y los valores comunitarios del pueblo vasco.</v>
      </c>
      <c r="I739" t="str">
        <f>_xlfn.XLOOKUP(frasest[[#This Row],[author_es]],autorest[author_es],autorest[bio_la])</f>
        <v>Collectio sententiarum Vasconicarum.</v>
      </c>
      <c r="J739" t="str">
        <f>_xlfn.XLOOKUP(frasest[[#This Row],[author_es]],autorest[author_es],autorest[iso3691])</f>
        <v>eu</v>
      </c>
      <c r="K739" t="str">
        <f>_xlfn.XLOOKUP(frasest[[#This Row],[author_es]],autorest[author_es],autorest[language_es])</f>
        <v>Euskara</v>
      </c>
      <c r="L739" t="str">
        <f>_xlfn.XLOOKUP(frasest[[#This Row],[author_es]],autorest[author_es],autorest[language_la])</f>
        <v>Lingua Vasconica</v>
      </c>
      <c r="M739" t="str">
        <f>_xlfn.XLOOKUP(frasest[[#This Row],[author_es]],autorest[author_es],autorest[nation_es])</f>
        <v>España</v>
      </c>
      <c r="N739" t="str">
        <f>_xlfn.XLOOKUP(frasest[[#This Row],[author_es]],autorest[author_es],autorest[nation_la])</f>
        <v>Hispania</v>
      </c>
      <c r="O739" t="str">
        <f>_xlfn.XLOOKUP(frasest[[#This Row],[author_es]],autorest[author_es],autorest[age_es])</f>
        <v>Epoca Desconocida</v>
      </c>
      <c r="P739" t="str">
        <f>_xlfn.XLOOKUP(frasest[[#This Row],[author_es]],autorest[author_es],autorest[age_la])</f>
        <v>Epocha Ignota</v>
      </c>
      <c r="Q739" t="str">
        <f>_xlfn.XLOOKUP(frasest[[#This Row],[author_es]],autorest[author_es],autorest[image])</f>
        <v>https://i.ibb.co/bjgxB3kn/euskadi.png</v>
      </c>
      <c r="R739">
        <f>_xlfn.XLOOKUP(frasest[[#This Row],[author_es]],autorest[author_es],autorest[image_atr])</f>
        <v>0</v>
      </c>
    </row>
    <row r="740" spans="1:18">
      <c r="A740">
        <v>739</v>
      </c>
      <c r="B740" t="s">
        <v>2497</v>
      </c>
      <c r="C740" t="s">
        <v>2498</v>
      </c>
      <c r="D740" t="s">
        <v>2499</v>
      </c>
      <c r="E740" t="s">
        <v>1236</v>
      </c>
      <c r="G740" t="str">
        <f>_xlfn.XLOOKUP(frasest[[#This Row],[author_es]],autorest[author_es],autorest[author_la])</f>
        <v>Sententia Vasconica</v>
      </c>
      <c r="H740" t="str">
        <f>_xlfn.XLOOKUP(frasest[[#This Row],[author_es]],autorest[author_es],autorest[bio_es])</f>
        <v>Proverbios de la tradición oral vasca que reflejan la relación con la naturaleza, el trabajo y los valores comunitarios del pueblo vasco.</v>
      </c>
      <c r="I740" t="str">
        <f>_xlfn.XLOOKUP(frasest[[#This Row],[author_es]],autorest[author_es],autorest[bio_la])</f>
        <v>Collectio sententiarum Vasconicarum.</v>
      </c>
      <c r="J740" t="str">
        <f>_xlfn.XLOOKUP(frasest[[#This Row],[author_es]],autorest[author_es],autorest[iso3691])</f>
        <v>eu</v>
      </c>
      <c r="K740" t="str">
        <f>_xlfn.XLOOKUP(frasest[[#This Row],[author_es]],autorest[author_es],autorest[language_es])</f>
        <v>Euskara</v>
      </c>
      <c r="L740" t="str">
        <f>_xlfn.XLOOKUP(frasest[[#This Row],[author_es]],autorest[author_es],autorest[language_la])</f>
        <v>Lingua Vasconica</v>
      </c>
      <c r="M740" t="str">
        <f>_xlfn.XLOOKUP(frasest[[#This Row],[author_es]],autorest[author_es],autorest[nation_es])</f>
        <v>España</v>
      </c>
      <c r="N740" t="str">
        <f>_xlfn.XLOOKUP(frasest[[#This Row],[author_es]],autorest[author_es],autorest[nation_la])</f>
        <v>Hispania</v>
      </c>
      <c r="O740" t="str">
        <f>_xlfn.XLOOKUP(frasest[[#This Row],[author_es]],autorest[author_es],autorest[age_es])</f>
        <v>Epoca Desconocida</v>
      </c>
      <c r="P740" t="str">
        <f>_xlfn.XLOOKUP(frasest[[#This Row],[author_es]],autorest[author_es],autorest[age_la])</f>
        <v>Epocha Ignota</v>
      </c>
      <c r="Q740" t="str">
        <f>_xlfn.XLOOKUP(frasest[[#This Row],[author_es]],autorest[author_es],autorest[image])</f>
        <v>https://i.ibb.co/bjgxB3kn/euskadi.png</v>
      </c>
      <c r="R740">
        <f>_xlfn.XLOOKUP(frasest[[#This Row],[author_es]],autorest[author_es],autorest[image_atr])</f>
        <v>0</v>
      </c>
    </row>
    <row r="741" spans="1:18">
      <c r="A741">
        <v>740</v>
      </c>
      <c r="B741" t="s">
        <v>2500</v>
      </c>
      <c r="C741" t="s">
        <v>2501</v>
      </c>
      <c r="D741" t="s">
        <v>2502</v>
      </c>
      <c r="E741" t="s">
        <v>1236</v>
      </c>
      <c r="G741" t="str">
        <f>_xlfn.XLOOKUP(frasest[[#This Row],[author_es]],autorest[author_es],autorest[author_la])</f>
        <v>Sententia Vasconica</v>
      </c>
      <c r="H741" t="str">
        <f>_xlfn.XLOOKUP(frasest[[#This Row],[author_es]],autorest[author_es],autorest[bio_es])</f>
        <v>Proverbios de la tradición oral vasca que reflejan la relación con la naturaleza, el trabajo y los valores comunitarios del pueblo vasco.</v>
      </c>
      <c r="I741" t="str">
        <f>_xlfn.XLOOKUP(frasest[[#This Row],[author_es]],autorest[author_es],autorest[bio_la])</f>
        <v>Collectio sententiarum Vasconicarum.</v>
      </c>
      <c r="J741" t="str">
        <f>_xlfn.XLOOKUP(frasest[[#This Row],[author_es]],autorest[author_es],autorest[iso3691])</f>
        <v>eu</v>
      </c>
      <c r="K741" t="str">
        <f>_xlfn.XLOOKUP(frasest[[#This Row],[author_es]],autorest[author_es],autorest[language_es])</f>
        <v>Euskara</v>
      </c>
      <c r="L741" t="str">
        <f>_xlfn.XLOOKUP(frasest[[#This Row],[author_es]],autorest[author_es],autorest[language_la])</f>
        <v>Lingua Vasconica</v>
      </c>
      <c r="M741" t="str">
        <f>_xlfn.XLOOKUP(frasest[[#This Row],[author_es]],autorest[author_es],autorest[nation_es])</f>
        <v>España</v>
      </c>
      <c r="N741" t="str">
        <f>_xlfn.XLOOKUP(frasest[[#This Row],[author_es]],autorest[author_es],autorest[nation_la])</f>
        <v>Hispania</v>
      </c>
      <c r="O741" t="str">
        <f>_xlfn.XLOOKUP(frasest[[#This Row],[author_es]],autorest[author_es],autorest[age_es])</f>
        <v>Epoca Desconocida</v>
      </c>
      <c r="P741" t="str">
        <f>_xlfn.XLOOKUP(frasest[[#This Row],[author_es]],autorest[author_es],autorest[age_la])</f>
        <v>Epocha Ignota</v>
      </c>
      <c r="Q741" t="str">
        <f>_xlfn.XLOOKUP(frasest[[#This Row],[author_es]],autorest[author_es],autorest[image])</f>
        <v>https://i.ibb.co/bjgxB3kn/euskadi.png</v>
      </c>
      <c r="R741">
        <f>_xlfn.XLOOKUP(frasest[[#This Row],[author_es]],autorest[author_es],autorest[image_atr])</f>
        <v>0</v>
      </c>
    </row>
    <row r="742" spans="1:18">
      <c r="A742">
        <v>741</v>
      </c>
      <c r="B742" t="s">
        <v>2503</v>
      </c>
      <c r="C742" t="s">
        <v>2504</v>
      </c>
      <c r="D742" t="s">
        <v>2505</v>
      </c>
      <c r="E742" t="s">
        <v>1236</v>
      </c>
      <c r="G742" t="str">
        <f>_xlfn.XLOOKUP(frasest[[#This Row],[author_es]],autorest[author_es],autorest[author_la])</f>
        <v>Sententia Vasconica</v>
      </c>
      <c r="H742" t="str">
        <f>_xlfn.XLOOKUP(frasest[[#This Row],[author_es]],autorest[author_es],autorest[bio_es])</f>
        <v>Proverbios de la tradición oral vasca que reflejan la relación con la naturaleza, el trabajo y los valores comunitarios del pueblo vasco.</v>
      </c>
      <c r="I742" t="str">
        <f>_xlfn.XLOOKUP(frasest[[#This Row],[author_es]],autorest[author_es],autorest[bio_la])</f>
        <v>Collectio sententiarum Vasconicarum.</v>
      </c>
      <c r="J742" t="str">
        <f>_xlfn.XLOOKUP(frasest[[#This Row],[author_es]],autorest[author_es],autorest[iso3691])</f>
        <v>eu</v>
      </c>
      <c r="K742" t="str">
        <f>_xlfn.XLOOKUP(frasest[[#This Row],[author_es]],autorest[author_es],autorest[language_es])</f>
        <v>Euskara</v>
      </c>
      <c r="L742" t="str">
        <f>_xlfn.XLOOKUP(frasest[[#This Row],[author_es]],autorest[author_es],autorest[language_la])</f>
        <v>Lingua Vasconica</v>
      </c>
      <c r="M742" t="str">
        <f>_xlfn.XLOOKUP(frasest[[#This Row],[author_es]],autorest[author_es],autorest[nation_es])</f>
        <v>España</v>
      </c>
      <c r="N742" t="str">
        <f>_xlfn.XLOOKUP(frasest[[#This Row],[author_es]],autorest[author_es],autorest[nation_la])</f>
        <v>Hispania</v>
      </c>
      <c r="O742" t="str">
        <f>_xlfn.XLOOKUP(frasest[[#This Row],[author_es]],autorest[author_es],autorest[age_es])</f>
        <v>Epoca Desconocida</v>
      </c>
      <c r="P742" t="str">
        <f>_xlfn.XLOOKUP(frasest[[#This Row],[author_es]],autorest[author_es],autorest[age_la])</f>
        <v>Epocha Ignota</v>
      </c>
      <c r="Q742" t="str">
        <f>_xlfn.XLOOKUP(frasest[[#This Row],[author_es]],autorest[author_es],autorest[image])</f>
        <v>https://i.ibb.co/bjgxB3kn/euskadi.png</v>
      </c>
      <c r="R742">
        <f>_xlfn.XLOOKUP(frasest[[#This Row],[author_es]],autorest[author_es],autorest[image_atr])</f>
        <v>0</v>
      </c>
    </row>
    <row r="743" spans="1:18">
      <c r="A743">
        <v>742</v>
      </c>
      <c r="B743" t="s">
        <v>2506</v>
      </c>
      <c r="C743" t="s">
        <v>2507</v>
      </c>
      <c r="D743" t="s">
        <v>2508</v>
      </c>
      <c r="E743" t="s">
        <v>1236</v>
      </c>
      <c r="G743" t="str">
        <f>_xlfn.XLOOKUP(frasest[[#This Row],[author_es]],autorest[author_es],autorest[author_la])</f>
        <v>Sententia Vasconica</v>
      </c>
      <c r="H743" t="str">
        <f>_xlfn.XLOOKUP(frasest[[#This Row],[author_es]],autorest[author_es],autorest[bio_es])</f>
        <v>Proverbios de la tradición oral vasca que reflejan la relación con la naturaleza, el trabajo y los valores comunitarios del pueblo vasco.</v>
      </c>
      <c r="I743" t="str">
        <f>_xlfn.XLOOKUP(frasest[[#This Row],[author_es]],autorest[author_es],autorest[bio_la])</f>
        <v>Collectio sententiarum Vasconicarum.</v>
      </c>
      <c r="J743" t="str">
        <f>_xlfn.XLOOKUP(frasest[[#This Row],[author_es]],autorest[author_es],autorest[iso3691])</f>
        <v>eu</v>
      </c>
      <c r="K743" t="str">
        <f>_xlfn.XLOOKUP(frasest[[#This Row],[author_es]],autorest[author_es],autorest[language_es])</f>
        <v>Euskara</v>
      </c>
      <c r="L743" t="str">
        <f>_xlfn.XLOOKUP(frasest[[#This Row],[author_es]],autorest[author_es],autorest[language_la])</f>
        <v>Lingua Vasconica</v>
      </c>
      <c r="M743" t="str">
        <f>_xlfn.XLOOKUP(frasest[[#This Row],[author_es]],autorest[author_es],autorest[nation_es])</f>
        <v>España</v>
      </c>
      <c r="N743" t="str">
        <f>_xlfn.XLOOKUP(frasest[[#This Row],[author_es]],autorest[author_es],autorest[nation_la])</f>
        <v>Hispania</v>
      </c>
      <c r="O743" t="str">
        <f>_xlfn.XLOOKUP(frasest[[#This Row],[author_es]],autorest[author_es],autorest[age_es])</f>
        <v>Epoca Desconocida</v>
      </c>
      <c r="P743" t="str">
        <f>_xlfn.XLOOKUP(frasest[[#This Row],[author_es]],autorest[author_es],autorest[age_la])</f>
        <v>Epocha Ignota</v>
      </c>
      <c r="Q743" t="str">
        <f>_xlfn.XLOOKUP(frasest[[#This Row],[author_es]],autorest[author_es],autorest[image])</f>
        <v>https://i.ibb.co/bjgxB3kn/euskadi.png</v>
      </c>
      <c r="R743">
        <f>_xlfn.XLOOKUP(frasest[[#This Row],[author_es]],autorest[author_es],autorest[image_atr])</f>
        <v>0</v>
      </c>
    </row>
    <row r="744" spans="1:18">
      <c r="A744">
        <v>743</v>
      </c>
      <c r="B744" t="s">
        <v>2509</v>
      </c>
      <c r="C744" t="s">
        <v>2510</v>
      </c>
      <c r="D744" t="s">
        <v>2511</v>
      </c>
      <c r="E744" t="s">
        <v>1236</v>
      </c>
      <c r="G744" t="str">
        <f>_xlfn.XLOOKUP(frasest[[#This Row],[author_es]],autorest[author_es],autorest[author_la])</f>
        <v>Sententia Vasconica</v>
      </c>
      <c r="H744" t="str">
        <f>_xlfn.XLOOKUP(frasest[[#This Row],[author_es]],autorest[author_es],autorest[bio_es])</f>
        <v>Proverbios de la tradición oral vasca que reflejan la relación con la naturaleza, el trabajo y los valores comunitarios del pueblo vasco.</v>
      </c>
      <c r="I744" t="str">
        <f>_xlfn.XLOOKUP(frasest[[#This Row],[author_es]],autorest[author_es],autorest[bio_la])</f>
        <v>Collectio sententiarum Vasconicarum.</v>
      </c>
      <c r="J744" t="str">
        <f>_xlfn.XLOOKUP(frasest[[#This Row],[author_es]],autorest[author_es],autorest[iso3691])</f>
        <v>eu</v>
      </c>
      <c r="K744" t="str">
        <f>_xlfn.XLOOKUP(frasest[[#This Row],[author_es]],autorest[author_es],autorest[language_es])</f>
        <v>Euskara</v>
      </c>
      <c r="L744" t="str">
        <f>_xlfn.XLOOKUP(frasest[[#This Row],[author_es]],autorest[author_es],autorest[language_la])</f>
        <v>Lingua Vasconica</v>
      </c>
      <c r="M744" t="str">
        <f>_xlfn.XLOOKUP(frasest[[#This Row],[author_es]],autorest[author_es],autorest[nation_es])</f>
        <v>España</v>
      </c>
      <c r="N744" t="str">
        <f>_xlfn.XLOOKUP(frasest[[#This Row],[author_es]],autorest[author_es],autorest[nation_la])</f>
        <v>Hispania</v>
      </c>
      <c r="O744" t="str">
        <f>_xlfn.XLOOKUP(frasest[[#This Row],[author_es]],autorest[author_es],autorest[age_es])</f>
        <v>Epoca Desconocida</v>
      </c>
      <c r="P744" t="str">
        <f>_xlfn.XLOOKUP(frasest[[#This Row],[author_es]],autorest[author_es],autorest[age_la])</f>
        <v>Epocha Ignota</v>
      </c>
      <c r="Q744" t="str">
        <f>_xlfn.XLOOKUP(frasest[[#This Row],[author_es]],autorest[author_es],autorest[image])</f>
        <v>https://i.ibb.co/bjgxB3kn/euskadi.png</v>
      </c>
      <c r="R744">
        <f>_xlfn.XLOOKUP(frasest[[#This Row],[author_es]],autorest[author_es],autorest[image_atr])</f>
        <v>0</v>
      </c>
    </row>
    <row r="745" spans="1:18">
      <c r="A745">
        <v>744</v>
      </c>
      <c r="B745" t="s">
        <v>2512</v>
      </c>
      <c r="C745" t="s">
        <v>2513</v>
      </c>
      <c r="D745" t="s">
        <v>2514</v>
      </c>
      <c r="E745" t="s">
        <v>1236</v>
      </c>
      <c r="G745" t="str">
        <f>_xlfn.XLOOKUP(frasest[[#This Row],[author_es]],autorest[author_es],autorest[author_la])</f>
        <v>Sententia Vasconica</v>
      </c>
      <c r="H745" t="str">
        <f>_xlfn.XLOOKUP(frasest[[#This Row],[author_es]],autorest[author_es],autorest[bio_es])</f>
        <v>Proverbios de la tradición oral vasca que reflejan la relación con la naturaleza, el trabajo y los valores comunitarios del pueblo vasco.</v>
      </c>
      <c r="I745" t="str">
        <f>_xlfn.XLOOKUP(frasest[[#This Row],[author_es]],autorest[author_es],autorest[bio_la])</f>
        <v>Collectio sententiarum Vasconicarum.</v>
      </c>
      <c r="J745" t="str">
        <f>_xlfn.XLOOKUP(frasest[[#This Row],[author_es]],autorest[author_es],autorest[iso3691])</f>
        <v>eu</v>
      </c>
      <c r="K745" t="str">
        <f>_xlfn.XLOOKUP(frasest[[#This Row],[author_es]],autorest[author_es],autorest[language_es])</f>
        <v>Euskara</v>
      </c>
      <c r="L745" t="str">
        <f>_xlfn.XLOOKUP(frasest[[#This Row],[author_es]],autorest[author_es],autorest[language_la])</f>
        <v>Lingua Vasconica</v>
      </c>
      <c r="M745" t="str">
        <f>_xlfn.XLOOKUP(frasest[[#This Row],[author_es]],autorest[author_es],autorest[nation_es])</f>
        <v>España</v>
      </c>
      <c r="N745" t="str">
        <f>_xlfn.XLOOKUP(frasest[[#This Row],[author_es]],autorest[author_es],autorest[nation_la])</f>
        <v>Hispania</v>
      </c>
      <c r="O745" t="str">
        <f>_xlfn.XLOOKUP(frasest[[#This Row],[author_es]],autorest[author_es],autorest[age_es])</f>
        <v>Epoca Desconocida</v>
      </c>
      <c r="P745" t="str">
        <f>_xlfn.XLOOKUP(frasest[[#This Row],[author_es]],autorest[author_es],autorest[age_la])</f>
        <v>Epocha Ignota</v>
      </c>
      <c r="Q745" t="str">
        <f>_xlfn.XLOOKUP(frasest[[#This Row],[author_es]],autorest[author_es],autorest[image])</f>
        <v>https://i.ibb.co/bjgxB3kn/euskadi.png</v>
      </c>
      <c r="R745">
        <f>_xlfn.XLOOKUP(frasest[[#This Row],[author_es]],autorest[author_es],autorest[image_atr])</f>
        <v>0</v>
      </c>
    </row>
    <row r="746" spans="1:18">
      <c r="A746">
        <v>745</v>
      </c>
      <c r="B746" t="s">
        <v>2515</v>
      </c>
      <c r="C746" t="s">
        <v>2516</v>
      </c>
      <c r="D746" t="s">
        <v>2517</v>
      </c>
      <c r="E746" t="s">
        <v>1236</v>
      </c>
      <c r="G746" t="str">
        <f>_xlfn.XLOOKUP(frasest[[#This Row],[author_es]],autorest[author_es],autorest[author_la])</f>
        <v>Sententia Vasconica</v>
      </c>
      <c r="H746" t="str">
        <f>_xlfn.XLOOKUP(frasest[[#This Row],[author_es]],autorest[author_es],autorest[bio_es])</f>
        <v>Proverbios de la tradición oral vasca que reflejan la relación con la naturaleza, el trabajo y los valores comunitarios del pueblo vasco.</v>
      </c>
      <c r="I746" t="str">
        <f>_xlfn.XLOOKUP(frasest[[#This Row],[author_es]],autorest[author_es],autorest[bio_la])</f>
        <v>Collectio sententiarum Vasconicarum.</v>
      </c>
      <c r="J746" t="str">
        <f>_xlfn.XLOOKUP(frasest[[#This Row],[author_es]],autorest[author_es],autorest[iso3691])</f>
        <v>eu</v>
      </c>
      <c r="K746" t="str">
        <f>_xlfn.XLOOKUP(frasest[[#This Row],[author_es]],autorest[author_es],autorest[language_es])</f>
        <v>Euskara</v>
      </c>
      <c r="L746" t="str">
        <f>_xlfn.XLOOKUP(frasest[[#This Row],[author_es]],autorest[author_es],autorest[language_la])</f>
        <v>Lingua Vasconica</v>
      </c>
      <c r="M746" t="str">
        <f>_xlfn.XLOOKUP(frasest[[#This Row],[author_es]],autorest[author_es],autorest[nation_es])</f>
        <v>España</v>
      </c>
      <c r="N746" t="str">
        <f>_xlfn.XLOOKUP(frasest[[#This Row],[author_es]],autorest[author_es],autorest[nation_la])</f>
        <v>Hispania</v>
      </c>
      <c r="O746" t="str">
        <f>_xlfn.XLOOKUP(frasest[[#This Row],[author_es]],autorest[author_es],autorest[age_es])</f>
        <v>Epoca Desconocida</v>
      </c>
      <c r="P746" t="str">
        <f>_xlfn.XLOOKUP(frasest[[#This Row],[author_es]],autorest[author_es],autorest[age_la])</f>
        <v>Epocha Ignota</v>
      </c>
      <c r="Q746" t="str">
        <f>_xlfn.XLOOKUP(frasest[[#This Row],[author_es]],autorest[author_es],autorest[image])</f>
        <v>https://i.ibb.co/bjgxB3kn/euskadi.png</v>
      </c>
      <c r="R746">
        <f>_xlfn.XLOOKUP(frasest[[#This Row],[author_es]],autorest[author_es],autorest[image_atr])</f>
        <v>0</v>
      </c>
    </row>
    <row r="747" spans="1:18">
      <c r="A747">
        <v>746</v>
      </c>
      <c r="B747" t="s">
        <v>2518</v>
      </c>
      <c r="C747" t="s">
        <v>2519</v>
      </c>
      <c r="D747" t="s">
        <v>2520</v>
      </c>
      <c r="E747" t="s">
        <v>1236</v>
      </c>
      <c r="G747" t="str">
        <f>_xlfn.XLOOKUP(frasest[[#This Row],[author_es]],autorest[author_es],autorest[author_la])</f>
        <v>Sententia Vasconica</v>
      </c>
      <c r="H747" t="str">
        <f>_xlfn.XLOOKUP(frasest[[#This Row],[author_es]],autorest[author_es],autorest[bio_es])</f>
        <v>Proverbios de la tradición oral vasca que reflejan la relación con la naturaleza, el trabajo y los valores comunitarios del pueblo vasco.</v>
      </c>
      <c r="I747" t="str">
        <f>_xlfn.XLOOKUP(frasest[[#This Row],[author_es]],autorest[author_es],autorest[bio_la])</f>
        <v>Collectio sententiarum Vasconicarum.</v>
      </c>
      <c r="J747" t="str">
        <f>_xlfn.XLOOKUP(frasest[[#This Row],[author_es]],autorest[author_es],autorest[iso3691])</f>
        <v>eu</v>
      </c>
      <c r="K747" t="str">
        <f>_xlfn.XLOOKUP(frasest[[#This Row],[author_es]],autorest[author_es],autorest[language_es])</f>
        <v>Euskara</v>
      </c>
      <c r="L747" t="str">
        <f>_xlfn.XLOOKUP(frasest[[#This Row],[author_es]],autorest[author_es],autorest[language_la])</f>
        <v>Lingua Vasconica</v>
      </c>
      <c r="M747" t="str">
        <f>_xlfn.XLOOKUP(frasest[[#This Row],[author_es]],autorest[author_es],autorest[nation_es])</f>
        <v>España</v>
      </c>
      <c r="N747" t="str">
        <f>_xlfn.XLOOKUP(frasest[[#This Row],[author_es]],autorest[author_es],autorest[nation_la])</f>
        <v>Hispania</v>
      </c>
      <c r="O747" t="str">
        <f>_xlfn.XLOOKUP(frasest[[#This Row],[author_es]],autorest[author_es],autorest[age_es])</f>
        <v>Epoca Desconocida</v>
      </c>
      <c r="P747" t="str">
        <f>_xlfn.XLOOKUP(frasest[[#This Row],[author_es]],autorest[author_es],autorest[age_la])</f>
        <v>Epocha Ignota</v>
      </c>
      <c r="Q747" t="str">
        <f>_xlfn.XLOOKUP(frasest[[#This Row],[author_es]],autorest[author_es],autorest[image])</f>
        <v>https://i.ibb.co/bjgxB3kn/euskadi.png</v>
      </c>
      <c r="R747">
        <f>_xlfn.XLOOKUP(frasest[[#This Row],[author_es]],autorest[author_es],autorest[image_atr])</f>
        <v>0</v>
      </c>
    </row>
    <row r="748" spans="1:18">
      <c r="A748">
        <v>747</v>
      </c>
      <c r="B748" t="s">
        <v>2521</v>
      </c>
      <c r="C748" t="s">
        <v>2522</v>
      </c>
      <c r="D748" t="s">
        <v>2523</v>
      </c>
      <c r="E748" t="s">
        <v>1236</v>
      </c>
      <c r="G748" t="str">
        <f>_xlfn.XLOOKUP(frasest[[#This Row],[author_es]],autorest[author_es],autorest[author_la])</f>
        <v>Sententia Vasconica</v>
      </c>
      <c r="H748" t="str">
        <f>_xlfn.XLOOKUP(frasest[[#This Row],[author_es]],autorest[author_es],autorest[bio_es])</f>
        <v>Proverbios de la tradición oral vasca que reflejan la relación con la naturaleza, el trabajo y los valores comunitarios del pueblo vasco.</v>
      </c>
      <c r="I748" t="str">
        <f>_xlfn.XLOOKUP(frasest[[#This Row],[author_es]],autorest[author_es],autorest[bio_la])</f>
        <v>Collectio sententiarum Vasconicarum.</v>
      </c>
      <c r="J748" t="str">
        <f>_xlfn.XLOOKUP(frasest[[#This Row],[author_es]],autorest[author_es],autorest[iso3691])</f>
        <v>eu</v>
      </c>
      <c r="K748" t="str">
        <f>_xlfn.XLOOKUP(frasest[[#This Row],[author_es]],autorest[author_es],autorest[language_es])</f>
        <v>Euskara</v>
      </c>
      <c r="L748" t="str">
        <f>_xlfn.XLOOKUP(frasest[[#This Row],[author_es]],autorest[author_es],autorest[language_la])</f>
        <v>Lingua Vasconica</v>
      </c>
      <c r="M748" t="str">
        <f>_xlfn.XLOOKUP(frasest[[#This Row],[author_es]],autorest[author_es],autorest[nation_es])</f>
        <v>España</v>
      </c>
      <c r="N748" t="str">
        <f>_xlfn.XLOOKUP(frasest[[#This Row],[author_es]],autorest[author_es],autorest[nation_la])</f>
        <v>Hispania</v>
      </c>
      <c r="O748" t="str">
        <f>_xlfn.XLOOKUP(frasest[[#This Row],[author_es]],autorest[author_es],autorest[age_es])</f>
        <v>Epoca Desconocida</v>
      </c>
      <c r="P748" t="str">
        <f>_xlfn.XLOOKUP(frasest[[#This Row],[author_es]],autorest[author_es],autorest[age_la])</f>
        <v>Epocha Ignota</v>
      </c>
      <c r="Q748" t="str">
        <f>_xlfn.XLOOKUP(frasest[[#This Row],[author_es]],autorest[author_es],autorest[image])</f>
        <v>https://i.ibb.co/bjgxB3kn/euskadi.png</v>
      </c>
      <c r="R748">
        <f>_xlfn.XLOOKUP(frasest[[#This Row],[author_es]],autorest[author_es],autorest[image_atr])</f>
        <v>0</v>
      </c>
    </row>
    <row r="749" spans="1:18">
      <c r="A749">
        <v>748</v>
      </c>
      <c r="B749" t="s">
        <v>2524</v>
      </c>
      <c r="C749" t="s">
        <v>2525</v>
      </c>
      <c r="D749" t="s">
        <v>2526</v>
      </c>
      <c r="E749" t="s">
        <v>1236</v>
      </c>
      <c r="G749" t="str">
        <f>_xlfn.XLOOKUP(frasest[[#This Row],[author_es]],autorest[author_es],autorest[author_la])</f>
        <v>Sententia Vasconica</v>
      </c>
      <c r="H749" t="str">
        <f>_xlfn.XLOOKUP(frasest[[#This Row],[author_es]],autorest[author_es],autorest[bio_es])</f>
        <v>Proverbios de la tradición oral vasca que reflejan la relación con la naturaleza, el trabajo y los valores comunitarios del pueblo vasco.</v>
      </c>
      <c r="I749" t="str">
        <f>_xlfn.XLOOKUP(frasest[[#This Row],[author_es]],autorest[author_es],autorest[bio_la])</f>
        <v>Collectio sententiarum Vasconicarum.</v>
      </c>
      <c r="J749" t="str">
        <f>_xlfn.XLOOKUP(frasest[[#This Row],[author_es]],autorest[author_es],autorest[iso3691])</f>
        <v>eu</v>
      </c>
      <c r="K749" t="str">
        <f>_xlfn.XLOOKUP(frasest[[#This Row],[author_es]],autorest[author_es],autorest[language_es])</f>
        <v>Euskara</v>
      </c>
      <c r="L749" t="str">
        <f>_xlfn.XLOOKUP(frasest[[#This Row],[author_es]],autorest[author_es],autorest[language_la])</f>
        <v>Lingua Vasconica</v>
      </c>
      <c r="M749" t="str">
        <f>_xlfn.XLOOKUP(frasest[[#This Row],[author_es]],autorest[author_es],autorest[nation_es])</f>
        <v>España</v>
      </c>
      <c r="N749" t="str">
        <f>_xlfn.XLOOKUP(frasest[[#This Row],[author_es]],autorest[author_es],autorest[nation_la])</f>
        <v>Hispania</v>
      </c>
      <c r="O749" t="str">
        <f>_xlfn.XLOOKUP(frasest[[#This Row],[author_es]],autorest[author_es],autorest[age_es])</f>
        <v>Epoca Desconocida</v>
      </c>
      <c r="P749" t="str">
        <f>_xlfn.XLOOKUP(frasest[[#This Row],[author_es]],autorest[author_es],autorest[age_la])</f>
        <v>Epocha Ignota</v>
      </c>
      <c r="Q749" t="str">
        <f>_xlfn.XLOOKUP(frasest[[#This Row],[author_es]],autorest[author_es],autorest[image])</f>
        <v>https://i.ibb.co/bjgxB3kn/euskadi.png</v>
      </c>
      <c r="R749">
        <f>_xlfn.XLOOKUP(frasest[[#This Row],[author_es]],autorest[author_es],autorest[image_atr])</f>
        <v>0</v>
      </c>
    </row>
    <row r="750" spans="1:18">
      <c r="A750">
        <v>749</v>
      </c>
      <c r="B750" t="s">
        <v>2527</v>
      </c>
      <c r="C750" t="s">
        <v>2528</v>
      </c>
      <c r="D750" t="s">
        <v>2529</v>
      </c>
      <c r="E750" t="s">
        <v>1236</v>
      </c>
      <c r="G750" t="str">
        <f>_xlfn.XLOOKUP(frasest[[#This Row],[author_es]],autorest[author_es],autorest[author_la])</f>
        <v>Sententia Vasconica</v>
      </c>
      <c r="H750" t="str">
        <f>_xlfn.XLOOKUP(frasest[[#This Row],[author_es]],autorest[author_es],autorest[bio_es])</f>
        <v>Proverbios de la tradición oral vasca que reflejan la relación con la naturaleza, el trabajo y los valores comunitarios del pueblo vasco.</v>
      </c>
      <c r="I750" t="str">
        <f>_xlfn.XLOOKUP(frasest[[#This Row],[author_es]],autorest[author_es],autorest[bio_la])</f>
        <v>Collectio sententiarum Vasconicarum.</v>
      </c>
      <c r="J750" t="str">
        <f>_xlfn.XLOOKUP(frasest[[#This Row],[author_es]],autorest[author_es],autorest[iso3691])</f>
        <v>eu</v>
      </c>
      <c r="K750" t="str">
        <f>_xlfn.XLOOKUP(frasest[[#This Row],[author_es]],autorest[author_es],autorest[language_es])</f>
        <v>Euskara</v>
      </c>
      <c r="L750" t="str">
        <f>_xlfn.XLOOKUP(frasest[[#This Row],[author_es]],autorest[author_es],autorest[language_la])</f>
        <v>Lingua Vasconica</v>
      </c>
      <c r="M750" t="str">
        <f>_xlfn.XLOOKUP(frasest[[#This Row],[author_es]],autorest[author_es],autorest[nation_es])</f>
        <v>España</v>
      </c>
      <c r="N750" t="str">
        <f>_xlfn.XLOOKUP(frasest[[#This Row],[author_es]],autorest[author_es],autorest[nation_la])</f>
        <v>Hispania</v>
      </c>
      <c r="O750" t="str">
        <f>_xlfn.XLOOKUP(frasest[[#This Row],[author_es]],autorest[author_es],autorest[age_es])</f>
        <v>Epoca Desconocida</v>
      </c>
      <c r="P750" t="str">
        <f>_xlfn.XLOOKUP(frasest[[#This Row],[author_es]],autorest[author_es],autorest[age_la])</f>
        <v>Epocha Ignota</v>
      </c>
      <c r="Q750" t="str">
        <f>_xlfn.XLOOKUP(frasest[[#This Row],[author_es]],autorest[author_es],autorest[image])</f>
        <v>https://i.ibb.co/bjgxB3kn/euskadi.png</v>
      </c>
      <c r="R750">
        <f>_xlfn.XLOOKUP(frasest[[#This Row],[author_es]],autorest[author_es],autorest[image_atr])</f>
        <v>0</v>
      </c>
    </row>
    <row r="751" spans="1:18">
      <c r="A751">
        <v>750</v>
      </c>
      <c r="B751" t="s">
        <v>2530</v>
      </c>
      <c r="C751" t="s">
        <v>2531</v>
      </c>
      <c r="D751" t="s">
        <v>2532</v>
      </c>
      <c r="E751" t="s">
        <v>1236</v>
      </c>
      <c r="G751" t="str">
        <f>_xlfn.XLOOKUP(frasest[[#This Row],[author_es]],autorest[author_es],autorest[author_la])</f>
        <v>Sententia Vasconica</v>
      </c>
      <c r="H751" t="str">
        <f>_xlfn.XLOOKUP(frasest[[#This Row],[author_es]],autorest[author_es],autorest[bio_es])</f>
        <v>Proverbios de la tradición oral vasca que reflejan la relación con la naturaleza, el trabajo y los valores comunitarios del pueblo vasco.</v>
      </c>
      <c r="I751" t="str">
        <f>_xlfn.XLOOKUP(frasest[[#This Row],[author_es]],autorest[author_es],autorest[bio_la])</f>
        <v>Collectio sententiarum Vasconicarum.</v>
      </c>
      <c r="J751" t="str">
        <f>_xlfn.XLOOKUP(frasest[[#This Row],[author_es]],autorest[author_es],autorest[iso3691])</f>
        <v>eu</v>
      </c>
      <c r="K751" t="str">
        <f>_xlfn.XLOOKUP(frasest[[#This Row],[author_es]],autorest[author_es],autorest[language_es])</f>
        <v>Euskara</v>
      </c>
      <c r="L751" t="str">
        <f>_xlfn.XLOOKUP(frasest[[#This Row],[author_es]],autorest[author_es],autorest[language_la])</f>
        <v>Lingua Vasconica</v>
      </c>
      <c r="M751" t="str">
        <f>_xlfn.XLOOKUP(frasest[[#This Row],[author_es]],autorest[author_es],autorest[nation_es])</f>
        <v>España</v>
      </c>
      <c r="N751" t="str">
        <f>_xlfn.XLOOKUP(frasest[[#This Row],[author_es]],autorest[author_es],autorest[nation_la])</f>
        <v>Hispania</v>
      </c>
      <c r="O751" t="str">
        <f>_xlfn.XLOOKUP(frasest[[#This Row],[author_es]],autorest[author_es],autorest[age_es])</f>
        <v>Epoca Desconocida</v>
      </c>
      <c r="P751" t="str">
        <f>_xlfn.XLOOKUP(frasest[[#This Row],[author_es]],autorest[author_es],autorest[age_la])</f>
        <v>Epocha Ignota</v>
      </c>
      <c r="Q751" t="str">
        <f>_xlfn.XLOOKUP(frasest[[#This Row],[author_es]],autorest[author_es],autorest[image])</f>
        <v>https://i.ibb.co/bjgxB3kn/euskadi.png</v>
      </c>
      <c r="R751">
        <f>_xlfn.XLOOKUP(frasest[[#This Row],[author_es]],autorest[author_es],autorest[image_atr])</f>
        <v>0</v>
      </c>
    </row>
    <row r="752" spans="1:18">
      <c r="A752">
        <v>751</v>
      </c>
      <c r="B752" t="s">
        <v>2533</v>
      </c>
      <c r="C752" t="s">
        <v>2534</v>
      </c>
      <c r="D752" t="s">
        <v>2535</v>
      </c>
      <c r="E752" t="s">
        <v>1236</v>
      </c>
      <c r="G752" t="str">
        <f>_xlfn.XLOOKUP(frasest[[#This Row],[author_es]],autorest[author_es],autorest[author_la])</f>
        <v>Sententia Vasconica</v>
      </c>
      <c r="H752" t="str">
        <f>_xlfn.XLOOKUP(frasest[[#This Row],[author_es]],autorest[author_es],autorest[bio_es])</f>
        <v>Proverbios de la tradición oral vasca que reflejan la relación con la naturaleza, el trabajo y los valores comunitarios del pueblo vasco.</v>
      </c>
      <c r="I752" t="str">
        <f>_xlfn.XLOOKUP(frasest[[#This Row],[author_es]],autorest[author_es],autorest[bio_la])</f>
        <v>Collectio sententiarum Vasconicarum.</v>
      </c>
      <c r="J752" t="str">
        <f>_xlfn.XLOOKUP(frasest[[#This Row],[author_es]],autorest[author_es],autorest[iso3691])</f>
        <v>eu</v>
      </c>
      <c r="K752" t="str">
        <f>_xlfn.XLOOKUP(frasest[[#This Row],[author_es]],autorest[author_es],autorest[language_es])</f>
        <v>Euskara</v>
      </c>
      <c r="L752" t="str">
        <f>_xlfn.XLOOKUP(frasest[[#This Row],[author_es]],autorest[author_es],autorest[language_la])</f>
        <v>Lingua Vasconica</v>
      </c>
      <c r="M752" t="str">
        <f>_xlfn.XLOOKUP(frasest[[#This Row],[author_es]],autorest[author_es],autorest[nation_es])</f>
        <v>España</v>
      </c>
      <c r="N752" t="str">
        <f>_xlfn.XLOOKUP(frasest[[#This Row],[author_es]],autorest[author_es],autorest[nation_la])</f>
        <v>Hispania</v>
      </c>
      <c r="O752" t="str">
        <f>_xlfn.XLOOKUP(frasest[[#This Row],[author_es]],autorest[author_es],autorest[age_es])</f>
        <v>Epoca Desconocida</v>
      </c>
      <c r="P752" t="str">
        <f>_xlfn.XLOOKUP(frasest[[#This Row],[author_es]],autorest[author_es],autorest[age_la])</f>
        <v>Epocha Ignota</v>
      </c>
      <c r="Q752" t="str">
        <f>_xlfn.XLOOKUP(frasest[[#This Row],[author_es]],autorest[author_es],autorest[image])</f>
        <v>https://i.ibb.co/bjgxB3kn/euskadi.png</v>
      </c>
      <c r="R752">
        <f>_xlfn.XLOOKUP(frasest[[#This Row],[author_es]],autorest[author_es],autorest[image_atr])</f>
        <v>0</v>
      </c>
    </row>
    <row r="753" spans="1:18">
      <c r="A753">
        <v>752</v>
      </c>
      <c r="B753" t="s">
        <v>2536</v>
      </c>
      <c r="C753" t="s">
        <v>2537</v>
      </c>
      <c r="D753" t="s">
        <v>2538</v>
      </c>
      <c r="E753" t="s">
        <v>1236</v>
      </c>
      <c r="G753" t="str">
        <f>_xlfn.XLOOKUP(frasest[[#This Row],[author_es]],autorest[author_es],autorest[author_la])</f>
        <v>Sententia Vasconica</v>
      </c>
      <c r="H753" t="str">
        <f>_xlfn.XLOOKUP(frasest[[#This Row],[author_es]],autorest[author_es],autorest[bio_es])</f>
        <v>Proverbios de la tradición oral vasca que reflejan la relación con la naturaleza, el trabajo y los valores comunitarios del pueblo vasco.</v>
      </c>
      <c r="I753" t="str">
        <f>_xlfn.XLOOKUP(frasest[[#This Row],[author_es]],autorest[author_es],autorest[bio_la])</f>
        <v>Collectio sententiarum Vasconicarum.</v>
      </c>
      <c r="J753" t="str">
        <f>_xlfn.XLOOKUP(frasest[[#This Row],[author_es]],autorest[author_es],autorest[iso3691])</f>
        <v>eu</v>
      </c>
      <c r="K753" t="str">
        <f>_xlfn.XLOOKUP(frasest[[#This Row],[author_es]],autorest[author_es],autorest[language_es])</f>
        <v>Euskara</v>
      </c>
      <c r="L753" t="str">
        <f>_xlfn.XLOOKUP(frasest[[#This Row],[author_es]],autorest[author_es],autorest[language_la])</f>
        <v>Lingua Vasconica</v>
      </c>
      <c r="M753" t="str">
        <f>_xlfn.XLOOKUP(frasest[[#This Row],[author_es]],autorest[author_es],autorest[nation_es])</f>
        <v>España</v>
      </c>
      <c r="N753" t="str">
        <f>_xlfn.XLOOKUP(frasest[[#This Row],[author_es]],autorest[author_es],autorest[nation_la])</f>
        <v>Hispania</v>
      </c>
      <c r="O753" t="str">
        <f>_xlfn.XLOOKUP(frasest[[#This Row],[author_es]],autorest[author_es],autorest[age_es])</f>
        <v>Epoca Desconocida</v>
      </c>
      <c r="P753" t="str">
        <f>_xlfn.XLOOKUP(frasest[[#This Row],[author_es]],autorest[author_es],autorest[age_la])</f>
        <v>Epocha Ignota</v>
      </c>
      <c r="Q753" t="str">
        <f>_xlfn.XLOOKUP(frasest[[#This Row],[author_es]],autorest[author_es],autorest[image])</f>
        <v>https://i.ibb.co/bjgxB3kn/euskadi.png</v>
      </c>
      <c r="R753">
        <f>_xlfn.XLOOKUP(frasest[[#This Row],[author_es]],autorest[author_es],autorest[image_atr])</f>
        <v>0</v>
      </c>
    </row>
    <row r="754" spans="1:18">
      <c r="A754">
        <v>753</v>
      </c>
      <c r="B754" t="s">
        <v>2539</v>
      </c>
      <c r="C754" t="s">
        <v>2540</v>
      </c>
      <c r="D754" t="s">
        <v>2541</v>
      </c>
      <c r="E754" t="s">
        <v>1236</v>
      </c>
      <c r="G754" t="str">
        <f>_xlfn.XLOOKUP(frasest[[#This Row],[author_es]],autorest[author_es],autorest[author_la])</f>
        <v>Sententia Vasconica</v>
      </c>
      <c r="H754" t="str">
        <f>_xlfn.XLOOKUP(frasest[[#This Row],[author_es]],autorest[author_es],autorest[bio_es])</f>
        <v>Proverbios de la tradición oral vasca que reflejan la relación con la naturaleza, el trabajo y los valores comunitarios del pueblo vasco.</v>
      </c>
      <c r="I754" t="str">
        <f>_xlfn.XLOOKUP(frasest[[#This Row],[author_es]],autorest[author_es],autorest[bio_la])</f>
        <v>Collectio sententiarum Vasconicarum.</v>
      </c>
      <c r="J754" t="str">
        <f>_xlfn.XLOOKUP(frasest[[#This Row],[author_es]],autorest[author_es],autorest[iso3691])</f>
        <v>eu</v>
      </c>
      <c r="K754" t="str">
        <f>_xlfn.XLOOKUP(frasest[[#This Row],[author_es]],autorest[author_es],autorest[language_es])</f>
        <v>Euskara</v>
      </c>
      <c r="L754" t="str">
        <f>_xlfn.XLOOKUP(frasest[[#This Row],[author_es]],autorest[author_es],autorest[language_la])</f>
        <v>Lingua Vasconica</v>
      </c>
      <c r="M754" t="str">
        <f>_xlfn.XLOOKUP(frasest[[#This Row],[author_es]],autorest[author_es],autorest[nation_es])</f>
        <v>España</v>
      </c>
      <c r="N754" t="str">
        <f>_xlfn.XLOOKUP(frasest[[#This Row],[author_es]],autorest[author_es],autorest[nation_la])</f>
        <v>Hispania</v>
      </c>
      <c r="O754" t="str">
        <f>_xlfn.XLOOKUP(frasest[[#This Row],[author_es]],autorest[author_es],autorest[age_es])</f>
        <v>Epoca Desconocida</v>
      </c>
      <c r="P754" t="str">
        <f>_xlfn.XLOOKUP(frasest[[#This Row],[author_es]],autorest[author_es],autorest[age_la])</f>
        <v>Epocha Ignota</v>
      </c>
      <c r="Q754" t="str">
        <f>_xlfn.XLOOKUP(frasest[[#This Row],[author_es]],autorest[author_es],autorest[image])</f>
        <v>https://i.ibb.co/bjgxB3kn/euskadi.png</v>
      </c>
      <c r="R754">
        <f>_xlfn.XLOOKUP(frasest[[#This Row],[author_es]],autorest[author_es],autorest[image_atr])</f>
        <v>0</v>
      </c>
    </row>
    <row r="755" spans="1:18">
      <c r="A755">
        <v>754</v>
      </c>
      <c r="B755" t="s">
        <v>2542</v>
      </c>
      <c r="C755" t="s">
        <v>2543</v>
      </c>
      <c r="D755" t="s">
        <v>2544</v>
      </c>
      <c r="E755" t="s">
        <v>1236</v>
      </c>
      <c r="G755" t="str">
        <f>_xlfn.XLOOKUP(frasest[[#This Row],[author_es]],autorest[author_es],autorest[author_la])</f>
        <v>Sententia Vasconica</v>
      </c>
      <c r="H755" t="str">
        <f>_xlfn.XLOOKUP(frasest[[#This Row],[author_es]],autorest[author_es],autorest[bio_es])</f>
        <v>Proverbios de la tradición oral vasca que reflejan la relación con la naturaleza, el trabajo y los valores comunitarios del pueblo vasco.</v>
      </c>
      <c r="I755" t="str">
        <f>_xlfn.XLOOKUP(frasest[[#This Row],[author_es]],autorest[author_es],autorest[bio_la])</f>
        <v>Collectio sententiarum Vasconicarum.</v>
      </c>
      <c r="J755" t="str">
        <f>_xlfn.XLOOKUP(frasest[[#This Row],[author_es]],autorest[author_es],autorest[iso3691])</f>
        <v>eu</v>
      </c>
      <c r="K755" t="str">
        <f>_xlfn.XLOOKUP(frasest[[#This Row],[author_es]],autorest[author_es],autorest[language_es])</f>
        <v>Euskara</v>
      </c>
      <c r="L755" t="str">
        <f>_xlfn.XLOOKUP(frasest[[#This Row],[author_es]],autorest[author_es],autorest[language_la])</f>
        <v>Lingua Vasconica</v>
      </c>
      <c r="M755" t="str">
        <f>_xlfn.XLOOKUP(frasest[[#This Row],[author_es]],autorest[author_es],autorest[nation_es])</f>
        <v>España</v>
      </c>
      <c r="N755" t="str">
        <f>_xlfn.XLOOKUP(frasest[[#This Row],[author_es]],autorest[author_es],autorest[nation_la])</f>
        <v>Hispania</v>
      </c>
      <c r="O755" t="str">
        <f>_xlfn.XLOOKUP(frasest[[#This Row],[author_es]],autorest[author_es],autorest[age_es])</f>
        <v>Epoca Desconocida</v>
      </c>
      <c r="P755" t="str">
        <f>_xlfn.XLOOKUP(frasest[[#This Row],[author_es]],autorest[author_es],autorest[age_la])</f>
        <v>Epocha Ignota</v>
      </c>
      <c r="Q755" t="str">
        <f>_xlfn.XLOOKUP(frasest[[#This Row],[author_es]],autorest[author_es],autorest[image])</f>
        <v>https://i.ibb.co/bjgxB3kn/euskadi.png</v>
      </c>
      <c r="R755">
        <f>_xlfn.XLOOKUP(frasest[[#This Row],[author_es]],autorest[author_es],autorest[image_atr])</f>
        <v>0</v>
      </c>
    </row>
    <row r="756" spans="1:18">
      <c r="A756">
        <v>755</v>
      </c>
      <c r="B756" t="s">
        <v>2545</v>
      </c>
      <c r="C756" t="s">
        <v>2546</v>
      </c>
      <c r="D756" t="s">
        <v>2547</v>
      </c>
      <c r="E756" t="s">
        <v>1236</v>
      </c>
      <c r="G756" t="str">
        <f>_xlfn.XLOOKUP(frasest[[#This Row],[author_es]],autorest[author_es],autorest[author_la])</f>
        <v>Sententia Vasconica</v>
      </c>
      <c r="H756" t="str">
        <f>_xlfn.XLOOKUP(frasest[[#This Row],[author_es]],autorest[author_es],autorest[bio_es])</f>
        <v>Proverbios de la tradición oral vasca que reflejan la relación con la naturaleza, el trabajo y los valores comunitarios del pueblo vasco.</v>
      </c>
      <c r="I756" t="str">
        <f>_xlfn.XLOOKUP(frasest[[#This Row],[author_es]],autorest[author_es],autorest[bio_la])</f>
        <v>Collectio sententiarum Vasconicarum.</v>
      </c>
      <c r="J756" t="str">
        <f>_xlfn.XLOOKUP(frasest[[#This Row],[author_es]],autorest[author_es],autorest[iso3691])</f>
        <v>eu</v>
      </c>
      <c r="K756" t="str">
        <f>_xlfn.XLOOKUP(frasest[[#This Row],[author_es]],autorest[author_es],autorest[language_es])</f>
        <v>Euskara</v>
      </c>
      <c r="L756" t="str">
        <f>_xlfn.XLOOKUP(frasest[[#This Row],[author_es]],autorest[author_es],autorest[language_la])</f>
        <v>Lingua Vasconica</v>
      </c>
      <c r="M756" t="str">
        <f>_xlfn.XLOOKUP(frasest[[#This Row],[author_es]],autorest[author_es],autorest[nation_es])</f>
        <v>España</v>
      </c>
      <c r="N756" t="str">
        <f>_xlfn.XLOOKUP(frasest[[#This Row],[author_es]],autorest[author_es],autorest[nation_la])</f>
        <v>Hispania</v>
      </c>
      <c r="O756" t="str">
        <f>_xlfn.XLOOKUP(frasest[[#This Row],[author_es]],autorest[author_es],autorest[age_es])</f>
        <v>Epoca Desconocida</v>
      </c>
      <c r="P756" t="str">
        <f>_xlfn.XLOOKUP(frasest[[#This Row],[author_es]],autorest[author_es],autorest[age_la])</f>
        <v>Epocha Ignota</v>
      </c>
      <c r="Q756" t="str">
        <f>_xlfn.XLOOKUP(frasest[[#This Row],[author_es]],autorest[author_es],autorest[image])</f>
        <v>https://i.ibb.co/bjgxB3kn/euskadi.png</v>
      </c>
      <c r="R756">
        <f>_xlfn.XLOOKUP(frasest[[#This Row],[author_es]],autorest[author_es],autorest[image_atr])</f>
        <v>0</v>
      </c>
    </row>
    <row r="757" spans="1:18">
      <c r="A757">
        <v>756</v>
      </c>
      <c r="B757" t="s">
        <v>2548</v>
      </c>
      <c r="C757" t="s">
        <v>2549</v>
      </c>
      <c r="D757" t="s">
        <v>2550</v>
      </c>
      <c r="E757" t="s">
        <v>1236</v>
      </c>
      <c r="G757" t="str">
        <f>_xlfn.XLOOKUP(frasest[[#This Row],[author_es]],autorest[author_es],autorest[author_la])</f>
        <v>Sententia Vasconica</v>
      </c>
      <c r="H757" t="str">
        <f>_xlfn.XLOOKUP(frasest[[#This Row],[author_es]],autorest[author_es],autorest[bio_es])</f>
        <v>Proverbios de la tradición oral vasca que reflejan la relación con la naturaleza, el trabajo y los valores comunitarios del pueblo vasco.</v>
      </c>
      <c r="I757" t="str">
        <f>_xlfn.XLOOKUP(frasest[[#This Row],[author_es]],autorest[author_es],autorest[bio_la])</f>
        <v>Collectio sententiarum Vasconicarum.</v>
      </c>
      <c r="J757" t="str">
        <f>_xlfn.XLOOKUP(frasest[[#This Row],[author_es]],autorest[author_es],autorest[iso3691])</f>
        <v>eu</v>
      </c>
      <c r="K757" t="str">
        <f>_xlfn.XLOOKUP(frasest[[#This Row],[author_es]],autorest[author_es],autorest[language_es])</f>
        <v>Euskara</v>
      </c>
      <c r="L757" t="str">
        <f>_xlfn.XLOOKUP(frasest[[#This Row],[author_es]],autorest[author_es],autorest[language_la])</f>
        <v>Lingua Vasconica</v>
      </c>
      <c r="M757" t="str">
        <f>_xlfn.XLOOKUP(frasest[[#This Row],[author_es]],autorest[author_es],autorest[nation_es])</f>
        <v>España</v>
      </c>
      <c r="N757" t="str">
        <f>_xlfn.XLOOKUP(frasest[[#This Row],[author_es]],autorest[author_es],autorest[nation_la])</f>
        <v>Hispania</v>
      </c>
      <c r="O757" t="str">
        <f>_xlfn.XLOOKUP(frasest[[#This Row],[author_es]],autorest[author_es],autorest[age_es])</f>
        <v>Epoca Desconocida</v>
      </c>
      <c r="P757" t="str">
        <f>_xlfn.XLOOKUP(frasest[[#This Row],[author_es]],autorest[author_es],autorest[age_la])</f>
        <v>Epocha Ignota</v>
      </c>
      <c r="Q757" t="str">
        <f>_xlfn.XLOOKUP(frasest[[#This Row],[author_es]],autorest[author_es],autorest[image])</f>
        <v>https://i.ibb.co/bjgxB3kn/euskadi.png</v>
      </c>
      <c r="R757">
        <f>_xlfn.XLOOKUP(frasest[[#This Row],[author_es]],autorest[author_es],autorest[image_atr])</f>
        <v>0</v>
      </c>
    </row>
    <row r="758" spans="1:18">
      <c r="A758">
        <v>757</v>
      </c>
      <c r="B758" t="s">
        <v>2551</v>
      </c>
      <c r="C758" t="s">
        <v>2552</v>
      </c>
      <c r="D758" t="s">
        <v>2553</v>
      </c>
      <c r="E758" t="s">
        <v>1236</v>
      </c>
      <c r="G758" t="str">
        <f>_xlfn.XLOOKUP(frasest[[#This Row],[author_es]],autorest[author_es],autorest[author_la])</f>
        <v>Sententia Vasconica</v>
      </c>
      <c r="H758" t="str">
        <f>_xlfn.XLOOKUP(frasest[[#This Row],[author_es]],autorest[author_es],autorest[bio_es])</f>
        <v>Proverbios de la tradición oral vasca que reflejan la relación con la naturaleza, el trabajo y los valores comunitarios del pueblo vasco.</v>
      </c>
      <c r="I758" t="str">
        <f>_xlfn.XLOOKUP(frasest[[#This Row],[author_es]],autorest[author_es],autorest[bio_la])</f>
        <v>Collectio sententiarum Vasconicarum.</v>
      </c>
      <c r="J758" t="str">
        <f>_xlfn.XLOOKUP(frasest[[#This Row],[author_es]],autorest[author_es],autorest[iso3691])</f>
        <v>eu</v>
      </c>
      <c r="K758" t="str">
        <f>_xlfn.XLOOKUP(frasest[[#This Row],[author_es]],autorest[author_es],autorest[language_es])</f>
        <v>Euskara</v>
      </c>
      <c r="L758" t="str">
        <f>_xlfn.XLOOKUP(frasest[[#This Row],[author_es]],autorest[author_es],autorest[language_la])</f>
        <v>Lingua Vasconica</v>
      </c>
      <c r="M758" t="str">
        <f>_xlfn.XLOOKUP(frasest[[#This Row],[author_es]],autorest[author_es],autorest[nation_es])</f>
        <v>España</v>
      </c>
      <c r="N758" t="str">
        <f>_xlfn.XLOOKUP(frasest[[#This Row],[author_es]],autorest[author_es],autorest[nation_la])</f>
        <v>Hispania</v>
      </c>
      <c r="O758" t="str">
        <f>_xlfn.XLOOKUP(frasest[[#This Row],[author_es]],autorest[author_es],autorest[age_es])</f>
        <v>Epoca Desconocida</v>
      </c>
      <c r="P758" t="str">
        <f>_xlfn.XLOOKUP(frasest[[#This Row],[author_es]],autorest[author_es],autorest[age_la])</f>
        <v>Epocha Ignota</v>
      </c>
      <c r="Q758" t="str">
        <f>_xlfn.XLOOKUP(frasest[[#This Row],[author_es]],autorest[author_es],autorest[image])</f>
        <v>https://i.ibb.co/bjgxB3kn/euskadi.png</v>
      </c>
      <c r="R758">
        <f>_xlfn.XLOOKUP(frasest[[#This Row],[author_es]],autorest[author_es],autorest[image_atr])</f>
        <v>0</v>
      </c>
    </row>
    <row r="759" spans="1:18">
      <c r="A759">
        <v>758</v>
      </c>
      <c r="B759" t="s">
        <v>2554</v>
      </c>
      <c r="C759" t="s">
        <v>2555</v>
      </c>
      <c r="D759" t="s">
        <v>2556</v>
      </c>
      <c r="E759" t="s">
        <v>1236</v>
      </c>
      <c r="G759" t="str">
        <f>_xlfn.XLOOKUP(frasest[[#This Row],[author_es]],autorest[author_es],autorest[author_la])</f>
        <v>Sententia Vasconica</v>
      </c>
      <c r="H759" t="str">
        <f>_xlfn.XLOOKUP(frasest[[#This Row],[author_es]],autorest[author_es],autorest[bio_es])</f>
        <v>Proverbios de la tradición oral vasca que reflejan la relación con la naturaleza, el trabajo y los valores comunitarios del pueblo vasco.</v>
      </c>
      <c r="I759" t="str">
        <f>_xlfn.XLOOKUP(frasest[[#This Row],[author_es]],autorest[author_es],autorest[bio_la])</f>
        <v>Collectio sententiarum Vasconicarum.</v>
      </c>
      <c r="J759" t="str">
        <f>_xlfn.XLOOKUP(frasest[[#This Row],[author_es]],autorest[author_es],autorest[iso3691])</f>
        <v>eu</v>
      </c>
      <c r="K759" t="str">
        <f>_xlfn.XLOOKUP(frasest[[#This Row],[author_es]],autorest[author_es],autorest[language_es])</f>
        <v>Euskara</v>
      </c>
      <c r="L759" t="str">
        <f>_xlfn.XLOOKUP(frasest[[#This Row],[author_es]],autorest[author_es],autorest[language_la])</f>
        <v>Lingua Vasconica</v>
      </c>
      <c r="M759" t="str">
        <f>_xlfn.XLOOKUP(frasest[[#This Row],[author_es]],autorest[author_es],autorest[nation_es])</f>
        <v>España</v>
      </c>
      <c r="N759" t="str">
        <f>_xlfn.XLOOKUP(frasest[[#This Row],[author_es]],autorest[author_es],autorest[nation_la])</f>
        <v>Hispania</v>
      </c>
      <c r="O759" t="str">
        <f>_xlfn.XLOOKUP(frasest[[#This Row],[author_es]],autorest[author_es],autorest[age_es])</f>
        <v>Epoca Desconocida</v>
      </c>
      <c r="P759" t="str">
        <f>_xlfn.XLOOKUP(frasest[[#This Row],[author_es]],autorest[author_es],autorest[age_la])</f>
        <v>Epocha Ignota</v>
      </c>
      <c r="Q759" t="str">
        <f>_xlfn.XLOOKUP(frasest[[#This Row],[author_es]],autorest[author_es],autorest[image])</f>
        <v>https://i.ibb.co/bjgxB3kn/euskadi.png</v>
      </c>
      <c r="R759">
        <f>_xlfn.XLOOKUP(frasest[[#This Row],[author_es]],autorest[author_es],autorest[image_atr])</f>
        <v>0</v>
      </c>
    </row>
    <row r="760" spans="1:18">
      <c r="A760">
        <v>759</v>
      </c>
      <c r="B760" t="s">
        <v>2557</v>
      </c>
      <c r="C760" t="s">
        <v>2558</v>
      </c>
      <c r="D760" t="s">
        <v>2559</v>
      </c>
      <c r="E760" t="s">
        <v>1236</v>
      </c>
      <c r="G760" t="str">
        <f>_xlfn.XLOOKUP(frasest[[#This Row],[author_es]],autorest[author_es],autorest[author_la])</f>
        <v>Sententia Vasconica</v>
      </c>
      <c r="H760" t="str">
        <f>_xlfn.XLOOKUP(frasest[[#This Row],[author_es]],autorest[author_es],autorest[bio_es])</f>
        <v>Proverbios de la tradición oral vasca que reflejan la relación con la naturaleza, el trabajo y los valores comunitarios del pueblo vasco.</v>
      </c>
      <c r="I760" t="str">
        <f>_xlfn.XLOOKUP(frasest[[#This Row],[author_es]],autorest[author_es],autorest[bio_la])</f>
        <v>Collectio sententiarum Vasconicarum.</v>
      </c>
      <c r="J760" t="str">
        <f>_xlfn.XLOOKUP(frasest[[#This Row],[author_es]],autorest[author_es],autorest[iso3691])</f>
        <v>eu</v>
      </c>
      <c r="K760" t="str">
        <f>_xlfn.XLOOKUP(frasest[[#This Row],[author_es]],autorest[author_es],autorest[language_es])</f>
        <v>Euskara</v>
      </c>
      <c r="L760" t="str">
        <f>_xlfn.XLOOKUP(frasest[[#This Row],[author_es]],autorest[author_es],autorest[language_la])</f>
        <v>Lingua Vasconica</v>
      </c>
      <c r="M760" t="str">
        <f>_xlfn.XLOOKUP(frasest[[#This Row],[author_es]],autorest[author_es],autorest[nation_es])</f>
        <v>España</v>
      </c>
      <c r="N760" t="str">
        <f>_xlfn.XLOOKUP(frasest[[#This Row],[author_es]],autorest[author_es],autorest[nation_la])</f>
        <v>Hispania</v>
      </c>
      <c r="O760" t="str">
        <f>_xlfn.XLOOKUP(frasest[[#This Row],[author_es]],autorest[author_es],autorest[age_es])</f>
        <v>Epoca Desconocida</v>
      </c>
      <c r="P760" t="str">
        <f>_xlfn.XLOOKUP(frasest[[#This Row],[author_es]],autorest[author_es],autorest[age_la])</f>
        <v>Epocha Ignota</v>
      </c>
      <c r="Q760" t="str">
        <f>_xlfn.XLOOKUP(frasest[[#This Row],[author_es]],autorest[author_es],autorest[image])</f>
        <v>https://i.ibb.co/bjgxB3kn/euskadi.png</v>
      </c>
      <c r="R760">
        <f>_xlfn.XLOOKUP(frasest[[#This Row],[author_es]],autorest[author_es],autorest[image_atr])</f>
        <v>0</v>
      </c>
    </row>
    <row r="761" spans="1:18">
      <c r="A761">
        <v>760</v>
      </c>
      <c r="B761" t="s">
        <v>2560</v>
      </c>
      <c r="C761" t="s">
        <v>2561</v>
      </c>
      <c r="D761" t="s">
        <v>2562</v>
      </c>
      <c r="E761" t="s">
        <v>1236</v>
      </c>
      <c r="G761" t="str">
        <f>_xlfn.XLOOKUP(frasest[[#This Row],[author_es]],autorest[author_es],autorest[author_la])</f>
        <v>Sententia Vasconica</v>
      </c>
      <c r="H761" t="str">
        <f>_xlfn.XLOOKUP(frasest[[#This Row],[author_es]],autorest[author_es],autorest[bio_es])</f>
        <v>Proverbios de la tradición oral vasca que reflejan la relación con la naturaleza, el trabajo y los valores comunitarios del pueblo vasco.</v>
      </c>
      <c r="I761" t="str">
        <f>_xlfn.XLOOKUP(frasest[[#This Row],[author_es]],autorest[author_es],autorest[bio_la])</f>
        <v>Collectio sententiarum Vasconicarum.</v>
      </c>
      <c r="J761" t="str">
        <f>_xlfn.XLOOKUP(frasest[[#This Row],[author_es]],autorest[author_es],autorest[iso3691])</f>
        <v>eu</v>
      </c>
      <c r="K761" t="str">
        <f>_xlfn.XLOOKUP(frasest[[#This Row],[author_es]],autorest[author_es],autorest[language_es])</f>
        <v>Euskara</v>
      </c>
      <c r="L761" t="str">
        <f>_xlfn.XLOOKUP(frasest[[#This Row],[author_es]],autorest[author_es],autorest[language_la])</f>
        <v>Lingua Vasconica</v>
      </c>
      <c r="M761" t="str">
        <f>_xlfn.XLOOKUP(frasest[[#This Row],[author_es]],autorest[author_es],autorest[nation_es])</f>
        <v>España</v>
      </c>
      <c r="N761" t="str">
        <f>_xlfn.XLOOKUP(frasest[[#This Row],[author_es]],autorest[author_es],autorest[nation_la])</f>
        <v>Hispania</v>
      </c>
      <c r="O761" t="str">
        <f>_xlfn.XLOOKUP(frasest[[#This Row],[author_es]],autorest[author_es],autorest[age_es])</f>
        <v>Epoca Desconocida</v>
      </c>
      <c r="P761" t="str">
        <f>_xlfn.XLOOKUP(frasest[[#This Row],[author_es]],autorest[author_es],autorest[age_la])</f>
        <v>Epocha Ignota</v>
      </c>
      <c r="Q761" t="str">
        <f>_xlfn.XLOOKUP(frasest[[#This Row],[author_es]],autorest[author_es],autorest[image])</f>
        <v>https://i.ibb.co/bjgxB3kn/euskadi.png</v>
      </c>
      <c r="R761">
        <f>_xlfn.XLOOKUP(frasest[[#This Row],[author_es]],autorest[author_es],autorest[image_atr])</f>
        <v>0</v>
      </c>
    </row>
    <row r="762" spans="1:18">
      <c r="A762">
        <v>761</v>
      </c>
      <c r="B762" t="s">
        <v>2563</v>
      </c>
      <c r="C762" t="s">
        <v>2564</v>
      </c>
      <c r="D762" t="s">
        <v>2565</v>
      </c>
      <c r="E762" t="s">
        <v>1236</v>
      </c>
      <c r="G762" t="str">
        <f>_xlfn.XLOOKUP(frasest[[#This Row],[author_es]],autorest[author_es],autorest[author_la])</f>
        <v>Sententia Vasconica</v>
      </c>
      <c r="H762" t="str">
        <f>_xlfn.XLOOKUP(frasest[[#This Row],[author_es]],autorest[author_es],autorest[bio_es])</f>
        <v>Proverbios de la tradición oral vasca que reflejan la relación con la naturaleza, el trabajo y los valores comunitarios del pueblo vasco.</v>
      </c>
      <c r="I762" t="str">
        <f>_xlfn.XLOOKUP(frasest[[#This Row],[author_es]],autorest[author_es],autorest[bio_la])</f>
        <v>Collectio sententiarum Vasconicarum.</v>
      </c>
      <c r="J762" t="str">
        <f>_xlfn.XLOOKUP(frasest[[#This Row],[author_es]],autorest[author_es],autorest[iso3691])</f>
        <v>eu</v>
      </c>
      <c r="K762" t="str">
        <f>_xlfn.XLOOKUP(frasest[[#This Row],[author_es]],autorest[author_es],autorest[language_es])</f>
        <v>Euskara</v>
      </c>
      <c r="L762" t="str">
        <f>_xlfn.XLOOKUP(frasest[[#This Row],[author_es]],autorest[author_es],autorest[language_la])</f>
        <v>Lingua Vasconica</v>
      </c>
      <c r="M762" t="str">
        <f>_xlfn.XLOOKUP(frasest[[#This Row],[author_es]],autorest[author_es],autorest[nation_es])</f>
        <v>España</v>
      </c>
      <c r="N762" t="str">
        <f>_xlfn.XLOOKUP(frasest[[#This Row],[author_es]],autorest[author_es],autorest[nation_la])</f>
        <v>Hispania</v>
      </c>
      <c r="O762" t="str">
        <f>_xlfn.XLOOKUP(frasest[[#This Row],[author_es]],autorest[author_es],autorest[age_es])</f>
        <v>Epoca Desconocida</v>
      </c>
      <c r="P762" t="str">
        <f>_xlfn.XLOOKUP(frasest[[#This Row],[author_es]],autorest[author_es],autorest[age_la])</f>
        <v>Epocha Ignota</v>
      </c>
      <c r="Q762" t="str">
        <f>_xlfn.XLOOKUP(frasest[[#This Row],[author_es]],autorest[author_es],autorest[image])</f>
        <v>https://i.ibb.co/bjgxB3kn/euskadi.png</v>
      </c>
      <c r="R762">
        <f>_xlfn.XLOOKUP(frasest[[#This Row],[author_es]],autorest[author_es],autorest[image_atr])</f>
        <v>0</v>
      </c>
    </row>
    <row r="763" spans="1:18">
      <c r="A763">
        <v>762</v>
      </c>
      <c r="B763" t="s">
        <v>2566</v>
      </c>
      <c r="C763" t="s">
        <v>2567</v>
      </c>
      <c r="D763" t="s">
        <v>2568</v>
      </c>
      <c r="E763" t="s">
        <v>1236</v>
      </c>
      <c r="G763" t="str">
        <f>_xlfn.XLOOKUP(frasest[[#This Row],[author_es]],autorest[author_es],autorest[author_la])</f>
        <v>Sententia Vasconica</v>
      </c>
      <c r="H763" t="str">
        <f>_xlfn.XLOOKUP(frasest[[#This Row],[author_es]],autorest[author_es],autorest[bio_es])</f>
        <v>Proverbios de la tradición oral vasca que reflejan la relación con la naturaleza, el trabajo y los valores comunitarios del pueblo vasco.</v>
      </c>
      <c r="I763" t="str">
        <f>_xlfn.XLOOKUP(frasest[[#This Row],[author_es]],autorest[author_es],autorest[bio_la])</f>
        <v>Collectio sententiarum Vasconicarum.</v>
      </c>
      <c r="J763" t="str">
        <f>_xlfn.XLOOKUP(frasest[[#This Row],[author_es]],autorest[author_es],autorest[iso3691])</f>
        <v>eu</v>
      </c>
      <c r="K763" t="str">
        <f>_xlfn.XLOOKUP(frasest[[#This Row],[author_es]],autorest[author_es],autorest[language_es])</f>
        <v>Euskara</v>
      </c>
      <c r="L763" t="str">
        <f>_xlfn.XLOOKUP(frasest[[#This Row],[author_es]],autorest[author_es],autorest[language_la])</f>
        <v>Lingua Vasconica</v>
      </c>
      <c r="M763" t="str">
        <f>_xlfn.XLOOKUP(frasest[[#This Row],[author_es]],autorest[author_es],autorest[nation_es])</f>
        <v>España</v>
      </c>
      <c r="N763" t="str">
        <f>_xlfn.XLOOKUP(frasest[[#This Row],[author_es]],autorest[author_es],autorest[nation_la])</f>
        <v>Hispania</v>
      </c>
      <c r="O763" t="str">
        <f>_xlfn.XLOOKUP(frasest[[#This Row],[author_es]],autorest[author_es],autorest[age_es])</f>
        <v>Epoca Desconocida</v>
      </c>
      <c r="P763" t="str">
        <f>_xlfn.XLOOKUP(frasest[[#This Row],[author_es]],autorest[author_es],autorest[age_la])</f>
        <v>Epocha Ignota</v>
      </c>
      <c r="Q763" t="str">
        <f>_xlfn.XLOOKUP(frasest[[#This Row],[author_es]],autorest[author_es],autorest[image])</f>
        <v>https://i.ibb.co/bjgxB3kn/euskadi.png</v>
      </c>
      <c r="R763">
        <f>_xlfn.XLOOKUP(frasest[[#This Row],[author_es]],autorest[author_es],autorest[image_atr])</f>
        <v>0</v>
      </c>
    </row>
    <row r="764" spans="1:18">
      <c r="A764">
        <v>763</v>
      </c>
      <c r="B764" t="s">
        <v>2569</v>
      </c>
      <c r="C764" t="s">
        <v>2570</v>
      </c>
      <c r="D764" t="s">
        <v>2571</v>
      </c>
      <c r="E764" t="s">
        <v>1236</v>
      </c>
      <c r="G764" t="str">
        <f>_xlfn.XLOOKUP(frasest[[#This Row],[author_es]],autorest[author_es],autorest[author_la])</f>
        <v>Sententia Vasconica</v>
      </c>
      <c r="H764" t="str">
        <f>_xlfn.XLOOKUP(frasest[[#This Row],[author_es]],autorest[author_es],autorest[bio_es])</f>
        <v>Proverbios de la tradición oral vasca que reflejan la relación con la naturaleza, el trabajo y los valores comunitarios del pueblo vasco.</v>
      </c>
      <c r="I764" t="str">
        <f>_xlfn.XLOOKUP(frasest[[#This Row],[author_es]],autorest[author_es],autorest[bio_la])</f>
        <v>Collectio sententiarum Vasconicarum.</v>
      </c>
      <c r="J764" t="str">
        <f>_xlfn.XLOOKUP(frasest[[#This Row],[author_es]],autorest[author_es],autorest[iso3691])</f>
        <v>eu</v>
      </c>
      <c r="K764" t="str">
        <f>_xlfn.XLOOKUP(frasest[[#This Row],[author_es]],autorest[author_es],autorest[language_es])</f>
        <v>Euskara</v>
      </c>
      <c r="L764" t="str">
        <f>_xlfn.XLOOKUP(frasest[[#This Row],[author_es]],autorest[author_es],autorest[language_la])</f>
        <v>Lingua Vasconica</v>
      </c>
      <c r="M764" t="str">
        <f>_xlfn.XLOOKUP(frasest[[#This Row],[author_es]],autorest[author_es],autorest[nation_es])</f>
        <v>España</v>
      </c>
      <c r="N764" t="str">
        <f>_xlfn.XLOOKUP(frasest[[#This Row],[author_es]],autorest[author_es],autorest[nation_la])</f>
        <v>Hispania</v>
      </c>
      <c r="O764" t="str">
        <f>_xlfn.XLOOKUP(frasest[[#This Row],[author_es]],autorest[author_es],autorest[age_es])</f>
        <v>Epoca Desconocida</v>
      </c>
      <c r="P764" t="str">
        <f>_xlfn.XLOOKUP(frasest[[#This Row],[author_es]],autorest[author_es],autorest[age_la])</f>
        <v>Epocha Ignota</v>
      </c>
      <c r="Q764" t="str">
        <f>_xlfn.XLOOKUP(frasest[[#This Row],[author_es]],autorest[author_es],autorest[image])</f>
        <v>https://i.ibb.co/bjgxB3kn/euskadi.png</v>
      </c>
      <c r="R764">
        <f>_xlfn.XLOOKUP(frasest[[#This Row],[author_es]],autorest[author_es],autorest[image_atr])</f>
        <v>0</v>
      </c>
    </row>
    <row r="765" spans="1:18">
      <c r="A765">
        <v>764</v>
      </c>
      <c r="B765" t="s">
        <v>2572</v>
      </c>
      <c r="C765" t="s">
        <v>2573</v>
      </c>
      <c r="D765" t="s">
        <v>2574</v>
      </c>
      <c r="E765" t="s">
        <v>1236</v>
      </c>
      <c r="G765" t="str">
        <f>_xlfn.XLOOKUP(frasest[[#This Row],[author_es]],autorest[author_es],autorest[author_la])</f>
        <v>Sententia Vasconica</v>
      </c>
      <c r="H765" t="str">
        <f>_xlfn.XLOOKUP(frasest[[#This Row],[author_es]],autorest[author_es],autorest[bio_es])</f>
        <v>Proverbios de la tradición oral vasca que reflejan la relación con la naturaleza, el trabajo y los valores comunitarios del pueblo vasco.</v>
      </c>
      <c r="I765" t="str">
        <f>_xlfn.XLOOKUP(frasest[[#This Row],[author_es]],autorest[author_es],autorest[bio_la])</f>
        <v>Collectio sententiarum Vasconicarum.</v>
      </c>
      <c r="J765" t="str">
        <f>_xlfn.XLOOKUP(frasest[[#This Row],[author_es]],autorest[author_es],autorest[iso3691])</f>
        <v>eu</v>
      </c>
      <c r="K765" t="str">
        <f>_xlfn.XLOOKUP(frasest[[#This Row],[author_es]],autorest[author_es],autorest[language_es])</f>
        <v>Euskara</v>
      </c>
      <c r="L765" t="str">
        <f>_xlfn.XLOOKUP(frasest[[#This Row],[author_es]],autorest[author_es],autorest[language_la])</f>
        <v>Lingua Vasconica</v>
      </c>
      <c r="M765" t="str">
        <f>_xlfn.XLOOKUP(frasest[[#This Row],[author_es]],autorest[author_es],autorest[nation_es])</f>
        <v>España</v>
      </c>
      <c r="N765" t="str">
        <f>_xlfn.XLOOKUP(frasest[[#This Row],[author_es]],autorest[author_es],autorest[nation_la])</f>
        <v>Hispania</v>
      </c>
      <c r="O765" t="str">
        <f>_xlfn.XLOOKUP(frasest[[#This Row],[author_es]],autorest[author_es],autorest[age_es])</f>
        <v>Epoca Desconocida</v>
      </c>
      <c r="P765" t="str">
        <f>_xlfn.XLOOKUP(frasest[[#This Row],[author_es]],autorest[author_es],autorest[age_la])</f>
        <v>Epocha Ignota</v>
      </c>
      <c r="Q765" t="str">
        <f>_xlfn.XLOOKUP(frasest[[#This Row],[author_es]],autorest[author_es],autorest[image])</f>
        <v>https://i.ibb.co/bjgxB3kn/euskadi.png</v>
      </c>
      <c r="R765">
        <f>_xlfn.XLOOKUP(frasest[[#This Row],[author_es]],autorest[author_es],autorest[image_atr])</f>
        <v>0</v>
      </c>
    </row>
    <row r="766" spans="1:18">
      <c r="A766">
        <v>765</v>
      </c>
      <c r="B766" t="s">
        <v>2575</v>
      </c>
      <c r="C766" t="s">
        <v>2576</v>
      </c>
      <c r="D766" t="s">
        <v>2332</v>
      </c>
      <c r="E766" t="s">
        <v>1236</v>
      </c>
      <c r="G766" t="str">
        <f>_xlfn.XLOOKUP(frasest[[#This Row],[author_es]],autorest[author_es],autorest[author_la])</f>
        <v>Sententia Vasconica</v>
      </c>
      <c r="H766" t="str">
        <f>_xlfn.XLOOKUP(frasest[[#This Row],[author_es]],autorest[author_es],autorest[bio_es])</f>
        <v>Proverbios de la tradición oral vasca que reflejan la relación con la naturaleza, el trabajo y los valores comunitarios del pueblo vasco.</v>
      </c>
      <c r="I766" t="str">
        <f>_xlfn.XLOOKUP(frasest[[#This Row],[author_es]],autorest[author_es],autorest[bio_la])</f>
        <v>Collectio sententiarum Vasconicarum.</v>
      </c>
      <c r="J766" t="str">
        <f>_xlfn.XLOOKUP(frasest[[#This Row],[author_es]],autorest[author_es],autorest[iso3691])</f>
        <v>eu</v>
      </c>
      <c r="K766" t="str">
        <f>_xlfn.XLOOKUP(frasest[[#This Row],[author_es]],autorest[author_es],autorest[language_es])</f>
        <v>Euskara</v>
      </c>
      <c r="L766" t="str">
        <f>_xlfn.XLOOKUP(frasest[[#This Row],[author_es]],autorest[author_es],autorest[language_la])</f>
        <v>Lingua Vasconica</v>
      </c>
      <c r="M766" t="str">
        <f>_xlfn.XLOOKUP(frasest[[#This Row],[author_es]],autorest[author_es],autorest[nation_es])</f>
        <v>España</v>
      </c>
      <c r="N766" t="str">
        <f>_xlfn.XLOOKUP(frasest[[#This Row],[author_es]],autorest[author_es],autorest[nation_la])</f>
        <v>Hispania</v>
      </c>
      <c r="O766" t="str">
        <f>_xlfn.XLOOKUP(frasest[[#This Row],[author_es]],autorest[author_es],autorest[age_es])</f>
        <v>Epoca Desconocida</v>
      </c>
      <c r="P766" t="str">
        <f>_xlfn.XLOOKUP(frasest[[#This Row],[author_es]],autorest[author_es],autorest[age_la])</f>
        <v>Epocha Ignota</v>
      </c>
      <c r="Q766" t="str">
        <f>_xlfn.XLOOKUP(frasest[[#This Row],[author_es]],autorest[author_es],autorest[image])</f>
        <v>https://i.ibb.co/bjgxB3kn/euskadi.png</v>
      </c>
      <c r="R766">
        <f>_xlfn.XLOOKUP(frasest[[#This Row],[author_es]],autorest[author_es],autorest[image_atr])</f>
        <v>0</v>
      </c>
    </row>
    <row r="767" spans="1:18">
      <c r="A767">
        <v>766</v>
      </c>
      <c r="B767" t="s">
        <v>2577</v>
      </c>
      <c r="C767" t="s">
        <v>2578</v>
      </c>
      <c r="D767" t="s">
        <v>2579</v>
      </c>
      <c r="E767" t="s">
        <v>1236</v>
      </c>
      <c r="G767" t="str">
        <f>_xlfn.XLOOKUP(frasest[[#This Row],[author_es]],autorest[author_es],autorest[author_la])</f>
        <v>Sententia Vasconica</v>
      </c>
      <c r="H767" t="str">
        <f>_xlfn.XLOOKUP(frasest[[#This Row],[author_es]],autorest[author_es],autorest[bio_es])</f>
        <v>Proverbios de la tradición oral vasca que reflejan la relación con la naturaleza, el trabajo y los valores comunitarios del pueblo vasco.</v>
      </c>
      <c r="I767" t="str">
        <f>_xlfn.XLOOKUP(frasest[[#This Row],[author_es]],autorest[author_es],autorest[bio_la])</f>
        <v>Collectio sententiarum Vasconicarum.</v>
      </c>
      <c r="J767" t="str">
        <f>_xlfn.XLOOKUP(frasest[[#This Row],[author_es]],autorest[author_es],autorest[iso3691])</f>
        <v>eu</v>
      </c>
      <c r="K767" t="str">
        <f>_xlfn.XLOOKUP(frasest[[#This Row],[author_es]],autorest[author_es],autorest[language_es])</f>
        <v>Euskara</v>
      </c>
      <c r="L767" t="str">
        <f>_xlfn.XLOOKUP(frasest[[#This Row],[author_es]],autorest[author_es],autorest[language_la])</f>
        <v>Lingua Vasconica</v>
      </c>
      <c r="M767" t="str">
        <f>_xlfn.XLOOKUP(frasest[[#This Row],[author_es]],autorest[author_es],autorest[nation_es])</f>
        <v>España</v>
      </c>
      <c r="N767" t="str">
        <f>_xlfn.XLOOKUP(frasest[[#This Row],[author_es]],autorest[author_es],autorest[nation_la])</f>
        <v>Hispania</v>
      </c>
      <c r="O767" t="str">
        <f>_xlfn.XLOOKUP(frasest[[#This Row],[author_es]],autorest[author_es],autorest[age_es])</f>
        <v>Epoca Desconocida</v>
      </c>
      <c r="P767" t="str">
        <f>_xlfn.XLOOKUP(frasest[[#This Row],[author_es]],autorest[author_es],autorest[age_la])</f>
        <v>Epocha Ignota</v>
      </c>
      <c r="Q767" t="str">
        <f>_xlfn.XLOOKUP(frasest[[#This Row],[author_es]],autorest[author_es],autorest[image])</f>
        <v>https://i.ibb.co/bjgxB3kn/euskadi.png</v>
      </c>
      <c r="R767">
        <f>_xlfn.XLOOKUP(frasest[[#This Row],[author_es]],autorest[author_es],autorest[image_atr])</f>
        <v>0</v>
      </c>
    </row>
    <row r="768" spans="1:18">
      <c r="A768">
        <v>767</v>
      </c>
      <c r="B768" t="s">
        <v>2580</v>
      </c>
      <c r="C768" t="s">
        <v>2581</v>
      </c>
      <c r="D768" t="s">
        <v>2582</v>
      </c>
      <c r="E768" t="s">
        <v>1236</v>
      </c>
      <c r="G768" t="str">
        <f>_xlfn.XLOOKUP(frasest[[#This Row],[author_es]],autorest[author_es],autorest[author_la])</f>
        <v>Sententia Vasconica</v>
      </c>
      <c r="H768" t="str">
        <f>_xlfn.XLOOKUP(frasest[[#This Row],[author_es]],autorest[author_es],autorest[bio_es])</f>
        <v>Proverbios de la tradición oral vasca que reflejan la relación con la naturaleza, el trabajo y los valores comunitarios del pueblo vasco.</v>
      </c>
      <c r="I768" t="str">
        <f>_xlfn.XLOOKUP(frasest[[#This Row],[author_es]],autorest[author_es],autorest[bio_la])</f>
        <v>Collectio sententiarum Vasconicarum.</v>
      </c>
      <c r="J768" t="str">
        <f>_xlfn.XLOOKUP(frasest[[#This Row],[author_es]],autorest[author_es],autorest[iso3691])</f>
        <v>eu</v>
      </c>
      <c r="K768" t="str">
        <f>_xlfn.XLOOKUP(frasest[[#This Row],[author_es]],autorest[author_es],autorest[language_es])</f>
        <v>Euskara</v>
      </c>
      <c r="L768" t="str">
        <f>_xlfn.XLOOKUP(frasest[[#This Row],[author_es]],autorest[author_es],autorest[language_la])</f>
        <v>Lingua Vasconica</v>
      </c>
      <c r="M768" t="str">
        <f>_xlfn.XLOOKUP(frasest[[#This Row],[author_es]],autorest[author_es],autorest[nation_es])</f>
        <v>España</v>
      </c>
      <c r="N768" t="str">
        <f>_xlfn.XLOOKUP(frasest[[#This Row],[author_es]],autorest[author_es],autorest[nation_la])</f>
        <v>Hispania</v>
      </c>
      <c r="O768" t="str">
        <f>_xlfn.XLOOKUP(frasest[[#This Row],[author_es]],autorest[author_es],autorest[age_es])</f>
        <v>Epoca Desconocida</v>
      </c>
      <c r="P768" t="str">
        <f>_xlfn.XLOOKUP(frasest[[#This Row],[author_es]],autorest[author_es],autorest[age_la])</f>
        <v>Epocha Ignota</v>
      </c>
      <c r="Q768" t="str">
        <f>_xlfn.XLOOKUP(frasest[[#This Row],[author_es]],autorest[author_es],autorest[image])</f>
        <v>https://i.ibb.co/bjgxB3kn/euskadi.png</v>
      </c>
      <c r="R768">
        <f>_xlfn.XLOOKUP(frasest[[#This Row],[author_es]],autorest[author_es],autorest[image_atr])</f>
        <v>0</v>
      </c>
    </row>
    <row r="769" spans="1:18">
      <c r="A769">
        <v>768</v>
      </c>
      <c r="B769" t="s">
        <v>2583</v>
      </c>
      <c r="C769" t="s">
        <v>2584</v>
      </c>
      <c r="D769" t="s">
        <v>2585</v>
      </c>
      <c r="E769" t="s">
        <v>1236</v>
      </c>
      <c r="G769" t="str">
        <f>_xlfn.XLOOKUP(frasest[[#This Row],[author_es]],autorest[author_es],autorest[author_la])</f>
        <v>Sententia Vasconica</v>
      </c>
      <c r="H769" t="str">
        <f>_xlfn.XLOOKUP(frasest[[#This Row],[author_es]],autorest[author_es],autorest[bio_es])</f>
        <v>Proverbios de la tradición oral vasca que reflejan la relación con la naturaleza, el trabajo y los valores comunitarios del pueblo vasco.</v>
      </c>
      <c r="I769" t="str">
        <f>_xlfn.XLOOKUP(frasest[[#This Row],[author_es]],autorest[author_es],autorest[bio_la])</f>
        <v>Collectio sententiarum Vasconicarum.</v>
      </c>
      <c r="J769" t="str">
        <f>_xlfn.XLOOKUP(frasest[[#This Row],[author_es]],autorest[author_es],autorest[iso3691])</f>
        <v>eu</v>
      </c>
      <c r="K769" t="str">
        <f>_xlfn.XLOOKUP(frasest[[#This Row],[author_es]],autorest[author_es],autorest[language_es])</f>
        <v>Euskara</v>
      </c>
      <c r="L769" t="str">
        <f>_xlfn.XLOOKUP(frasest[[#This Row],[author_es]],autorest[author_es],autorest[language_la])</f>
        <v>Lingua Vasconica</v>
      </c>
      <c r="M769" t="str">
        <f>_xlfn.XLOOKUP(frasest[[#This Row],[author_es]],autorest[author_es],autorest[nation_es])</f>
        <v>España</v>
      </c>
      <c r="N769" t="str">
        <f>_xlfn.XLOOKUP(frasest[[#This Row],[author_es]],autorest[author_es],autorest[nation_la])</f>
        <v>Hispania</v>
      </c>
      <c r="O769" t="str">
        <f>_xlfn.XLOOKUP(frasest[[#This Row],[author_es]],autorest[author_es],autorest[age_es])</f>
        <v>Epoca Desconocida</v>
      </c>
      <c r="P769" t="str">
        <f>_xlfn.XLOOKUP(frasest[[#This Row],[author_es]],autorest[author_es],autorest[age_la])</f>
        <v>Epocha Ignota</v>
      </c>
      <c r="Q769" t="str">
        <f>_xlfn.XLOOKUP(frasest[[#This Row],[author_es]],autorest[author_es],autorest[image])</f>
        <v>https://i.ibb.co/bjgxB3kn/euskadi.png</v>
      </c>
      <c r="R769">
        <f>_xlfn.XLOOKUP(frasest[[#This Row],[author_es]],autorest[author_es],autorest[image_atr])</f>
        <v>0</v>
      </c>
    </row>
    <row r="770" spans="1:18">
      <c r="A770">
        <v>769</v>
      </c>
      <c r="B770" t="s">
        <v>2586</v>
      </c>
      <c r="C770" t="s">
        <v>2587</v>
      </c>
      <c r="D770" t="s">
        <v>2588</v>
      </c>
      <c r="E770" t="s">
        <v>1236</v>
      </c>
      <c r="G770" t="str">
        <f>_xlfn.XLOOKUP(frasest[[#This Row],[author_es]],autorest[author_es],autorest[author_la])</f>
        <v>Sententia Vasconica</v>
      </c>
      <c r="H770" t="str">
        <f>_xlfn.XLOOKUP(frasest[[#This Row],[author_es]],autorest[author_es],autorest[bio_es])</f>
        <v>Proverbios de la tradición oral vasca que reflejan la relación con la naturaleza, el trabajo y los valores comunitarios del pueblo vasco.</v>
      </c>
      <c r="I770" t="str">
        <f>_xlfn.XLOOKUP(frasest[[#This Row],[author_es]],autorest[author_es],autorest[bio_la])</f>
        <v>Collectio sententiarum Vasconicarum.</v>
      </c>
      <c r="J770" t="str">
        <f>_xlfn.XLOOKUP(frasest[[#This Row],[author_es]],autorest[author_es],autorest[iso3691])</f>
        <v>eu</v>
      </c>
      <c r="K770" t="str">
        <f>_xlfn.XLOOKUP(frasest[[#This Row],[author_es]],autorest[author_es],autorest[language_es])</f>
        <v>Euskara</v>
      </c>
      <c r="L770" t="str">
        <f>_xlfn.XLOOKUP(frasest[[#This Row],[author_es]],autorest[author_es],autorest[language_la])</f>
        <v>Lingua Vasconica</v>
      </c>
      <c r="M770" t="str">
        <f>_xlfn.XLOOKUP(frasest[[#This Row],[author_es]],autorest[author_es],autorest[nation_es])</f>
        <v>España</v>
      </c>
      <c r="N770" t="str">
        <f>_xlfn.XLOOKUP(frasest[[#This Row],[author_es]],autorest[author_es],autorest[nation_la])</f>
        <v>Hispania</v>
      </c>
      <c r="O770" t="str">
        <f>_xlfn.XLOOKUP(frasest[[#This Row],[author_es]],autorest[author_es],autorest[age_es])</f>
        <v>Epoca Desconocida</v>
      </c>
      <c r="P770" t="str">
        <f>_xlfn.XLOOKUP(frasest[[#This Row],[author_es]],autorest[author_es],autorest[age_la])</f>
        <v>Epocha Ignota</v>
      </c>
      <c r="Q770" t="str">
        <f>_xlfn.XLOOKUP(frasest[[#This Row],[author_es]],autorest[author_es],autorest[image])</f>
        <v>https://i.ibb.co/bjgxB3kn/euskadi.png</v>
      </c>
      <c r="R770">
        <f>_xlfn.XLOOKUP(frasest[[#This Row],[author_es]],autorest[author_es],autorest[image_atr])</f>
        <v>0</v>
      </c>
    </row>
    <row r="771" spans="1:18">
      <c r="A771">
        <v>770</v>
      </c>
      <c r="B771" t="s">
        <v>2589</v>
      </c>
      <c r="C771" t="s">
        <v>2590</v>
      </c>
      <c r="D771" t="s">
        <v>2591</v>
      </c>
      <c r="E771" t="s">
        <v>1236</v>
      </c>
      <c r="G771" t="str">
        <f>_xlfn.XLOOKUP(frasest[[#This Row],[author_es]],autorest[author_es],autorest[author_la])</f>
        <v>Sententia Vasconica</v>
      </c>
      <c r="H771" t="str">
        <f>_xlfn.XLOOKUP(frasest[[#This Row],[author_es]],autorest[author_es],autorest[bio_es])</f>
        <v>Proverbios de la tradición oral vasca que reflejan la relación con la naturaleza, el trabajo y los valores comunitarios del pueblo vasco.</v>
      </c>
      <c r="I771" t="str">
        <f>_xlfn.XLOOKUP(frasest[[#This Row],[author_es]],autorest[author_es],autorest[bio_la])</f>
        <v>Collectio sententiarum Vasconicarum.</v>
      </c>
      <c r="J771" t="str">
        <f>_xlfn.XLOOKUP(frasest[[#This Row],[author_es]],autorest[author_es],autorest[iso3691])</f>
        <v>eu</v>
      </c>
      <c r="K771" t="str">
        <f>_xlfn.XLOOKUP(frasest[[#This Row],[author_es]],autorest[author_es],autorest[language_es])</f>
        <v>Euskara</v>
      </c>
      <c r="L771" t="str">
        <f>_xlfn.XLOOKUP(frasest[[#This Row],[author_es]],autorest[author_es],autorest[language_la])</f>
        <v>Lingua Vasconica</v>
      </c>
      <c r="M771" t="str">
        <f>_xlfn.XLOOKUP(frasest[[#This Row],[author_es]],autorest[author_es],autorest[nation_es])</f>
        <v>España</v>
      </c>
      <c r="N771" t="str">
        <f>_xlfn.XLOOKUP(frasest[[#This Row],[author_es]],autorest[author_es],autorest[nation_la])</f>
        <v>Hispania</v>
      </c>
      <c r="O771" t="str">
        <f>_xlfn.XLOOKUP(frasest[[#This Row],[author_es]],autorest[author_es],autorest[age_es])</f>
        <v>Epoca Desconocida</v>
      </c>
      <c r="P771" t="str">
        <f>_xlfn.XLOOKUP(frasest[[#This Row],[author_es]],autorest[author_es],autorest[age_la])</f>
        <v>Epocha Ignota</v>
      </c>
      <c r="Q771" t="str">
        <f>_xlfn.XLOOKUP(frasest[[#This Row],[author_es]],autorest[author_es],autorest[image])</f>
        <v>https://i.ibb.co/bjgxB3kn/euskadi.png</v>
      </c>
      <c r="R771">
        <f>_xlfn.XLOOKUP(frasest[[#This Row],[author_es]],autorest[author_es],autorest[image_atr])</f>
        <v>0</v>
      </c>
    </row>
    <row r="772" spans="1:18">
      <c r="A772">
        <v>771</v>
      </c>
      <c r="B772" t="s">
        <v>2592</v>
      </c>
      <c r="C772" t="s">
        <v>2593</v>
      </c>
      <c r="D772" t="s">
        <v>2594</v>
      </c>
      <c r="E772" t="s">
        <v>1236</v>
      </c>
      <c r="G772" t="str">
        <f>_xlfn.XLOOKUP(frasest[[#This Row],[author_es]],autorest[author_es],autorest[author_la])</f>
        <v>Sententia Vasconica</v>
      </c>
      <c r="H772" t="str">
        <f>_xlfn.XLOOKUP(frasest[[#This Row],[author_es]],autorest[author_es],autorest[bio_es])</f>
        <v>Proverbios de la tradición oral vasca que reflejan la relación con la naturaleza, el trabajo y los valores comunitarios del pueblo vasco.</v>
      </c>
      <c r="I772" t="str">
        <f>_xlfn.XLOOKUP(frasest[[#This Row],[author_es]],autorest[author_es],autorest[bio_la])</f>
        <v>Collectio sententiarum Vasconicarum.</v>
      </c>
      <c r="J772" t="str">
        <f>_xlfn.XLOOKUP(frasest[[#This Row],[author_es]],autorest[author_es],autorest[iso3691])</f>
        <v>eu</v>
      </c>
      <c r="K772" t="str">
        <f>_xlfn.XLOOKUP(frasest[[#This Row],[author_es]],autorest[author_es],autorest[language_es])</f>
        <v>Euskara</v>
      </c>
      <c r="L772" t="str">
        <f>_xlfn.XLOOKUP(frasest[[#This Row],[author_es]],autorest[author_es],autorest[language_la])</f>
        <v>Lingua Vasconica</v>
      </c>
      <c r="M772" t="str">
        <f>_xlfn.XLOOKUP(frasest[[#This Row],[author_es]],autorest[author_es],autorest[nation_es])</f>
        <v>España</v>
      </c>
      <c r="N772" t="str">
        <f>_xlfn.XLOOKUP(frasest[[#This Row],[author_es]],autorest[author_es],autorest[nation_la])</f>
        <v>Hispania</v>
      </c>
      <c r="O772" t="str">
        <f>_xlfn.XLOOKUP(frasest[[#This Row],[author_es]],autorest[author_es],autorest[age_es])</f>
        <v>Epoca Desconocida</v>
      </c>
      <c r="P772" t="str">
        <f>_xlfn.XLOOKUP(frasest[[#This Row],[author_es]],autorest[author_es],autorest[age_la])</f>
        <v>Epocha Ignota</v>
      </c>
      <c r="Q772" t="str">
        <f>_xlfn.XLOOKUP(frasest[[#This Row],[author_es]],autorest[author_es],autorest[image])</f>
        <v>https://i.ibb.co/bjgxB3kn/euskadi.png</v>
      </c>
      <c r="R772">
        <f>_xlfn.XLOOKUP(frasest[[#This Row],[author_es]],autorest[author_es],autorest[image_atr])</f>
        <v>0</v>
      </c>
    </row>
    <row r="773" spans="1:18">
      <c r="A773">
        <v>772</v>
      </c>
      <c r="B773" t="s">
        <v>2595</v>
      </c>
      <c r="C773" t="s">
        <v>2596</v>
      </c>
      <c r="D773" t="s">
        <v>2597</v>
      </c>
      <c r="E773" t="s">
        <v>1236</v>
      </c>
      <c r="G773" t="str">
        <f>_xlfn.XLOOKUP(frasest[[#This Row],[author_es]],autorest[author_es],autorest[author_la])</f>
        <v>Sententia Vasconica</v>
      </c>
      <c r="H773" t="str">
        <f>_xlfn.XLOOKUP(frasest[[#This Row],[author_es]],autorest[author_es],autorest[bio_es])</f>
        <v>Proverbios de la tradición oral vasca que reflejan la relación con la naturaleza, el trabajo y los valores comunitarios del pueblo vasco.</v>
      </c>
      <c r="I773" t="str">
        <f>_xlfn.XLOOKUP(frasest[[#This Row],[author_es]],autorest[author_es],autorest[bio_la])</f>
        <v>Collectio sententiarum Vasconicarum.</v>
      </c>
      <c r="J773" t="str">
        <f>_xlfn.XLOOKUP(frasest[[#This Row],[author_es]],autorest[author_es],autorest[iso3691])</f>
        <v>eu</v>
      </c>
      <c r="K773" t="str">
        <f>_xlfn.XLOOKUP(frasest[[#This Row],[author_es]],autorest[author_es],autorest[language_es])</f>
        <v>Euskara</v>
      </c>
      <c r="L773" t="str">
        <f>_xlfn.XLOOKUP(frasest[[#This Row],[author_es]],autorest[author_es],autorest[language_la])</f>
        <v>Lingua Vasconica</v>
      </c>
      <c r="M773" t="str">
        <f>_xlfn.XLOOKUP(frasest[[#This Row],[author_es]],autorest[author_es],autorest[nation_es])</f>
        <v>España</v>
      </c>
      <c r="N773" t="str">
        <f>_xlfn.XLOOKUP(frasest[[#This Row],[author_es]],autorest[author_es],autorest[nation_la])</f>
        <v>Hispania</v>
      </c>
      <c r="O773" t="str">
        <f>_xlfn.XLOOKUP(frasest[[#This Row],[author_es]],autorest[author_es],autorest[age_es])</f>
        <v>Epoca Desconocida</v>
      </c>
      <c r="P773" t="str">
        <f>_xlfn.XLOOKUP(frasest[[#This Row],[author_es]],autorest[author_es],autorest[age_la])</f>
        <v>Epocha Ignota</v>
      </c>
      <c r="Q773" t="str">
        <f>_xlfn.XLOOKUP(frasest[[#This Row],[author_es]],autorest[author_es],autorest[image])</f>
        <v>https://i.ibb.co/bjgxB3kn/euskadi.png</v>
      </c>
      <c r="R773">
        <f>_xlfn.XLOOKUP(frasest[[#This Row],[author_es]],autorest[author_es],autorest[image_atr])</f>
        <v>0</v>
      </c>
    </row>
    <row r="774" spans="1:18">
      <c r="A774">
        <v>773</v>
      </c>
      <c r="B774" t="s">
        <v>2598</v>
      </c>
      <c r="C774" t="s">
        <v>2599</v>
      </c>
      <c r="D774" t="s">
        <v>2600</v>
      </c>
      <c r="E774" t="s">
        <v>1236</v>
      </c>
      <c r="G774" t="str">
        <f>_xlfn.XLOOKUP(frasest[[#This Row],[author_es]],autorest[author_es],autorest[author_la])</f>
        <v>Sententia Vasconica</v>
      </c>
      <c r="H774" t="str">
        <f>_xlfn.XLOOKUP(frasest[[#This Row],[author_es]],autorest[author_es],autorest[bio_es])</f>
        <v>Proverbios de la tradición oral vasca que reflejan la relación con la naturaleza, el trabajo y los valores comunitarios del pueblo vasco.</v>
      </c>
      <c r="I774" t="str">
        <f>_xlfn.XLOOKUP(frasest[[#This Row],[author_es]],autorest[author_es],autorest[bio_la])</f>
        <v>Collectio sententiarum Vasconicarum.</v>
      </c>
      <c r="J774" t="str">
        <f>_xlfn.XLOOKUP(frasest[[#This Row],[author_es]],autorest[author_es],autorest[iso3691])</f>
        <v>eu</v>
      </c>
      <c r="K774" t="str">
        <f>_xlfn.XLOOKUP(frasest[[#This Row],[author_es]],autorest[author_es],autorest[language_es])</f>
        <v>Euskara</v>
      </c>
      <c r="L774" t="str">
        <f>_xlfn.XLOOKUP(frasest[[#This Row],[author_es]],autorest[author_es],autorest[language_la])</f>
        <v>Lingua Vasconica</v>
      </c>
      <c r="M774" t="str">
        <f>_xlfn.XLOOKUP(frasest[[#This Row],[author_es]],autorest[author_es],autorest[nation_es])</f>
        <v>España</v>
      </c>
      <c r="N774" t="str">
        <f>_xlfn.XLOOKUP(frasest[[#This Row],[author_es]],autorest[author_es],autorest[nation_la])</f>
        <v>Hispania</v>
      </c>
      <c r="O774" t="str">
        <f>_xlfn.XLOOKUP(frasest[[#This Row],[author_es]],autorest[author_es],autorest[age_es])</f>
        <v>Epoca Desconocida</v>
      </c>
      <c r="P774" t="str">
        <f>_xlfn.XLOOKUP(frasest[[#This Row],[author_es]],autorest[author_es],autorest[age_la])</f>
        <v>Epocha Ignota</v>
      </c>
      <c r="Q774" t="str">
        <f>_xlfn.XLOOKUP(frasest[[#This Row],[author_es]],autorest[author_es],autorest[image])</f>
        <v>https://i.ibb.co/bjgxB3kn/euskadi.png</v>
      </c>
      <c r="R774">
        <f>_xlfn.XLOOKUP(frasest[[#This Row],[author_es]],autorest[author_es],autorest[image_atr])</f>
        <v>0</v>
      </c>
    </row>
    <row r="775" spans="1:18">
      <c r="A775">
        <v>774</v>
      </c>
      <c r="B775" t="s">
        <v>2601</v>
      </c>
      <c r="C775" t="s">
        <v>2602</v>
      </c>
      <c r="D775" t="s">
        <v>2603</v>
      </c>
      <c r="E775" t="s">
        <v>1236</v>
      </c>
      <c r="G775" t="str">
        <f>_xlfn.XLOOKUP(frasest[[#This Row],[author_es]],autorest[author_es],autorest[author_la])</f>
        <v>Sententia Vasconica</v>
      </c>
      <c r="H775" t="str">
        <f>_xlfn.XLOOKUP(frasest[[#This Row],[author_es]],autorest[author_es],autorest[bio_es])</f>
        <v>Proverbios de la tradición oral vasca que reflejan la relación con la naturaleza, el trabajo y los valores comunitarios del pueblo vasco.</v>
      </c>
      <c r="I775" t="str">
        <f>_xlfn.XLOOKUP(frasest[[#This Row],[author_es]],autorest[author_es],autorest[bio_la])</f>
        <v>Collectio sententiarum Vasconicarum.</v>
      </c>
      <c r="J775" t="str">
        <f>_xlfn.XLOOKUP(frasest[[#This Row],[author_es]],autorest[author_es],autorest[iso3691])</f>
        <v>eu</v>
      </c>
      <c r="K775" t="str">
        <f>_xlfn.XLOOKUP(frasest[[#This Row],[author_es]],autorest[author_es],autorest[language_es])</f>
        <v>Euskara</v>
      </c>
      <c r="L775" t="str">
        <f>_xlfn.XLOOKUP(frasest[[#This Row],[author_es]],autorest[author_es],autorest[language_la])</f>
        <v>Lingua Vasconica</v>
      </c>
      <c r="M775" t="str">
        <f>_xlfn.XLOOKUP(frasest[[#This Row],[author_es]],autorest[author_es],autorest[nation_es])</f>
        <v>España</v>
      </c>
      <c r="N775" t="str">
        <f>_xlfn.XLOOKUP(frasest[[#This Row],[author_es]],autorest[author_es],autorest[nation_la])</f>
        <v>Hispania</v>
      </c>
      <c r="O775" t="str">
        <f>_xlfn.XLOOKUP(frasest[[#This Row],[author_es]],autorest[author_es],autorest[age_es])</f>
        <v>Epoca Desconocida</v>
      </c>
      <c r="P775" t="str">
        <f>_xlfn.XLOOKUP(frasest[[#This Row],[author_es]],autorest[author_es],autorest[age_la])</f>
        <v>Epocha Ignota</v>
      </c>
      <c r="Q775" t="str">
        <f>_xlfn.XLOOKUP(frasest[[#This Row],[author_es]],autorest[author_es],autorest[image])</f>
        <v>https://i.ibb.co/bjgxB3kn/euskadi.png</v>
      </c>
      <c r="R775">
        <f>_xlfn.XLOOKUP(frasest[[#This Row],[author_es]],autorest[author_es],autorest[image_atr])</f>
        <v>0</v>
      </c>
    </row>
    <row r="776" spans="1:18">
      <c r="A776">
        <v>775</v>
      </c>
      <c r="B776" t="s">
        <v>2604</v>
      </c>
      <c r="C776" t="s">
        <v>2605</v>
      </c>
      <c r="D776" t="s">
        <v>2606</v>
      </c>
      <c r="E776" t="s">
        <v>1236</v>
      </c>
      <c r="G776" t="str">
        <f>_xlfn.XLOOKUP(frasest[[#This Row],[author_es]],autorest[author_es],autorest[author_la])</f>
        <v>Sententia Vasconica</v>
      </c>
      <c r="H776" t="str">
        <f>_xlfn.XLOOKUP(frasest[[#This Row],[author_es]],autorest[author_es],autorest[bio_es])</f>
        <v>Proverbios de la tradición oral vasca que reflejan la relación con la naturaleza, el trabajo y los valores comunitarios del pueblo vasco.</v>
      </c>
      <c r="I776" t="str">
        <f>_xlfn.XLOOKUP(frasest[[#This Row],[author_es]],autorest[author_es],autorest[bio_la])</f>
        <v>Collectio sententiarum Vasconicarum.</v>
      </c>
      <c r="J776" t="str">
        <f>_xlfn.XLOOKUP(frasest[[#This Row],[author_es]],autorest[author_es],autorest[iso3691])</f>
        <v>eu</v>
      </c>
      <c r="K776" t="str">
        <f>_xlfn.XLOOKUP(frasest[[#This Row],[author_es]],autorest[author_es],autorest[language_es])</f>
        <v>Euskara</v>
      </c>
      <c r="L776" t="str">
        <f>_xlfn.XLOOKUP(frasest[[#This Row],[author_es]],autorest[author_es],autorest[language_la])</f>
        <v>Lingua Vasconica</v>
      </c>
      <c r="M776" t="str">
        <f>_xlfn.XLOOKUP(frasest[[#This Row],[author_es]],autorest[author_es],autorest[nation_es])</f>
        <v>España</v>
      </c>
      <c r="N776" t="str">
        <f>_xlfn.XLOOKUP(frasest[[#This Row],[author_es]],autorest[author_es],autorest[nation_la])</f>
        <v>Hispania</v>
      </c>
      <c r="O776" t="str">
        <f>_xlfn.XLOOKUP(frasest[[#This Row],[author_es]],autorest[author_es],autorest[age_es])</f>
        <v>Epoca Desconocida</v>
      </c>
      <c r="P776" t="str">
        <f>_xlfn.XLOOKUP(frasest[[#This Row],[author_es]],autorest[author_es],autorest[age_la])</f>
        <v>Epocha Ignota</v>
      </c>
      <c r="Q776" t="str">
        <f>_xlfn.XLOOKUP(frasest[[#This Row],[author_es]],autorest[author_es],autorest[image])</f>
        <v>https://i.ibb.co/bjgxB3kn/euskadi.png</v>
      </c>
      <c r="R776">
        <f>_xlfn.XLOOKUP(frasest[[#This Row],[author_es]],autorest[author_es],autorest[image_atr])</f>
        <v>0</v>
      </c>
    </row>
    <row r="777" spans="1:18">
      <c r="A777">
        <v>776</v>
      </c>
      <c r="B777" t="s">
        <v>2607</v>
      </c>
      <c r="C777" t="s">
        <v>2608</v>
      </c>
      <c r="D777" t="s">
        <v>2609</v>
      </c>
      <c r="E777" t="s">
        <v>1236</v>
      </c>
      <c r="G777" t="str">
        <f>_xlfn.XLOOKUP(frasest[[#This Row],[author_es]],autorest[author_es],autorest[author_la])</f>
        <v>Sententia Vasconica</v>
      </c>
      <c r="H777" t="str">
        <f>_xlfn.XLOOKUP(frasest[[#This Row],[author_es]],autorest[author_es],autorest[bio_es])</f>
        <v>Proverbios de la tradición oral vasca que reflejan la relación con la naturaleza, el trabajo y los valores comunitarios del pueblo vasco.</v>
      </c>
      <c r="I777" t="str">
        <f>_xlfn.XLOOKUP(frasest[[#This Row],[author_es]],autorest[author_es],autorest[bio_la])</f>
        <v>Collectio sententiarum Vasconicarum.</v>
      </c>
      <c r="J777" t="str">
        <f>_xlfn.XLOOKUP(frasest[[#This Row],[author_es]],autorest[author_es],autorest[iso3691])</f>
        <v>eu</v>
      </c>
      <c r="K777" t="str">
        <f>_xlfn.XLOOKUP(frasest[[#This Row],[author_es]],autorest[author_es],autorest[language_es])</f>
        <v>Euskara</v>
      </c>
      <c r="L777" t="str">
        <f>_xlfn.XLOOKUP(frasest[[#This Row],[author_es]],autorest[author_es],autorest[language_la])</f>
        <v>Lingua Vasconica</v>
      </c>
      <c r="M777" t="str">
        <f>_xlfn.XLOOKUP(frasest[[#This Row],[author_es]],autorest[author_es],autorest[nation_es])</f>
        <v>España</v>
      </c>
      <c r="N777" t="str">
        <f>_xlfn.XLOOKUP(frasest[[#This Row],[author_es]],autorest[author_es],autorest[nation_la])</f>
        <v>Hispania</v>
      </c>
      <c r="O777" t="str">
        <f>_xlfn.XLOOKUP(frasest[[#This Row],[author_es]],autorest[author_es],autorest[age_es])</f>
        <v>Epoca Desconocida</v>
      </c>
      <c r="P777" t="str">
        <f>_xlfn.XLOOKUP(frasest[[#This Row],[author_es]],autorest[author_es],autorest[age_la])</f>
        <v>Epocha Ignota</v>
      </c>
      <c r="Q777" t="str">
        <f>_xlfn.XLOOKUP(frasest[[#This Row],[author_es]],autorest[author_es],autorest[image])</f>
        <v>https://i.ibb.co/bjgxB3kn/euskadi.png</v>
      </c>
      <c r="R777">
        <f>_xlfn.XLOOKUP(frasest[[#This Row],[author_es]],autorest[author_es],autorest[image_atr])</f>
        <v>0</v>
      </c>
    </row>
    <row r="778" spans="1:18">
      <c r="A778">
        <v>777</v>
      </c>
      <c r="B778" t="s">
        <v>2610</v>
      </c>
      <c r="C778" t="s">
        <v>2611</v>
      </c>
      <c r="D778" t="s">
        <v>2612</v>
      </c>
      <c r="E778" t="s">
        <v>1236</v>
      </c>
      <c r="G778" t="str">
        <f>_xlfn.XLOOKUP(frasest[[#This Row],[author_es]],autorest[author_es],autorest[author_la])</f>
        <v>Sententia Vasconica</v>
      </c>
      <c r="H778" t="str">
        <f>_xlfn.XLOOKUP(frasest[[#This Row],[author_es]],autorest[author_es],autorest[bio_es])</f>
        <v>Proverbios de la tradición oral vasca que reflejan la relación con la naturaleza, el trabajo y los valores comunitarios del pueblo vasco.</v>
      </c>
      <c r="I778" t="str">
        <f>_xlfn.XLOOKUP(frasest[[#This Row],[author_es]],autorest[author_es],autorest[bio_la])</f>
        <v>Collectio sententiarum Vasconicarum.</v>
      </c>
      <c r="J778" t="str">
        <f>_xlfn.XLOOKUP(frasest[[#This Row],[author_es]],autorest[author_es],autorest[iso3691])</f>
        <v>eu</v>
      </c>
      <c r="K778" t="str">
        <f>_xlfn.XLOOKUP(frasest[[#This Row],[author_es]],autorest[author_es],autorest[language_es])</f>
        <v>Euskara</v>
      </c>
      <c r="L778" t="str">
        <f>_xlfn.XLOOKUP(frasest[[#This Row],[author_es]],autorest[author_es],autorest[language_la])</f>
        <v>Lingua Vasconica</v>
      </c>
      <c r="M778" t="str">
        <f>_xlfn.XLOOKUP(frasest[[#This Row],[author_es]],autorest[author_es],autorest[nation_es])</f>
        <v>España</v>
      </c>
      <c r="N778" t="str">
        <f>_xlfn.XLOOKUP(frasest[[#This Row],[author_es]],autorest[author_es],autorest[nation_la])</f>
        <v>Hispania</v>
      </c>
      <c r="O778" t="str">
        <f>_xlfn.XLOOKUP(frasest[[#This Row],[author_es]],autorest[author_es],autorest[age_es])</f>
        <v>Epoca Desconocida</v>
      </c>
      <c r="P778" t="str">
        <f>_xlfn.XLOOKUP(frasest[[#This Row],[author_es]],autorest[author_es],autorest[age_la])</f>
        <v>Epocha Ignota</v>
      </c>
      <c r="Q778" t="str">
        <f>_xlfn.XLOOKUP(frasest[[#This Row],[author_es]],autorest[author_es],autorest[image])</f>
        <v>https://i.ibb.co/bjgxB3kn/euskadi.png</v>
      </c>
      <c r="R778">
        <f>_xlfn.XLOOKUP(frasest[[#This Row],[author_es]],autorest[author_es],autorest[image_atr])</f>
        <v>0</v>
      </c>
    </row>
    <row r="779" spans="1:18">
      <c r="A779">
        <v>778</v>
      </c>
      <c r="B779" t="s">
        <v>2613</v>
      </c>
      <c r="C779" t="s">
        <v>2614</v>
      </c>
      <c r="D779" t="s">
        <v>2615</v>
      </c>
      <c r="E779" t="s">
        <v>1236</v>
      </c>
      <c r="G779" t="str">
        <f>_xlfn.XLOOKUP(frasest[[#This Row],[author_es]],autorest[author_es],autorest[author_la])</f>
        <v>Sententia Vasconica</v>
      </c>
      <c r="H779" t="str">
        <f>_xlfn.XLOOKUP(frasest[[#This Row],[author_es]],autorest[author_es],autorest[bio_es])</f>
        <v>Proverbios de la tradición oral vasca que reflejan la relación con la naturaleza, el trabajo y los valores comunitarios del pueblo vasco.</v>
      </c>
      <c r="I779" t="str">
        <f>_xlfn.XLOOKUP(frasest[[#This Row],[author_es]],autorest[author_es],autorest[bio_la])</f>
        <v>Collectio sententiarum Vasconicarum.</v>
      </c>
      <c r="J779" t="str">
        <f>_xlfn.XLOOKUP(frasest[[#This Row],[author_es]],autorest[author_es],autorest[iso3691])</f>
        <v>eu</v>
      </c>
      <c r="K779" t="str">
        <f>_xlfn.XLOOKUP(frasest[[#This Row],[author_es]],autorest[author_es],autorest[language_es])</f>
        <v>Euskara</v>
      </c>
      <c r="L779" t="str">
        <f>_xlfn.XLOOKUP(frasest[[#This Row],[author_es]],autorest[author_es],autorest[language_la])</f>
        <v>Lingua Vasconica</v>
      </c>
      <c r="M779" t="str">
        <f>_xlfn.XLOOKUP(frasest[[#This Row],[author_es]],autorest[author_es],autorest[nation_es])</f>
        <v>España</v>
      </c>
      <c r="N779" t="str">
        <f>_xlfn.XLOOKUP(frasest[[#This Row],[author_es]],autorest[author_es],autorest[nation_la])</f>
        <v>Hispania</v>
      </c>
      <c r="O779" t="str">
        <f>_xlfn.XLOOKUP(frasest[[#This Row],[author_es]],autorest[author_es],autorest[age_es])</f>
        <v>Epoca Desconocida</v>
      </c>
      <c r="P779" t="str">
        <f>_xlfn.XLOOKUP(frasest[[#This Row],[author_es]],autorest[author_es],autorest[age_la])</f>
        <v>Epocha Ignota</v>
      </c>
      <c r="Q779" t="str">
        <f>_xlfn.XLOOKUP(frasest[[#This Row],[author_es]],autorest[author_es],autorest[image])</f>
        <v>https://i.ibb.co/bjgxB3kn/euskadi.png</v>
      </c>
      <c r="R779">
        <f>_xlfn.XLOOKUP(frasest[[#This Row],[author_es]],autorest[author_es],autorest[image_atr])</f>
        <v>0</v>
      </c>
    </row>
    <row r="780" spans="1:18">
      <c r="A780">
        <v>779</v>
      </c>
      <c r="B780" t="s">
        <v>2616</v>
      </c>
      <c r="C780" t="s">
        <v>2617</v>
      </c>
      <c r="D780" t="s">
        <v>2618</v>
      </c>
      <c r="E780" t="s">
        <v>1236</v>
      </c>
      <c r="G780" t="str">
        <f>_xlfn.XLOOKUP(frasest[[#This Row],[author_es]],autorest[author_es],autorest[author_la])</f>
        <v>Sententia Vasconica</v>
      </c>
      <c r="H780" t="str">
        <f>_xlfn.XLOOKUP(frasest[[#This Row],[author_es]],autorest[author_es],autorest[bio_es])</f>
        <v>Proverbios de la tradición oral vasca que reflejan la relación con la naturaleza, el trabajo y los valores comunitarios del pueblo vasco.</v>
      </c>
      <c r="I780" t="str">
        <f>_xlfn.XLOOKUP(frasest[[#This Row],[author_es]],autorest[author_es],autorest[bio_la])</f>
        <v>Collectio sententiarum Vasconicarum.</v>
      </c>
      <c r="J780" t="str">
        <f>_xlfn.XLOOKUP(frasest[[#This Row],[author_es]],autorest[author_es],autorest[iso3691])</f>
        <v>eu</v>
      </c>
      <c r="K780" t="str">
        <f>_xlfn.XLOOKUP(frasest[[#This Row],[author_es]],autorest[author_es],autorest[language_es])</f>
        <v>Euskara</v>
      </c>
      <c r="L780" t="str">
        <f>_xlfn.XLOOKUP(frasest[[#This Row],[author_es]],autorest[author_es],autorest[language_la])</f>
        <v>Lingua Vasconica</v>
      </c>
      <c r="M780" t="str">
        <f>_xlfn.XLOOKUP(frasest[[#This Row],[author_es]],autorest[author_es],autorest[nation_es])</f>
        <v>España</v>
      </c>
      <c r="N780" t="str">
        <f>_xlfn.XLOOKUP(frasest[[#This Row],[author_es]],autorest[author_es],autorest[nation_la])</f>
        <v>Hispania</v>
      </c>
      <c r="O780" t="str">
        <f>_xlfn.XLOOKUP(frasest[[#This Row],[author_es]],autorest[author_es],autorest[age_es])</f>
        <v>Epoca Desconocida</v>
      </c>
      <c r="P780" t="str">
        <f>_xlfn.XLOOKUP(frasest[[#This Row],[author_es]],autorest[author_es],autorest[age_la])</f>
        <v>Epocha Ignota</v>
      </c>
      <c r="Q780" t="str">
        <f>_xlfn.XLOOKUP(frasest[[#This Row],[author_es]],autorest[author_es],autorest[image])</f>
        <v>https://i.ibb.co/bjgxB3kn/euskadi.png</v>
      </c>
      <c r="R780">
        <f>_xlfn.XLOOKUP(frasest[[#This Row],[author_es]],autorest[author_es],autorest[image_atr])</f>
        <v>0</v>
      </c>
    </row>
    <row r="781" spans="1:18">
      <c r="A781">
        <v>780</v>
      </c>
      <c r="B781" t="s">
        <v>2619</v>
      </c>
      <c r="C781" t="s">
        <v>2620</v>
      </c>
      <c r="D781" t="s">
        <v>2621</v>
      </c>
      <c r="E781" t="s">
        <v>1236</v>
      </c>
      <c r="G781" t="str">
        <f>_xlfn.XLOOKUP(frasest[[#This Row],[author_es]],autorest[author_es],autorest[author_la])</f>
        <v>Sententia Vasconica</v>
      </c>
      <c r="H781" t="str">
        <f>_xlfn.XLOOKUP(frasest[[#This Row],[author_es]],autorest[author_es],autorest[bio_es])</f>
        <v>Proverbios de la tradición oral vasca que reflejan la relación con la naturaleza, el trabajo y los valores comunitarios del pueblo vasco.</v>
      </c>
      <c r="I781" t="str">
        <f>_xlfn.XLOOKUP(frasest[[#This Row],[author_es]],autorest[author_es],autorest[bio_la])</f>
        <v>Collectio sententiarum Vasconicarum.</v>
      </c>
      <c r="J781" t="str">
        <f>_xlfn.XLOOKUP(frasest[[#This Row],[author_es]],autorest[author_es],autorest[iso3691])</f>
        <v>eu</v>
      </c>
      <c r="K781" t="str">
        <f>_xlfn.XLOOKUP(frasest[[#This Row],[author_es]],autorest[author_es],autorest[language_es])</f>
        <v>Euskara</v>
      </c>
      <c r="L781" t="str">
        <f>_xlfn.XLOOKUP(frasest[[#This Row],[author_es]],autorest[author_es],autorest[language_la])</f>
        <v>Lingua Vasconica</v>
      </c>
      <c r="M781" t="str">
        <f>_xlfn.XLOOKUP(frasest[[#This Row],[author_es]],autorest[author_es],autorest[nation_es])</f>
        <v>España</v>
      </c>
      <c r="N781" t="str">
        <f>_xlfn.XLOOKUP(frasest[[#This Row],[author_es]],autorest[author_es],autorest[nation_la])</f>
        <v>Hispania</v>
      </c>
      <c r="O781" t="str">
        <f>_xlfn.XLOOKUP(frasest[[#This Row],[author_es]],autorest[author_es],autorest[age_es])</f>
        <v>Epoca Desconocida</v>
      </c>
      <c r="P781" t="str">
        <f>_xlfn.XLOOKUP(frasest[[#This Row],[author_es]],autorest[author_es],autorest[age_la])</f>
        <v>Epocha Ignota</v>
      </c>
      <c r="Q781" t="str">
        <f>_xlfn.XLOOKUP(frasest[[#This Row],[author_es]],autorest[author_es],autorest[image])</f>
        <v>https://i.ibb.co/bjgxB3kn/euskadi.png</v>
      </c>
      <c r="R781">
        <f>_xlfn.XLOOKUP(frasest[[#This Row],[author_es]],autorest[author_es],autorest[image_atr])</f>
        <v>0</v>
      </c>
    </row>
    <row r="782" spans="1:18">
      <c r="A782">
        <v>781</v>
      </c>
      <c r="B782" t="s">
        <v>2622</v>
      </c>
      <c r="C782" t="s">
        <v>2623</v>
      </c>
      <c r="D782" t="s">
        <v>2624</v>
      </c>
      <c r="E782" t="s">
        <v>1236</v>
      </c>
      <c r="G782" t="str">
        <f>_xlfn.XLOOKUP(frasest[[#This Row],[author_es]],autorest[author_es],autorest[author_la])</f>
        <v>Sententia Vasconica</v>
      </c>
      <c r="H782" t="str">
        <f>_xlfn.XLOOKUP(frasest[[#This Row],[author_es]],autorest[author_es],autorest[bio_es])</f>
        <v>Proverbios de la tradición oral vasca que reflejan la relación con la naturaleza, el trabajo y los valores comunitarios del pueblo vasco.</v>
      </c>
      <c r="I782" t="str">
        <f>_xlfn.XLOOKUP(frasest[[#This Row],[author_es]],autorest[author_es],autorest[bio_la])</f>
        <v>Collectio sententiarum Vasconicarum.</v>
      </c>
      <c r="J782" t="str">
        <f>_xlfn.XLOOKUP(frasest[[#This Row],[author_es]],autorest[author_es],autorest[iso3691])</f>
        <v>eu</v>
      </c>
      <c r="K782" t="str">
        <f>_xlfn.XLOOKUP(frasest[[#This Row],[author_es]],autorest[author_es],autorest[language_es])</f>
        <v>Euskara</v>
      </c>
      <c r="L782" t="str">
        <f>_xlfn.XLOOKUP(frasest[[#This Row],[author_es]],autorest[author_es],autorest[language_la])</f>
        <v>Lingua Vasconica</v>
      </c>
      <c r="M782" t="str">
        <f>_xlfn.XLOOKUP(frasest[[#This Row],[author_es]],autorest[author_es],autorest[nation_es])</f>
        <v>España</v>
      </c>
      <c r="N782" t="str">
        <f>_xlfn.XLOOKUP(frasest[[#This Row],[author_es]],autorest[author_es],autorest[nation_la])</f>
        <v>Hispania</v>
      </c>
      <c r="O782" t="str">
        <f>_xlfn.XLOOKUP(frasest[[#This Row],[author_es]],autorest[author_es],autorest[age_es])</f>
        <v>Epoca Desconocida</v>
      </c>
      <c r="P782" t="str">
        <f>_xlfn.XLOOKUP(frasest[[#This Row],[author_es]],autorest[author_es],autorest[age_la])</f>
        <v>Epocha Ignota</v>
      </c>
      <c r="Q782" t="str">
        <f>_xlfn.XLOOKUP(frasest[[#This Row],[author_es]],autorest[author_es],autorest[image])</f>
        <v>https://i.ibb.co/bjgxB3kn/euskadi.png</v>
      </c>
      <c r="R782">
        <f>_xlfn.XLOOKUP(frasest[[#This Row],[author_es]],autorest[author_es],autorest[image_atr])</f>
        <v>0</v>
      </c>
    </row>
    <row r="783" spans="1:18">
      <c r="A783">
        <v>782</v>
      </c>
      <c r="B783" t="s">
        <v>2625</v>
      </c>
      <c r="C783" t="s">
        <v>2626</v>
      </c>
      <c r="D783" t="s">
        <v>2627</v>
      </c>
      <c r="E783" t="s">
        <v>1236</v>
      </c>
      <c r="G783" t="str">
        <f>_xlfn.XLOOKUP(frasest[[#This Row],[author_es]],autorest[author_es],autorest[author_la])</f>
        <v>Sententia Vasconica</v>
      </c>
      <c r="H783" t="str">
        <f>_xlfn.XLOOKUP(frasest[[#This Row],[author_es]],autorest[author_es],autorest[bio_es])</f>
        <v>Proverbios de la tradición oral vasca que reflejan la relación con la naturaleza, el trabajo y los valores comunitarios del pueblo vasco.</v>
      </c>
      <c r="I783" t="str">
        <f>_xlfn.XLOOKUP(frasest[[#This Row],[author_es]],autorest[author_es],autorest[bio_la])</f>
        <v>Collectio sententiarum Vasconicarum.</v>
      </c>
      <c r="J783" t="str">
        <f>_xlfn.XLOOKUP(frasest[[#This Row],[author_es]],autorest[author_es],autorest[iso3691])</f>
        <v>eu</v>
      </c>
      <c r="K783" t="str">
        <f>_xlfn.XLOOKUP(frasest[[#This Row],[author_es]],autorest[author_es],autorest[language_es])</f>
        <v>Euskara</v>
      </c>
      <c r="L783" t="str">
        <f>_xlfn.XLOOKUP(frasest[[#This Row],[author_es]],autorest[author_es],autorest[language_la])</f>
        <v>Lingua Vasconica</v>
      </c>
      <c r="M783" t="str">
        <f>_xlfn.XLOOKUP(frasest[[#This Row],[author_es]],autorest[author_es],autorest[nation_es])</f>
        <v>España</v>
      </c>
      <c r="N783" t="str">
        <f>_xlfn.XLOOKUP(frasest[[#This Row],[author_es]],autorest[author_es],autorest[nation_la])</f>
        <v>Hispania</v>
      </c>
      <c r="O783" t="str">
        <f>_xlfn.XLOOKUP(frasest[[#This Row],[author_es]],autorest[author_es],autorest[age_es])</f>
        <v>Epoca Desconocida</v>
      </c>
      <c r="P783" t="str">
        <f>_xlfn.XLOOKUP(frasest[[#This Row],[author_es]],autorest[author_es],autorest[age_la])</f>
        <v>Epocha Ignota</v>
      </c>
      <c r="Q783" t="str">
        <f>_xlfn.XLOOKUP(frasest[[#This Row],[author_es]],autorest[author_es],autorest[image])</f>
        <v>https://i.ibb.co/bjgxB3kn/euskadi.png</v>
      </c>
      <c r="R783">
        <f>_xlfn.XLOOKUP(frasest[[#This Row],[author_es]],autorest[author_es],autorest[image_atr])</f>
        <v>0</v>
      </c>
    </row>
    <row r="784" spans="1:18">
      <c r="A784">
        <v>783</v>
      </c>
      <c r="B784" t="s">
        <v>2628</v>
      </c>
      <c r="C784" t="s">
        <v>2629</v>
      </c>
      <c r="D784" t="s">
        <v>2630</v>
      </c>
      <c r="E784" t="s">
        <v>1236</v>
      </c>
      <c r="G784" t="str">
        <f>_xlfn.XLOOKUP(frasest[[#This Row],[author_es]],autorest[author_es],autorest[author_la])</f>
        <v>Sententia Vasconica</v>
      </c>
      <c r="H784" t="str">
        <f>_xlfn.XLOOKUP(frasest[[#This Row],[author_es]],autorest[author_es],autorest[bio_es])</f>
        <v>Proverbios de la tradición oral vasca que reflejan la relación con la naturaleza, el trabajo y los valores comunitarios del pueblo vasco.</v>
      </c>
      <c r="I784" t="str">
        <f>_xlfn.XLOOKUP(frasest[[#This Row],[author_es]],autorest[author_es],autorest[bio_la])</f>
        <v>Collectio sententiarum Vasconicarum.</v>
      </c>
      <c r="J784" t="str">
        <f>_xlfn.XLOOKUP(frasest[[#This Row],[author_es]],autorest[author_es],autorest[iso3691])</f>
        <v>eu</v>
      </c>
      <c r="K784" t="str">
        <f>_xlfn.XLOOKUP(frasest[[#This Row],[author_es]],autorest[author_es],autorest[language_es])</f>
        <v>Euskara</v>
      </c>
      <c r="L784" t="str">
        <f>_xlfn.XLOOKUP(frasest[[#This Row],[author_es]],autorest[author_es],autorest[language_la])</f>
        <v>Lingua Vasconica</v>
      </c>
      <c r="M784" t="str">
        <f>_xlfn.XLOOKUP(frasest[[#This Row],[author_es]],autorest[author_es],autorest[nation_es])</f>
        <v>España</v>
      </c>
      <c r="N784" t="str">
        <f>_xlfn.XLOOKUP(frasest[[#This Row],[author_es]],autorest[author_es],autorest[nation_la])</f>
        <v>Hispania</v>
      </c>
      <c r="O784" t="str">
        <f>_xlfn.XLOOKUP(frasest[[#This Row],[author_es]],autorest[author_es],autorest[age_es])</f>
        <v>Epoca Desconocida</v>
      </c>
      <c r="P784" t="str">
        <f>_xlfn.XLOOKUP(frasest[[#This Row],[author_es]],autorest[author_es],autorest[age_la])</f>
        <v>Epocha Ignota</v>
      </c>
      <c r="Q784" t="str">
        <f>_xlfn.XLOOKUP(frasest[[#This Row],[author_es]],autorest[author_es],autorest[image])</f>
        <v>https://i.ibb.co/bjgxB3kn/euskadi.png</v>
      </c>
      <c r="R784">
        <f>_xlfn.XLOOKUP(frasest[[#This Row],[author_es]],autorest[author_es],autorest[image_atr])</f>
        <v>0</v>
      </c>
    </row>
    <row r="785" spans="1:18">
      <c r="A785">
        <v>784</v>
      </c>
      <c r="B785" t="s">
        <v>2631</v>
      </c>
      <c r="C785" t="s">
        <v>2632</v>
      </c>
      <c r="D785" t="s">
        <v>2633</v>
      </c>
      <c r="E785" t="s">
        <v>1236</v>
      </c>
      <c r="G785" t="str">
        <f>_xlfn.XLOOKUP(frasest[[#This Row],[author_es]],autorest[author_es],autorest[author_la])</f>
        <v>Sententia Vasconica</v>
      </c>
      <c r="H785" t="str">
        <f>_xlfn.XLOOKUP(frasest[[#This Row],[author_es]],autorest[author_es],autorest[bio_es])</f>
        <v>Proverbios de la tradición oral vasca que reflejan la relación con la naturaleza, el trabajo y los valores comunitarios del pueblo vasco.</v>
      </c>
      <c r="I785" t="str">
        <f>_xlfn.XLOOKUP(frasest[[#This Row],[author_es]],autorest[author_es],autorest[bio_la])</f>
        <v>Collectio sententiarum Vasconicarum.</v>
      </c>
      <c r="J785" t="str">
        <f>_xlfn.XLOOKUP(frasest[[#This Row],[author_es]],autorest[author_es],autorest[iso3691])</f>
        <v>eu</v>
      </c>
      <c r="K785" t="str">
        <f>_xlfn.XLOOKUP(frasest[[#This Row],[author_es]],autorest[author_es],autorest[language_es])</f>
        <v>Euskara</v>
      </c>
      <c r="L785" t="str">
        <f>_xlfn.XLOOKUP(frasest[[#This Row],[author_es]],autorest[author_es],autorest[language_la])</f>
        <v>Lingua Vasconica</v>
      </c>
      <c r="M785" t="str">
        <f>_xlfn.XLOOKUP(frasest[[#This Row],[author_es]],autorest[author_es],autorest[nation_es])</f>
        <v>España</v>
      </c>
      <c r="N785" t="str">
        <f>_xlfn.XLOOKUP(frasest[[#This Row],[author_es]],autorest[author_es],autorest[nation_la])</f>
        <v>Hispania</v>
      </c>
      <c r="O785" t="str">
        <f>_xlfn.XLOOKUP(frasest[[#This Row],[author_es]],autorest[author_es],autorest[age_es])</f>
        <v>Epoca Desconocida</v>
      </c>
      <c r="P785" t="str">
        <f>_xlfn.XLOOKUP(frasest[[#This Row],[author_es]],autorest[author_es],autorest[age_la])</f>
        <v>Epocha Ignota</v>
      </c>
      <c r="Q785" t="str">
        <f>_xlfn.XLOOKUP(frasest[[#This Row],[author_es]],autorest[author_es],autorest[image])</f>
        <v>https://i.ibb.co/bjgxB3kn/euskadi.png</v>
      </c>
      <c r="R785">
        <f>_xlfn.XLOOKUP(frasest[[#This Row],[author_es]],autorest[author_es],autorest[image_atr])</f>
        <v>0</v>
      </c>
    </row>
    <row r="786" spans="1:18">
      <c r="A786">
        <v>785</v>
      </c>
      <c r="B786" t="s">
        <v>2634</v>
      </c>
      <c r="C786" t="s">
        <v>2635</v>
      </c>
      <c r="D786" t="s">
        <v>2636</v>
      </c>
      <c r="E786" t="s">
        <v>1236</v>
      </c>
      <c r="G786" t="str">
        <f>_xlfn.XLOOKUP(frasest[[#This Row],[author_es]],autorest[author_es],autorest[author_la])</f>
        <v>Sententia Vasconica</v>
      </c>
      <c r="H786" t="str">
        <f>_xlfn.XLOOKUP(frasest[[#This Row],[author_es]],autorest[author_es],autorest[bio_es])</f>
        <v>Proverbios de la tradición oral vasca que reflejan la relación con la naturaleza, el trabajo y los valores comunitarios del pueblo vasco.</v>
      </c>
      <c r="I786" t="str">
        <f>_xlfn.XLOOKUP(frasest[[#This Row],[author_es]],autorest[author_es],autorest[bio_la])</f>
        <v>Collectio sententiarum Vasconicarum.</v>
      </c>
      <c r="J786" t="str">
        <f>_xlfn.XLOOKUP(frasest[[#This Row],[author_es]],autorest[author_es],autorest[iso3691])</f>
        <v>eu</v>
      </c>
      <c r="K786" t="str">
        <f>_xlfn.XLOOKUP(frasest[[#This Row],[author_es]],autorest[author_es],autorest[language_es])</f>
        <v>Euskara</v>
      </c>
      <c r="L786" t="str">
        <f>_xlfn.XLOOKUP(frasest[[#This Row],[author_es]],autorest[author_es],autorest[language_la])</f>
        <v>Lingua Vasconica</v>
      </c>
      <c r="M786" t="str">
        <f>_xlfn.XLOOKUP(frasest[[#This Row],[author_es]],autorest[author_es],autorest[nation_es])</f>
        <v>España</v>
      </c>
      <c r="N786" t="str">
        <f>_xlfn.XLOOKUP(frasest[[#This Row],[author_es]],autorest[author_es],autorest[nation_la])</f>
        <v>Hispania</v>
      </c>
      <c r="O786" t="str">
        <f>_xlfn.XLOOKUP(frasest[[#This Row],[author_es]],autorest[author_es],autorest[age_es])</f>
        <v>Epoca Desconocida</v>
      </c>
      <c r="P786" t="str">
        <f>_xlfn.XLOOKUP(frasest[[#This Row],[author_es]],autorest[author_es],autorest[age_la])</f>
        <v>Epocha Ignota</v>
      </c>
      <c r="Q786" t="str">
        <f>_xlfn.XLOOKUP(frasest[[#This Row],[author_es]],autorest[author_es],autorest[image])</f>
        <v>https://i.ibb.co/bjgxB3kn/euskadi.png</v>
      </c>
      <c r="R786">
        <f>_xlfn.XLOOKUP(frasest[[#This Row],[author_es]],autorest[author_es],autorest[image_atr])</f>
        <v>0</v>
      </c>
    </row>
    <row r="787" spans="1:18">
      <c r="A787">
        <v>786</v>
      </c>
      <c r="B787" t="s">
        <v>2637</v>
      </c>
      <c r="C787" t="s">
        <v>2638</v>
      </c>
      <c r="D787" t="s">
        <v>2639</v>
      </c>
      <c r="E787" t="s">
        <v>1236</v>
      </c>
      <c r="G787" t="str">
        <f>_xlfn.XLOOKUP(frasest[[#This Row],[author_es]],autorest[author_es],autorest[author_la])</f>
        <v>Sententia Vasconica</v>
      </c>
      <c r="H787" t="str">
        <f>_xlfn.XLOOKUP(frasest[[#This Row],[author_es]],autorest[author_es],autorest[bio_es])</f>
        <v>Proverbios de la tradición oral vasca que reflejan la relación con la naturaleza, el trabajo y los valores comunitarios del pueblo vasco.</v>
      </c>
      <c r="I787" t="str">
        <f>_xlfn.XLOOKUP(frasest[[#This Row],[author_es]],autorest[author_es],autorest[bio_la])</f>
        <v>Collectio sententiarum Vasconicarum.</v>
      </c>
      <c r="J787" t="str">
        <f>_xlfn.XLOOKUP(frasest[[#This Row],[author_es]],autorest[author_es],autorest[iso3691])</f>
        <v>eu</v>
      </c>
      <c r="K787" t="str">
        <f>_xlfn.XLOOKUP(frasest[[#This Row],[author_es]],autorest[author_es],autorest[language_es])</f>
        <v>Euskara</v>
      </c>
      <c r="L787" t="str">
        <f>_xlfn.XLOOKUP(frasest[[#This Row],[author_es]],autorest[author_es],autorest[language_la])</f>
        <v>Lingua Vasconica</v>
      </c>
      <c r="M787" t="str">
        <f>_xlfn.XLOOKUP(frasest[[#This Row],[author_es]],autorest[author_es],autorest[nation_es])</f>
        <v>España</v>
      </c>
      <c r="N787" t="str">
        <f>_xlfn.XLOOKUP(frasest[[#This Row],[author_es]],autorest[author_es],autorest[nation_la])</f>
        <v>Hispania</v>
      </c>
      <c r="O787" t="str">
        <f>_xlfn.XLOOKUP(frasest[[#This Row],[author_es]],autorest[author_es],autorest[age_es])</f>
        <v>Epoca Desconocida</v>
      </c>
      <c r="P787" t="str">
        <f>_xlfn.XLOOKUP(frasest[[#This Row],[author_es]],autorest[author_es],autorest[age_la])</f>
        <v>Epocha Ignota</v>
      </c>
      <c r="Q787" t="str">
        <f>_xlfn.XLOOKUP(frasest[[#This Row],[author_es]],autorest[author_es],autorest[image])</f>
        <v>https://i.ibb.co/bjgxB3kn/euskadi.png</v>
      </c>
      <c r="R787">
        <f>_xlfn.XLOOKUP(frasest[[#This Row],[author_es]],autorest[author_es],autorest[image_atr])</f>
        <v>0</v>
      </c>
    </row>
    <row r="788" spans="1:18">
      <c r="A788">
        <v>787</v>
      </c>
      <c r="B788" t="s">
        <v>2640</v>
      </c>
      <c r="C788" t="s">
        <v>2641</v>
      </c>
      <c r="D788" t="s">
        <v>2642</v>
      </c>
      <c r="E788" t="s">
        <v>1236</v>
      </c>
      <c r="G788" t="str">
        <f>_xlfn.XLOOKUP(frasest[[#This Row],[author_es]],autorest[author_es],autorest[author_la])</f>
        <v>Sententia Vasconica</v>
      </c>
      <c r="H788" t="str">
        <f>_xlfn.XLOOKUP(frasest[[#This Row],[author_es]],autorest[author_es],autorest[bio_es])</f>
        <v>Proverbios de la tradición oral vasca que reflejan la relación con la naturaleza, el trabajo y los valores comunitarios del pueblo vasco.</v>
      </c>
      <c r="I788" t="str">
        <f>_xlfn.XLOOKUP(frasest[[#This Row],[author_es]],autorest[author_es],autorest[bio_la])</f>
        <v>Collectio sententiarum Vasconicarum.</v>
      </c>
      <c r="J788" t="str">
        <f>_xlfn.XLOOKUP(frasest[[#This Row],[author_es]],autorest[author_es],autorest[iso3691])</f>
        <v>eu</v>
      </c>
      <c r="K788" t="str">
        <f>_xlfn.XLOOKUP(frasest[[#This Row],[author_es]],autorest[author_es],autorest[language_es])</f>
        <v>Euskara</v>
      </c>
      <c r="L788" t="str">
        <f>_xlfn.XLOOKUP(frasest[[#This Row],[author_es]],autorest[author_es],autorest[language_la])</f>
        <v>Lingua Vasconica</v>
      </c>
      <c r="M788" t="str">
        <f>_xlfn.XLOOKUP(frasest[[#This Row],[author_es]],autorest[author_es],autorest[nation_es])</f>
        <v>España</v>
      </c>
      <c r="N788" t="str">
        <f>_xlfn.XLOOKUP(frasest[[#This Row],[author_es]],autorest[author_es],autorest[nation_la])</f>
        <v>Hispania</v>
      </c>
      <c r="O788" t="str">
        <f>_xlfn.XLOOKUP(frasest[[#This Row],[author_es]],autorest[author_es],autorest[age_es])</f>
        <v>Epoca Desconocida</v>
      </c>
      <c r="P788" t="str">
        <f>_xlfn.XLOOKUP(frasest[[#This Row],[author_es]],autorest[author_es],autorest[age_la])</f>
        <v>Epocha Ignota</v>
      </c>
      <c r="Q788" t="str">
        <f>_xlfn.XLOOKUP(frasest[[#This Row],[author_es]],autorest[author_es],autorest[image])</f>
        <v>https://i.ibb.co/bjgxB3kn/euskadi.png</v>
      </c>
      <c r="R788">
        <f>_xlfn.XLOOKUP(frasest[[#This Row],[author_es]],autorest[author_es],autorest[image_atr])</f>
        <v>0</v>
      </c>
    </row>
    <row r="789" spans="1:18">
      <c r="A789">
        <v>788</v>
      </c>
      <c r="B789" t="s">
        <v>2643</v>
      </c>
      <c r="C789" t="s">
        <v>2644</v>
      </c>
      <c r="D789" t="s">
        <v>2645</v>
      </c>
      <c r="E789" t="s">
        <v>1236</v>
      </c>
      <c r="G789" t="str">
        <f>_xlfn.XLOOKUP(frasest[[#This Row],[author_es]],autorest[author_es],autorest[author_la])</f>
        <v>Sententia Vasconica</v>
      </c>
      <c r="H789" t="str">
        <f>_xlfn.XLOOKUP(frasest[[#This Row],[author_es]],autorest[author_es],autorest[bio_es])</f>
        <v>Proverbios de la tradición oral vasca que reflejan la relación con la naturaleza, el trabajo y los valores comunitarios del pueblo vasco.</v>
      </c>
      <c r="I789" t="str">
        <f>_xlfn.XLOOKUP(frasest[[#This Row],[author_es]],autorest[author_es],autorest[bio_la])</f>
        <v>Collectio sententiarum Vasconicarum.</v>
      </c>
      <c r="J789" t="str">
        <f>_xlfn.XLOOKUP(frasest[[#This Row],[author_es]],autorest[author_es],autorest[iso3691])</f>
        <v>eu</v>
      </c>
      <c r="K789" t="str">
        <f>_xlfn.XLOOKUP(frasest[[#This Row],[author_es]],autorest[author_es],autorest[language_es])</f>
        <v>Euskara</v>
      </c>
      <c r="L789" t="str">
        <f>_xlfn.XLOOKUP(frasest[[#This Row],[author_es]],autorest[author_es],autorest[language_la])</f>
        <v>Lingua Vasconica</v>
      </c>
      <c r="M789" t="str">
        <f>_xlfn.XLOOKUP(frasest[[#This Row],[author_es]],autorest[author_es],autorest[nation_es])</f>
        <v>España</v>
      </c>
      <c r="N789" t="str">
        <f>_xlfn.XLOOKUP(frasest[[#This Row],[author_es]],autorest[author_es],autorest[nation_la])</f>
        <v>Hispania</v>
      </c>
      <c r="O789" t="str">
        <f>_xlfn.XLOOKUP(frasest[[#This Row],[author_es]],autorest[author_es],autorest[age_es])</f>
        <v>Epoca Desconocida</v>
      </c>
      <c r="P789" t="str">
        <f>_xlfn.XLOOKUP(frasest[[#This Row],[author_es]],autorest[author_es],autorest[age_la])</f>
        <v>Epocha Ignota</v>
      </c>
      <c r="Q789" t="str">
        <f>_xlfn.XLOOKUP(frasest[[#This Row],[author_es]],autorest[author_es],autorest[image])</f>
        <v>https://i.ibb.co/bjgxB3kn/euskadi.png</v>
      </c>
      <c r="R789">
        <f>_xlfn.XLOOKUP(frasest[[#This Row],[author_es]],autorest[author_es],autorest[image_atr])</f>
        <v>0</v>
      </c>
    </row>
    <row r="790" spans="1:18">
      <c r="A790">
        <v>789</v>
      </c>
      <c r="B790" t="s">
        <v>2646</v>
      </c>
      <c r="C790" t="s">
        <v>2647</v>
      </c>
      <c r="D790" t="s">
        <v>2648</v>
      </c>
      <c r="E790" t="s">
        <v>1236</v>
      </c>
      <c r="G790" t="str">
        <f>_xlfn.XLOOKUP(frasest[[#This Row],[author_es]],autorest[author_es],autorest[author_la])</f>
        <v>Sententia Vasconica</v>
      </c>
      <c r="H790" t="str">
        <f>_xlfn.XLOOKUP(frasest[[#This Row],[author_es]],autorest[author_es],autorest[bio_es])</f>
        <v>Proverbios de la tradición oral vasca que reflejan la relación con la naturaleza, el trabajo y los valores comunitarios del pueblo vasco.</v>
      </c>
      <c r="I790" t="str">
        <f>_xlfn.XLOOKUP(frasest[[#This Row],[author_es]],autorest[author_es],autorest[bio_la])</f>
        <v>Collectio sententiarum Vasconicarum.</v>
      </c>
      <c r="J790" t="str">
        <f>_xlfn.XLOOKUP(frasest[[#This Row],[author_es]],autorest[author_es],autorest[iso3691])</f>
        <v>eu</v>
      </c>
      <c r="K790" t="str">
        <f>_xlfn.XLOOKUP(frasest[[#This Row],[author_es]],autorest[author_es],autorest[language_es])</f>
        <v>Euskara</v>
      </c>
      <c r="L790" t="str">
        <f>_xlfn.XLOOKUP(frasest[[#This Row],[author_es]],autorest[author_es],autorest[language_la])</f>
        <v>Lingua Vasconica</v>
      </c>
      <c r="M790" t="str">
        <f>_xlfn.XLOOKUP(frasest[[#This Row],[author_es]],autorest[author_es],autorest[nation_es])</f>
        <v>España</v>
      </c>
      <c r="N790" t="str">
        <f>_xlfn.XLOOKUP(frasest[[#This Row],[author_es]],autorest[author_es],autorest[nation_la])</f>
        <v>Hispania</v>
      </c>
      <c r="O790" t="str">
        <f>_xlfn.XLOOKUP(frasest[[#This Row],[author_es]],autorest[author_es],autorest[age_es])</f>
        <v>Epoca Desconocida</v>
      </c>
      <c r="P790" t="str">
        <f>_xlfn.XLOOKUP(frasest[[#This Row],[author_es]],autorest[author_es],autorest[age_la])</f>
        <v>Epocha Ignota</v>
      </c>
      <c r="Q790" t="str">
        <f>_xlfn.XLOOKUP(frasest[[#This Row],[author_es]],autorest[author_es],autorest[image])</f>
        <v>https://i.ibb.co/bjgxB3kn/euskadi.png</v>
      </c>
      <c r="R790">
        <f>_xlfn.XLOOKUP(frasest[[#This Row],[author_es]],autorest[author_es],autorest[image_atr])</f>
        <v>0</v>
      </c>
    </row>
    <row r="791" spans="1:18">
      <c r="A791">
        <v>790</v>
      </c>
      <c r="B791" t="s">
        <v>2649</v>
      </c>
      <c r="C791" t="s">
        <v>2650</v>
      </c>
      <c r="D791" t="s">
        <v>2651</v>
      </c>
      <c r="E791" t="s">
        <v>1236</v>
      </c>
      <c r="G791" t="str">
        <f>_xlfn.XLOOKUP(frasest[[#This Row],[author_es]],autorest[author_es],autorest[author_la])</f>
        <v>Sententia Vasconica</v>
      </c>
      <c r="H791" t="str">
        <f>_xlfn.XLOOKUP(frasest[[#This Row],[author_es]],autorest[author_es],autorest[bio_es])</f>
        <v>Proverbios de la tradición oral vasca que reflejan la relación con la naturaleza, el trabajo y los valores comunitarios del pueblo vasco.</v>
      </c>
      <c r="I791" t="str">
        <f>_xlfn.XLOOKUP(frasest[[#This Row],[author_es]],autorest[author_es],autorest[bio_la])</f>
        <v>Collectio sententiarum Vasconicarum.</v>
      </c>
      <c r="J791" t="str">
        <f>_xlfn.XLOOKUP(frasest[[#This Row],[author_es]],autorest[author_es],autorest[iso3691])</f>
        <v>eu</v>
      </c>
      <c r="K791" t="str">
        <f>_xlfn.XLOOKUP(frasest[[#This Row],[author_es]],autorest[author_es],autorest[language_es])</f>
        <v>Euskara</v>
      </c>
      <c r="L791" t="str">
        <f>_xlfn.XLOOKUP(frasest[[#This Row],[author_es]],autorest[author_es],autorest[language_la])</f>
        <v>Lingua Vasconica</v>
      </c>
      <c r="M791" t="str">
        <f>_xlfn.XLOOKUP(frasest[[#This Row],[author_es]],autorest[author_es],autorest[nation_es])</f>
        <v>España</v>
      </c>
      <c r="N791" t="str">
        <f>_xlfn.XLOOKUP(frasest[[#This Row],[author_es]],autorest[author_es],autorest[nation_la])</f>
        <v>Hispania</v>
      </c>
      <c r="O791" t="str">
        <f>_xlfn.XLOOKUP(frasest[[#This Row],[author_es]],autorest[author_es],autorest[age_es])</f>
        <v>Epoca Desconocida</v>
      </c>
      <c r="P791" t="str">
        <f>_xlfn.XLOOKUP(frasest[[#This Row],[author_es]],autorest[author_es],autorest[age_la])</f>
        <v>Epocha Ignota</v>
      </c>
      <c r="Q791" t="str">
        <f>_xlfn.XLOOKUP(frasest[[#This Row],[author_es]],autorest[author_es],autorest[image])</f>
        <v>https://i.ibb.co/bjgxB3kn/euskadi.png</v>
      </c>
      <c r="R791">
        <f>_xlfn.XLOOKUP(frasest[[#This Row],[author_es]],autorest[author_es],autorest[image_atr])</f>
        <v>0</v>
      </c>
    </row>
    <row r="792" spans="1:18">
      <c r="A792">
        <v>791</v>
      </c>
      <c r="B792" t="s">
        <v>2652</v>
      </c>
      <c r="C792" t="s">
        <v>2653</v>
      </c>
      <c r="D792" t="s">
        <v>2654</v>
      </c>
      <c r="E792" t="s">
        <v>1236</v>
      </c>
      <c r="G792" t="str">
        <f>_xlfn.XLOOKUP(frasest[[#This Row],[author_es]],autorest[author_es],autorest[author_la])</f>
        <v>Sententia Vasconica</v>
      </c>
      <c r="H792" t="str">
        <f>_xlfn.XLOOKUP(frasest[[#This Row],[author_es]],autorest[author_es],autorest[bio_es])</f>
        <v>Proverbios de la tradición oral vasca que reflejan la relación con la naturaleza, el trabajo y los valores comunitarios del pueblo vasco.</v>
      </c>
      <c r="I792" t="str">
        <f>_xlfn.XLOOKUP(frasest[[#This Row],[author_es]],autorest[author_es],autorest[bio_la])</f>
        <v>Collectio sententiarum Vasconicarum.</v>
      </c>
      <c r="J792" t="str">
        <f>_xlfn.XLOOKUP(frasest[[#This Row],[author_es]],autorest[author_es],autorest[iso3691])</f>
        <v>eu</v>
      </c>
      <c r="K792" t="str">
        <f>_xlfn.XLOOKUP(frasest[[#This Row],[author_es]],autorest[author_es],autorest[language_es])</f>
        <v>Euskara</v>
      </c>
      <c r="L792" t="str">
        <f>_xlfn.XLOOKUP(frasest[[#This Row],[author_es]],autorest[author_es],autorest[language_la])</f>
        <v>Lingua Vasconica</v>
      </c>
      <c r="M792" t="str">
        <f>_xlfn.XLOOKUP(frasest[[#This Row],[author_es]],autorest[author_es],autorest[nation_es])</f>
        <v>España</v>
      </c>
      <c r="N792" t="str">
        <f>_xlfn.XLOOKUP(frasest[[#This Row],[author_es]],autorest[author_es],autorest[nation_la])</f>
        <v>Hispania</v>
      </c>
      <c r="O792" t="str">
        <f>_xlfn.XLOOKUP(frasest[[#This Row],[author_es]],autorest[author_es],autorest[age_es])</f>
        <v>Epoca Desconocida</v>
      </c>
      <c r="P792" t="str">
        <f>_xlfn.XLOOKUP(frasest[[#This Row],[author_es]],autorest[author_es],autorest[age_la])</f>
        <v>Epocha Ignota</v>
      </c>
      <c r="Q792" t="str">
        <f>_xlfn.XLOOKUP(frasest[[#This Row],[author_es]],autorest[author_es],autorest[image])</f>
        <v>https://i.ibb.co/bjgxB3kn/euskadi.png</v>
      </c>
      <c r="R792">
        <f>_xlfn.XLOOKUP(frasest[[#This Row],[author_es]],autorest[author_es],autorest[image_atr])</f>
        <v>0</v>
      </c>
    </row>
    <row r="793" spans="1:18">
      <c r="A793">
        <v>792</v>
      </c>
      <c r="B793" t="s">
        <v>2655</v>
      </c>
      <c r="C793" t="s">
        <v>2656</v>
      </c>
      <c r="D793" t="s">
        <v>2657</v>
      </c>
      <c r="E793" t="s">
        <v>1236</v>
      </c>
      <c r="G793" t="str">
        <f>_xlfn.XLOOKUP(frasest[[#This Row],[author_es]],autorest[author_es],autorest[author_la])</f>
        <v>Sententia Vasconica</v>
      </c>
      <c r="H793" t="str">
        <f>_xlfn.XLOOKUP(frasest[[#This Row],[author_es]],autorest[author_es],autorest[bio_es])</f>
        <v>Proverbios de la tradición oral vasca que reflejan la relación con la naturaleza, el trabajo y los valores comunitarios del pueblo vasco.</v>
      </c>
      <c r="I793" t="str">
        <f>_xlfn.XLOOKUP(frasest[[#This Row],[author_es]],autorest[author_es],autorest[bio_la])</f>
        <v>Collectio sententiarum Vasconicarum.</v>
      </c>
      <c r="J793" t="str">
        <f>_xlfn.XLOOKUP(frasest[[#This Row],[author_es]],autorest[author_es],autorest[iso3691])</f>
        <v>eu</v>
      </c>
      <c r="K793" t="str">
        <f>_xlfn.XLOOKUP(frasest[[#This Row],[author_es]],autorest[author_es],autorest[language_es])</f>
        <v>Euskara</v>
      </c>
      <c r="L793" t="str">
        <f>_xlfn.XLOOKUP(frasest[[#This Row],[author_es]],autorest[author_es],autorest[language_la])</f>
        <v>Lingua Vasconica</v>
      </c>
      <c r="M793" t="str">
        <f>_xlfn.XLOOKUP(frasest[[#This Row],[author_es]],autorest[author_es],autorest[nation_es])</f>
        <v>España</v>
      </c>
      <c r="N793" t="str">
        <f>_xlfn.XLOOKUP(frasest[[#This Row],[author_es]],autorest[author_es],autorest[nation_la])</f>
        <v>Hispania</v>
      </c>
      <c r="O793" t="str">
        <f>_xlfn.XLOOKUP(frasest[[#This Row],[author_es]],autorest[author_es],autorest[age_es])</f>
        <v>Epoca Desconocida</v>
      </c>
      <c r="P793" t="str">
        <f>_xlfn.XLOOKUP(frasest[[#This Row],[author_es]],autorest[author_es],autorest[age_la])</f>
        <v>Epocha Ignota</v>
      </c>
      <c r="Q793" t="str">
        <f>_xlfn.XLOOKUP(frasest[[#This Row],[author_es]],autorest[author_es],autorest[image])</f>
        <v>https://i.ibb.co/bjgxB3kn/euskadi.png</v>
      </c>
      <c r="R793">
        <f>_xlfn.XLOOKUP(frasest[[#This Row],[author_es]],autorest[author_es],autorest[image_atr])</f>
        <v>0</v>
      </c>
    </row>
    <row r="794" spans="1:18">
      <c r="A794">
        <v>793</v>
      </c>
      <c r="B794" t="s">
        <v>2658</v>
      </c>
      <c r="C794" t="s">
        <v>2659</v>
      </c>
      <c r="D794" t="s">
        <v>2660</v>
      </c>
      <c r="E794" t="s">
        <v>1236</v>
      </c>
      <c r="G794" t="str">
        <f>_xlfn.XLOOKUP(frasest[[#This Row],[author_es]],autorest[author_es],autorest[author_la])</f>
        <v>Sententia Vasconica</v>
      </c>
      <c r="H794" t="str">
        <f>_xlfn.XLOOKUP(frasest[[#This Row],[author_es]],autorest[author_es],autorest[bio_es])</f>
        <v>Proverbios de la tradición oral vasca que reflejan la relación con la naturaleza, el trabajo y los valores comunitarios del pueblo vasco.</v>
      </c>
      <c r="I794" t="str">
        <f>_xlfn.XLOOKUP(frasest[[#This Row],[author_es]],autorest[author_es],autorest[bio_la])</f>
        <v>Collectio sententiarum Vasconicarum.</v>
      </c>
      <c r="J794" t="str">
        <f>_xlfn.XLOOKUP(frasest[[#This Row],[author_es]],autorest[author_es],autorest[iso3691])</f>
        <v>eu</v>
      </c>
      <c r="K794" t="str">
        <f>_xlfn.XLOOKUP(frasest[[#This Row],[author_es]],autorest[author_es],autorest[language_es])</f>
        <v>Euskara</v>
      </c>
      <c r="L794" t="str">
        <f>_xlfn.XLOOKUP(frasest[[#This Row],[author_es]],autorest[author_es],autorest[language_la])</f>
        <v>Lingua Vasconica</v>
      </c>
      <c r="M794" t="str">
        <f>_xlfn.XLOOKUP(frasest[[#This Row],[author_es]],autorest[author_es],autorest[nation_es])</f>
        <v>España</v>
      </c>
      <c r="N794" t="str">
        <f>_xlfn.XLOOKUP(frasest[[#This Row],[author_es]],autorest[author_es],autorest[nation_la])</f>
        <v>Hispania</v>
      </c>
      <c r="O794" t="str">
        <f>_xlfn.XLOOKUP(frasest[[#This Row],[author_es]],autorest[author_es],autorest[age_es])</f>
        <v>Epoca Desconocida</v>
      </c>
      <c r="P794" t="str">
        <f>_xlfn.XLOOKUP(frasest[[#This Row],[author_es]],autorest[author_es],autorest[age_la])</f>
        <v>Epocha Ignota</v>
      </c>
      <c r="Q794" t="str">
        <f>_xlfn.XLOOKUP(frasest[[#This Row],[author_es]],autorest[author_es],autorest[image])</f>
        <v>https://i.ibb.co/bjgxB3kn/euskadi.png</v>
      </c>
      <c r="R794">
        <f>_xlfn.XLOOKUP(frasest[[#This Row],[author_es]],autorest[author_es],autorest[image_atr])</f>
        <v>0</v>
      </c>
    </row>
    <row r="795" spans="1:18">
      <c r="A795">
        <v>794</v>
      </c>
      <c r="B795" t="s">
        <v>2661</v>
      </c>
      <c r="C795" t="s">
        <v>2662</v>
      </c>
      <c r="D795" t="s">
        <v>2663</v>
      </c>
      <c r="E795" t="s">
        <v>1236</v>
      </c>
      <c r="G795" t="str">
        <f>_xlfn.XLOOKUP(frasest[[#This Row],[author_es]],autorest[author_es],autorest[author_la])</f>
        <v>Sententia Vasconica</v>
      </c>
      <c r="H795" t="str">
        <f>_xlfn.XLOOKUP(frasest[[#This Row],[author_es]],autorest[author_es],autorest[bio_es])</f>
        <v>Proverbios de la tradición oral vasca que reflejan la relación con la naturaleza, el trabajo y los valores comunitarios del pueblo vasco.</v>
      </c>
      <c r="I795" t="str">
        <f>_xlfn.XLOOKUP(frasest[[#This Row],[author_es]],autorest[author_es],autorest[bio_la])</f>
        <v>Collectio sententiarum Vasconicarum.</v>
      </c>
      <c r="J795" t="str">
        <f>_xlfn.XLOOKUP(frasest[[#This Row],[author_es]],autorest[author_es],autorest[iso3691])</f>
        <v>eu</v>
      </c>
      <c r="K795" t="str">
        <f>_xlfn.XLOOKUP(frasest[[#This Row],[author_es]],autorest[author_es],autorest[language_es])</f>
        <v>Euskara</v>
      </c>
      <c r="L795" t="str">
        <f>_xlfn.XLOOKUP(frasest[[#This Row],[author_es]],autorest[author_es],autorest[language_la])</f>
        <v>Lingua Vasconica</v>
      </c>
      <c r="M795" t="str">
        <f>_xlfn.XLOOKUP(frasest[[#This Row],[author_es]],autorest[author_es],autorest[nation_es])</f>
        <v>España</v>
      </c>
      <c r="N795" t="str">
        <f>_xlfn.XLOOKUP(frasest[[#This Row],[author_es]],autorest[author_es],autorest[nation_la])</f>
        <v>Hispania</v>
      </c>
      <c r="O795" t="str">
        <f>_xlfn.XLOOKUP(frasest[[#This Row],[author_es]],autorest[author_es],autorest[age_es])</f>
        <v>Epoca Desconocida</v>
      </c>
      <c r="P795" t="str">
        <f>_xlfn.XLOOKUP(frasest[[#This Row],[author_es]],autorest[author_es],autorest[age_la])</f>
        <v>Epocha Ignota</v>
      </c>
      <c r="Q795" t="str">
        <f>_xlfn.XLOOKUP(frasest[[#This Row],[author_es]],autorest[author_es],autorest[image])</f>
        <v>https://i.ibb.co/bjgxB3kn/euskadi.png</v>
      </c>
      <c r="R795">
        <f>_xlfn.XLOOKUP(frasest[[#This Row],[author_es]],autorest[author_es],autorest[image_atr])</f>
        <v>0</v>
      </c>
    </row>
    <row r="796" spans="1:18">
      <c r="A796">
        <v>795</v>
      </c>
      <c r="B796" t="s">
        <v>2664</v>
      </c>
      <c r="C796" t="s">
        <v>2665</v>
      </c>
      <c r="D796" t="s">
        <v>2666</v>
      </c>
      <c r="E796" t="s">
        <v>1236</v>
      </c>
      <c r="G796" t="str">
        <f>_xlfn.XLOOKUP(frasest[[#This Row],[author_es]],autorest[author_es],autorest[author_la])</f>
        <v>Sententia Vasconica</v>
      </c>
      <c r="H796" t="str">
        <f>_xlfn.XLOOKUP(frasest[[#This Row],[author_es]],autorest[author_es],autorest[bio_es])</f>
        <v>Proverbios de la tradición oral vasca que reflejan la relación con la naturaleza, el trabajo y los valores comunitarios del pueblo vasco.</v>
      </c>
      <c r="I796" t="str">
        <f>_xlfn.XLOOKUP(frasest[[#This Row],[author_es]],autorest[author_es],autorest[bio_la])</f>
        <v>Collectio sententiarum Vasconicarum.</v>
      </c>
      <c r="J796" t="str">
        <f>_xlfn.XLOOKUP(frasest[[#This Row],[author_es]],autorest[author_es],autorest[iso3691])</f>
        <v>eu</v>
      </c>
      <c r="K796" t="str">
        <f>_xlfn.XLOOKUP(frasest[[#This Row],[author_es]],autorest[author_es],autorest[language_es])</f>
        <v>Euskara</v>
      </c>
      <c r="L796" t="str">
        <f>_xlfn.XLOOKUP(frasest[[#This Row],[author_es]],autorest[author_es],autorest[language_la])</f>
        <v>Lingua Vasconica</v>
      </c>
      <c r="M796" t="str">
        <f>_xlfn.XLOOKUP(frasest[[#This Row],[author_es]],autorest[author_es],autorest[nation_es])</f>
        <v>España</v>
      </c>
      <c r="N796" t="str">
        <f>_xlfn.XLOOKUP(frasest[[#This Row],[author_es]],autorest[author_es],autorest[nation_la])</f>
        <v>Hispania</v>
      </c>
      <c r="O796" t="str">
        <f>_xlfn.XLOOKUP(frasest[[#This Row],[author_es]],autorest[author_es],autorest[age_es])</f>
        <v>Epoca Desconocida</v>
      </c>
      <c r="P796" t="str">
        <f>_xlfn.XLOOKUP(frasest[[#This Row],[author_es]],autorest[author_es],autorest[age_la])</f>
        <v>Epocha Ignota</v>
      </c>
      <c r="Q796" t="str">
        <f>_xlfn.XLOOKUP(frasest[[#This Row],[author_es]],autorest[author_es],autorest[image])</f>
        <v>https://i.ibb.co/bjgxB3kn/euskadi.png</v>
      </c>
      <c r="R796">
        <f>_xlfn.XLOOKUP(frasest[[#This Row],[author_es]],autorest[author_es],autorest[image_atr])</f>
        <v>0</v>
      </c>
    </row>
    <row r="797" spans="1:18">
      <c r="A797">
        <v>796</v>
      </c>
      <c r="B797" t="s">
        <v>2667</v>
      </c>
      <c r="C797" t="s">
        <v>2668</v>
      </c>
      <c r="D797" t="s">
        <v>2669</v>
      </c>
      <c r="E797" t="s">
        <v>1236</v>
      </c>
      <c r="G797" t="str">
        <f>_xlfn.XLOOKUP(frasest[[#This Row],[author_es]],autorest[author_es],autorest[author_la])</f>
        <v>Sententia Vasconica</v>
      </c>
      <c r="H797" t="str">
        <f>_xlfn.XLOOKUP(frasest[[#This Row],[author_es]],autorest[author_es],autorest[bio_es])</f>
        <v>Proverbios de la tradición oral vasca que reflejan la relación con la naturaleza, el trabajo y los valores comunitarios del pueblo vasco.</v>
      </c>
      <c r="I797" t="str">
        <f>_xlfn.XLOOKUP(frasest[[#This Row],[author_es]],autorest[author_es],autorest[bio_la])</f>
        <v>Collectio sententiarum Vasconicarum.</v>
      </c>
      <c r="J797" t="str">
        <f>_xlfn.XLOOKUP(frasest[[#This Row],[author_es]],autorest[author_es],autorest[iso3691])</f>
        <v>eu</v>
      </c>
      <c r="K797" t="str">
        <f>_xlfn.XLOOKUP(frasest[[#This Row],[author_es]],autorest[author_es],autorest[language_es])</f>
        <v>Euskara</v>
      </c>
      <c r="L797" t="str">
        <f>_xlfn.XLOOKUP(frasest[[#This Row],[author_es]],autorest[author_es],autorest[language_la])</f>
        <v>Lingua Vasconica</v>
      </c>
      <c r="M797" t="str">
        <f>_xlfn.XLOOKUP(frasest[[#This Row],[author_es]],autorest[author_es],autorest[nation_es])</f>
        <v>España</v>
      </c>
      <c r="N797" t="str">
        <f>_xlfn.XLOOKUP(frasest[[#This Row],[author_es]],autorest[author_es],autorest[nation_la])</f>
        <v>Hispania</v>
      </c>
      <c r="O797" t="str">
        <f>_xlfn.XLOOKUP(frasest[[#This Row],[author_es]],autorest[author_es],autorest[age_es])</f>
        <v>Epoca Desconocida</v>
      </c>
      <c r="P797" t="str">
        <f>_xlfn.XLOOKUP(frasest[[#This Row],[author_es]],autorest[author_es],autorest[age_la])</f>
        <v>Epocha Ignota</v>
      </c>
      <c r="Q797" t="str">
        <f>_xlfn.XLOOKUP(frasest[[#This Row],[author_es]],autorest[author_es],autorest[image])</f>
        <v>https://i.ibb.co/bjgxB3kn/euskadi.png</v>
      </c>
      <c r="R797">
        <f>_xlfn.XLOOKUP(frasest[[#This Row],[author_es]],autorest[author_es],autorest[image_atr])</f>
        <v>0</v>
      </c>
    </row>
    <row r="798" spans="1:18">
      <c r="A798">
        <v>797</v>
      </c>
      <c r="B798" t="s">
        <v>2670</v>
      </c>
      <c r="C798" t="s">
        <v>2671</v>
      </c>
      <c r="D798" t="s">
        <v>2672</v>
      </c>
      <c r="E798" t="s">
        <v>1236</v>
      </c>
      <c r="G798" t="str">
        <f>_xlfn.XLOOKUP(frasest[[#This Row],[author_es]],autorest[author_es],autorest[author_la])</f>
        <v>Sententia Vasconica</v>
      </c>
      <c r="H798" t="str">
        <f>_xlfn.XLOOKUP(frasest[[#This Row],[author_es]],autorest[author_es],autorest[bio_es])</f>
        <v>Proverbios de la tradición oral vasca que reflejan la relación con la naturaleza, el trabajo y los valores comunitarios del pueblo vasco.</v>
      </c>
      <c r="I798" t="str">
        <f>_xlfn.XLOOKUP(frasest[[#This Row],[author_es]],autorest[author_es],autorest[bio_la])</f>
        <v>Collectio sententiarum Vasconicarum.</v>
      </c>
      <c r="J798" t="str">
        <f>_xlfn.XLOOKUP(frasest[[#This Row],[author_es]],autorest[author_es],autorest[iso3691])</f>
        <v>eu</v>
      </c>
      <c r="K798" t="str">
        <f>_xlfn.XLOOKUP(frasest[[#This Row],[author_es]],autorest[author_es],autorest[language_es])</f>
        <v>Euskara</v>
      </c>
      <c r="L798" t="str">
        <f>_xlfn.XLOOKUP(frasest[[#This Row],[author_es]],autorest[author_es],autorest[language_la])</f>
        <v>Lingua Vasconica</v>
      </c>
      <c r="M798" t="str">
        <f>_xlfn.XLOOKUP(frasest[[#This Row],[author_es]],autorest[author_es],autorest[nation_es])</f>
        <v>España</v>
      </c>
      <c r="N798" t="str">
        <f>_xlfn.XLOOKUP(frasest[[#This Row],[author_es]],autorest[author_es],autorest[nation_la])</f>
        <v>Hispania</v>
      </c>
      <c r="O798" t="str">
        <f>_xlfn.XLOOKUP(frasest[[#This Row],[author_es]],autorest[author_es],autorest[age_es])</f>
        <v>Epoca Desconocida</v>
      </c>
      <c r="P798" t="str">
        <f>_xlfn.XLOOKUP(frasest[[#This Row],[author_es]],autorest[author_es],autorest[age_la])</f>
        <v>Epocha Ignota</v>
      </c>
      <c r="Q798" t="str">
        <f>_xlfn.XLOOKUP(frasest[[#This Row],[author_es]],autorest[author_es],autorest[image])</f>
        <v>https://i.ibb.co/bjgxB3kn/euskadi.png</v>
      </c>
      <c r="R798">
        <f>_xlfn.XLOOKUP(frasest[[#This Row],[author_es]],autorest[author_es],autorest[image_atr])</f>
        <v>0</v>
      </c>
    </row>
    <row r="799" spans="1:18">
      <c r="A799">
        <v>798</v>
      </c>
      <c r="B799" t="s">
        <v>2673</v>
      </c>
      <c r="C799" t="s">
        <v>2674</v>
      </c>
      <c r="D799" t="s">
        <v>2675</v>
      </c>
      <c r="E799" t="s">
        <v>1236</v>
      </c>
      <c r="G799" t="str">
        <f>_xlfn.XLOOKUP(frasest[[#This Row],[author_es]],autorest[author_es],autorest[author_la])</f>
        <v>Sententia Vasconica</v>
      </c>
      <c r="H799" t="str">
        <f>_xlfn.XLOOKUP(frasest[[#This Row],[author_es]],autorest[author_es],autorest[bio_es])</f>
        <v>Proverbios de la tradición oral vasca que reflejan la relación con la naturaleza, el trabajo y los valores comunitarios del pueblo vasco.</v>
      </c>
      <c r="I799" t="str">
        <f>_xlfn.XLOOKUP(frasest[[#This Row],[author_es]],autorest[author_es],autorest[bio_la])</f>
        <v>Collectio sententiarum Vasconicarum.</v>
      </c>
      <c r="J799" t="str">
        <f>_xlfn.XLOOKUP(frasest[[#This Row],[author_es]],autorest[author_es],autorest[iso3691])</f>
        <v>eu</v>
      </c>
      <c r="K799" t="str">
        <f>_xlfn.XLOOKUP(frasest[[#This Row],[author_es]],autorest[author_es],autorest[language_es])</f>
        <v>Euskara</v>
      </c>
      <c r="L799" t="str">
        <f>_xlfn.XLOOKUP(frasest[[#This Row],[author_es]],autorest[author_es],autorest[language_la])</f>
        <v>Lingua Vasconica</v>
      </c>
      <c r="M799" t="str">
        <f>_xlfn.XLOOKUP(frasest[[#This Row],[author_es]],autorest[author_es],autorest[nation_es])</f>
        <v>España</v>
      </c>
      <c r="N799" t="str">
        <f>_xlfn.XLOOKUP(frasest[[#This Row],[author_es]],autorest[author_es],autorest[nation_la])</f>
        <v>Hispania</v>
      </c>
      <c r="O799" t="str">
        <f>_xlfn.XLOOKUP(frasest[[#This Row],[author_es]],autorest[author_es],autorest[age_es])</f>
        <v>Epoca Desconocida</v>
      </c>
      <c r="P799" t="str">
        <f>_xlfn.XLOOKUP(frasest[[#This Row],[author_es]],autorest[author_es],autorest[age_la])</f>
        <v>Epocha Ignota</v>
      </c>
      <c r="Q799" t="str">
        <f>_xlfn.XLOOKUP(frasest[[#This Row],[author_es]],autorest[author_es],autorest[image])</f>
        <v>https://i.ibb.co/bjgxB3kn/euskadi.png</v>
      </c>
      <c r="R799">
        <f>_xlfn.XLOOKUP(frasest[[#This Row],[author_es]],autorest[author_es],autorest[image_atr])</f>
        <v>0</v>
      </c>
    </row>
    <row r="800" spans="1:18">
      <c r="A800">
        <v>799</v>
      </c>
      <c r="B800" t="s">
        <v>2676</v>
      </c>
      <c r="C800" t="s">
        <v>2677</v>
      </c>
      <c r="D800" t="s">
        <v>2678</v>
      </c>
      <c r="E800" t="s">
        <v>1236</v>
      </c>
      <c r="G800" t="str">
        <f>_xlfn.XLOOKUP(frasest[[#This Row],[author_es]],autorest[author_es],autorest[author_la])</f>
        <v>Sententia Vasconica</v>
      </c>
      <c r="H800" t="str">
        <f>_xlfn.XLOOKUP(frasest[[#This Row],[author_es]],autorest[author_es],autorest[bio_es])</f>
        <v>Proverbios de la tradición oral vasca que reflejan la relación con la naturaleza, el trabajo y los valores comunitarios del pueblo vasco.</v>
      </c>
      <c r="I800" t="str">
        <f>_xlfn.XLOOKUP(frasest[[#This Row],[author_es]],autorest[author_es],autorest[bio_la])</f>
        <v>Collectio sententiarum Vasconicarum.</v>
      </c>
      <c r="J800" t="str">
        <f>_xlfn.XLOOKUP(frasest[[#This Row],[author_es]],autorest[author_es],autorest[iso3691])</f>
        <v>eu</v>
      </c>
      <c r="K800" t="str">
        <f>_xlfn.XLOOKUP(frasest[[#This Row],[author_es]],autorest[author_es],autorest[language_es])</f>
        <v>Euskara</v>
      </c>
      <c r="L800" t="str">
        <f>_xlfn.XLOOKUP(frasest[[#This Row],[author_es]],autorest[author_es],autorest[language_la])</f>
        <v>Lingua Vasconica</v>
      </c>
      <c r="M800" t="str">
        <f>_xlfn.XLOOKUP(frasest[[#This Row],[author_es]],autorest[author_es],autorest[nation_es])</f>
        <v>España</v>
      </c>
      <c r="N800" t="str">
        <f>_xlfn.XLOOKUP(frasest[[#This Row],[author_es]],autorest[author_es],autorest[nation_la])</f>
        <v>Hispania</v>
      </c>
      <c r="O800" t="str">
        <f>_xlfn.XLOOKUP(frasest[[#This Row],[author_es]],autorest[author_es],autorest[age_es])</f>
        <v>Epoca Desconocida</v>
      </c>
      <c r="P800" t="str">
        <f>_xlfn.XLOOKUP(frasest[[#This Row],[author_es]],autorest[author_es],autorest[age_la])</f>
        <v>Epocha Ignota</v>
      </c>
      <c r="Q800" t="str">
        <f>_xlfn.XLOOKUP(frasest[[#This Row],[author_es]],autorest[author_es],autorest[image])</f>
        <v>https://i.ibb.co/bjgxB3kn/euskadi.png</v>
      </c>
      <c r="R800">
        <f>_xlfn.XLOOKUP(frasest[[#This Row],[author_es]],autorest[author_es],autorest[image_atr])</f>
        <v>0</v>
      </c>
    </row>
    <row r="801" spans="1:18">
      <c r="A801">
        <v>800</v>
      </c>
      <c r="B801" t="s">
        <v>2679</v>
      </c>
      <c r="C801" t="s">
        <v>2680</v>
      </c>
      <c r="D801" t="s">
        <v>2681</v>
      </c>
      <c r="E801" t="s">
        <v>1236</v>
      </c>
      <c r="G801" t="str">
        <f>_xlfn.XLOOKUP(frasest[[#This Row],[author_es]],autorest[author_es],autorest[author_la])</f>
        <v>Sententia Vasconica</v>
      </c>
      <c r="H801" t="str">
        <f>_xlfn.XLOOKUP(frasest[[#This Row],[author_es]],autorest[author_es],autorest[bio_es])</f>
        <v>Proverbios de la tradición oral vasca que reflejan la relación con la naturaleza, el trabajo y los valores comunitarios del pueblo vasco.</v>
      </c>
      <c r="I801" t="str">
        <f>_xlfn.XLOOKUP(frasest[[#This Row],[author_es]],autorest[author_es],autorest[bio_la])</f>
        <v>Collectio sententiarum Vasconicarum.</v>
      </c>
      <c r="J801" t="str">
        <f>_xlfn.XLOOKUP(frasest[[#This Row],[author_es]],autorest[author_es],autorest[iso3691])</f>
        <v>eu</v>
      </c>
      <c r="K801" t="str">
        <f>_xlfn.XLOOKUP(frasest[[#This Row],[author_es]],autorest[author_es],autorest[language_es])</f>
        <v>Euskara</v>
      </c>
      <c r="L801" t="str">
        <f>_xlfn.XLOOKUP(frasest[[#This Row],[author_es]],autorest[author_es],autorest[language_la])</f>
        <v>Lingua Vasconica</v>
      </c>
      <c r="M801" t="str">
        <f>_xlfn.XLOOKUP(frasest[[#This Row],[author_es]],autorest[author_es],autorest[nation_es])</f>
        <v>España</v>
      </c>
      <c r="N801" t="str">
        <f>_xlfn.XLOOKUP(frasest[[#This Row],[author_es]],autorest[author_es],autorest[nation_la])</f>
        <v>Hispania</v>
      </c>
      <c r="O801" t="str">
        <f>_xlfn.XLOOKUP(frasest[[#This Row],[author_es]],autorest[author_es],autorest[age_es])</f>
        <v>Epoca Desconocida</v>
      </c>
      <c r="P801" t="str">
        <f>_xlfn.XLOOKUP(frasest[[#This Row],[author_es]],autorest[author_es],autorest[age_la])</f>
        <v>Epocha Ignota</v>
      </c>
      <c r="Q801" t="str">
        <f>_xlfn.XLOOKUP(frasest[[#This Row],[author_es]],autorest[author_es],autorest[image])</f>
        <v>https://i.ibb.co/bjgxB3kn/euskadi.png</v>
      </c>
      <c r="R801">
        <f>_xlfn.XLOOKUP(frasest[[#This Row],[author_es]],autorest[author_es],autorest[image_atr])</f>
        <v>0</v>
      </c>
    </row>
    <row r="802" spans="1:18">
      <c r="A802">
        <v>801</v>
      </c>
      <c r="B802" t="s">
        <v>2682</v>
      </c>
      <c r="C802" t="s">
        <v>2683</v>
      </c>
      <c r="D802" t="s">
        <v>2684</v>
      </c>
      <c r="E802" t="s">
        <v>1236</v>
      </c>
      <c r="G802" t="str">
        <f>_xlfn.XLOOKUP(frasest[[#This Row],[author_es]],autorest[author_es],autorest[author_la])</f>
        <v>Sententia Vasconica</v>
      </c>
      <c r="H802" t="str">
        <f>_xlfn.XLOOKUP(frasest[[#This Row],[author_es]],autorest[author_es],autorest[bio_es])</f>
        <v>Proverbios de la tradición oral vasca que reflejan la relación con la naturaleza, el trabajo y los valores comunitarios del pueblo vasco.</v>
      </c>
      <c r="I802" t="str">
        <f>_xlfn.XLOOKUP(frasest[[#This Row],[author_es]],autorest[author_es],autorest[bio_la])</f>
        <v>Collectio sententiarum Vasconicarum.</v>
      </c>
      <c r="J802" t="str">
        <f>_xlfn.XLOOKUP(frasest[[#This Row],[author_es]],autorest[author_es],autorest[iso3691])</f>
        <v>eu</v>
      </c>
      <c r="K802" t="str">
        <f>_xlfn.XLOOKUP(frasest[[#This Row],[author_es]],autorest[author_es],autorest[language_es])</f>
        <v>Euskara</v>
      </c>
      <c r="L802" t="str">
        <f>_xlfn.XLOOKUP(frasest[[#This Row],[author_es]],autorest[author_es],autorest[language_la])</f>
        <v>Lingua Vasconica</v>
      </c>
      <c r="M802" t="str">
        <f>_xlfn.XLOOKUP(frasest[[#This Row],[author_es]],autorest[author_es],autorest[nation_es])</f>
        <v>España</v>
      </c>
      <c r="N802" t="str">
        <f>_xlfn.XLOOKUP(frasest[[#This Row],[author_es]],autorest[author_es],autorest[nation_la])</f>
        <v>Hispania</v>
      </c>
      <c r="O802" t="str">
        <f>_xlfn.XLOOKUP(frasest[[#This Row],[author_es]],autorest[author_es],autorest[age_es])</f>
        <v>Epoca Desconocida</v>
      </c>
      <c r="P802" t="str">
        <f>_xlfn.XLOOKUP(frasest[[#This Row],[author_es]],autorest[author_es],autorest[age_la])</f>
        <v>Epocha Ignota</v>
      </c>
      <c r="Q802" t="str">
        <f>_xlfn.XLOOKUP(frasest[[#This Row],[author_es]],autorest[author_es],autorest[image])</f>
        <v>https://i.ibb.co/bjgxB3kn/euskadi.png</v>
      </c>
      <c r="R802">
        <f>_xlfn.XLOOKUP(frasest[[#This Row],[author_es]],autorest[author_es],autorest[image_atr])</f>
        <v>0</v>
      </c>
    </row>
    <row r="803" spans="1:18">
      <c r="A803">
        <v>802</v>
      </c>
      <c r="B803" t="s">
        <v>2685</v>
      </c>
      <c r="C803" t="s">
        <v>2686</v>
      </c>
      <c r="D803" t="s">
        <v>2687</v>
      </c>
      <c r="E803" t="s">
        <v>1236</v>
      </c>
      <c r="G803" t="str">
        <f>_xlfn.XLOOKUP(frasest[[#This Row],[author_es]],autorest[author_es],autorest[author_la])</f>
        <v>Sententia Vasconica</v>
      </c>
      <c r="H803" t="str">
        <f>_xlfn.XLOOKUP(frasest[[#This Row],[author_es]],autorest[author_es],autorest[bio_es])</f>
        <v>Proverbios de la tradición oral vasca que reflejan la relación con la naturaleza, el trabajo y los valores comunitarios del pueblo vasco.</v>
      </c>
      <c r="I803" t="str">
        <f>_xlfn.XLOOKUP(frasest[[#This Row],[author_es]],autorest[author_es],autorest[bio_la])</f>
        <v>Collectio sententiarum Vasconicarum.</v>
      </c>
      <c r="J803" t="str">
        <f>_xlfn.XLOOKUP(frasest[[#This Row],[author_es]],autorest[author_es],autorest[iso3691])</f>
        <v>eu</v>
      </c>
      <c r="K803" t="str">
        <f>_xlfn.XLOOKUP(frasest[[#This Row],[author_es]],autorest[author_es],autorest[language_es])</f>
        <v>Euskara</v>
      </c>
      <c r="L803" t="str">
        <f>_xlfn.XLOOKUP(frasest[[#This Row],[author_es]],autorest[author_es],autorest[language_la])</f>
        <v>Lingua Vasconica</v>
      </c>
      <c r="M803" t="str">
        <f>_xlfn.XLOOKUP(frasest[[#This Row],[author_es]],autorest[author_es],autorest[nation_es])</f>
        <v>España</v>
      </c>
      <c r="N803" t="str">
        <f>_xlfn.XLOOKUP(frasest[[#This Row],[author_es]],autorest[author_es],autorest[nation_la])</f>
        <v>Hispania</v>
      </c>
      <c r="O803" t="str">
        <f>_xlfn.XLOOKUP(frasest[[#This Row],[author_es]],autorest[author_es],autorest[age_es])</f>
        <v>Epoca Desconocida</v>
      </c>
      <c r="P803" t="str">
        <f>_xlfn.XLOOKUP(frasest[[#This Row],[author_es]],autorest[author_es],autorest[age_la])</f>
        <v>Epocha Ignota</v>
      </c>
      <c r="Q803" t="str">
        <f>_xlfn.XLOOKUP(frasest[[#This Row],[author_es]],autorest[author_es],autorest[image])</f>
        <v>https://i.ibb.co/bjgxB3kn/euskadi.png</v>
      </c>
      <c r="R803">
        <f>_xlfn.XLOOKUP(frasest[[#This Row],[author_es]],autorest[author_es],autorest[image_atr])</f>
        <v>0</v>
      </c>
    </row>
    <row r="804" spans="1:18">
      <c r="A804">
        <v>803</v>
      </c>
      <c r="B804" t="s">
        <v>2688</v>
      </c>
      <c r="C804" t="s">
        <v>2689</v>
      </c>
      <c r="D804" t="s">
        <v>2690</v>
      </c>
      <c r="E804" t="s">
        <v>1236</v>
      </c>
      <c r="G804" t="str">
        <f>_xlfn.XLOOKUP(frasest[[#This Row],[author_es]],autorest[author_es],autorest[author_la])</f>
        <v>Sententia Vasconica</v>
      </c>
      <c r="H804" t="str">
        <f>_xlfn.XLOOKUP(frasest[[#This Row],[author_es]],autorest[author_es],autorest[bio_es])</f>
        <v>Proverbios de la tradición oral vasca que reflejan la relación con la naturaleza, el trabajo y los valores comunitarios del pueblo vasco.</v>
      </c>
      <c r="I804" t="str">
        <f>_xlfn.XLOOKUP(frasest[[#This Row],[author_es]],autorest[author_es],autorest[bio_la])</f>
        <v>Collectio sententiarum Vasconicarum.</v>
      </c>
      <c r="J804" t="str">
        <f>_xlfn.XLOOKUP(frasest[[#This Row],[author_es]],autorest[author_es],autorest[iso3691])</f>
        <v>eu</v>
      </c>
      <c r="K804" t="str">
        <f>_xlfn.XLOOKUP(frasest[[#This Row],[author_es]],autorest[author_es],autorest[language_es])</f>
        <v>Euskara</v>
      </c>
      <c r="L804" t="str">
        <f>_xlfn.XLOOKUP(frasest[[#This Row],[author_es]],autorest[author_es],autorest[language_la])</f>
        <v>Lingua Vasconica</v>
      </c>
      <c r="M804" t="str">
        <f>_xlfn.XLOOKUP(frasest[[#This Row],[author_es]],autorest[author_es],autorest[nation_es])</f>
        <v>España</v>
      </c>
      <c r="N804" t="str">
        <f>_xlfn.XLOOKUP(frasest[[#This Row],[author_es]],autorest[author_es],autorest[nation_la])</f>
        <v>Hispania</v>
      </c>
      <c r="O804" t="str">
        <f>_xlfn.XLOOKUP(frasest[[#This Row],[author_es]],autorest[author_es],autorest[age_es])</f>
        <v>Epoca Desconocida</v>
      </c>
      <c r="P804" t="str">
        <f>_xlfn.XLOOKUP(frasest[[#This Row],[author_es]],autorest[author_es],autorest[age_la])</f>
        <v>Epocha Ignota</v>
      </c>
      <c r="Q804" t="str">
        <f>_xlfn.XLOOKUP(frasest[[#This Row],[author_es]],autorest[author_es],autorest[image])</f>
        <v>https://i.ibb.co/bjgxB3kn/euskadi.png</v>
      </c>
      <c r="R804">
        <f>_xlfn.XLOOKUP(frasest[[#This Row],[author_es]],autorest[author_es],autorest[image_atr])</f>
        <v>0</v>
      </c>
    </row>
    <row r="805" spans="1:18">
      <c r="A805">
        <v>804</v>
      </c>
      <c r="B805" t="s">
        <v>2691</v>
      </c>
      <c r="C805" t="s">
        <v>2692</v>
      </c>
      <c r="D805" t="s">
        <v>2693</v>
      </c>
      <c r="E805" t="s">
        <v>1236</v>
      </c>
      <c r="G805" t="str">
        <f>_xlfn.XLOOKUP(frasest[[#This Row],[author_es]],autorest[author_es],autorest[author_la])</f>
        <v>Sententia Vasconica</v>
      </c>
      <c r="H805" t="str">
        <f>_xlfn.XLOOKUP(frasest[[#This Row],[author_es]],autorest[author_es],autorest[bio_es])</f>
        <v>Proverbios de la tradición oral vasca que reflejan la relación con la naturaleza, el trabajo y los valores comunitarios del pueblo vasco.</v>
      </c>
      <c r="I805" t="str">
        <f>_xlfn.XLOOKUP(frasest[[#This Row],[author_es]],autorest[author_es],autorest[bio_la])</f>
        <v>Collectio sententiarum Vasconicarum.</v>
      </c>
      <c r="J805" t="str">
        <f>_xlfn.XLOOKUP(frasest[[#This Row],[author_es]],autorest[author_es],autorest[iso3691])</f>
        <v>eu</v>
      </c>
      <c r="K805" t="str">
        <f>_xlfn.XLOOKUP(frasest[[#This Row],[author_es]],autorest[author_es],autorest[language_es])</f>
        <v>Euskara</v>
      </c>
      <c r="L805" t="str">
        <f>_xlfn.XLOOKUP(frasest[[#This Row],[author_es]],autorest[author_es],autorest[language_la])</f>
        <v>Lingua Vasconica</v>
      </c>
      <c r="M805" t="str">
        <f>_xlfn.XLOOKUP(frasest[[#This Row],[author_es]],autorest[author_es],autorest[nation_es])</f>
        <v>España</v>
      </c>
      <c r="N805" t="str">
        <f>_xlfn.XLOOKUP(frasest[[#This Row],[author_es]],autorest[author_es],autorest[nation_la])</f>
        <v>Hispania</v>
      </c>
      <c r="O805" t="str">
        <f>_xlfn.XLOOKUP(frasest[[#This Row],[author_es]],autorest[author_es],autorest[age_es])</f>
        <v>Epoca Desconocida</v>
      </c>
      <c r="P805" t="str">
        <f>_xlfn.XLOOKUP(frasest[[#This Row],[author_es]],autorest[author_es],autorest[age_la])</f>
        <v>Epocha Ignota</v>
      </c>
      <c r="Q805" t="str">
        <f>_xlfn.XLOOKUP(frasest[[#This Row],[author_es]],autorest[author_es],autorest[image])</f>
        <v>https://i.ibb.co/bjgxB3kn/euskadi.png</v>
      </c>
      <c r="R805">
        <f>_xlfn.XLOOKUP(frasest[[#This Row],[author_es]],autorest[author_es],autorest[image_atr])</f>
        <v>0</v>
      </c>
    </row>
    <row r="806" spans="1:18">
      <c r="A806">
        <v>805</v>
      </c>
      <c r="B806" t="s">
        <v>2694</v>
      </c>
      <c r="C806" t="s">
        <v>2695</v>
      </c>
      <c r="D806" t="s">
        <v>2696</v>
      </c>
      <c r="E806" t="s">
        <v>1236</v>
      </c>
      <c r="G806" t="str">
        <f>_xlfn.XLOOKUP(frasest[[#This Row],[author_es]],autorest[author_es],autorest[author_la])</f>
        <v>Sententia Vasconica</v>
      </c>
      <c r="H806" t="str">
        <f>_xlfn.XLOOKUP(frasest[[#This Row],[author_es]],autorest[author_es],autorest[bio_es])</f>
        <v>Proverbios de la tradición oral vasca que reflejan la relación con la naturaleza, el trabajo y los valores comunitarios del pueblo vasco.</v>
      </c>
      <c r="I806" t="str">
        <f>_xlfn.XLOOKUP(frasest[[#This Row],[author_es]],autorest[author_es],autorest[bio_la])</f>
        <v>Collectio sententiarum Vasconicarum.</v>
      </c>
      <c r="J806" t="str">
        <f>_xlfn.XLOOKUP(frasest[[#This Row],[author_es]],autorest[author_es],autorest[iso3691])</f>
        <v>eu</v>
      </c>
      <c r="K806" t="str">
        <f>_xlfn.XLOOKUP(frasest[[#This Row],[author_es]],autorest[author_es],autorest[language_es])</f>
        <v>Euskara</v>
      </c>
      <c r="L806" t="str">
        <f>_xlfn.XLOOKUP(frasest[[#This Row],[author_es]],autorest[author_es],autorest[language_la])</f>
        <v>Lingua Vasconica</v>
      </c>
      <c r="M806" t="str">
        <f>_xlfn.XLOOKUP(frasest[[#This Row],[author_es]],autorest[author_es],autorest[nation_es])</f>
        <v>España</v>
      </c>
      <c r="N806" t="str">
        <f>_xlfn.XLOOKUP(frasest[[#This Row],[author_es]],autorest[author_es],autorest[nation_la])</f>
        <v>Hispania</v>
      </c>
      <c r="O806" t="str">
        <f>_xlfn.XLOOKUP(frasest[[#This Row],[author_es]],autorest[author_es],autorest[age_es])</f>
        <v>Epoca Desconocida</v>
      </c>
      <c r="P806" t="str">
        <f>_xlfn.XLOOKUP(frasest[[#This Row],[author_es]],autorest[author_es],autorest[age_la])</f>
        <v>Epocha Ignota</v>
      </c>
      <c r="Q806" t="str">
        <f>_xlfn.XLOOKUP(frasest[[#This Row],[author_es]],autorest[author_es],autorest[image])</f>
        <v>https://i.ibb.co/bjgxB3kn/euskadi.png</v>
      </c>
      <c r="R806">
        <f>_xlfn.XLOOKUP(frasest[[#This Row],[author_es]],autorest[author_es],autorest[image_atr])</f>
        <v>0</v>
      </c>
    </row>
    <row r="807" spans="1:18">
      <c r="A807">
        <v>806</v>
      </c>
      <c r="B807" t="s">
        <v>2697</v>
      </c>
      <c r="C807" t="s">
        <v>2698</v>
      </c>
      <c r="D807" t="s">
        <v>2699</v>
      </c>
      <c r="E807" t="s">
        <v>1236</v>
      </c>
      <c r="G807" t="str">
        <f>_xlfn.XLOOKUP(frasest[[#This Row],[author_es]],autorest[author_es],autorest[author_la])</f>
        <v>Sententia Vasconica</v>
      </c>
      <c r="H807" t="str">
        <f>_xlfn.XLOOKUP(frasest[[#This Row],[author_es]],autorest[author_es],autorest[bio_es])</f>
        <v>Proverbios de la tradición oral vasca que reflejan la relación con la naturaleza, el trabajo y los valores comunitarios del pueblo vasco.</v>
      </c>
      <c r="I807" t="str">
        <f>_xlfn.XLOOKUP(frasest[[#This Row],[author_es]],autorest[author_es],autorest[bio_la])</f>
        <v>Collectio sententiarum Vasconicarum.</v>
      </c>
      <c r="J807" t="str">
        <f>_xlfn.XLOOKUP(frasest[[#This Row],[author_es]],autorest[author_es],autorest[iso3691])</f>
        <v>eu</v>
      </c>
      <c r="K807" t="str">
        <f>_xlfn.XLOOKUP(frasest[[#This Row],[author_es]],autorest[author_es],autorest[language_es])</f>
        <v>Euskara</v>
      </c>
      <c r="L807" t="str">
        <f>_xlfn.XLOOKUP(frasest[[#This Row],[author_es]],autorest[author_es],autorest[language_la])</f>
        <v>Lingua Vasconica</v>
      </c>
      <c r="M807" t="str">
        <f>_xlfn.XLOOKUP(frasest[[#This Row],[author_es]],autorest[author_es],autorest[nation_es])</f>
        <v>España</v>
      </c>
      <c r="N807" t="str">
        <f>_xlfn.XLOOKUP(frasest[[#This Row],[author_es]],autorest[author_es],autorest[nation_la])</f>
        <v>Hispania</v>
      </c>
      <c r="O807" t="str">
        <f>_xlfn.XLOOKUP(frasest[[#This Row],[author_es]],autorest[author_es],autorest[age_es])</f>
        <v>Epoca Desconocida</v>
      </c>
      <c r="P807" t="str">
        <f>_xlfn.XLOOKUP(frasest[[#This Row],[author_es]],autorest[author_es],autorest[age_la])</f>
        <v>Epocha Ignota</v>
      </c>
      <c r="Q807" t="str">
        <f>_xlfn.XLOOKUP(frasest[[#This Row],[author_es]],autorest[author_es],autorest[image])</f>
        <v>https://i.ibb.co/bjgxB3kn/euskadi.png</v>
      </c>
      <c r="R807">
        <f>_xlfn.XLOOKUP(frasest[[#This Row],[author_es]],autorest[author_es],autorest[image_atr])</f>
        <v>0</v>
      </c>
    </row>
    <row r="808" spans="1:18">
      <c r="A808">
        <v>807</v>
      </c>
      <c r="B808" t="s">
        <v>2700</v>
      </c>
      <c r="C808" t="s">
        <v>2701</v>
      </c>
      <c r="D808" t="s">
        <v>2702</v>
      </c>
      <c r="E808" t="s">
        <v>1236</v>
      </c>
      <c r="G808" t="str">
        <f>_xlfn.XLOOKUP(frasest[[#This Row],[author_es]],autorest[author_es],autorest[author_la])</f>
        <v>Sententia Vasconica</v>
      </c>
      <c r="H808" t="str">
        <f>_xlfn.XLOOKUP(frasest[[#This Row],[author_es]],autorest[author_es],autorest[bio_es])</f>
        <v>Proverbios de la tradición oral vasca que reflejan la relación con la naturaleza, el trabajo y los valores comunitarios del pueblo vasco.</v>
      </c>
      <c r="I808" t="str">
        <f>_xlfn.XLOOKUP(frasest[[#This Row],[author_es]],autorest[author_es],autorest[bio_la])</f>
        <v>Collectio sententiarum Vasconicarum.</v>
      </c>
      <c r="J808" t="str">
        <f>_xlfn.XLOOKUP(frasest[[#This Row],[author_es]],autorest[author_es],autorest[iso3691])</f>
        <v>eu</v>
      </c>
      <c r="K808" t="str">
        <f>_xlfn.XLOOKUP(frasest[[#This Row],[author_es]],autorest[author_es],autorest[language_es])</f>
        <v>Euskara</v>
      </c>
      <c r="L808" t="str">
        <f>_xlfn.XLOOKUP(frasest[[#This Row],[author_es]],autorest[author_es],autorest[language_la])</f>
        <v>Lingua Vasconica</v>
      </c>
      <c r="M808" t="str">
        <f>_xlfn.XLOOKUP(frasest[[#This Row],[author_es]],autorest[author_es],autorest[nation_es])</f>
        <v>España</v>
      </c>
      <c r="N808" t="str">
        <f>_xlfn.XLOOKUP(frasest[[#This Row],[author_es]],autorest[author_es],autorest[nation_la])</f>
        <v>Hispania</v>
      </c>
      <c r="O808" t="str">
        <f>_xlfn.XLOOKUP(frasest[[#This Row],[author_es]],autorest[author_es],autorest[age_es])</f>
        <v>Epoca Desconocida</v>
      </c>
      <c r="P808" t="str">
        <f>_xlfn.XLOOKUP(frasest[[#This Row],[author_es]],autorest[author_es],autorest[age_la])</f>
        <v>Epocha Ignota</v>
      </c>
      <c r="Q808" t="str">
        <f>_xlfn.XLOOKUP(frasest[[#This Row],[author_es]],autorest[author_es],autorest[image])</f>
        <v>https://i.ibb.co/bjgxB3kn/euskadi.png</v>
      </c>
      <c r="R808">
        <f>_xlfn.XLOOKUP(frasest[[#This Row],[author_es]],autorest[author_es],autorest[image_atr])</f>
        <v>0</v>
      </c>
    </row>
    <row r="809" spans="1:18">
      <c r="A809">
        <v>808</v>
      </c>
      <c r="B809" t="s">
        <v>2703</v>
      </c>
      <c r="C809" t="s">
        <v>2704</v>
      </c>
      <c r="D809" t="s">
        <v>2705</v>
      </c>
      <c r="E809" t="s">
        <v>1236</v>
      </c>
      <c r="G809" t="str">
        <f>_xlfn.XLOOKUP(frasest[[#This Row],[author_es]],autorest[author_es],autorest[author_la])</f>
        <v>Sententia Vasconica</v>
      </c>
      <c r="H809" t="str">
        <f>_xlfn.XLOOKUP(frasest[[#This Row],[author_es]],autorest[author_es],autorest[bio_es])</f>
        <v>Proverbios de la tradición oral vasca que reflejan la relación con la naturaleza, el trabajo y los valores comunitarios del pueblo vasco.</v>
      </c>
      <c r="I809" t="str">
        <f>_xlfn.XLOOKUP(frasest[[#This Row],[author_es]],autorest[author_es],autorest[bio_la])</f>
        <v>Collectio sententiarum Vasconicarum.</v>
      </c>
      <c r="J809" t="str">
        <f>_xlfn.XLOOKUP(frasest[[#This Row],[author_es]],autorest[author_es],autorest[iso3691])</f>
        <v>eu</v>
      </c>
      <c r="K809" t="str">
        <f>_xlfn.XLOOKUP(frasest[[#This Row],[author_es]],autorest[author_es],autorest[language_es])</f>
        <v>Euskara</v>
      </c>
      <c r="L809" t="str">
        <f>_xlfn.XLOOKUP(frasest[[#This Row],[author_es]],autorest[author_es],autorest[language_la])</f>
        <v>Lingua Vasconica</v>
      </c>
      <c r="M809" t="str">
        <f>_xlfn.XLOOKUP(frasest[[#This Row],[author_es]],autorest[author_es],autorest[nation_es])</f>
        <v>España</v>
      </c>
      <c r="N809" t="str">
        <f>_xlfn.XLOOKUP(frasest[[#This Row],[author_es]],autorest[author_es],autorest[nation_la])</f>
        <v>Hispania</v>
      </c>
      <c r="O809" t="str">
        <f>_xlfn.XLOOKUP(frasest[[#This Row],[author_es]],autorest[author_es],autorest[age_es])</f>
        <v>Epoca Desconocida</v>
      </c>
      <c r="P809" t="str">
        <f>_xlfn.XLOOKUP(frasest[[#This Row],[author_es]],autorest[author_es],autorest[age_la])</f>
        <v>Epocha Ignota</v>
      </c>
      <c r="Q809" t="str">
        <f>_xlfn.XLOOKUP(frasest[[#This Row],[author_es]],autorest[author_es],autorest[image])</f>
        <v>https://i.ibb.co/bjgxB3kn/euskadi.png</v>
      </c>
      <c r="R809">
        <f>_xlfn.XLOOKUP(frasest[[#This Row],[author_es]],autorest[author_es],autorest[image_atr])</f>
        <v>0</v>
      </c>
    </row>
    <row r="810" spans="1:18">
      <c r="A810">
        <v>809</v>
      </c>
      <c r="B810" t="s">
        <v>2706</v>
      </c>
      <c r="C810" t="s">
        <v>2707</v>
      </c>
      <c r="D810" t="s">
        <v>2708</v>
      </c>
      <c r="E810" t="s">
        <v>1236</v>
      </c>
      <c r="G810" t="str">
        <f>_xlfn.XLOOKUP(frasest[[#This Row],[author_es]],autorest[author_es],autorest[author_la])</f>
        <v>Sententia Vasconica</v>
      </c>
      <c r="H810" t="str">
        <f>_xlfn.XLOOKUP(frasest[[#This Row],[author_es]],autorest[author_es],autorest[bio_es])</f>
        <v>Proverbios de la tradición oral vasca que reflejan la relación con la naturaleza, el trabajo y los valores comunitarios del pueblo vasco.</v>
      </c>
      <c r="I810" t="str">
        <f>_xlfn.XLOOKUP(frasest[[#This Row],[author_es]],autorest[author_es],autorest[bio_la])</f>
        <v>Collectio sententiarum Vasconicarum.</v>
      </c>
      <c r="J810" t="str">
        <f>_xlfn.XLOOKUP(frasest[[#This Row],[author_es]],autorest[author_es],autorest[iso3691])</f>
        <v>eu</v>
      </c>
      <c r="K810" t="str">
        <f>_xlfn.XLOOKUP(frasest[[#This Row],[author_es]],autorest[author_es],autorest[language_es])</f>
        <v>Euskara</v>
      </c>
      <c r="L810" t="str">
        <f>_xlfn.XLOOKUP(frasest[[#This Row],[author_es]],autorest[author_es],autorest[language_la])</f>
        <v>Lingua Vasconica</v>
      </c>
      <c r="M810" t="str">
        <f>_xlfn.XLOOKUP(frasest[[#This Row],[author_es]],autorest[author_es],autorest[nation_es])</f>
        <v>España</v>
      </c>
      <c r="N810" t="str">
        <f>_xlfn.XLOOKUP(frasest[[#This Row],[author_es]],autorest[author_es],autorest[nation_la])</f>
        <v>Hispania</v>
      </c>
      <c r="O810" t="str">
        <f>_xlfn.XLOOKUP(frasest[[#This Row],[author_es]],autorest[author_es],autorest[age_es])</f>
        <v>Epoca Desconocida</v>
      </c>
      <c r="P810" t="str">
        <f>_xlfn.XLOOKUP(frasest[[#This Row],[author_es]],autorest[author_es],autorest[age_la])</f>
        <v>Epocha Ignota</v>
      </c>
      <c r="Q810" t="str">
        <f>_xlfn.XLOOKUP(frasest[[#This Row],[author_es]],autorest[author_es],autorest[image])</f>
        <v>https://i.ibb.co/bjgxB3kn/euskadi.png</v>
      </c>
      <c r="R810">
        <f>_xlfn.XLOOKUP(frasest[[#This Row],[author_es]],autorest[author_es],autorest[image_atr])</f>
        <v>0</v>
      </c>
    </row>
    <row r="811" spans="1:18">
      <c r="A811">
        <v>810</v>
      </c>
      <c r="B811" t="s">
        <v>2709</v>
      </c>
      <c r="C811" t="s">
        <v>2710</v>
      </c>
      <c r="D811" t="s">
        <v>2711</v>
      </c>
      <c r="E811" t="s">
        <v>1236</v>
      </c>
      <c r="G811" t="str">
        <f>_xlfn.XLOOKUP(frasest[[#This Row],[author_es]],autorest[author_es],autorest[author_la])</f>
        <v>Sententia Vasconica</v>
      </c>
      <c r="H811" t="str">
        <f>_xlfn.XLOOKUP(frasest[[#This Row],[author_es]],autorest[author_es],autorest[bio_es])</f>
        <v>Proverbios de la tradición oral vasca que reflejan la relación con la naturaleza, el trabajo y los valores comunitarios del pueblo vasco.</v>
      </c>
      <c r="I811" t="str">
        <f>_xlfn.XLOOKUP(frasest[[#This Row],[author_es]],autorest[author_es],autorest[bio_la])</f>
        <v>Collectio sententiarum Vasconicarum.</v>
      </c>
      <c r="J811" t="str">
        <f>_xlfn.XLOOKUP(frasest[[#This Row],[author_es]],autorest[author_es],autorest[iso3691])</f>
        <v>eu</v>
      </c>
      <c r="K811" t="str">
        <f>_xlfn.XLOOKUP(frasest[[#This Row],[author_es]],autorest[author_es],autorest[language_es])</f>
        <v>Euskara</v>
      </c>
      <c r="L811" t="str">
        <f>_xlfn.XLOOKUP(frasest[[#This Row],[author_es]],autorest[author_es],autorest[language_la])</f>
        <v>Lingua Vasconica</v>
      </c>
      <c r="M811" t="str">
        <f>_xlfn.XLOOKUP(frasest[[#This Row],[author_es]],autorest[author_es],autorest[nation_es])</f>
        <v>España</v>
      </c>
      <c r="N811" t="str">
        <f>_xlfn.XLOOKUP(frasest[[#This Row],[author_es]],autorest[author_es],autorest[nation_la])</f>
        <v>Hispania</v>
      </c>
      <c r="O811" t="str">
        <f>_xlfn.XLOOKUP(frasest[[#This Row],[author_es]],autorest[author_es],autorest[age_es])</f>
        <v>Epoca Desconocida</v>
      </c>
      <c r="P811" t="str">
        <f>_xlfn.XLOOKUP(frasest[[#This Row],[author_es]],autorest[author_es],autorest[age_la])</f>
        <v>Epocha Ignota</v>
      </c>
      <c r="Q811" t="str">
        <f>_xlfn.XLOOKUP(frasest[[#This Row],[author_es]],autorest[author_es],autorest[image])</f>
        <v>https://i.ibb.co/bjgxB3kn/euskadi.png</v>
      </c>
      <c r="R811">
        <f>_xlfn.XLOOKUP(frasest[[#This Row],[author_es]],autorest[author_es],autorest[image_atr])</f>
        <v>0</v>
      </c>
    </row>
    <row r="812" spans="1:18">
      <c r="A812">
        <v>811</v>
      </c>
      <c r="B812" t="s">
        <v>2712</v>
      </c>
      <c r="C812" t="s">
        <v>2713</v>
      </c>
      <c r="D812" t="s">
        <v>2714</v>
      </c>
      <c r="E812" t="s">
        <v>1236</v>
      </c>
      <c r="G812" t="str">
        <f>_xlfn.XLOOKUP(frasest[[#This Row],[author_es]],autorest[author_es],autorest[author_la])</f>
        <v>Sententia Vasconica</v>
      </c>
      <c r="H812" t="str">
        <f>_xlfn.XLOOKUP(frasest[[#This Row],[author_es]],autorest[author_es],autorest[bio_es])</f>
        <v>Proverbios de la tradición oral vasca que reflejan la relación con la naturaleza, el trabajo y los valores comunitarios del pueblo vasco.</v>
      </c>
      <c r="I812" t="str">
        <f>_xlfn.XLOOKUP(frasest[[#This Row],[author_es]],autorest[author_es],autorest[bio_la])</f>
        <v>Collectio sententiarum Vasconicarum.</v>
      </c>
      <c r="J812" t="str">
        <f>_xlfn.XLOOKUP(frasest[[#This Row],[author_es]],autorest[author_es],autorest[iso3691])</f>
        <v>eu</v>
      </c>
      <c r="K812" t="str">
        <f>_xlfn.XLOOKUP(frasest[[#This Row],[author_es]],autorest[author_es],autorest[language_es])</f>
        <v>Euskara</v>
      </c>
      <c r="L812" t="str">
        <f>_xlfn.XLOOKUP(frasest[[#This Row],[author_es]],autorest[author_es],autorest[language_la])</f>
        <v>Lingua Vasconica</v>
      </c>
      <c r="M812" t="str">
        <f>_xlfn.XLOOKUP(frasest[[#This Row],[author_es]],autorest[author_es],autorest[nation_es])</f>
        <v>España</v>
      </c>
      <c r="N812" t="str">
        <f>_xlfn.XLOOKUP(frasest[[#This Row],[author_es]],autorest[author_es],autorest[nation_la])</f>
        <v>Hispania</v>
      </c>
      <c r="O812" t="str">
        <f>_xlfn.XLOOKUP(frasest[[#This Row],[author_es]],autorest[author_es],autorest[age_es])</f>
        <v>Epoca Desconocida</v>
      </c>
      <c r="P812" t="str">
        <f>_xlfn.XLOOKUP(frasest[[#This Row],[author_es]],autorest[author_es],autorest[age_la])</f>
        <v>Epocha Ignota</v>
      </c>
      <c r="Q812" t="str">
        <f>_xlfn.XLOOKUP(frasest[[#This Row],[author_es]],autorest[author_es],autorest[image])</f>
        <v>https://i.ibb.co/bjgxB3kn/euskadi.png</v>
      </c>
      <c r="R812">
        <f>_xlfn.XLOOKUP(frasest[[#This Row],[author_es]],autorest[author_es],autorest[image_atr])</f>
        <v>0</v>
      </c>
    </row>
    <row r="813" spans="1:18">
      <c r="A813">
        <v>812</v>
      </c>
      <c r="B813" t="s">
        <v>2715</v>
      </c>
      <c r="C813" t="s">
        <v>2716</v>
      </c>
      <c r="D813" t="s">
        <v>2717</v>
      </c>
      <c r="E813" t="s">
        <v>1236</v>
      </c>
      <c r="G813" t="str">
        <f>_xlfn.XLOOKUP(frasest[[#This Row],[author_es]],autorest[author_es],autorest[author_la])</f>
        <v>Sententia Vasconica</v>
      </c>
      <c r="H813" t="str">
        <f>_xlfn.XLOOKUP(frasest[[#This Row],[author_es]],autorest[author_es],autorest[bio_es])</f>
        <v>Proverbios de la tradición oral vasca que reflejan la relación con la naturaleza, el trabajo y los valores comunitarios del pueblo vasco.</v>
      </c>
      <c r="I813" t="str">
        <f>_xlfn.XLOOKUP(frasest[[#This Row],[author_es]],autorest[author_es],autorest[bio_la])</f>
        <v>Collectio sententiarum Vasconicarum.</v>
      </c>
      <c r="J813" t="str">
        <f>_xlfn.XLOOKUP(frasest[[#This Row],[author_es]],autorest[author_es],autorest[iso3691])</f>
        <v>eu</v>
      </c>
      <c r="K813" t="str">
        <f>_xlfn.XLOOKUP(frasest[[#This Row],[author_es]],autorest[author_es],autorest[language_es])</f>
        <v>Euskara</v>
      </c>
      <c r="L813" t="str">
        <f>_xlfn.XLOOKUP(frasest[[#This Row],[author_es]],autorest[author_es],autorest[language_la])</f>
        <v>Lingua Vasconica</v>
      </c>
      <c r="M813" t="str">
        <f>_xlfn.XLOOKUP(frasest[[#This Row],[author_es]],autorest[author_es],autorest[nation_es])</f>
        <v>España</v>
      </c>
      <c r="N813" t="str">
        <f>_xlfn.XLOOKUP(frasest[[#This Row],[author_es]],autorest[author_es],autorest[nation_la])</f>
        <v>Hispania</v>
      </c>
      <c r="O813" t="str">
        <f>_xlfn.XLOOKUP(frasest[[#This Row],[author_es]],autorest[author_es],autorest[age_es])</f>
        <v>Epoca Desconocida</v>
      </c>
      <c r="P813" t="str">
        <f>_xlfn.XLOOKUP(frasest[[#This Row],[author_es]],autorest[author_es],autorest[age_la])</f>
        <v>Epocha Ignota</v>
      </c>
      <c r="Q813" t="str">
        <f>_xlfn.XLOOKUP(frasest[[#This Row],[author_es]],autorest[author_es],autorest[image])</f>
        <v>https://i.ibb.co/bjgxB3kn/euskadi.png</v>
      </c>
      <c r="R813">
        <f>_xlfn.XLOOKUP(frasest[[#This Row],[author_es]],autorest[author_es],autorest[image_atr])</f>
        <v>0</v>
      </c>
    </row>
    <row r="814" spans="1:18">
      <c r="A814">
        <v>813</v>
      </c>
      <c r="B814" t="s">
        <v>2718</v>
      </c>
      <c r="C814" t="s">
        <v>2719</v>
      </c>
      <c r="D814" t="s">
        <v>2720</v>
      </c>
      <c r="E814" t="s">
        <v>1236</v>
      </c>
      <c r="G814" t="str">
        <f>_xlfn.XLOOKUP(frasest[[#This Row],[author_es]],autorest[author_es],autorest[author_la])</f>
        <v>Sententia Vasconica</v>
      </c>
      <c r="H814" t="str">
        <f>_xlfn.XLOOKUP(frasest[[#This Row],[author_es]],autorest[author_es],autorest[bio_es])</f>
        <v>Proverbios de la tradición oral vasca que reflejan la relación con la naturaleza, el trabajo y los valores comunitarios del pueblo vasco.</v>
      </c>
      <c r="I814" t="str">
        <f>_xlfn.XLOOKUP(frasest[[#This Row],[author_es]],autorest[author_es],autorest[bio_la])</f>
        <v>Collectio sententiarum Vasconicarum.</v>
      </c>
      <c r="J814" t="str">
        <f>_xlfn.XLOOKUP(frasest[[#This Row],[author_es]],autorest[author_es],autorest[iso3691])</f>
        <v>eu</v>
      </c>
      <c r="K814" t="str">
        <f>_xlfn.XLOOKUP(frasest[[#This Row],[author_es]],autorest[author_es],autorest[language_es])</f>
        <v>Euskara</v>
      </c>
      <c r="L814" t="str">
        <f>_xlfn.XLOOKUP(frasest[[#This Row],[author_es]],autorest[author_es],autorest[language_la])</f>
        <v>Lingua Vasconica</v>
      </c>
      <c r="M814" t="str">
        <f>_xlfn.XLOOKUP(frasest[[#This Row],[author_es]],autorest[author_es],autorest[nation_es])</f>
        <v>España</v>
      </c>
      <c r="N814" t="str">
        <f>_xlfn.XLOOKUP(frasest[[#This Row],[author_es]],autorest[author_es],autorest[nation_la])</f>
        <v>Hispania</v>
      </c>
      <c r="O814" t="str">
        <f>_xlfn.XLOOKUP(frasest[[#This Row],[author_es]],autorest[author_es],autorest[age_es])</f>
        <v>Epoca Desconocida</v>
      </c>
      <c r="P814" t="str">
        <f>_xlfn.XLOOKUP(frasest[[#This Row],[author_es]],autorest[author_es],autorest[age_la])</f>
        <v>Epocha Ignota</v>
      </c>
      <c r="Q814" t="str">
        <f>_xlfn.XLOOKUP(frasest[[#This Row],[author_es]],autorest[author_es],autorest[image])</f>
        <v>https://i.ibb.co/bjgxB3kn/euskadi.png</v>
      </c>
      <c r="R814">
        <f>_xlfn.XLOOKUP(frasest[[#This Row],[author_es]],autorest[author_es],autorest[image_atr])</f>
        <v>0</v>
      </c>
    </row>
    <row r="815" spans="1:18">
      <c r="A815">
        <v>814</v>
      </c>
      <c r="B815" t="s">
        <v>2721</v>
      </c>
      <c r="C815" t="s">
        <v>2722</v>
      </c>
      <c r="D815" t="s">
        <v>2723</v>
      </c>
      <c r="E815" t="s">
        <v>1236</v>
      </c>
      <c r="G815" t="str">
        <f>_xlfn.XLOOKUP(frasest[[#This Row],[author_es]],autorest[author_es],autorest[author_la])</f>
        <v>Sententia Vasconica</v>
      </c>
      <c r="H815" t="str">
        <f>_xlfn.XLOOKUP(frasest[[#This Row],[author_es]],autorest[author_es],autorest[bio_es])</f>
        <v>Proverbios de la tradición oral vasca que reflejan la relación con la naturaleza, el trabajo y los valores comunitarios del pueblo vasco.</v>
      </c>
      <c r="I815" t="str">
        <f>_xlfn.XLOOKUP(frasest[[#This Row],[author_es]],autorest[author_es],autorest[bio_la])</f>
        <v>Collectio sententiarum Vasconicarum.</v>
      </c>
      <c r="J815" t="str">
        <f>_xlfn.XLOOKUP(frasest[[#This Row],[author_es]],autorest[author_es],autorest[iso3691])</f>
        <v>eu</v>
      </c>
      <c r="K815" t="str">
        <f>_xlfn.XLOOKUP(frasest[[#This Row],[author_es]],autorest[author_es],autorest[language_es])</f>
        <v>Euskara</v>
      </c>
      <c r="L815" t="str">
        <f>_xlfn.XLOOKUP(frasest[[#This Row],[author_es]],autorest[author_es],autorest[language_la])</f>
        <v>Lingua Vasconica</v>
      </c>
      <c r="M815" t="str">
        <f>_xlfn.XLOOKUP(frasest[[#This Row],[author_es]],autorest[author_es],autorest[nation_es])</f>
        <v>España</v>
      </c>
      <c r="N815" t="str">
        <f>_xlfn.XLOOKUP(frasest[[#This Row],[author_es]],autorest[author_es],autorest[nation_la])</f>
        <v>Hispania</v>
      </c>
      <c r="O815" t="str">
        <f>_xlfn.XLOOKUP(frasest[[#This Row],[author_es]],autorest[author_es],autorest[age_es])</f>
        <v>Epoca Desconocida</v>
      </c>
      <c r="P815" t="str">
        <f>_xlfn.XLOOKUP(frasest[[#This Row],[author_es]],autorest[author_es],autorest[age_la])</f>
        <v>Epocha Ignota</v>
      </c>
      <c r="Q815" t="str">
        <f>_xlfn.XLOOKUP(frasest[[#This Row],[author_es]],autorest[author_es],autorest[image])</f>
        <v>https://i.ibb.co/bjgxB3kn/euskadi.png</v>
      </c>
      <c r="R815">
        <f>_xlfn.XLOOKUP(frasest[[#This Row],[author_es]],autorest[author_es],autorest[image_atr])</f>
        <v>0</v>
      </c>
    </row>
    <row r="816" spans="1:18">
      <c r="A816">
        <v>815</v>
      </c>
      <c r="B816" t="s">
        <v>2724</v>
      </c>
      <c r="C816" t="s">
        <v>2725</v>
      </c>
      <c r="D816" t="s">
        <v>2726</v>
      </c>
      <c r="E816" t="s">
        <v>1236</v>
      </c>
      <c r="G816" t="str">
        <f>_xlfn.XLOOKUP(frasest[[#This Row],[author_es]],autorest[author_es],autorest[author_la])</f>
        <v>Sententia Vasconica</v>
      </c>
      <c r="H816" t="str">
        <f>_xlfn.XLOOKUP(frasest[[#This Row],[author_es]],autorest[author_es],autorest[bio_es])</f>
        <v>Proverbios de la tradición oral vasca que reflejan la relación con la naturaleza, el trabajo y los valores comunitarios del pueblo vasco.</v>
      </c>
      <c r="I816" t="str">
        <f>_xlfn.XLOOKUP(frasest[[#This Row],[author_es]],autorest[author_es],autorest[bio_la])</f>
        <v>Collectio sententiarum Vasconicarum.</v>
      </c>
      <c r="J816" t="str">
        <f>_xlfn.XLOOKUP(frasest[[#This Row],[author_es]],autorest[author_es],autorest[iso3691])</f>
        <v>eu</v>
      </c>
      <c r="K816" t="str">
        <f>_xlfn.XLOOKUP(frasest[[#This Row],[author_es]],autorest[author_es],autorest[language_es])</f>
        <v>Euskara</v>
      </c>
      <c r="L816" t="str">
        <f>_xlfn.XLOOKUP(frasest[[#This Row],[author_es]],autorest[author_es],autorest[language_la])</f>
        <v>Lingua Vasconica</v>
      </c>
      <c r="M816" t="str">
        <f>_xlfn.XLOOKUP(frasest[[#This Row],[author_es]],autorest[author_es],autorest[nation_es])</f>
        <v>España</v>
      </c>
      <c r="N816" t="str">
        <f>_xlfn.XLOOKUP(frasest[[#This Row],[author_es]],autorest[author_es],autorest[nation_la])</f>
        <v>Hispania</v>
      </c>
      <c r="O816" t="str">
        <f>_xlfn.XLOOKUP(frasest[[#This Row],[author_es]],autorest[author_es],autorest[age_es])</f>
        <v>Epoca Desconocida</v>
      </c>
      <c r="P816" t="str">
        <f>_xlfn.XLOOKUP(frasest[[#This Row],[author_es]],autorest[author_es],autorest[age_la])</f>
        <v>Epocha Ignota</v>
      </c>
      <c r="Q816" t="str">
        <f>_xlfn.XLOOKUP(frasest[[#This Row],[author_es]],autorest[author_es],autorest[image])</f>
        <v>https://i.ibb.co/bjgxB3kn/euskadi.png</v>
      </c>
      <c r="R816">
        <f>_xlfn.XLOOKUP(frasest[[#This Row],[author_es]],autorest[author_es],autorest[image_atr])</f>
        <v>0</v>
      </c>
    </row>
    <row r="817" spans="1:18">
      <c r="A817">
        <v>816</v>
      </c>
      <c r="B817" t="s">
        <v>2727</v>
      </c>
      <c r="C817" t="s">
        <v>2728</v>
      </c>
      <c r="D817" t="s">
        <v>2729</v>
      </c>
      <c r="E817" t="s">
        <v>1236</v>
      </c>
      <c r="G817" t="str">
        <f>_xlfn.XLOOKUP(frasest[[#This Row],[author_es]],autorest[author_es],autorest[author_la])</f>
        <v>Sententia Vasconica</v>
      </c>
      <c r="H817" t="str">
        <f>_xlfn.XLOOKUP(frasest[[#This Row],[author_es]],autorest[author_es],autorest[bio_es])</f>
        <v>Proverbios de la tradición oral vasca que reflejan la relación con la naturaleza, el trabajo y los valores comunitarios del pueblo vasco.</v>
      </c>
      <c r="I817" t="str">
        <f>_xlfn.XLOOKUP(frasest[[#This Row],[author_es]],autorest[author_es],autorest[bio_la])</f>
        <v>Collectio sententiarum Vasconicarum.</v>
      </c>
      <c r="J817" t="str">
        <f>_xlfn.XLOOKUP(frasest[[#This Row],[author_es]],autorest[author_es],autorest[iso3691])</f>
        <v>eu</v>
      </c>
      <c r="K817" t="str">
        <f>_xlfn.XLOOKUP(frasest[[#This Row],[author_es]],autorest[author_es],autorest[language_es])</f>
        <v>Euskara</v>
      </c>
      <c r="L817" t="str">
        <f>_xlfn.XLOOKUP(frasest[[#This Row],[author_es]],autorest[author_es],autorest[language_la])</f>
        <v>Lingua Vasconica</v>
      </c>
      <c r="M817" t="str">
        <f>_xlfn.XLOOKUP(frasest[[#This Row],[author_es]],autorest[author_es],autorest[nation_es])</f>
        <v>España</v>
      </c>
      <c r="N817" t="str">
        <f>_xlfn.XLOOKUP(frasest[[#This Row],[author_es]],autorest[author_es],autorest[nation_la])</f>
        <v>Hispania</v>
      </c>
      <c r="O817" t="str">
        <f>_xlfn.XLOOKUP(frasest[[#This Row],[author_es]],autorest[author_es],autorest[age_es])</f>
        <v>Epoca Desconocida</v>
      </c>
      <c r="P817" t="str">
        <f>_xlfn.XLOOKUP(frasest[[#This Row],[author_es]],autorest[author_es],autorest[age_la])</f>
        <v>Epocha Ignota</v>
      </c>
      <c r="Q817" t="str">
        <f>_xlfn.XLOOKUP(frasest[[#This Row],[author_es]],autorest[author_es],autorest[image])</f>
        <v>https://i.ibb.co/bjgxB3kn/euskadi.png</v>
      </c>
      <c r="R817">
        <f>_xlfn.XLOOKUP(frasest[[#This Row],[author_es]],autorest[author_es],autorest[image_atr])</f>
        <v>0</v>
      </c>
    </row>
    <row r="818" spans="1:18">
      <c r="A818">
        <v>817</v>
      </c>
      <c r="B818" t="s">
        <v>2730</v>
      </c>
      <c r="C818" t="s">
        <v>2731</v>
      </c>
      <c r="D818" t="s">
        <v>2732</v>
      </c>
      <c r="E818" t="s">
        <v>1236</v>
      </c>
      <c r="G818" t="str">
        <f>_xlfn.XLOOKUP(frasest[[#This Row],[author_es]],autorest[author_es],autorest[author_la])</f>
        <v>Sententia Vasconica</v>
      </c>
      <c r="H818" t="str">
        <f>_xlfn.XLOOKUP(frasest[[#This Row],[author_es]],autorest[author_es],autorest[bio_es])</f>
        <v>Proverbios de la tradición oral vasca que reflejan la relación con la naturaleza, el trabajo y los valores comunitarios del pueblo vasco.</v>
      </c>
      <c r="I818" t="str">
        <f>_xlfn.XLOOKUP(frasest[[#This Row],[author_es]],autorest[author_es],autorest[bio_la])</f>
        <v>Collectio sententiarum Vasconicarum.</v>
      </c>
      <c r="J818" t="str">
        <f>_xlfn.XLOOKUP(frasest[[#This Row],[author_es]],autorest[author_es],autorest[iso3691])</f>
        <v>eu</v>
      </c>
      <c r="K818" t="str">
        <f>_xlfn.XLOOKUP(frasest[[#This Row],[author_es]],autorest[author_es],autorest[language_es])</f>
        <v>Euskara</v>
      </c>
      <c r="L818" t="str">
        <f>_xlfn.XLOOKUP(frasest[[#This Row],[author_es]],autorest[author_es],autorest[language_la])</f>
        <v>Lingua Vasconica</v>
      </c>
      <c r="M818" t="str">
        <f>_xlfn.XLOOKUP(frasest[[#This Row],[author_es]],autorest[author_es],autorest[nation_es])</f>
        <v>España</v>
      </c>
      <c r="N818" t="str">
        <f>_xlfn.XLOOKUP(frasest[[#This Row],[author_es]],autorest[author_es],autorest[nation_la])</f>
        <v>Hispania</v>
      </c>
      <c r="O818" t="str">
        <f>_xlfn.XLOOKUP(frasest[[#This Row],[author_es]],autorest[author_es],autorest[age_es])</f>
        <v>Epoca Desconocida</v>
      </c>
      <c r="P818" t="str">
        <f>_xlfn.XLOOKUP(frasest[[#This Row],[author_es]],autorest[author_es],autorest[age_la])</f>
        <v>Epocha Ignota</v>
      </c>
      <c r="Q818" t="str">
        <f>_xlfn.XLOOKUP(frasest[[#This Row],[author_es]],autorest[author_es],autorest[image])</f>
        <v>https://i.ibb.co/bjgxB3kn/euskadi.png</v>
      </c>
      <c r="R818">
        <f>_xlfn.XLOOKUP(frasest[[#This Row],[author_es]],autorest[author_es],autorest[image_atr])</f>
        <v>0</v>
      </c>
    </row>
    <row r="819" spans="1:18">
      <c r="A819">
        <v>818</v>
      </c>
      <c r="B819" t="s">
        <v>2733</v>
      </c>
      <c r="C819" t="s">
        <v>2734</v>
      </c>
      <c r="D819" t="s">
        <v>2735</v>
      </c>
      <c r="E819" t="s">
        <v>1236</v>
      </c>
      <c r="G819" t="str">
        <f>_xlfn.XLOOKUP(frasest[[#This Row],[author_es]],autorest[author_es],autorest[author_la])</f>
        <v>Sententia Vasconica</v>
      </c>
      <c r="H819" t="str">
        <f>_xlfn.XLOOKUP(frasest[[#This Row],[author_es]],autorest[author_es],autorest[bio_es])</f>
        <v>Proverbios de la tradición oral vasca que reflejan la relación con la naturaleza, el trabajo y los valores comunitarios del pueblo vasco.</v>
      </c>
      <c r="I819" t="str">
        <f>_xlfn.XLOOKUP(frasest[[#This Row],[author_es]],autorest[author_es],autorest[bio_la])</f>
        <v>Collectio sententiarum Vasconicarum.</v>
      </c>
      <c r="J819" t="str">
        <f>_xlfn.XLOOKUP(frasest[[#This Row],[author_es]],autorest[author_es],autorest[iso3691])</f>
        <v>eu</v>
      </c>
      <c r="K819" t="str">
        <f>_xlfn.XLOOKUP(frasest[[#This Row],[author_es]],autorest[author_es],autorest[language_es])</f>
        <v>Euskara</v>
      </c>
      <c r="L819" t="str">
        <f>_xlfn.XLOOKUP(frasest[[#This Row],[author_es]],autorest[author_es],autorest[language_la])</f>
        <v>Lingua Vasconica</v>
      </c>
      <c r="M819" t="str">
        <f>_xlfn.XLOOKUP(frasest[[#This Row],[author_es]],autorest[author_es],autorest[nation_es])</f>
        <v>España</v>
      </c>
      <c r="N819" t="str">
        <f>_xlfn.XLOOKUP(frasest[[#This Row],[author_es]],autorest[author_es],autorest[nation_la])</f>
        <v>Hispania</v>
      </c>
      <c r="O819" t="str">
        <f>_xlfn.XLOOKUP(frasest[[#This Row],[author_es]],autorest[author_es],autorest[age_es])</f>
        <v>Epoca Desconocida</v>
      </c>
      <c r="P819" t="str">
        <f>_xlfn.XLOOKUP(frasest[[#This Row],[author_es]],autorest[author_es],autorest[age_la])</f>
        <v>Epocha Ignota</v>
      </c>
      <c r="Q819" t="str">
        <f>_xlfn.XLOOKUP(frasest[[#This Row],[author_es]],autorest[author_es],autorest[image])</f>
        <v>https://i.ibb.co/bjgxB3kn/euskadi.png</v>
      </c>
      <c r="R819">
        <f>_xlfn.XLOOKUP(frasest[[#This Row],[author_es]],autorest[author_es],autorest[image_atr])</f>
        <v>0</v>
      </c>
    </row>
    <row r="820" spans="1:18">
      <c r="A820">
        <v>819</v>
      </c>
      <c r="B820" t="s">
        <v>2736</v>
      </c>
      <c r="C820" t="s">
        <v>2737</v>
      </c>
      <c r="D820" t="s">
        <v>2738</v>
      </c>
      <c r="E820" t="s">
        <v>1236</v>
      </c>
      <c r="G820" t="str">
        <f>_xlfn.XLOOKUP(frasest[[#This Row],[author_es]],autorest[author_es],autorest[author_la])</f>
        <v>Sententia Vasconica</v>
      </c>
      <c r="H820" t="str">
        <f>_xlfn.XLOOKUP(frasest[[#This Row],[author_es]],autorest[author_es],autorest[bio_es])</f>
        <v>Proverbios de la tradición oral vasca que reflejan la relación con la naturaleza, el trabajo y los valores comunitarios del pueblo vasco.</v>
      </c>
      <c r="I820" t="str">
        <f>_xlfn.XLOOKUP(frasest[[#This Row],[author_es]],autorest[author_es],autorest[bio_la])</f>
        <v>Collectio sententiarum Vasconicarum.</v>
      </c>
      <c r="J820" t="str">
        <f>_xlfn.XLOOKUP(frasest[[#This Row],[author_es]],autorest[author_es],autorest[iso3691])</f>
        <v>eu</v>
      </c>
      <c r="K820" t="str">
        <f>_xlfn.XLOOKUP(frasest[[#This Row],[author_es]],autorest[author_es],autorest[language_es])</f>
        <v>Euskara</v>
      </c>
      <c r="L820" t="str">
        <f>_xlfn.XLOOKUP(frasest[[#This Row],[author_es]],autorest[author_es],autorest[language_la])</f>
        <v>Lingua Vasconica</v>
      </c>
      <c r="M820" t="str">
        <f>_xlfn.XLOOKUP(frasest[[#This Row],[author_es]],autorest[author_es],autorest[nation_es])</f>
        <v>España</v>
      </c>
      <c r="N820" t="str">
        <f>_xlfn.XLOOKUP(frasest[[#This Row],[author_es]],autorest[author_es],autorest[nation_la])</f>
        <v>Hispania</v>
      </c>
      <c r="O820" t="str">
        <f>_xlfn.XLOOKUP(frasest[[#This Row],[author_es]],autorest[author_es],autorest[age_es])</f>
        <v>Epoca Desconocida</v>
      </c>
      <c r="P820" t="str">
        <f>_xlfn.XLOOKUP(frasest[[#This Row],[author_es]],autorest[author_es],autorest[age_la])</f>
        <v>Epocha Ignota</v>
      </c>
      <c r="Q820" t="str">
        <f>_xlfn.XLOOKUP(frasest[[#This Row],[author_es]],autorest[author_es],autorest[image])</f>
        <v>https://i.ibb.co/bjgxB3kn/euskadi.png</v>
      </c>
      <c r="R820">
        <f>_xlfn.XLOOKUP(frasest[[#This Row],[author_es]],autorest[author_es],autorest[image_atr])</f>
        <v>0</v>
      </c>
    </row>
    <row r="821" spans="1:18">
      <c r="A821">
        <v>820</v>
      </c>
      <c r="B821" t="s">
        <v>2739</v>
      </c>
      <c r="C821" t="s">
        <v>2740</v>
      </c>
      <c r="D821" t="s">
        <v>2741</v>
      </c>
      <c r="E821" t="s">
        <v>1236</v>
      </c>
      <c r="G821" t="str">
        <f>_xlfn.XLOOKUP(frasest[[#This Row],[author_es]],autorest[author_es],autorest[author_la])</f>
        <v>Sententia Vasconica</v>
      </c>
      <c r="H821" t="str">
        <f>_xlfn.XLOOKUP(frasest[[#This Row],[author_es]],autorest[author_es],autorest[bio_es])</f>
        <v>Proverbios de la tradición oral vasca que reflejan la relación con la naturaleza, el trabajo y los valores comunitarios del pueblo vasco.</v>
      </c>
      <c r="I821" t="str">
        <f>_xlfn.XLOOKUP(frasest[[#This Row],[author_es]],autorest[author_es],autorest[bio_la])</f>
        <v>Collectio sententiarum Vasconicarum.</v>
      </c>
      <c r="J821" t="str">
        <f>_xlfn.XLOOKUP(frasest[[#This Row],[author_es]],autorest[author_es],autorest[iso3691])</f>
        <v>eu</v>
      </c>
      <c r="K821" t="str">
        <f>_xlfn.XLOOKUP(frasest[[#This Row],[author_es]],autorest[author_es],autorest[language_es])</f>
        <v>Euskara</v>
      </c>
      <c r="L821" t="str">
        <f>_xlfn.XLOOKUP(frasest[[#This Row],[author_es]],autorest[author_es],autorest[language_la])</f>
        <v>Lingua Vasconica</v>
      </c>
      <c r="M821" t="str">
        <f>_xlfn.XLOOKUP(frasest[[#This Row],[author_es]],autorest[author_es],autorest[nation_es])</f>
        <v>España</v>
      </c>
      <c r="N821" t="str">
        <f>_xlfn.XLOOKUP(frasest[[#This Row],[author_es]],autorest[author_es],autorest[nation_la])</f>
        <v>Hispania</v>
      </c>
      <c r="O821" t="str">
        <f>_xlfn.XLOOKUP(frasest[[#This Row],[author_es]],autorest[author_es],autorest[age_es])</f>
        <v>Epoca Desconocida</v>
      </c>
      <c r="P821" t="str">
        <f>_xlfn.XLOOKUP(frasest[[#This Row],[author_es]],autorest[author_es],autorest[age_la])</f>
        <v>Epocha Ignota</v>
      </c>
      <c r="Q821" t="str">
        <f>_xlfn.XLOOKUP(frasest[[#This Row],[author_es]],autorest[author_es],autorest[image])</f>
        <v>https://i.ibb.co/bjgxB3kn/euskadi.png</v>
      </c>
      <c r="R821">
        <f>_xlfn.XLOOKUP(frasest[[#This Row],[author_es]],autorest[author_es],autorest[image_atr])</f>
        <v>0</v>
      </c>
    </row>
    <row r="822" spans="1:18">
      <c r="A822">
        <v>821</v>
      </c>
      <c r="B822" t="s">
        <v>2742</v>
      </c>
      <c r="C822" t="s">
        <v>2743</v>
      </c>
      <c r="D822" t="s">
        <v>2744</v>
      </c>
      <c r="E822" t="s">
        <v>1236</v>
      </c>
      <c r="G822" t="str">
        <f>_xlfn.XLOOKUP(frasest[[#This Row],[author_es]],autorest[author_es],autorest[author_la])</f>
        <v>Sententia Vasconica</v>
      </c>
      <c r="H822" t="str">
        <f>_xlfn.XLOOKUP(frasest[[#This Row],[author_es]],autorest[author_es],autorest[bio_es])</f>
        <v>Proverbios de la tradición oral vasca que reflejan la relación con la naturaleza, el trabajo y los valores comunitarios del pueblo vasco.</v>
      </c>
      <c r="I822" t="str">
        <f>_xlfn.XLOOKUP(frasest[[#This Row],[author_es]],autorest[author_es],autorest[bio_la])</f>
        <v>Collectio sententiarum Vasconicarum.</v>
      </c>
      <c r="J822" t="str">
        <f>_xlfn.XLOOKUP(frasest[[#This Row],[author_es]],autorest[author_es],autorest[iso3691])</f>
        <v>eu</v>
      </c>
      <c r="K822" t="str">
        <f>_xlfn.XLOOKUP(frasest[[#This Row],[author_es]],autorest[author_es],autorest[language_es])</f>
        <v>Euskara</v>
      </c>
      <c r="L822" t="str">
        <f>_xlfn.XLOOKUP(frasest[[#This Row],[author_es]],autorest[author_es],autorest[language_la])</f>
        <v>Lingua Vasconica</v>
      </c>
      <c r="M822" t="str">
        <f>_xlfn.XLOOKUP(frasest[[#This Row],[author_es]],autorest[author_es],autorest[nation_es])</f>
        <v>España</v>
      </c>
      <c r="N822" t="str">
        <f>_xlfn.XLOOKUP(frasest[[#This Row],[author_es]],autorest[author_es],autorest[nation_la])</f>
        <v>Hispania</v>
      </c>
      <c r="O822" t="str">
        <f>_xlfn.XLOOKUP(frasest[[#This Row],[author_es]],autorest[author_es],autorest[age_es])</f>
        <v>Epoca Desconocida</v>
      </c>
      <c r="P822" t="str">
        <f>_xlfn.XLOOKUP(frasest[[#This Row],[author_es]],autorest[author_es],autorest[age_la])</f>
        <v>Epocha Ignota</v>
      </c>
      <c r="Q822" t="str">
        <f>_xlfn.XLOOKUP(frasest[[#This Row],[author_es]],autorest[author_es],autorest[image])</f>
        <v>https://i.ibb.co/bjgxB3kn/euskadi.png</v>
      </c>
      <c r="R822">
        <f>_xlfn.XLOOKUP(frasest[[#This Row],[author_es]],autorest[author_es],autorest[image_atr])</f>
        <v>0</v>
      </c>
    </row>
    <row r="823" spans="1:18">
      <c r="A823">
        <v>822</v>
      </c>
      <c r="B823" t="s">
        <v>2745</v>
      </c>
      <c r="C823" t="s">
        <v>2746</v>
      </c>
      <c r="D823" t="s">
        <v>2747</v>
      </c>
      <c r="E823" t="s">
        <v>1236</v>
      </c>
      <c r="G823" t="str">
        <f>_xlfn.XLOOKUP(frasest[[#This Row],[author_es]],autorest[author_es],autorest[author_la])</f>
        <v>Sententia Vasconica</v>
      </c>
      <c r="H823" t="str">
        <f>_xlfn.XLOOKUP(frasest[[#This Row],[author_es]],autorest[author_es],autorest[bio_es])</f>
        <v>Proverbios de la tradición oral vasca que reflejan la relación con la naturaleza, el trabajo y los valores comunitarios del pueblo vasco.</v>
      </c>
      <c r="I823" t="str">
        <f>_xlfn.XLOOKUP(frasest[[#This Row],[author_es]],autorest[author_es],autorest[bio_la])</f>
        <v>Collectio sententiarum Vasconicarum.</v>
      </c>
      <c r="J823" t="str">
        <f>_xlfn.XLOOKUP(frasest[[#This Row],[author_es]],autorest[author_es],autorest[iso3691])</f>
        <v>eu</v>
      </c>
      <c r="K823" t="str">
        <f>_xlfn.XLOOKUP(frasest[[#This Row],[author_es]],autorest[author_es],autorest[language_es])</f>
        <v>Euskara</v>
      </c>
      <c r="L823" t="str">
        <f>_xlfn.XLOOKUP(frasest[[#This Row],[author_es]],autorest[author_es],autorest[language_la])</f>
        <v>Lingua Vasconica</v>
      </c>
      <c r="M823" t="str">
        <f>_xlfn.XLOOKUP(frasest[[#This Row],[author_es]],autorest[author_es],autorest[nation_es])</f>
        <v>España</v>
      </c>
      <c r="N823" t="str">
        <f>_xlfn.XLOOKUP(frasest[[#This Row],[author_es]],autorest[author_es],autorest[nation_la])</f>
        <v>Hispania</v>
      </c>
      <c r="O823" t="str">
        <f>_xlfn.XLOOKUP(frasest[[#This Row],[author_es]],autorest[author_es],autorest[age_es])</f>
        <v>Epoca Desconocida</v>
      </c>
      <c r="P823" t="str">
        <f>_xlfn.XLOOKUP(frasest[[#This Row],[author_es]],autorest[author_es],autorest[age_la])</f>
        <v>Epocha Ignota</v>
      </c>
      <c r="Q823" t="str">
        <f>_xlfn.XLOOKUP(frasest[[#This Row],[author_es]],autorest[author_es],autorest[image])</f>
        <v>https://i.ibb.co/bjgxB3kn/euskadi.png</v>
      </c>
      <c r="R823">
        <f>_xlfn.XLOOKUP(frasest[[#This Row],[author_es]],autorest[author_es],autorest[image_atr])</f>
        <v>0</v>
      </c>
    </row>
    <row r="824" spans="1:18">
      <c r="A824">
        <v>823</v>
      </c>
      <c r="B824" t="s">
        <v>2748</v>
      </c>
      <c r="C824" t="s">
        <v>2749</v>
      </c>
      <c r="D824" t="s">
        <v>2750</v>
      </c>
      <c r="E824" t="s">
        <v>1236</v>
      </c>
      <c r="G824" t="str">
        <f>_xlfn.XLOOKUP(frasest[[#This Row],[author_es]],autorest[author_es],autorest[author_la])</f>
        <v>Sententia Vasconica</v>
      </c>
      <c r="H824" t="str">
        <f>_xlfn.XLOOKUP(frasest[[#This Row],[author_es]],autorest[author_es],autorest[bio_es])</f>
        <v>Proverbios de la tradición oral vasca que reflejan la relación con la naturaleza, el trabajo y los valores comunitarios del pueblo vasco.</v>
      </c>
      <c r="I824" t="str">
        <f>_xlfn.XLOOKUP(frasest[[#This Row],[author_es]],autorest[author_es],autorest[bio_la])</f>
        <v>Collectio sententiarum Vasconicarum.</v>
      </c>
      <c r="J824" t="str">
        <f>_xlfn.XLOOKUP(frasest[[#This Row],[author_es]],autorest[author_es],autorest[iso3691])</f>
        <v>eu</v>
      </c>
      <c r="K824" t="str">
        <f>_xlfn.XLOOKUP(frasest[[#This Row],[author_es]],autorest[author_es],autorest[language_es])</f>
        <v>Euskara</v>
      </c>
      <c r="L824" t="str">
        <f>_xlfn.XLOOKUP(frasest[[#This Row],[author_es]],autorest[author_es],autorest[language_la])</f>
        <v>Lingua Vasconica</v>
      </c>
      <c r="M824" t="str">
        <f>_xlfn.XLOOKUP(frasest[[#This Row],[author_es]],autorest[author_es],autorest[nation_es])</f>
        <v>España</v>
      </c>
      <c r="N824" t="str">
        <f>_xlfn.XLOOKUP(frasest[[#This Row],[author_es]],autorest[author_es],autorest[nation_la])</f>
        <v>Hispania</v>
      </c>
      <c r="O824" t="str">
        <f>_xlfn.XLOOKUP(frasest[[#This Row],[author_es]],autorest[author_es],autorest[age_es])</f>
        <v>Epoca Desconocida</v>
      </c>
      <c r="P824" t="str">
        <f>_xlfn.XLOOKUP(frasest[[#This Row],[author_es]],autorest[author_es],autorest[age_la])</f>
        <v>Epocha Ignota</v>
      </c>
      <c r="Q824" t="str">
        <f>_xlfn.XLOOKUP(frasest[[#This Row],[author_es]],autorest[author_es],autorest[image])</f>
        <v>https://i.ibb.co/bjgxB3kn/euskadi.png</v>
      </c>
      <c r="R824">
        <f>_xlfn.XLOOKUP(frasest[[#This Row],[author_es]],autorest[author_es],autorest[image_atr])</f>
        <v>0</v>
      </c>
    </row>
    <row r="825" spans="1:18">
      <c r="A825">
        <v>824</v>
      </c>
      <c r="B825" t="s">
        <v>2751</v>
      </c>
      <c r="C825" t="s">
        <v>2752</v>
      </c>
      <c r="D825" t="s">
        <v>2373</v>
      </c>
      <c r="E825" t="s">
        <v>1236</v>
      </c>
      <c r="G825" t="str">
        <f>_xlfn.XLOOKUP(frasest[[#This Row],[author_es]],autorest[author_es],autorest[author_la])</f>
        <v>Sententia Vasconica</v>
      </c>
      <c r="H825" t="str">
        <f>_xlfn.XLOOKUP(frasest[[#This Row],[author_es]],autorest[author_es],autorest[bio_es])</f>
        <v>Proverbios de la tradición oral vasca que reflejan la relación con la naturaleza, el trabajo y los valores comunitarios del pueblo vasco.</v>
      </c>
      <c r="I825" t="str">
        <f>_xlfn.XLOOKUP(frasest[[#This Row],[author_es]],autorest[author_es],autorest[bio_la])</f>
        <v>Collectio sententiarum Vasconicarum.</v>
      </c>
      <c r="J825" t="str">
        <f>_xlfn.XLOOKUP(frasest[[#This Row],[author_es]],autorest[author_es],autorest[iso3691])</f>
        <v>eu</v>
      </c>
      <c r="K825" t="str">
        <f>_xlfn.XLOOKUP(frasest[[#This Row],[author_es]],autorest[author_es],autorest[language_es])</f>
        <v>Euskara</v>
      </c>
      <c r="L825" t="str">
        <f>_xlfn.XLOOKUP(frasest[[#This Row],[author_es]],autorest[author_es],autorest[language_la])</f>
        <v>Lingua Vasconica</v>
      </c>
      <c r="M825" t="str">
        <f>_xlfn.XLOOKUP(frasest[[#This Row],[author_es]],autorest[author_es],autorest[nation_es])</f>
        <v>España</v>
      </c>
      <c r="N825" t="str">
        <f>_xlfn.XLOOKUP(frasest[[#This Row],[author_es]],autorest[author_es],autorest[nation_la])</f>
        <v>Hispania</v>
      </c>
      <c r="O825" t="str">
        <f>_xlfn.XLOOKUP(frasest[[#This Row],[author_es]],autorest[author_es],autorest[age_es])</f>
        <v>Epoca Desconocida</v>
      </c>
      <c r="P825" t="str">
        <f>_xlfn.XLOOKUP(frasest[[#This Row],[author_es]],autorest[author_es],autorest[age_la])</f>
        <v>Epocha Ignota</v>
      </c>
      <c r="Q825" t="str">
        <f>_xlfn.XLOOKUP(frasest[[#This Row],[author_es]],autorest[author_es],autorest[image])</f>
        <v>https://i.ibb.co/bjgxB3kn/euskadi.png</v>
      </c>
      <c r="R825">
        <f>_xlfn.XLOOKUP(frasest[[#This Row],[author_es]],autorest[author_es],autorest[image_atr])</f>
        <v>0</v>
      </c>
    </row>
    <row r="826" spans="1:18">
      <c r="A826">
        <v>825</v>
      </c>
      <c r="B826" t="s">
        <v>2753</v>
      </c>
      <c r="C826" t="s">
        <v>2754</v>
      </c>
      <c r="D826" t="s">
        <v>2755</v>
      </c>
      <c r="E826" t="s">
        <v>1236</v>
      </c>
      <c r="G826" t="str">
        <f>_xlfn.XLOOKUP(frasest[[#This Row],[author_es]],autorest[author_es],autorest[author_la])</f>
        <v>Sententia Vasconica</v>
      </c>
      <c r="H826" t="str">
        <f>_xlfn.XLOOKUP(frasest[[#This Row],[author_es]],autorest[author_es],autorest[bio_es])</f>
        <v>Proverbios de la tradición oral vasca que reflejan la relación con la naturaleza, el trabajo y los valores comunitarios del pueblo vasco.</v>
      </c>
      <c r="I826" t="str">
        <f>_xlfn.XLOOKUP(frasest[[#This Row],[author_es]],autorest[author_es],autorest[bio_la])</f>
        <v>Collectio sententiarum Vasconicarum.</v>
      </c>
      <c r="J826" t="str">
        <f>_xlfn.XLOOKUP(frasest[[#This Row],[author_es]],autorest[author_es],autorest[iso3691])</f>
        <v>eu</v>
      </c>
      <c r="K826" t="str">
        <f>_xlfn.XLOOKUP(frasest[[#This Row],[author_es]],autorest[author_es],autorest[language_es])</f>
        <v>Euskara</v>
      </c>
      <c r="L826" t="str">
        <f>_xlfn.XLOOKUP(frasest[[#This Row],[author_es]],autorest[author_es],autorest[language_la])</f>
        <v>Lingua Vasconica</v>
      </c>
      <c r="M826" t="str">
        <f>_xlfn.XLOOKUP(frasest[[#This Row],[author_es]],autorest[author_es],autorest[nation_es])</f>
        <v>España</v>
      </c>
      <c r="N826" t="str">
        <f>_xlfn.XLOOKUP(frasest[[#This Row],[author_es]],autorest[author_es],autorest[nation_la])</f>
        <v>Hispania</v>
      </c>
      <c r="O826" t="str">
        <f>_xlfn.XLOOKUP(frasest[[#This Row],[author_es]],autorest[author_es],autorest[age_es])</f>
        <v>Epoca Desconocida</v>
      </c>
      <c r="P826" t="str">
        <f>_xlfn.XLOOKUP(frasest[[#This Row],[author_es]],autorest[author_es],autorest[age_la])</f>
        <v>Epocha Ignota</v>
      </c>
      <c r="Q826" t="str">
        <f>_xlfn.XLOOKUP(frasest[[#This Row],[author_es]],autorest[author_es],autorest[image])</f>
        <v>https://i.ibb.co/bjgxB3kn/euskadi.png</v>
      </c>
      <c r="R826">
        <f>_xlfn.XLOOKUP(frasest[[#This Row],[author_es]],autorest[author_es],autorest[image_atr])</f>
        <v>0</v>
      </c>
    </row>
    <row r="827" spans="1:18">
      <c r="A827">
        <v>826</v>
      </c>
      <c r="B827" t="s">
        <v>2756</v>
      </c>
      <c r="C827" t="s">
        <v>2757</v>
      </c>
      <c r="D827" t="s">
        <v>2758</v>
      </c>
      <c r="E827" t="s">
        <v>1236</v>
      </c>
      <c r="G827" t="str">
        <f>_xlfn.XLOOKUP(frasest[[#This Row],[author_es]],autorest[author_es],autorest[author_la])</f>
        <v>Sententia Vasconica</v>
      </c>
      <c r="H827" t="str">
        <f>_xlfn.XLOOKUP(frasest[[#This Row],[author_es]],autorest[author_es],autorest[bio_es])</f>
        <v>Proverbios de la tradición oral vasca que reflejan la relación con la naturaleza, el trabajo y los valores comunitarios del pueblo vasco.</v>
      </c>
      <c r="I827" t="str">
        <f>_xlfn.XLOOKUP(frasest[[#This Row],[author_es]],autorest[author_es],autorest[bio_la])</f>
        <v>Collectio sententiarum Vasconicarum.</v>
      </c>
      <c r="J827" t="str">
        <f>_xlfn.XLOOKUP(frasest[[#This Row],[author_es]],autorest[author_es],autorest[iso3691])</f>
        <v>eu</v>
      </c>
      <c r="K827" t="str">
        <f>_xlfn.XLOOKUP(frasest[[#This Row],[author_es]],autorest[author_es],autorest[language_es])</f>
        <v>Euskara</v>
      </c>
      <c r="L827" t="str">
        <f>_xlfn.XLOOKUP(frasest[[#This Row],[author_es]],autorest[author_es],autorest[language_la])</f>
        <v>Lingua Vasconica</v>
      </c>
      <c r="M827" t="str">
        <f>_xlfn.XLOOKUP(frasest[[#This Row],[author_es]],autorest[author_es],autorest[nation_es])</f>
        <v>España</v>
      </c>
      <c r="N827" t="str">
        <f>_xlfn.XLOOKUP(frasest[[#This Row],[author_es]],autorest[author_es],autorest[nation_la])</f>
        <v>Hispania</v>
      </c>
      <c r="O827" t="str">
        <f>_xlfn.XLOOKUP(frasest[[#This Row],[author_es]],autorest[author_es],autorest[age_es])</f>
        <v>Epoca Desconocida</v>
      </c>
      <c r="P827" t="str">
        <f>_xlfn.XLOOKUP(frasest[[#This Row],[author_es]],autorest[author_es],autorest[age_la])</f>
        <v>Epocha Ignota</v>
      </c>
      <c r="Q827" t="str">
        <f>_xlfn.XLOOKUP(frasest[[#This Row],[author_es]],autorest[author_es],autorest[image])</f>
        <v>https://i.ibb.co/bjgxB3kn/euskadi.png</v>
      </c>
      <c r="R827">
        <f>_xlfn.XLOOKUP(frasest[[#This Row],[author_es]],autorest[author_es],autorest[image_atr])</f>
        <v>0</v>
      </c>
    </row>
    <row r="828" spans="1:18">
      <c r="A828">
        <v>827</v>
      </c>
      <c r="B828" t="s">
        <v>2759</v>
      </c>
      <c r="C828" t="s">
        <v>2760</v>
      </c>
      <c r="D828" t="s">
        <v>2761</v>
      </c>
      <c r="E828" t="s">
        <v>1236</v>
      </c>
      <c r="G828" t="str">
        <f>_xlfn.XLOOKUP(frasest[[#This Row],[author_es]],autorest[author_es],autorest[author_la])</f>
        <v>Sententia Vasconica</v>
      </c>
      <c r="H828" t="str">
        <f>_xlfn.XLOOKUP(frasest[[#This Row],[author_es]],autorest[author_es],autorest[bio_es])</f>
        <v>Proverbios de la tradición oral vasca que reflejan la relación con la naturaleza, el trabajo y los valores comunitarios del pueblo vasco.</v>
      </c>
      <c r="I828" t="str">
        <f>_xlfn.XLOOKUP(frasest[[#This Row],[author_es]],autorest[author_es],autorest[bio_la])</f>
        <v>Collectio sententiarum Vasconicarum.</v>
      </c>
      <c r="J828" t="str">
        <f>_xlfn.XLOOKUP(frasest[[#This Row],[author_es]],autorest[author_es],autorest[iso3691])</f>
        <v>eu</v>
      </c>
      <c r="K828" t="str">
        <f>_xlfn.XLOOKUP(frasest[[#This Row],[author_es]],autorest[author_es],autorest[language_es])</f>
        <v>Euskara</v>
      </c>
      <c r="L828" t="str">
        <f>_xlfn.XLOOKUP(frasest[[#This Row],[author_es]],autorest[author_es],autorest[language_la])</f>
        <v>Lingua Vasconica</v>
      </c>
      <c r="M828" t="str">
        <f>_xlfn.XLOOKUP(frasest[[#This Row],[author_es]],autorest[author_es],autorest[nation_es])</f>
        <v>España</v>
      </c>
      <c r="N828" t="str">
        <f>_xlfn.XLOOKUP(frasest[[#This Row],[author_es]],autorest[author_es],autorest[nation_la])</f>
        <v>Hispania</v>
      </c>
      <c r="O828" t="str">
        <f>_xlfn.XLOOKUP(frasest[[#This Row],[author_es]],autorest[author_es],autorest[age_es])</f>
        <v>Epoca Desconocida</v>
      </c>
      <c r="P828" t="str">
        <f>_xlfn.XLOOKUP(frasest[[#This Row],[author_es]],autorest[author_es],autorest[age_la])</f>
        <v>Epocha Ignota</v>
      </c>
      <c r="Q828" t="str">
        <f>_xlfn.XLOOKUP(frasest[[#This Row],[author_es]],autorest[author_es],autorest[image])</f>
        <v>https://i.ibb.co/bjgxB3kn/euskadi.png</v>
      </c>
      <c r="R828">
        <f>_xlfn.XLOOKUP(frasest[[#This Row],[author_es]],autorest[author_es],autorest[image_atr])</f>
        <v>0</v>
      </c>
    </row>
    <row r="829" spans="1:18">
      <c r="A829">
        <v>828</v>
      </c>
      <c r="B829" t="s">
        <v>2762</v>
      </c>
      <c r="C829" t="s">
        <v>2763</v>
      </c>
      <c r="D829" t="s">
        <v>2764</v>
      </c>
      <c r="E829" t="s">
        <v>1236</v>
      </c>
      <c r="G829" t="str">
        <f>_xlfn.XLOOKUP(frasest[[#This Row],[author_es]],autorest[author_es],autorest[author_la])</f>
        <v>Sententia Vasconica</v>
      </c>
      <c r="H829" t="str">
        <f>_xlfn.XLOOKUP(frasest[[#This Row],[author_es]],autorest[author_es],autorest[bio_es])</f>
        <v>Proverbios de la tradición oral vasca que reflejan la relación con la naturaleza, el trabajo y los valores comunitarios del pueblo vasco.</v>
      </c>
      <c r="I829" t="str">
        <f>_xlfn.XLOOKUP(frasest[[#This Row],[author_es]],autorest[author_es],autorest[bio_la])</f>
        <v>Collectio sententiarum Vasconicarum.</v>
      </c>
      <c r="J829" t="str">
        <f>_xlfn.XLOOKUP(frasest[[#This Row],[author_es]],autorest[author_es],autorest[iso3691])</f>
        <v>eu</v>
      </c>
      <c r="K829" t="str">
        <f>_xlfn.XLOOKUP(frasest[[#This Row],[author_es]],autorest[author_es],autorest[language_es])</f>
        <v>Euskara</v>
      </c>
      <c r="L829" t="str">
        <f>_xlfn.XLOOKUP(frasest[[#This Row],[author_es]],autorest[author_es],autorest[language_la])</f>
        <v>Lingua Vasconica</v>
      </c>
      <c r="M829" t="str">
        <f>_xlfn.XLOOKUP(frasest[[#This Row],[author_es]],autorest[author_es],autorest[nation_es])</f>
        <v>España</v>
      </c>
      <c r="N829" t="str">
        <f>_xlfn.XLOOKUP(frasest[[#This Row],[author_es]],autorest[author_es],autorest[nation_la])</f>
        <v>Hispania</v>
      </c>
      <c r="O829" t="str">
        <f>_xlfn.XLOOKUP(frasest[[#This Row],[author_es]],autorest[author_es],autorest[age_es])</f>
        <v>Epoca Desconocida</v>
      </c>
      <c r="P829" t="str">
        <f>_xlfn.XLOOKUP(frasest[[#This Row],[author_es]],autorest[author_es],autorest[age_la])</f>
        <v>Epocha Ignota</v>
      </c>
      <c r="Q829" t="str">
        <f>_xlfn.XLOOKUP(frasest[[#This Row],[author_es]],autorest[author_es],autorest[image])</f>
        <v>https://i.ibb.co/bjgxB3kn/euskadi.png</v>
      </c>
      <c r="R829">
        <f>_xlfn.XLOOKUP(frasest[[#This Row],[author_es]],autorest[author_es],autorest[image_atr])</f>
        <v>0</v>
      </c>
    </row>
    <row r="830" spans="1:18">
      <c r="A830">
        <v>829</v>
      </c>
      <c r="B830" t="s">
        <v>2765</v>
      </c>
      <c r="C830" t="s">
        <v>2766</v>
      </c>
      <c r="D830" t="s">
        <v>2767</v>
      </c>
      <c r="E830" t="s">
        <v>1236</v>
      </c>
      <c r="G830" t="str">
        <f>_xlfn.XLOOKUP(frasest[[#This Row],[author_es]],autorest[author_es],autorest[author_la])</f>
        <v>Sententia Vasconica</v>
      </c>
      <c r="H830" t="str">
        <f>_xlfn.XLOOKUP(frasest[[#This Row],[author_es]],autorest[author_es],autorest[bio_es])</f>
        <v>Proverbios de la tradición oral vasca que reflejan la relación con la naturaleza, el trabajo y los valores comunitarios del pueblo vasco.</v>
      </c>
      <c r="I830" t="str">
        <f>_xlfn.XLOOKUP(frasest[[#This Row],[author_es]],autorest[author_es],autorest[bio_la])</f>
        <v>Collectio sententiarum Vasconicarum.</v>
      </c>
      <c r="J830" t="str">
        <f>_xlfn.XLOOKUP(frasest[[#This Row],[author_es]],autorest[author_es],autorest[iso3691])</f>
        <v>eu</v>
      </c>
      <c r="K830" t="str">
        <f>_xlfn.XLOOKUP(frasest[[#This Row],[author_es]],autorest[author_es],autorest[language_es])</f>
        <v>Euskara</v>
      </c>
      <c r="L830" t="str">
        <f>_xlfn.XLOOKUP(frasest[[#This Row],[author_es]],autorest[author_es],autorest[language_la])</f>
        <v>Lingua Vasconica</v>
      </c>
      <c r="M830" t="str">
        <f>_xlfn.XLOOKUP(frasest[[#This Row],[author_es]],autorest[author_es],autorest[nation_es])</f>
        <v>España</v>
      </c>
      <c r="N830" t="str">
        <f>_xlfn.XLOOKUP(frasest[[#This Row],[author_es]],autorest[author_es],autorest[nation_la])</f>
        <v>Hispania</v>
      </c>
      <c r="O830" t="str">
        <f>_xlfn.XLOOKUP(frasest[[#This Row],[author_es]],autorest[author_es],autorest[age_es])</f>
        <v>Epoca Desconocida</v>
      </c>
      <c r="P830" t="str">
        <f>_xlfn.XLOOKUP(frasest[[#This Row],[author_es]],autorest[author_es],autorest[age_la])</f>
        <v>Epocha Ignota</v>
      </c>
      <c r="Q830" t="str">
        <f>_xlfn.XLOOKUP(frasest[[#This Row],[author_es]],autorest[author_es],autorest[image])</f>
        <v>https://i.ibb.co/bjgxB3kn/euskadi.png</v>
      </c>
      <c r="R830">
        <f>_xlfn.XLOOKUP(frasest[[#This Row],[author_es]],autorest[author_es],autorest[image_atr])</f>
        <v>0</v>
      </c>
    </row>
    <row r="831" spans="1:18">
      <c r="A831">
        <v>830</v>
      </c>
      <c r="B831" t="s">
        <v>2768</v>
      </c>
      <c r="C831" t="s">
        <v>2769</v>
      </c>
      <c r="D831" t="s">
        <v>2770</v>
      </c>
      <c r="E831" t="s">
        <v>1236</v>
      </c>
      <c r="G831" t="str">
        <f>_xlfn.XLOOKUP(frasest[[#This Row],[author_es]],autorest[author_es],autorest[author_la])</f>
        <v>Sententia Vasconica</v>
      </c>
      <c r="H831" t="str">
        <f>_xlfn.XLOOKUP(frasest[[#This Row],[author_es]],autorest[author_es],autorest[bio_es])</f>
        <v>Proverbios de la tradición oral vasca que reflejan la relación con la naturaleza, el trabajo y los valores comunitarios del pueblo vasco.</v>
      </c>
      <c r="I831" t="str">
        <f>_xlfn.XLOOKUP(frasest[[#This Row],[author_es]],autorest[author_es],autorest[bio_la])</f>
        <v>Collectio sententiarum Vasconicarum.</v>
      </c>
      <c r="J831" t="str">
        <f>_xlfn.XLOOKUP(frasest[[#This Row],[author_es]],autorest[author_es],autorest[iso3691])</f>
        <v>eu</v>
      </c>
      <c r="K831" t="str">
        <f>_xlfn.XLOOKUP(frasest[[#This Row],[author_es]],autorest[author_es],autorest[language_es])</f>
        <v>Euskara</v>
      </c>
      <c r="L831" t="str">
        <f>_xlfn.XLOOKUP(frasest[[#This Row],[author_es]],autorest[author_es],autorest[language_la])</f>
        <v>Lingua Vasconica</v>
      </c>
      <c r="M831" t="str">
        <f>_xlfn.XLOOKUP(frasest[[#This Row],[author_es]],autorest[author_es],autorest[nation_es])</f>
        <v>España</v>
      </c>
      <c r="N831" t="str">
        <f>_xlfn.XLOOKUP(frasest[[#This Row],[author_es]],autorest[author_es],autorest[nation_la])</f>
        <v>Hispania</v>
      </c>
      <c r="O831" t="str">
        <f>_xlfn.XLOOKUP(frasest[[#This Row],[author_es]],autorest[author_es],autorest[age_es])</f>
        <v>Epoca Desconocida</v>
      </c>
      <c r="P831" t="str">
        <f>_xlfn.XLOOKUP(frasest[[#This Row],[author_es]],autorest[author_es],autorest[age_la])</f>
        <v>Epocha Ignota</v>
      </c>
      <c r="Q831" t="str">
        <f>_xlfn.XLOOKUP(frasest[[#This Row],[author_es]],autorest[author_es],autorest[image])</f>
        <v>https://i.ibb.co/bjgxB3kn/euskadi.png</v>
      </c>
      <c r="R831">
        <f>_xlfn.XLOOKUP(frasest[[#This Row],[author_es]],autorest[author_es],autorest[image_atr])</f>
        <v>0</v>
      </c>
    </row>
    <row r="832" spans="1:18">
      <c r="A832">
        <v>831</v>
      </c>
      <c r="B832" t="s">
        <v>2771</v>
      </c>
      <c r="C832" t="s">
        <v>2772</v>
      </c>
      <c r="D832" t="s">
        <v>2773</v>
      </c>
      <c r="E832" t="s">
        <v>1236</v>
      </c>
      <c r="G832" t="str">
        <f>_xlfn.XLOOKUP(frasest[[#This Row],[author_es]],autorest[author_es],autorest[author_la])</f>
        <v>Sententia Vasconica</v>
      </c>
      <c r="H832" t="str">
        <f>_xlfn.XLOOKUP(frasest[[#This Row],[author_es]],autorest[author_es],autorest[bio_es])</f>
        <v>Proverbios de la tradición oral vasca que reflejan la relación con la naturaleza, el trabajo y los valores comunitarios del pueblo vasco.</v>
      </c>
      <c r="I832" t="str">
        <f>_xlfn.XLOOKUP(frasest[[#This Row],[author_es]],autorest[author_es],autorest[bio_la])</f>
        <v>Collectio sententiarum Vasconicarum.</v>
      </c>
      <c r="J832" t="str">
        <f>_xlfn.XLOOKUP(frasest[[#This Row],[author_es]],autorest[author_es],autorest[iso3691])</f>
        <v>eu</v>
      </c>
      <c r="K832" t="str">
        <f>_xlfn.XLOOKUP(frasest[[#This Row],[author_es]],autorest[author_es],autorest[language_es])</f>
        <v>Euskara</v>
      </c>
      <c r="L832" t="str">
        <f>_xlfn.XLOOKUP(frasest[[#This Row],[author_es]],autorest[author_es],autorest[language_la])</f>
        <v>Lingua Vasconica</v>
      </c>
      <c r="M832" t="str">
        <f>_xlfn.XLOOKUP(frasest[[#This Row],[author_es]],autorest[author_es],autorest[nation_es])</f>
        <v>España</v>
      </c>
      <c r="N832" t="str">
        <f>_xlfn.XLOOKUP(frasest[[#This Row],[author_es]],autorest[author_es],autorest[nation_la])</f>
        <v>Hispania</v>
      </c>
      <c r="O832" t="str">
        <f>_xlfn.XLOOKUP(frasest[[#This Row],[author_es]],autorest[author_es],autorest[age_es])</f>
        <v>Epoca Desconocida</v>
      </c>
      <c r="P832" t="str">
        <f>_xlfn.XLOOKUP(frasest[[#This Row],[author_es]],autorest[author_es],autorest[age_la])</f>
        <v>Epocha Ignota</v>
      </c>
      <c r="Q832" t="str">
        <f>_xlfn.XLOOKUP(frasest[[#This Row],[author_es]],autorest[author_es],autorest[image])</f>
        <v>https://i.ibb.co/bjgxB3kn/euskadi.png</v>
      </c>
      <c r="R832">
        <f>_xlfn.XLOOKUP(frasest[[#This Row],[author_es]],autorest[author_es],autorest[image_atr])</f>
        <v>0</v>
      </c>
    </row>
    <row r="833" spans="1:18">
      <c r="A833">
        <v>832</v>
      </c>
      <c r="B833" t="s">
        <v>2774</v>
      </c>
      <c r="C833" t="s">
        <v>2775</v>
      </c>
      <c r="D833" t="s">
        <v>2379</v>
      </c>
      <c r="E833" t="s">
        <v>1236</v>
      </c>
      <c r="G833" t="str">
        <f>_xlfn.XLOOKUP(frasest[[#This Row],[author_es]],autorest[author_es],autorest[author_la])</f>
        <v>Sententia Vasconica</v>
      </c>
      <c r="H833" t="str">
        <f>_xlfn.XLOOKUP(frasest[[#This Row],[author_es]],autorest[author_es],autorest[bio_es])</f>
        <v>Proverbios de la tradición oral vasca que reflejan la relación con la naturaleza, el trabajo y los valores comunitarios del pueblo vasco.</v>
      </c>
      <c r="I833" t="str">
        <f>_xlfn.XLOOKUP(frasest[[#This Row],[author_es]],autorest[author_es],autorest[bio_la])</f>
        <v>Collectio sententiarum Vasconicarum.</v>
      </c>
      <c r="J833" t="str">
        <f>_xlfn.XLOOKUP(frasest[[#This Row],[author_es]],autorest[author_es],autorest[iso3691])</f>
        <v>eu</v>
      </c>
      <c r="K833" t="str">
        <f>_xlfn.XLOOKUP(frasest[[#This Row],[author_es]],autorest[author_es],autorest[language_es])</f>
        <v>Euskara</v>
      </c>
      <c r="L833" t="str">
        <f>_xlfn.XLOOKUP(frasest[[#This Row],[author_es]],autorest[author_es],autorest[language_la])</f>
        <v>Lingua Vasconica</v>
      </c>
      <c r="M833" t="str">
        <f>_xlfn.XLOOKUP(frasest[[#This Row],[author_es]],autorest[author_es],autorest[nation_es])</f>
        <v>España</v>
      </c>
      <c r="N833" t="str">
        <f>_xlfn.XLOOKUP(frasest[[#This Row],[author_es]],autorest[author_es],autorest[nation_la])</f>
        <v>Hispania</v>
      </c>
      <c r="O833" t="str">
        <f>_xlfn.XLOOKUP(frasest[[#This Row],[author_es]],autorest[author_es],autorest[age_es])</f>
        <v>Epoca Desconocida</v>
      </c>
      <c r="P833" t="str">
        <f>_xlfn.XLOOKUP(frasest[[#This Row],[author_es]],autorest[author_es],autorest[age_la])</f>
        <v>Epocha Ignota</v>
      </c>
      <c r="Q833" t="str">
        <f>_xlfn.XLOOKUP(frasest[[#This Row],[author_es]],autorest[author_es],autorest[image])</f>
        <v>https://i.ibb.co/bjgxB3kn/euskadi.png</v>
      </c>
      <c r="R833">
        <f>_xlfn.XLOOKUP(frasest[[#This Row],[author_es]],autorest[author_es],autorest[image_atr])</f>
        <v>0</v>
      </c>
    </row>
    <row r="834" spans="1:18">
      <c r="A834">
        <v>833</v>
      </c>
      <c r="B834" t="s">
        <v>2776</v>
      </c>
      <c r="C834" t="s">
        <v>2777</v>
      </c>
      <c r="D834" t="s">
        <v>2778</v>
      </c>
      <c r="E834" t="s">
        <v>1236</v>
      </c>
      <c r="G834" t="str">
        <f>_xlfn.XLOOKUP(frasest[[#This Row],[author_es]],autorest[author_es],autorest[author_la])</f>
        <v>Sententia Vasconica</v>
      </c>
      <c r="H834" t="str">
        <f>_xlfn.XLOOKUP(frasest[[#This Row],[author_es]],autorest[author_es],autorest[bio_es])</f>
        <v>Proverbios de la tradición oral vasca que reflejan la relación con la naturaleza, el trabajo y los valores comunitarios del pueblo vasco.</v>
      </c>
      <c r="I834" t="str">
        <f>_xlfn.XLOOKUP(frasest[[#This Row],[author_es]],autorest[author_es],autorest[bio_la])</f>
        <v>Collectio sententiarum Vasconicarum.</v>
      </c>
      <c r="J834" t="str">
        <f>_xlfn.XLOOKUP(frasest[[#This Row],[author_es]],autorest[author_es],autorest[iso3691])</f>
        <v>eu</v>
      </c>
      <c r="K834" t="str">
        <f>_xlfn.XLOOKUP(frasest[[#This Row],[author_es]],autorest[author_es],autorest[language_es])</f>
        <v>Euskara</v>
      </c>
      <c r="L834" t="str">
        <f>_xlfn.XLOOKUP(frasest[[#This Row],[author_es]],autorest[author_es],autorest[language_la])</f>
        <v>Lingua Vasconica</v>
      </c>
      <c r="M834" t="str">
        <f>_xlfn.XLOOKUP(frasest[[#This Row],[author_es]],autorest[author_es],autorest[nation_es])</f>
        <v>España</v>
      </c>
      <c r="N834" t="str">
        <f>_xlfn.XLOOKUP(frasest[[#This Row],[author_es]],autorest[author_es],autorest[nation_la])</f>
        <v>Hispania</v>
      </c>
      <c r="O834" t="str">
        <f>_xlfn.XLOOKUP(frasest[[#This Row],[author_es]],autorest[author_es],autorest[age_es])</f>
        <v>Epoca Desconocida</v>
      </c>
      <c r="P834" t="str">
        <f>_xlfn.XLOOKUP(frasest[[#This Row],[author_es]],autorest[author_es],autorest[age_la])</f>
        <v>Epocha Ignota</v>
      </c>
      <c r="Q834" t="str">
        <f>_xlfn.XLOOKUP(frasest[[#This Row],[author_es]],autorest[author_es],autorest[image])</f>
        <v>https://i.ibb.co/bjgxB3kn/euskadi.png</v>
      </c>
      <c r="R834">
        <f>_xlfn.XLOOKUP(frasest[[#This Row],[author_es]],autorest[author_es],autorest[image_atr])</f>
        <v>0</v>
      </c>
    </row>
    <row r="835" spans="1:18">
      <c r="A835">
        <v>834</v>
      </c>
      <c r="B835" t="s">
        <v>2779</v>
      </c>
      <c r="C835" t="s">
        <v>2780</v>
      </c>
      <c r="D835" t="s">
        <v>2385</v>
      </c>
      <c r="E835" t="s">
        <v>1236</v>
      </c>
      <c r="G835" t="str">
        <f>_xlfn.XLOOKUP(frasest[[#This Row],[author_es]],autorest[author_es],autorest[author_la])</f>
        <v>Sententia Vasconica</v>
      </c>
      <c r="H835" t="str">
        <f>_xlfn.XLOOKUP(frasest[[#This Row],[author_es]],autorest[author_es],autorest[bio_es])</f>
        <v>Proverbios de la tradición oral vasca que reflejan la relación con la naturaleza, el trabajo y los valores comunitarios del pueblo vasco.</v>
      </c>
      <c r="I835" t="str">
        <f>_xlfn.XLOOKUP(frasest[[#This Row],[author_es]],autorest[author_es],autorest[bio_la])</f>
        <v>Collectio sententiarum Vasconicarum.</v>
      </c>
      <c r="J835" t="str">
        <f>_xlfn.XLOOKUP(frasest[[#This Row],[author_es]],autorest[author_es],autorest[iso3691])</f>
        <v>eu</v>
      </c>
      <c r="K835" t="str">
        <f>_xlfn.XLOOKUP(frasest[[#This Row],[author_es]],autorest[author_es],autorest[language_es])</f>
        <v>Euskara</v>
      </c>
      <c r="L835" t="str">
        <f>_xlfn.XLOOKUP(frasest[[#This Row],[author_es]],autorest[author_es],autorest[language_la])</f>
        <v>Lingua Vasconica</v>
      </c>
      <c r="M835" t="str">
        <f>_xlfn.XLOOKUP(frasest[[#This Row],[author_es]],autorest[author_es],autorest[nation_es])</f>
        <v>España</v>
      </c>
      <c r="N835" t="str">
        <f>_xlfn.XLOOKUP(frasest[[#This Row],[author_es]],autorest[author_es],autorest[nation_la])</f>
        <v>Hispania</v>
      </c>
      <c r="O835" t="str">
        <f>_xlfn.XLOOKUP(frasest[[#This Row],[author_es]],autorest[author_es],autorest[age_es])</f>
        <v>Epoca Desconocida</v>
      </c>
      <c r="P835" t="str">
        <f>_xlfn.XLOOKUP(frasest[[#This Row],[author_es]],autorest[author_es],autorest[age_la])</f>
        <v>Epocha Ignota</v>
      </c>
      <c r="Q835" t="str">
        <f>_xlfn.XLOOKUP(frasest[[#This Row],[author_es]],autorest[author_es],autorest[image])</f>
        <v>https://i.ibb.co/bjgxB3kn/euskadi.png</v>
      </c>
      <c r="R835">
        <f>_xlfn.XLOOKUP(frasest[[#This Row],[author_es]],autorest[author_es],autorest[image_atr])</f>
        <v>0</v>
      </c>
    </row>
    <row r="836" spans="1:18">
      <c r="A836">
        <v>835</v>
      </c>
      <c r="B836" t="s">
        <v>2781</v>
      </c>
      <c r="C836" t="s">
        <v>2782</v>
      </c>
      <c r="D836" t="s">
        <v>2783</v>
      </c>
      <c r="E836" t="s">
        <v>1236</v>
      </c>
      <c r="G836" t="str">
        <f>_xlfn.XLOOKUP(frasest[[#This Row],[author_es]],autorest[author_es],autorest[author_la])</f>
        <v>Sententia Vasconica</v>
      </c>
      <c r="H836" t="str">
        <f>_xlfn.XLOOKUP(frasest[[#This Row],[author_es]],autorest[author_es],autorest[bio_es])</f>
        <v>Proverbios de la tradición oral vasca que reflejan la relación con la naturaleza, el trabajo y los valores comunitarios del pueblo vasco.</v>
      </c>
      <c r="I836" t="str">
        <f>_xlfn.XLOOKUP(frasest[[#This Row],[author_es]],autorest[author_es],autorest[bio_la])</f>
        <v>Collectio sententiarum Vasconicarum.</v>
      </c>
      <c r="J836" t="str">
        <f>_xlfn.XLOOKUP(frasest[[#This Row],[author_es]],autorest[author_es],autorest[iso3691])</f>
        <v>eu</v>
      </c>
      <c r="K836" t="str">
        <f>_xlfn.XLOOKUP(frasest[[#This Row],[author_es]],autorest[author_es],autorest[language_es])</f>
        <v>Euskara</v>
      </c>
      <c r="L836" t="str">
        <f>_xlfn.XLOOKUP(frasest[[#This Row],[author_es]],autorest[author_es],autorest[language_la])</f>
        <v>Lingua Vasconica</v>
      </c>
      <c r="M836" t="str">
        <f>_xlfn.XLOOKUP(frasest[[#This Row],[author_es]],autorest[author_es],autorest[nation_es])</f>
        <v>España</v>
      </c>
      <c r="N836" t="str">
        <f>_xlfn.XLOOKUP(frasest[[#This Row],[author_es]],autorest[author_es],autorest[nation_la])</f>
        <v>Hispania</v>
      </c>
      <c r="O836" t="str">
        <f>_xlfn.XLOOKUP(frasest[[#This Row],[author_es]],autorest[author_es],autorest[age_es])</f>
        <v>Epoca Desconocida</v>
      </c>
      <c r="P836" t="str">
        <f>_xlfn.XLOOKUP(frasest[[#This Row],[author_es]],autorest[author_es],autorest[age_la])</f>
        <v>Epocha Ignota</v>
      </c>
      <c r="Q836" t="str">
        <f>_xlfn.XLOOKUP(frasest[[#This Row],[author_es]],autorest[author_es],autorest[image])</f>
        <v>https://i.ibb.co/bjgxB3kn/euskadi.png</v>
      </c>
      <c r="R836">
        <f>_xlfn.XLOOKUP(frasest[[#This Row],[author_es]],autorest[author_es],autorest[image_atr])</f>
        <v>0</v>
      </c>
    </row>
    <row r="837" spans="1:18">
      <c r="A837">
        <v>836</v>
      </c>
      <c r="B837" t="s">
        <v>2784</v>
      </c>
      <c r="C837" t="s">
        <v>2785</v>
      </c>
      <c r="D837" t="s">
        <v>2786</v>
      </c>
      <c r="E837" t="s">
        <v>1236</v>
      </c>
      <c r="G837" t="str">
        <f>_xlfn.XLOOKUP(frasest[[#This Row],[author_es]],autorest[author_es],autorest[author_la])</f>
        <v>Sententia Vasconica</v>
      </c>
      <c r="H837" t="str">
        <f>_xlfn.XLOOKUP(frasest[[#This Row],[author_es]],autorest[author_es],autorest[bio_es])</f>
        <v>Proverbios de la tradición oral vasca que reflejan la relación con la naturaleza, el trabajo y los valores comunitarios del pueblo vasco.</v>
      </c>
      <c r="I837" t="str">
        <f>_xlfn.XLOOKUP(frasest[[#This Row],[author_es]],autorest[author_es],autorest[bio_la])</f>
        <v>Collectio sententiarum Vasconicarum.</v>
      </c>
      <c r="J837" t="str">
        <f>_xlfn.XLOOKUP(frasest[[#This Row],[author_es]],autorest[author_es],autorest[iso3691])</f>
        <v>eu</v>
      </c>
      <c r="K837" t="str">
        <f>_xlfn.XLOOKUP(frasest[[#This Row],[author_es]],autorest[author_es],autorest[language_es])</f>
        <v>Euskara</v>
      </c>
      <c r="L837" t="str">
        <f>_xlfn.XLOOKUP(frasest[[#This Row],[author_es]],autorest[author_es],autorest[language_la])</f>
        <v>Lingua Vasconica</v>
      </c>
      <c r="M837" t="str">
        <f>_xlfn.XLOOKUP(frasest[[#This Row],[author_es]],autorest[author_es],autorest[nation_es])</f>
        <v>España</v>
      </c>
      <c r="N837" t="str">
        <f>_xlfn.XLOOKUP(frasest[[#This Row],[author_es]],autorest[author_es],autorest[nation_la])</f>
        <v>Hispania</v>
      </c>
      <c r="O837" t="str">
        <f>_xlfn.XLOOKUP(frasest[[#This Row],[author_es]],autorest[author_es],autorest[age_es])</f>
        <v>Epoca Desconocida</v>
      </c>
      <c r="P837" t="str">
        <f>_xlfn.XLOOKUP(frasest[[#This Row],[author_es]],autorest[author_es],autorest[age_la])</f>
        <v>Epocha Ignota</v>
      </c>
      <c r="Q837" t="str">
        <f>_xlfn.XLOOKUP(frasest[[#This Row],[author_es]],autorest[author_es],autorest[image])</f>
        <v>https://i.ibb.co/bjgxB3kn/euskadi.png</v>
      </c>
      <c r="R837">
        <f>_xlfn.XLOOKUP(frasest[[#This Row],[author_es]],autorest[author_es],autorest[image_atr])</f>
        <v>0</v>
      </c>
    </row>
    <row r="838" spans="1:18">
      <c r="A838">
        <v>837</v>
      </c>
      <c r="B838" t="s">
        <v>2787</v>
      </c>
      <c r="C838" t="s">
        <v>2788</v>
      </c>
      <c r="D838" t="s">
        <v>2789</v>
      </c>
      <c r="E838" t="s">
        <v>1236</v>
      </c>
      <c r="G838" t="str">
        <f>_xlfn.XLOOKUP(frasest[[#This Row],[author_es]],autorest[author_es],autorest[author_la])</f>
        <v>Sententia Vasconica</v>
      </c>
      <c r="H838" t="str">
        <f>_xlfn.XLOOKUP(frasest[[#This Row],[author_es]],autorest[author_es],autorest[bio_es])</f>
        <v>Proverbios de la tradición oral vasca que reflejan la relación con la naturaleza, el trabajo y los valores comunitarios del pueblo vasco.</v>
      </c>
      <c r="I838" t="str">
        <f>_xlfn.XLOOKUP(frasest[[#This Row],[author_es]],autorest[author_es],autorest[bio_la])</f>
        <v>Collectio sententiarum Vasconicarum.</v>
      </c>
      <c r="J838" t="str">
        <f>_xlfn.XLOOKUP(frasest[[#This Row],[author_es]],autorest[author_es],autorest[iso3691])</f>
        <v>eu</v>
      </c>
      <c r="K838" t="str">
        <f>_xlfn.XLOOKUP(frasest[[#This Row],[author_es]],autorest[author_es],autorest[language_es])</f>
        <v>Euskara</v>
      </c>
      <c r="L838" t="str">
        <f>_xlfn.XLOOKUP(frasest[[#This Row],[author_es]],autorest[author_es],autorest[language_la])</f>
        <v>Lingua Vasconica</v>
      </c>
      <c r="M838" t="str">
        <f>_xlfn.XLOOKUP(frasest[[#This Row],[author_es]],autorest[author_es],autorest[nation_es])</f>
        <v>España</v>
      </c>
      <c r="N838" t="str">
        <f>_xlfn.XLOOKUP(frasest[[#This Row],[author_es]],autorest[author_es],autorest[nation_la])</f>
        <v>Hispania</v>
      </c>
      <c r="O838" t="str">
        <f>_xlfn.XLOOKUP(frasest[[#This Row],[author_es]],autorest[author_es],autorest[age_es])</f>
        <v>Epoca Desconocida</v>
      </c>
      <c r="P838" t="str">
        <f>_xlfn.XLOOKUP(frasest[[#This Row],[author_es]],autorest[author_es],autorest[age_la])</f>
        <v>Epocha Ignota</v>
      </c>
      <c r="Q838" t="str">
        <f>_xlfn.XLOOKUP(frasest[[#This Row],[author_es]],autorest[author_es],autorest[image])</f>
        <v>https://i.ibb.co/bjgxB3kn/euskadi.png</v>
      </c>
      <c r="R838">
        <f>_xlfn.XLOOKUP(frasest[[#This Row],[author_es]],autorest[author_es],autorest[image_atr])</f>
        <v>0</v>
      </c>
    </row>
    <row r="839" spans="1:18">
      <c r="A839">
        <v>838</v>
      </c>
      <c r="B839" t="s">
        <v>2790</v>
      </c>
      <c r="C839" t="s">
        <v>2791</v>
      </c>
      <c r="D839" t="s">
        <v>2792</v>
      </c>
      <c r="E839" t="s">
        <v>1236</v>
      </c>
      <c r="G839" t="str">
        <f>_xlfn.XLOOKUP(frasest[[#This Row],[author_es]],autorest[author_es],autorest[author_la])</f>
        <v>Sententia Vasconica</v>
      </c>
      <c r="H839" t="str">
        <f>_xlfn.XLOOKUP(frasest[[#This Row],[author_es]],autorest[author_es],autorest[bio_es])</f>
        <v>Proverbios de la tradición oral vasca que reflejan la relación con la naturaleza, el trabajo y los valores comunitarios del pueblo vasco.</v>
      </c>
      <c r="I839" t="str">
        <f>_xlfn.XLOOKUP(frasest[[#This Row],[author_es]],autorest[author_es],autorest[bio_la])</f>
        <v>Collectio sententiarum Vasconicarum.</v>
      </c>
      <c r="J839" t="str">
        <f>_xlfn.XLOOKUP(frasest[[#This Row],[author_es]],autorest[author_es],autorest[iso3691])</f>
        <v>eu</v>
      </c>
      <c r="K839" t="str">
        <f>_xlfn.XLOOKUP(frasest[[#This Row],[author_es]],autorest[author_es],autorest[language_es])</f>
        <v>Euskara</v>
      </c>
      <c r="L839" t="str">
        <f>_xlfn.XLOOKUP(frasest[[#This Row],[author_es]],autorest[author_es],autorest[language_la])</f>
        <v>Lingua Vasconica</v>
      </c>
      <c r="M839" t="str">
        <f>_xlfn.XLOOKUP(frasest[[#This Row],[author_es]],autorest[author_es],autorest[nation_es])</f>
        <v>España</v>
      </c>
      <c r="N839" t="str">
        <f>_xlfn.XLOOKUP(frasest[[#This Row],[author_es]],autorest[author_es],autorest[nation_la])</f>
        <v>Hispania</v>
      </c>
      <c r="O839" t="str">
        <f>_xlfn.XLOOKUP(frasest[[#This Row],[author_es]],autorest[author_es],autorest[age_es])</f>
        <v>Epoca Desconocida</v>
      </c>
      <c r="P839" t="str">
        <f>_xlfn.XLOOKUP(frasest[[#This Row],[author_es]],autorest[author_es],autorest[age_la])</f>
        <v>Epocha Ignota</v>
      </c>
      <c r="Q839" t="str">
        <f>_xlfn.XLOOKUP(frasest[[#This Row],[author_es]],autorest[author_es],autorest[image])</f>
        <v>https://i.ibb.co/bjgxB3kn/euskadi.png</v>
      </c>
      <c r="R839">
        <f>_xlfn.XLOOKUP(frasest[[#This Row],[author_es]],autorest[author_es],autorest[image_atr])</f>
        <v>0</v>
      </c>
    </row>
    <row r="840" spans="1:18">
      <c r="A840">
        <v>839</v>
      </c>
      <c r="B840" t="s">
        <v>2793</v>
      </c>
      <c r="C840" t="s">
        <v>2794</v>
      </c>
      <c r="D840" t="s">
        <v>2795</v>
      </c>
      <c r="E840" t="s">
        <v>1236</v>
      </c>
      <c r="G840" t="str">
        <f>_xlfn.XLOOKUP(frasest[[#This Row],[author_es]],autorest[author_es],autorest[author_la])</f>
        <v>Sententia Vasconica</v>
      </c>
      <c r="H840" t="str">
        <f>_xlfn.XLOOKUP(frasest[[#This Row],[author_es]],autorest[author_es],autorest[bio_es])</f>
        <v>Proverbios de la tradición oral vasca que reflejan la relación con la naturaleza, el trabajo y los valores comunitarios del pueblo vasco.</v>
      </c>
      <c r="I840" t="str">
        <f>_xlfn.XLOOKUP(frasest[[#This Row],[author_es]],autorest[author_es],autorest[bio_la])</f>
        <v>Collectio sententiarum Vasconicarum.</v>
      </c>
      <c r="J840" t="str">
        <f>_xlfn.XLOOKUP(frasest[[#This Row],[author_es]],autorest[author_es],autorest[iso3691])</f>
        <v>eu</v>
      </c>
      <c r="K840" t="str">
        <f>_xlfn.XLOOKUP(frasest[[#This Row],[author_es]],autorest[author_es],autorest[language_es])</f>
        <v>Euskara</v>
      </c>
      <c r="L840" t="str">
        <f>_xlfn.XLOOKUP(frasest[[#This Row],[author_es]],autorest[author_es],autorest[language_la])</f>
        <v>Lingua Vasconica</v>
      </c>
      <c r="M840" t="str">
        <f>_xlfn.XLOOKUP(frasest[[#This Row],[author_es]],autorest[author_es],autorest[nation_es])</f>
        <v>España</v>
      </c>
      <c r="N840" t="str">
        <f>_xlfn.XLOOKUP(frasest[[#This Row],[author_es]],autorest[author_es],autorest[nation_la])</f>
        <v>Hispania</v>
      </c>
      <c r="O840" t="str">
        <f>_xlfn.XLOOKUP(frasest[[#This Row],[author_es]],autorest[author_es],autorest[age_es])</f>
        <v>Epoca Desconocida</v>
      </c>
      <c r="P840" t="str">
        <f>_xlfn.XLOOKUP(frasest[[#This Row],[author_es]],autorest[author_es],autorest[age_la])</f>
        <v>Epocha Ignota</v>
      </c>
      <c r="Q840" t="str">
        <f>_xlfn.XLOOKUP(frasest[[#This Row],[author_es]],autorest[author_es],autorest[image])</f>
        <v>https://i.ibb.co/bjgxB3kn/euskadi.png</v>
      </c>
      <c r="R840">
        <f>_xlfn.XLOOKUP(frasest[[#This Row],[author_es]],autorest[author_es],autorest[image_atr])</f>
        <v>0</v>
      </c>
    </row>
    <row r="841" spans="1:18">
      <c r="A841">
        <v>840</v>
      </c>
      <c r="B841" t="s">
        <v>2796</v>
      </c>
      <c r="C841" t="s">
        <v>2797</v>
      </c>
      <c r="D841" t="s">
        <v>2798</v>
      </c>
      <c r="E841" t="s">
        <v>1236</v>
      </c>
      <c r="G841" t="str">
        <f>_xlfn.XLOOKUP(frasest[[#This Row],[author_es]],autorest[author_es],autorest[author_la])</f>
        <v>Sententia Vasconica</v>
      </c>
      <c r="H841" t="str">
        <f>_xlfn.XLOOKUP(frasest[[#This Row],[author_es]],autorest[author_es],autorest[bio_es])</f>
        <v>Proverbios de la tradición oral vasca que reflejan la relación con la naturaleza, el trabajo y los valores comunitarios del pueblo vasco.</v>
      </c>
      <c r="I841" t="str">
        <f>_xlfn.XLOOKUP(frasest[[#This Row],[author_es]],autorest[author_es],autorest[bio_la])</f>
        <v>Collectio sententiarum Vasconicarum.</v>
      </c>
      <c r="J841" t="str">
        <f>_xlfn.XLOOKUP(frasest[[#This Row],[author_es]],autorest[author_es],autorest[iso3691])</f>
        <v>eu</v>
      </c>
      <c r="K841" t="str">
        <f>_xlfn.XLOOKUP(frasest[[#This Row],[author_es]],autorest[author_es],autorest[language_es])</f>
        <v>Euskara</v>
      </c>
      <c r="L841" t="str">
        <f>_xlfn.XLOOKUP(frasest[[#This Row],[author_es]],autorest[author_es],autorest[language_la])</f>
        <v>Lingua Vasconica</v>
      </c>
      <c r="M841" t="str">
        <f>_xlfn.XLOOKUP(frasest[[#This Row],[author_es]],autorest[author_es],autorest[nation_es])</f>
        <v>España</v>
      </c>
      <c r="N841" t="str">
        <f>_xlfn.XLOOKUP(frasest[[#This Row],[author_es]],autorest[author_es],autorest[nation_la])</f>
        <v>Hispania</v>
      </c>
      <c r="O841" t="str">
        <f>_xlfn.XLOOKUP(frasest[[#This Row],[author_es]],autorest[author_es],autorest[age_es])</f>
        <v>Epoca Desconocida</v>
      </c>
      <c r="P841" t="str">
        <f>_xlfn.XLOOKUP(frasest[[#This Row],[author_es]],autorest[author_es],autorest[age_la])</f>
        <v>Epocha Ignota</v>
      </c>
      <c r="Q841" t="str">
        <f>_xlfn.XLOOKUP(frasest[[#This Row],[author_es]],autorest[author_es],autorest[image])</f>
        <v>https://i.ibb.co/bjgxB3kn/euskadi.png</v>
      </c>
      <c r="R841">
        <f>_xlfn.XLOOKUP(frasest[[#This Row],[author_es]],autorest[author_es],autorest[image_atr])</f>
        <v>0</v>
      </c>
    </row>
    <row r="842" spans="1:18">
      <c r="A842">
        <v>841</v>
      </c>
      <c r="B842" t="s">
        <v>2799</v>
      </c>
      <c r="C842" t="s">
        <v>2800</v>
      </c>
      <c r="D842" t="s">
        <v>2801</v>
      </c>
      <c r="E842" t="s">
        <v>1236</v>
      </c>
      <c r="G842" t="str">
        <f>_xlfn.XLOOKUP(frasest[[#This Row],[author_es]],autorest[author_es],autorest[author_la])</f>
        <v>Sententia Vasconica</v>
      </c>
      <c r="H842" t="str">
        <f>_xlfn.XLOOKUP(frasest[[#This Row],[author_es]],autorest[author_es],autorest[bio_es])</f>
        <v>Proverbios de la tradición oral vasca que reflejan la relación con la naturaleza, el trabajo y los valores comunitarios del pueblo vasco.</v>
      </c>
      <c r="I842" t="str">
        <f>_xlfn.XLOOKUP(frasest[[#This Row],[author_es]],autorest[author_es],autorest[bio_la])</f>
        <v>Collectio sententiarum Vasconicarum.</v>
      </c>
      <c r="J842" t="str">
        <f>_xlfn.XLOOKUP(frasest[[#This Row],[author_es]],autorest[author_es],autorest[iso3691])</f>
        <v>eu</v>
      </c>
      <c r="K842" t="str">
        <f>_xlfn.XLOOKUP(frasest[[#This Row],[author_es]],autorest[author_es],autorest[language_es])</f>
        <v>Euskara</v>
      </c>
      <c r="L842" t="str">
        <f>_xlfn.XLOOKUP(frasest[[#This Row],[author_es]],autorest[author_es],autorest[language_la])</f>
        <v>Lingua Vasconica</v>
      </c>
      <c r="M842" t="str">
        <f>_xlfn.XLOOKUP(frasest[[#This Row],[author_es]],autorest[author_es],autorest[nation_es])</f>
        <v>España</v>
      </c>
      <c r="N842" t="str">
        <f>_xlfn.XLOOKUP(frasest[[#This Row],[author_es]],autorest[author_es],autorest[nation_la])</f>
        <v>Hispania</v>
      </c>
      <c r="O842" t="str">
        <f>_xlfn.XLOOKUP(frasest[[#This Row],[author_es]],autorest[author_es],autorest[age_es])</f>
        <v>Epoca Desconocida</v>
      </c>
      <c r="P842" t="str">
        <f>_xlfn.XLOOKUP(frasest[[#This Row],[author_es]],autorest[author_es],autorest[age_la])</f>
        <v>Epocha Ignota</v>
      </c>
      <c r="Q842" t="str">
        <f>_xlfn.XLOOKUP(frasest[[#This Row],[author_es]],autorest[author_es],autorest[image])</f>
        <v>https://i.ibb.co/bjgxB3kn/euskadi.png</v>
      </c>
      <c r="R842">
        <f>_xlfn.XLOOKUP(frasest[[#This Row],[author_es]],autorest[author_es],autorest[image_atr])</f>
        <v>0</v>
      </c>
    </row>
    <row r="843" spans="1:18">
      <c r="A843">
        <v>842</v>
      </c>
      <c r="B843" t="s">
        <v>2389</v>
      </c>
      <c r="C843" t="s">
        <v>2802</v>
      </c>
      <c r="D843" t="s">
        <v>2391</v>
      </c>
      <c r="E843" t="s">
        <v>1236</v>
      </c>
      <c r="G843" t="str">
        <f>_xlfn.XLOOKUP(frasest[[#This Row],[author_es]],autorest[author_es],autorest[author_la])</f>
        <v>Sententia Vasconica</v>
      </c>
      <c r="H843" t="str">
        <f>_xlfn.XLOOKUP(frasest[[#This Row],[author_es]],autorest[author_es],autorest[bio_es])</f>
        <v>Proverbios de la tradición oral vasca que reflejan la relación con la naturaleza, el trabajo y los valores comunitarios del pueblo vasco.</v>
      </c>
      <c r="I843" t="str">
        <f>_xlfn.XLOOKUP(frasest[[#This Row],[author_es]],autorest[author_es],autorest[bio_la])</f>
        <v>Collectio sententiarum Vasconicarum.</v>
      </c>
      <c r="J843" t="str">
        <f>_xlfn.XLOOKUP(frasest[[#This Row],[author_es]],autorest[author_es],autorest[iso3691])</f>
        <v>eu</v>
      </c>
      <c r="K843" t="str">
        <f>_xlfn.XLOOKUP(frasest[[#This Row],[author_es]],autorest[author_es],autorest[language_es])</f>
        <v>Euskara</v>
      </c>
      <c r="L843" t="str">
        <f>_xlfn.XLOOKUP(frasest[[#This Row],[author_es]],autorest[author_es],autorest[language_la])</f>
        <v>Lingua Vasconica</v>
      </c>
      <c r="M843" t="str">
        <f>_xlfn.XLOOKUP(frasest[[#This Row],[author_es]],autorest[author_es],autorest[nation_es])</f>
        <v>España</v>
      </c>
      <c r="N843" t="str">
        <f>_xlfn.XLOOKUP(frasest[[#This Row],[author_es]],autorest[author_es],autorest[nation_la])</f>
        <v>Hispania</v>
      </c>
      <c r="O843" t="str">
        <f>_xlfn.XLOOKUP(frasest[[#This Row],[author_es]],autorest[author_es],autorest[age_es])</f>
        <v>Epoca Desconocida</v>
      </c>
      <c r="P843" t="str">
        <f>_xlfn.XLOOKUP(frasest[[#This Row],[author_es]],autorest[author_es],autorest[age_la])</f>
        <v>Epocha Ignota</v>
      </c>
      <c r="Q843" t="str">
        <f>_xlfn.XLOOKUP(frasest[[#This Row],[author_es]],autorest[author_es],autorest[image])</f>
        <v>https://i.ibb.co/bjgxB3kn/euskadi.png</v>
      </c>
      <c r="R843">
        <f>_xlfn.XLOOKUP(frasest[[#This Row],[author_es]],autorest[author_es],autorest[image_atr])</f>
        <v>0</v>
      </c>
    </row>
    <row r="844" spans="1:18">
      <c r="A844">
        <v>843</v>
      </c>
      <c r="B844" t="s">
        <v>2803</v>
      </c>
      <c r="C844" t="s">
        <v>2804</v>
      </c>
      <c r="D844" t="s">
        <v>2805</v>
      </c>
      <c r="E844" t="s">
        <v>1236</v>
      </c>
      <c r="G844" t="str">
        <f>_xlfn.XLOOKUP(frasest[[#This Row],[author_es]],autorest[author_es],autorest[author_la])</f>
        <v>Sententia Vasconica</v>
      </c>
      <c r="H844" t="str">
        <f>_xlfn.XLOOKUP(frasest[[#This Row],[author_es]],autorest[author_es],autorest[bio_es])</f>
        <v>Proverbios de la tradición oral vasca que reflejan la relación con la naturaleza, el trabajo y los valores comunitarios del pueblo vasco.</v>
      </c>
      <c r="I844" t="str">
        <f>_xlfn.XLOOKUP(frasest[[#This Row],[author_es]],autorest[author_es],autorest[bio_la])</f>
        <v>Collectio sententiarum Vasconicarum.</v>
      </c>
      <c r="J844" t="str">
        <f>_xlfn.XLOOKUP(frasest[[#This Row],[author_es]],autorest[author_es],autorest[iso3691])</f>
        <v>eu</v>
      </c>
      <c r="K844" t="str">
        <f>_xlfn.XLOOKUP(frasest[[#This Row],[author_es]],autorest[author_es],autorest[language_es])</f>
        <v>Euskara</v>
      </c>
      <c r="L844" t="str">
        <f>_xlfn.XLOOKUP(frasest[[#This Row],[author_es]],autorest[author_es],autorest[language_la])</f>
        <v>Lingua Vasconica</v>
      </c>
      <c r="M844" t="str">
        <f>_xlfn.XLOOKUP(frasest[[#This Row],[author_es]],autorest[author_es],autorest[nation_es])</f>
        <v>España</v>
      </c>
      <c r="N844" t="str">
        <f>_xlfn.XLOOKUP(frasest[[#This Row],[author_es]],autorest[author_es],autorest[nation_la])</f>
        <v>Hispania</v>
      </c>
      <c r="O844" t="str">
        <f>_xlfn.XLOOKUP(frasest[[#This Row],[author_es]],autorest[author_es],autorest[age_es])</f>
        <v>Epoca Desconocida</v>
      </c>
      <c r="P844" t="str">
        <f>_xlfn.XLOOKUP(frasest[[#This Row],[author_es]],autorest[author_es],autorest[age_la])</f>
        <v>Epocha Ignota</v>
      </c>
      <c r="Q844" t="str">
        <f>_xlfn.XLOOKUP(frasest[[#This Row],[author_es]],autorest[author_es],autorest[image])</f>
        <v>https://i.ibb.co/bjgxB3kn/euskadi.png</v>
      </c>
      <c r="R844">
        <f>_xlfn.XLOOKUP(frasest[[#This Row],[author_es]],autorest[author_es],autorest[image_atr])</f>
        <v>0</v>
      </c>
    </row>
    <row r="845" spans="1:18">
      <c r="A845">
        <v>844</v>
      </c>
      <c r="B845" t="s">
        <v>2806</v>
      </c>
      <c r="C845" t="s">
        <v>2807</v>
      </c>
      <c r="D845" t="s">
        <v>2808</v>
      </c>
      <c r="E845" t="s">
        <v>1236</v>
      </c>
      <c r="G845" t="str">
        <f>_xlfn.XLOOKUP(frasest[[#This Row],[author_es]],autorest[author_es],autorest[author_la])</f>
        <v>Sententia Vasconica</v>
      </c>
      <c r="H845" t="str">
        <f>_xlfn.XLOOKUP(frasest[[#This Row],[author_es]],autorest[author_es],autorest[bio_es])</f>
        <v>Proverbios de la tradición oral vasca que reflejan la relación con la naturaleza, el trabajo y los valores comunitarios del pueblo vasco.</v>
      </c>
      <c r="I845" t="str">
        <f>_xlfn.XLOOKUP(frasest[[#This Row],[author_es]],autorest[author_es],autorest[bio_la])</f>
        <v>Collectio sententiarum Vasconicarum.</v>
      </c>
      <c r="J845" t="str">
        <f>_xlfn.XLOOKUP(frasest[[#This Row],[author_es]],autorest[author_es],autorest[iso3691])</f>
        <v>eu</v>
      </c>
      <c r="K845" t="str">
        <f>_xlfn.XLOOKUP(frasest[[#This Row],[author_es]],autorest[author_es],autorest[language_es])</f>
        <v>Euskara</v>
      </c>
      <c r="L845" t="str">
        <f>_xlfn.XLOOKUP(frasest[[#This Row],[author_es]],autorest[author_es],autorest[language_la])</f>
        <v>Lingua Vasconica</v>
      </c>
      <c r="M845" t="str">
        <f>_xlfn.XLOOKUP(frasest[[#This Row],[author_es]],autorest[author_es],autorest[nation_es])</f>
        <v>España</v>
      </c>
      <c r="N845" t="str">
        <f>_xlfn.XLOOKUP(frasest[[#This Row],[author_es]],autorest[author_es],autorest[nation_la])</f>
        <v>Hispania</v>
      </c>
      <c r="O845" t="str">
        <f>_xlfn.XLOOKUP(frasest[[#This Row],[author_es]],autorest[author_es],autorest[age_es])</f>
        <v>Epoca Desconocida</v>
      </c>
      <c r="P845" t="str">
        <f>_xlfn.XLOOKUP(frasest[[#This Row],[author_es]],autorest[author_es],autorest[age_la])</f>
        <v>Epocha Ignota</v>
      </c>
      <c r="Q845" t="str">
        <f>_xlfn.XLOOKUP(frasest[[#This Row],[author_es]],autorest[author_es],autorest[image])</f>
        <v>https://i.ibb.co/bjgxB3kn/euskadi.png</v>
      </c>
      <c r="R845">
        <f>_xlfn.XLOOKUP(frasest[[#This Row],[author_es]],autorest[author_es],autorest[image_atr])</f>
        <v>0</v>
      </c>
    </row>
    <row r="846" spans="1:18">
      <c r="A846">
        <v>845</v>
      </c>
      <c r="B846" t="s">
        <v>2809</v>
      </c>
      <c r="C846" t="s">
        <v>2810</v>
      </c>
      <c r="D846" t="s">
        <v>2811</v>
      </c>
      <c r="E846" t="s">
        <v>1236</v>
      </c>
      <c r="G846" t="str">
        <f>_xlfn.XLOOKUP(frasest[[#This Row],[author_es]],autorest[author_es],autorest[author_la])</f>
        <v>Sententia Vasconica</v>
      </c>
      <c r="H846" t="str">
        <f>_xlfn.XLOOKUP(frasest[[#This Row],[author_es]],autorest[author_es],autorest[bio_es])</f>
        <v>Proverbios de la tradición oral vasca que reflejan la relación con la naturaleza, el trabajo y los valores comunitarios del pueblo vasco.</v>
      </c>
      <c r="I846" t="str">
        <f>_xlfn.XLOOKUP(frasest[[#This Row],[author_es]],autorest[author_es],autorest[bio_la])</f>
        <v>Collectio sententiarum Vasconicarum.</v>
      </c>
      <c r="J846" t="str">
        <f>_xlfn.XLOOKUP(frasest[[#This Row],[author_es]],autorest[author_es],autorest[iso3691])</f>
        <v>eu</v>
      </c>
      <c r="K846" t="str">
        <f>_xlfn.XLOOKUP(frasest[[#This Row],[author_es]],autorest[author_es],autorest[language_es])</f>
        <v>Euskara</v>
      </c>
      <c r="L846" t="str">
        <f>_xlfn.XLOOKUP(frasest[[#This Row],[author_es]],autorest[author_es],autorest[language_la])</f>
        <v>Lingua Vasconica</v>
      </c>
      <c r="M846" t="str">
        <f>_xlfn.XLOOKUP(frasest[[#This Row],[author_es]],autorest[author_es],autorest[nation_es])</f>
        <v>España</v>
      </c>
      <c r="N846" t="str">
        <f>_xlfn.XLOOKUP(frasest[[#This Row],[author_es]],autorest[author_es],autorest[nation_la])</f>
        <v>Hispania</v>
      </c>
      <c r="O846" t="str">
        <f>_xlfn.XLOOKUP(frasest[[#This Row],[author_es]],autorest[author_es],autorest[age_es])</f>
        <v>Epoca Desconocida</v>
      </c>
      <c r="P846" t="str">
        <f>_xlfn.XLOOKUP(frasest[[#This Row],[author_es]],autorest[author_es],autorest[age_la])</f>
        <v>Epocha Ignota</v>
      </c>
      <c r="Q846" t="str">
        <f>_xlfn.XLOOKUP(frasest[[#This Row],[author_es]],autorest[author_es],autorest[image])</f>
        <v>https://i.ibb.co/bjgxB3kn/euskadi.png</v>
      </c>
      <c r="R846">
        <f>_xlfn.XLOOKUP(frasest[[#This Row],[author_es]],autorest[author_es],autorest[image_atr])</f>
        <v>0</v>
      </c>
    </row>
    <row r="847" spans="1:18">
      <c r="A847">
        <v>846</v>
      </c>
      <c r="B847" t="s">
        <v>2812</v>
      </c>
      <c r="C847" t="s">
        <v>2813</v>
      </c>
      <c r="D847" t="s">
        <v>2814</v>
      </c>
      <c r="E847" t="s">
        <v>1236</v>
      </c>
      <c r="G847" t="str">
        <f>_xlfn.XLOOKUP(frasest[[#This Row],[author_es]],autorest[author_es],autorest[author_la])</f>
        <v>Sententia Vasconica</v>
      </c>
      <c r="H847" t="str">
        <f>_xlfn.XLOOKUP(frasest[[#This Row],[author_es]],autorest[author_es],autorest[bio_es])</f>
        <v>Proverbios de la tradición oral vasca que reflejan la relación con la naturaleza, el trabajo y los valores comunitarios del pueblo vasco.</v>
      </c>
      <c r="I847" t="str">
        <f>_xlfn.XLOOKUP(frasest[[#This Row],[author_es]],autorest[author_es],autorest[bio_la])</f>
        <v>Collectio sententiarum Vasconicarum.</v>
      </c>
      <c r="J847" t="str">
        <f>_xlfn.XLOOKUP(frasest[[#This Row],[author_es]],autorest[author_es],autorest[iso3691])</f>
        <v>eu</v>
      </c>
      <c r="K847" t="str">
        <f>_xlfn.XLOOKUP(frasest[[#This Row],[author_es]],autorest[author_es],autorest[language_es])</f>
        <v>Euskara</v>
      </c>
      <c r="L847" t="str">
        <f>_xlfn.XLOOKUP(frasest[[#This Row],[author_es]],autorest[author_es],autorest[language_la])</f>
        <v>Lingua Vasconica</v>
      </c>
      <c r="M847" t="str">
        <f>_xlfn.XLOOKUP(frasest[[#This Row],[author_es]],autorest[author_es],autorest[nation_es])</f>
        <v>España</v>
      </c>
      <c r="N847" t="str">
        <f>_xlfn.XLOOKUP(frasest[[#This Row],[author_es]],autorest[author_es],autorest[nation_la])</f>
        <v>Hispania</v>
      </c>
      <c r="O847" t="str">
        <f>_xlfn.XLOOKUP(frasest[[#This Row],[author_es]],autorest[author_es],autorest[age_es])</f>
        <v>Epoca Desconocida</v>
      </c>
      <c r="P847" t="str">
        <f>_xlfn.XLOOKUP(frasest[[#This Row],[author_es]],autorest[author_es],autorest[age_la])</f>
        <v>Epocha Ignota</v>
      </c>
      <c r="Q847" t="str">
        <f>_xlfn.XLOOKUP(frasest[[#This Row],[author_es]],autorest[author_es],autorest[image])</f>
        <v>https://i.ibb.co/bjgxB3kn/euskadi.png</v>
      </c>
      <c r="R847">
        <f>_xlfn.XLOOKUP(frasest[[#This Row],[author_es]],autorest[author_es],autorest[image_atr])</f>
        <v>0</v>
      </c>
    </row>
    <row r="848" spans="1:18">
      <c r="A848">
        <v>847</v>
      </c>
      <c r="B848" t="s">
        <v>2815</v>
      </c>
      <c r="C848" t="s">
        <v>2816</v>
      </c>
      <c r="D848" t="s">
        <v>2817</v>
      </c>
      <c r="E848" t="s">
        <v>1236</v>
      </c>
      <c r="G848" t="str">
        <f>_xlfn.XLOOKUP(frasest[[#This Row],[author_es]],autorest[author_es],autorest[author_la])</f>
        <v>Sententia Vasconica</v>
      </c>
      <c r="H848" t="str">
        <f>_xlfn.XLOOKUP(frasest[[#This Row],[author_es]],autorest[author_es],autorest[bio_es])</f>
        <v>Proverbios de la tradición oral vasca que reflejan la relación con la naturaleza, el trabajo y los valores comunitarios del pueblo vasco.</v>
      </c>
      <c r="I848" t="str">
        <f>_xlfn.XLOOKUP(frasest[[#This Row],[author_es]],autorest[author_es],autorest[bio_la])</f>
        <v>Collectio sententiarum Vasconicarum.</v>
      </c>
      <c r="J848" t="str">
        <f>_xlfn.XLOOKUP(frasest[[#This Row],[author_es]],autorest[author_es],autorest[iso3691])</f>
        <v>eu</v>
      </c>
      <c r="K848" t="str">
        <f>_xlfn.XLOOKUP(frasest[[#This Row],[author_es]],autorest[author_es],autorest[language_es])</f>
        <v>Euskara</v>
      </c>
      <c r="L848" t="str">
        <f>_xlfn.XLOOKUP(frasest[[#This Row],[author_es]],autorest[author_es],autorest[language_la])</f>
        <v>Lingua Vasconica</v>
      </c>
      <c r="M848" t="str">
        <f>_xlfn.XLOOKUP(frasest[[#This Row],[author_es]],autorest[author_es],autorest[nation_es])</f>
        <v>España</v>
      </c>
      <c r="N848" t="str">
        <f>_xlfn.XLOOKUP(frasest[[#This Row],[author_es]],autorest[author_es],autorest[nation_la])</f>
        <v>Hispania</v>
      </c>
      <c r="O848" t="str">
        <f>_xlfn.XLOOKUP(frasest[[#This Row],[author_es]],autorest[author_es],autorest[age_es])</f>
        <v>Epoca Desconocida</v>
      </c>
      <c r="P848" t="str">
        <f>_xlfn.XLOOKUP(frasest[[#This Row],[author_es]],autorest[author_es],autorest[age_la])</f>
        <v>Epocha Ignota</v>
      </c>
      <c r="Q848" t="str">
        <f>_xlfn.XLOOKUP(frasest[[#This Row],[author_es]],autorest[author_es],autorest[image])</f>
        <v>https://i.ibb.co/bjgxB3kn/euskadi.png</v>
      </c>
      <c r="R848">
        <f>_xlfn.XLOOKUP(frasest[[#This Row],[author_es]],autorest[author_es],autorest[image_atr])</f>
        <v>0</v>
      </c>
    </row>
    <row r="849" spans="1:18">
      <c r="A849">
        <v>848</v>
      </c>
      <c r="B849" t="s">
        <v>2818</v>
      </c>
      <c r="C849" t="s">
        <v>2819</v>
      </c>
      <c r="D849" t="s">
        <v>2820</v>
      </c>
      <c r="E849" t="s">
        <v>1236</v>
      </c>
      <c r="G849" t="str">
        <f>_xlfn.XLOOKUP(frasest[[#This Row],[author_es]],autorest[author_es],autorest[author_la])</f>
        <v>Sententia Vasconica</v>
      </c>
      <c r="H849" t="str">
        <f>_xlfn.XLOOKUP(frasest[[#This Row],[author_es]],autorest[author_es],autorest[bio_es])</f>
        <v>Proverbios de la tradición oral vasca que reflejan la relación con la naturaleza, el trabajo y los valores comunitarios del pueblo vasco.</v>
      </c>
      <c r="I849" t="str">
        <f>_xlfn.XLOOKUP(frasest[[#This Row],[author_es]],autorest[author_es],autorest[bio_la])</f>
        <v>Collectio sententiarum Vasconicarum.</v>
      </c>
      <c r="J849" t="str">
        <f>_xlfn.XLOOKUP(frasest[[#This Row],[author_es]],autorest[author_es],autorest[iso3691])</f>
        <v>eu</v>
      </c>
      <c r="K849" t="str">
        <f>_xlfn.XLOOKUP(frasest[[#This Row],[author_es]],autorest[author_es],autorest[language_es])</f>
        <v>Euskara</v>
      </c>
      <c r="L849" t="str">
        <f>_xlfn.XLOOKUP(frasest[[#This Row],[author_es]],autorest[author_es],autorest[language_la])</f>
        <v>Lingua Vasconica</v>
      </c>
      <c r="M849" t="str">
        <f>_xlfn.XLOOKUP(frasest[[#This Row],[author_es]],autorest[author_es],autorest[nation_es])</f>
        <v>España</v>
      </c>
      <c r="N849" t="str">
        <f>_xlfn.XLOOKUP(frasest[[#This Row],[author_es]],autorest[author_es],autorest[nation_la])</f>
        <v>Hispania</v>
      </c>
      <c r="O849" t="str">
        <f>_xlfn.XLOOKUP(frasest[[#This Row],[author_es]],autorest[author_es],autorest[age_es])</f>
        <v>Epoca Desconocida</v>
      </c>
      <c r="P849" t="str">
        <f>_xlfn.XLOOKUP(frasest[[#This Row],[author_es]],autorest[author_es],autorest[age_la])</f>
        <v>Epocha Ignota</v>
      </c>
      <c r="Q849" t="str">
        <f>_xlfn.XLOOKUP(frasest[[#This Row],[author_es]],autorest[author_es],autorest[image])</f>
        <v>https://i.ibb.co/bjgxB3kn/euskadi.png</v>
      </c>
      <c r="R849">
        <f>_xlfn.XLOOKUP(frasest[[#This Row],[author_es]],autorest[author_es],autorest[image_atr])</f>
        <v>0</v>
      </c>
    </row>
    <row r="850" spans="1:18">
      <c r="A850">
        <v>849</v>
      </c>
      <c r="B850" t="s">
        <v>2821</v>
      </c>
      <c r="C850" t="s">
        <v>2822</v>
      </c>
      <c r="D850" t="s">
        <v>2823</v>
      </c>
      <c r="E850" t="s">
        <v>1236</v>
      </c>
      <c r="G850" t="str">
        <f>_xlfn.XLOOKUP(frasest[[#This Row],[author_es]],autorest[author_es],autorest[author_la])</f>
        <v>Sententia Vasconica</v>
      </c>
      <c r="H850" t="str">
        <f>_xlfn.XLOOKUP(frasest[[#This Row],[author_es]],autorest[author_es],autorest[bio_es])</f>
        <v>Proverbios de la tradición oral vasca que reflejan la relación con la naturaleza, el trabajo y los valores comunitarios del pueblo vasco.</v>
      </c>
      <c r="I850" t="str">
        <f>_xlfn.XLOOKUP(frasest[[#This Row],[author_es]],autorest[author_es],autorest[bio_la])</f>
        <v>Collectio sententiarum Vasconicarum.</v>
      </c>
      <c r="J850" t="str">
        <f>_xlfn.XLOOKUP(frasest[[#This Row],[author_es]],autorest[author_es],autorest[iso3691])</f>
        <v>eu</v>
      </c>
      <c r="K850" t="str">
        <f>_xlfn.XLOOKUP(frasest[[#This Row],[author_es]],autorest[author_es],autorest[language_es])</f>
        <v>Euskara</v>
      </c>
      <c r="L850" t="str">
        <f>_xlfn.XLOOKUP(frasest[[#This Row],[author_es]],autorest[author_es],autorest[language_la])</f>
        <v>Lingua Vasconica</v>
      </c>
      <c r="M850" t="str">
        <f>_xlfn.XLOOKUP(frasest[[#This Row],[author_es]],autorest[author_es],autorest[nation_es])</f>
        <v>España</v>
      </c>
      <c r="N850" t="str">
        <f>_xlfn.XLOOKUP(frasest[[#This Row],[author_es]],autorest[author_es],autorest[nation_la])</f>
        <v>Hispania</v>
      </c>
      <c r="O850" t="str">
        <f>_xlfn.XLOOKUP(frasest[[#This Row],[author_es]],autorest[author_es],autorest[age_es])</f>
        <v>Epoca Desconocida</v>
      </c>
      <c r="P850" t="str">
        <f>_xlfn.XLOOKUP(frasest[[#This Row],[author_es]],autorest[author_es],autorest[age_la])</f>
        <v>Epocha Ignota</v>
      </c>
      <c r="Q850" t="str">
        <f>_xlfn.XLOOKUP(frasest[[#This Row],[author_es]],autorest[author_es],autorest[image])</f>
        <v>https://i.ibb.co/bjgxB3kn/euskadi.png</v>
      </c>
      <c r="R850">
        <f>_xlfn.XLOOKUP(frasest[[#This Row],[author_es]],autorest[author_es],autorest[image_atr])</f>
        <v>0</v>
      </c>
    </row>
    <row r="851" spans="1:18">
      <c r="A851">
        <v>850</v>
      </c>
      <c r="B851" t="s">
        <v>2824</v>
      </c>
      <c r="C851" t="s">
        <v>2825</v>
      </c>
      <c r="D851" t="s">
        <v>2826</v>
      </c>
      <c r="E851" t="s">
        <v>1236</v>
      </c>
      <c r="G851" t="str">
        <f>_xlfn.XLOOKUP(frasest[[#This Row],[author_es]],autorest[author_es],autorest[author_la])</f>
        <v>Sententia Vasconica</v>
      </c>
      <c r="H851" t="str">
        <f>_xlfn.XLOOKUP(frasest[[#This Row],[author_es]],autorest[author_es],autorest[bio_es])</f>
        <v>Proverbios de la tradición oral vasca que reflejan la relación con la naturaleza, el trabajo y los valores comunitarios del pueblo vasco.</v>
      </c>
      <c r="I851" t="str">
        <f>_xlfn.XLOOKUP(frasest[[#This Row],[author_es]],autorest[author_es],autorest[bio_la])</f>
        <v>Collectio sententiarum Vasconicarum.</v>
      </c>
      <c r="J851" t="str">
        <f>_xlfn.XLOOKUP(frasest[[#This Row],[author_es]],autorest[author_es],autorest[iso3691])</f>
        <v>eu</v>
      </c>
      <c r="K851" t="str">
        <f>_xlfn.XLOOKUP(frasest[[#This Row],[author_es]],autorest[author_es],autorest[language_es])</f>
        <v>Euskara</v>
      </c>
      <c r="L851" t="str">
        <f>_xlfn.XLOOKUP(frasest[[#This Row],[author_es]],autorest[author_es],autorest[language_la])</f>
        <v>Lingua Vasconica</v>
      </c>
      <c r="M851" t="str">
        <f>_xlfn.XLOOKUP(frasest[[#This Row],[author_es]],autorest[author_es],autorest[nation_es])</f>
        <v>España</v>
      </c>
      <c r="N851" t="str">
        <f>_xlfn.XLOOKUP(frasest[[#This Row],[author_es]],autorest[author_es],autorest[nation_la])</f>
        <v>Hispania</v>
      </c>
      <c r="O851" t="str">
        <f>_xlfn.XLOOKUP(frasest[[#This Row],[author_es]],autorest[author_es],autorest[age_es])</f>
        <v>Epoca Desconocida</v>
      </c>
      <c r="P851" t="str">
        <f>_xlfn.XLOOKUP(frasest[[#This Row],[author_es]],autorest[author_es],autorest[age_la])</f>
        <v>Epocha Ignota</v>
      </c>
      <c r="Q851" t="str">
        <f>_xlfn.XLOOKUP(frasest[[#This Row],[author_es]],autorest[author_es],autorest[image])</f>
        <v>https://i.ibb.co/bjgxB3kn/euskadi.png</v>
      </c>
      <c r="R851">
        <f>_xlfn.XLOOKUP(frasest[[#This Row],[author_es]],autorest[author_es],autorest[image_atr])</f>
        <v>0</v>
      </c>
    </row>
    <row r="852" spans="1:18">
      <c r="A852">
        <v>851</v>
      </c>
      <c r="B852" t="s">
        <v>2827</v>
      </c>
      <c r="C852" t="s">
        <v>2828</v>
      </c>
      <c r="D852" t="s">
        <v>2829</v>
      </c>
      <c r="E852" t="s">
        <v>1236</v>
      </c>
      <c r="G852" t="str">
        <f>_xlfn.XLOOKUP(frasest[[#This Row],[author_es]],autorest[author_es],autorest[author_la])</f>
        <v>Sententia Vasconica</v>
      </c>
      <c r="H852" t="str">
        <f>_xlfn.XLOOKUP(frasest[[#This Row],[author_es]],autorest[author_es],autorest[bio_es])</f>
        <v>Proverbios de la tradición oral vasca que reflejan la relación con la naturaleza, el trabajo y los valores comunitarios del pueblo vasco.</v>
      </c>
      <c r="I852" t="str">
        <f>_xlfn.XLOOKUP(frasest[[#This Row],[author_es]],autorest[author_es],autorest[bio_la])</f>
        <v>Collectio sententiarum Vasconicarum.</v>
      </c>
      <c r="J852" t="str">
        <f>_xlfn.XLOOKUP(frasest[[#This Row],[author_es]],autorest[author_es],autorest[iso3691])</f>
        <v>eu</v>
      </c>
      <c r="K852" t="str">
        <f>_xlfn.XLOOKUP(frasest[[#This Row],[author_es]],autorest[author_es],autorest[language_es])</f>
        <v>Euskara</v>
      </c>
      <c r="L852" t="str">
        <f>_xlfn.XLOOKUP(frasest[[#This Row],[author_es]],autorest[author_es],autorest[language_la])</f>
        <v>Lingua Vasconica</v>
      </c>
      <c r="M852" t="str">
        <f>_xlfn.XLOOKUP(frasest[[#This Row],[author_es]],autorest[author_es],autorest[nation_es])</f>
        <v>España</v>
      </c>
      <c r="N852" t="str">
        <f>_xlfn.XLOOKUP(frasest[[#This Row],[author_es]],autorest[author_es],autorest[nation_la])</f>
        <v>Hispania</v>
      </c>
      <c r="O852" t="str">
        <f>_xlfn.XLOOKUP(frasest[[#This Row],[author_es]],autorest[author_es],autorest[age_es])</f>
        <v>Epoca Desconocida</v>
      </c>
      <c r="P852" t="str">
        <f>_xlfn.XLOOKUP(frasest[[#This Row],[author_es]],autorest[author_es],autorest[age_la])</f>
        <v>Epocha Ignota</v>
      </c>
      <c r="Q852" t="str">
        <f>_xlfn.XLOOKUP(frasest[[#This Row],[author_es]],autorest[author_es],autorest[image])</f>
        <v>https://i.ibb.co/bjgxB3kn/euskadi.png</v>
      </c>
      <c r="R852">
        <f>_xlfn.XLOOKUP(frasest[[#This Row],[author_es]],autorest[author_es],autorest[image_atr])</f>
        <v>0</v>
      </c>
    </row>
    <row r="853" spans="1:18">
      <c r="A853">
        <v>852</v>
      </c>
      <c r="B853" t="s">
        <v>2830</v>
      </c>
      <c r="C853" t="s">
        <v>2831</v>
      </c>
      <c r="D853" t="s">
        <v>2832</v>
      </c>
      <c r="E853" t="s">
        <v>1236</v>
      </c>
      <c r="G853" t="str">
        <f>_xlfn.XLOOKUP(frasest[[#This Row],[author_es]],autorest[author_es],autorest[author_la])</f>
        <v>Sententia Vasconica</v>
      </c>
      <c r="H853" t="str">
        <f>_xlfn.XLOOKUP(frasest[[#This Row],[author_es]],autorest[author_es],autorest[bio_es])</f>
        <v>Proverbios de la tradición oral vasca que reflejan la relación con la naturaleza, el trabajo y los valores comunitarios del pueblo vasco.</v>
      </c>
      <c r="I853" t="str">
        <f>_xlfn.XLOOKUP(frasest[[#This Row],[author_es]],autorest[author_es],autorest[bio_la])</f>
        <v>Collectio sententiarum Vasconicarum.</v>
      </c>
      <c r="J853" t="str">
        <f>_xlfn.XLOOKUP(frasest[[#This Row],[author_es]],autorest[author_es],autorest[iso3691])</f>
        <v>eu</v>
      </c>
      <c r="K853" t="str">
        <f>_xlfn.XLOOKUP(frasest[[#This Row],[author_es]],autorest[author_es],autorest[language_es])</f>
        <v>Euskara</v>
      </c>
      <c r="L853" t="str">
        <f>_xlfn.XLOOKUP(frasest[[#This Row],[author_es]],autorest[author_es],autorest[language_la])</f>
        <v>Lingua Vasconica</v>
      </c>
      <c r="M853" t="str">
        <f>_xlfn.XLOOKUP(frasest[[#This Row],[author_es]],autorest[author_es],autorest[nation_es])</f>
        <v>España</v>
      </c>
      <c r="N853" t="str">
        <f>_xlfn.XLOOKUP(frasest[[#This Row],[author_es]],autorest[author_es],autorest[nation_la])</f>
        <v>Hispania</v>
      </c>
      <c r="O853" t="str">
        <f>_xlfn.XLOOKUP(frasest[[#This Row],[author_es]],autorest[author_es],autorest[age_es])</f>
        <v>Epoca Desconocida</v>
      </c>
      <c r="P853" t="str">
        <f>_xlfn.XLOOKUP(frasest[[#This Row],[author_es]],autorest[author_es],autorest[age_la])</f>
        <v>Epocha Ignota</v>
      </c>
      <c r="Q853" t="str">
        <f>_xlfn.XLOOKUP(frasest[[#This Row],[author_es]],autorest[author_es],autorest[image])</f>
        <v>https://i.ibb.co/bjgxB3kn/euskadi.png</v>
      </c>
      <c r="R853">
        <f>_xlfn.XLOOKUP(frasest[[#This Row],[author_es]],autorest[author_es],autorest[image_atr])</f>
        <v>0</v>
      </c>
    </row>
    <row r="854" spans="1:18">
      <c r="A854">
        <v>853</v>
      </c>
      <c r="B854" t="s">
        <v>2833</v>
      </c>
      <c r="C854" t="s">
        <v>2834</v>
      </c>
      <c r="D854" t="s">
        <v>2835</v>
      </c>
      <c r="E854" t="s">
        <v>1236</v>
      </c>
      <c r="G854" t="str">
        <f>_xlfn.XLOOKUP(frasest[[#This Row],[author_es]],autorest[author_es],autorest[author_la])</f>
        <v>Sententia Vasconica</v>
      </c>
      <c r="H854" t="str">
        <f>_xlfn.XLOOKUP(frasest[[#This Row],[author_es]],autorest[author_es],autorest[bio_es])</f>
        <v>Proverbios de la tradición oral vasca que reflejan la relación con la naturaleza, el trabajo y los valores comunitarios del pueblo vasco.</v>
      </c>
      <c r="I854" t="str">
        <f>_xlfn.XLOOKUP(frasest[[#This Row],[author_es]],autorest[author_es],autorest[bio_la])</f>
        <v>Collectio sententiarum Vasconicarum.</v>
      </c>
      <c r="J854" t="str">
        <f>_xlfn.XLOOKUP(frasest[[#This Row],[author_es]],autorest[author_es],autorest[iso3691])</f>
        <v>eu</v>
      </c>
      <c r="K854" t="str">
        <f>_xlfn.XLOOKUP(frasest[[#This Row],[author_es]],autorest[author_es],autorest[language_es])</f>
        <v>Euskara</v>
      </c>
      <c r="L854" t="str">
        <f>_xlfn.XLOOKUP(frasest[[#This Row],[author_es]],autorest[author_es],autorest[language_la])</f>
        <v>Lingua Vasconica</v>
      </c>
      <c r="M854" t="str">
        <f>_xlfn.XLOOKUP(frasest[[#This Row],[author_es]],autorest[author_es],autorest[nation_es])</f>
        <v>España</v>
      </c>
      <c r="N854" t="str">
        <f>_xlfn.XLOOKUP(frasest[[#This Row],[author_es]],autorest[author_es],autorest[nation_la])</f>
        <v>Hispania</v>
      </c>
      <c r="O854" t="str">
        <f>_xlfn.XLOOKUP(frasest[[#This Row],[author_es]],autorest[author_es],autorest[age_es])</f>
        <v>Epoca Desconocida</v>
      </c>
      <c r="P854" t="str">
        <f>_xlfn.XLOOKUP(frasest[[#This Row],[author_es]],autorest[author_es],autorest[age_la])</f>
        <v>Epocha Ignota</v>
      </c>
      <c r="Q854" t="str">
        <f>_xlfn.XLOOKUP(frasest[[#This Row],[author_es]],autorest[author_es],autorest[image])</f>
        <v>https://i.ibb.co/bjgxB3kn/euskadi.png</v>
      </c>
      <c r="R854">
        <f>_xlfn.XLOOKUP(frasest[[#This Row],[author_es]],autorest[author_es],autorest[image_atr])</f>
        <v>0</v>
      </c>
    </row>
    <row r="855" spans="1:18">
      <c r="A855">
        <v>854</v>
      </c>
      <c r="B855" t="s">
        <v>2836</v>
      </c>
      <c r="C855" t="s">
        <v>2837</v>
      </c>
      <c r="D855" t="s">
        <v>2838</v>
      </c>
      <c r="E855" t="s">
        <v>1236</v>
      </c>
      <c r="G855" t="str">
        <f>_xlfn.XLOOKUP(frasest[[#This Row],[author_es]],autorest[author_es],autorest[author_la])</f>
        <v>Sententia Vasconica</v>
      </c>
      <c r="H855" t="str">
        <f>_xlfn.XLOOKUP(frasest[[#This Row],[author_es]],autorest[author_es],autorest[bio_es])</f>
        <v>Proverbios de la tradición oral vasca que reflejan la relación con la naturaleza, el trabajo y los valores comunitarios del pueblo vasco.</v>
      </c>
      <c r="I855" t="str">
        <f>_xlfn.XLOOKUP(frasest[[#This Row],[author_es]],autorest[author_es],autorest[bio_la])</f>
        <v>Collectio sententiarum Vasconicarum.</v>
      </c>
      <c r="J855" t="str">
        <f>_xlfn.XLOOKUP(frasest[[#This Row],[author_es]],autorest[author_es],autorest[iso3691])</f>
        <v>eu</v>
      </c>
      <c r="K855" t="str">
        <f>_xlfn.XLOOKUP(frasest[[#This Row],[author_es]],autorest[author_es],autorest[language_es])</f>
        <v>Euskara</v>
      </c>
      <c r="L855" t="str">
        <f>_xlfn.XLOOKUP(frasest[[#This Row],[author_es]],autorest[author_es],autorest[language_la])</f>
        <v>Lingua Vasconica</v>
      </c>
      <c r="M855" t="str">
        <f>_xlfn.XLOOKUP(frasest[[#This Row],[author_es]],autorest[author_es],autorest[nation_es])</f>
        <v>España</v>
      </c>
      <c r="N855" t="str">
        <f>_xlfn.XLOOKUP(frasest[[#This Row],[author_es]],autorest[author_es],autorest[nation_la])</f>
        <v>Hispania</v>
      </c>
      <c r="O855" t="str">
        <f>_xlfn.XLOOKUP(frasest[[#This Row],[author_es]],autorest[author_es],autorest[age_es])</f>
        <v>Epoca Desconocida</v>
      </c>
      <c r="P855" t="str">
        <f>_xlfn.XLOOKUP(frasest[[#This Row],[author_es]],autorest[author_es],autorest[age_la])</f>
        <v>Epocha Ignota</v>
      </c>
      <c r="Q855" t="str">
        <f>_xlfn.XLOOKUP(frasest[[#This Row],[author_es]],autorest[author_es],autorest[image])</f>
        <v>https://i.ibb.co/bjgxB3kn/euskadi.png</v>
      </c>
      <c r="R855">
        <f>_xlfn.XLOOKUP(frasest[[#This Row],[author_es]],autorest[author_es],autorest[image_atr])</f>
        <v>0</v>
      </c>
    </row>
    <row r="856" spans="1:18">
      <c r="A856">
        <v>855</v>
      </c>
      <c r="B856" t="s">
        <v>2839</v>
      </c>
      <c r="C856" t="s">
        <v>2840</v>
      </c>
      <c r="D856" t="s">
        <v>2841</v>
      </c>
      <c r="E856" t="s">
        <v>1236</v>
      </c>
      <c r="G856" t="str">
        <f>_xlfn.XLOOKUP(frasest[[#This Row],[author_es]],autorest[author_es],autorest[author_la])</f>
        <v>Sententia Vasconica</v>
      </c>
      <c r="H856" t="str">
        <f>_xlfn.XLOOKUP(frasest[[#This Row],[author_es]],autorest[author_es],autorest[bio_es])</f>
        <v>Proverbios de la tradición oral vasca que reflejan la relación con la naturaleza, el trabajo y los valores comunitarios del pueblo vasco.</v>
      </c>
      <c r="I856" t="str">
        <f>_xlfn.XLOOKUP(frasest[[#This Row],[author_es]],autorest[author_es],autorest[bio_la])</f>
        <v>Collectio sententiarum Vasconicarum.</v>
      </c>
      <c r="J856" t="str">
        <f>_xlfn.XLOOKUP(frasest[[#This Row],[author_es]],autorest[author_es],autorest[iso3691])</f>
        <v>eu</v>
      </c>
      <c r="K856" t="str">
        <f>_xlfn.XLOOKUP(frasest[[#This Row],[author_es]],autorest[author_es],autorest[language_es])</f>
        <v>Euskara</v>
      </c>
      <c r="L856" t="str">
        <f>_xlfn.XLOOKUP(frasest[[#This Row],[author_es]],autorest[author_es],autorest[language_la])</f>
        <v>Lingua Vasconica</v>
      </c>
      <c r="M856" t="str">
        <f>_xlfn.XLOOKUP(frasest[[#This Row],[author_es]],autorest[author_es],autorest[nation_es])</f>
        <v>España</v>
      </c>
      <c r="N856" t="str">
        <f>_xlfn.XLOOKUP(frasest[[#This Row],[author_es]],autorest[author_es],autorest[nation_la])</f>
        <v>Hispania</v>
      </c>
      <c r="O856" t="str">
        <f>_xlfn.XLOOKUP(frasest[[#This Row],[author_es]],autorest[author_es],autorest[age_es])</f>
        <v>Epoca Desconocida</v>
      </c>
      <c r="P856" t="str">
        <f>_xlfn.XLOOKUP(frasest[[#This Row],[author_es]],autorest[author_es],autorest[age_la])</f>
        <v>Epocha Ignota</v>
      </c>
      <c r="Q856" t="str">
        <f>_xlfn.XLOOKUP(frasest[[#This Row],[author_es]],autorest[author_es],autorest[image])</f>
        <v>https://i.ibb.co/bjgxB3kn/euskadi.png</v>
      </c>
      <c r="R856">
        <f>_xlfn.XLOOKUP(frasest[[#This Row],[author_es]],autorest[author_es],autorest[image_atr])</f>
        <v>0</v>
      </c>
    </row>
    <row r="857" spans="1:18">
      <c r="A857">
        <v>856</v>
      </c>
      <c r="B857" t="s">
        <v>2842</v>
      </c>
      <c r="C857" t="s">
        <v>2843</v>
      </c>
      <c r="D857" t="s">
        <v>2844</v>
      </c>
      <c r="E857" t="s">
        <v>1236</v>
      </c>
      <c r="G857" t="str">
        <f>_xlfn.XLOOKUP(frasest[[#This Row],[author_es]],autorest[author_es],autorest[author_la])</f>
        <v>Sententia Vasconica</v>
      </c>
      <c r="H857" t="str">
        <f>_xlfn.XLOOKUP(frasest[[#This Row],[author_es]],autorest[author_es],autorest[bio_es])</f>
        <v>Proverbios de la tradición oral vasca que reflejan la relación con la naturaleza, el trabajo y los valores comunitarios del pueblo vasco.</v>
      </c>
      <c r="I857" t="str">
        <f>_xlfn.XLOOKUP(frasest[[#This Row],[author_es]],autorest[author_es],autorest[bio_la])</f>
        <v>Collectio sententiarum Vasconicarum.</v>
      </c>
      <c r="J857" t="str">
        <f>_xlfn.XLOOKUP(frasest[[#This Row],[author_es]],autorest[author_es],autorest[iso3691])</f>
        <v>eu</v>
      </c>
      <c r="K857" t="str">
        <f>_xlfn.XLOOKUP(frasest[[#This Row],[author_es]],autorest[author_es],autorest[language_es])</f>
        <v>Euskara</v>
      </c>
      <c r="L857" t="str">
        <f>_xlfn.XLOOKUP(frasest[[#This Row],[author_es]],autorest[author_es],autorest[language_la])</f>
        <v>Lingua Vasconica</v>
      </c>
      <c r="M857" t="str">
        <f>_xlfn.XLOOKUP(frasest[[#This Row],[author_es]],autorest[author_es],autorest[nation_es])</f>
        <v>España</v>
      </c>
      <c r="N857" t="str">
        <f>_xlfn.XLOOKUP(frasest[[#This Row],[author_es]],autorest[author_es],autorest[nation_la])</f>
        <v>Hispania</v>
      </c>
      <c r="O857" t="str">
        <f>_xlfn.XLOOKUP(frasest[[#This Row],[author_es]],autorest[author_es],autorest[age_es])</f>
        <v>Epoca Desconocida</v>
      </c>
      <c r="P857" t="str">
        <f>_xlfn.XLOOKUP(frasest[[#This Row],[author_es]],autorest[author_es],autorest[age_la])</f>
        <v>Epocha Ignota</v>
      </c>
      <c r="Q857" t="str">
        <f>_xlfn.XLOOKUP(frasest[[#This Row],[author_es]],autorest[author_es],autorest[image])</f>
        <v>https://i.ibb.co/bjgxB3kn/euskadi.png</v>
      </c>
      <c r="R857">
        <f>_xlfn.XLOOKUP(frasest[[#This Row],[author_es]],autorest[author_es],autorest[image_atr])</f>
        <v>0</v>
      </c>
    </row>
    <row r="858" spans="1:18">
      <c r="A858">
        <v>857</v>
      </c>
      <c r="B858" t="s">
        <v>2845</v>
      </c>
      <c r="C858" t="s">
        <v>2846</v>
      </c>
      <c r="D858" t="s">
        <v>2847</v>
      </c>
      <c r="E858" t="s">
        <v>1236</v>
      </c>
      <c r="G858" t="str">
        <f>_xlfn.XLOOKUP(frasest[[#This Row],[author_es]],autorest[author_es],autorest[author_la])</f>
        <v>Sententia Vasconica</v>
      </c>
      <c r="H858" t="str">
        <f>_xlfn.XLOOKUP(frasest[[#This Row],[author_es]],autorest[author_es],autorest[bio_es])</f>
        <v>Proverbios de la tradición oral vasca que reflejan la relación con la naturaleza, el trabajo y los valores comunitarios del pueblo vasco.</v>
      </c>
      <c r="I858" t="str">
        <f>_xlfn.XLOOKUP(frasest[[#This Row],[author_es]],autorest[author_es],autorest[bio_la])</f>
        <v>Collectio sententiarum Vasconicarum.</v>
      </c>
      <c r="J858" t="str">
        <f>_xlfn.XLOOKUP(frasest[[#This Row],[author_es]],autorest[author_es],autorest[iso3691])</f>
        <v>eu</v>
      </c>
      <c r="K858" t="str">
        <f>_xlfn.XLOOKUP(frasest[[#This Row],[author_es]],autorest[author_es],autorest[language_es])</f>
        <v>Euskara</v>
      </c>
      <c r="L858" t="str">
        <f>_xlfn.XLOOKUP(frasest[[#This Row],[author_es]],autorest[author_es],autorest[language_la])</f>
        <v>Lingua Vasconica</v>
      </c>
      <c r="M858" t="str">
        <f>_xlfn.XLOOKUP(frasest[[#This Row],[author_es]],autorest[author_es],autorest[nation_es])</f>
        <v>España</v>
      </c>
      <c r="N858" t="str">
        <f>_xlfn.XLOOKUP(frasest[[#This Row],[author_es]],autorest[author_es],autorest[nation_la])</f>
        <v>Hispania</v>
      </c>
      <c r="O858" t="str">
        <f>_xlfn.XLOOKUP(frasest[[#This Row],[author_es]],autorest[author_es],autorest[age_es])</f>
        <v>Epoca Desconocida</v>
      </c>
      <c r="P858" t="str">
        <f>_xlfn.XLOOKUP(frasest[[#This Row],[author_es]],autorest[author_es],autorest[age_la])</f>
        <v>Epocha Ignota</v>
      </c>
      <c r="Q858" t="str">
        <f>_xlfn.XLOOKUP(frasest[[#This Row],[author_es]],autorest[author_es],autorest[image])</f>
        <v>https://i.ibb.co/bjgxB3kn/euskadi.png</v>
      </c>
      <c r="R858">
        <f>_xlfn.XLOOKUP(frasest[[#This Row],[author_es]],autorest[author_es],autorest[image_atr])</f>
        <v>0</v>
      </c>
    </row>
    <row r="859" spans="1:18">
      <c r="A859">
        <v>858</v>
      </c>
      <c r="B859" t="s">
        <v>2848</v>
      </c>
      <c r="C859" t="s">
        <v>2849</v>
      </c>
      <c r="D859" t="s">
        <v>2850</v>
      </c>
      <c r="E859" t="s">
        <v>1236</v>
      </c>
      <c r="G859" t="str">
        <f>_xlfn.XLOOKUP(frasest[[#This Row],[author_es]],autorest[author_es],autorest[author_la])</f>
        <v>Sententia Vasconica</v>
      </c>
      <c r="H859" t="str">
        <f>_xlfn.XLOOKUP(frasest[[#This Row],[author_es]],autorest[author_es],autorest[bio_es])</f>
        <v>Proverbios de la tradición oral vasca que reflejan la relación con la naturaleza, el trabajo y los valores comunitarios del pueblo vasco.</v>
      </c>
      <c r="I859" t="str">
        <f>_xlfn.XLOOKUP(frasest[[#This Row],[author_es]],autorest[author_es],autorest[bio_la])</f>
        <v>Collectio sententiarum Vasconicarum.</v>
      </c>
      <c r="J859" t="str">
        <f>_xlfn.XLOOKUP(frasest[[#This Row],[author_es]],autorest[author_es],autorest[iso3691])</f>
        <v>eu</v>
      </c>
      <c r="K859" t="str">
        <f>_xlfn.XLOOKUP(frasest[[#This Row],[author_es]],autorest[author_es],autorest[language_es])</f>
        <v>Euskara</v>
      </c>
      <c r="L859" t="str">
        <f>_xlfn.XLOOKUP(frasest[[#This Row],[author_es]],autorest[author_es],autorest[language_la])</f>
        <v>Lingua Vasconica</v>
      </c>
      <c r="M859" t="str">
        <f>_xlfn.XLOOKUP(frasest[[#This Row],[author_es]],autorest[author_es],autorest[nation_es])</f>
        <v>España</v>
      </c>
      <c r="N859" t="str">
        <f>_xlfn.XLOOKUP(frasest[[#This Row],[author_es]],autorest[author_es],autorest[nation_la])</f>
        <v>Hispania</v>
      </c>
      <c r="O859" t="str">
        <f>_xlfn.XLOOKUP(frasest[[#This Row],[author_es]],autorest[author_es],autorest[age_es])</f>
        <v>Epoca Desconocida</v>
      </c>
      <c r="P859" t="str">
        <f>_xlfn.XLOOKUP(frasest[[#This Row],[author_es]],autorest[author_es],autorest[age_la])</f>
        <v>Epocha Ignota</v>
      </c>
      <c r="Q859" t="str">
        <f>_xlfn.XLOOKUP(frasest[[#This Row],[author_es]],autorest[author_es],autorest[image])</f>
        <v>https://i.ibb.co/bjgxB3kn/euskadi.png</v>
      </c>
      <c r="R859">
        <f>_xlfn.XLOOKUP(frasest[[#This Row],[author_es]],autorest[author_es],autorest[image_atr])</f>
        <v>0</v>
      </c>
    </row>
    <row r="860" spans="1:18">
      <c r="A860">
        <v>859</v>
      </c>
      <c r="B860" t="s">
        <v>2851</v>
      </c>
      <c r="C860" t="s">
        <v>2852</v>
      </c>
      <c r="D860" t="s">
        <v>2853</v>
      </c>
      <c r="E860" t="s">
        <v>1236</v>
      </c>
      <c r="G860" t="str">
        <f>_xlfn.XLOOKUP(frasest[[#This Row],[author_es]],autorest[author_es],autorest[author_la])</f>
        <v>Sententia Vasconica</v>
      </c>
      <c r="H860" t="str">
        <f>_xlfn.XLOOKUP(frasest[[#This Row],[author_es]],autorest[author_es],autorest[bio_es])</f>
        <v>Proverbios de la tradición oral vasca que reflejan la relación con la naturaleza, el trabajo y los valores comunitarios del pueblo vasco.</v>
      </c>
      <c r="I860" t="str">
        <f>_xlfn.XLOOKUP(frasest[[#This Row],[author_es]],autorest[author_es],autorest[bio_la])</f>
        <v>Collectio sententiarum Vasconicarum.</v>
      </c>
      <c r="J860" t="str">
        <f>_xlfn.XLOOKUP(frasest[[#This Row],[author_es]],autorest[author_es],autorest[iso3691])</f>
        <v>eu</v>
      </c>
      <c r="K860" t="str">
        <f>_xlfn.XLOOKUP(frasest[[#This Row],[author_es]],autorest[author_es],autorest[language_es])</f>
        <v>Euskara</v>
      </c>
      <c r="L860" t="str">
        <f>_xlfn.XLOOKUP(frasest[[#This Row],[author_es]],autorest[author_es],autorest[language_la])</f>
        <v>Lingua Vasconica</v>
      </c>
      <c r="M860" t="str">
        <f>_xlfn.XLOOKUP(frasest[[#This Row],[author_es]],autorest[author_es],autorest[nation_es])</f>
        <v>España</v>
      </c>
      <c r="N860" t="str">
        <f>_xlfn.XLOOKUP(frasest[[#This Row],[author_es]],autorest[author_es],autorest[nation_la])</f>
        <v>Hispania</v>
      </c>
      <c r="O860" t="str">
        <f>_xlfn.XLOOKUP(frasest[[#This Row],[author_es]],autorest[author_es],autorest[age_es])</f>
        <v>Epoca Desconocida</v>
      </c>
      <c r="P860" t="str">
        <f>_xlfn.XLOOKUP(frasest[[#This Row],[author_es]],autorest[author_es],autorest[age_la])</f>
        <v>Epocha Ignota</v>
      </c>
      <c r="Q860" t="str">
        <f>_xlfn.XLOOKUP(frasest[[#This Row],[author_es]],autorest[author_es],autorest[image])</f>
        <v>https://i.ibb.co/bjgxB3kn/euskadi.png</v>
      </c>
      <c r="R860">
        <f>_xlfn.XLOOKUP(frasest[[#This Row],[author_es]],autorest[author_es],autorest[image_atr])</f>
        <v>0</v>
      </c>
    </row>
    <row r="861" spans="1:18">
      <c r="A861">
        <v>860</v>
      </c>
      <c r="B861" t="s">
        <v>2854</v>
      </c>
      <c r="C861" t="s">
        <v>2855</v>
      </c>
      <c r="D861" t="s">
        <v>2856</v>
      </c>
      <c r="E861" t="s">
        <v>1236</v>
      </c>
      <c r="G861" t="str">
        <f>_xlfn.XLOOKUP(frasest[[#This Row],[author_es]],autorest[author_es],autorest[author_la])</f>
        <v>Sententia Vasconica</v>
      </c>
      <c r="H861" t="str">
        <f>_xlfn.XLOOKUP(frasest[[#This Row],[author_es]],autorest[author_es],autorest[bio_es])</f>
        <v>Proverbios de la tradición oral vasca que reflejan la relación con la naturaleza, el trabajo y los valores comunitarios del pueblo vasco.</v>
      </c>
      <c r="I861" t="str">
        <f>_xlfn.XLOOKUP(frasest[[#This Row],[author_es]],autorest[author_es],autorest[bio_la])</f>
        <v>Collectio sententiarum Vasconicarum.</v>
      </c>
      <c r="J861" t="str">
        <f>_xlfn.XLOOKUP(frasest[[#This Row],[author_es]],autorest[author_es],autorest[iso3691])</f>
        <v>eu</v>
      </c>
      <c r="K861" t="str">
        <f>_xlfn.XLOOKUP(frasest[[#This Row],[author_es]],autorest[author_es],autorest[language_es])</f>
        <v>Euskara</v>
      </c>
      <c r="L861" t="str">
        <f>_xlfn.XLOOKUP(frasest[[#This Row],[author_es]],autorest[author_es],autorest[language_la])</f>
        <v>Lingua Vasconica</v>
      </c>
      <c r="M861" t="str">
        <f>_xlfn.XLOOKUP(frasest[[#This Row],[author_es]],autorest[author_es],autorest[nation_es])</f>
        <v>España</v>
      </c>
      <c r="N861" t="str">
        <f>_xlfn.XLOOKUP(frasest[[#This Row],[author_es]],autorest[author_es],autorest[nation_la])</f>
        <v>Hispania</v>
      </c>
      <c r="O861" t="str">
        <f>_xlfn.XLOOKUP(frasest[[#This Row],[author_es]],autorest[author_es],autorest[age_es])</f>
        <v>Epoca Desconocida</v>
      </c>
      <c r="P861" t="str">
        <f>_xlfn.XLOOKUP(frasest[[#This Row],[author_es]],autorest[author_es],autorest[age_la])</f>
        <v>Epocha Ignota</v>
      </c>
      <c r="Q861" t="str">
        <f>_xlfn.XLOOKUP(frasest[[#This Row],[author_es]],autorest[author_es],autorest[image])</f>
        <v>https://i.ibb.co/bjgxB3kn/euskadi.png</v>
      </c>
      <c r="R861">
        <f>_xlfn.XLOOKUP(frasest[[#This Row],[author_es]],autorest[author_es],autorest[image_atr])</f>
        <v>0</v>
      </c>
    </row>
    <row r="862" spans="1:18">
      <c r="A862">
        <v>861</v>
      </c>
      <c r="B862" t="s">
        <v>2857</v>
      </c>
      <c r="C862" t="s">
        <v>2858</v>
      </c>
      <c r="D862" t="s">
        <v>2859</v>
      </c>
      <c r="E862" t="s">
        <v>1236</v>
      </c>
      <c r="G862" t="str">
        <f>_xlfn.XLOOKUP(frasest[[#This Row],[author_es]],autorest[author_es],autorest[author_la])</f>
        <v>Sententia Vasconica</v>
      </c>
      <c r="H862" t="str">
        <f>_xlfn.XLOOKUP(frasest[[#This Row],[author_es]],autorest[author_es],autorest[bio_es])</f>
        <v>Proverbios de la tradición oral vasca que reflejan la relación con la naturaleza, el trabajo y los valores comunitarios del pueblo vasco.</v>
      </c>
      <c r="I862" t="str">
        <f>_xlfn.XLOOKUP(frasest[[#This Row],[author_es]],autorest[author_es],autorest[bio_la])</f>
        <v>Collectio sententiarum Vasconicarum.</v>
      </c>
      <c r="J862" t="str">
        <f>_xlfn.XLOOKUP(frasest[[#This Row],[author_es]],autorest[author_es],autorest[iso3691])</f>
        <v>eu</v>
      </c>
      <c r="K862" t="str">
        <f>_xlfn.XLOOKUP(frasest[[#This Row],[author_es]],autorest[author_es],autorest[language_es])</f>
        <v>Euskara</v>
      </c>
      <c r="L862" t="str">
        <f>_xlfn.XLOOKUP(frasest[[#This Row],[author_es]],autorest[author_es],autorest[language_la])</f>
        <v>Lingua Vasconica</v>
      </c>
      <c r="M862" t="str">
        <f>_xlfn.XLOOKUP(frasest[[#This Row],[author_es]],autorest[author_es],autorest[nation_es])</f>
        <v>España</v>
      </c>
      <c r="N862" t="str">
        <f>_xlfn.XLOOKUP(frasest[[#This Row],[author_es]],autorest[author_es],autorest[nation_la])</f>
        <v>Hispania</v>
      </c>
      <c r="O862" t="str">
        <f>_xlfn.XLOOKUP(frasest[[#This Row],[author_es]],autorest[author_es],autorest[age_es])</f>
        <v>Epoca Desconocida</v>
      </c>
      <c r="P862" t="str">
        <f>_xlfn.XLOOKUP(frasest[[#This Row],[author_es]],autorest[author_es],autorest[age_la])</f>
        <v>Epocha Ignota</v>
      </c>
      <c r="Q862" t="str">
        <f>_xlfn.XLOOKUP(frasest[[#This Row],[author_es]],autorest[author_es],autorest[image])</f>
        <v>https://i.ibb.co/bjgxB3kn/euskadi.png</v>
      </c>
      <c r="R862">
        <f>_xlfn.XLOOKUP(frasest[[#This Row],[author_es]],autorest[author_es],autorest[image_atr])</f>
        <v>0</v>
      </c>
    </row>
    <row r="863" spans="1:18">
      <c r="A863">
        <v>862</v>
      </c>
      <c r="B863" t="s">
        <v>2860</v>
      </c>
      <c r="C863" t="s">
        <v>2861</v>
      </c>
      <c r="D863" t="s">
        <v>2862</v>
      </c>
      <c r="E863" t="s">
        <v>1236</v>
      </c>
      <c r="G863" t="str">
        <f>_xlfn.XLOOKUP(frasest[[#This Row],[author_es]],autorest[author_es],autorest[author_la])</f>
        <v>Sententia Vasconica</v>
      </c>
      <c r="H863" t="str">
        <f>_xlfn.XLOOKUP(frasest[[#This Row],[author_es]],autorest[author_es],autorest[bio_es])</f>
        <v>Proverbios de la tradición oral vasca que reflejan la relación con la naturaleza, el trabajo y los valores comunitarios del pueblo vasco.</v>
      </c>
      <c r="I863" t="str">
        <f>_xlfn.XLOOKUP(frasest[[#This Row],[author_es]],autorest[author_es],autorest[bio_la])</f>
        <v>Collectio sententiarum Vasconicarum.</v>
      </c>
      <c r="J863" t="str">
        <f>_xlfn.XLOOKUP(frasest[[#This Row],[author_es]],autorest[author_es],autorest[iso3691])</f>
        <v>eu</v>
      </c>
      <c r="K863" t="str">
        <f>_xlfn.XLOOKUP(frasest[[#This Row],[author_es]],autorest[author_es],autorest[language_es])</f>
        <v>Euskara</v>
      </c>
      <c r="L863" t="str">
        <f>_xlfn.XLOOKUP(frasest[[#This Row],[author_es]],autorest[author_es],autorest[language_la])</f>
        <v>Lingua Vasconica</v>
      </c>
      <c r="M863" t="str">
        <f>_xlfn.XLOOKUP(frasest[[#This Row],[author_es]],autorest[author_es],autorest[nation_es])</f>
        <v>España</v>
      </c>
      <c r="N863" t="str">
        <f>_xlfn.XLOOKUP(frasest[[#This Row],[author_es]],autorest[author_es],autorest[nation_la])</f>
        <v>Hispania</v>
      </c>
      <c r="O863" t="str">
        <f>_xlfn.XLOOKUP(frasest[[#This Row],[author_es]],autorest[author_es],autorest[age_es])</f>
        <v>Epoca Desconocida</v>
      </c>
      <c r="P863" t="str">
        <f>_xlfn.XLOOKUP(frasest[[#This Row],[author_es]],autorest[author_es],autorest[age_la])</f>
        <v>Epocha Ignota</v>
      </c>
      <c r="Q863" t="str">
        <f>_xlfn.XLOOKUP(frasest[[#This Row],[author_es]],autorest[author_es],autorest[image])</f>
        <v>https://i.ibb.co/bjgxB3kn/euskadi.png</v>
      </c>
      <c r="R863">
        <f>_xlfn.XLOOKUP(frasest[[#This Row],[author_es]],autorest[author_es],autorest[image_atr])</f>
        <v>0</v>
      </c>
    </row>
    <row r="864" spans="1:18">
      <c r="A864">
        <v>863</v>
      </c>
      <c r="B864" t="s">
        <v>2863</v>
      </c>
      <c r="C864" t="s">
        <v>2864</v>
      </c>
      <c r="D864" t="s">
        <v>2865</v>
      </c>
      <c r="E864" t="s">
        <v>1236</v>
      </c>
      <c r="G864" t="str">
        <f>_xlfn.XLOOKUP(frasest[[#This Row],[author_es]],autorest[author_es],autorest[author_la])</f>
        <v>Sententia Vasconica</v>
      </c>
      <c r="H864" t="str">
        <f>_xlfn.XLOOKUP(frasest[[#This Row],[author_es]],autorest[author_es],autorest[bio_es])</f>
        <v>Proverbios de la tradición oral vasca que reflejan la relación con la naturaleza, el trabajo y los valores comunitarios del pueblo vasco.</v>
      </c>
      <c r="I864" t="str">
        <f>_xlfn.XLOOKUP(frasest[[#This Row],[author_es]],autorest[author_es],autorest[bio_la])</f>
        <v>Collectio sententiarum Vasconicarum.</v>
      </c>
      <c r="J864" t="str">
        <f>_xlfn.XLOOKUP(frasest[[#This Row],[author_es]],autorest[author_es],autorest[iso3691])</f>
        <v>eu</v>
      </c>
      <c r="K864" t="str">
        <f>_xlfn.XLOOKUP(frasest[[#This Row],[author_es]],autorest[author_es],autorest[language_es])</f>
        <v>Euskara</v>
      </c>
      <c r="L864" t="str">
        <f>_xlfn.XLOOKUP(frasest[[#This Row],[author_es]],autorest[author_es],autorest[language_la])</f>
        <v>Lingua Vasconica</v>
      </c>
      <c r="M864" t="str">
        <f>_xlfn.XLOOKUP(frasest[[#This Row],[author_es]],autorest[author_es],autorest[nation_es])</f>
        <v>España</v>
      </c>
      <c r="N864" t="str">
        <f>_xlfn.XLOOKUP(frasest[[#This Row],[author_es]],autorest[author_es],autorest[nation_la])</f>
        <v>Hispania</v>
      </c>
      <c r="O864" t="str">
        <f>_xlfn.XLOOKUP(frasest[[#This Row],[author_es]],autorest[author_es],autorest[age_es])</f>
        <v>Epoca Desconocida</v>
      </c>
      <c r="P864" t="str">
        <f>_xlfn.XLOOKUP(frasest[[#This Row],[author_es]],autorest[author_es],autorest[age_la])</f>
        <v>Epocha Ignota</v>
      </c>
      <c r="Q864" t="str">
        <f>_xlfn.XLOOKUP(frasest[[#This Row],[author_es]],autorest[author_es],autorest[image])</f>
        <v>https://i.ibb.co/bjgxB3kn/euskadi.png</v>
      </c>
      <c r="R864">
        <f>_xlfn.XLOOKUP(frasest[[#This Row],[author_es]],autorest[author_es],autorest[image_atr])</f>
        <v>0</v>
      </c>
    </row>
    <row r="865" spans="1:18">
      <c r="A865">
        <v>864</v>
      </c>
      <c r="B865" t="s">
        <v>2866</v>
      </c>
      <c r="C865" t="s">
        <v>2867</v>
      </c>
      <c r="D865" t="s">
        <v>2868</v>
      </c>
      <c r="E865" t="s">
        <v>1236</v>
      </c>
      <c r="G865" t="str">
        <f>_xlfn.XLOOKUP(frasest[[#This Row],[author_es]],autorest[author_es],autorest[author_la])</f>
        <v>Sententia Vasconica</v>
      </c>
      <c r="H865" t="str">
        <f>_xlfn.XLOOKUP(frasest[[#This Row],[author_es]],autorest[author_es],autorest[bio_es])</f>
        <v>Proverbios de la tradición oral vasca que reflejan la relación con la naturaleza, el trabajo y los valores comunitarios del pueblo vasco.</v>
      </c>
      <c r="I865" t="str">
        <f>_xlfn.XLOOKUP(frasest[[#This Row],[author_es]],autorest[author_es],autorest[bio_la])</f>
        <v>Collectio sententiarum Vasconicarum.</v>
      </c>
      <c r="J865" t="str">
        <f>_xlfn.XLOOKUP(frasest[[#This Row],[author_es]],autorest[author_es],autorest[iso3691])</f>
        <v>eu</v>
      </c>
      <c r="K865" t="str">
        <f>_xlfn.XLOOKUP(frasest[[#This Row],[author_es]],autorest[author_es],autorest[language_es])</f>
        <v>Euskara</v>
      </c>
      <c r="L865" t="str">
        <f>_xlfn.XLOOKUP(frasest[[#This Row],[author_es]],autorest[author_es],autorest[language_la])</f>
        <v>Lingua Vasconica</v>
      </c>
      <c r="M865" t="str">
        <f>_xlfn.XLOOKUP(frasest[[#This Row],[author_es]],autorest[author_es],autorest[nation_es])</f>
        <v>España</v>
      </c>
      <c r="N865" t="str">
        <f>_xlfn.XLOOKUP(frasest[[#This Row],[author_es]],autorest[author_es],autorest[nation_la])</f>
        <v>Hispania</v>
      </c>
      <c r="O865" t="str">
        <f>_xlfn.XLOOKUP(frasest[[#This Row],[author_es]],autorest[author_es],autorest[age_es])</f>
        <v>Epoca Desconocida</v>
      </c>
      <c r="P865" t="str">
        <f>_xlfn.XLOOKUP(frasest[[#This Row],[author_es]],autorest[author_es],autorest[age_la])</f>
        <v>Epocha Ignota</v>
      </c>
      <c r="Q865" t="str">
        <f>_xlfn.XLOOKUP(frasest[[#This Row],[author_es]],autorest[author_es],autorest[image])</f>
        <v>https://i.ibb.co/bjgxB3kn/euskadi.png</v>
      </c>
      <c r="R865">
        <f>_xlfn.XLOOKUP(frasest[[#This Row],[author_es]],autorest[author_es],autorest[image_atr])</f>
        <v>0</v>
      </c>
    </row>
    <row r="866" spans="1:18">
      <c r="A866">
        <v>865</v>
      </c>
      <c r="B866" t="s">
        <v>2869</v>
      </c>
      <c r="C866" t="s">
        <v>2870</v>
      </c>
      <c r="D866" t="s">
        <v>2871</v>
      </c>
      <c r="E866" t="s">
        <v>1236</v>
      </c>
      <c r="G866" t="str">
        <f>_xlfn.XLOOKUP(frasest[[#This Row],[author_es]],autorest[author_es],autorest[author_la])</f>
        <v>Sententia Vasconica</v>
      </c>
      <c r="H866" t="str">
        <f>_xlfn.XLOOKUP(frasest[[#This Row],[author_es]],autorest[author_es],autorest[bio_es])</f>
        <v>Proverbios de la tradición oral vasca que reflejan la relación con la naturaleza, el trabajo y los valores comunitarios del pueblo vasco.</v>
      </c>
      <c r="I866" t="str">
        <f>_xlfn.XLOOKUP(frasest[[#This Row],[author_es]],autorest[author_es],autorest[bio_la])</f>
        <v>Collectio sententiarum Vasconicarum.</v>
      </c>
      <c r="J866" t="str">
        <f>_xlfn.XLOOKUP(frasest[[#This Row],[author_es]],autorest[author_es],autorest[iso3691])</f>
        <v>eu</v>
      </c>
      <c r="K866" t="str">
        <f>_xlfn.XLOOKUP(frasest[[#This Row],[author_es]],autorest[author_es],autorest[language_es])</f>
        <v>Euskara</v>
      </c>
      <c r="L866" t="str">
        <f>_xlfn.XLOOKUP(frasest[[#This Row],[author_es]],autorest[author_es],autorest[language_la])</f>
        <v>Lingua Vasconica</v>
      </c>
      <c r="M866" t="str">
        <f>_xlfn.XLOOKUP(frasest[[#This Row],[author_es]],autorest[author_es],autorest[nation_es])</f>
        <v>España</v>
      </c>
      <c r="N866" t="str">
        <f>_xlfn.XLOOKUP(frasest[[#This Row],[author_es]],autorest[author_es],autorest[nation_la])</f>
        <v>Hispania</v>
      </c>
      <c r="O866" t="str">
        <f>_xlfn.XLOOKUP(frasest[[#This Row],[author_es]],autorest[author_es],autorest[age_es])</f>
        <v>Epoca Desconocida</v>
      </c>
      <c r="P866" t="str">
        <f>_xlfn.XLOOKUP(frasest[[#This Row],[author_es]],autorest[author_es],autorest[age_la])</f>
        <v>Epocha Ignota</v>
      </c>
      <c r="Q866" t="str">
        <f>_xlfn.XLOOKUP(frasest[[#This Row],[author_es]],autorest[author_es],autorest[image])</f>
        <v>https://i.ibb.co/bjgxB3kn/euskadi.png</v>
      </c>
      <c r="R866">
        <f>_xlfn.XLOOKUP(frasest[[#This Row],[author_es]],autorest[author_es],autorest[image_atr])</f>
        <v>0</v>
      </c>
    </row>
    <row r="867" spans="1:18">
      <c r="A867">
        <v>866</v>
      </c>
      <c r="B867" t="s">
        <v>2872</v>
      </c>
      <c r="C867" t="s">
        <v>2873</v>
      </c>
      <c r="D867" t="s">
        <v>2874</v>
      </c>
      <c r="E867" t="s">
        <v>1236</v>
      </c>
      <c r="G867" t="str">
        <f>_xlfn.XLOOKUP(frasest[[#This Row],[author_es]],autorest[author_es],autorest[author_la])</f>
        <v>Sententia Vasconica</v>
      </c>
      <c r="H867" t="str">
        <f>_xlfn.XLOOKUP(frasest[[#This Row],[author_es]],autorest[author_es],autorest[bio_es])</f>
        <v>Proverbios de la tradición oral vasca que reflejan la relación con la naturaleza, el trabajo y los valores comunitarios del pueblo vasco.</v>
      </c>
      <c r="I867" t="str">
        <f>_xlfn.XLOOKUP(frasest[[#This Row],[author_es]],autorest[author_es],autorest[bio_la])</f>
        <v>Collectio sententiarum Vasconicarum.</v>
      </c>
      <c r="J867" t="str">
        <f>_xlfn.XLOOKUP(frasest[[#This Row],[author_es]],autorest[author_es],autorest[iso3691])</f>
        <v>eu</v>
      </c>
      <c r="K867" t="str">
        <f>_xlfn.XLOOKUP(frasest[[#This Row],[author_es]],autorest[author_es],autorest[language_es])</f>
        <v>Euskara</v>
      </c>
      <c r="L867" t="str">
        <f>_xlfn.XLOOKUP(frasest[[#This Row],[author_es]],autorest[author_es],autorest[language_la])</f>
        <v>Lingua Vasconica</v>
      </c>
      <c r="M867" t="str">
        <f>_xlfn.XLOOKUP(frasest[[#This Row],[author_es]],autorest[author_es],autorest[nation_es])</f>
        <v>España</v>
      </c>
      <c r="N867" t="str">
        <f>_xlfn.XLOOKUP(frasest[[#This Row],[author_es]],autorest[author_es],autorest[nation_la])</f>
        <v>Hispania</v>
      </c>
      <c r="O867" t="str">
        <f>_xlfn.XLOOKUP(frasest[[#This Row],[author_es]],autorest[author_es],autorest[age_es])</f>
        <v>Epoca Desconocida</v>
      </c>
      <c r="P867" t="str">
        <f>_xlfn.XLOOKUP(frasest[[#This Row],[author_es]],autorest[author_es],autorest[age_la])</f>
        <v>Epocha Ignota</v>
      </c>
      <c r="Q867" t="str">
        <f>_xlfn.XLOOKUP(frasest[[#This Row],[author_es]],autorest[author_es],autorest[image])</f>
        <v>https://i.ibb.co/bjgxB3kn/euskadi.png</v>
      </c>
      <c r="R867">
        <f>_xlfn.XLOOKUP(frasest[[#This Row],[author_es]],autorest[author_es],autorest[image_atr])</f>
        <v>0</v>
      </c>
    </row>
    <row r="868" spans="1:18">
      <c r="A868">
        <v>867</v>
      </c>
      <c r="B868" t="s">
        <v>2875</v>
      </c>
      <c r="C868" t="s">
        <v>2876</v>
      </c>
      <c r="D868" t="s">
        <v>2877</v>
      </c>
      <c r="E868" t="s">
        <v>1236</v>
      </c>
      <c r="G868" t="str">
        <f>_xlfn.XLOOKUP(frasest[[#This Row],[author_es]],autorest[author_es],autorest[author_la])</f>
        <v>Sententia Vasconica</v>
      </c>
      <c r="H868" t="str">
        <f>_xlfn.XLOOKUP(frasest[[#This Row],[author_es]],autorest[author_es],autorest[bio_es])</f>
        <v>Proverbios de la tradición oral vasca que reflejan la relación con la naturaleza, el trabajo y los valores comunitarios del pueblo vasco.</v>
      </c>
      <c r="I868" t="str">
        <f>_xlfn.XLOOKUP(frasest[[#This Row],[author_es]],autorest[author_es],autorest[bio_la])</f>
        <v>Collectio sententiarum Vasconicarum.</v>
      </c>
      <c r="J868" t="str">
        <f>_xlfn.XLOOKUP(frasest[[#This Row],[author_es]],autorest[author_es],autorest[iso3691])</f>
        <v>eu</v>
      </c>
      <c r="K868" t="str">
        <f>_xlfn.XLOOKUP(frasest[[#This Row],[author_es]],autorest[author_es],autorest[language_es])</f>
        <v>Euskara</v>
      </c>
      <c r="L868" t="str">
        <f>_xlfn.XLOOKUP(frasest[[#This Row],[author_es]],autorest[author_es],autorest[language_la])</f>
        <v>Lingua Vasconica</v>
      </c>
      <c r="M868" t="str">
        <f>_xlfn.XLOOKUP(frasest[[#This Row],[author_es]],autorest[author_es],autorest[nation_es])</f>
        <v>España</v>
      </c>
      <c r="N868" t="str">
        <f>_xlfn.XLOOKUP(frasest[[#This Row],[author_es]],autorest[author_es],autorest[nation_la])</f>
        <v>Hispania</v>
      </c>
      <c r="O868" t="str">
        <f>_xlfn.XLOOKUP(frasest[[#This Row],[author_es]],autorest[author_es],autorest[age_es])</f>
        <v>Epoca Desconocida</v>
      </c>
      <c r="P868" t="str">
        <f>_xlfn.XLOOKUP(frasest[[#This Row],[author_es]],autorest[author_es],autorest[age_la])</f>
        <v>Epocha Ignota</v>
      </c>
      <c r="Q868" t="str">
        <f>_xlfn.XLOOKUP(frasest[[#This Row],[author_es]],autorest[author_es],autorest[image])</f>
        <v>https://i.ibb.co/bjgxB3kn/euskadi.png</v>
      </c>
      <c r="R868">
        <f>_xlfn.XLOOKUP(frasest[[#This Row],[author_es]],autorest[author_es],autorest[image_atr])</f>
        <v>0</v>
      </c>
    </row>
    <row r="869" spans="1:18">
      <c r="A869">
        <v>868</v>
      </c>
      <c r="B869" t="s">
        <v>2878</v>
      </c>
      <c r="C869" t="s">
        <v>2879</v>
      </c>
      <c r="D869" t="s">
        <v>2880</v>
      </c>
      <c r="E869" t="s">
        <v>1236</v>
      </c>
      <c r="G869" t="str">
        <f>_xlfn.XLOOKUP(frasest[[#This Row],[author_es]],autorest[author_es],autorest[author_la])</f>
        <v>Sententia Vasconica</v>
      </c>
      <c r="H869" t="str">
        <f>_xlfn.XLOOKUP(frasest[[#This Row],[author_es]],autorest[author_es],autorest[bio_es])</f>
        <v>Proverbios de la tradición oral vasca que reflejan la relación con la naturaleza, el trabajo y los valores comunitarios del pueblo vasco.</v>
      </c>
      <c r="I869" t="str">
        <f>_xlfn.XLOOKUP(frasest[[#This Row],[author_es]],autorest[author_es],autorest[bio_la])</f>
        <v>Collectio sententiarum Vasconicarum.</v>
      </c>
      <c r="J869" t="str">
        <f>_xlfn.XLOOKUP(frasest[[#This Row],[author_es]],autorest[author_es],autorest[iso3691])</f>
        <v>eu</v>
      </c>
      <c r="K869" t="str">
        <f>_xlfn.XLOOKUP(frasest[[#This Row],[author_es]],autorest[author_es],autorest[language_es])</f>
        <v>Euskara</v>
      </c>
      <c r="L869" t="str">
        <f>_xlfn.XLOOKUP(frasest[[#This Row],[author_es]],autorest[author_es],autorest[language_la])</f>
        <v>Lingua Vasconica</v>
      </c>
      <c r="M869" t="str">
        <f>_xlfn.XLOOKUP(frasest[[#This Row],[author_es]],autorest[author_es],autorest[nation_es])</f>
        <v>España</v>
      </c>
      <c r="N869" t="str">
        <f>_xlfn.XLOOKUP(frasest[[#This Row],[author_es]],autorest[author_es],autorest[nation_la])</f>
        <v>Hispania</v>
      </c>
      <c r="O869" t="str">
        <f>_xlfn.XLOOKUP(frasest[[#This Row],[author_es]],autorest[author_es],autorest[age_es])</f>
        <v>Epoca Desconocida</v>
      </c>
      <c r="P869" t="str">
        <f>_xlfn.XLOOKUP(frasest[[#This Row],[author_es]],autorest[author_es],autorest[age_la])</f>
        <v>Epocha Ignota</v>
      </c>
      <c r="Q869" t="str">
        <f>_xlfn.XLOOKUP(frasest[[#This Row],[author_es]],autorest[author_es],autorest[image])</f>
        <v>https://i.ibb.co/bjgxB3kn/euskadi.png</v>
      </c>
      <c r="R869">
        <f>_xlfn.XLOOKUP(frasest[[#This Row],[author_es]],autorest[author_es],autorest[image_atr])</f>
        <v>0</v>
      </c>
    </row>
    <row r="870" spans="1:18">
      <c r="A870">
        <v>869</v>
      </c>
      <c r="B870" t="s">
        <v>2881</v>
      </c>
      <c r="C870" t="s">
        <v>2882</v>
      </c>
      <c r="D870" t="s">
        <v>2883</v>
      </c>
      <c r="E870" t="s">
        <v>1236</v>
      </c>
      <c r="G870" t="str">
        <f>_xlfn.XLOOKUP(frasest[[#This Row],[author_es]],autorest[author_es],autorest[author_la])</f>
        <v>Sententia Vasconica</v>
      </c>
      <c r="H870" t="str">
        <f>_xlfn.XLOOKUP(frasest[[#This Row],[author_es]],autorest[author_es],autorest[bio_es])</f>
        <v>Proverbios de la tradición oral vasca que reflejan la relación con la naturaleza, el trabajo y los valores comunitarios del pueblo vasco.</v>
      </c>
      <c r="I870" t="str">
        <f>_xlfn.XLOOKUP(frasest[[#This Row],[author_es]],autorest[author_es],autorest[bio_la])</f>
        <v>Collectio sententiarum Vasconicarum.</v>
      </c>
      <c r="J870" t="str">
        <f>_xlfn.XLOOKUP(frasest[[#This Row],[author_es]],autorest[author_es],autorest[iso3691])</f>
        <v>eu</v>
      </c>
      <c r="K870" t="str">
        <f>_xlfn.XLOOKUP(frasest[[#This Row],[author_es]],autorest[author_es],autorest[language_es])</f>
        <v>Euskara</v>
      </c>
      <c r="L870" t="str">
        <f>_xlfn.XLOOKUP(frasest[[#This Row],[author_es]],autorest[author_es],autorest[language_la])</f>
        <v>Lingua Vasconica</v>
      </c>
      <c r="M870" t="str">
        <f>_xlfn.XLOOKUP(frasest[[#This Row],[author_es]],autorest[author_es],autorest[nation_es])</f>
        <v>España</v>
      </c>
      <c r="N870" t="str">
        <f>_xlfn.XLOOKUP(frasest[[#This Row],[author_es]],autorest[author_es],autorest[nation_la])</f>
        <v>Hispania</v>
      </c>
      <c r="O870" t="str">
        <f>_xlfn.XLOOKUP(frasest[[#This Row],[author_es]],autorest[author_es],autorest[age_es])</f>
        <v>Epoca Desconocida</v>
      </c>
      <c r="P870" t="str">
        <f>_xlfn.XLOOKUP(frasest[[#This Row],[author_es]],autorest[author_es],autorest[age_la])</f>
        <v>Epocha Ignota</v>
      </c>
      <c r="Q870" t="str">
        <f>_xlfn.XLOOKUP(frasest[[#This Row],[author_es]],autorest[author_es],autorest[image])</f>
        <v>https://i.ibb.co/bjgxB3kn/euskadi.png</v>
      </c>
      <c r="R870">
        <f>_xlfn.XLOOKUP(frasest[[#This Row],[author_es]],autorest[author_es],autorest[image_atr])</f>
        <v>0</v>
      </c>
    </row>
    <row r="871" spans="1:18">
      <c r="A871">
        <v>870</v>
      </c>
      <c r="B871" t="s">
        <v>2884</v>
      </c>
      <c r="C871" t="s">
        <v>2885</v>
      </c>
      <c r="D871" t="s">
        <v>2886</v>
      </c>
      <c r="E871" t="s">
        <v>1236</v>
      </c>
      <c r="G871" t="str">
        <f>_xlfn.XLOOKUP(frasest[[#This Row],[author_es]],autorest[author_es],autorest[author_la])</f>
        <v>Sententia Vasconica</v>
      </c>
      <c r="H871" t="str">
        <f>_xlfn.XLOOKUP(frasest[[#This Row],[author_es]],autorest[author_es],autorest[bio_es])</f>
        <v>Proverbios de la tradición oral vasca que reflejan la relación con la naturaleza, el trabajo y los valores comunitarios del pueblo vasco.</v>
      </c>
      <c r="I871" t="str">
        <f>_xlfn.XLOOKUP(frasest[[#This Row],[author_es]],autorest[author_es],autorest[bio_la])</f>
        <v>Collectio sententiarum Vasconicarum.</v>
      </c>
      <c r="J871" t="str">
        <f>_xlfn.XLOOKUP(frasest[[#This Row],[author_es]],autorest[author_es],autorest[iso3691])</f>
        <v>eu</v>
      </c>
      <c r="K871" t="str">
        <f>_xlfn.XLOOKUP(frasest[[#This Row],[author_es]],autorest[author_es],autorest[language_es])</f>
        <v>Euskara</v>
      </c>
      <c r="L871" t="str">
        <f>_xlfn.XLOOKUP(frasest[[#This Row],[author_es]],autorest[author_es],autorest[language_la])</f>
        <v>Lingua Vasconica</v>
      </c>
      <c r="M871" t="str">
        <f>_xlfn.XLOOKUP(frasest[[#This Row],[author_es]],autorest[author_es],autorest[nation_es])</f>
        <v>España</v>
      </c>
      <c r="N871" t="str">
        <f>_xlfn.XLOOKUP(frasest[[#This Row],[author_es]],autorest[author_es],autorest[nation_la])</f>
        <v>Hispania</v>
      </c>
      <c r="O871" t="str">
        <f>_xlfn.XLOOKUP(frasest[[#This Row],[author_es]],autorest[author_es],autorest[age_es])</f>
        <v>Epoca Desconocida</v>
      </c>
      <c r="P871" t="str">
        <f>_xlfn.XLOOKUP(frasest[[#This Row],[author_es]],autorest[author_es],autorest[age_la])</f>
        <v>Epocha Ignota</v>
      </c>
      <c r="Q871" t="str">
        <f>_xlfn.XLOOKUP(frasest[[#This Row],[author_es]],autorest[author_es],autorest[image])</f>
        <v>https://i.ibb.co/bjgxB3kn/euskadi.png</v>
      </c>
      <c r="R871">
        <f>_xlfn.XLOOKUP(frasest[[#This Row],[author_es]],autorest[author_es],autorest[image_atr])</f>
        <v>0</v>
      </c>
    </row>
    <row r="872" spans="1:18">
      <c r="A872">
        <v>871</v>
      </c>
      <c r="B872" t="s">
        <v>2887</v>
      </c>
      <c r="C872" t="s">
        <v>2888</v>
      </c>
      <c r="D872" t="s">
        <v>2889</v>
      </c>
      <c r="E872" t="s">
        <v>1236</v>
      </c>
      <c r="G872" t="str">
        <f>_xlfn.XLOOKUP(frasest[[#This Row],[author_es]],autorest[author_es],autorest[author_la])</f>
        <v>Sententia Vasconica</v>
      </c>
      <c r="H872" t="str">
        <f>_xlfn.XLOOKUP(frasest[[#This Row],[author_es]],autorest[author_es],autorest[bio_es])</f>
        <v>Proverbios de la tradición oral vasca que reflejan la relación con la naturaleza, el trabajo y los valores comunitarios del pueblo vasco.</v>
      </c>
      <c r="I872" t="str">
        <f>_xlfn.XLOOKUP(frasest[[#This Row],[author_es]],autorest[author_es],autorest[bio_la])</f>
        <v>Collectio sententiarum Vasconicarum.</v>
      </c>
      <c r="J872" t="str">
        <f>_xlfn.XLOOKUP(frasest[[#This Row],[author_es]],autorest[author_es],autorest[iso3691])</f>
        <v>eu</v>
      </c>
      <c r="K872" t="str">
        <f>_xlfn.XLOOKUP(frasest[[#This Row],[author_es]],autorest[author_es],autorest[language_es])</f>
        <v>Euskara</v>
      </c>
      <c r="L872" t="str">
        <f>_xlfn.XLOOKUP(frasest[[#This Row],[author_es]],autorest[author_es],autorest[language_la])</f>
        <v>Lingua Vasconica</v>
      </c>
      <c r="M872" t="str">
        <f>_xlfn.XLOOKUP(frasest[[#This Row],[author_es]],autorest[author_es],autorest[nation_es])</f>
        <v>España</v>
      </c>
      <c r="N872" t="str">
        <f>_xlfn.XLOOKUP(frasest[[#This Row],[author_es]],autorest[author_es],autorest[nation_la])</f>
        <v>Hispania</v>
      </c>
      <c r="O872" t="str">
        <f>_xlfn.XLOOKUP(frasest[[#This Row],[author_es]],autorest[author_es],autorest[age_es])</f>
        <v>Epoca Desconocida</v>
      </c>
      <c r="P872" t="str">
        <f>_xlfn.XLOOKUP(frasest[[#This Row],[author_es]],autorest[author_es],autorest[age_la])</f>
        <v>Epocha Ignota</v>
      </c>
      <c r="Q872" t="str">
        <f>_xlfn.XLOOKUP(frasest[[#This Row],[author_es]],autorest[author_es],autorest[image])</f>
        <v>https://i.ibb.co/bjgxB3kn/euskadi.png</v>
      </c>
      <c r="R872">
        <f>_xlfn.XLOOKUP(frasest[[#This Row],[author_es]],autorest[author_es],autorest[image_atr])</f>
        <v>0</v>
      </c>
    </row>
    <row r="873" spans="1:18">
      <c r="A873">
        <v>872</v>
      </c>
      <c r="B873" t="s">
        <v>2890</v>
      </c>
      <c r="C873" t="s">
        <v>2891</v>
      </c>
      <c r="D873" t="s">
        <v>2892</v>
      </c>
      <c r="E873" t="s">
        <v>1236</v>
      </c>
      <c r="G873" t="str">
        <f>_xlfn.XLOOKUP(frasest[[#This Row],[author_es]],autorest[author_es],autorest[author_la])</f>
        <v>Sententia Vasconica</v>
      </c>
      <c r="H873" t="str">
        <f>_xlfn.XLOOKUP(frasest[[#This Row],[author_es]],autorest[author_es],autorest[bio_es])</f>
        <v>Proverbios de la tradición oral vasca que reflejan la relación con la naturaleza, el trabajo y los valores comunitarios del pueblo vasco.</v>
      </c>
      <c r="I873" t="str">
        <f>_xlfn.XLOOKUP(frasest[[#This Row],[author_es]],autorest[author_es],autorest[bio_la])</f>
        <v>Collectio sententiarum Vasconicarum.</v>
      </c>
      <c r="J873" t="str">
        <f>_xlfn.XLOOKUP(frasest[[#This Row],[author_es]],autorest[author_es],autorest[iso3691])</f>
        <v>eu</v>
      </c>
      <c r="K873" t="str">
        <f>_xlfn.XLOOKUP(frasest[[#This Row],[author_es]],autorest[author_es],autorest[language_es])</f>
        <v>Euskara</v>
      </c>
      <c r="L873" t="str">
        <f>_xlfn.XLOOKUP(frasest[[#This Row],[author_es]],autorest[author_es],autorest[language_la])</f>
        <v>Lingua Vasconica</v>
      </c>
      <c r="M873" t="str">
        <f>_xlfn.XLOOKUP(frasest[[#This Row],[author_es]],autorest[author_es],autorest[nation_es])</f>
        <v>España</v>
      </c>
      <c r="N873" t="str">
        <f>_xlfn.XLOOKUP(frasest[[#This Row],[author_es]],autorest[author_es],autorest[nation_la])</f>
        <v>Hispania</v>
      </c>
      <c r="O873" t="str">
        <f>_xlfn.XLOOKUP(frasest[[#This Row],[author_es]],autorest[author_es],autorest[age_es])</f>
        <v>Epoca Desconocida</v>
      </c>
      <c r="P873" t="str">
        <f>_xlfn.XLOOKUP(frasest[[#This Row],[author_es]],autorest[author_es],autorest[age_la])</f>
        <v>Epocha Ignota</v>
      </c>
      <c r="Q873" t="str">
        <f>_xlfn.XLOOKUP(frasest[[#This Row],[author_es]],autorest[author_es],autorest[image])</f>
        <v>https://i.ibb.co/bjgxB3kn/euskadi.png</v>
      </c>
      <c r="R873">
        <f>_xlfn.XLOOKUP(frasest[[#This Row],[author_es]],autorest[author_es],autorest[image_atr])</f>
        <v>0</v>
      </c>
    </row>
    <row r="874" spans="1:18">
      <c r="A874">
        <v>873</v>
      </c>
      <c r="B874" t="s">
        <v>2893</v>
      </c>
      <c r="C874" t="s">
        <v>2894</v>
      </c>
      <c r="D874" t="s">
        <v>2895</v>
      </c>
      <c r="E874" t="s">
        <v>1236</v>
      </c>
      <c r="G874" t="str">
        <f>_xlfn.XLOOKUP(frasest[[#This Row],[author_es]],autorest[author_es],autorest[author_la])</f>
        <v>Sententia Vasconica</v>
      </c>
      <c r="H874" t="str">
        <f>_xlfn.XLOOKUP(frasest[[#This Row],[author_es]],autorest[author_es],autorest[bio_es])</f>
        <v>Proverbios de la tradición oral vasca que reflejan la relación con la naturaleza, el trabajo y los valores comunitarios del pueblo vasco.</v>
      </c>
      <c r="I874" t="str">
        <f>_xlfn.XLOOKUP(frasest[[#This Row],[author_es]],autorest[author_es],autorest[bio_la])</f>
        <v>Collectio sententiarum Vasconicarum.</v>
      </c>
      <c r="J874" t="str">
        <f>_xlfn.XLOOKUP(frasest[[#This Row],[author_es]],autorest[author_es],autorest[iso3691])</f>
        <v>eu</v>
      </c>
      <c r="K874" t="str">
        <f>_xlfn.XLOOKUP(frasest[[#This Row],[author_es]],autorest[author_es],autorest[language_es])</f>
        <v>Euskara</v>
      </c>
      <c r="L874" t="str">
        <f>_xlfn.XLOOKUP(frasest[[#This Row],[author_es]],autorest[author_es],autorest[language_la])</f>
        <v>Lingua Vasconica</v>
      </c>
      <c r="M874" t="str">
        <f>_xlfn.XLOOKUP(frasest[[#This Row],[author_es]],autorest[author_es],autorest[nation_es])</f>
        <v>España</v>
      </c>
      <c r="N874" t="str">
        <f>_xlfn.XLOOKUP(frasest[[#This Row],[author_es]],autorest[author_es],autorest[nation_la])</f>
        <v>Hispania</v>
      </c>
      <c r="O874" t="str">
        <f>_xlfn.XLOOKUP(frasest[[#This Row],[author_es]],autorest[author_es],autorest[age_es])</f>
        <v>Epoca Desconocida</v>
      </c>
      <c r="P874" t="str">
        <f>_xlfn.XLOOKUP(frasest[[#This Row],[author_es]],autorest[author_es],autorest[age_la])</f>
        <v>Epocha Ignota</v>
      </c>
      <c r="Q874" t="str">
        <f>_xlfn.XLOOKUP(frasest[[#This Row],[author_es]],autorest[author_es],autorest[image])</f>
        <v>https://i.ibb.co/bjgxB3kn/euskadi.png</v>
      </c>
      <c r="R874">
        <f>_xlfn.XLOOKUP(frasest[[#This Row],[author_es]],autorest[author_es],autorest[image_atr])</f>
        <v>0</v>
      </c>
    </row>
    <row r="875" spans="1:18">
      <c r="A875">
        <v>874</v>
      </c>
      <c r="B875" t="s">
        <v>2896</v>
      </c>
      <c r="C875" t="s">
        <v>2897</v>
      </c>
      <c r="D875" t="s">
        <v>2898</v>
      </c>
      <c r="E875" t="s">
        <v>1236</v>
      </c>
      <c r="G875" t="str">
        <f>_xlfn.XLOOKUP(frasest[[#This Row],[author_es]],autorest[author_es],autorest[author_la])</f>
        <v>Sententia Vasconica</v>
      </c>
      <c r="H875" t="str">
        <f>_xlfn.XLOOKUP(frasest[[#This Row],[author_es]],autorest[author_es],autorest[bio_es])</f>
        <v>Proverbios de la tradición oral vasca que reflejan la relación con la naturaleza, el trabajo y los valores comunitarios del pueblo vasco.</v>
      </c>
      <c r="I875" t="str">
        <f>_xlfn.XLOOKUP(frasest[[#This Row],[author_es]],autorest[author_es],autorest[bio_la])</f>
        <v>Collectio sententiarum Vasconicarum.</v>
      </c>
      <c r="J875" t="str">
        <f>_xlfn.XLOOKUP(frasest[[#This Row],[author_es]],autorest[author_es],autorest[iso3691])</f>
        <v>eu</v>
      </c>
      <c r="K875" t="str">
        <f>_xlfn.XLOOKUP(frasest[[#This Row],[author_es]],autorest[author_es],autorest[language_es])</f>
        <v>Euskara</v>
      </c>
      <c r="L875" t="str">
        <f>_xlfn.XLOOKUP(frasest[[#This Row],[author_es]],autorest[author_es],autorest[language_la])</f>
        <v>Lingua Vasconica</v>
      </c>
      <c r="M875" t="str">
        <f>_xlfn.XLOOKUP(frasest[[#This Row],[author_es]],autorest[author_es],autorest[nation_es])</f>
        <v>España</v>
      </c>
      <c r="N875" t="str">
        <f>_xlfn.XLOOKUP(frasest[[#This Row],[author_es]],autorest[author_es],autorest[nation_la])</f>
        <v>Hispania</v>
      </c>
      <c r="O875" t="str">
        <f>_xlfn.XLOOKUP(frasest[[#This Row],[author_es]],autorest[author_es],autorest[age_es])</f>
        <v>Epoca Desconocida</v>
      </c>
      <c r="P875" t="str">
        <f>_xlfn.XLOOKUP(frasest[[#This Row],[author_es]],autorest[author_es],autorest[age_la])</f>
        <v>Epocha Ignota</v>
      </c>
      <c r="Q875" t="str">
        <f>_xlfn.XLOOKUP(frasest[[#This Row],[author_es]],autorest[author_es],autorest[image])</f>
        <v>https://i.ibb.co/bjgxB3kn/euskadi.png</v>
      </c>
      <c r="R875">
        <f>_xlfn.XLOOKUP(frasest[[#This Row],[author_es]],autorest[author_es],autorest[image_atr])</f>
        <v>0</v>
      </c>
    </row>
    <row r="876" spans="1:18">
      <c r="A876">
        <v>875</v>
      </c>
      <c r="B876" t="s">
        <v>2899</v>
      </c>
      <c r="C876" t="s">
        <v>2900</v>
      </c>
      <c r="D876" t="s">
        <v>2901</v>
      </c>
      <c r="E876" t="s">
        <v>1236</v>
      </c>
      <c r="G876" t="str">
        <f>_xlfn.XLOOKUP(frasest[[#This Row],[author_es]],autorest[author_es],autorest[author_la])</f>
        <v>Sententia Vasconica</v>
      </c>
      <c r="H876" t="str">
        <f>_xlfn.XLOOKUP(frasest[[#This Row],[author_es]],autorest[author_es],autorest[bio_es])</f>
        <v>Proverbios de la tradición oral vasca que reflejan la relación con la naturaleza, el trabajo y los valores comunitarios del pueblo vasco.</v>
      </c>
      <c r="I876" t="str">
        <f>_xlfn.XLOOKUP(frasest[[#This Row],[author_es]],autorest[author_es],autorest[bio_la])</f>
        <v>Collectio sententiarum Vasconicarum.</v>
      </c>
      <c r="J876" t="str">
        <f>_xlfn.XLOOKUP(frasest[[#This Row],[author_es]],autorest[author_es],autorest[iso3691])</f>
        <v>eu</v>
      </c>
      <c r="K876" t="str">
        <f>_xlfn.XLOOKUP(frasest[[#This Row],[author_es]],autorest[author_es],autorest[language_es])</f>
        <v>Euskara</v>
      </c>
      <c r="L876" t="str">
        <f>_xlfn.XLOOKUP(frasest[[#This Row],[author_es]],autorest[author_es],autorest[language_la])</f>
        <v>Lingua Vasconica</v>
      </c>
      <c r="M876" t="str">
        <f>_xlfn.XLOOKUP(frasest[[#This Row],[author_es]],autorest[author_es],autorest[nation_es])</f>
        <v>España</v>
      </c>
      <c r="N876" t="str">
        <f>_xlfn.XLOOKUP(frasest[[#This Row],[author_es]],autorest[author_es],autorest[nation_la])</f>
        <v>Hispania</v>
      </c>
      <c r="O876" t="str">
        <f>_xlfn.XLOOKUP(frasest[[#This Row],[author_es]],autorest[author_es],autorest[age_es])</f>
        <v>Epoca Desconocida</v>
      </c>
      <c r="P876" t="str">
        <f>_xlfn.XLOOKUP(frasest[[#This Row],[author_es]],autorest[author_es],autorest[age_la])</f>
        <v>Epocha Ignota</v>
      </c>
      <c r="Q876" t="str">
        <f>_xlfn.XLOOKUP(frasest[[#This Row],[author_es]],autorest[author_es],autorest[image])</f>
        <v>https://i.ibb.co/bjgxB3kn/euskadi.png</v>
      </c>
      <c r="R876">
        <f>_xlfn.XLOOKUP(frasest[[#This Row],[author_es]],autorest[author_es],autorest[image_atr])</f>
        <v>0</v>
      </c>
    </row>
    <row r="877" spans="1:18">
      <c r="A877">
        <v>876</v>
      </c>
      <c r="B877" t="s">
        <v>2902</v>
      </c>
      <c r="C877" t="s">
        <v>2903</v>
      </c>
      <c r="D877" t="s">
        <v>2904</v>
      </c>
      <c r="E877" t="s">
        <v>1236</v>
      </c>
      <c r="G877" t="str">
        <f>_xlfn.XLOOKUP(frasest[[#This Row],[author_es]],autorest[author_es],autorest[author_la])</f>
        <v>Sententia Vasconica</v>
      </c>
      <c r="H877" t="str">
        <f>_xlfn.XLOOKUP(frasest[[#This Row],[author_es]],autorest[author_es],autorest[bio_es])</f>
        <v>Proverbios de la tradición oral vasca que reflejan la relación con la naturaleza, el trabajo y los valores comunitarios del pueblo vasco.</v>
      </c>
      <c r="I877" t="str">
        <f>_xlfn.XLOOKUP(frasest[[#This Row],[author_es]],autorest[author_es],autorest[bio_la])</f>
        <v>Collectio sententiarum Vasconicarum.</v>
      </c>
      <c r="J877" t="str">
        <f>_xlfn.XLOOKUP(frasest[[#This Row],[author_es]],autorest[author_es],autorest[iso3691])</f>
        <v>eu</v>
      </c>
      <c r="K877" t="str">
        <f>_xlfn.XLOOKUP(frasest[[#This Row],[author_es]],autorest[author_es],autorest[language_es])</f>
        <v>Euskara</v>
      </c>
      <c r="L877" t="str">
        <f>_xlfn.XLOOKUP(frasest[[#This Row],[author_es]],autorest[author_es],autorest[language_la])</f>
        <v>Lingua Vasconica</v>
      </c>
      <c r="M877" t="str">
        <f>_xlfn.XLOOKUP(frasest[[#This Row],[author_es]],autorest[author_es],autorest[nation_es])</f>
        <v>España</v>
      </c>
      <c r="N877" t="str">
        <f>_xlfn.XLOOKUP(frasest[[#This Row],[author_es]],autorest[author_es],autorest[nation_la])</f>
        <v>Hispania</v>
      </c>
      <c r="O877" t="str">
        <f>_xlfn.XLOOKUP(frasest[[#This Row],[author_es]],autorest[author_es],autorest[age_es])</f>
        <v>Epoca Desconocida</v>
      </c>
      <c r="P877" t="str">
        <f>_xlfn.XLOOKUP(frasest[[#This Row],[author_es]],autorest[author_es],autorest[age_la])</f>
        <v>Epocha Ignota</v>
      </c>
      <c r="Q877" t="str">
        <f>_xlfn.XLOOKUP(frasest[[#This Row],[author_es]],autorest[author_es],autorest[image])</f>
        <v>https://i.ibb.co/bjgxB3kn/euskadi.png</v>
      </c>
      <c r="R877">
        <f>_xlfn.XLOOKUP(frasest[[#This Row],[author_es]],autorest[author_es],autorest[image_atr])</f>
        <v>0</v>
      </c>
    </row>
    <row r="878" spans="1:18">
      <c r="A878">
        <v>877</v>
      </c>
      <c r="B878" t="s">
        <v>2905</v>
      </c>
      <c r="C878" t="s">
        <v>2906</v>
      </c>
      <c r="D878" t="s">
        <v>2907</v>
      </c>
      <c r="E878" t="s">
        <v>1236</v>
      </c>
      <c r="G878" t="str">
        <f>_xlfn.XLOOKUP(frasest[[#This Row],[author_es]],autorest[author_es],autorest[author_la])</f>
        <v>Sententia Vasconica</v>
      </c>
      <c r="H878" t="str">
        <f>_xlfn.XLOOKUP(frasest[[#This Row],[author_es]],autorest[author_es],autorest[bio_es])</f>
        <v>Proverbios de la tradición oral vasca que reflejan la relación con la naturaleza, el trabajo y los valores comunitarios del pueblo vasco.</v>
      </c>
      <c r="I878" t="str">
        <f>_xlfn.XLOOKUP(frasest[[#This Row],[author_es]],autorest[author_es],autorest[bio_la])</f>
        <v>Collectio sententiarum Vasconicarum.</v>
      </c>
      <c r="J878" t="str">
        <f>_xlfn.XLOOKUP(frasest[[#This Row],[author_es]],autorest[author_es],autorest[iso3691])</f>
        <v>eu</v>
      </c>
      <c r="K878" t="str">
        <f>_xlfn.XLOOKUP(frasest[[#This Row],[author_es]],autorest[author_es],autorest[language_es])</f>
        <v>Euskara</v>
      </c>
      <c r="L878" t="str">
        <f>_xlfn.XLOOKUP(frasest[[#This Row],[author_es]],autorest[author_es],autorest[language_la])</f>
        <v>Lingua Vasconica</v>
      </c>
      <c r="M878" t="str">
        <f>_xlfn.XLOOKUP(frasest[[#This Row],[author_es]],autorest[author_es],autorest[nation_es])</f>
        <v>España</v>
      </c>
      <c r="N878" t="str">
        <f>_xlfn.XLOOKUP(frasest[[#This Row],[author_es]],autorest[author_es],autorest[nation_la])</f>
        <v>Hispania</v>
      </c>
      <c r="O878" t="str">
        <f>_xlfn.XLOOKUP(frasest[[#This Row],[author_es]],autorest[author_es],autorest[age_es])</f>
        <v>Epoca Desconocida</v>
      </c>
      <c r="P878" t="str">
        <f>_xlfn.XLOOKUP(frasest[[#This Row],[author_es]],autorest[author_es],autorest[age_la])</f>
        <v>Epocha Ignota</v>
      </c>
      <c r="Q878" t="str">
        <f>_xlfn.XLOOKUP(frasest[[#This Row],[author_es]],autorest[author_es],autorest[image])</f>
        <v>https://i.ibb.co/bjgxB3kn/euskadi.png</v>
      </c>
      <c r="R878">
        <f>_xlfn.XLOOKUP(frasest[[#This Row],[author_es]],autorest[author_es],autorest[image_atr])</f>
        <v>0</v>
      </c>
    </row>
    <row r="879" spans="1:18">
      <c r="A879">
        <v>878</v>
      </c>
      <c r="B879" t="s">
        <v>2908</v>
      </c>
      <c r="C879" t="s">
        <v>2909</v>
      </c>
      <c r="D879" t="s">
        <v>2910</v>
      </c>
      <c r="E879" t="s">
        <v>1236</v>
      </c>
      <c r="G879" t="str">
        <f>_xlfn.XLOOKUP(frasest[[#This Row],[author_es]],autorest[author_es],autorest[author_la])</f>
        <v>Sententia Vasconica</v>
      </c>
      <c r="H879" t="str">
        <f>_xlfn.XLOOKUP(frasest[[#This Row],[author_es]],autorest[author_es],autorest[bio_es])</f>
        <v>Proverbios de la tradición oral vasca que reflejan la relación con la naturaleza, el trabajo y los valores comunitarios del pueblo vasco.</v>
      </c>
      <c r="I879" t="str">
        <f>_xlfn.XLOOKUP(frasest[[#This Row],[author_es]],autorest[author_es],autorest[bio_la])</f>
        <v>Collectio sententiarum Vasconicarum.</v>
      </c>
      <c r="J879" t="str">
        <f>_xlfn.XLOOKUP(frasest[[#This Row],[author_es]],autorest[author_es],autorest[iso3691])</f>
        <v>eu</v>
      </c>
      <c r="K879" t="str">
        <f>_xlfn.XLOOKUP(frasest[[#This Row],[author_es]],autorest[author_es],autorest[language_es])</f>
        <v>Euskara</v>
      </c>
      <c r="L879" t="str">
        <f>_xlfn.XLOOKUP(frasest[[#This Row],[author_es]],autorest[author_es],autorest[language_la])</f>
        <v>Lingua Vasconica</v>
      </c>
      <c r="M879" t="str">
        <f>_xlfn.XLOOKUP(frasest[[#This Row],[author_es]],autorest[author_es],autorest[nation_es])</f>
        <v>España</v>
      </c>
      <c r="N879" t="str">
        <f>_xlfn.XLOOKUP(frasest[[#This Row],[author_es]],autorest[author_es],autorest[nation_la])</f>
        <v>Hispania</v>
      </c>
      <c r="O879" t="str">
        <f>_xlfn.XLOOKUP(frasest[[#This Row],[author_es]],autorest[author_es],autorest[age_es])</f>
        <v>Epoca Desconocida</v>
      </c>
      <c r="P879" t="str">
        <f>_xlfn.XLOOKUP(frasest[[#This Row],[author_es]],autorest[author_es],autorest[age_la])</f>
        <v>Epocha Ignota</v>
      </c>
      <c r="Q879" t="str">
        <f>_xlfn.XLOOKUP(frasest[[#This Row],[author_es]],autorest[author_es],autorest[image])</f>
        <v>https://i.ibb.co/bjgxB3kn/euskadi.png</v>
      </c>
      <c r="R879">
        <f>_xlfn.XLOOKUP(frasest[[#This Row],[author_es]],autorest[author_es],autorest[image_atr])</f>
        <v>0</v>
      </c>
    </row>
    <row r="880" spans="1:18">
      <c r="A880">
        <v>879</v>
      </c>
      <c r="B880" t="s">
        <v>2911</v>
      </c>
      <c r="C880" t="s">
        <v>2912</v>
      </c>
      <c r="D880" t="s">
        <v>2913</v>
      </c>
      <c r="E880" t="s">
        <v>1236</v>
      </c>
      <c r="G880" t="str">
        <f>_xlfn.XLOOKUP(frasest[[#This Row],[author_es]],autorest[author_es],autorest[author_la])</f>
        <v>Sententia Vasconica</v>
      </c>
      <c r="H880" t="str">
        <f>_xlfn.XLOOKUP(frasest[[#This Row],[author_es]],autorest[author_es],autorest[bio_es])</f>
        <v>Proverbios de la tradición oral vasca que reflejan la relación con la naturaleza, el trabajo y los valores comunitarios del pueblo vasco.</v>
      </c>
      <c r="I880" t="str">
        <f>_xlfn.XLOOKUP(frasest[[#This Row],[author_es]],autorest[author_es],autorest[bio_la])</f>
        <v>Collectio sententiarum Vasconicarum.</v>
      </c>
      <c r="J880" t="str">
        <f>_xlfn.XLOOKUP(frasest[[#This Row],[author_es]],autorest[author_es],autorest[iso3691])</f>
        <v>eu</v>
      </c>
      <c r="K880" t="str">
        <f>_xlfn.XLOOKUP(frasest[[#This Row],[author_es]],autorest[author_es],autorest[language_es])</f>
        <v>Euskara</v>
      </c>
      <c r="L880" t="str">
        <f>_xlfn.XLOOKUP(frasest[[#This Row],[author_es]],autorest[author_es],autorest[language_la])</f>
        <v>Lingua Vasconica</v>
      </c>
      <c r="M880" t="str">
        <f>_xlfn.XLOOKUP(frasest[[#This Row],[author_es]],autorest[author_es],autorest[nation_es])</f>
        <v>España</v>
      </c>
      <c r="N880" t="str">
        <f>_xlfn.XLOOKUP(frasest[[#This Row],[author_es]],autorest[author_es],autorest[nation_la])</f>
        <v>Hispania</v>
      </c>
      <c r="O880" t="str">
        <f>_xlfn.XLOOKUP(frasest[[#This Row],[author_es]],autorest[author_es],autorest[age_es])</f>
        <v>Epoca Desconocida</v>
      </c>
      <c r="P880" t="str">
        <f>_xlfn.XLOOKUP(frasest[[#This Row],[author_es]],autorest[author_es],autorest[age_la])</f>
        <v>Epocha Ignota</v>
      </c>
      <c r="Q880" t="str">
        <f>_xlfn.XLOOKUP(frasest[[#This Row],[author_es]],autorest[author_es],autorest[image])</f>
        <v>https://i.ibb.co/bjgxB3kn/euskadi.png</v>
      </c>
      <c r="R880">
        <f>_xlfn.XLOOKUP(frasest[[#This Row],[author_es]],autorest[author_es],autorest[image_atr])</f>
        <v>0</v>
      </c>
    </row>
    <row r="881" spans="1:18">
      <c r="A881">
        <v>880</v>
      </c>
      <c r="B881" t="s">
        <v>2914</v>
      </c>
      <c r="C881" t="s">
        <v>2915</v>
      </c>
      <c r="D881" t="s">
        <v>2916</v>
      </c>
      <c r="E881" t="s">
        <v>1236</v>
      </c>
      <c r="G881" t="str">
        <f>_xlfn.XLOOKUP(frasest[[#This Row],[author_es]],autorest[author_es],autorest[author_la])</f>
        <v>Sententia Vasconica</v>
      </c>
      <c r="H881" t="str">
        <f>_xlfn.XLOOKUP(frasest[[#This Row],[author_es]],autorest[author_es],autorest[bio_es])</f>
        <v>Proverbios de la tradición oral vasca que reflejan la relación con la naturaleza, el trabajo y los valores comunitarios del pueblo vasco.</v>
      </c>
      <c r="I881" t="str">
        <f>_xlfn.XLOOKUP(frasest[[#This Row],[author_es]],autorest[author_es],autorest[bio_la])</f>
        <v>Collectio sententiarum Vasconicarum.</v>
      </c>
      <c r="J881" t="str">
        <f>_xlfn.XLOOKUP(frasest[[#This Row],[author_es]],autorest[author_es],autorest[iso3691])</f>
        <v>eu</v>
      </c>
      <c r="K881" t="str">
        <f>_xlfn.XLOOKUP(frasest[[#This Row],[author_es]],autorest[author_es],autorest[language_es])</f>
        <v>Euskara</v>
      </c>
      <c r="L881" t="str">
        <f>_xlfn.XLOOKUP(frasest[[#This Row],[author_es]],autorest[author_es],autorest[language_la])</f>
        <v>Lingua Vasconica</v>
      </c>
      <c r="M881" t="str">
        <f>_xlfn.XLOOKUP(frasest[[#This Row],[author_es]],autorest[author_es],autorest[nation_es])</f>
        <v>España</v>
      </c>
      <c r="N881" t="str">
        <f>_xlfn.XLOOKUP(frasest[[#This Row],[author_es]],autorest[author_es],autorest[nation_la])</f>
        <v>Hispania</v>
      </c>
      <c r="O881" t="str">
        <f>_xlfn.XLOOKUP(frasest[[#This Row],[author_es]],autorest[author_es],autorest[age_es])</f>
        <v>Epoca Desconocida</v>
      </c>
      <c r="P881" t="str">
        <f>_xlfn.XLOOKUP(frasest[[#This Row],[author_es]],autorest[author_es],autorest[age_la])</f>
        <v>Epocha Ignota</v>
      </c>
      <c r="Q881" t="str">
        <f>_xlfn.XLOOKUP(frasest[[#This Row],[author_es]],autorest[author_es],autorest[image])</f>
        <v>https://i.ibb.co/bjgxB3kn/euskadi.png</v>
      </c>
      <c r="R881">
        <f>_xlfn.XLOOKUP(frasest[[#This Row],[author_es]],autorest[author_es],autorest[image_atr])</f>
        <v>0</v>
      </c>
    </row>
    <row r="882" spans="1:18">
      <c r="A882">
        <v>881</v>
      </c>
      <c r="B882" t="s">
        <v>2917</v>
      </c>
      <c r="C882" t="s">
        <v>2918</v>
      </c>
      <c r="D882" t="s">
        <v>2919</v>
      </c>
      <c r="E882" t="s">
        <v>1236</v>
      </c>
      <c r="G882" t="str">
        <f>_xlfn.XLOOKUP(frasest[[#This Row],[author_es]],autorest[author_es],autorest[author_la])</f>
        <v>Sententia Vasconica</v>
      </c>
      <c r="H882" t="str">
        <f>_xlfn.XLOOKUP(frasest[[#This Row],[author_es]],autorest[author_es],autorest[bio_es])</f>
        <v>Proverbios de la tradición oral vasca que reflejan la relación con la naturaleza, el trabajo y los valores comunitarios del pueblo vasco.</v>
      </c>
      <c r="I882" t="str">
        <f>_xlfn.XLOOKUP(frasest[[#This Row],[author_es]],autorest[author_es],autorest[bio_la])</f>
        <v>Collectio sententiarum Vasconicarum.</v>
      </c>
      <c r="J882" t="str">
        <f>_xlfn.XLOOKUP(frasest[[#This Row],[author_es]],autorest[author_es],autorest[iso3691])</f>
        <v>eu</v>
      </c>
      <c r="K882" t="str">
        <f>_xlfn.XLOOKUP(frasest[[#This Row],[author_es]],autorest[author_es],autorest[language_es])</f>
        <v>Euskara</v>
      </c>
      <c r="L882" t="str">
        <f>_xlfn.XLOOKUP(frasest[[#This Row],[author_es]],autorest[author_es],autorest[language_la])</f>
        <v>Lingua Vasconica</v>
      </c>
      <c r="M882" t="str">
        <f>_xlfn.XLOOKUP(frasest[[#This Row],[author_es]],autorest[author_es],autorest[nation_es])</f>
        <v>España</v>
      </c>
      <c r="N882" t="str">
        <f>_xlfn.XLOOKUP(frasest[[#This Row],[author_es]],autorest[author_es],autorest[nation_la])</f>
        <v>Hispania</v>
      </c>
      <c r="O882" t="str">
        <f>_xlfn.XLOOKUP(frasest[[#This Row],[author_es]],autorest[author_es],autorest[age_es])</f>
        <v>Epoca Desconocida</v>
      </c>
      <c r="P882" t="str">
        <f>_xlfn.XLOOKUP(frasest[[#This Row],[author_es]],autorest[author_es],autorest[age_la])</f>
        <v>Epocha Ignota</v>
      </c>
      <c r="Q882" t="str">
        <f>_xlfn.XLOOKUP(frasest[[#This Row],[author_es]],autorest[author_es],autorest[image])</f>
        <v>https://i.ibb.co/bjgxB3kn/euskadi.png</v>
      </c>
      <c r="R882">
        <f>_xlfn.XLOOKUP(frasest[[#This Row],[author_es]],autorest[author_es],autorest[image_atr])</f>
        <v>0</v>
      </c>
    </row>
    <row r="883" spans="1:18">
      <c r="A883">
        <v>882</v>
      </c>
      <c r="B883" t="s">
        <v>2920</v>
      </c>
      <c r="C883" t="s">
        <v>2921</v>
      </c>
      <c r="D883" t="s">
        <v>2922</v>
      </c>
      <c r="E883" t="s">
        <v>1236</v>
      </c>
      <c r="G883" t="str">
        <f>_xlfn.XLOOKUP(frasest[[#This Row],[author_es]],autorest[author_es],autorest[author_la])</f>
        <v>Sententia Vasconica</v>
      </c>
      <c r="H883" t="str">
        <f>_xlfn.XLOOKUP(frasest[[#This Row],[author_es]],autorest[author_es],autorest[bio_es])</f>
        <v>Proverbios de la tradición oral vasca que reflejan la relación con la naturaleza, el trabajo y los valores comunitarios del pueblo vasco.</v>
      </c>
      <c r="I883" t="str">
        <f>_xlfn.XLOOKUP(frasest[[#This Row],[author_es]],autorest[author_es],autorest[bio_la])</f>
        <v>Collectio sententiarum Vasconicarum.</v>
      </c>
      <c r="J883" t="str">
        <f>_xlfn.XLOOKUP(frasest[[#This Row],[author_es]],autorest[author_es],autorest[iso3691])</f>
        <v>eu</v>
      </c>
      <c r="K883" t="str">
        <f>_xlfn.XLOOKUP(frasest[[#This Row],[author_es]],autorest[author_es],autorest[language_es])</f>
        <v>Euskara</v>
      </c>
      <c r="L883" t="str">
        <f>_xlfn.XLOOKUP(frasest[[#This Row],[author_es]],autorest[author_es],autorest[language_la])</f>
        <v>Lingua Vasconica</v>
      </c>
      <c r="M883" t="str">
        <f>_xlfn.XLOOKUP(frasest[[#This Row],[author_es]],autorest[author_es],autorest[nation_es])</f>
        <v>España</v>
      </c>
      <c r="N883" t="str">
        <f>_xlfn.XLOOKUP(frasest[[#This Row],[author_es]],autorest[author_es],autorest[nation_la])</f>
        <v>Hispania</v>
      </c>
      <c r="O883" t="str">
        <f>_xlfn.XLOOKUP(frasest[[#This Row],[author_es]],autorest[author_es],autorest[age_es])</f>
        <v>Epoca Desconocida</v>
      </c>
      <c r="P883" t="str">
        <f>_xlfn.XLOOKUP(frasest[[#This Row],[author_es]],autorest[author_es],autorest[age_la])</f>
        <v>Epocha Ignota</v>
      </c>
      <c r="Q883" t="str">
        <f>_xlfn.XLOOKUP(frasest[[#This Row],[author_es]],autorest[author_es],autorest[image])</f>
        <v>https://i.ibb.co/bjgxB3kn/euskadi.png</v>
      </c>
      <c r="R883">
        <f>_xlfn.XLOOKUP(frasest[[#This Row],[author_es]],autorest[author_es],autorest[image_atr])</f>
        <v>0</v>
      </c>
    </row>
    <row r="884" spans="1:18">
      <c r="A884">
        <v>883</v>
      </c>
      <c r="B884" t="s">
        <v>2923</v>
      </c>
      <c r="C884" t="s">
        <v>2924</v>
      </c>
      <c r="D884" t="s">
        <v>2925</v>
      </c>
      <c r="E884" t="s">
        <v>1236</v>
      </c>
      <c r="G884" t="str">
        <f>_xlfn.XLOOKUP(frasest[[#This Row],[author_es]],autorest[author_es],autorest[author_la])</f>
        <v>Sententia Vasconica</v>
      </c>
      <c r="H884" t="str">
        <f>_xlfn.XLOOKUP(frasest[[#This Row],[author_es]],autorest[author_es],autorest[bio_es])</f>
        <v>Proverbios de la tradición oral vasca que reflejan la relación con la naturaleza, el trabajo y los valores comunitarios del pueblo vasco.</v>
      </c>
      <c r="I884" t="str">
        <f>_xlfn.XLOOKUP(frasest[[#This Row],[author_es]],autorest[author_es],autorest[bio_la])</f>
        <v>Collectio sententiarum Vasconicarum.</v>
      </c>
      <c r="J884" t="str">
        <f>_xlfn.XLOOKUP(frasest[[#This Row],[author_es]],autorest[author_es],autorest[iso3691])</f>
        <v>eu</v>
      </c>
      <c r="K884" t="str">
        <f>_xlfn.XLOOKUP(frasest[[#This Row],[author_es]],autorest[author_es],autorest[language_es])</f>
        <v>Euskara</v>
      </c>
      <c r="L884" t="str">
        <f>_xlfn.XLOOKUP(frasest[[#This Row],[author_es]],autorest[author_es],autorest[language_la])</f>
        <v>Lingua Vasconica</v>
      </c>
      <c r="M884" t="str">
        <f>_xlfn.XLOOKUP(frasest[[#This Row],[author_es]],autorest[author_es],autorest[nation_es])</f>
        <v>España</v>
      </c>
      <c r="N884" t="str">
        <f>_xlfn.XLOOKUP(frasest[[#This Row],[author_es]],autorest[author_es],autorest[nation_la])</f>
        <v>Hispania</v>
      </c>
      <c r="O884" t="str">
        <f>_xlfn.XLOOKUP(frasest[[#This Row],[author_es]],autorest[author_es],autorest[age_es])</f>
        <v>Epoca Desconocida</v>
      </c>
      <c r="P884" t="str">
        <f>_xlfn.XLOOKUP(frasest[[#This Row],[author_es]],autorest[author_es],autorest[age_la])</f>
        <v>Epocha Ignota</v>
      </c>
      <c r="Q884" t="str">
        <f>_xlfn.XLOOKUP(frasest[[#This Row],[author_es]],autorest[author_es],autorest[image])</f>
        <v>https://i.ibb.co/bjgxB3kn/euskadi.png</v>
      </c>
      <c r="R884">
        <f>_xlfn.XLOOKUP(frasest[[#This Row],[author_es]],autorest[author_es],autorest[image_atr])</f>
        <v>0</v>
      </c>
    </row>
    <row r="885" spans="1:18">
      <c r="A885">
        <v>884</v>
      </c>
      <c r="B885" t="s">
        <v>2926</v>
      </c>
      <c r="C885" t="s">
        <v>2927</v>
      </c>
      <c r="D885" t="s">
        <v>2928</v>
      </c>
      <c r="E885" t="s">
        <v>1236</v>
      </c>
      <c r="G885" t="str">
        <f>_xlfn.XLOOKUP(frasest[[#This Row],[author_es]],autorest[author_es],autorest[author_la])</f>
        <v>Sententia Vasconica</v>
      </c>
      <c r="H885" t="str">
        <f>_xlfn.XLOOKUP(frasest[[#This Row],[author_es]],autorest[author_es],autorest[bio_es])</f>
        <v>Proverbios de la tradición oral vasca que reflejan la relación con la naturaleza, el trabajo y los valores comunitarios del pueblo vasco.</v>
      </c>
      <c r="I885" t="str">
        <f>_xlfn.XLOOKUP(frasest[[#This Row],[author_es]],autorest[author_es],autorest[bio_la])</f>
        <v>Collectio sententiarum Vasconicarum.</v>
      </c>
      <c r="J885" t="str">
        <f>_xlfn.XLOOKUP(frasest[[#This Row],[author_es]],autorest[author_es],autorest[iso3691])</f>
        <v>eu</v>
      </c>
      <c r="K885" t="str">
        <f>_xlfn.XLOOKUP(frasest[[#This Row],[author_es]],autorest[author_es],autorest[language_es])</f>
        <v>Euskara</v>
      </c>
      <c r="L885" t="str">
        <f>_xlfn.XLOOKUP(frasest[[#This Row],[author_es]],autorest[author_es],autorest[language_la])</f>
        <v>Lingua Vasconica</v>
      </c>
      <c r="M885" t="str">
        <f>_xlfn.XLOOKUP(frasest[[#This Row],[author_es]],autorest[author_es],autorest[nation_es])</f>
        <v>España</v>
      </c>
      <c r="N885" t="str">
        <f>_xlfn.XLOOKUP(frasest[[#This Row],[author_es]],autorest[author_es],autorest[nation_la])</f>
        <v>Hispania</v>
      </c>
      <c r="O885" t="str">
        <f>_xlfn.XLOOKUP(frasest[[#This Row],[author_es]],autorest[author_es],autorest[age_es])</f>
        <v>Epoca Desconocida</v>
      </c>
      <c r="P885" t="str">
        <f>_xlfn.XLOOKUP(frasest[[#This Row],[author_es]],autorest[author_es],autorest[age_la])</f>
        <v>Epocha Ignota</v>
      </c>
      <c r="Q885" t="str">
        <f>_xlfn.XLOOKUP(frasest[[#This Row],[author_es]],autorest[author_es],autorest[image])</f>
        <v>https://i.ibb.co/bjgxB3kn/euskadi.png</v>
      </c>
      <c r="R885">
        <f>_xlfn.XLOOKUP(frasest[[#This Row],[author_es]],autorest[author_es],autorest[image_atr])</f>
        <v>0</v>
      </c>
    </row>
    <row r="886" spans="1:18">
      <c r="A886">
        <v>885</v>
      </c>
      <c r="B886" t="s">
        <v>2929</v>
      </c>
      <c r="C886" t="s">
        <v>2930</v>
      </c>
      <c r="D886" t="s">
        <v>2931</v>
      </c>
      <c r="E886" t="s">
        <v>1236</v>
      </c>
      <c r="G886" t="str">
        <f>_xlfn.XLOOKUP(frasest[[#This Row],[author_es]],autorest[author_es],autorest[author_la])</f>
        <v>Sententia Vasconica</v>
      </c>
      <c r="H886" t="str">
        <f>_xlfn.XLOOKUP(frasest[[#This Row],[author_es]],autorest[author_es],autorest[bio_es])</f>
        <v>Proverbios de la tradición oral vasca que reflejan la relación con la naturaleza, el trabajo y los valores comunitarios del pueblo vasco.</v>
      </c>
      <c r="I886" t="str">
        <f>_xlfn.XLOOKUP(frasest[[#This Row],[author_es]],autorest[author_es],autorest[bio_la])</f>
        <v>Collectio sententiarum Vasconicarum.</v>
      </c>
      <c r="J886" t="str">
        <f>_xlfn.XLOOKUP(frasest[[#This Row],[author_es]],autorest[author_es],autorest[iso3691])</f>
        <v>eu</v>
      </c>
      <c r="K886" t="str">
        <f>_xlfn.XLOOKUP(frasest[[#This Row],[author_es]],autorest[author_es],autorest[language_es])</f>
        <v>Euskara</v>
      </c>
      <c r="L886" t="str">
        <f>_xlfn.XLOOKUP(frasest[[#This Row],[author_es]],autorest[author_es],autorest[language_la])</f>
        <v>Lingua Vasconica</v>
      </c>
      <c r="M886" t="str">
        <f>_xlfn.XLOOKUP(frasest[[#This Row],[author_es]],autorest[author_es],autorest[nation_es])</f>
        <v>España</v>
      </c>
      <c r="N886" t="str">
        <f>_xlfn.XLOOKUP(frasest[[#This Row],[author_es]],autorest[author_es],autorest[nation_la])</f>
        <v>Hispania</v>
      </c>
      <c r="O886" t="str">
        <f>_xlfn.XLOOKUP(frasest[[#This Row],[author_es]],autorest[author_es],autorest[age_es])</f>
        <v>Epoca Desconocida</v>
      </c>
      <c r="P886" t="str">
        <f>_xlfn.XLOOKUP(frasest[[#This Row],[author_es]],autorest[author_es],autorest[age_la])</f>
        <v>Epocha Ignota</v>
      </c>
      <c r="Q886" t="str">
        <f>_xlfn.XLOOKUP(frasest[[#This Row],[author_es]],autorest[author_es],autorest[image])</f>
        <v>https://i.ibb.co/bjgxB3kn/euskadi.png</v>
      </c>
      <c r="R886">
        <f>_xlfn.XLOOKUP(frasest[[#This Row],[author_es]],autorest[author_es],autorest[image_atr])</f>
        <v>0</v>
      </c>
    </row>
    <row r="887" spans="1:18">
      <c r="A887">
        <v>886</v>
      </c>
      <c r="B887" t="s">
        <v>2932</v>
      </c>
      <c r="C887" t="s">
        <v>2933</v>
      </c>
      <c r="D887" t="s">
        <v>2934</v>
      </c>
      <c r="E887" t="s">
        <v>1236</v>
      </c>
      <c r="G887" t="str">
        <f>_xlfn.XLOOKUP(frasest[[#This Row],[author_es]],autorest[author_es],autorest[author_la])</f>
        <v>Sententia Vasconica</v>
      </c>
      <c r="H887" t="str">
        <f>_xlfn.XLOOKUP(frasest[[#This Row],[author_es]],autorest[author_es],autorest[bio_es])</f>
        <v>Proverbios de la tradición oral vasca que reflejan la relación con la naturaleza, el trabajo y los valores comunitarios del pueblo vasco.</v>
      </c>
      <c r="I887" t="str">
        <f>_xlfn.XLOOKUP(frasest[[#This Row],[author_es]],autorest[author_es],autorest[bio_la])</f>
        <v>Collectio sententiarum Vasconicarum.</v>
      </c>
      <c r="J887" t="str">
        <f>_xlfn.XLOOKUP(frasest[[#This Row],[author_es]],autorest[author_es],autorest[iso3691])</f>
        <v>eu</v>
      </c>
      <c r="K887" t="str">
        <f>_xlfn.XLOOKUP(frasest[[#This Row],[author_es]],autorest[author_es],autorest[language_es])</f>
        <v>Euskara</v>
      </c>
      <c r="L887" t="str">
        <f>_xlfn.XLOOKUP(frasest[[#This Row],[author_es]],autorest[author_es],autorest[language_la])</f>
        <v>Lingua Vasconica</v>
      </c>
      <c r="M887" t="str">
        <f>_xlfn.XLOOKUP(frasest[[#This Row],[author_es]],autorest[author_es],autorest[nation_es])</f>
        <v>España</v>
      </c>
      <c r="N887" t="str">
        <f>_xlfn.XLOOKUP(frasest[[#This Row],[author_es]],autorest[author_es],autorest[nation_la])</f>
        <v>Hispania</v>
      </c>
      <c r="O887" t="str">
        <f>_xlfn.XLOOKUP(frasest[[#This Row],[author_es]],autorest[author_es],autorest[age_es])</f>
        <v>Epoca Desconocida</v>
      </c>
      <c r="P887" t="str">
        <f>_xlfn.XLOOKUP(frasest[[#This Row],[author_es]],autorest[author_es],autorest[age_la])</f>
        <v>Epocha Ignota</v>
      </c>
      <c r="Q887" t="str">
        <f>_xlfn.XLOOKUP(frasest[[#This Row],[author_es]],autorest[author_es],autorest[image])</f>
        <v>https://i.ibb.co/bjgxB3kn/euskadi.png</v>
      </c>
      <c r="R887">
        <f>_xlfn.XLOOKUP(frasest[[#This Row],[author_es]],autorest[author_es],autorest[image_atr])</f>
        <v>0</v>
      </c>
    </row>
    <row r="888" spans="1:18">
      <c r="A888">
        <v>887</v>
      </c>
      <c r="B888" t="s">
        <v>2935</v>
      </c>
      <c r="C888" t="s">
        <v>2936</v>
      </c>
      <c r="D888" t="s">
        <v>2937</v>
      </c>
      <c r="E888" t="s">
        <v>1236</v>
      </c>
      <c r="G888" t="str">
        <f>_xlfn.XLOOKUP(frasest[[#This Row],[author_es]],autorest[author_es],autorest[author_la])</f>
        <v>Sententia Vasconica</v>
      </c>
      <c r="H888" t="str">
        <f>_xlfn.XLOOKUP(frasest[[#This Row],[author_es]],autorest[author_es],autorest[bio_es])</f>
        <v>Proverbios de la tradición oral vasca que reflejan la relación con la naturaleza, el trabajo y los valores comunitarios del pueblo vasco.</v>
      </c>
      <c r="I888" t="str">
        <f>_xlfn.XLOOKUP(frasest[[#This Row],[author_es]],autorest[author_es],autorest[bio_la])</f>
        <v>Collectio sententiarum Vasconicarum.</v>
      </c>
      <c r="J888" t="str">
        <f>_xlfn.XLOOKUP(frasest[[#This Row],[author_es]],autorest[author_es],autorest[iso3691])</f>
        <v>eu</v>
      </c>
      <c r="K888" t="str">
        <f>_xlfn.XLOOKUP(frasest[[#This Row],[author_es]],autorest[author_es],autorest[language_es])</f>
        <v>Euskara</v>
      </c>
      <c r="L888" t="str">
        <f>_xlfn.XLOOKUP(frasest[[#This Row],[author_es]],autorest[author_es],autorest[language_la])</f>
        <v>Lingua Vasconica</v>
      </c>
      <c r="M888" t="str">
        <f>_xlfn.XLOOKUP(frasest[[#This Row],[author_es]],autorest[author_es],autorest[nation_es])</f>
        <v>España</v>
      </c>
      <c r="N888" t="str">
        <f>_xlfn.XLOOKUP(frasest[[#This Row],[author_es]],autorest[author_es],autorest[nation_la])</f>
        <v>Hispania</v>
      </c>
      <c r="O888" t="str">
        <f>_xlfn.XLOOKUP(frasest[[#This Row],[author_es]],autorest[author_es],autorest[age_es])</f>
        <v>Epoca Desconocida</v>
      </c>
      <c r="P888" t="str">
        <f>_xlfn.XLOOKUP(frasest[[#This Row],[author_es]],autorest[author_es],autorest[age_la])</f>
        <v>Epocha Ignota</v>
      </c>
      <c r="Q888" t="str">
        <f>_xlfn.XLOOKUP(frasest[[#This Row],[author_es]],autorest[author_es],autorest[image])</f>
        <v>https://i.ibb.co/bjgxB3kn/euskadi.png</v>
      </c>
      <c r="R888">
        <f>_xlfn.XLOOKUP(frasest[[#This Row],[author_es]],autorest[author_es],autorest[image_atr])</f>
        <v>0</v>
      </c>
    </row>
    <row r="889" spans="1:18">
      <c r="A889">
        <v>888</v>
      </c>
      <c r="B889" t="s">
        <v>2938</v>
      </c>
      <c r="C889" t="s">
        <v>2939</v>
      </c>
      <c r="D889" t="s">
        <v>2940</v>
      </c>
      <c r="E889" t="s">
        <v>1236</v>
      </c>
      <c r="G889" t="str">
        <f>_xlfn.XLOOKUP(frasest[[#This Row],[author_es]],autorest[author_es],autorest[author_la])</f>
        <v>Sententia Vasconica</v>
      </c>
      <c r="H889" t="str">
        <f>_xlfn.XLOOKUP(frasest[[#This Row],[author_es]],autorest[author_es],autorest[bio_es])</f>
        <v>Proverbios de la tradición oral vasca que reflejan la relación con la naturaleza, el trabajo y los valores comunitarios del pueblo vasco.</v>
      </c>
      <c r="I889" t="str">
        <f>_xlfn.XLOOKUP(frasest[[#This Row],[author_es]],autorest[author_es],autorest[bio_la])</f>
        <v>Collectio sententiarum Vasconicarum.</v>
      </c>
      <c r="J889" t="str">
        <f>_xlfn.XLOOKUP(frasest[[#This Row],[author_es]],autorest[author_es],autorest[iso3691])</f>
        <v>eu</v>
      </c>
      <c r="K889" t="str">
        <f>_xlfn.XLOOKUP(frasest[[#This Row],[author_es]],autorest[author_es],autorest[language_es])</f>
        <v>Euskara</v>
      </c>
      <c r="L889" t="str">
        <f>_xlfn.XLOOKUP(frasest[[#This Row],[author_es]],autorest[author_es],autorest[language_la])</f>
        <v>Lingua Vasconica</v>
      </c>
      <c r="M889" t="str">
        <f>_xlfn.XLOOKUP(frasest[[#This Row],[author_es]],autorest[author_es],autorest[nation_es])</f>
        <v>España</v>
      </c>
      <c r="N889" t="str">
        <f>_xlfn.XLOOKUP(frasest[[#This Row],[author_es]],autorest[author_es],autorest[nation_la])</f>
        <v>Hispania</v>
      </c>
      <c r="O889" t="str">
        <f>_xlfn.XLOOKUP(frasest[[#This Row],[author_es]],autorest[author_es],autorest[age_es])</f>
        <v>Epoca Desconocida</v>
      </c>
      <c r="P889" t="str">
        <f>_xlfn.XLOOKUP(frasest[[#This Row],[author_es]],autorest[author_es],autorest[age_la])</f>
        <v>Epocha Ignota</v>
      </c>
      <c r="Q889" t="str">
        <f>_xlfn.XLOOKUP(frasest[[#This Row],[author_es]],autorest[author_es],autorest[image])</f>
        <v>https://i.ibb.co/bjgxB3kn/euskadi.png</v>
      </c>
      <c r="R889">
        <f>_xlfn.XLOOKUP(frasest[[#This Row],[author_es]],autorest[author_es],autorest[image_atr])</f>
        <v>0</v>
      </c>
    </row>
    <row r="890" spans="1:18">
      <c r="A890">
        <v>889</v>
      </c>
      <c r="B890" t="s">
        <v>2941</v>
      </c>
      <c r="C890" t="s">
        <v>2942</v>
      </c>
      <c r="D890" t="s">
        <v>2943</v>
      </c>
      <c r="E890" t="s">
        <v>1236</v>
      </c>
      <c r="G890" t="str">
        <f>_xlfn.XLOOKUP(frasest[[#This Row],[author_es]],autorest[author_es],autorest[author_la])</f>
        <v>Sententia Vasconica</v>
      </c>
      <c r="H890" t="str">
        <f>_xlfn.XLOOKUP(frasest[[#This Row],[author_es]],autorest[author_es],autorest[bio_es])</f>
        <v>Proverbios de la tradición oral vasca que reflejan la relación con la naturaleza, el trabajo y los valores comunitarios del pueblo vasco.</v>
      </c>
      <c r="I890" t="str">
        <f>_xlfn.XLOOKUP(frasest[[#This Row],[author_es]],autorest[author_es],autorest[bio_la])</f>
        <v>Collectio sententiarum Vasconicarum.</v>
      </c>
      <c r="J890" t="str">
        <f>_xlfn.XLOOKUP(frasest[[#This Row],[author_es]],autorest[author_es],autorest[iso3691])</f>
        <v>eu</v>
      </c>
      <c r="K890" t="str">
        <f>_xlfn.XLOOKUP(frasest[[#This Row],[author_es]],autorest[author_es],autorest[language_es])</f>
        <v>Euskara</v>
      </c>
      <c r="L890" t="str">
        <f>_xlfn.XLOOKUP(frasest[[#This Row],[author_es]],autorest[author_es],autorest[language_la])</f>
        <v>Lingua Vasconica</v>
      </c>
      <c r="M890" t="str">
        <f>_xlfn.XLOOKUP(frasest[[#This Row],[author_es]],autorest[author_es],autorest[nation_es])</f>
        <v>España</v>
      </c>
      <c r="N890" t="str">
        <f>_xlfn.XLOOKUP(frasest[[#This Row],[author_es]],autorest[author_es],autorest[nation_la])</f>
        <v>Hispania</v>
      </c>
      <c r="O890" t="str">
        <f>_xlfn.XLOOKUP(frasest[[#This Row],[author_es]],autorest[author_es],autorest[age_es])</f>
        <v>Epoca Desconocida</v>
      </c>
      <c r="P890" t="str">
        <f>_xlfn.XLOOKUP(frasest[[#This Row],[author_es]],autorest[author_es],autorest[age_la])</f>
        <v>Epocha Ignota</v>
      </c>
      <c r="Q890" t="str">
        <f>_xlfn.XLOOKUP(frasest[[#This Row],[author_es]],autorest[author_es],autorest[image])</f>
        <v>https://i.ibb.co/bjgxB3kn/euskadi.png</v>
      </c>
      <c r="R890">
        <f>_xlfn.XLOOKUP(frasest[[#This Row],[author_es]],autorest[author_es],autorest[image_atr])</f>
        <v>0</v>
      </c>
    </row>
    <row r="891" spans="1:18">
      <c r="A891">
        <v>890</v>
      </c>
      <c r="B891" t="s">
        <v>2944</v>
      </c>
      <c r="C891" t="s">
        <v>2945</v>
      </c>
      <c r="D891" t="s">
        <v>2946</v>
      </c>
      <c r="E891" t="s">
        <v>1236</v>
      </c>
      <c r="G891" t="str">
        <f>_xlfn.XLOOKUP(frasest[[#This Row],[author_es]],autorest[author_es],autorest[author_la])</f>
        <v>Sententia Vasconica</v>
      </c>
      <c r="H891" t="str">
        <f>_xlfn.XLOOKUP(frasest[[#This Row],[author_es]],autorest[author_es],autorest[bio_es])</f>
        <v>Proverbios de la tradición oral vasca que reflejan la relación con la naturaleza, el trabajo y los valores comunitarios del pueblo vasco.</v>
      </c>
      <c r="I891" t="str">
        <f>_xlfn.XLOOKUP(frasest[[#This Row],[author_es]],autorest[author_es],autorest[bio_la])</f>
        <v>Collectio sententiarum Vasconicarum.</v>
      </c>
      <c r="J891" t="str">
        <f>_xlfn.XLOOKUP(frasest[[#This Row],[author_es]],autorest[author_es],autorest[iso3691])</f>
        <v>eu</v>
      </c>
      <c r="K891" t="str">
        <f>_xlfn.XLOOKUP(frasest[[#This Row],[author_es]],autorest[author_es],autorest[language_es])</f>
        <v>Euskara</v>
      </c>
      <c r="L891" t="str">
        <f>_xlfn.XLOOKUP(frasest[[#This Row],[author_es]],autorest[author_es],autorest[language_la])</f>
        <v>Lingua Vasconica</v>
      </c>
      <c r="M891" t="str">
        <f>_xlfn.XLOOKUP(frasest[[#This Row],[author_es]],autorest[author_es],autorest[nation_es])</f>
        <v>España</v>
      </c>
      <c r="N891" t="str">
        <f>_xlfn.XLOOKUP(frasest[[#This Row],[author_es]],autorest[author_es],autorest[nation_la])</f>
        <v>Hispania</v>
      </c>
      <c r="O891" t="str">
        <f>_xlfn.XLOOKUP(frasest[[#This Row],[author_es]],autorest[author_es],autorest[age_es])</f>
        <v>Epoca Desconocida</v>
      </c>
      <c r="P891" t="str">
        <f>_xlfn.XLOOKUP(frasest[[#This Row],[author_es]],autorest[author_es],autorest[age_la])</f>
        <v>Epocha Ignota</v>
      </c>
      <c r="Q891" t="str">
        <f>_xlfn.XLOOKUP(frasest[[#This Row],[author_es]],autorest[author_es],autorest[image])</f>
        <v>https://i.ibb.co/bjgxB3kn/euskadi.png</v>
      </c>
      <c r="R891">
        <f>_xlfn.XLOOKUP(frasest[[#This Row],[author_es]],autorest[author_es],autorest[image_atr])</f>
        <v>0</v>
      </c>
    </row>
    <row r="892" spans="1:18">
      <c r="A892">
        <v>891</v>
      </c>
      <c r="B892" t="s">
        <v>2947</v>
      </c>
      <c r="C892" t="s">
        <v>2948</v>
      </c>
      <c r="D892" t="s">
        <v>2949</v>
      </c>
      <c r="E892" t="s">
        <v>1236</v>
      </c>
      <c r="G892" t="str">
        <f>_xlfn.XLOOKUP(frasest[[#This Row],[author_es]],autorest[author_es],autorest[author_la])</f>
        <v>Sententia Vasconica</v>
      </c>
      <c r="H892" t="str">
        <f>_xlfn.XLOOKUP(frasest[[#This Row],[author_es]],autorest[author_es],autorest[bio_es])</f>
        <v>Proverbios de la tradición oral vasca que reflejan la relación con la naturaleza, el trabajo y los valores comunitarios del pueblo vasco.</v>
      </c>
      <c r="I892" t="str">
        <f>_xlfn.XLOOKUP(frasest[[#This Row],[author_es]],autorest[author_es],autorest[bio_la])</f>
        <v>Collectio sententiarum Vasconicarum.</v>
      </c>
      <c r="J892" t="str">
        <f>_xlfn.XLOOKUP(frasest[[#This Row],[author_es]],autorest[author_es],autorest[iso3691])</f>
        <v>eu</v>
      </c>
      <c r="K892" t="str">
        <f>_xlfn.XLOOKUP(frasest[[#This Row],[author_es]],autorest[author_es],autorest[language_es])</f>
        <v>Euskara</v>
      </c>
      <c r="L892" t="str">
        <f>_xlfn.XLOOKUP(frasest[[#This Row],[author_es]],autorest[author_es],autorest[language_la])</f>
        <v>Lingua Vasconica</v>
      </c>
      <c r="M892" t="str">
        <f>_xlfn.XLOOKUP(frasest[[#This Row],[author_es]],autorest[author_es],autorest[nation_es])</f>
        <v>España</v>
      </c>
      <c r="N892" t="str">
        <f>_xlfn.XLOOKUP(frasest[[#This Row],[author_es]],autorest[author_es],autorest[nation_la])</f>
        <v>Hispania</v>
      </c>
      <c r="O892" t="str">
        <f>_xlfn.XLOOKUP(frasest[[#This Row],[author_es]],autorest[author_es],autorest[age_es])</f>
        <v>Epoca Desconocida</v>
      </c>
      <c r="P892" t="str">
        <f>_xlfn.XLOOKUP(frasest[[#This Row],[author_es]],autorest[author_es],autorest[age_la])</f>
        <v>Epocha Ignota</v>
      </c>
      <c r="Q892" t="str">
        <f>_xlfn.XLOOKUP(frasest[[#This Row],[author_es]],autorest[author_es],autorest[image])</f>
        <v>https://i.ibb.co/bjgxB3kn/euskadi.png</v>
      </c>
      <c r="R892">
        <f>_xlfn.XLOOKUP(frasest[[#This Row],[author_es]],autorest[author_es],autorest[image_atr])</f>
        <v>0</v>
      </c>
    </row>
    <row r="893" spans="1:18">
      <c r="A893">
        <v>892</v>
      </c>
      <c r="B893" t="s">
        <v>2950</v>
      </c>
      <c r="C893" t="s">
        <v>2951</v>
      </c>
      <c r="D893" t="s">
        <v>2952</v>
      </c>
      <c r="E893" t="s">
        <v>1236</v>
      </c>
      <c r="G893" t="str">
        <f>_xlfn.XLOOKUP(frasest[[#This Row],[author_es]],autorest[author_es],autorest[author_la])</f>
        <v>Sententia Vasconica</v>
      </c>
      <c r="H893" t="str">
        <f>_xlfn.XLOOKUP(frasest[[#This Row],[author_es]],autorest[author_es],autorest[bio_es])</f>
        <v>Proverbios de la tradición oral vasca que reflejan la relación con la naturaleza, el trabajo y los valores comunitarios del pueblo vasco.</v>
      </c>
      <c r="I893" t="str">
        <f>_xlfn.XLOOKUP(frasest[[#This Row],[author_es]],autorest[author_es],autorest[bio_la])</f>
        <v>Collectio sententiarum Vasconicarum.</v>
      </c>
      <c r="J893" t="str">
        <f>_xlfn.XLOOKUP(frasest[[#This Row],[author_es]],autorest[author_es],autorest[iso3691])</f>
        <v>eu</v>
      </c>
      <c r="K893" t="str">
        <f>_xlfn.XLOOKUP(frasest[[#This Row],[author_es]],autorest[author_es],autorest[language_es])</f>
        <v>Euskara</v>
      </c>
      <c r="L893" t="str">
        <f>_xlfn.XLOOKUP(frasest[[#This Row],[author_es]],autorest[author_es],autorest[language_la])</f>
        <v>Lingua Vasconica</v>
      </c>
      <c r="M893" t="str">
        <f>_xlfn.XLOOKUP(frasest[[#This Row],[author_es]],autorest[author_es],autorest[nation_es])</f>
        <v>España</v>
      </c>
      <c r="N893" t="str">
        <f>_xlfn.XLOOKUP(frasest[[#This Row],[author_es]],autorest[author_es],autorest[nation_la])</f>
        <v>Hispania</v>
      </c>
      <c r="O893" t="str">
        <f>_xlfn.XLOOKUP(frasest[[#This Row],[author_es]],autorest[author_es],autorest[age_es])</f>
        <v>Epoca Desconocida</v>
      </c>
      <c r="P893" t="str">
        <f>_xlfn.XLOOKUP(frasest[[#This Row],[author_es]],autorest[author_es],autorest[age_la])</f>
        <v>Epocha Ignota</v>
      </c>
      <c r="Q893" t="str">
        <f>_xlfn.XLOOKUP(frasest[[#This Row],[author_es]],autorest[author_es],autorest[image])</f>
        <v>https://i.ibb.co/bjgxB3kn/euskadi.png</v>
      </c>
      <c r="R893">
        <f>_xlfn.XLOOKUP(frasest[[#This Row],[author_es]],autorest[author_es],autorest[image_atr])</f>
        <v>0</v>
      </c>
    </row>
    <row r="894" spans="1:18">
      <c r="A894">
        <v>893</v>
      </c>
      <c r="B894" t="s">
        <v>2953</v>
      </c>
      <c r="C894" t="s">
        <v>2954</v>
      </c>
      <c r="D894" t="s">
        <v>2955</v>
      </c>
      <c r="E894" t="s">
        <v>1236</v>
      </c>
      <c r="G894" t="str">
        <f>_xlfn.XLOOKUP(frasest[[#This Row],[author_es]],autorest[author_es],autorest[author_la])</f>
        <v>Sententia Vasconica</v>
      </c>
      <c r="H894" t="str">
        <f>_xlfn.XLOOKUP(frasest[[#This Row],[author_es]],autorest[author_es],autorest[bio_es])</f>
        <v>Proverbios de la tradición oral vasca que reflejan la relación con la naturaleza, el trabajo y los valores comunitarios del pueblo vasco.</v>
      </c>
      <c r="I894" t="str">
        <f>_xlfn.XLOOKUP(frasest[[#This Row],[author_es]],autorest[author_es],autorest[bio_la])</f>
        <v>Collectio sententiarum Vasconicarum.</v>
      </c>
      <c r="J894" t="str">
        <f>_xlfn.XLOOKUP(frasest[[#This Row],[author_es]],autorest[author_es],autorest[iso3691])</f>
        <v>eu</v>
      </c>
      <c r="K894" t="str">
        <f>_xlfn.XLOOKUP(frasest[[#This Row],[author_es]],autorest[author_es],autorest[language_es])</f>
        <v>Euskara</v>
      </c>
      <c r="L894" t="str">
        <f>_xlfn.XLOOKUP(frasest[[#This Row],[author_es]],autorest[author_es],autorest[language_la])</f>
        <v>Lingua Vasconica</v>
      </c>
      <c r="M894" t="str">
        <f>_xlfn.XLOOKUP(frasest[[#This Row],[author_es]],autorest[author_es],autorest[nation_es])</f>
        <v>España</v>
      </c>
      <c r="N894" t="str">
        <f>_xlfn.XLOOKUP(frasest[[#This Row],[author_es]],autorest[author_es],autorest[nation_la])</f>
        <v>Hispania</v>
      </c>
      <c r="O894" t="str">
        <f>_xlfn.XLOOKUP(frasest[[#This Row],[author_es]],autorest[author_es],autorest[age_es])</f>
        <v>Epoca Desconocida</v>
      </c>
      <c r="P894" t="str">
        <f>_xlfn.XLOOKUP(frasest[[#This Row],[author_es]],autorest[author_es],autorest[age_la])</f>
        <v>Epocha Ignota</v>
      </c>
      <c r="Q894" t="str">
        <f>_xlfn.XLOOKUP(frasest[[#This Row],[author_es]],autorest[author_es],autorest[image])</f>
        <v>https://i.ibb.co/bjgxB3kn/euskadi.png</v>
      </c>
      <c r="R894">
        <f>_xlfn.XLOOKUP(frasest[[#This Row],[author_es]],autorest[author_es],autorest[image_atr])</f>
        <v>0</v>
      </c>
    </row>
    <row r="895" spans="1:18">
      <c r="A895">
        <v>894</v>
      </c>
      <c r="B895" t="s">
        <v>2956</v>
      </c>
      <c r="C895" t="s">
        <v>2957</v>
      </c>
      <c r="D895" t="s">
        <v>2958</v>
      </c>
      <c r="E895" t="s">
        <v>1236</v>
      </c>
      <c r="G895" t="str">
        <f>_xlfn.XLOOKUP(frasest[[#This Row],[author_es]],autorest[author_es],autorest[author_la])</f>
        <v>Sententia Vasconica</v>
      </c>
      <c r="H895" t="str">
        <f>_xlfn.XLOOKUP(frasest[[#This Row],[author_es]],autorest[author_es],autorest[bio_es])</f>
        <v>Proverbios de la tradición oral vasca que reflejan la relación con la naturaleza, el trabajo y los valores comunitarios del pueblo vasco.</v>
      </c>
      <c r="I895" t="str">
        <f>_xlfn.XLOOKUP(frasest[[#This Row],[author_es]],autorest[author_es],autorest[bio_la])</f>
        <v>Collectio sententiarum Vasconicarum.</v>
      </c>
      <c r="J895" t="str">
        <f>_xlfn.XLOOKUP(frasest[[#This Row],[author_es]],autorest[author_es],autorest[iso3691])</f>
        <v>eu</v>
      </c>
      <c r="K895" t="str">
        <f>_xlfn.XLOOKUP(frasest[[#This Row],[author_es]],autorest[author_es],autorest[language_es])</f>
        <v>Euskara</v>
      </c>
      <c r="L895" t="str">
        <f>_xlfn.XLOOKUP(frasest[[#This Row],[author_es]],autorest[author_es],autorest[language_la])</f>
        <v>Lingua Vasconica</v>
      </c>
      <c r="M895" t="str">
        <f>_xlfn.XLOOKUP(frasest[[#This Row],[author_es]],autorest[author_es],autorest[nation_es])</f>
        <v>España</v>
      </c>
      <c r="N895" t="str">
        <f>_xlfn.XLOOKUP(frasest[[#This Row],[author_es]],autorest[author_es],autorest[nation_la])</f>
        <v>Hispania</v>
      </c>
      <c r="O895" t="str">
        <f>_xlfn.XLOOKUP(frasest[[#This Row],[author_es]],autorest[author_es],autorest[age_es])</f>
        <v>Epoca Desconocida</v>
      </c>
      <c r="P895" t="str">
        <f>_xlfn.XLOOKUP(frasest[[#This Row],[author_es]],autorest[author_es],autorest[age_la])</f>
        <v>Epocha Ignota</v>
      </c>
      <c r="Q895" t="str">
        <f>_xlfn.XLOOKUP(frasest[[#This Row],[author_es]],autorest[author_es],autorest[image])</f>
        <v>https://i.ibb.co/bjgxB3kn/euskadi.png</v>
      </c>
      <c r="R895">
        <f>_xlfn.XLOOKUP(frasest[[#This Row],[author_es]],autorest[author_es],autorest[image_atr])</f>
        <v>0</v>
      </c>
    </row>
    <row r="896" spans="1:18">
      <c r="A896">
        <v>895</v>
      </c>
      <c r="B896" t="s">
        <v>2959</v>
      </c>
      <c r="C896" t="s">
        <v>2960</v>
      </c>
      <c r="D896" t="s">
        <v>2961</v>
      </c>
      <c r="E896" t="s">
        <v>1236</v>
      </c>
      <c r="G896" t="str">
        <f>_xlfn.XLOOKUP(frasest[[#This Row],[author_es]],autorest[author_es],autorest[author_la])</f>
        <v>Sententia Vasconica</v>
      </c>
      <c r="H896" t="str">
        <f>_xlfn.XLOOKUP(frasest[[#This Row],[author_es]],autorest[author_es],autorest[bio_es])</f>
        <v>Proverbios de la tradición oral vasca que reflejan la relación con la naturaleza, el trabajo y los valores comunitarios del pueblo vasco.</v>
      </c>
      <c r="I896" t="str">
        <f>_xlfn.XLOOKUP(frasest[[#This Row],[author_es]],autorest[author_es],autorest[bio_la])</f>
        <v>Collectio sententiarum Vasconicarum.</v>
      </c>
      <c r="J896" t="str">
        <f>_xlfn.XLOOKUP(frasest[[#This Row],[author_es]],autorest[author_es],autorest[iso3691])</f>
        <v>eu</v>
      </c>
      <c r="K896" t="str">
        <f>_xlfn.XLOOKUP(frasest[[#This Row],[author_es]],autorest[author_es],autorest[language_es])</f>
        <v>Euskara</v>
      </c>
      <c r="L896" t="str">
        <f>_xlfn.XLOOKUP(frasest[[#This Row],[author_es]],autorest[author_es],autorest[language_la])</f>
        <v>Lingua Vasconica</v>
      </c>
      <c r="M896" t="str">
        <f>_xlfn.XLOOKUP(frasest[[#This Row],[author_es]],autorest[author_es],autorest[nation_es])</f>
        <v>España</v>
      </c>
      <c r="N896" t="str">
        <f>_xlfn.XLOOKUP(frasest[[#This Row],[author_es]],autorest[author_es],autorest[nation_la])</f>
        <v>Hispania</v>
      </c>
      <c r="O896" t="str">
        <f>_xlfn.XLOOKUP(frasest[[#This Row],[author_es]],autorest[author_es],autorest[age_es])</f>
        <v>Epoca Desconocida</v>
      </c>
      <c r="P896" t="str">
        <f>_xlfn.XLOOKUP(frasest[[#This Row],[author_es]],autorest[author_es],autorest[age_la])</f>
        <v>Epocha Ignota</v>
      </c>
      <c r="Q896" t="str">
        <f>_xlfn.XLOOKUP(frasest[[#This Row],[author_es]],autorest[author_es],autorest[image])</f>
        <v>https://i.ibb.co/bjgxB3kn/euskadi.png</v>
      </c>
      <c r="R896">
        <f>_xlfn.XLOOKUP(frasest[[#This Row],[author_es]],autorest[author_es],autorest[image_atr])</f>
        <v>0</v>
      </c>
    </row>
    <row r="897" spans="1:18">
      <c r="A897">
        <v>896</v>
      </c>
      <c r="B897" t="s">
        <v>2962</v>
      </c>
      <c r="C897" t="s">
        <v>2963</v>
      </c>
      <c r="D897" t="s">
        <v>2962</v>
      </c>
      <c r="E897" t="s">
        <v>24</v>
      </c>
      <c r="G897" t="str">
        <f>_xlfn.XLOOKUP(frasest[[#This Row],[author_es]],autorest[author_es],autorest[author_la])</f>
        <v>Sententia Hispanica</v>
      </c>
      <c r="H897" t="str">
        <f>_xlfn.XLOOKUP(frasest[[#This Row],[author_es]],autorest[author_es],autorest[bio_es])</f>
        <v>Refranes populares de la tradición oral hispana que expresan de forma breve y ingeniosa enseñanzas prácticas sobre la vida cotidiana.</v>
      </c>
      <c r="I897" t="str">
        <f>_xlfn.XLOOKUP(frasest[[#This Row],[author_es]],autorest[author_es],autorest[bio_la])</f>
        <v>Collectio sententiarum Hispanicarum.</v>
      </c>
      <c r="J897" t="str">
        <f>_xlfn.XLOOKUP(frasest[[#This Row],[author_es]],autorest[author_es],autorest[iso3691])</f>
        <v>es</v>
      </c>
      <c r="K897" t="str">
        <f>_xlfn.XLOOKUP(frasest[[#This Row],[author_es]],autorest[author_es],autorest[language_es])</f>
        <v>Español</v>
      </c>
      <c r="L897" t="str">
        <f>_xlfn.XLOOKUP(frasest[[#This Row],[author_es]],autorest[author_es],autorest[language_la])</f>
        <v>Lingua Hispanica</v>
      </c>
      <c r="M897" t="str">
        <f>_xlfn.XLOOKUP(frasest[[#This Row],[author_es]],autorest[author_es],autorest[nation_es])</f>
        <v>España</v>
      </c>
      <c r="N897" t="str">
        <f>_xlfn.XLOOKUP(frasest[[#This Row],[author_es]],autorest[author_es],autorest[nation_la])</f>
        <v>Hispania</v>
      </c>
      <c r="O897" t="str">
        <f>_xlfn.XLOOKUP(frasest[[#This Row],[author_es]],autorest[author_es],autorest[age_es])</f>
        <v>Epoca Desconocida</v>
      </c>
      <c r="P897" t="str">
        <f>_xlfn.XLOOKUP(frasest[[#This Row],[author_es]],autorest[author_es],autorest[age_la])</f>
        <v>Epocha Ignota</v>
      </c>
      <c r="Q897" t="str">
        <f>_xlfn.XLOOKUP(frasest[[#This Row],[author_es]],autorest[author_es],autorest[image])</f>
        <v>https://i.ibb.co/Y4f7TZWm/espa-a.png</v>
      </c>
      <c r="R897">
        <f>_xlfn.XLOOKUP(frasest[[#This Row],[author_es]],autorest[author_es],autorest[image_atr])</f>
        <v>0</v>
      </c>
    </row>
    <row r="898" spans="1:18">
      <c r="A898">
        <v>897</v>
      </c>
      <c r="B898" t="s">
        <v>2964</v>
      </c>
      <c r="C898" t="s">
        <v>2965</v>
      </c>
      <c r="D898" t="s">
        <v>2964</v>
      </c>
      <c r="E898" t="s">
        <v>24</v>
      </c>
      <c r="G898" t="str">
        <f>_xlfn.XLOOKUP(frasest[[#This Row],[author_es]],autorest[author_es],autorest[author_la])</f>
        <v>Sententia Hispanica</v>
      </c>
      <c r="H898" t="str">
        <f>_xlfn.XLOOKUP(frasest[[#This Row],[author_es]],autorest[author_es],autorest[bio_es])</f>
        <v>Refranes populares de la tradición oral hispana que expresan de forma breve y ingeniosa enseñanzas prácticas sobre la vida cotidiana.</v>
      </c>
      <c r="I898" t="str">
        <f>_xlfn.XLOOKUP(frasest[[#This Row],[author_es]],autorest[author_es],autorest[bio_la])</f>
        <v>Collectio sententiarum Hispanicarum.</v>
      </c>
      <c r="J898" t="str">
        <f>_xlfn.XLOOKUP(frasest[[#This Row],[author_es]],autorest[author_es],autorest[iso3691])</f>
        <v>es</v>
      </c>
      <c r="K898" t="str">
        <f>_xlfn.XLOOKUP(frasest[[#This Row],[author_es]],autorest[author_es],autorest[language_es])</f>
        <v>Español</v>
      </c>
      <c r="L898" t="str">
        <f>_xlfn.XLOOKUP(frasest[[#This Row],[author_es]],autorest[author_es],autorest[language_la])</f>
        <v>Lingua Hispanica</v>
      </c>
      <c r="M898" t="str">
        <f>_xlfn.XLOOKUP(frasest[[#This Row],[author_es]],autorest[author_es],autorest[nation_es])</f>
        <v>España</v>
      </c>
      <c r="N898" t="str">
        <f>_xlfn.XLOOKUP(frasest[[#This Row],[author_es]],autorest[author_es],autorest[nation_la])</f>
        <v>Hispania</v>
      </c>
      <c r="O898" t="str">
        <f>_xlfn.XLOOKUP(frasest[[#This Row],[author_es]],autorest[author_es],autorest[age_es])</f>
        <v>Epoca Desconocida</v>
      </c>
      <c r="P898" t="str">
        <f>_xlfn.XLOOKUP(frasest[[#This Row],[author_es]],autorest[author_es],autorest[age_la])</f>
        <v>Epocha Ignota</v>
      </c>
      <c r="Q898" t="str">
        <f>_xlfn.XLOOKUP(frasest[[#This Row],[author_es]],autorest[author_es],autorest[image])</f>
        <v>https://i.ibb.co/Y4f7TZWm/espa-a.png</v>
      </c>
      <c r="R898">
        <f>_xlfn.XLOOKUP(frasest[[#This Row],[author_es]],autorest[author_es],autorest[image_atr])</f>
        <v>0</v>
      </c>
    </row>
    <row r="899" spans="1:18">
      <c r="A899">
        <v>898</v>
      </c>
      <c r="B899" t="s">
        <v>2966</v>
      </c>
      <c r="C899" t="s">
        <v>2967</v>
      </c>
      <c r="D899" t="s">
        <v>2966</v>
      </c>
      <c r="E899" t="s">
        <v>24</v>
      </c>
      <c r="G899" t="str">
        <f>_xlfn.XLOOKUP(frasest[[#This Row],[author_es]],autorest[author_es],autorest[author_la])</f>
        <v>Sententia Hispanica</v>
      </c>
      <c r="H899" t="str">
        <f>_xlfn.XLOOKUP(frasest[[#This Row],[author_es]],autorest[author_es],autorest[bio_es])</f>
        <v>Refranes populares de la tradición oral hispana que expresan de forma breve y ingeniosa enseñanzas prácticas sobre la vida cotidiana.</v>
      </c>
      <c r="I899" t="str">
        <f>_xlfn.XLOOKUP(frasest[[#This Row],[author_es]],autorest[author_es],autorest[bio_la])</f>
        <v>Collectio sententiarum Hispanicarum.</v>
      </c>
      <c r="J899" t="str">
        <f>_xlfn.XLOOKUP(frasest[[#This Row],[author_es]],autorest[author_es],autorest[iso3691])</f>
        <v>es</v>
      </c>
      <c r="K899" t="str">
        <f>_xlfn.XLOOKUP(frasest[[#This Row],[author_es]],autorest[author_es],autorest[language_es])</f>
        <v>Español</v>
      </c>
      <c r="L899" t="str">
        <f>_xlfn.XLOOKUP(frasest[[#This Row],[author_es]],autorest[author_es],autorest[language_la])</f>
        <v>Lingua Hispanica</v>
      </c>
      <c r="M899" t="str">
        <f>_xlfn.XLOOKUP(frasest[[#This Row],[author_es]],autorest[author_es],autorest[nation_es])</f>
        <v>España</v>
      </c>
      <c r="N899" t="str">
        <f>_xlfn.XLOOKUP(frasest[[#This Row],[author_es]],autorest[author_es],autorest[nation_la])</f>
        <v>Hispania</v>
      </c>
      <c r="O899" t="str">
        <f>_xlfn.XLOOKUP(frasest[[#This Row],[author_es]],autorest[author_es],autorest[age_es])</f>
        <v>Epoca Desconocida</v>
      </c>
      <c r="P899" t="str">
        <f>_xlfn.XLOOKUP(frasest[[#This Row],[author_es]],autorest[author_es],autorest[age_la])</f>
        <v>Epocha Ignota</v>
      </c>
      <c r="Q899" t="str">
        <f>_xlfn.XLOOKUP(frasest[[#This Row],[author_es]],autorest[author_es],autorest[image])</f>
        <v>https://i.ibb.co/Y4f7TZWm/espa-a.png</v>
      </c>
      <c r="R899">
        <f>_xlfn.XLOOKUP(frasest[[#This Row],[author_es]],autorest[author_es],autorest[image_atr])</f>
        <v>0</v>
      </c>
    </row>
    <row r="900" spans="1:18">
      <c r="A900">
        <v>899</v>
      </c>
      <c r="B900" t="s">
        <v>2968</v>
      </c>
      <c r="C900" t="s">
        <v>2969</v>
      </c>
      <c r="D900" t="s">
        <v>2968</v>
      </c>
      <c r="E900" t="s">
        <v>24</v>
      </c>
      <c r="G900" t="str">
        <f>_xlfn.XLOOKUP(frasest[[#This Row],[author_es]],autorest[author_es],autorest[author_la])</f>
        <v>Sententia Hispanica</v>
      </c>
      <c r="H900" t="str">
        <f>_xlfn.XLOOKUP(frasest[[#This Row],[author_es]],autorest[author_es],autorest[bio_es])</f>
        <v>Refranes populares de la tradición oral hispana que expresan de forma breve y ingeniosa enseñanzas prácticas sobre la vida cotidiana.</v>
      </c>
      <c r="I900" t="str">
        <f>_xlfn.XLOOKUP(frasest[[#This Row],[author_es]],autorest[author_es],autorest[bio_la])</f>
        <v>Collectio sententiarum Hispanicarum.</v>
      </c>
      <c r="J900" t="str">
        <f>_xlfn.XLOOKUP(frasest[[#This Row],[author_es]],autorest[author_es],autorest[iso3691])</f>
        <v>es</v>
      </c>
      <c r="K900" t="str">
        <f>_xlfn.XLOOKUP(frasest[[#This Row],[author_es]],autorest[author_es],autorest[language_es])</f>
        <v>Español</v>
      </c>
      <c r="L900" t="str">
        <f>_xlfn.XLOOKUP(frasest[[#This Row],[author_es]],autorest[author_es],autorest[language_la])</f>
        <v>Lingua Hispanica</v>
      </c>
      <c r="M900" t="str">
        <f>_xlfn.XLOOKUP(frasest[[#This Row],[author_es]],autorest[author_es],autorest[nation_es])</f>
        <v>España</v>
      </c>
      <c r="N900" t="str">
        <f>_xlfn.XLOOKUP(frasest[[#This Row],[author_es]],autorest[author_es],autorest[nation_la])</f>
        <v>Hispania</v>
      </c>
      <c r="O900" t="str">
        <f>_xlfn.XLOOKUP(frasest[[#This Row],[author_es]],autorest[author_es],autorest[age_es])</f>
        <v>Epoca Desconocida</v>
      </c>
      <c r="P900" t="str">
        <f>_xlfn.XLOOKUP(frasest[[#This Row],[author_es]],autorest[author_es],autorest[age_la])</f>
        <v>Epocha Ignota</v>
      </c>
      <c r="Q900" t="str">
        <f>_xlfn.XLOOKUP(frasest[[#This Row],[author_es]],autorest[author_es],autorest[image])</f>
        <v>https://i.ibb.co/Y4f7TZWm/espa-a.png</v>
      </c>
      <c r="R900">
        <f>_xlfn.XLOOKUP(frasest[[#This Row],[author_es]],autorest[author_es],autorest[image_atr])</f>
        <v>0</v>
      </c>
    </row>
    <row r="901" spans="1:18">
      <c r="A901">
        <v>900</v>
      </c>
      <c r="B901" t="s">
        <v>2970</v>
      </c>
      <c r="C901" t="s">
        <v>2971</v>
      </c>
      <c r="D901" t="s">
        <v>2970</v>
      </c>
      <c r="E901" t="s">
        <v>24</v>
      </c>
      <c r="G901" t="str">
        <f>_xlfn.XLOOKUP(frasest[[#This Row],[author_es]],autorest[author_es],autorest[author_la])</f>
        <v>Sententia Hispanica</v>
      </c>
      <c r="H901" t="str">
        <f>_xlfn.XLOOKUP(frasest[[#This Row],[author_es]],autorest[author_es],autorest[bio_es])</f>
        <v>Refranes populares de la tradición oral hispana que expresan de forma breve y ingeniosa enseñanzas prácticas sobre la vida cotidiana.</v>
      </c>
      <c r="I901" t="str">
        <f>_xlfn.XLOOKUP(frasest[[#This Row],[author_es]],autorest[author_es],autorest[bio_la])</f>
        <v>Collectio sententiarum Hispanicarum.</v>
      </c>
      <c r="J901" t="str">
        <f>_xlfn.XLOOKUP(frasest[[#This Row],[author_es]],autorest[author_es],autorest[iso3691])</f>
        <v>es</v>
      </c>
      <c r="K901" t="str">
        <f>_xlfn.XLOOKUP(frasest[[#This Row],[author_es]],autorest[author_es],autorest[language_es])</f>
        <v>Español</v>
      </c>
      <c r="L901" t="str">
        <f>_xlfn.XLOOKUP(frasest[[#This Row],[author_es]],autorest[author_es],autorest[language_la])</f>
        <v>Lingua Hispanica</v>
      </c>
      <c r="M901" t="str">
        <f>_xlfn.XLOOKUP(frasest[[#This Row],[author_es]],autorest[author_es],autorest[nation_es])</f>
        <v>España</v>
      </c>
      <c r="N901" t="str">
        <f>_xlfn.XLOOKUP(frasest[[#This Row],[author_es]],autorest[author_es],autorest[nation_la])</f>
        <v>Hispania</v>
      </c>
      <c r="O901" t="str">
        <f>_xlfn.XLOOKUP(frasest[[#This Row],[author_es]],autorest[author_es],autorest[age_es])</f>
        <v>Epoca Desconocida</v>
      </c>
      <c r="P901" t="str">
        <f>_xlfn.XLOOKUP(frasest[[#This Row],[author_es]],autorest[author_es],autorest[age_la])</f>
        <v>Epocha Ignota</v>
      </c>
      <c r="Q901" t="str">
        <f>_xlfn.XLOOKUP(frasest[[#This Row],[author_es]],autorest[author_es],autorest[image])</f>
        <v>https://i.ibb.co/Y4f7TZWm/espa-a.png</v>
      </c>
      <c r="R901">
        <f>_xlfn.XLOOKUP(frasest[[#This Row],[author_es]],autorest[author_es],autorest[image_atr])</f>
        <v>0</v>
      </c>
    </row>
    <row r="902" spans="1:18">
      <c r="A902">
        <v>901</v>
      </c>
      <c r="B902" t="s">
        <v>2972</v>
      </c>
      <c r="C902" t="s">
        <v>2973</v>
      </c>
      <c r="D902" t="s">
        <v>2972</v>
      </c>
      <c r="E902" t="s">
        <v>24</v>
      </c>
      <c r="G902" t="str">
        <f>_xlfn.XLOOKUP(frasest[[#This Row],[author_es]],autorest[author_es],autorest[author_la])</f>
        <v>Sententia Hispanica</v>
      </c>
      <c r="H902" t="str">
        <f>_xlfn.XLOOKUP(frasest[[#This Row],[author_es]],autorest[author_es],autorest[bio_es])</f>
        <v>Refranes populares de la tradición oral hispana que expresan de forma breve y ingeniosa enseñanzas prácticas sobre la vida cotidiana.</v>
      </c>
      <c r="I902" t="str">
        <f>_xlfn.XLOOKUP(frasest[[#This Row],[author_es]],autorest[author_es],autorest[bio_la])</f>
        <v>Collectio sententiarum Hispanicarum.</v>
      </c>
      <c r="J902" t="str">
        <f>_xlfn.XLOOKUP(frasest[[#This Row],[author_es]],autorest[author_es],autorest[iso3691])</f>
        <v>es</v>
      </c>
      <c r="K902" t="str">
        <f>_xlfn.XLOOKUP(frasest[[#This Row],[author_es]],autorest[author_es],autorest[language_es])</f>
        <v>Español</v>
      </c>
      <c r="L902" t="str">
        <f>_xlfn.XLOOKUP(frasest[[#This Row],[author_es]],autorest[author_es],autorest[language_la])</f>
        <v>Lingua Hispanica</v>
      </c>
      <c r="M902" t="str">
        <f>_xlfn.XLOOKUP(frasest[[#This Row],[author_es]],autorest[author_es],autorest[nation_es])</f>
        <v>España</v>
      </c>
      <c r="N902" t="str">
        <f>_xlfn.XLOOKUP(frasest[[#This Row],[author_es]],autorest[author_es],autorest[nation_la])</f>
        <v>Hispania</v>
      </c>
      <c r="O902" t="str">
        <f>_xlfn.XLOOKUP(frasest[[#This Row],[author_es]],autorest[author_es],autorest[age_es])</f>
        <v>Epoca Desconocida</v>
      </c>
      <c r="P902" t="str">
        <f>_xlfn.XLOOKUP(frasest[[#This Row],[author_es]],autorest[author_es],autorest[age_la])</f>
        <v>Epocha Ignota</v>
      </c>
      <c r="Q902" t="str">
        <f>_xlfn.XLOOKUP(frasest[[#This Row],[author_es]],autorest[author_es],autorest[image])</f>
        <v>https://i.ibb.co/Y4f7TZWm/espa-a.png</v>
      </c>
      <c r="R902">
        <f>_xlfn.XLOOKUP(frasest[[#This Row],[author_es]],autorest[author_es],autorest[image_atr])</f>
        <v>0</v>
      </c>
    </row>
    <row r="903" spans="1:18">
      <c r="A903">
        <v>902</v>
      </c>
      <c r="B903" t="s">
        <v>2974</v>
      </c>
      <c r="C903" t="s">
        <v>2975</v>
      </c>
      <c r="D903" t="s">
        <v>2974</v>
      </c>
      <c r="E903" t="s">
        <v>24</v>
      </c>
      <c r="G903" t="str">
        <f>_xlfn.XLOOKUP(frasest[[#This Row],[author_es]],autorest[author_es],autorest[author_la])</f>
        <v>Sententia Hispanica</v>
      </c>
      <c r="H903" t="str">
        <f>_xlfn.XLOOKUP(frasest[[#This Row],[author_es]],autorest[author_es],autorest[bio_es])</f>
        <v>Refranes populares de la tradición oral hispana que expresan de forma breve y ingeniosa enseñanzas prácticas sobre la vida cotidiana.</v>
      </c>
      <c r="I903" t="str">
        <f>_xlfn.XLOOKUP(frasest[[#This Row],[author_es]],autorest[author_es],autorest[bio_la])</f>
        <v>Collectio sententiarum Hispanicarum.</v>
      </c>
      <c r="J903" t="str">
        <f>_xlfn.XLOOKUP(frasest[[#This Row],[author_es]],autorest[author_es],autorest[iso3691])</f>
        <v>es</v>
      </c>
      <c r="K903" t="str">
        <f>_xlfn.XLOOKUP(frasest[[#This Row],[author_es]],autorest[author_es],autorest[language_es])</f>
        <v>Español</v>
      </c>
      <c r="L903" t="str">
        <f>_xlfn.XLOOKUP(frasest[[#This Row],[author_es]],autorest[author_es],autorest[language_la])</f>
        <v>Lingua Hispanica</v>
      </c>
      <c r="M903" t="str">
        <f>_xlfn.XLOOKUP(frasest[[#This Row],[author_es]],autorest[author_es],autorest[nation_es])</f>
        <v>España</v>
      </c>
      <c r="N903" t="str">
        <f>_xlfn.XLOOKUP(frasest[[#This Row],[author_es]],autorest[author_es],autorest[nation_la])</f>
        <v>Hispania</v>
      </c>
      <c r="O903" t="str">
        <f>_xlfn.XLOOKUP(frasest[[#This Row],[author_es]],autorest[author_es],autorest[age_es])</f>
        <v>Epoca Desconocida</v>
      </c>
      <c r="P903" t="str">
        <f>_xlfn.XLOOKUP(frasest[[#This Row],[author_es]],autorest[author_es],autorest[age_la])</f>
        <v>Epocha Ignota</v>
      </c>
      <c r="Q903" t="str">
        <f>_xlfn.XLOOKUP(frasest[[#This Row],[author_es]],autorest[author_es],autorest[image])</f>
        <v>https://i.ibb.co/Y4f7TZWm/espa-a.png</v>
      </c>
      <c r="R903">
        <f>_xlfn.XLOOKUP(frasest[[#This Row],[author_es]],autorest[author_es],autorest[image_atr])</f>
        <v>0</v>
      </c>
    </row>
    <row r="904" spans="1:18">
      <c r="A904">
        <v>903</v>
      </c>
      <c r="B904" t="s">
        <v>2976</v>
      </c>
      <c r="C904" t="s">
        <v>2977</v>
      </c>
      <c r="D904" t="s">
        <v>2976</v>
      </c>
      <c r="E904" t="s">
        <v>24</v>
      </c>
      <c r="G904" t="str">
        <f>_xlfn.XLOOKUP(frasest[[#This Row],[author_es]],autorest[author_es],autorest[author_la])</f>
        <v>Sententia Hispanica</v>
      </c>
      <c r="H904" t="str">
        <f>_xlfn.XLOOKUP(frasest[[#This Row],[author_es]],autorest[author_es],autorest[bio_es])</f>
        <v>Refranes populares de la tradición oral hispana que expresan de forma breve y ingeniosa enseñanzas prácticas sobre la vida cotidiana.</v>
      </c>
      <c r="I904" t="str">
        <f>_xlfn.XLOOKUP(frasest[[#This Row],[author_es]],autorest[author_es],autorest[bio_la])</f>
        <v>Collectio sententiarum Hispanicarum.</v>
      </c>
      <c r="J904" t="str">
        <f>_xlfn.XLOOKUP(frasest[[#This Row],[author_es]],autorest[author_es],autorest[iso3691])</f>
        <v>es</v>
      </c>
      <c r="K904" t="str">
        <f>_xlfn.XLOOKUP(frasest[[#This Row],[author_es]],autorest[author_es],autorest[language_es])</f>
        <v>Español</v>
      </c>
      <c r="L904" t="str">
        <f>_xlfn.XLOOKUP(frasest[[#This Row],[author_es]],autorest[author_es],autorest[language_la])</f>
        <v>Lingua Hispanica</v>
      </c>
      <c r="M904" t="str">
        <f>_xlfn.XLOOKUP(frasest[[#This Row],[author_es]],autorest[author_es],autorest[nation_es])</f>
        <v>España</v>
      </c>
      <c r="N904" t="str">
        <f>_xlfn.XLOOKUP(frasest[[#This Row],[author_es]],autorest[author_es],autorest[nation_la])</f>
        <v>Hispania</v>
      </c>
      <c r="O904" t="str">
        <f>_xlfn.XLOOKUP(frasest[[#This Row],[author_es]],autorest[author_es],autorest[age_es])</f>
        <v>Epoca Desconocida</v>
      </c>
      <c r="P904" t="str">
        <f>_xlfn.XLOOKUP(frasest[[#This Row],[author_es]],autorest[author_es],autorest[age_la])</f>
        <v>Epocha Ignota</v>
      </c>
      <c r="Q904" t="str">
        <f>_xlfn.XLOOKUP(frasest[[#This Row],[author_es]],autorest[author_es],autorest[image])</f>
        <v>https://i.ibb.co/Y4f7TZWm/espa-a.png</v>
      </c>
      <c r="R904">
        <f>_xlfn.XLOOKUP(frasest[[#This Row],[author_es]],autorest[author_es],autorest[image_atr])</f>
        <v>0</v>
      </c>
    </row>
    <row r="905" spans="1:18">
      <c r="A905">
        <v>904</v>
      </c>
      <c r="B905" t="s">
        <v>2978</v>
      </c>
      <c r="C905" t="s">
        <v>2979</v>
      </c>
      <c r="D905" t="s">
        <v>2978</v>
      </c>
      <c r="E905" t="s">
        <v>24</v>
      </c>
      <c r="G905" t="str">
        <f>_xlfn.XLOOKUP(frasest[[#This Row],[author_es]],autorest[author_es],autorest[author_la])</f>
        <v>Sententia Hispanica</v>
      </c>
      <c r="H905" t="str">
        <f>_xlfn.XLOOKUP(frasest[[#This Row],[author_es]],autorest[author_es],autorest[bio_es])</f>
        <v>Refranes populares de la tradición oral hispana que expresan de forma breve y ingeniosa enseñanzas prácticas sobre la vida cotidiana.</v>
      </c>
      <c r="I905" t="str">
        <f>_xlfn.XLOOKUP(frasest[[#This Row],[author_es]],autorest[author_es],autorest[bio_la])</f>
        <v>Collectio sententiarum Hispanicarum.</v>
      </c>
      <c r="J905" t="str">
        <f>_xlfn.XLOOKUP(frasest[[#This Row],[author_es]],autorest[author_es],autorest[iso3691])</f>
        <v>es</v>
      </c>
      <c r="K905" t="str">
        <f>_xlfn.XLOOKUP(frasest[[#This Row],[author_es]],autorest[author_es],autorest[language_es])</f>
        <v>Español</v>
      </c>
      <c r="L905" t="str">
        <f>_xlfn.XLOOKUP(frasest[[#This Row],[author_es]],autorest[author_es],autorest[language_la])</f>
        <v>Lingua Hispanica</v>
      </c>
      <c r="M905" t="str">
        <f>_xlfn.XLOOKUP(frasest[[#This Row],[author_es]],autorest[author_es],autorest[nation_es])</f>
        <v>España</v>
      </c>
      <c r="N905" t="str">
        <f>_xlfn.XLOOKUP(frasest[[#This Row],[author_es]],autorest[author_es],autorest[nation_la])</f>
        <v>Hispania</v>
      </c>
      <c r="O905" t="str">
        <f>_xlfn.XLOOKUP(frasest[[#This Row],[author_es]],autorest[author_es],autorest[age_es])</f>
        <v>Epoca Desconocida</v>
      </c>
      <c r="P905" t="str">
        <f>_xlfn.XLOOKUP(frasest[[#This Row],[author_es]],autorest[author_es],autorest[age_la])</f>
        <v>Epocha Ignota</v>
      </c>
      <c r="Q905" t="str">
        <f>_xlfn.XLOOKUP(frasest[[#This Row],[author_es]],autorest[author_es],autorest[image])</f>
        <v>https://i.ibb.co/Y4f7TZWm/espa-a.png</v>
      </c>
      <c r="R905">
        <f>_xlfn.XLOOKUP(frasest[[#This Row],[author_es]],autorest[author_es],autorest[image_atr])</f>
        <v>0</v>
      </c>
    </row>
    <row r="906" spans="1:18">
      <c r="A906">
        <v>905</v>
      </c>
      <c r="B906" t="s">
        <v>2980</v>
      </c>
      <c r="C906" t="s">
        <v>2981</v>
      </c>
      <c r="D906" t="s">
        <v>2980</v>
      </c>
      <c r="E906" t="s">
        <v>24</v>
      </c>
      <c r="G906" t="str">
        <f>_xlfn.XLOOKUP(frasest[[#This Row],[author_es]],autorest[author_es],autorest[author_la])</f>
        <v>Sententia Hispanica</v>
      </c>
      <c r="H906" t="str">
        <f>_xlfn.XLOOKUP(frasest[[#This Row],[author_es]],autorest[author_es],autorest[bio_es])</f>
        <v>Refranes populares de la tradición oral hispana que expresan de forma breve y ingeniosa enseñanzas prácticas sobre la vida cotidiana.</v>
      </c>
      <c r="I906" t="str">
        <f>_xlfn.XLOOKUP(frasest[[#This Row],[author_es]],autorest[author_es],autorest[bio_la])</f>
        <v>Collectio sententiarum Hispanicarum.</v>
      </c>
      <c r="J906" t="str">
        <f>_xlfn.XLOOKUP(frasest[[#This Row],[author_es]],autorest[author_es],autorest[iso3691])</f>
        <v>es</v>
      </c>
      <c r="K906" t="str">
        <f>_xlfn.XLOOKUP(frasest[[#This Row],[author_es]],autorest[author_es],autorest[language_es])</f>
        <v>Español</v>
      </c>
      <c r="L906" t="str">
        <f>_xlfn.XLOOKUP(frasest[[#This Row],[author_es]],autorest[author_es],autorest[language_la])</f>
        <v>Lingua Hispanica</v>
      </c>
      <c r="M906" t="str">
        <f>_xlfn.XLOOKUP(frasest[[#This Row],[author_es]],autorest[author_es],autorest[nation_es])</f>
        <v>España</v>
      </c>
      <c r="N906" t="str">
        <f>_xlfn.XLOOKUP(frasest[[#This Row],[author_es]],autorest[author_es],autorest[nation_la])</f>
        <v>Hispania</v>
      </c>
      <c r="O906" t="str">
        <f>_xlfn.XLOOKUP(frasest[[#This Row],[author_es]],autorest[author_es],autorest[age_es])</f>
        <v>Epoca Desconocida</v>
      </c>
      <c r="P906" t="str">
        <f>_xlfn.XLOOKUP(frasest[[#This Row],[author_es]],autorest[author_es],autorest[age_la])</f>
        <v>Epocha Ignota</v>
      </c>
      <c r="Q906" t="str">
        <f>_xlfn.XLOOKUP(frasest[[#This Row],[author_es]],autorest[author_es],autorest[image])</f>
        <v>https://i.ibb.co/Y4f7TZWm/espa-a.png</v>
      </c>
      <c r="R906">
        <f>_xlfn.XLOOKUP(frasest[[#This Row],[author_es]],autorest[author_es],autorest[image_atr])</f>
        <v>0</v>
      </c>
    </row>
    <row r="907" spans="1:18">
      <c r="A907">
        <v>906</v>
      </c>
      <c r="B907" t="s">
        <v>2982</v>
      </c>
      <c r="C907" t="s">
        <v>2983</v>
      </c>
      <c r="D907" t="s">
        <v>2982</v>
      </c>
      <c r="E907" t="s">
        <v>24</v>
      </c>
      <c r="G907" t="str">
        <f>_xlfn.XLOOKUP(frasest[[#This Row],[author_es]],autorest[author_es],autorest[author_la])</f>
        <v>Sententia Hispanica</v>
      </c>
      <c r="H907" t="str">
        <f>_xlfn.XLOOKUP(frasest[[#This Row],[author_es]],autorest[author_es],autorest[bio_es])</f>
        <v>Refranes populares de la tradición oral hispana que expresan de forma breve y ingeniosa enseñanzas prácticas sobre la vida cotidiana.</v>
      </c>
      <c r="I907" t="str">
        <f>_xlfn.XLOOKUP(frasest[[#This Row],[author_es]],autorest[author_es],autorest[bio_la])</f>
        <v>Collectio sententiarum Hispanicarum.</v>
      </c>
      <c r="J907" t="str">
        <f>_xlfn.XLOOKUP(frasest[[#This Row],[author_es]],autorest[author_es],autorest[iso3691])</f>
        <v>es</v>
      </c>
      <c r="K907" t="str">
        <f>_xlfn.XLOOKUP(frasest[[#This Row],[author_es]],autorest[author_es],autorest[language_es])</f>
        <v>Español</v>
      </c>
      <c r="L907" t="str">
        <f>_xlfn.XLOOKUP(frasest[[#This Row],[author_es]],autorest[author_es],autorest[language_la])</f>
        <v>Lingua Hispanica</v>
      </c>
      <c r="M907" t="str">
        <f>_xlfn.XLOOKUP(frasest[[#This Row],[author_es]],autorest[author_es],autorest[nation_es])</f>
        <v>España</v>
      </c>
      <c r="N907" t="str">
        <f>_xlfn.XLOOKUP(frasest[[#This Row],[author_es]],autorest[author_es],autorest[nation_la])</f>
        <v>Hispania</v>
      </c>
      <c r="O907" t="str">
        <f>_xlfn.XLOOKUP(frasest[[#This Row],[author_es]],autorest[author_es],autorest[age_es])</f>
        <v>Epoca Desconocida</v>
      </c>
      <c r="P907" t="str">
        <f>_xlfn.XLOOKUP(frasest[[#This Row],[author_es]],autorest[author_es],autorest[age_la])</f>
        <v>Epocha Ignota</v>
      </c>
      <c r="Q907" t="str">
        <f>_xlfn.XLOOKUP(frasest[[#This Row],[author_es]],autorest[author_es],autorest[image])</f>
        <v>https://i.ibb.co/Y4f7TZWm/espa-a.png</v>
      </c>
      <c r="R907">
        <f>_xlfn.XLOOKUP(frasest[[#This Row],[author_es]],autorest[author_es],autorest[image_atr])</f>
        <v>0</v>
      </c>
    </row>
    <row r="908" spans="1:18">
      <c r="A908">
        <v>907</v>
      </c>
      <c r="B908" t="s">
        <v>2984</v>
      </c>
      <c r="C908" t="s">
        <v>2985</v>
      </c>
      <c r="D908" t="s">
        <v>2984</v>
      </c>
      <c r="E908" t="s">
        <v>24</v>
      </c>
      <c r="G908" t="str">
        <f>_xlfn.XLOOKUP(frasest[[#This Row],[author_es]],autorest[author_es],autorest[author_la])</f>
        <v>Sententia Hispanica</v>
      </c>
      <c r="H908" t="str">
        <f>_xlfn.XLOOKUP(frasest[[#This Row],[author_es]],autorest[author_es],autorest[bio_es])</f>
        <v>Refranes populares de la tradición oral hispana que expresan de forma breve y ingeniosa enseñanzas prácticas sobre la vida cotidiana.</v>
      </c>
      <c r="I908" t="str">
        <f>_xlfn.XLOOKUP(frasest[[#This Row],[author_es]],autorest[author_es],autorest[bio_la])</f>
        <v>Collectio sententiarum Hispanicarum.</v>
      </c>
      <c r="J908" t="str">
        <f>_xlfn.XLOOKUP(frasest[[#This Row],[author_es]],autorest[author_es],autorest[iso3691])</f>
        <v>es</v>
      </c>
      <c r="K908" t="str">
        <f>_xlfn.XLOOKUP(frasest[[#This Row],[author_es]],autorest[author_es],autorest[language_es])</f>
        <v>Español</v>
      </c>
      <c r="L908" t="str">
        <f>_xlfn.XLOOKUP(frasest[[#This Row],[author_es]],autorest[author_es],autorest[language_la])</f>
        <v>Lingua Hispanica</v>
      </c>
      <c r="M908" t="str">
        <f>_xlfn.XLOOKUP(frasest[[#This Row],[author_es]],autorest[author_es],autorest[nation_es])</f>
        <v>España</v>
      </c>
      <c r="N908" t="str">
        <f>_xlfn.XLOOKUP(frasest[[#This Row],[author_es]],autorest[author_es],autorest[nation_la])</f>
        <v>Hispania</v>
      </c>
      <c r="O908" t="str">
        <f>_xlfn.XLOOKUP(frasest[[#This Row],[author_es]],autorest[author_es],autorest[age_es])</f>
        <v>Epoca Desconocida</v>
      </c>
      <c r="P908" t="str">
        <f>_xlfn.XLOOKUP(frasest[[#This Row],[author_es]],autorest[author_es],autorest[age_la])</f>
        <v>Epocha Ignota</v>
      </c>
      <c r="Q908" t="str">
        <f>_xlfn.XLOOKUP(frasest[[#This Row],[author_es]],autorest[author_es],autorest[image])</f>
        <v>https://i.ibb.co/Y4f7TZWm/espa-a.png</v>
      </c>
      <c r="R908">
        <f>_xlfn.XLOOKUP(frasest[[#This Row],[author_es]],autorest[author_es],autorest[image_atr])</f>
        <v>0</v>
      </c>
    </row>
    <row r="909" spans="1:18">
      <c r="A909">
        <v>908</v>
      </c>
      <c r="B909" t="s">
        <v>2986</v>
      </c>
      <c r="C909" t="s">
        <v>2987</v>
      </c>
      <c r="D909" t="s">
        <v>2986</v>
      </c>
      <c r="E909" t="s">
        <v>24</v>
      </c>
      <c r="G909" t="str">
        <f>_xlfn.XLOOKUP(frasest[[#This Row],[author_es]],autorest[author_es],autorest[author_la])</f>
        <v>Sententia Hispanica</v>
      </c>
      <c r="H909" t="str">
        <f>_xlfn.XLOOKUP(frasest[[#This Row],[author_es]],autorest[author_es],autorest[bio_es])</f>
        <v>Refranes populares de la tradición oral hispana que expresan de forma breve y ingeniosa enseñanzas prácticas sobre la vida cotidiana.</v>
      </c>
      <c r="I909" t="str">
        <f>_xlfn.XLOOKUP(frasest[[#This Row],[author_es]],autorest[author_es],autorest[bio_la])</f>
        <v>Collectio sententiarum Hispanicarum.</v>
      </c>
      <c r="J909" t="str">
        <f>_xlfn.XLOOKUP(frasest[[#This Row],[author_es]],autorest[author_es],autorest[iso3691])</f>
        <v>es</v>
      </c>
      <c r="K909" t="str">
        <f>_xlfn.XLOOKUP(frasest[[#This Row],[author_es]],autorest[author_es],autorest[language_es])</f>
        <v>Español</v>
      </c>
      <c r="L909" t="str">
        <f>_xlfn.XLOOKUP(frasest[[#This Row],[author_es]],autorest[author_es],autorest[language_la])</f>
        <v>Lingua Hispanica</v>
      </c>
      <c r="M909" t="str">
        <f>_xlfn.XLOOKUP(frasest[[#This Row],[author_es]],autorest[author_es],autorest[nation_es])</f>
        <v>España</v>
      </c>
      <c r="N909" t="str">
        <f>_xlfn.XLOOKUP(frasest[[#This Row],[author_es]],autorest[author_es],autorest[nation_la])</f>
        <v>Hispania</v>
      </c>
      <c r="O909" t="str">
        <f>_xlfn.XLOOKUP(frasest[[#This Row],[author_es]],autorest[author_es],autorest[age_es])</f>
        <v>Epoca Desconocida</v>
      </c>
      <c r="P909" t="str">
        <f>_xlfn.XLOOKUP(frasest[[#This Row],[author_es]],autorest[author_es],autorest[age_la])</f>
        <v>Epocha Ignota</v>
      </c>
      <c r="Q909" t="str">
        <f>_xlfn.XLOOKUP(frasest[[#This Row],[author_es]],autorest[author_es],autorest[image])</f>
        <v>https://i.ibb.co/Y4f7TZWm/espa-a.png</v>
      </c>
      <c r="R909">
        <f>_xlfn.XLOOKUP(frasest[[#This Row],[author_es]],autorest[author_es],autorest[image_atr])</f>
        <v>0</v>
      </c>
    </row>
    <row r="910" spans="1:18">
      <c r="A910">
        <v>909</v>
      </c>
      <c r="B910" t="s">
        <v>2377</v>
      </c>
      <c r="C910" t="s">
        <v>2378</v>
      </c>
      <c r="D910" t="s">
        <v>2377</v>
      </c>
      <c r="E910" t="s">
        <v>24</v>
      </c>
      <c r="G910" t="str">
        <f>_xlfn.XLOOKUP(frasest[[#This Row],[author_es]],autorest[author_es],autorest[author_la])</f>
        <v>Sententia Hispanica</v>
      </c>
      <c r="H910" t="str">
        <f>_xlfn.XLOOKUP(frasest[[#This Row],[author_es]],autorest[author_es],autorest[bio_es])</f>
        <v>Refranes populares de la tradición oral hispana que expresan de forma breve y ingeniosa enseñanzas prácticas sobre la vida cotidiana.</v>
      </c>
      <c r="I910" t="str">
        <f>_xlfn.XLOOKUP(frasest[[#This Row],[author_es]],autorest[author_es],autorest[bio_la])</f>
        <v>Collectio sententiarum Hispanicarum.</v>
      </c>
      <c r="J910" t="str">
        <f>_xlfn.XLOOKUP(frasest[[#This Row],[author_es]],autorest[author_es],autorest[iso3691])</f>
        <v>es</v>
      </c>
      <c r="K910" t="str">
        <f>_xlfn.XLOOKUP(frasest[[#This Row],[author_es]],autorest[author_es],autorest[language_es])</f>
        <v>Español</v>
      </c>
      <c r="L910" t="str">
        <f>_xlfn.XLOOKUP(frasest[[#This Row],[author_es]],autorest[author_es],autorest[language_la])</f>
        <v>Lingua Hispanica</v>
      </c>
      <c r="M910" t="str">
        <f>_xlfn.XLOOKUP(frasest[[#This Row],[author_es]],autorest[author_es],autorest[nation_es])</f>
        <v>España</v>
      </c>
      <c r="N910" t="str">
        <f>_xlfn.XLOOKUP(frasest[[#This Row],[author_es]],autorest[author_es],autorest[nation_la])</f>
        <v>Hispania</v>
      </c>
      <c r="O910" t="str">
        <f>_xlfn.XLOOKUP(frasest[[#This Row],[author_es]],autorest[author_es],autorest[age_es])</f>
        <v>Epoca Desconocida</v>
      </c>
      <c r="P910" t="str">
        <f>_xlfn.XLOOKUP(frasest[[#This Row],[author_es]],autorest[author_es],autorest[age_la])</f>
        <v>Epocha Ignota</v>
      </c>
      <c r="Q910" t="str">
        <f>_xlfn.XLOOKUP(frasest[[#This Row],[author_es]],autorest[author_es],autorest[image])</f>
        <v>https://i.ibb.co/Y4f7TZWm/espa-a.png</v>
      </c>
      <c r="R910">
        <f>_xlfn.XLOOKUP(frasest[[#This Row],[author_es]],autorest[author_es],autorest[image_atr])</f>
        <v>0</v>
      </c>
    </row>
    <row r="911" spans="1:18">
      <c r="A911">
        <v>910</v>
      </c>
      <c r="B911" t="s">
        <v>2988</v>
      </c>
      <c r="C911" t="s">
        <v>2989</v>
      </c>
      <c r="D911" t="s">
        <v>2988</v>
      </c>
      <c r="E911" t="s">
        <v>24</v>
      </c>
      <c r="G911" t="str">
        <f>_xlfn.XLOOKUP(frasest[[#This Row],[author_es]],autorest[author_es],autorest[author_la])</f>
        <v>Sententia Hispanica</v>
      </c>
      <c r="H911" t="str">
        <f>_xlfn.XLOOKUP(frasest[[#This Row],[author_es]],autorest[author_es],autorest[bio_es])</f>
        <v>Refranes populares de la tradición oral hispana que expresan de forma breve y ingeniosa enseñanzas prácticas sobre la vida cotidiana.</v>
      </c>
      <c r="I911" t="str">
        <f>_xlfn.XLOOKUP(frasest[[#This Row],[author_es]],autorest[author_es],autorest[bio_la])</f>
        <v>Collectio sententiarum Hispanicarum.</v>
      </c>
      <c r="J911" t="str">
        <f>_xlfn.XLOOKUP(frasest[[#This Row],[author_es]],autorest[author_es],autorest[iso3691])</f>
        <v>es</v>
      </c>
      <c r="K911" t="str">
        <f>_xlfn.XLOOKUP(frasest[[#This Row],[author_es]],autorest[author_es],autorest[language_es])</f>
        <v>Español</v>
      </c>
      <c r="L911" t="str">
        <f>_xlfn.XLOOKUP(frasest[[#This Row],[author_es]],autorest[author_es],autorest[language_la])</f>
        <v>Lingua Hispanica</v>
      </c>
      <c r="M911" t="str">
        <f>_xlfn.XLOOKUP(frasest[[#This Row],[author_es]],autorest[author_es],autorest[nation_es])</f>
        <v>España</v>
      </c>
      <c r="N911" t="str">
        <f>_xlfn.XLOOKUP(frasest[[#This Row],[author_es]],autorest[author_es],autorest[nation_la])</f>
        <v>Hispania</v>
      </c>
      <c r="O911" t="str">
        <f>_xlfn.XLOOKUP(frasest[[#This Row],[author_es]],autorest[author_es],autorest[age_es])</f>
        <v>Epoca Desconocida</v>
      </c>
      <c r="P911" t="str">
        <f>_xlfn.XLOOKUP(frasest[[#This Row],[author_es]],autorest[author_es],autorest[age_la])</f>
        <v>Epocha Ignota</v>
      </c>
      <c r="Q911" t="str">
        <f>_xlfn.XLOOKUP(frasest[[#This Row],[author_es]],autorest[author_es],autorest[image])</f>
        <v>https://i.ibb.co/Y4f7TZWm/espa-a.png</v>
      </c>
      <c r="R911">
        <f>_xlfn.XLOOKUP(frasest[[#This Row],[author_es]],autorest[author_es],autorest[image_atr])</f>
        <v>0</v>
      </c>
    </row>
    <row r="912" spans="1:18">
      <c r="A912">
        <v>911</v>
      </c>
      <c r="B912" t="s">
        <v>2990</v>
      </c>
      <c r="C912" t="s">
        <v>2991</v>
      </c>
      <c r="D912" t="s">
        <v>2990</v>
      </c>
      <c r="E912" t="s">
        <v>24</v>
      </c>
      <c r="G912" t="str">
        <f>_xlfn.XLOOKUP(frasest[[#This Row],[author_es]],autorest[author_es],autorest[author_la])</f>
        <v>Sententia Hispanica</v>
      </c>
      <c r="H912" t="str">
        <f>_xlfn.XLOOKUP(frasest[[#This Row],[author_es]],autorest[author_es],autorest[bio_es])</f>
        <v>Refranes populares de la tradición oral hispana que expresan de forma breve y ingeniosa enseñanzas prácticas sobre la vida cotidiana.</v>
      </c>
      <c r="I912" t="str">
        <f>_xlfn.XLOOKUP(frasest[[#This Row],[author_es]],autorest[author_es],autorest[bio_la])</f>
        <v>Collectio sententiarum Hispanicarum.</v>
      </c>
      <c r="J912" t="str">
        <f>_xlfn.XLOOKUP(frasest[[#This Row],[author_es]],autorest[author_es],autorest[iso3691])</f>
        <v>es</v>
      </c>
      <c r="K912" t="str">
        <f>_xlfn.XLOOKUP(frasest[[#This Row],[author_es]],autorest[author_es],autorest[language_es])</f>
        <v>Español</v>
      </c>
      <c r="L912" t="str">
        <f>_xlfn.XLOOKUP(frasest[[#This Row],[author_es]],autorest[author_es],autorest[language_la])</f>
        <v>Lingua Hispanica</v>
      </c>
      <c r="M912" t="str">
        <f>_xlfn.XLOOKUP(frasest[[#This Row],[author_es]],autorest[author_es],autorest[nation_es])</f>
        <v>España</v>
      </c>
      <c r="N912" t="str">
        <f>_xlfn.XLOOKUP(frasest[[#This Row],[author_es]],autorest[author_es],autorest[nation_la])</f>
        <v>Hispania</v>
      </c>
      <c r="O912" t="str">
        <f>_xlfn.XLOOKUP(frasest[[#This Row],[author_es]],autorest[author_es],autorest[age_es])</f>
        <v>Epoca Desconocida</v>
      </c>
      <c r="P912" t="str">
        <f>_xlfn.XLOOKUP(frasest[[#This Row],[author_es]],autorest[author_es],autorest[age_la])</f>
        <v>Epocha Ignota</v>
      </c>
      <c r="Q912" t="str">
        <f>_xlfn.XLOOKUP(frasest[[#This Row],[author_es]],autorest[author_es],autorest[image])</f>
        <v>https://i.ibb.co/Y4f7TZWm/espa-a.png</v>
      </c>
      <c r="R912">
        <f>_xlfn.XLOOKUP(frasest[[#This Row],[author_es]],autorest[author_es],autorest[image_atr])</f>
        <v>0</v>
      </c>
    </row>
    <row r="913" spans="1:18">
      <c r="A913">
        <v>912</v>
      </c>
      <c r="B913" t="s">
        <v>2992</v>
      </c>
      <c r="C913" t="s">
        <v>2993</v>
      </c>
      <c r="D913" t="s">
        <v>2992</v>
      </c>
      <c r="E913" t="s">
        <v>24</v>
      </c>
      <c r="G913" t="str">
        <f>_xlfn.XLOOKUP(frasest[[#This Row],[author_es]],autorest[author_es],autorest[author_la])</f>
        <v>Sententia Hispanica</v>
      </c>
      <c r="H913" t="str">
        <f>_xlfn.XLOOKUP(frasest[[#This Row],[author_es]],autorest[author_es],autorest[bio_es])</f>
        <v>Refranes populares de la tradición oral hispana que expresan de forma breve y ingeniosa enseñanzas prácticas sobre la vida cotidiana.</v>
      </c>
      <c r="I913" t="str">
        <f>_xlfn.XLOOKUP(frasest[[#This Row],[author_es]],autorest[author_es],autorest[bio_la])</f>
        <v>Collectio sententiarum Hispanicarum.</v>
      </c>
      <c r="J913" t="str">
        <f>_xlfn.XLOOKUP(frasest[[#This Row],[author_es]],autorest[author_es],autorest[iso3691])</f>
        <v>es</v>
      </c>
      <c r="K913" t="str">
        <f>_xlfn.XLOOKUP(frasest[[#This Row],[author_es]],autorest[author_es],autorest[language_es])</f>
        <v>Español</v>
      </c>
      <c r="L913" t="str">
        <f>_xlfn.XLOOKUP(frasest[[#This Row],[author_es]],autorest[author_es],autorest[language_la])</f>
        <v>Lingua Hispanica</v>
      </c>
      <c r="M913" t="str">
        <f>_xlfn.XLOOKUP(frasest[[#This Row],[author_es]],autorest[author_es],autorest[nation_es])</f>
        <v>España</v>
      </c>
      <c r="N913" t="str">
        <f>_xlfn.XLOOKUP(frasest[[#This Row],[author_es]],autorest[author_es],autorest[nation_la])</f>
        <v>Hispania</v>
      </c>
      <c r="O913" t="str">
        <f>_xlfn.XLOOKUP(frasest[[#This Row],[author_es]],autorest[author_es],autorest[age_es])</f>
        <v>Epoca Desconocida</v>
      </c>
      <c r="P913" t="str">
        <f>_xlfn.XLOOKUP(frasest[[#This Row],[author_es]],autorest[author_es],autorest[age_la])</f>
        <v>Epocha Ignota</v>
      </c>
      <c r="Q913" t="str">
        <f>_xlfn.XLOOKUP(frasest[[#This Row],[author_es]],autorest[author_es],autorest[image])</f>
        <v>https://i.ibb.co/Y4f7TZWm/espa-a.png</v>
      </c>
      <c r="R913">
        <f>_xlfn.XLOOKUP(frasest[[#This Row],[author_es]],autorest[author_es],autorest[image_atr])</f>
        <v>0</v>
      </c>
    </row>
    <row r="914" spans="1:18">
      <c r="A914">
        <v>913</v>
      </c>
      <c r="B914" t="s">
        <v>2994</v>
      </c>
      <c r="C914" t="s">
        <v>2995</v>
      </c>
      <c r="D914" t="s">
        <v>2994</v>
      </c>
      <c r="E914" t="s">
        <v>24</v>
      </c>
      <c r="G914" t="str">
        <f>_xlfn.XLOOKUP(frasest[[#This Row],[author_es]],autorest[author_es],autorest[author_la])</f>
        <v>Sententia Hispanica</v>
      </c>
      <c r="H914" t="str">
        <f>_xlfn.XLOOKUP(frasest[[#This Row],[author_es]],autorest[author_es],autorest[bio_es])</f>
        <v>Refranes populares de la tradición oral hispana que expresan de forma breve y ingeniosa enseñanzas prácticas sobre la vida cotidiana.</v>
      </c>
      <c r="I914" t="str">
        <f>_xlfn.XLOOKUP(frasest[[#This Row],[author_es]],autorest[author_es],autorest[bio_la])</f>
        <v>Collectio sententiarum Hispanicarum.</v>
      </c>
      <c r="J914" t="str">
        <f>_xlfn.XLOOKUP(frasest[[#This Row],[author_es]],autorest[author_es],autorest[iso3691])</f>
        <v>es</v>
      </c>
      <c r="K914" t="str">
        <f>_xlfn.XLOOKUP(frasest[[#This Row],[author_es]],autorest[author_es],autorest[language_es])</f>
        <v>Español</v>
      </c>
      <c r="L914" t="str">
        <f>_xlfn.XLOOKUP(frasest[[#This Row],[author_es]],autorest[author_es],autorest[language_la])</f>
        <v>Lingua Hispanica</v>
      </c>
      <c r="M914" t="str">
        <f>_xlfn.XLOOKUP(frasest[[#This Row],[author_es]],autorest[author_es],autorest[nation_es])</f>
        <v>España</v>
      </c>
      <c r="N914" t="str">
        <f>_xlfn.XLOOKUP(frasest[[#This Row],[author_es]],autorest[author_es],autorest[nation_la])</f>
        <v>Hispania</v>
      </c>
      <c r="O914" t="str">
        <f>_xlfn.XLOOKUP(frasest[[#This Row],[author_es]],autorest[author_es],autorest[age_es])</f>
        <v>Epoca Desconocida</v>
      </c>
      <c r="P914" t="str">
        <f>_xlfn.XLOOKUP(frasest[[#This Row],[author_es]],autorest[author_es],autorest[age_la])</f>
        <v>Epocha Ignota</v>
      </c>
      <c r="Q914" t="str">
        <f>_xlfn.XLOOKUP(frasest[[#This Row],[author_es]],autorest[author_es],autorest[image])</f>
        <v>https://i.ibb.co/Y4f7TZWm/espa-a.png</v>
      </c>
      <c r="R914">
        <f>_xlfn.XLOOKUP(frasest[[#This Row],[author_es]],autorest[author_es],autorest[image_atr])</f>
        <v>0</v>
      </c>
    </row>
    <row r="915" spans="1:18">
      <c r="A915">
        <v>914</v>
      </c>
      <c r="B915" t="s">
        <v>2996</v>
      </c>
      <c r="C915" t="s">
        <v>2997</v>
      </c>
      <c r="D915" t="s">
        <v>2996</v>
      </c>
      <c r="E915" t="s">
        <v>24</v>
      </c>
      <c r="G915" t="str">
        <f>_xlfn.XLOOKUP(frasest[[#This Row],[author_es]],autorest[author_es],autorest[author_la])</f>
        <v>Sententia Hispanica</v>
      </c>
      <c r="H915" t="str">
        <f>_xlfn.XLOOKUP(frasest[[#This Row],[author_es]],autorest[author_es],autorest[bio_es])</f>
        <v>Refranes populares de la tradición oral hispana que expresan de forma breve y ingeniosa enseñanzas prácticas sobre la vida cotidiana.</v>
      </c>
      <c r="I915" t="str">
        <f>_xlfn.XLOOKUP(frasest[[#This Row],[author_es]],autorest[author_es],autorest[bio_la])</f>
        <v>Collectio sententiarum Hispanicarum.</v>
      </c>
      <c r="J915" t="str">
        <f>_xlfn.XLOOKUP(frasest[[#This Row],[author_es]],autorest[author_es],autorest[iso3691])</f>
        <v>es</v>
      </c>
      <c r="K915" t="str">
        <f>_xlfn.XLOOKUP(frasest[[#This Row],[author_es]],autorest[author_es],autorest[language_es])</f>
        <v>Español</v>
      </c>
      <c r="L915" t="str">
        <f>_xlfn.XLOOKUP(frasest[[#This Row],[author_es]],autorest[author_es],autorest[language_la])</f>
        <v>Lingua Hispanica</v>
      </c>
      <c r="M915" t="str">
        <f>_xlfn.XLOOKUP(frasest[[#This Row],[author_es]],autorest[author_es],autorest[nation_es])</f>
        <v>España</v>
      </c>
      <c r="N915" t="str">
        <f>_xlfn.XLOOKUP(frasest[[#This Row],[author_es]],autorest[author_es],autorest[nation_la])</f>
        <v>Hispania</v>
      </c>
      <c r="O915" t="str">
        <f>_xlfn.XLOOKUP(frasest[[#This Row],[author_es]],autorest[author_es],autorest[age_es])</f>
        <v>Epoca Desconocida</v>
      </c>
      <c r="P915" t="str">
        <f>_xlfn.XLOOKUP(frasest[[#This Row],[author_es]],autorest[author_es],autorest[age_la])</f>
        <v>Epocha Ignota</v>
      </c>
      <c r="Q915" t="str">
        <f>_xlfn.XLOOKUP(frasest[[#This Row],[author_es]],autorest[author_es],autorest[image])</f>
        <v>https://i.ibb.co/Y4f7TZWm/espa-a.png</v>
      </c>
      <c r="R915">
        <f>_xlfn.XLOOKUP(frasest[[#This Row],[author_es]],autorest[author_es],autorest[image_atr])</f>
        <v>0</v>
      </c>
    </row>
    <row r="916" spans="1:18">
      <c r="A916">
        <v>915</v>
      </c>
      <c r="B916" t="s">
        <v>2998</v>
      </c>
      <c r="C916" t="s">
        <v>2999</v>
      </c>
      <c r="D916" t="s">
        <v>2998</v>
      </c>
      <c r="E916" t="s">
        <v>24</v>
      </c>
      <c r="G916" t="str">
        <f>_xlfn.XLOOKUP(frasest[[#This Row],[author_es]],autorest[author_es],autorest[author_la])</f>
        <v>Sententia Hispanica</v>
      </c>
      <c r="H916" t="str">
        <f>_xlfn.XLOOKUP(frasest[[#This Row],[author_es]],autorest[author_es],autorest[bio_es])</f>
        <v>Refranes populares de la tradición oral hispana que expresan de forma breve y ingeniosa enseñanzas prácticas sobre la vida cotidiana.</v>
      </c>
      <c r="I916" t="str">
        <f>_xlfn.XLOOKUP(frasest[[#This Row],[author_es]],autorest[author_es],autorest[bio_la])</f>
        <v>Collectio sententiarum Hispanicarum.</v>
      </c>
      <c r="J916" t="str">
        <f>_xlfn.XLOOKUP(frasest[[#This Row],[author_es]],autorest[author_es],autorest[iso3691])</f>
        <v>es</v>
      </c>
      <c r="K916" t="str">
        <f>_xlfn.XLOOKUP(frasest[[#This Row],[author_es]],autorest[author_es],autorest[language_es])</f>
        <v>Español</v>
      </c>
      <c r="L916" t="str">
        <f>_xlfn.XLOOKUP(frasest[[#This Row],[author_es]],autorest[author_es],autorest[language_la])</f>
        <v>Lingua Hispanica</v>
      </c>
      <c r="M916" t="str">
        <f>_xlfn.XLOOKUP(frasest[[#This Row],[author_es]],autorest[author_es],autorest[nation_es])</f>
        <v>España</v>
      </c>
      <c r="N916" t="str">
        <f>_xlfn.XLOOKUP(frasest[[#This Row],[author_es]],autorest[author_es],autorest[nation_la])</f>
        <v>Hispania</v>
      </c>
      <c r="O916" t="str">
        <f>_xlfn.XLOOKUP(frasest[[#This Row],[author_es]],autorest[author_es],autorest[age_es])</f>
        <v>Epoca Desconocida</v>
      </c>
      <c r="P916" t="str">
        <f>_xlfn.XLOOKUP(frasest[[#This Row],[author_es]],autorest[author_es],autorest[age_la])</f>
        <v>Epocha Ignota</v>
      </c>
      <c r="Q916" t="str">
        <f>_xlfn.XLOOKUP(frasest[[#This Row],[author_es]],autorest[author_es],autorest[image])</f>
        <v>https://i.ibb.co/Y4f7TZWm/espa-a.png</v>
      </c>
      <c r="R916">
        <f>_xlfn.XLOOKUP(frasest[[#This Row],[author_es]],autorest[author_es],autorest[image_atr])</f>
        <v>0</v>
      </c>
    </row>
    <row r="917" spans="1:18">
      <c r="A917">
        <v>916</v>
      </c>
      <c r="B917" t="s">
        <v>3000</v>
      </c>
      <c r="C917" t="s">
        <v>3001</v>
      </c>
      <c r="D917" t="s">
        <v>3000</v>
      </c>
      <c r="E917" t="s">
        <v>24</v>
      </c>
      <c r="G917" t="str">
        <f>_xlfn.XLOOKUP(frasest[[#This Row],[author_es]],autorest[author_es],autorest[author_la])</f>
        <v>Sententia Hispanica</v>
      </c>
      <c r="H917" t="str">
        <f>_xlfn.XLOOKUP(frasest[[#This Row],[author_es]],autorest[author_es],autorest[bio_es])</f>
        <v>Refranes populares de la tradición oral hispana que expresan de forma breve y ingeniosa enseñanzas prácticas sobre la vida cotidiana.</v>
      </c>
      <c r="I917" t="str">
        <f>_xlfn.XLOOKUP(frasest[[#This Row],[author_es]],autorest[author_es],autorest[bio_la])</f>
        <v>Collectio sententiarum Hispanicarum.</v>
      </c>
      <c r="J917" t="str">
        <f>_xlfn.XLOOKUP(frasest[[#This Row],[author_es]],autorest[author_es],autorest[iso3691])</f>
        <v>es</v>
      </c>
      <c r="K917" t="str">
        <f>_xlfn.XLOOKUP(frasest[[#This Row],[author_es]],autorest[author_es],autorest[language_es])</f>
        <v>Español</v>
      </c>
      <c r="L917" t="str">
        <f>_xlfn.XLOOKUP(frasest[[#This Row],[author_es]],autorest[author_es],autorest[language_la])</f>
        <v>Lingua Hispanica</v>
      </c>
      <c r="M917" t="str">
        <f>_xlfn.XLOOKUP(frasest[[#This Row],[author_es]],autorest[author_es],autorest[nation_es])</f>
        <v>España</v>
      </c>
      <c r="N917" t="str">
        <f>_xlfn.XLOOKUP(frasest[[#This Row],[author_es]],autorest[author_es],autorest[nation_la])</f>
        <v>Hispania</v>
      </c>
      <c r="O917" t="str">
        <f>_xlfn.XLOOKUP(frasest[[#This Row],[author_es]],autorest[author_es],autorest[age_es])</f>
        <v>Epoca Desconocida</v>
      </c>
      <c r="P917" t="str">
        <f>_xlfn.XLOOKUP(frasest[[#This Row],[author_es]],autorest[author_es],autorest[age_la])</f>
        <v>Epocha Ignota</v>
      </c>
      <c r="Q917" t="str">
        <f>_xlfn.XLOOKUP(frasest[[#This Row],[author_es]],autorest[author_es],autorest[image])</f>
        <v>https://i.ibb.co/Y4f7TZWm/espa-a.png</v>
      </c>
      <c r="R917">
        <f>_xlfn.XLOOKUP(frasest[[#This Row],[author_es]],autorest[author_es],autorest[image_atr])</f>
        <v>0</v>
      </c>
    </row>
    <row r="918" spans="1:18">
      <c r="A918">
        <v>917</v>
      </c>
      <c r="B918" t="s">
        <v>3002</v>
      </c>
      <c r="C918" t="s">
        <v>3003</v>
      </c>
      <c r="D918" t="s">
        <v>3002</v>
      </c>
      <c r="E918" t="s">
        <v>24</v>
      </c>
      <c r="G918" t="str">
        <f>_xlfn.XLOOKUP(frasest[[#This Row],[author_es]],autorest[author_es],autorest[author_la])</f>
        <v>Sententia Hispanica</v>
      </c>
      <c r="H918" t="str">
        <f>_xlfn.XLOOKUP(frasest[[#This Row],[author_es]],autorest[author_es],autorest[bio_es])</f>
        <v>Refranes populares de la tradición oral hispana que expresan de forma breve y ingeniosa enseñanzas prácticas sobre la vida cotidiana.</v>
      </c>
      <c r="I918" t="str">
        <f>_xlfn.XLOOKUP(frasest[[#This Row],[author_es]],autorest[author_es],autorest[bio_la])</f>
        <v>Collectio sententiarum Hispanicarum.</v>
      </c>
      <c r="J918" t="str">
        <f>_xlfn.XLOOKUP(frasest[[#This Row],[author_es]],autorest[author_es],autorest[iso3691])</f>
        <v>es</v>
      </c>
      <c r="K918" t="str">
        <f>_xlfn.XLOOKUP(frasest[[#This Row],[author_es]],autorest[author_es],autorest[language_es])</f>
        <v>Español</v>
      </c>
      <c r="L918" t="str">
        <f>_xlfn.XLOOKUP(frasest[[#This Row],[author_es]],autorest[author_es],autorest[language_la])</f>
        <v>Lingua Hispanica</v>
      </c>
      <c r="M918" t="str">
        <f>_xlfn.XLOOKUP(frasest[[#This Row],[author_es]],autorest[author_es],autorest[nation_es])</f>
        <v>España</v>
      </c>
      <c r="N918" t="str">
        <f>_xlfn.XLOOKUP(frasest[[#This Row],[author_es]],autorest[author_es],autorest[nation_la])</f>
        <v>Hispania</v>
      </c>
      <c r="O918" t="str">
        <f>_xlfn.XLOOKUP(frasest[[#This Row],[author_es]],autorest[author_es],autorest[age_es])</f>
        <v>Epoca Desconocida</v>
      </c>
      <c r="P918" t="str">
        <f>_xlfn.XLOOKUP(frasest[[#This Row],[author_es]],autorest[author_es],autorest[age_la])</f>
        <v>Epocha Ignota</v>
      </c>
      <c r="Q918" t="str">
        <f>_xlfn.XLOOKUP(frasest[[#This Row],[author_es]],autorest[author_es],autorest[image])</f>
        <v>https://i.ibb.co/Y4f7TZWm/espa-a.png</v>
      </c>
      <c r="R918">
        <f>_xlfn.XLOOKUP(frasest[[#This Row],[author_es]],autorest[author_es],autorest[image_atr])</f>
        <v>0</v>
      </c>
    </row>
    <row r="919" spans="1:18">
      <c r="A919">
        <v>918</v>
      </c>
      <c r="B919" t="s">
        <v>3004</v>
      </c>
      <c r="C919" t="s">
        <v>3005</v>
      </c>
      <c r="D919" t="s">
        <v>3004</v>
      </c>
      <c r="E919" t="s">
        <v>24</v>
      </c>
      <c r="G919" t="str">
        <f>_xlfn.XLOOKUP(frasest[[#This Row],[author_es]],autorest[author_es],autorest[author_la])</f>
        <v>Sententia Hispanica</v>
      </c>
      <c r="H919" t="str">
        <f>_xlfn.XLOOKUP(frasest[[#This Row],[author_es]],autorest[author_es],autorest[bio_es])</f>
        <v>Refranes populares de la tradición oral hispana que expresan de forma breve y ingeniosa enseñanzas prácticas sobre la vida cotidiana.</v>
      </c>
      <c r="I919" t="str">
        <f>_xlfn.XLOOKUP(frasest[[#This Row],[author_es]],autorest[author_es],autorest[bio_la])</f>
        <v>Collectio sententiarum Hispanicarum.</v>
      </c>
      <c r="J919" t="str">
        <f>_xlfn.XLOOKUP(frasest[[#This Row],[author_es]],autorest[author_es],autorest[iso3691])</f>
        <v>es</v>
      </c>
      <c r="K919" t="str">
        <f>_xlfn.XLOOKUP(frasest[[#This Row],[author_es]],autorest[author_es],autorest[language_es])</f>
        <v>Español</v>
      </c>
      <c r="L919" t="str">
        <f>_xlfn.XLOOKUP(frasest[[#This Row],[author_es]],autorest[author_es],autorest[language_la])</f>
        <v>Lingua Hispanica</v>
      </c>
      <c r="M919" t="str">
        <f>_xlfn.XLOOKUP(frasest[[#This Row],[author_es]],autorest[author_es],autorest[nation_es])</f>
        <v>España</v>
      </c>
      <c r="N919" t="str">
        <f>_xlfn.XLOOKUP(frasest[[#This Row],[author_es]],autorest[author_es],autorest[nation_la])</f>
        <v>Hispania</v>
      </c>
      <c r="O919" t="str">
        <f>_xlfn.XLOOKUP(frasest[[#This Row],[author_es]],autorest[author_es],autorest[age_es])</f>
        <v>Epoca Desconocida</v>
      </c>
      <c r="P919" t="str">
        <f>_xlfn.XLOOKUP(frasest[[#This Row],[author_es]],autorest[author_es],autorest[age_la])</f>
        <v>Epocha Ignota</v>
      </c>
      <c r="Q919" t="str">
        <f>_xlfn.XLOOKUP(frasest[[#This Row],[author_es]],autorest[author_es],autorest[image])</f>
        <v>https://i.ibb.co/Y4f7TZWm/espa-a.png</v>
      </c>
      <c r="R919">
        <f>_xlfn.XLOOKUP(frasest[[#This Row],[author_es]],autorest[author_es],autorest[image_atr])</f>
        <v>0</v>
      </c>
    </row>
    <row r="920" spans="1:18">
      <c r="A920">
        <v>919</v>
      </c>
      <c r="B920" t="s">
        <v>3006</v>
      </c>
      <c r="C920" t="s">
        <v>3007</v>
      </c>
      <c r="D920" t="s">
        <v>3006</v>
      </c>
      <c r="E920" t="s">
        <v>24</v>
      </c>
      <c r="G920" t="str">
        <f>_xlfn.XLOOKUP(frasest[[#This Row],[author_es]],autorest[author_es],autorest[author_la])</f>
        <v>Sententia Hispanica</v>
      </c>
      <c r="H920" t="str">
        <f>_xlfn.XLOOKUP(frasest[[#This Row],[author_es]],autorest[author_es],autorest[bio_es])</f>
        <v>Refranes populares de la tradición oral hispana que expresan de forma breve y ingeniosa enseñanzas prácticas sobre la vida cotidiana.</v>
      </c>
      <c r="I920" t="str">
        <f>_xlfn.XLOOKUP(frasest[[#This Row],[author_es]],autorest[author_es],autorest[bio_la])</f>
        <v>Collectio sententiarum Hispanicarum.</v>
      </c>
      <c r="J920" t="str">
        <f>_xlfn.XLOOKUP(frasest[[#This Row],[author_es]],autorest[author_es],autorest[iso3691])</f>
        <v>es</v>
      </c>
      <c r="K920" t="str">
        <f>_xlfn.XLOOKUP(frasest[[#This Row],[author_es]],autorest[author_es],autorest[language_es])</f>
        <v>Español</v>
      </c>
      <c r="L920" t="str">
        <f>_xlfn.XLOOKUP(frasest[[#This Row],[author_es]],autorest[author_es],autorest[language_la])</f>
        <v>Lingua Hispanica</v>
      </c>
      <c r="M920" t="str">
        <f>_xlfn.XLOOKUP(frasest[[#This Row],[author_es]],autorest[author_es],autorest[nation_es])</f>
        <v>España</v>
      </c>
      <c r="N920" t="str">
        <f>_xlfn.XLOOKUP(frasest[[#This Row],[author_es]],autorest[author_es],autorest[nation_la])</f>
        <v>Hispania</v>
      </c>
      <c r="O920" t="str">
        <f>_xlfn.XLOOKUP(frasest[[#This Row],[author_es]],autorest[author_es],autorest[age_es])</f>
        <v>Epoca Desconocida</v>
      </c>
      <c r="P920" t="str">
        <f>_xlfn.XLOOKUP(frasest[[#This Row],[author_es]],autorest[author_es],autorest[age_la])</f>
        <v>Epocha Ignota</v>
      </c>
      <c r="Q920" t="str">
        <f>_xlfn.XLOOKUP(frasest[[#This Row],[author_es]],autorest[author_es],autorest[image])</f>
        <v>https://i.ibb.co/Y4f7TZWm/espa-a.png</v>
      </c>
      <c r="R920">
        <f>_xlfn.XLOOKUP(frasest[[#This Row],[author_es]],autorest[author_es],autorest[image_atr])</f>
        <v>0</v>
      </c>
    </row>
    <row r="921" spans="1:18">
      <c r="A921">
        <v>920</v>
      </c>
      <c r="B921" t="s">
        <v>3008</v>
      </c>
      <c r="C921" t="s">
        <v>3009</v>
      </c>
      <c r="D921" t="s">
        <v>3008</v>
      </c>
      <c r="E921" t="s">
        <v>24</v>
      </c>
      <c r="G921" t="str">
        <f>_xlfn.XLOOKUP(frasest[[#This Row],[author_es]],autorest[author_es],autorest[author_la])</f>
        <v>Sententia Hispanica</v>
      </c>
      <c r="H921" t="str">
        <f>_xlfn.XLOOKUP(frasest[[#This Row],[author_es]],autorest[author_es],autorest[bio_es])</f>
        <v>Refranes populares de la tradición oral hispana que expresan de forma breve y ingeniosa enseñanzas prácticas sobre la vida cotidiana.</v>
      </c>
      <c r="I921" t="str">
        <f>_xlfn.XLOOKUP(frasest[[#This Row],[author_es]],autorest[author_es],autorest[bio_la])</f>
        <v>Collectio sententiarum Hispanicarum.</v>
      </c>
      <c r="J921" t="str">
        <f>_xlfn.XLOOKUP(frasest[[#This Row],[author_es]],autorest[author_es],autorest[iso3691])</f>
        <v>es</v>
      </c>
      <c r="K921" t="str">
        <f>_xlfn.XLOOKUP(frasest[[#This Row],[author_es]],autorest[author_es],autorest[language_es])</f>
        <v>Español</v>
      </c>
      <c r="L921" t="str">
        <f>_xlfn.XLOOKUP(frasest[[#This Row],[author_es]],autorest[author_es],autorest[language_la])</f>
        <v>Lingua Hispanica</v>
      </c>
      <c r="M921" t="str">
        <f>_xlfn.XLOOKUP(frasest[[#This Row],[author_es]],autorest[author_es],autorest[nation_es])</f>
        <v>España</v>
      </c>
      <c r="N921" t="str">
        <f>_xlfn.XLOOKUP(frasest[[#This Row],[author_es]],autorest[author_es],autorest[nation_la])</f>
        <v>Hispania</v>
      </c>
      <c r="O921" t="str">
        <f>_xlfn.XLOOKUP(frasest[[#This Row],[author_es]],autorest[author_es],autorest[age_es])</f>
        <v>Epoca Desconocida</v>
      </c>
      <c r="P921" t="str">
        <f>_xlfn.XLOOKUP(frasest[[#This Row],[author_es]],autorest[author_es],autorest[age_la])</f>
        <v>Epocha Ignota</v>
      </c>
      <c r="Q921" t="str">
        <f>_xlfn.XLOOKUP(frasest[[#This Row],[author_es]],autorest[author_es],autorest[image])</f>
        <v>https://i.ibb.co/Y4f7TZWm/espa-a.png</v>
      </c>
      <c r="R921">
        <f>_xlfn.XLOOKUP(frasest[[#This Row],[author_es]],autorest[author_es],autorest[image_atr])</f>
        <v>0</v>
      </c>
    </row>
    <row r="922" spans="1:18">
      <c r="A922">
        <v>921</v>
      </c>
      <c r="B922" t="s">
        <v>3010</v>
      </c>
      <c r="C922" t="s">
        <v>3011</v>
      </c>
      <c r="D922" t="s">
        <v>3010</v>
      </c>
      <c r="E922" t="s">
        <v>24</v>
      </c>
      <c r="G922" t="str">
        <f>_xlfn.XLOOKUP(frasest[[#This Row],[author_es]],autorest[author_es],autorest[author_la])</f>
        <v>Sententia Hispanica</v>
      </c>
      <c r="H922" t="str">
        <f>_xlfn.XLOOKUP(frasest[[#This Row],[author_es]],autorest[author_es],autorest[bio_es])</f>
        <v>Refranes populares de la tradición oral hispana que expresan de forma breve y ingeniosa enseñanzas prácticas sobre la vida cotidiana.</v>
      </c>
      <c r="I922" t="str">
        <f>_xlfn.XLOOKUP(frasest[[#This Row],[author_es]],autorest[author_es],autorest[bio_la])</f>
        <v>Collectio sententiarum Hispanicarum.</v>
      </c>
      <c r="J922" t="str">
        <f>_xlfn.XLOOKUP(frasest[[#This Row],[author_es]],autorest[author_es],autorest[iso3691])</f>
        <v>es</v>
      </c>
      <c r="K922" t="str">
        <f>_xlfn.XLOOKUP(frasest[[#This Row],[author_es]],autorest[author_es],autorest[language_es])</f>
        <v>Español</v>
      </c>
      <c r="L922" t="str">
        <f>_xlfn.XLOOKUP(frasest[[#This Row],[author_es]],autorest[author_es],autorest[language_la])</f>
        <v>Lingua Hispanica</v>
      </c>
      <c r="M922" t="str">
        <f>_xlfn.XLOOKUP(frasest[[#This Row],[author_es]],autorest[author_es],autorest[nation_es])</f>
        <v>España</v>
      </c>
      <c r="N922" t="str">
        <f>_xlfn.XLOOKUP(frasest[[#This Row],[author_es]],autorest[author_es],autorest[nation_la])</f>
        <v>Hispania</v>
      </c>
      <c r="O922" t="str">
        <f>_xlfn.XLOOKUP(frasest[[#This Row],[author_es]],autorest[author_es],autorest[age_es])</f>
        <v>Epoca Desconocida</v>
      </c>
      <c r="P922" t="str">
        <f>_xlfn.XLOOKUP(frasest[[#This Row],[author_es]],autorest[author_es],autorest[age_la])</f>
        <v>Epocha Ignota</v>
      </c>
      <c r="Q922" t="str">
        <f>_xlfn.XLOOKUP(frasest[[#This Row],[author_es]],autorest[author_es],autorest[image])</f>
        <v>https://i.ibb.co/Y4f7TZWm/espa-a.png</v>
      </c>
      <c r="R922">
        <f>_xlfn.XLOOKUP(frasest[[#This Row],[author_es]],autorest[author_es],autorest[image_atr])</f>
        <v>0</v>
      </c>
    </row>
    <row r="923" spans="1:18">
      <c r="A923">
        <v>922</v>
      </c>
      <c r="B923" t="s">
        <v>3012</v>
      </c>
      <c r="C923" t="s">
        <v>3013</v>
      </c>
      <c r="D923" t="s">
        <v>3012</v>
      </c>
      <c r="E923" t="s">
        <v>24</v>
      </c>
      <c r="G923" t="str">
        <f>_xlfn.XLOOKUP(frasest[[#This Row],[author_es]],autorest[author_es],autorest[author_la])</f>
        <v>Sententia Hispanica</v>
      </c>
      <c r="H923" t="str">
        <f>_xlfn.XLOOKUP(frasest[[#This Row],[author_es]],autorest[author_es],autorest[bio_es])</f>
        <v>Refranes populares de la tradición oral hispana que expresan de forma breve y ingeniosa enseñanzas prácticas sobre la vida cotidiana.</v>
      </c>
      <c r="I923" t="str">
        <f>_xlfn.XLOOKUP(frasest[[#This Row],[author_es]],autorest[author_es],autorest[bio_la])</f>
        <v>Collectio sententiarum Hispanicarum.</v>
      </c>
      <c r="J923" t="str">
        <f>_xlfn.XLOOKUP(frasest[[#This Row],[author_es]],autorest[author_es],autorest[iso3691])</f>
        <v>es</v>
      </c>
      <c r="K923" t="str">
        <f>_xlfn.XLOOKUP(frasest[[#This Row],[author_es]],autorest[author_es],autorest[language_es])</f>
        <v>Español</v>
      </c>
      <c r="L923" t="str">
        <f>_xlfn.XLOOKUP(frasest[[#This Row],[author_es]],autorest[author_es],autorest[language_la])</f>
        <v>Lingua Hispanica</v>
      </c>
      <c r="M923" t="str">
        <f>_xlfn.XLOOKUP(frasest[[#This Row],[author_es]],autorest[author_es],autorest[nation_es])</f>
        <v>España</v>
      </c>
      <c r="N923" t="str">
        <f>_xlfn.XLOOKUP(frasest[[#This Row],[author_es]],autorest[author_es],autorest[nation_la])</f>
        <v>Hispania</v>
      </c>
      <c r="O923" t="str">
        <f>_xlfn.XLOOKUP(frasest[[#This Row],[author_es]],autorest[author_es],autorest[age_es])</f>
        <v>Epoca Desconocida</v>
      </c>
      <c r="P923" t="str">
        <f>_xlfn.XLOOKUP(frasest[[#This Row],[author_es]],autorest[author_es],autorest[age_la])</f>
        <v>Epocha Ignota</v>
      </c>
      <c r="Q923" t="str">
        <f>_xlfn.XLOOKUP(frasest[[#This Row],[author_es]],autorest[author_es],autorest[image])</f>
        <v>https://i.ibb.co/Y4f7TZWm/espa-a.png</v>
      </c>
      <c r="R923">
        <f>_xlfn.XLOOKUP(frasest[[#This Row],[author_es]],autorest[author_es],autorest[image_atr])</f>
        <v>0</v>
      </c>
    </row>
    <row r="924" spans="1:18">
      <c r="A924">
        <v>923</v>
      </c>
      <c r="B924" t="s">
        <v>3014</v>
      </c>
      <c r="C924" t="s">
        <v>3015</v>
      </c>
      <c r="D924" t="s">
        <v>3014</v>
      </c>
      <c r="E924" t="s">
        <v>24</v>
      </c>
      <c r="G924" t="str">
        <f>_xlfn.XLOOKUP(frasest[[#This Row],[author_es]],autorest[author_es],autorest[author_la])</f>
        <v>Sententia Hispanica</v>
      </c>
      <c r="H924" t="str">
        <f>_xlfn.XLOOKUP(frasest[[#This Row],[author_es]],autorest[author_es],autorest[bio_es])</f>
        <v>Refranes populares de la tradición oral hispana que expresan de forma breve y ingeniosa enseñanzas prácticas sobre la vida cotidiana.</v>
      </c>
      <c r="I924" t="str">
        <f>_xlfn.XLOOKUP(frasest[[#This Row],[author_es]],autorest[author_es],autorest[bio_la])</f>
        <v>Collectio sententiarum Hispanicarum.</v>
      </c>
      <c r="J924" t="str">
        <f>_xlfn.XLOOKUP(frasest[[#This Row],[author_es]],autorest[author_es],autorest[iso3691])</f>
        <v>es</v>
      </c>
      <c r="K924" t="str">
        <f>_xlfn.XLOOKUP(frasest[[#This Row],[author_es]],autorest[author_es],autorest[language_es])</f>
        <v>Español</v>
      </c>
      <c r="L924" t="str">
        <f>_xlfn.XLOOKUP(frasest[[#This Row],[author_es]],autorest[author_es],autorest[language_la])</f>
        <v>Lingua Hispanica</v>
      </c>
      <c r="M924" t="str">
        <f>_xlfn.XLOOKUP(frasest[[#This Row],[author_es]],autorest[author_es],autorest[nation_es])</f>
        <v>España</v>
      </c>
      <c r="N924" t="str">
        <f>_xlfn.XLOOKUP(frasest[[#This Row],[author_es]],autorest[author_es],autorest[nation_la])</f>
        <v>Hispania</v>
      </c>
      <c r="O924" t="str">
        <f>_xlfn.XLOOKUP(frasest[[#This Row],[author_es]],autorest[author_es],autorest[age_es])</f>
        <v>Epoca Desconocida</v>
      </c>
      <c r="P924" t="str">
        <f>_xlfn.XLOOKUP(frasest[[#This Row],[author_es]],autorest[author_es],autorest[age_la])</f>
        <v>Epocha Ignota</v>
      </c>
      <c r="Q924" t="str">
        <f>_xlfn.XLOOKUP(frasest[[#This Row],[author_es]],autorest[author_es],autorest[image])</f>
        <v>https://i.ibb.co/Y4f7TZWm/espa-a.png</v>
      </c>
      <c r="R924">
        <f>_xlfn.XLOOKUP(frasest[[#This Row],[author_es]],autorest[author_es],autorest[image_atr])</f>
        <v>0</v>
      </c>
    </row>
    <row r="925" spans="1:18">
      <c r="A925">
        <v>924</v>
      </c>
      <c r="B925" t="s">
        <v>3016</v>
      </c>
      <c r="C925" t="s">
        <v>3017</v>
      </c>
      <c r="D925" t="s">
        <v>3016</v>
      </c>
      <c r="E925" t="s">
        <v>24</v>
      </c>
      <c r="G925" t="str">
        <f>_xlfn.XLOOKUP(frasest[[#This Row],[author_es]],autorest[author_es],autorest[author_la])</f>
        <v>Sententia Hispanica</v>
      </c>
      <c r="H925" t="str">
        <f>_xlfn.XLOOKUP(frasest[[#This Row],[author_es]],autorest[author_es],autorest[bio_es])</f>
        <v>Refranes populares de la tradición oral hispana que expresan de forma breve y ingeniosa enseñanzas prácticas sobre la vida cotidiana.</v>
      </c>
      <c r="I925" t="str">
        <f>_xlfn.XLOOKUP(frasest[[#This Row],[author_es]],autorest[author_es],autorest[bio_la])</f>
        <v>Collectio sententiarum Hispanicarum.</v>
      </c>
      <c r="J925" t="str">
        <f>_xlfn.XLOOKUP(frasest[[#This Row],[author_es]],autorest[author_es],autorest[iso3691])</f>
        <v>es</v>
      </c>
      <c r="K925" t="str">
        <f>_xlfn.XLOOKUP(frasest[[#This Row],[author_es]],autorest[author_es],autorest[language_es])</f>
        <v>Español</v>
      </c>
      <c r="L925" t="str">
        <f>_xlfn.XLOOKUP(frasest[[#This Row],[author_es]],autorest[author_es],autorest[language_la])</f>
        <v>Lingua Hispanica</v>
      </c>
      <c r="M925" t="str">
        <f>_xlfn.XLOOKUP(frasest[[#This Row],[author_es]],autorest[author_es],autorest[nation_es])</f>
        <v>España</v>
      </c>
      <c r="N925" t="str">
        <f>_xlfn.XLOOKUP(frasest[[#This Row],[author_es]],autorest[author_es],autorest[nation_la])</f>
        <v>Hispania</v>
      </c>
      <c r="O925" t="str">
        <f>_xlfn.XLOOKUP(frasest[[#This Row],[author_es]],autorest[author_es],autorest[age_es])</f>
        <v>Epoca Desconocida</v>
      </c>
      <c r="P925" t="str">
        <f>_xlfn.XLOOKUP(frasest[[#This Row],[author_es]],autorest[author_es],autorest[age_la])</f>
        <v>Epocha Ignota</v>
      </c>
      <c r="Q925" t="str">
        <f>_xlfn.XLOOKUP(frasest[[#This Row],[author_es]],autorest[author_es],autorest[image])</f>
        <v>https://i.ibb.co/Y4f7TZWm/espa-a.png</v>
      </c>
      <c r="R925">
        <f>_xlfn.XLOOKUP(frasest[[#This Row],[author_es]],autorest[author_es],autorest[image_atr])</f>
        <v>0</v>
      </c>
    </row>
    <row r="926" spans="1:18">
      <c r="A926">
        <v>925</v>
      </c>
      <c r="B926" t="s">
        <v>3018</v>
      </c>
      <c r="C926" t="s">
        <v>3019</v>
      </c>
      <c r="D926" t="s">
        <v>3018</v>
      </c>
      <c r="E926" t="s">
        <v>24</v>
      </c>
      <c r="G926" t="str">
        <f>_xlfn.XLOOKUP(frasest[[#This Row],[author_es]],autorest[author_es],autorest[author_la])</f>
        <v>Sententia Hispanica</v>
      </c>
      <c r="H926" t="str">
        <f>_xlfn.XLOOKUP(frasest[[#This Row],[author_es]],autorest[author_es],autorest[bio_es])</f>
        <v>Refranes populares de la tradición oral hispana que expresan de forma breve y ingeniosa enseñanzas prácticas sobre la vida cotidiana.</v>
      </c>
      <c r="I926" t="str">
        <f>_xlfn.XLOOKUP(frasest[[#This Row],[author_es]],autorest[author_es],autorest[bio_la])</f>
        <v>Collectio sententiarum Hispanicarum.</v>
      </c>
      <c r="J926" t="str">
        <f>_xlfn.XLOOKUP(frasest[[#This Row],[author_es]],autorest[author_es],autorest[iso3691])</f>
        <v>es</v>
      </c>
      <c r="K926" t="str">
        <f>_xlfn.XLOOKUP(frasest[[#This Row],[author_es]],autorest[author_es],autorest[language_es])</f>
        <v>Español</v>
      </c>
      <c r="L926" t="str">
        <f>_xlfn.XLOOKUP(frasest[[#This Row],[author_es]],autorest[author_es],autorest[language_la])</f>
        <v>Lingua Hispanica</v>
      </c>
      <c r="M926" t="str">
        <f>_xlfn.XLOOKUP(frasest[[#This Row],[author_es]],autorest[author_es],autorest[nation_es])</f>
        <v>España</v>
      </c>
      <c r="N926" t="str">
        <f>_xlfn.XLOOKUP(frasest[[#This Row],[author_es]],autorest[author_es],autorest[nation_la])</f>
        <v>Hispania</v>
      </c>
      <c r="O926" t="str">
        <f>_xlfn.XLOOKUP(frasest[[#This Row],[author_es]],autorest[author_es],autorest[age_es])</f>
        <v>Epoca Desconocida</v>
      </c>
      <c r="P926" t="str">
        <f>_xlfn.XLOOKUP(frasest[[#This Row],[author_es]],autorest[author_es],autorest[age_la])</f>
        <v>Epocha Ignota</v>
      </c>
      <c r="Q926" t="str">
        <f>_xlfn.XLOOKUP(frasest[[#This Row],[author_es]],autorest[author_es],autorest[image])</f>
        <v>https://i.ibb.co/Y4f7TZWm/espa-a.png</v>
      </c>
      <c r="R926">
        <f>_xlfn.XLOOKUP(frasest[[#This Row],[author_es]],autorest[author_es],autorest[image_atr])</f>
        <v>0</v>
      </c>
    </row>
    <row r="927" spans="1:18">
      <c r="A927">
        <v>926</v>
      </c>
      <c r="B927" t="s">
        <v>3020</v>
      </c>
      <c r="C927" t="s">
        <v>3021</v>
      </c>
      <c r="D927" t="s">
        <v>3020</v>
      </c>
      <c r="E927" t="s">
        <v>24</v>
      </c>
      <c r="G927" t="str">
        <f>_xlfn.XLOOKUP(frasest[[#This Row],[author_es]],autorest[author_es],autorest[author_la])</f>
        <v>Sententia Hispanica</v>
      </c>
      <c r="H927" t="str">
        <f>_xlfn.XLOOKUP(frasest[[#This Row],[author_es]],autorest[author_es],autorest[bio_es])</f>
        <v>Refranes populares de la tradición oral hispana que expresan de forma breve y ingeniosa enseñanzas prácticas sobre la vida cotidiana.</v>
      </c>
      <c r="I927" t="str">
        <f>_xlfn.XLOOKUP(frasest[[#This Row],[author_es]],autorest[author_es],autorest[bio_la])</f>
        <v>Collectio sententiarum Hispanicarum.</v>
      </c>
      <c r="J927" t="str">
        <f>_xlfn.XLOOKUP(frasest[[#This Row],[author_es]],autorest[author_es],autorest[iso3691])</f>
        <v>es</v>
      </c>
      <c r="K927" t="str">
        <f>_xlfn.XLOOKUP(frasest[[#This Row],[author_es]],autorest[author_es],autorest[language_es])</f>
        <v>Español</v>
      </c>
      <c r="L927" t="str">
        <f>_xlfn.XLOOKUP(frasest[[#This Row],[author_es]],autorest[author_es],autorest[language_la])</f>
        <v>Lingua Hispanica</v>
      </c>
      <c r="M927" t="str">
        <f>_xlfn.XLOOKUP(frasest[[#This Row],[author_es]],autorest[author_es],autorest[nation_es])</f>
        <v>España</v>
      </c>
      <c r="N927" t="str">
        <f>_xlfn.XLOOKUP(frasest[[#This Row],[author_es]],autorest[author_es],autorest[nation_la])</f>
        <v>Hispania</v>
      </c>
      <c r="O927" t="str">
        <f>_xlfn.XLOOKUP(frasest[[#This Row],[author_es]],autorest[author_es],autorest[age_es])</f>
        <v>Epoca Desconocida</v>
      </c>
      <c r="P927" t="str">
        <f>_xlfn.XLOOKUP(frasest[[#This Row],[author_es]],autorest[author_es],autorest[age_la])</f>
        <v>Epocha Ignota</v>
      </c>
      <c r="Q927" t="str">
        <f>_xlfn.XLOOKUP(frasest[[#This Row],[author_es]],autorest[author_es],autorest[image])</f>
        <v>https://i.ibb.co/Y4f7TZWm/espa-a.png</v>
      </c>
      <c r="R927">
        <f>_xlfn.XLOOKUP(frasest[[#This Row],[author_es]],autorest[author_es],autorest[image_atr])</f>
        <v>0</v>
      </c>
    </row>
    <row r="928" spans="1:18">
      <c r="A928">
        <v>927</v>
      </c>
      <c r="B928" t="s">
        <v>3022</v>
      </c>
      <c r="C928" t="s">
        <v>3023</v>
      </c>
      <c r="D928" t="s">
        <v>3022</v>
      </c>
      <c r="E928" t="s">
        <v>24</v>
      </c>
      <c r="G928" t="str">
        <f>_xlfn.XLOOKUP(frasest[[#This Row],[author_es]],autorest[author_es],autorest[author_la])</f>
        <v>Sententia Hispanica</v>
      </c>
      <c r="H928" t="str">
        <f>_xlfn.XLOOKUP(frasest[[#This Row],[author_es]],autorest[author_es],autorest[bio_es])</f>
        <v>Refranes populares de la tradición oral hispana que expresan de forma breve y ingeniosa enseñanzas prácticas sobre la vida cotidiana.</v>
      </c>
      <c r="I928" t="str">
        <f>_xlfn.XLOOKUP(frasest[[#This Row],[author_es]],autorest[author_es],autorest[bio_la])</f>
        <v>Collectio sententiarum Hispanicarum.</v>
      </c>
      <c r="J928" t="str">
        <f>_xlfn.XLOOKUP(frasest[[#This Row],[author_es]],autorest[author_es],autorest[iso3691])</f>
        <v>es</v>
      </c>
      <c r="K928" t="str">
        <f>_xlfn.XLOOKUP(frasest[[#This Row],[author_es]],autorest[author_es],autorest[language_es])</f>
        <v>Español</v>
      </c>
      <c r="L928" t="str">
        <f>_xlfn.XLOOKUP(frasest[[#This Row],[author_es]],autorest[author_es],autorest[language_la])</f>
        <v>Lingua Hispanica</v>
      </c>
      <c r="M928" t="str">
        <f>_xlfn.XLOOKUP(frasest[[#This Row],[author_es]],autorest[author_es],autorest[nation_es])</f>
        <v>España</v>
      </c>
      <c r="N928" t="str">
        <f>_xlfn.XLOOKUP(frasest[[#This Row],[author_es]],autorest[author_es],autorest[nation_la])</f>
        <v>Hispania</v>
      </c>
      <c r="O928" t="str">
        <f>_xlfn.XLOOKUP(frasest[[#This Row],[author_es]],autorest[author_es],autorest[age_es])</f>
        <v>Epoca Desconocida</v>
      </c>
      <c r="P928" t="str">
        <f>_xlfn.XLOOKUP(frasest[[#This Row],[author_es]],autorest[author_es],autorest[age_la])</f>
        <v>Epocha Ignota</v>
      </c>
      <c r="Q928" t="str">
        <f>_xlfn.XLOOKUP(frasest[[#This Row],[author_es]],autorest[author_es],autorest[image])</f>
        <v>https://i.ibb.co/Y4f7TZWm/espa-a.png</v>
      </c>
      <c r="R928">
        <f>_xlfn.XLOOKUP(frasest[[#This Row],[author_es]],autorest[author_es],autorest[image_atr])</f>
        <v>0</v>
      </c>
    </row>
    <row r="929" spans="1:18">
      <c r="A929">
        <v>928</v>
      </c>
      <c r="B929" t="s">
        <v>3024</v>
      </c>
      <c r="C929" t="s">
        <v>3025</v>
      </c>
      <c r="D929" t="s">
        <v>3024</v>
      </c>
      <c r="E929" t="s">
        <v>24</v>
      </c>
      <c r="G929" t="str">
        <f>_xlfn.XLOOKUP(frasest[[#This Row],[author_es]],autorest[author_es],autorest[author_la])</f>
        <v>Sententia Hispanica</v>
      </c>
      <c r="H929" t="str">
        <f>_xlfn.XLOOKUP(frasest[[#This Row],[author_es]],autorest[author_es],autorest[bio_es])</f>
        <v>Refranes populares de la tradición oral hispana que expresan de forma breve y ingeniosa enseñanzas prácticas sobre la vida cotidiana.</v>
      </c>
      <c r="I929" t="str">
        <f>_xlfn.XLOOKUP(frasest[[#This Row],[author_es]],autorest[author_es],autorest[bio_la])</f>
        <v>Collectio sententiarum Hispanicarum.</v>
      </c>
      <c r="J929" t="str">
        <f>_xlfn.XLOOKUP(frasest[[#This Row],[author_es]],autorest[author_es],autorest[iso3691])</f>
        <v>es</v>
      </c>
      <c r="K929" t="str">
        <f>_xlfn.XLOOKUP(frasest[[#This Row],[author_es]],autorest[author_es],autorest[language_es])</f>
        <v>Español</v>
      </c>
      <c r="L929" t="str">
        <f>_xlfn.XLOOKUP(frasest[[#This Row],[author_es]],autorest[author_es],autorest[language_la])</f>
        <v>Lingua Hispanica</v>
      </c>
      <c r="M929" t="str">
        <f>_xlfn.XLOOKUP(frasest[[#This Row],[author_es]],autorest[author_es],autorest[nation_es])</f>
        <v>España</v>
      </c>
      <c r="N929" t="str">
        <f>_xlfn.XLOOKUP(frasest[[#This Row],[author_es]],autorest[author_es],autorest[nation_la])</f>
        <v>Hispania</v>
      </c>
      <c r="O929" t="str">
        <f>_xlfn.XLOOKUP(frasest[[#This Row],[author_es]],autorest[author_es],autorest[age_es])</f>
        <v>Epoca Desconocida</v>
      </c>
      <c r="P929" t="str">
        <f>_xlfn.XLOOKUP(frasest[[#This Row],[author_es]],autorest[author_es],autorest[age_la])</f>
        <v>Epocha Ignota</v>
      </c>
      <c r="Q929" t="str">
        <f>_xlfn.XLOOKUP(frasest[[#This Row],[author_es]],autorest[author_es],autorest[image])</f>
        <v>https://i.ibb.co/Y4f7TZWm/espa-a.png</v>
      </c>
      <c r="R929">
        <f>_xlfn.XLOOKUP(frasest[[#This Row],[author_es]],autorest[author_es],autorest[image_atr])</f>
        <v>0</v>
      </c>
    </row>
    <row r="930" spans="1:18">
      <c r="A930">
        <v>929</v>
      </c>
      <c r="B930" t="s">
        <v>3026</v>
      </c>
      <c r="C930" t="s">
        <v>3027</v>
      </c>
      <c r="D930" t="s">
        <v>3026</v>
      </c>
      <c r="E930" t="s">
        <v>24</v>
      </c>
      <c r="G930" t="str">
        <f>_xlfn.XLOOKUP(frasest[[#This Row],[author_es]],autorest[author_es],autorest[author_la])</f>
        <v>Sententia Hispanica</v>
      </c>
      <c r="H930" t="str">
        <f>_xlfn.XLOOKUP(frasest[[#This Row],[author_es]],autorest[author_es],autorest[bio_es])</f>
        <v>Refranes populares de la tradición oral hispana que expresan de forma breve y ingeniosa enseñanzas prácticas sobre la vida cotidiana.</v>
      </c>
      <c r="I930" t="str">
        <f>_xlfn.XLOOKUP(frasest[[#This Row],[author_es]],autorest[author_es],autorest[bio_la])</f>
        <v>Collectio sententiarum Hispanicarum.</v>
      </c>
      <c r="J930" t="str">
        <f>_xlfn.XLOOKUP(frasest[[#This Row],[author_es]],autorest[author_es],autorest[iso3691])</f>
        <v>es</v>
      </c>
      <c r="K930" t="str">
        <f>_xlfn.XLOOKUP(frasest[[#This Row],[author_es]],autorest[author_es],autorest[language_es])</f>
        <v>Español</v>
      </c>
      <c r="L930" t="str">
        <f>_xlfn.XLOOKUP(frasest[[#This Row],[author_es]],autorest[author_es],autorest[language_la])</f>
        <v>Lingua Hispanica</v>
      </c>
      <c r="M930" t="str">
        <f>_xlfn.XLOOKUP(frasest[[#This Row],[author_es]],autorest[author_es],autorest[nation_es])</f>
        <v>España</v>
      </c>
      <c r="N930" t="str">
        <f>_xlfn.XLOOKUP(frasest[[#This Row],[author_es]],autorest[author_es],autorest[nation_la])</f>
        <v>Hispania</v>
      </c>
      <c r="O930" t="str">
        <f>_xlfn.XLOOKUP(frasest[[#This Row],[author_es]],autorest[author_es],autorest[age_es])</f>
        <v>Epoca Desconocida</v>
      </c>
      <c r="P930" t="str">
        <f>_xlfn.XLOOKUP(frasest[[#This Row],[author_es]],autorest[author_es],autorest[age_la])</f>
        <v>Epocha Ignota</v>
      </c>
      <c r="Q930" t="str">
        <f>_xlfn.XLOOKUP(frasest[[#This Row],[author_es]],autorest[author_es],autorest[image])</f>
        <v>https://i.ibb.co/Y4f7TZWm/espa-a.png</v>
      </c>
      <c r="R930">
        <f>_xlfn.XLOOKUP(frasest[[#This Row],[author_es]],autorest[author_es],autorest[image_atr])</f>
        <v>0</v>
      </c>
    </row>
    <row r="931" spans="1:18">
      <c r="A931">
        <v>930</v>
      </c>
      <c r="B931" t="s">
        <v>3028</v>
      </c>
      <c r="C931" t="s">
        <v>3029</v>
      </c>
      <c r="D931" t="s">
        <v>3028</v>
      </c>
      <c r="E931" t="s">
        <v>24</v>
      </c>
      <c r="G931" t="str">
        <f>_xlfn.XLOOKUP(frasest[[#This Row],[author_es]],autorest[author_es],autorest[author_la])</f>
        <v>Sententia Hispanica</v>
      </c>
      <c r="H931" t="str">
        <f>_xlfn.XLOOKUP(frasest[[#This Row],[author_es]],autorest[author_es],autorest[bio_es])</f>
        <v>Refranes populares de la tradición oral hispana que expresan de forma breve y ingeniosa enseñanzas prácticas sobre la vida cotidiana.</v>
      </c>
      <c r="I931" t="str">
        <f>_xlfn.XLOOKUP(frasest[[#This Row],[author_es]],autorest[author_es],autorest[bio_la])</f>
        <v>Collectio sententiarum Hispanicarum.</v>
      </c>
      <c r="J931" t="str">
        <f>_xlfn.XLOOKUP(frasest[[#This Row],[author_es]],autorest[author_es],autorest[iso3691])</f>
        <v>es</v>
      </c>
      <c r="K931" t="str">
        <f>_xlfn.XLOOKUP(frasest[[#This Row],[author_es]],autorest[author_es],autorest[language_es])</f>
        <v>Español</v>
      </c>
      <c r="L931" t="str">
        <f>_xlfn.XLOOKUP(frasest[[#This Row],[author_es]],autorest[author_es],autorest[language_la])</f>
        <v>Lingua Hispanica</v>
      </c>
      <c r="M931" t="str">
        <f>_xlfn.XLOOKUP(frasest[[#This Row],[author_es]],autorest[author_es],autorest[nation_es])</f>
        <v>España</v>
      </c>
      <c r="N931" t="str">
        <f>_xlfn.XLOOKUP(frasest[[#This Row],[author_es]],autorest[author_es],autorest[nation_la])</f>
        <v>Hispania</v>
      </c>
      <c r="O931" t="str">
        <f>_xlfn.XLOOKUP(frasest[[#This Row],[author_es]],autorest[author_es],autorest[age_es])</f>
        <v>Epoca Desconocida</v>
      </c>
      <c r="P931" t="str">
        <f>_xlfn.XLOOKUP(frasest[[#This Row],[author_es]],autorest[author_es],autorest[age_la])</f>
        <v>Epocha Ignota</v>
      </c>
      <c r="Q931" t="str">
        <f>_xlfn.XLOOKUP(frasest[[#This Row],[author_es]],autorest[author_es],autorest[image])</f>
        <v>https://i.ibb.co/Y4f7TZWm/espa-a.png</v>
      </c>
      <c r="R931">
        <f>_xlfn.XLOOKUP(frasest[[#This Row],[author_es]],autorest[author_es],autorest[image_atr])</f>
        <v>0</v>
      </c>
    </row>
    <row r="932" spans="1:18">
      <c r="A932">
        <v>931</v>
      </c>
      <c r="B932" t="s">
        <v>3030</v>
      </c>
      <c r="C932" t="s">
        <v>3031</v>
      </c>
      <c r="D932" t="s">
        <v>3030</v>
      </c>
      <c r="E932" t="s">
        <v>24</v>
      </c>
      <c r="G932" t="str">
        <f>_xlfn.XLOOKUP(frasest[[#This Row],[author_es]],autorest[author_es],autorest[author_la])</f>
        <v>Sententia Hispanica</v>
      </c>
      <c r="H932" t="str">
        <f>_xlfn.XLOOKUP(frasest[[#This Row],[author_es]],autorest[author_es],autorest[bio_es])</f>
        <v>Refranes populares de la tradición oral hispana que expresan de forma breve y ingeniosa enseñanzas prácticas sobre la vida cotidiana.</v>
      </c>
      <c r="I932" t="str">
        <f>_xlfn.XLOOKUP(frasest[[#This Row],[author_es]],autorest[author_es],autorest[bio_la])</f>
        <v>Collectio sententiarum Hispanicarum.</v>
      </c>
      <c r="J932" t="str">
        <f>_xlfn.XLOOKUP(frasest[[#This Row],[author_es]],autorest[author_es],autorest[iso3691])</f>
        <v>es</v>
      </c>
      <c r="K932" t="str">
        <f>_xlfn.XLOOKUP(frasest[[#This Row],[author_es]],autorest[author_es],autorest[language_es])</f>
        <v>Español</v>
      </c>
      <c r="L932" t="str">
        <f>_xlfn.XLOOKUP(frasest[[#This Row],[author_es]],autorest[author_es],autorest[language_la])</f>
        <v>Lingua Hispanica</v>
      </c>
      <c r="M932" t="str">
        <f>_xlfn.XLOOKUP(frasest[[#This Row],[author_es]],autorest[author_es],autorest[nation_es])</f>
        <v>España</v>
      </c>
      <c r="N932" t="str">
        <f>_xlfn.XLOOKUP(frasest[[#This Row],[author_es]],autorest[author_es],autorest[nation_la])</f>
        <v>Hispania</v>
      </c>
      <c r="O932" t="str">
        <f>_xlfn.XLOOKUP(frasest[[#This Row],[author_es]],autorest[author_es],autorest[age_es])</f>
        <v>Epoca Desconocida</v>
      </c>
      <c r="P932" t="str">
        <f>_xlfn.XLOOKUP(frasest[[#This Row],[author_es]],autorest[author_es],autorest[age_la])</f>
        <v>Epocha Ignota</v>
      </c>
      <c r="Q932" t="str">
        <f>_xlfn.XLOOKUP(frasest[[#This Row],[author_es]],autorest[author_es],autorest[image])</f>
        <v>https://i.ibb.co/Y4f7TZWm/espa-a.png</v>
      </c>
      <c r="R932">
        <f>_xlfn.XLOOKUP(frasest[[#This Row],[author_es]],autorest[author_es],autorest[image_atr])</f>
        <v>0</v>
      </c>
    </row>
    <row r="933" spans="1:18">
      <c r="A933">
        <v>932</v>
      </c>
      <c r="B933" t="s">
        <v>3032</v>
      </c>
      <c r="C933" t="s">
        <v>3033</v>
      </c>
      <c r="D933" t="s">
        <v>3032</v>
      </c>
      <c r="E933" t="s">
        <v>24</v>
      </c>
      <c r="G933" t="str">
        <f>_xlfn.XLOOKUP(frasest[[#This Row],[author_es]],autorest[author_es],autorest[author_la])</f>
        <v>Sententia Hispanica</v>
      </c>
      <c r="H933" t="str">
        <f>_xlfn.XLOOKUP(frasest[[#This Row],[author_es]],autorest[author_es],autorest[bio_es])</f>
        <v>Refranes populares de la tradición oral hispana que expresan de forma breve y ingeniosa enseñanzas prácticas sobre la vida cotidiana.</v>
      </c>
      <c r="I933" t="str">
        <f>_xlfn.XLOOKUP(frasest[[#This Row],[author_es]],autorest[author_es],autorest[bio_la])</f>
        <v>Collectio sententiarum Hispanicarum.</v>
      </c>
      <c r="J933" t="str">
        <f>_xlfn.XLOOKUP(frasest[[#This Row],[author_es]],autorest[author_es],autorest[iso3691])</f>
        <v>es</v>
      </c>
      <c r="K933" t="str">
        <f>_xlfn.XLOOKUP(frasest[[#This Row],[author_es]],autorest[author_es],autorest[language_es])</f>
        <v>Español</v>
      </c>
      <c r="L933" t="str">
        <f>_xlfn.XLOOKUP(frasest[[#This Row],[author_es]],autorest[author_es],autorest[language_la])</f>
        <v>Lingua Hispanica</v>
      </c>
      <c r="M933" t="str">
        <f>_xlfn.XLOOKUP(frasest[[#This Row],[author_es]],autorest[author_es],autorest[nation_es])</f>
        <v>España</v>
      </c>
      <c r="N933" t="str">
        <f>_xlfn.XLOOKUP(frasest[[#This Row],[author_es]],autorest[author_es],autorest[nation_la])</f>
        <v>Hispania</v>
      </c>
      <c r="O933" t="str">
        <f>_xlfn.XLOOKUP(frasest[[#This Row],[author_es]],autorest[author_es],autorest[age_es])</f>
        <v>Epoca Desconocida</v>
      </c>
      <c r="P933" t="str">
        <f>_xlfn.XLOOKUP(frasest[[#This Row],[author_es]],autorest[author_es],autorest[age_la])</f>
        <v>Epocha Ignota</v>
      </c>
      <c r="Q933" t="str">
        <f>_xlfn.XLOOKUP(frasest[[#This Row],[author_es]],autorest[author_es],autorest[image])</f>
        <v>https://i.ibb.co/Y4f7TZWm/espa-a.png</v>
      </c>
      <c r="R933">
        <f>_xlfn.XLOOKUP(frasest[[#This Row],[author_es]],autorest[author_es],autorest[image_atr])</f>
        <v>0</v>
      </c>
    </row>
    <row r="934" spans="1:18">
      <c r="A934">
        <v>933</v>
      </c>
      <c r="B934" t="s">
        <v>3034</v>
      </c>
      <c r="C934" t="s">
        <v>3035</v>
      </c>
      <c r="D934" t="s">
        <v>3034</v>
      </c>
      <c r="E934" t="s">
        <v>24</v>
      </c>
      <c r="G934" t="str">
        <f>_xlfn.XLOOKUP(frasest[[#This Row],[author_es]],autorest[author_es],autorest[author_la])</f>
        <v>Sententia Hispanica</v>
      </c>
      <c r="H934" t="str">
        <f>_xlfn.XLOOKUP(frasest[[#This Row],[author_es]],autorest[author_es],autorest[bio_es])</f>
        <v>Refranes populares de la tradición oral hispana que expresan de forma breve y ingeniosa enseñanzas prácticas sobre la vida cotidiana.</v>
      </c>
      <c r="I934" t="str">
        <f>_xlfn.XLOOKUP(frasest[[#This Row],[author_es]],autorest[author_es],autorest[bio_la])</f>
        <v>Collectio sententiarum Hispanicarum.</v>
      </c>
      <c r="J934" t="str">
        <f>_xlfn.XLOOKUP(frasest[[#This Row],[author_es]],autorest[author_es],autorest[iso3691])</f>
        <v>es</v>
      </c>
      <c r="K934" t="str">
        <f>_xlfn.XLOOKUP(frasest[[#This Row],[author_es]],autorest[author_es],autorest[language_es])</f>
        <v>Español</v>
      </c>
      <c r="L934" t="str">
        <f>_xlfn.XLOOKUP(frasest[[#This Row],[author_es]],autorest[author_es],autorest[language_la])</f>
        <v>Lingua Hispanica</v>
      </c>
      <c r="M934" t="str">
        <f>_xlfn.XLOOKUP(frasest[[#This Row],[author_es]],autorest[author_es],autorest[nation_es])</f>
        <v>España</v>
      </c>
      <c r="N934" t="str">
        <f>_xlfn.XLOOKUP(frasest[[#This Row],[author_es]],autorest[author_es],autorest[nation_la])</f>
        <v>Hispania</v>
      </c>
      <c r="O934" t="str">
        <f>_xlfn.XLOOKUP(frasest[[#This Row],[author_es]],autorest[author_es],autorest[age_es])</f>
        <v>Epoca Desconocida</v>
      </c>
      <c r="P934" t="str">
        <f>_xlfn.XLOOKUP(frasest[[#This Row],[author_es]],autorest[author_es],autorest[age_la])</f>
        <v>Epocha Ignota</v>
      </c>
      <c r="Q934" t="str">
        <f>_xlfn.XLOOKUP(frasest[[#This Row],[author_es]],autorest[author_es],autorest[image])</f>
        <v>https://i.ibb.co/Y4f7TZWm/espa-a.png</v>
      </c>
      <c r="R934">
        <f>_xlfn.XLOOKUP(frasest[[#This Row],[author_es]],autorest[author_es],autorest[image_atr])</f>
        <v>0</v>
      </c>
    </row>
    <row r="935" spans="1:18">
      <c r="A935">
        <v>934</v>
      </c>
      <c r="B935" t="s">
        <v>3036</v>
      </c>
      <c r="C935" t="s">
        <v>3037</v>
      </c>
      <c r="D935" t="s">
        <v>3036</v>
      </c>
      <c r="E935" t="s">
        <v>24</v>
      </c>
      <c r="G935" t="str">
        <f>_xlfn.XLOOKUP(frasest[[#This Row],[author_es]],autorest[author_es],autorest[author_la])</f>
        <v>Sententia Hispanica</v>
      </c>
      <c r="H935" t="str">
        <f>_xlfn.XLOOKUP(frasest[[#This Row],[author_es]],autorest[author_es],autorest[bio_es])</f>
        <v>Refranes populares de la tradición oral hispana que expresan de forma breve y ingeniosa enseñanzas prácticas sobre la vida cotidiana.</v>
      </c>
      <c r="I935" t="str">
        <f>_xlfn.XLOOKUP(frasest[[#This Row],[author_es]],autorest[author_es],autorest[bio_la])</f>
        <v>Collectio sententiarum Hispanicarum.</v>
      </c>
      <c r="J935" t="str">
        <f>_xlfn.XLOOKUP(frasest[[#This Row],[author_es]],autorest[author_es],autorest[iso3691])</f>
        <v>es</v>
      </c>
      <c r="K935" t="str">
        <f>_xlfn.XLOOKUP(frasest[[#This Row],[author_es]],autorest[author_es],autorest[language_es])</f>
        <v>Español</v>
      </c>
      <c r="L935" t="str">
        <f>_xlfn.XLOOKUP(frasest[[#This Row],[author_es]],autorest[author_es],autorest[language_la])</f>
        <v>Lingua Hispanica</v>
      </c>
      <c r="M935" t="str">
        <f>_xlfn.XLOOKUP(frasest[[#This Row],[author_es]],autorest[author_es],autorest[nation_es])</f>
        <v>España</v>
      </c>
      <c r="N935" t="str">
        <f>_xlfn.XLOOKUP(frasest[[#This Row],[author_es]],autorest[author_es],autorest[nation_la])</f>
        <v>Hispania</v>
      </c>
      <c r="O935" t="str">
        <f>_xlfn.XLOOKUP(frasest[[#This Row],[author_es]],autorest[author_es],autorest[age_es])</f>
        <v>Epoca Desconocida</v>
      </c>
      <c r="P935" t="str">
        <f>_xlfn.XLOOKUP(frasest[[#This Row],[author_es]],autorest[author_es],autorest[age_la])</f>
        <v>Epocha Ignota</v>
      </c>
      <c r="Q935" t="str">
        <f>_xlfn.XLOOKUP(frasest[[#This Row],[author_es]],autorest[author_es],autorest[image])</f>
        <v>https://i.ibb.co/Y4f7TZWm/espa-a.png</v>
      </c>
      <c r="R935">
        <f>_xlfn.XLOOKUP(frasest[[#This Row],[author_es]],autorest[author_es],autorest[image_atr])</f>
        <v>0</v>
      </c>
    </row>
    <row r="936" spans="1:18">
      <c r="A936">
        <v>935</v>
      </c>
      <c r="B936" t="s">
        <v>3038</v>
      </c>
      <c r="C936" t="s">
        <v>3039</v>
      </c>
      <c r="D936" t="s">
        <v>3038</v>
      </c>
      <c r="E936" t="s">
        <v>24</v>
      </c>
      <c r="G936" t="str">
        <f>_xlfn.XLOOKUP(frasest[[#This Row],[author_es]],autorest[author_es],autorest[author_la])</f>
        <v>Sententia Hispanica</v>
      </c>
      <c r="H936" t="str">
        <f>_xlfn.XLOOKUP(frasest[[#This Row],[author_es]],autorest[author_es],autorest[bio_es])</f>
        <v>Refranes populares de la tradición oral hispana que expresan de forma breve y ingeniosa enseñanzas prácticas sobre la vida cotidiana.</v>
      </c>
      <c r="I936" t="str">
        <f>_xlfn.XLOOKUP(frasest[[#This Row],[author_es]],autorest[author_es],autorest[bio_la])</f>
        <v>Collectio sententiarum Hispanicarum.</v>
      </c>
      <c r="J936" t="str">
        <f>_xlfn.XLOOKUP(frasest[[#This Row],[author_es]],autorest[author_es],autorest[iso3691])</f>
        <v>es</v>
      </c>
      <c r="K936" t="str">
        <f>_xlfn.XLOOKUP(frasest[[#This Row],[author_es]],autorest[author_es],autorest[language_es])</f>
        <v>Español</v>
      </c>
      <c r="L936" t="str">
        <f>_xlfn.XLOOKUP(frasest[[#This Row],[author_es]],autorest[author_es],autorest[language_la])</f>
        <v>Lingua Hispanica</v>
      </c>
      <c r="M936" t="str">
        <f>_xlfn.XLOOKUP(frasest[[#This Row],[author_es]],autorest[author_es],autorest[nation_es])</f>
        <v>España</v>
      </c>
      <c r="N936" t="str">
        <f>_xlfn.XLOOKUP(frasest[[#This Row],[author_es]],autorest[author_es],autorest[nation_la])</f>
        <v>Hispania</v>
      </c>
      <c r="O936" t="str">
        <f>_xlfn.XLOOKUP(frasest[[#This Row],[author_es]],autorest[author_es],autorest[age_es])</f>
        <v>Epoca Desconocida</v>
      </c>
      <c r="P936" t="str">
        <f>_xlfn.XLOOKUP(frasest[[#This Row],[author_es]],autorest[author_es],autorest[age_la])</f>
        <v>Epocha Ignota</v>
      </c>
      <c r="Q936" t="str">
        <f>_xlfn.XLOOKUP(frasest[[#This Row],[author_es]],autorest[author_es],autorest[image])</f>
        <v>https://i.ibb.co/Y4f7TZWm/espa-a.png</v>
      </c>
      <c r="R936">
        <f>_xlfn.XLOOKUP(frasest[[#This Row],[author_es]],autorest[author_es],autorest[image_atr])</f>
        <v>0</v>
      </c>
    </row>
    <row r="937" spans="1:18">
      <c r="A937">
        <v>936</v>
      </c>
      <c r="B937" t="s">
        <v>3040</v>
      </c>
      <c r="C937" t="s">
        <v>3041</v>
      </c>
      <c r="D937" t="s">
        <v>3040</v>
      </c>
      <c r="E937" t="s">
        <v>24</v>
      </c>
      <c r="G937" t="str">
        <f>_xlfn.XLOOKUP(frasest[[#This Row],[author_es]],autorest[author_es],autorest[author_la])</f>
        <v>Sententia Hispanica</v>
      </c>
      <c r="H937" t="str">
        <f>_xlfn.XLOOKUP(frasest[[#This Row],[author_es]],autorest[author_es],autorest[bio_es])</f>
        <v>Refranes populares de la tradición oral hispana que expresan de forma breve y ingeniosa enseñanzas prácticas sobre la vida cotidiana.</v>
      </c>
      <c r="I937" t="str">
        <f>_xlfn.XLOOKUP(frasest[[#This Row],[author_es]],autorest[author_es],autorest[bio_la])</f>
        <v>Collectio sententiarum Hispanicarum.</v>
      </c>
      <c r="J937" t="str">
        <f>_xlfn.XLOOKUP(frasest[[#This Row],[author_es]],autorest[author_es],autorest[iso3691])</f>
        <v>es</v>
      </c>
      <c r="K937" t="str">
        <f>_xlfn.XLOOKUP(frasest[[#This Row],[author_es]],autorest[author_es],autorest[language_es])</f>
        <v>Español</v>
      </c>
      <c r="L937" t="str">
        <f>_xlfn.XLOOKUP(frasest[[#This Row],[author_es]],autorest[author_es],autorest[language_la])</f>
        <v>Lingua Hispanica</v>
      </c>
      <c r="M937" t="str">
        <f>_xlfn.XLOOKUP(frasest[[#This Row],[author_es]],autorest[author_es],autorest[nation_es])</f>
        <v>España</v>
      </c>
      <c r="N937" t="str">
        <f>_xlfn.XLOOKUP(frasest[[#This Row],[author_es]],autorest[author_es],autorest[nation_la])</f>
        <v>Hispania</v>
      </c>
      <c r="O937" t="str">
        <f>_xlfn.XLOOKUP(frasest[[#This Row],[author_es]],autorest[author_es],autorest[age_es])</f>
        <v>Epoca Desconocida</v>
      </c>
      <c r="P937" t="str">
        <f>_xlfn.XLOOKUP(frasest[[#This Row],[author_es]],autorest[author_es],autorest[age_la])</f>
        <v>Epocha Ignota</v>
      </c>
      <c r="Q937" t="str">
        <f>_xlfn.XLOOKUP(frasest[[#This Row],[author_es]],autorest[author_es],autorest[image])</f>
        <v>https://i.ibb.co/Y4f7TZWm/espa-a.png</v>
      </c>
      <c r="R937">
        <f>_xlfn.XLOOKUP(frasest[[#This Row],[author_es]],autorest[author_es],autorest[image_atr])</f>
        <v>0</v>
      </c>
    </row>
    <row r="938" spans="1:18">
      <c r="A938">
        <v>937</v>
      </c>
      <c r="B938" t="s">
        <v>3042</v>
      </c>
      <c r="C938" t="s">
        <v>3043</v>
      </c>
      <c r="D938" t="s">
        <v>3042</v>
      </c>
      <c r="E938" t="s">
        <v>24</v>
      </c>
      <c r="G938" t="str">
        <f>_xlfn.XLOOKUP(frasest[[#This Row],[author_es]],autorest[author_es],autorest[author_la])</f>
        <v>Sententia Hispanica</v>
      </c>
      <c r="H938" t="str">
        <f>_xlfn.XLOOKUP(frasest[[#This Row],[author_es]],autorest[author_es],autorest[bio_es])</f>
        <v>Refranes populares de la tradición oral hispana que expresan de forma breve y ingeniosa enseñanzas prácticas sobre la vida cotidiana.</v>
      </c>
      <c r="I938" t="str">
        <f>_xlfn.XLOOKUP(frasest[[#This Row],[author_es]],autorest[author_es],autorest[bio_la])</f>
        <v>Collectio sententiarum Hispanicarum.</v>
      </c>
      <c r="J938" t="str">
        <f>_xlfn.XLOOKUP(frasest[[#This Row],[author_es]],autorest[author_es],autorest[iso3691])</f>
        <v>es</v>
      </c>
      <c r="K938" t="str">
        <f>_xlfn.XLOOKUP(frasest[[#This Row],[author_es]],autorest[author_es],autorest[language_es])</f>
        <v>Español</v>
      </c>
      <c r="L938" t="str">
        <f>_xlfn.XLOOKUP(frasest[[#This Row],[author_es]],autorest[author_es],autorest[language_la])</f>
        <v>Lingua Hispanica</v>
      </c>
      <c r="M938" t="str">
        <f>_xlfn.XLOOKUP(frasest[[#This Row],[author_es]],autorest[author_es],autorest[nation_es])</f>
        <v>España</v>
      </c>
      <c r="N938" t="str">
        <f>_xlfn.XLOOKUP(frasest[[#This Row],[author_es]],autorest[author_es],autorest[nation_la])</f>
        <v>Hispania</v>
      </c>
      <c r="O938" t="str">
        <f>_xlfn.XLOOKUP(frasest[[#This Row],[author_es]],autorest[author_es],autorest[age_es])</f>
        <v>Epoca Desconocida</v>
      </c>
      <c r="P938" t="str">
        <f>_xlfn.XLOOKUP(frasest[[#This Row],[author_es]],autorest[author_es],autorest[age_la])</f>
        <v>Epocha Ignota</v>
      </c>
      <c r="Q938" t="str">
        <f>_xlfn.XLOOKUP(frasest[[#This Row],[author_es]],autorest[author_es],autorest[image])</f>
        <v>https://i.ibb.co/Y4f7TZWm/espa-a.png</v>
      </c>
      <c r="R938">
        <f>_xlfn.XLOOKUP(frasest[[#This Row],[author_es]],autorest[author_es],autorest[image_atr])</f>
        <v>0</v>
      </c>
    </row>
    <row r="939" spans="1:18">
      <c r="A939">
        <v>938</v>
      </c>
      <c r="B939" t="s">
        <v>3044</v>
      </c>
      <c r="C939" t="s">
        <v>3045</v>
      </c>
      <c r="D939" t="s">
        <v>3044</v>
      </c>
      <c r="E939" t="s">
        <v>24</v>
      </c>
      <c r="G939" t="str">
        <f>_xlfn.XLOOKUP(frasest[[#This Row],[author_es]],autorest[author_es],autorest[author_la])</f>
        <v>Sententia Hispanica</v>
      </c>
      <c r="H939" t="str">
        <f>_xlfn.XLOOKUP(frasest[[#This Row],[author_es]],autorest[author_es],autorest[bio_es])</f>
        <v>Refranes populares de la tradición oral hispana que expresan de forma breve y ingeniosa enseñanzas prácticas sobre la vida cotidiana.</v>
      </c>
      <c r="I939" t="str">
        <f>_xlfn.XLOOKUP(frasest[[#This Row],[author_es]],autorest[author_es],autorest[bio_la])</f>
        <v>Collectio sententiarum Hispanicarum.</v>
      </c>
      <c r="J939" t="str">
        <f>_xlfn.XLOOKUP(frasest[[#This Row],[author_es]],autorest[author_es],autorest[iso3691])</f>
        <v>es</v>
      </c>
      <c r="K939" t="str">
        <f>_xlfn.XLOOKUP(frasest[[#This Row],[author_es]],autorest[author_es],autorest[language_es])</f>
        <v>Español</v>
      </c>
      <c r="L939" t="str">
        <f>_xlfn.XLOOKUP(frasest[[#This Row],[author_es]],autorest[author_es],autorest[language_la])</f>
        <v>Lingua Hispanica</v>
      </c>
      <c r="M939" t="str">
        <f>_xlfn.XLOOKUP(frasest[[#This Row],[author_es]],autorest[author_es],autorest[nation_es])</f>
        <v>España</v>
      </c>
      <c r="N939" t="str">
        <f>_xlfn.XLOOKUP(frasest[[#This Row],[author_es]],autorest[author_es],autorest[nation_la])</f>
        <v>Hispania</v>
      </c>
      <c r="O939" t="str">
        <f>_xlfn.XLOOKUP(frasest[[#This Row],[author_es]],autorest[author_es],autorest[age_es])</f>
        <v>Epoca Desconocida</v>
      </c>
      <c r="P939" t="str">
        <f>_xlfn.XLOOKUP(frasest[[#This Row],[author_es]],autorest[author_es],autorest[age_la])</f>
        <v>Epocha Ignota</v>
      </c>
      <c r="Q939" t="str">
        <f>_xlfn.XLOOKUP(frasest[[#This Row],[author_es]],autorest[author_es],autorest[image])</f>
        <v>https://i.ibb.co/Y4f7TZWm/espa-a.png</v>
      </c>
      <c r="R939">
        <f>_xlfn.XLOOKUP(frasest[[#This Row],[author_es]],autorest[author_es],autorest[image_atr])</f>
        <v>0</v>
      </c>
    </row>
    <row r="940" spans="1:18">
      <c r="A940">
        <v>939</v>
      </c>
      <c r="B940" t="s">
        <v>3046</v>
      </c>
      <c r="C940" t="s">
        <v>3047</v>
      </c>
      <c r="D940" t="s">
        <v>3046</v>
      </c>
      <c r="E940" t="s">
        <v>24</v>
      </c>
      <c r="G940" t="str">
        <f>_xlfn.XLOOKUP(frasest[[#This Row],[author_es]],autorest[author_es],autorest[author_la])</f>
        <v>Sententia Hispanica</v>
      </c>
      <c r="H940" t="str">
        <f>_xlfn.XLOOKUP(frasest[[#This Row],[author_es]],autorest[author_es],autorest[bio_es])</f>
        <v>Refranes populares de la tradición oral hispana que expresan de forma breve y ingeniosa enseñanzas prácticas sobre la vida cotidiana.</v>
      </c>
      <c r="I940" t="str">
        <f>_xlfn.XLOOKUP(frasest[[#This Row],[author_es]],autorest[author_es],autorest[bio_la])</f>
        <v>Collectio sententiarum Hispanicarum.</v>
      </c>
      <c r="J940" t="str">
        <f>_xlfn.XLOOKUP(frasest[[#This Row],[author_es]],autorest[author_es],autorest[iso3691])</f>
        <v>es</v>
      </c>
      <c r="K940" t="str">
        <f>_xlfn.XLOOKUP(frasest[[#This Row],[author_es]],autorest[author_es],autorest[language_es])</f>
        <v>Español</v>
      </c>
      <c r="L940" t="str">
        <f>_xlfn.XLOOKUP(frasest[[#This Row],[author_es]],autorest[author_es],autorest[language_la])</f>
        <v>Lingua Hispanica</v>
      </c>
      <c r="M940" t="str">
        <f>_xlfn.XLOOKUP(frasest[[#This Row],[author_es]],autorest[author_es],autorest[nation_es])</f>
        <v>España</v>
      </c>
      <c r="N940" t="str">
        <f>_xlfn.XLOOKUP(frasest[[#This Row],[author_es]],autorest[author_es],autorest[nation_la])</f>
        <v>Hispania</v>
      </c>
      <c r="O940" t="str">
        <f>_xlfn.XLOOKUP(frasest[[#This Row],[author_es]],autorest[author_es],autorest[age_es])</f>
        <v>Epoca Desconocida</v>
      </c>
      <c r="P940" t="str">
        <f>_xlfn.XLOOKUP(frasest[[#This Row],[author_es]],autorest[author_es],autorest[age_la])</f>
        <v>Epocha Ignota</v>
      </c>
      <c r="Q940" t="str">
        <f>_xlfn.XLOOKUP(frasest[[#This Row],[author_es]],autorest[author_es],autorest[image])</f>
        <v>https://i.ibb.co/Y4f7TZWm/espa-a.png</v>
      </c>
      <c r="R940">
        <f>_xlfn.XLOOKUP(frasest[[#This Row],[author_es]],autorest[author_es],autorest[image_atr])</f>
        <v>0</v>
      </c>
    </row>
    <row r="941" spans="1:18">
      <c r="A941">
        <v>940</v>
      </c>
      <c r="B941" t="s">
        <v>3048</v>
      </c>
      <c r="C941" t="s">
        <v>3049</v>
      </c>
      <c r="D941" t="s">
        <v>3048</v>
      </c>
      <c r="E941" t="s">
        <v>24</v>
      </c>
      <c r="G941" t="str">
        <f>_xlfn.XLOOKUP(frasest[[#This Row],[author_es]],autorest[author_es],autorest[author_la])</f>
        <v>Sententia Hispanica</v>
      </c>
      <c r="H941" t="str">
        <f>_xlfn.XLOOKUP(frasest[[#This Row],[author_es]],autorest[author_es],autorest[bio_es])</f>
        <v>Refranes populares de la tradición oral hispana que expresan de forma breve y ingeniosa enseñanzas prácticas sobre la vida cotidiana.</v>
      </c>
      <c r="I941" t="str">
        <f>_xlfn.XLOOKUP(frasest[[#This Row],[author_es]],autorest[author_es],autorest[bio_la])</f>
        <v>Collectio sententiarum Hispanicarum.</v>
      </c>
      <c r="J941" t="str">
        <f>_xlfn.XLOOKUP(frasest[[#This Row],[author_es]],autorest[author_es],autorest[iso3691])</f>
        <v>es</v>
      </c>
      <c r="K941" t="str">
        <f>_xlfn.XLOOKUP(frasest[[#This Row],[author_es]],autorest[author_es],autorest[language_es])</f>
        <v>Español</v>
      </c>
      <c r="L941" t="str">
        <f>_xlfn.XLOOKUP(frasest[[#This Row],[author_es]],autorest[author_es],autorest[language_la])</f>
        <v>Lingua Hispanica</v>
      </c>
      <c r="M941" t="str">
        <f>_xlfn.XLOOKUP(frasest[[#This Row],[author_es]],autorest[author_es],autorest[nation_es])</f>
        <v>España</v>
      </c>
      <c r="N941" t="str">
        <f>_xlfn.XLOOKUP(frasest[[#This Row],[author_es]],autorest[author_es],autorest[nation_la])</f>
        <v>Hispania</v>
      </c>
      <c r="O941" t="str">
        <f>_xlfn.XLOOKUP(frasest[[#This Row],[author_es]],autorest[author_es],autorest[age_es])</f>
        <v>Epoca Desconocida</v>
      </c>
      <c r="P941" t="str">
        <f>_xlfn.XLOOKUP(frasest[[#This Row],[author_es]],autorest[author_es],autorest[age_la])</f>
        <v>Epocha Ignota</v>
      </c>
      <c r="Q941" t="str">
        <f>_xlfn.XLOOKUP(frasest[[#This Row],[author_es]],autorest[author_es],autorest[image])</f>
        <v>https://i.ibb.co/Y4f7TZWm/espa-a.png</v>
      </c>
      <c r="R941">
        <f>_xlfn.XLOOKUP(frasest[[#This Row],[author_es]],autorest[author_es],autorest[image_atr])</f>
        <v>0</v>
      </c>
    </row>
    <row r="942" spans="1:18">
      <c r="A942">
        <v>941</v>
      </c>
      <c r="B942" t="s">
        <v>3050</v>
      </c>
      <c r="C942" t="s">
        <v>3051</v>
      </c>
      <c r="D942" t="s">
        <v>3050</v>
      </c>
      <c r="E942" t="s">
        <v>24</v>
      </c>
      <c r="G942" t="str">
        <f>_xlfn.XLOOKUP(frasest[[#This Row],[author_es]],autorest[author_es],autorest[author_la])</f>
        <v>Sententia Hispanica</v>
      </c>
      <c r="H942" t="str">
        <f>_xlfn.XLOOKUP(frasest[[#This Row],[author_es]],autorest[author_es],autorest[bio_es])</f>
        <v>Refranes populares de la tradición oral hispana que expresan de forma breve y ingeniosa enseñanzas prácticas sobre la vida cotidiana.</v>
      </c>
      <c r="I942" t="str">
        <f>_xlfn.XLOOKUP(frasest[[#This Row],[author_es]],autorest[author_es],autorest[bio_la])</f>
        <v>Collectio sententiarum Hispanicarum.</v>
      </c>
      <c r="J942" t="str">
        <f>_xlfn.XLOOKUP(frasest[[#This Row],[author_es]],autorest[author_es],autorest[iso3691])</f>
        <v>es</v>
      </c>
      <c r="K942" t="str">
        <f>_xlfn.XLOOKUP(frasest[[#This Row],[author_es]],autorest[author_es],autorest[language_es])</f>
        <v>Español</v>
      </c>
      <c r="L942" t="str">
        <f>_xlfn.XLOOKUP(frasest[[#This Row],[author_es]],autorest[author_es],autorest[language_la])</f>
        <v>Lingua Hispanica</v>
      </c>
      <c r="M942" t="str">
        <f>_xlfn.XLOOKUP(frasest[[#This Row],[author_es]],autorest[author_es],autorest[nation_es])</f>
        <v>España</v>
      </c>
      <c r="N942" t="str">
        <f>_xlfn.XLOOKUP(frasest[[#This Row],[author_es]],autorest[author_es],autorest[nation_la])</f>
        <v>Hispania</v>
      </c>
      <c r="O942" t="str">
        <f>_xlfn.XLOOKUP(frasest[[#This Row],[author_es]],autorest[author_es],autorest[age_es])</f>
        <v>Epoca Desconocida</v>
      </c>
      <c r="P942" t="str">
        <f>_xlfn.XLOOKUP(frasest[[#This Row],[author_es]],autorest[author_es],autorest[age_la])</f>
        <v>Epocha Ignota</v>
      </c>
      <c r="Q942" t="str">
        <f>_xlfn.XLOOKUP(frasest[[#This Row],[author_es]],autorest[author_es],autorest[image])</f>
        <v>https://i.ibb.co/Y4f7TZWm/espa-a.png</v>
      </c>
      <c r="R942">
        <f>_xlfn.XLOOKUP(frasest[[#This Row],[author_es]],autorest[author_es],autorest[image_atr])</f>
        <v>0</v>
      </c>
    </row>
    <row r="943" spans="1:18">
      <c r="A943">
        <v>942</v>
      </c>
      <c r="B943" t="s">
        <v>3052</v>
      </c>
      <c r="C943" t="s">
        <v>3053</v>
      </c>
      <c r="D943" t="s">
        <v>3052</v>
      </c>
      <c r="E943" t="s">
        <v>24</v>
      </c>
      <c r="G943" t="str">
        <f>_xlfn.XLOOKUP(frasest[[#This Row],[author_es]],autorest[author_es],autorest[author_la])</f>
        <v>Sententia Hispanica</v>
      </c>
      <c r="H943" t="str">
        <f>_xlfn.XLOOKUP(frasest[[#This Row],[author_es]],autorest[author_es],autorest[bio_es])</f>
        <v>Refranes populares de la tradición oral hispana que expresan de forma breve y ingeniosa enseñanzas prácticas sobre la vida cotidiana.</v>
      </c>
      <c r="I943" t="str">
        <f>_xlfn.XLOOKUP(frasest[[#This Row],[author_es]],autorest[author_es],autorest[bio_la])</f>
        <v>Collectio sententiarum Hispanicarum.</v>
      </c>
      <c r="J943" t="str">
        <f>_xlfn.XLOOKUP(frasest[[#This Row],[author_es]],autorest[author_es],autorest[iso3691])</f>
        <v>es</v>
      </c>
      <c r="K943" t="str">
        <f>_xlfn.XLOOKUP(frasest[[#This Row],[author_es]],autorest[author_es],autorest[language_es])</f>
        <v>Español</v>
      </c>
      <c r="L943" t="str">
        <f>_xlfn.XLOOKUP(frasest[[#This Row],[author_es]],autorest[author_es],autorest[language_la])</f>
        <v>Lingua Hispanica</v>
      </c>
      <c r="M943" t="str">
        <f>_xlfn.XLOOKUP(frasest[[#This Row],[author_es]],autorest[author_es],autorest[nation_es])</f>
        <v>España</v>
      </c>
      <c r="N943" t="str">
        <f>_xlfn.XLOOKUP(frasest[[#This Row],[author_es]],autorest[author_es],autorest[nation_la])</f>
        <v>Hispania</v>
      </c>
      <c r="O943" t="str">
        <f>_xlfn.XLOOKUP(frasest[[#This Row],[author_es]],autorest[author_es],autorest[age_es])</f>
        <v>Epoca Desconocida</v>
      </c>
      <c r="P943" t="str">
        <f>_xlfn.XLOOKUP(frasest[[#This Row],[author_es]],autorest[author_es],autorest[age_la])</f>
        <v>Epocha Ignota</v>
      </c>
      <c r="Q943" t="str">
        <f>_xlfn.XLOOKUP(frasest[[#This Row],[author_es]],autorest[author_es],autorest[image])</f>
        <v>https://i.ibb.co/Y4f7TZWm/espa-a.png</v>
      </c>
      <c r="R943">
        <f>_xlfn.XLOOKUP(frasest[[#This Row],[author_es]],autorest[author_es],autorest[image_atr])</f>
        <v>0</v>
      </c>
    </row>
    <row r="944" spans="1:18">
      <c r="A944">
        <v>943</v>
      </c>
      <c r="B944" t="s">
        <v>3054</v>
      </c>
      <c r="C944" t="s">
        <v>3055</v>
      </c>
      <c r="D944" t="s">
        <v>3054</v>
      </c>
      <c r="E944" t="s">
        <v>24</v>
      </c>
      <c r="G944" t="str">
        <f>_xlfn.XLOOKUP(frasest[[#This Row],[author_es]],autorest[author_es],autorest[author_la])</f>
        <v>Sententia Hispanica</v>
      </c>
      <c r="H944" t="str">
        <f>_xlfn.XLOOKUP(frasest[[#This Row],[author_es]],autorest[author_es],autorest[bio_es])</f>
        <v>Refranes populares de la tradición oral hispana que expresan de forma breve y ingeniosa enseñanzas prácticas sobre la vida cotidiana.</v>
      </c>
      <c r="I944" t="str">
        <f>_xlfn.XLOOKUP(frasest[[#This Row],[author_es]],autorest[author_es],autorest[bio_la])</f>
        <v>Collectio sententiarum Hispanicarum.</v>
      </c>
      <c r="J944" t="str">
        <f>_xlfn.XLOOKUP(frasest[[#This Row],[author_es]],autorest[author_es],autorest[iso3691])</f>
        <v>es</v>
      </c>
      <c r="K944" t="str">
        <f>_xlfn.XLOOKUP(frasest[[#This Row],[author_es]],autorest[author_es],autorest[language_es])</f>
        <v>Español</v>
      </c>
      <c r="L944" t="str">
        <f>_xlfn.XLOOKUP(frasest[[#This Row],[author_es]],autorest[author_es],autorest[language_la])</f>
        <v>Lingua Hispanica</v>
      </c>
      <c r="M944" t="str">
        <f>_xlfn.XLOOKUP(frasest[[#This Row],[author_es]],autorest[author_es],autorest[nation_es])</f>
        <v>España</v>
      </c>
      <c r="N944" t="str">
        <f>_xlfn.XLOOKUP(frasest[[#This Row],[author_es]],autorest[author_es],autorest[nation_la])</f>
        <v>Hispania</v>
      </c>
      <c r="O944" t="str">
        <f>_xlfn.XLOOKUP(frasest[[#This Row],[author_es]],autorest[author_es],autorest[age_es])</f>
        <v>Epoca Desconocida</v>
      </c>
      <c r="P944" t="str">
        <f>_xlfn.XLOOKUP(frasest[[#This Row],[author_es]],autorest[author_es],autorest[age_la])</f>
        <v>Epocha Ignota</v>
      </c>
      <c r="Q944" t="str">
        <f>_xlfn.XLOOKUP(frasest[[#This Row],[author_es]],autorest[author_es],autorest[image])</f>
        <v>https://i.ibb.co/Y4f7TZWm/espa-a.png</v>
      </c>
      <c r="R944">
        <f>_xlfn.XLOOKUP(frasest[[#This Row],[author_es]],autorest[author_es],autorest[image_atr])</f>
        <v>0</v>
      </c>
    </row>
    <row r="945" spans="1:18">
      <c r="A945">
        <v>944</v>
      </c>
      <c r="B945" t="s">
        <v>3056</v>
      </c>
      <c r="C945" t="s">
        <v>3057</v>
      </c>
      <c r="D945" t="s">
        <v>3056</v>
      </c>
      <c r="E945" t="s">
        <v>24</v>
      </c>
      <c r="G945" t="str">
        <f>_xlfn.XLOOKUP(frasest[[#This Row],[author_es]],autorest[author_es],autorest[author_la])</f>
        <v>Sententia Hispanica</v>
      </c>
      <c r="H945" t="str">
        <f>_xlfn.XLOOKUP(frasest[[#This Row],[author_es]],autorest[author_es],autorest[bio_es])</f>
        <v>Refranes populares de la tradición oral hispana que expresan de forma breve y ingeniosa enseñanzas prácticas sobre la vida cotidiana.</v>
      </c>
      <c r="I945" t="str">
        <f>_xlfn.XLOOKUP(frasest[[#This Row],[author_es]],autorest[author_es],autorest[bio_la])</f>
        <v>Collectio sententiarum Hispanicarum.</v>
      </c>
      <c r="J945" t="str">
        <f>_xlfn.XLOOKUP(frasest[[#This Row],[author_es]],autorest[author_es],autorest[iso3691])</f>
        <v>es</v>
      </c>
      <c r="K945" t="str">
        <f>_xlfn.XLOOKUP(frasest[[#This Row],[author_es]],autorest[author_es],autorest[language_es])</f>
        <v>Español</v>
      </c>
      <c r="L945" t="str">
        <f>_xlfn.XLOOKUP(frasest[[#This Row],[author_es]],autorest[author_es],autorest[language_la])</f>
        <v>Lingua Hispanica</v>
      </c>
      <c r="M945" t="str">
        <f>_xlfn.XLOOKUP(frasest[[#This Row],[author_es]],autorest[author_es],autorest[nation_es])</f>
        <v>España</v>
      </c>
      <c r="N945" t="str">
        <f>_xlfn.XLOOKUP(frasest[[#This Row],[author_es]],autorest[author_es],autorest[nation_la])</f>
        <v>Hispania</v>
      </c>
      <c r="O945" t="str">
        <f>_xlfn.XLOOKUP(frasest[[#This Row],[author_es]],autorest[author_es],autorest[age_es])</f>
        <v>Epoca Desconocida</v>
      </c>
      <c r="P945" t="str">
        <f>_xlfn.XLOOKUP(frasest[[#This Row],[author_es]],autorest[author_es],autorest[age_la])</f>
        <v>Epocha Ignota</v>
      </c>
      <c r="Q945" t="str">
        <f>_xlfn.XLOOKUP(frasest[[#This Row],[author_es]],autorest[author_es],autorest[image])</f>
        <v>https://i.ibb.co/Y4f7TZWm/espa-a.png</v>
      </c>
      <c r="R945">
        <f>_xlfn.XLOOKUP(frasest[[#This Row],[author_es]],autorest[author_es],autorest[image_atr])</f>
        <v>0</v>
      </c>
    </row>
    <row r="946" spans="1:18">
      <c r="A946">
        <v>945</v>
      </c>
      <c r="B946" t="s">
        <v>3058</v>
      </c>
      <c r="C946" t="s">
        <v>3059</v>
      </c>
      <c r="D946" t="s">
        <v>3058</v>
      </c>
      <c r="E946" t="s">
        <v>24</v>
      </c>
      <c r="G946" t="str">
        <f>_xlfn.XLOOKUP(frasest[[#This Row],[author_es]],autorest[author_es],autorest[author_la])</f>
        <v>Sententia Hispanica</v>
      </c>
      <c r="H946" t="str">
        <f>_xlfn.XLOOKUP(frasest[[#This Row],[author_es]],autorest[author_es],autorest[bio_es])</f>
        <v>Refranes populares de la tradición oral hispana que expresan de forma breve y ingeniosa enseñanzas prácticas sobre la vida cotidiana.</v>
      </c>
      <c r="I946" t="str">
        <f>_xlfn.XLOOKUP(frasest[[#This Row],[author_es]],autorest[author_es],autorest[bio_la])</f>
        <v>Collectio sententiarum Hispanicarum.</v>
      </c>
      <c r="J946" t="str">
        <f>_xlfn.XLOOKUP(frasest[[#This Row],[author_es]],autorest[author_es],autorest[iso3691])</f>
        <v>es</v>
      </c>
      <c r="K946" t="str">
        <f>_xlfn.XLOOKUP(frasest[[#This Row],[author_es]],autorest[author_es],autorest[language_es])</f>
        <v>Español</v>
      </c>
      <c r="L946" t="str">
        <f>_xlfn.XLOOKUP(frasest[[#This Row],[author_es]],autorest[author_es],autorest[language_la])</f>
        <v>Lingua Hispanica</v>
      </c>
      <c r="M946" t="str">
        <f>_xlfn.XLOOKUP(frasest[[#This Row],[author_es]],autorest[author_es],autorest[nation_es])</f>
        <v>España</v>
      </c>
      <c r="N946" t="str">
        <f>_xlfn.XLOOKUP(frasest[[#This Row],[author_es]],autorest[author_es],autorest[nation_la])</f>
        <v>Hispania</v>
      </c>
      <c r="O946" t="str">
        <f>_xlfn.XLOOKUP(frasest[[#This Row],[author_es]],autorest[author_es],autorest[age_es])</f>
        <v>Epoca Desconocida</v>
      </c>
      <c r="P946" t="str">
        <f>_xlfn.XLOOKUP(frasest[[#This Row],[author_es]],autorest[author_es],autorest[age_la])</f>
        <v>Epocha Ignota</v>
      </c>
      <c r="Q946" t="str">
        <f>_xlfn.XLOOKUP(frasest[[#This Row],[author_es]],autorest[author_es],autorest[image])</f>
        <v>https://i.ibb.co/Y4f7TZWm/espa-a.png</v>
      </c>
      <c r="R946">
        <f>_xlfn.XLOOKUP(frasest[[#This Row],[author_es]],autorest[author_es],autorest[image_atr])</f>
        <v>0</v>
      </c>
    </row>
    <row r="947" spans="1:18">
      <c r="A947">
        <v>946</v>
      </c>
      <c r="B947" t="s">
        <v>3060</v>
      </c>
      <c r="C947" t="s">
        <v>3061</v>
      </c>
      <c r="D947" t="s">
        <v>3060</v>
      </c>
      <c r="E947" t="s">
        <v>24</v>
      </c>
      <c r="G947" t="str">
        <f>_xlfn.XLOOKUP(frasest[[#This Row],[author_es]],autorest[author_es],autorest[author_la])</f>
        <v>Sententia Hispanica</v>
      </c>
      <c r="H947" t="str">
        <f>_xlfn.XLOOKUP(frasest[[#This Row],[author_es]],autorest[author_es],autorest[bio_es])</f>
        <v>Refranes populares de la tradición oral hispana que expresan de forma breve y ingeniosa enseñanzas prácticas sobre la vida cotidiana.</v>
      </c>
      <c r="I947" t="str">
        <f>_xlfn.XLOOKUP(frasest[[#This Row],[author_es]],autorest[author_es],autorest[bio_la])</f>
        <v>Collectio sententiarum Hispanicarum.</v>
      </c>
      <c r="J947" t="str">
        <f>_xlfn.XLOOKUP(frasest[[#This Row],[author_es]],autorest[author_es],autorest[iso3691])</f>
        <v>es</v>
      </c>
      <c r="K947" t="str">
        <f>_xlfn.XLOOKUP(frasest[[#This Row],[author_es]],autorest[author_es],autorest[language_es])</f>
        <v>Español</v>
      </c>
      <c r="L947" t="str">
        <f>_xlfn.XLOOKUP(frasest[[#This Row],[author_es]],autorest[author_es],autorest[language_la])</f>
        <v>Lingua Hispanica</v>
      </c>
      <c r="M947" t="str">
        <f>_xlfn.XLOOKUP(frasest[[#This Row],[author_es]],autorest[author_es],autorest[nation_es])</f>
        <v>España</v>
      </c>
      <c r="N947" t="str">
        <f>_xlfn.XLOOKUP(frasest[[#This Row],[author_es]],autorest[author_es],autorest[nation_la])</f>
        <v>Hispania</v>
      </c>
      <c r="O947" t="str">
        <f>_xlfn.XLOOKUP(frasest[[#This Row],[author_es]],autorest[author_es],autorest[age_es])</f>
        <v>Epoca Desconocida</v>
      </c>
      <c r="P947" t="str">
        <f>_xlfn.XLOOKUP(frasest[[#This Row],[author_es]],autorest[author_es],autorest[age_la])</f>
        <v>Epocha Ignota</v>
      </c>
      <c r="Q947" t="str">
        <f>_xlfn.XLOOKUP(frasest[[#This Row],[author_es]],autorest[author_es],autorest[image])</f>
        <v>https://i.ibb.co/Y4f7TZWm/espa-a.png</v>
      </c>
      <c r="R947">
        <f>_xlfn.XLOOKUP(frasest[[#This Row],[author_es]],autorest[author_es],autorest[image_atr])</f>
        <v>0</v>
      </c>
    </row>
    <row r="948" spans="1:18">
      <c r="A948">
        <v>947</v>
      </c>
      <c r="B948" t="s">
        <v>3062</v>
      </c>
      <c r="C948" t="s">
        <v>3063</v>
      </c>
      <c r="D948" t="s">
        <v>3062</v>
      </c>
      <c r="E948" t="s">
        <v>24</v>
      </c>
      <c r="G948" t="str">
        <f>_xlfn.XLOOKUP(frasest[[#This Row],[author_es]],autorest[author_es],autorest[author_la])</f>
        <v>Sententia Hispanica</v>
      </c>
      <c r="H948" t="str">
        <f>_xlfn.XLOOKUP(frasest[[#This Row],[author_es]],autorest[author_es],autorest[bio_es])</f>
        <v>Refranes populares de la tradición oral hispana que expresan de forma breve y ingeniosa enseñanzas prácticas sobre la vida cotidiana.</v>
      </c>
      <c r="I948" t="str">
        <f>_xlfn.XLOOKUP(frasest[[#This Row],[author_es]],autorest[author_es],autorest[bio_la])</f>
        <v>Collectio sententiarum Hispanicarum.</v>
      </c>
      <c r="J948" t="str">
        <f>_xlfn.XLOOKUP(frasest[[#This Row],[author_es]],autorest[author_es],autorest[iso3691])</f>
        <v>es</v>
      </c>
      <c r="K948" t="str">
        <f>_xlfn.XLOOKUP(frasest[[#This Row],[author_es]],autorest[author_es],autorest[language_es])</f>
        <v>Español</v>
      </c>
      <c r="L948" t="str">
        <f>_xlfn.XLOOKUP(frasest[[#This Row],[author_es]],autorest[author_es],autorest[language_la])</f>
        <v>Lingua Hispanica</v>
      </c>
      <c r="M948" t="str">
        <f>_xlfn.XLOOKUP(frasest[[#This Row],[author_es]],autorest[author_es],autorest[nation_es])</f>
        <v>España</v>
      </c>
      <c r="N948" t="str">
        <f>_xlfn.XLOOKUP(frasest[[#This Row],[author_es]],autorest[author_es],autorest[nation_la])</f>
        <v>Hispania</v>
      </c>
      <c r="O948" t="str">
        <f>_xlfn.XLOOKUP(frasest[[#This Row],[author_es]],autorest[author_es],autorest[age_es])</f>
        <v>Epoca Desconocida</v>
      </c>
      <c r="P948" t="str">
        <f>_xlfn.XLOOKUP(frasest[[#This Row],[author_es]],autorest[author_es],autorest[age_la])</f>
        <v>Epocha Ignota</v>
      </c>
      <c r="Q948" t="str">
        <f>_xlfn.XLOOKUP(frasest[[#This Row],[author_es]],autorest[author_es],autorest[image])</f>
        <v>https://i.ibb.co/Y4f7TZWm/espa-a.png</v>
      </c>
      <c r="R948">
        <f>_xlfn.XLOOKUP(frasest[[#This Row],[author_es]],autorest[author_es],autorest[image_atr])</f>
        <v>0</v>
      </c>
    </row>
    <row r="949" spans="1:18">
      <c r="A949">
        <v>948</v>
      </c>
      <c r="B949" t="s">
        <v>3064</v>
      </c>
      <c r="C949" t="s">
        <v>2316</v>
      </c>
      <c r="D949" t="s">
        <v>3064</v>
      </c>
      <c r="E949" t="s">
        <v>24</v>
      </c>
      <c r="G949" t="str">
        <f>_xlfn.XLOOKUP(frasest[[#This Row],[author_es]],autorest[author_es],autorest[author_la])</f>
        <v>Sententia Hispanica</v>
      </c>
      <c r="H949" t="str">
        <f>_xlfn.XLOOKUP(frasest[[#This Row],[author_es]],autorest[author_es],autorest[bio_es])</f>
        <v>Refranes populares de la tradición oral hispana que expresan de forma breve y ingeniosa enseñanzas prácticas sobre la vida cotidiana.</v>
      </c>
      <c r="I949" t="str">
        <f>_xlfn.XLOOKUP(frasest[[#This Row],[author_es]],autorest[author_es],autorest[bio_la])</f>
        <v>Collectio sententiarum Hispanicarum.</v>
      </c>
      <c r="J949" t="str">
        <f>_xlfn.XLOOKUP(frasest[[#This Row],[author_es]],autorest[author_es],autorest[iso3691])</f>
        <v>es</v>
      </c>
      <c r="K949" t="str">
        <f>_xlfn.XLOOKUP(frasest[[#This Row],[author_es]],autorest[author_es],autorest[language_es])</f>
        <v>Español</v>
      </c>
      <c r="L949" t="str">
        <f>_xlfn.XLOOKUP(frasest[[#This Row],[author_es]],autorest[author_es],autorest[language_la])</f>
        <v>Lingua Hispanica</v>
      </c>
      <c r="M949" t="str">
        <f>_xlfn.XLOOKUP(frasest[[#This Row],[author_es]],autorest[author_es],autorest[nation_es])</f>
        <v>España</v>
      </c>
      <c r="N949" t="str">
        <f>_xlfn.XLOOKUP(frasest[[#This Row],[author_es]],autorest[author_es],autorest[nation_la])</f>
        <v>Hispania</v>
      </c>
      <c r="O949" t="str">
        <f>_xlfn.XLOOKUP(frasest[[#This Row],[author_es]],autorest[author_es],autorest[age_es])</f>
        <v>Epoca Desconocida</v>
      </c>
      <c r="P949" t="str">
        <f>_xlfn.XLOOKUP(frasest[[#This Row],[author_es]],autorest[author_es],autorest[age_la])</f>
        <v>Epocha Ignota</v>
      </c>
      <c r="Q949" t="str">
        <f>_xlfn.XLOOKUP(frasest[[#This Row],[author_es]],autorest[author_es],autorest[image])</f>
        <v>https://i.ibb.co/Y4f7TZWm/espa-a.png</v>
      </c>
      <c r="R949">
        <f>_xlfn.XLOOKUP(frasest[[#This Row],[author_es]],autorest[author_es],autorest[image_atr])</f>
        <v>0</v>
      </c>
    </row>
    <row r="950" spans="1:18">
      <c r="A950">
        <v>949</v>
      </c>
      <c r="B950" t="s">
        <v>3065</v>
      </c>
      <c r="C950" t="s">
        <v>3066</v>
      </c>
      <c r="D950" t="s">
        <v>3065</v>
      </c>
      <c r="E950" t="s">
        <v>24</v>
      </c>
      <c r="G950" t="str">
        <f>_xlfn.XLOOKUP(frasest[[#This Row],[author_es]],autorest[author_es],autorest[author_la])</f>
        <v>Sententia Hispanica</v>
      </c>
      <c r="H950" t="str">
        <f>_xlfn.XLOOKUP(frasest[[#This Row],[author_es]],autorest[author_es],autorest[bio_es])</f>
        <v>Refranes populares de la tradición oral hispana que expresan de forma breve y ingeniosa enseñanzas prácticas sobre la vida cotidiana.</v>
      </c>
      <c r="I950" t="str">
        <f>_xlfn.XLOOKUP(frasest[[#This Row],[author_es]],autorest[author_es],autorest[bio_la])</f>
        <v>Collectio sententiarum Hispanicarum.</v>
      </c>
      <c r="J950" t="str">
        <f>_xlfn.XLOOKUP(frasest[[#This Row],[author_es]],autorest[author_es],autorest[iso3691])</f>
        <v>es</v>
      </c>
      <c r="K950" t="str">
        <f>_xlfn.XLOOKUP(frasest[[#This Row],[author_es]],autorest[author_es],autorest[language_es])</f>
        <v>Español</v>
      </c>
      <c r="L950" t="str">
        <f>_xlfn.XLOOKUP(frasest[[#This Row],[author_es]],autorest[author_es],autorest[language_la])</f>
        <v>Lingua Hispanica</v>
      </c>
      <c r="M950" t="str">
        <f>_xlfn.XLOOKUP(frasest[[#This Row],[author_es]],autorest[author_es],autorest[nation_es])</f>
        <v>España</v>
      </c>
      <c r="N950" t="str">
        <f>_xlfn.XLOOKUP(frasest[[#This Row],[author_es]],autorest[author_es],autorest[nation_la])</f>
        <v>Hispania</v>
      </c>
      <c r="O950" t="str">
        <f>_xlfn.XLOOKUP(frasest[[#This Row],[author_es]],autorest[author_es],autorest[age_es])</f>
        <v>Epoca Desconocida</v>
      </c>
      <c r="P950" t="str">
        <f>_xlfn.XLOOKUP(frasest[[#This Row],[author_es]],autorest[author_es],autorest[age_la])</f>
        <v>Epocha Ignota</v>
      </c>
      <c r="Q950" t="str">
        <f>_xlfn.XLOOKUP(frasest[[#This Row],[author_es]],autorest[author_es],autorest[image])</f>
        <v>https://i.ibb.co/Y4f7TZWm/espa-a.png</v>
      </c>
      <c r="R950">
        <f>_xlfn.XLOOKUP(frasest[[#This Row],[author_es]],autorest[author_es],autorest[image_atr])</f>
        <v>0</v>
      </c>
    </row>
    <row r="951" spans="1:18">
      <c r="A951">
        <v>950</v>
      </c>
      <c r="B951" t="s">
        <v>3067</v>
      </c>
      <c r="C951" t="s">
        <v>3068</v>
      </c>
      <c r="D951" t="s">
        <v>3067</v>
      </c>
      <c r="E951" t="s">
        <v>24</v>
      </c>
      <c r="G951" t="str">
        <f>_xlfn.XLOOKUP(frasest[[#This Row],[author_es]],autorest[author_es],autorest[author_la])</f>
        <v>Sententia Hispanica</v>
      </c>
      <c r="H951" t="str">
        <f>_xlfn.XLOOKUP(frasest[[#This Row],[author_es]],autorest[author_es],autorest[bio_es])</f>
        <v>Refranes populares de la tradición oral hispana que expresan de forma breve y ingeniosa enseñanzas prácticas sobre la vida cotidiana.</v>
      </c>
      <c r="I951" t="str">
        <f>_xlfn.XLOOKUP(frasest[[#This Row],[author_es]],autorest[author_es],autorest[bio_la])</f>
        <v>Collectio sententiarum Hispanicarum.</v>
      </c>
      <c r="J951" t="str">
        <f>_xlfn.XLOOKUP(frasest[[#This Row],[author_es]],autorest[author_es],autorest[iso3691])</f>
        <v>es</v>
      </c>
      <c r="K951" t="str">
        <f>_xlfn.XLOOKUP(frasest[[#This Row],[author_es]],autorest[author_es],autorest[language_es])</f>
        <v>Español</v>
      </c>
      <c r="L951" t="str">
        <f>_xlfn.XLOOKUP(frasest[[#This Row],[author_es]],autorest[author_es],autorest[language_la])</f>
        <v>Lingua Hispanica</v>
      </c>
      <c r="M951" t="str">
        <f>_xlfn.XLOOKUP(frasest[[#This Row],[author_es]],autorest[author_es],autorest[nation_es])</f>
        <v>España</v>
      </c>
      <c r="N951" t="str">
        <f>_xlfn.XLOOKUP(frasest[[#This Row],[author_es]],autorest[author_es],autorest[nation_la])</f>
        <v>Hispania</v>
      </c>
      <c r="O951" t="str">
        <f>_xlfn.XLOOKUP(frasest[[#This Row],[author_es]],autorest[author_es],autorest[age_es])</f>
        <v>Epoca Desconocida</v>
      </c>
      <c r="P951" t="str">
        <f>_xlfn.XLOOKUP(frasest[[#This Row],[author_es]],autorest[author_es],autorest[age_la])</f>
        <v>Epocha Ignota</v>
      </c>
      <c r="Q951" t="str">
        <f>_xlfn.XLOOKUP(frasest[[#This Row],[author_es]],autorest[author_es],autorest[image])</f>
        <v>https://i.ibb.co/Y4f7TZWm/espa-a.png</v>
      </c>
      <c r="R951">
        <f>_xlfn.XLOOKUP(frasest[[#This Row],[author_es]],autorest[author_es],autorest[image_atr])</f>
        <v>0</v>
      </c>
    </row>
    <row r="952" spans="1:18">
      <c r="A952">
        <v>951</v>
      </c>
      <c r="B952" t="s">
        <v>3069</v>
      </c>
      <c r="C952" t="s">
        <v>3070</v>
      </c>
      <c r="D952" t="s">
        <v>3069</v>
      </c>
      <c r="E952" t="s">
        <v>24</v>
      </c>
      <c r="G952" t="str">
        <f>_xlfn.XLOOKUP(frasest[[#This Row],[author_es]],autorest[author_es],autorest[author_la])</f>
        <v>Sententia Hispanica</v>
      </c>
      <c r="H952" t="str">
        <f>_xlfn.XLOOKUP(frasest[[#This Row],[author_es]],autorest[author_es],autorest[bio_es])</f>
        <v>Refranes populares de la tradición oral hispana que expresan de forma breve y ingeniosa enseñanzas prácticas sobre la vida cotidiana.</v>
      </c>
      <c r="I952" t="str">
        <f>_xlfn.XLOOKUP(frasest[[#This Row],[author_es]],autorest[author_es],autorest[bio_la])</f>
        <v>Collectio sententiarum Hispanicarum.</v>
      </c>
      <c r="J952" t="str">
        <f>_xlfn.XLOOKUP(frasest[[#This Row],[author_es]],autorest[author_es],autorest[iso3691])</f>
        <v>es</v>
      </c>
      <c r="K952" t="str">
        <f>_xlfn.XLOOKUP(frasest[[#This Row],[author_es]],autorest[author_es],autorest[language_es])</f>
        <v>Español</v>
      </c>
      <c r="L952" t="str">
        <f>_xlfn.XLOOKUP(frasest[[#This Row],[author_es]],autorest[author_es],autorest[language_la])</f>
        <v>Lingua Hispanica</v>
      </c>
      <c r="M952" t="str">
        <f>_xlfn.XLOOKUP(frasest[[#This Row],[author_es]],autorest[author_es],autorest[nation_es])</f>
        <v>España</v>
      </c>
      <c r="N952" t="str">
        <f>_xlfn.XLOOKUP(frasest[[#This Row],[author_es]],autorest[author_es],autorest[nation_la])</f>
        <v>Hispania</v>
      </c>
      <c r="O952" t="str">
        <f>_xlfn.XLOOKUP(frasest[[#This Row],[author_es]],autorest[author_es],autorest[age_es])</f>
        <v>Epoca Desconocida</v>
      </c>
      <c r="P952" t="str">
        <f>_xlfn.XLOOKUP(frasest[[#This Row],[author_es]],autorest[author_es],autorest[age_la])</f>
        <v>Epocha Ignota</v>
      </c>
      <c r="Q952" t="str">
        <f>_xlfn.XLOOKUP(frasest[[#This Row],[author_es]],autorest[author_es],autorest[image])</f>
        <v>https://i.ibb.co/Y4f7TZWm/espa-a.png</v>
      </c>
      <c r="R952">
        <f>_xlfn.XLOOKUP(frasest[[#This Row],[author_es]],autorest[author_es],autorest[image_atr])</f>
        <v>0</v>
      </c>
    </row>
    <row r="953" spans="1:18">
      <c r="A953">
        <v>952</v>
      </c>
      <c r="B953" t="s">
        <v>3071</v>
      </c>
      <c r="C953" t="s">
        <v>3072</v>
      </c>
      <c r="D953" t="s">
        <v>3071</v>
      </c>
      <c r="E953" t="s">
        <v>24</v>
      </c>
      <c r="G953" t="str">
        <f>_xlfn.XLOOKUP(frasest[[#This Row],[author_es]],autorest[author_es],autorest[author_la])</f>
        <v>Sententia Hispanica</v>
      </c>
      <c r="H953" t="str">
        <f>_xlfn.XLOOKUP(frasest[[#This Row],[author_es]],autorest[author_es],autorest[bio_es])</f>
        <v>Refranes populares de la tradición oral hispana que expresan de forma breve y ingeniosa enseñanzas prácticas sobre la vida cotidiana.</v>
      </c>
      <c r="I953" t="str">
        <f>_xlfn.XLOOKUP(frasest[[#This Row],[author_es]],autorest[author_es],autorest[bio_la])</f>
        <v>Collectio sententiarum Hispanicarum.</v>
      </c>
      <c r="J953" t="str">
        <f>_xlfn.XLOOKUP(frasest[[#This Row],[author_es]],autorest[author_es],autorest[iso3691])</f>
        <v>es</v>
      </c>
      <c r="K953" t="str">
        <f>_xlfn.XLOOKUP(frasest[[#This Row],[author_es]],autorest[author_es],autorest[language_es])</f>
        <v>Español</v>
      </c>
      <c r="L953" t="str">
        <f>_xlfn.XLOOKUP(frasest[[#This Row],[author_es]],autorest[author_es],autorest[language_la])</f>
        <v>Lingua Hispanica</v>
      </c>
      <c r="M953" t="str">
        <f>_xlfn.XLOOKUP(frasest[[#This Row],[author_es]],autorest[author_es],autorest[nation_es])</f>
        <v>España</v>
      </c>
      <c r="N953" t="str">
        <f>_xlfn.XLOOKUP(frasest[[#This Row],[author_es]],autorest[author_es],autorest[nation_la])</f>
        <v>Hispania</v>
      </c>
      <c r="O953" t="str">
        <f>_xlfn.XLOOKUP(frasest[[#This Row],[author_es]],autorest[author_es],autorest[age_es])</f>
        <v>Epoca Desconocida</v>
      </c>
      <c r="P953" t="str">
        <f>_xlfn.XLOOKUP(frasest[[#This Row],[author_es]],autorest[author_es],autorest[age_la])</f>
        <v>Epocha Ignota</v>
      </c>
      <c r="Q953" t="str">
        <f>_xlfn.XLOOKUP(frasest[[#This Row],[author_es]],autorest[author_es],autorest[image])</f>
        <v>https://i.ibb.co/Y4f7TZWm/espa-a.png</v>
      </c>
      <c r="R953">
        <f>_xlfn.XLOOKUP(frasest[[#This Row],[author_es]],autorest[author_es],autorest[image_atr])</f>
        <v>0</v>
      </c>
    </row>
    <row r="954" spans="1:18">
      <c r="A954">
        <v>953</v>
      </c>
      <c r="B954" t="s">
        <v>3073</v>
      </c>
      <c r="C954" t="s">
        <v>3074</v>
      </c>
      <c r="D954" t="s">
        <v>3073</v>
      </c>
      <c r="E954" t="s">
        <v>24</v>
      </c>
      <c r="G954" t="str">
        <f>_xlfn.XLOOKUP(frasest[[#This Row],[author_es]],autorest[author_es],autorest[author_la])</f>
        <v>Sententia Hispanica</v>
      </c>
      <c r="H954" t="str">
        <f>_xlfn.XLOOKUP(frasest[[#This Row],[author_es]],autorest[author_es],autorest[bio_es])</f>
        <v>Refranes populares de la tradición oral hispana que expresan de forma breve y ingeniosa enseñanzas prácticas sobre la vida cotidiana.</v>
      </c>
      <c r="I954" t="str">
        <f>_xlfn.XLOOKUP(frasest[[#This Row],[author_es]],autorest[author_es],autorest[bio_la])</f>
        <v>Collectio sententiarum Hispanicarum.</v>
      </c>
      <c r="J954" t="str">
        <f>_xlfn.XLOOKUP(frasest[[#This Row],[author_es]],autorest[author_es],autorest[iso3691])</f>
        <v>es</v>
      </c>
      <c r="K954" t="str">
        <f>_xlfn.XLOOKUP(frasest[[#This Row],[author_es]],autorest[author_es],autorest[language_es])</f>
        <v>Español</v>
      </c>
      <c r="L954" t="str">
        <f>_xlfn.XLOOKUP(frasest[[#This Row],[author_es]],autorest[author_es],autorest[language_la])</f>
        <v>Lingua Hispanica</v>
      </c>
      <c r="M954" t="str">
        <f>_xlfn.XLOOKUP(frasest[[#This Row],[author_es]],autorest[author_es],autorest[nation_es])</f>
        <v>España</v>
      </c>
      <c r="N954" t="str">
        <f>_xlfn.XLOOKUP(frasest[[#This Row],[author_es]],autorest[author_es],autorest[nation_la])</f>
        <v>Hispania</v>
      </c>
      <c r="O954" t="str">
        <f>_xlfn.XLOOKUP(frasest[[#This Row],[author_es]],autorest[author_es],autorest[age_es])</f>
        <v>Epoca Desconocida</v>
      </c>
      <c r="P954" t="str">
        <f>_xlfn.XLOOKUP(frasest[[#This Row],[author_es]],autorest[author_es],autorest[age_la])</f>
        <v>Epocha Ignota</v>
      </c>
      <c r="Q954" t="str">
        <f>_xlfn.XLOOKUP(frasest[[#This Row],[author_es]],autorest[author_es],autorest[image])</f>
        <v>https://i.ibb.co/Y4f7TZWm/espa-a.png</v>
      </c>
      <c r="R954">
        <f>_xlfn.XLOOKUP(frasest[[#This Row],[author_es]],autorest[author_es],autorest[image_atr])</f>
        <v>0</v>
      </c>
    </row>
    <row r="955" spans="1:18">
      <c r="A955">
        <v>954</v>
      </c>
      <c r="B955" t="s">
        <v>3075</v>
      </c>
      <c r="C955" t="s">
        <v>3076</v>
      </c>
      <c r="D955" t="s">
        <v>3075</v>
      </c>
      <c r="E955" t="s">
        <v>24</v>
      </c>
      <c r="G955" t="str">
        <f>_xlfn.XLOOKUP(frasest[[#This Row],[author_es]],autorest[author_es],autorest[author_la])</f>
        <v>Sententia Hispanica</v>
      </c>
      <c r="H955" t="str">
        <f>_xlfn.XLOOKUP(frasest[[#This Row],[author_es]],autorest[author_es],autorest[bio_es])</f>
        <v>Refranes populares de la tradición oral hispana que expresan de forma breve y ingeniosa enseñanzas prácticas sobre la vida cotidiana.</v>
      </c>
      <c r="I955" t="str">
        <f>_xlfn.XLOOKUP(frasest[[#This Row],[author_es]],autorest[author_es],autorest[bio_la])</f>
        <v>Collectio sententiarum Hispanicarum.</v>
      </c>
      <c r="J955" t="str">
        <f>_xlfn.XLOOKUP(frasest[[#This Row],[author_es]],autorest[author_es],autorest[iso3691])</f>
        <v>es</v>
      </c>
      <c r="K955" t="str">
        <f>_xlfn.XLOOKUP(frasest[[#This Row],[author_es]],autorest[author_es],autorest[language_es])</f>
        <v>Español</v>
      </c>
      <c r="L955" t="str">
        <f>_xlfn.XLOOKUP(frasest[[#This Row],[author_es]],autorest[author_es],autorest[language_la])</f>
        <v>Lingua Hispanica</v>
      </c>
      <c r="M955" t="str">
        <f>_xlfn.XLOOKUP(frasest[[#This Row],[author_es]],autorest[author_es],autorest[nation_es])</f>
        <v>España</v>
      </c>
      <c r="N955" t="str">
        <f>_xlfn.XLOOKUP(frasest[[#This Row],[author_es]],autorest[author_es],autorest[nation_la])</f>
        <v>Hispania</v>
      </c>
      <c r="O955" t="str">
        <f>_xlfn.XLOOKUP(frasest[[#This Row],[author_es]],autorest[author_es],autorest[age_es])</f>
        <v>Epoca Desconocida</v>
      </c>
      <c r="P955" t="str">
        <f>_xlfn.XLOOKUP(frasest[[#This Row],[author_es]],autorest[author_es],autorest[age_la])</f>
        <v>Epocha Ignota</v>
      </c>
      <c r="Q955" t="str">
        <f>_xlfn.XLOOKUP(frasest[[#This Row],[author_es]],autorest[author_es],autorest[image])</f>
        <v>https://i.ibb.co/Y4f7TZWm/espa-a.png</v>
      </c>
      <c r="R955">
        <f>_xlfn.XLOOKUP(frasest[[#This Row],[author_es]],autorest[author_es],autorest[image_atr])</f>
        <v>0</v>
      </c>
    </row>
    <row r="956" spans="1:18">
      <c r="A956">
        <v>955</v>
      </c>
      <c r="B956" t="s">
        <v>3077</v>
      </c>
      <c r="C956" t="s">
        <v>3078</v>
      </c>
      <c r="D956" t="s">
        <v>3077</v>
      </c>
      <c r="E956" t="s">
        <v>24</v>
      </c>
      <c r="G956" t="str">
        <f>_xlfn.XLOOKUP(frasest[[#This Row],[author_es]],autorest[author_es],autorest[author_la])</f>
        <v>Sententia Hispanica</v>
      </c>
      <c r="H956" t="str">
        <f>_xlfn.XLOOKUP(frasest[[#This Row],[author_es]],autorest[author_es],autorest[bio_es])</f>
        <v>Refranes populares de la tradición oral hispana que expresan de forma breve y ingeniosa enseñanzas prácticas sobre la vida cotidiana.</v>
      </c>
      <c r="I956" t="str">
        <f>_xlfn.XLOOKUP(frasest[[#This Row],[author_es]],autorest[author_es],autorest[bio_la])</f>
        <v>Collectio sententiarum Hispanicarum.</v>
      </c>
      <c r="J956" t="str">
        <f>_xlfn.XLOOKUP(frasest[[#This Row],[author_es]],autorest[author_es],autorest[iso3691])</f>
        <v>es</v>
      </c>
      <c r="K956" t="str">
        <f>_xlfn.XLOOKUP(frasest[[#This Row],[author_es]],autorest[author_es],autorest[language_es])</f>
        <v>Español</v>
      </c>
      <c r="L956" t="str">
        <f>_xlfn.XLOOKUP(frasest[[#This Row],[author_es]],autorest[author_es],autorest[language_la])</f>
        <v>Lingua Hispanica</v>
      </c>
      <c r="M956" t="str">
        <f>_xlfn.XLOOKUP(frasest[[#This Row],[author_es]],autorest[author_es],autorest[nation_es])</f>
        <v>España</v>
      </c>
      <c r="N956" t="str">
        <f>_xlfn.XLOOKUP(frasest[[#This Row],[author_es]],autorest[author_es],autorest[nation_la])</f>
        <v>Hispania</v>
      </c>
      <c r="O956" t="str">
        <f>_xlfn.XLOOKUP(frasest[[#This Row],[author_es]],autorest[author_es],autorest[age_es])</f>
        <v>Epoca Desconocida</v>
      </c>
      <c r="P956" t="str">
        <f>_xlfn.XLOOKUP(frasest[[#This Row],[author_es]],autorest[author_es],autorest[age_la])</f>
        <v>Epocha Ignota</v>
      </c>
      <c r="Q956" t="str">
        <f>_xlfn.XLOOKUP(frasest[[#This Row],[author_es]],autorest[author_es],autorest[image])</f>
        <v>https://i.ibb.co/Y4f7TZWm/espa-a.png</v>
      </c>
      <c r="R956">
        <f>_xlfn.XLOOKUP(frasest[[#This Row],[author_es]],autorest[author_es],autorest[image_atr])</f>
        <v>0</v>
      </c>
    </row>
    <row r="957" spans="1:18">
      <c r="A957">
        <v>956</v>
      </c>
      <c r="B957" t="s">
        <v>3079</v>
      </c>
      <c r="C957" t="s">
        <v>3080</v>
      </c>
      <c r="D957" t="s">
        <v>3079</v>
      </c>
      <c r="E957" t="s">
        <v>24</v>
      </c>
      <c r="G957" t="str">
        <f>_xlfn.XLOOKUP(frasest[[#This Row],[author_es]],autorest[author_es],autorest[author_la])</f>
        <v>Sententia Hispanica</v>
      </c>
      <c r="H957" t="str">
        <f>_xlfn.XLOOKUP(frasest[[#This Row],[author_es]],autorest[author_es],autorest[bio_es])</f>
        <v>Refranes populares de la tradición oral hispana que expresan de forma breve y ingeniosa enseñanzas prácticas sobre la vida cotidiana.</v>
      </c>
      <c r="I957" t="str">
        <f>_xlfn.XLOOKUP(frasest[[#This Row],[author_es]],autorest[author_es],autorest[bio_la])</f>
        <v>Collectio sententiarum Hispanicarum.</v>
      </c>
      <c r="J957" t="str">
        <f>_xlfn.XLOOKUP(frasest[[#This Row],[author_es]],autorest[author_es],autorest[iso3691])</f>
        <v>es</v>
      </c>
      <c r="K957" t="str">
        <f>_xlfn.XLOOKUP(frasest[[#This Row],[author_es]],autorest[author_es],autorest[language_es])</f>
        <v>Español</v>
      </c>
      <c r="L957" t="str">
        <f>_xlfn.XLOOKUP(frasest[[#This Row],[author_es]],autorest[author_es],autorest[language_la])</f>
        <v>Lingua Hispanica</v>
      </c>
      <c r="M957" t="str">
        <f>_xlfn.XLOOKUP(frasest[[#This Row],[author_es]],autorest[author_es],autorest[nation_es])</f>
        <v>España</v>
      </c>
      <c r="N957" t="str">
        <f>_xlfn.XLOOKUP(frasest[[#This Row],[author_es]],autorest[author_es],autorest[nation_la])</f>
        <v>Hispania</v>
      </c>
      <c r="O957" t="str">
        <f>_xlfn.XLOOKUP(frasest[[#This Row],[author_es]],autorest[author_es],autorest[age_es])</f>
        <v>Epoca Desconocida</v>
      </c>
      <c r="P957" t="str">
        <f>_xlfn.XLOOKUP(frasest[[#This Row],[author_es]],autorest[author_es],autorest[age_la])</f>
        <v>Epocha Ignota</v>
      </c>
      <c r="Q957" t="str">
        <f>_xlfn.XLOOKUP(frasest[[#This Row],[author_es]],autorest[author_es],autorest[image])</f>
        <v>https://i.ibb.co/Y4f7TZWm/espa-a.png</v>
      </c>
      <c r="R957">
        <f>_xlfn.XLOOKUP(frasest[[#This Row],[author_es]],autorest[author_es],autorest[image_atr])</f>
        <v>0</v>
      </c>
    </row>
    <row r="958" spans="1:18">
      <c r="A958">
        <v>957</v>
      </c>
      <c r="B958" t="s">
        <v>3081</v>
      </c>
      <c r="C958" t="s">
        <v>3082</v>
      </c>
      <c r="D958" t="s">
        <v>3081</v>
      </c>
      <c r="E958" t="s">
        <v>24</v>
      </c>
      <c r="G958" t="str">
        <f>_xlfn.XLOOKUP(frasest[[#This Row],[author_es]],autorest[author_es],autorest[author_la])</f>
        <v>Sententia Hispanica</v>
      </c>
      <c r="H958" t="str">
        <f>_xlfn.XLOOKUP(frasest[[#This Row],[author_es]],autorest[author_es],autorest[bio_es])</f>
        <v>Refranes populares de la tradición oral hispana que expresan de forma breve y ingeniosa enseñanzas prácticas sobre la vida cotidiana.</v>
      </c>
      <c r="I958" t="str">
        <f>_xlfn.XLOOKUP(frasest[[#This Row],[author_es]],autorest[author_es],autorest[bio_la])</f>
        <v>Collectio sententiarum Hispanicarum.</v>
      </c>
      <c r="J958" t="str">
        <f>_xlfn.XLOOKUP(frasest[[#This Row],[author_es]],autorest[author_es],autorest[iso3691])</f>
        <v>es</v>
      </c>
      <c r="K958" t="str">
        <f>_xlfn.XLOOKUP(frasest[[#This Row],[author_es]],autorest[author_es],autorest[language_es])</f>
        <v>Español</v>
      </c>
      <c r="L958" t="str">
        <f>_xlfn.XLOOKUP(frasest[[#This Row],[author_es]],autorest[author_es],autorest[language_la])</f>
        <v>Lingua Hispanica</v>
      </c>
      <c r="M958" t="str">
        <f>_xlfn.XLOOKUP(frasest[[#This Row],[author_es]],autorest[author_es],autorest[nation_es])</f>
        <v>España</v>
      </c>
      <c r="N958" t="str">
        <f>_xlfn.XLOOKUP(frasest[[#This Row],[author_es]],autorest[author_es],autorest[nation_la])</f>
        <v>Hispania</v>
      </c>
      <c r="O958" t="str">
        <f>_xlfn.XLOOKUP(frasest[[#This Row],[author_es]],autorest[author_es],autorest[age_es])</f>
        <v>Epoca Desconocida</v>
      </c>
      <c r="P958" t="str">
        <f>_xlfn.XLOOKUP(frasest[[#This Row],[author_es]],autorest[author_es],autorest[age_la])</f>
        <v>Epocha Ignota</v>
      </c>
      <c r="Q958" t="str">
        <f>_xlfn.XLOOKUP(frasest[[#This Row],[author_es]],autorest[author_es],autorest[image])</f>
        <v>https://i.ibb.co/Y4f7TZWm/espa-a.png</v>
      </c>
      <c r="R958">
        <f>_xlfn.XLOOKUP(frasest[[#This Row],[author_es]],autorest[author_es],autorest[image_atr])</f>
        <v>0</v>
      </c>
    </row>
    <row r="959" spans="1:18">
      <c r="A959">
        <v>958</v>
      </c>
      <c r="B959" t="s">
        <v>3083</v>
      </c>
      <c r="C959" t="s">
        <v>3084</v>
      </c>
      <c r="D959" t="s">
        <v>3083</v>
      </c>
      <c r="E959" t="s">
        <v>24</v>
      </c>
      <c r="G959" t="str">
        <f>_xlfn.XLOOKUP(frasest[[#This Row],[author_es]],autorest[author_es],autorest[author_la])</f>
        <v>Sententia Hispanica</v>
      </c>
      <c r="H959" t="str">
        <f>_xlfn.XLOOKUP(frasest[[#This Row],[author_es]],autorest[author_es],autorest[bio_es])</f>
        <v>Refranes populares de la tradición oral hispana que expresan de forma breve y ingeniosa enseñanzas prácticas sobre la vida cotidiana.</v>
      </c>
      <c r="I959" t="str">
        <f>_xlfn.XLOOKUP(frasest[[#This Row],[author_es]],autorest[author_es],autorest[bio_la])</f>
        <v>Collectio sententiarum Hispanicarum.</v>
      </c>
      <c r="J959" t="str">
        <f>_xlfn.XLOOKUP(frasest[[#This Row],[author_es]],autorest[author_es],autorest[iso3691])</f>
        <v>es</v>
      </c>
      <c r="K959" t="str">
        <f>_xlfn.XLOOKUP(frasest[[#This Row],[author_es]],autorest[author_es],autorest[language_es])</f>
        <v>Español</v>
      </c>
      <c r="L959" t="str">
        <f>_xlfn.XLOOKUP(frasest[[#This Row],[author_es]],autorest[author_es],autorest[language_la])</f>
        <v>Lingua Hispanica</v>
      </c>
      <c r="M959" t="str">
        <f>_xlfn.XLOOKUP(frasest[[#This Row],[author_es]],autorest[author_es],autorest[nation_es])</f>
        <v>España</v>
      </c>
      <c r="N959" t="str">
        <f>_xlfn.XLOOKUP(frasest[[#This Row],[author_es]],autorest[author_es],autorest[nation_la])</f>
        <v>Hispania</v>
      </c>
      <c r="O959" t="str">
        <f>_xlfn.XLOOKUP(frasest[[#This Row],[author_es]],autorest[author_es],autorest[age_es])</f>
        <v>Epoca Desconocida</v>
      </c>
      <c r="P959" t="str">
        <f>_xlfn.XLOOKUP(frasest[[#This Row],[author_es]],autorest[author_es],autorest[age_la])</f>
        <v>Epocha Ignota</v>
      </c>
      <c r="Q959" t="str">
        <f>_xlfn.XLOOKUP(frasest[[#This Row],[author_es]],autorest[author_es],autorest[image])</f>
        <v>https://i.ibb.co/Y4f7TZWm/espa-a.png</v>
      </c>
      <c r="R959">
        <f>_xlfn.XLOOKUP(frasest[[#This Row],[author_es]],autorest[author_es],autorest[image_atr])</f>
        <v>0</v>
      </c>
    </row>
    <row r="960" spans="1:18">
      <c r="A960">
        <v>959</v>
      </c>
      <c r="B960" t="s">
        <v>3085</v>
      </c>
      <c r="C960" t="s">
        <v>3086</v>
      </c>
      <c r="D960" t="s">
        <v>3085</v>
      </c>
      <c r="E960" t="s">
        <v>24</v>
      </c>
      <c r="G960" t="str">
        <f>_xlfn.XLOOKUP(frasest[[#This Row],[author_es]],autorest[author_es],autorest[author_la])</f>
        <v>Sententia Hispanica</v>
      </c>
      <c r="H960" t="str">
        <f>_xlfn.XLOOKUP(frasest[[#This Row],[author_es]],autorest[author_es],autorest[bio_es])</f>
        <v>Refranes populares de la tradición oral hispana que expresan de forma breve y ingeniosa enseñanzas prácticas sobre la vida cotidiana.</v>
      </c>
      <c r="I960" t="str">
        <f>_xlfn.XLOOKUP(frasest[[#This Row],[author_es]],autorest[author_es],autorest[bio_la])</f>
        <v>Collectio sententiarum Hispanicarum.</v>
      </c>
      <c r="J960" t="str">
        <f>_xlfn.XLOOKUP(frasest[[#This Row],[author_es]],autorest[author_es],autorest[iso3691])</f>
        <v>es</v>
      </c>
      <c r="K960" t="str">
        <f>_xlfn.XLOOKUP(frasest[[#This Row],[author_es]],autorest[author_es],autorest[language_es])</f>
        <v>Español</v>
      </c>
      <c r="L960" t="str">
        <f>_xlfn.XLOOKUP(frasest[[#This Row],[author_es]],autorest[author_es],autorest[language_la])</f>
        <v>Lingua Hispanica</v>
      </c>
      <c r="M960" t="str">
        <f>_xlfn.XLOOKUP(frasest[[#This Row],[author_es]],autorest[author_es],autorest[nation_es])</f>
        <v>España</v>
      </c>
      <c r="N960" t="str">
        <f>_xlfn.XLOOKUP(frasest[[#This Row],[author_es]],autorest[author_es],autorest[nation_la])</f>
        <v>Hispania</v>
      </c>
      <c r="O960" t="str">
        <f>_xlfn.XLOOKUP(frasest[[#This Row],[author_es]],autorest[author_es],autorest[age_es])</f>
        <v>Epoca Desconocida</v>
      </c>
      <c r="P960" t="str">
        <f>_xlfn.XLOOKUP(frasest[[#This Row],[author_es]],autorest[author_es],autorest[age_la])</f>
        <v>Epocha Ignota</v>
      </c>
      <c r="Q960" t="str">
        <f>_xlfn.XLOOKUP(frasest[[#This Row],[author_es]],autorest[author_es],autorest[image])</f>
        <v>https://i.ibb.co/Y4f7TZWm/espa-a.png</v>
      </c>
      <c r="R960">
        <f>_xlfn.XLOOKUP(frasest[[#This Row],[author_es]],autorest[author_es],autorest[image_atr])</f>
        <v>0</v>
      </c>
    </row>
    <row r="961" spans="1:18">
      <c r="A961">
        <v>960</v>
      </c>
      <c r="B961" t="s">
        <v>3087</v>
      </c>
      <c r="C961" t="s">
        <v>3088</v>
      </c>
      <c r="D961" t="s">
        <v>3087</v>
      </c>
      <c r="E961" t="s">
        <v>24</v>
      </c>
      <c r="G961" t="str">
        <f>_xlfn.XLOOKUP(frasest[[#This Row],[author_es]],autorest[author_es],autorest[author_la])</f>
        <v>Sententia Hispanica</v>
      </c>
      <c r="H961" t="str">
        <f>_xlfn.XLOOKUP(frasest[[#This Row],[author_es]],autorest[author_es],autorest[bio_es])</f>
        <v>Refranes populares de la tradición oral hispana que expresan de forma breve y ingeniosa enseñanzas prácticas sobre la vida cotidiana.</v>
      </c>
      <c r="I961" t="str">
        <f>_xlfn.XLOOKUP(frasest[[#This Row],[author_es]],autorest[author_es],autorest[bio_la])</f>
        <v>Collectio sententiarum Hispanicarum.</v>
      </c>
      <c r="J961" t="str">
        <f>_xlfn.XLOOKUP(frasest[[#This Row],[author_es]],autorest[author_es],autorest[iso3691])</f>
        <v>es</v>
      </c>
      <c r="K961" t="str">
        <f>_xlfn.XLOOKUP(frasest[[#This Row],[author_es]],autorest[author_es],autorest[language_es])</f>
        <v>Español</v>
      </c>
      <c r="L961" t="str">
        <f>_xlfn.XLOOKUP(frasest[[#This Row],[author_es]],autorest[author_es],autorest[language_la])</f>
        <v>Lingua Hispanica</v>
      </c>
      <c r="M961" t="str">
        <f>_xlfn.XLOOKUP(frasest[[#This Row],[author_es]],autorest[author_es],autorest[nation_es])</f>
        <v>España</v>
      </c>
      <c r="N961" t="str">
        <f>_xlfn.XLOOKUP(frasest[[#This Row],[author_es]],autorest[author_es],autorest[nation_la])</f>
        <v>Hispania</v>
      </c>
      <c r="O961" t="str">
        <f>_xlfn.XLOOKUP(frasest[[#This Row],[author_es]],autorest[author_es],autorest[age_es])</f>
        <v>Epoca Desconocida</v>
      </c>
      <c r="P961" t="str">
        <f>_xlfn.XLOOKUP(frasest[[#This Row],[author_es]],autorest[author_es],autorest[age_la])</f>
        <v>Epocha Ignota</v>
      </c>
      <c r="Q961" t="str">
        <f>_xlfn.XLOOKUP(frasest[[#This Row],[author_es]],autorest[author_es],autorest[image])</f>
        <v>https://i.ibb.co/Y4f7TZWm/espa-a.png</v>
      </c>
      <c r="R961">
        <f>_xlfn.XLOOKUP(frasest[[#This Row],[author_es]],autorest[author_es],autorest[image_atr])</f>
        <v>0</v>
      </c>
    </row>
    <row r="962" spans="1:18">
      <c r="A962">
        <v>961</v>
      </c>
      <c r="B962" t="s">
        <v>3089</v>
      </c>
      <c r="C962" t="s">
        <v>3090</v>
      </c>
      <c r="D962" t="s">
        <v>3089</v>
      </c>
      <c r="E962" t="s">
        <v>24</v>
      </c>
      <c r="G962" t="str">
        <f>_xlfn.XLOOKUP(frasest[[#This Row],[author_es]],autorest[author_es],autorest[author_la])</f>
        <v>Sententia Hispanica</v>
      </c>
      <c r="H962" t="str">
        <f>_xlfn.XLOOKUP(frasest[[#This Row],[author_es]],autorest[author_es],autorest[bio_es])</f>
        <v>Refranes populares de la tradición oral hispana que expresan de forma breve y ingeniosa enseñanzas prácticas sobre la vida cotidiana.</v>
      </c>
      <c r="I962" t="str">
        <f>_xlfn.XLOOKUP(frasest[[#This Row],[author_es]],autorest[author_es],autorest[bio_la])</f>
        <v>Collectio sententiarum Hispanicarum.</v>
      </c>
      <c r="J962" t="str">
        <f>_xlfn.XLOOKUP(frasest[[#This Row],[author_es]],autorest[author_es],autorest[iso3691])</f>
        <v>es</v>
      </c>
      <c r="K962" t="str">
        <f>_xlfn.XLOOKUP(frasest[[#This Row],[author_es]],autorest[author_es],autorest[language_es])</f>
        <v>Español</v>
      </c>
      <c r="L962" t="str">
        <f>_xlfn.XLOOKUP(frasest[[#This Row],[author_es]],autorest[author_es],autorest[language_la])</f>
        <v>Lingua Hispanica</v>
      </c>
      <c r="M962" t="str">
        <f>_xlfn.XLOOKUP(frasest[[#This Row],[author_es]],autorest[author_es],autorest[nation_es])</f>
        <v>España</v>
      </c>
      <c r="N962" t="str">
        <f>_xlfn.XLOOKUP(frasest[[#This Row],[author_es]],autorest[author_es],autorest[nation_la])</f>
        <v>Hispania</v>
      </c>
      <c r="O962" t="str">
        <f>_xlfn.XLOOKUP(frasest[[#This Row],[author_es]],autorest[author_es],autorest[age_es])</f>
        <v>Epoca Desconocida</v>
      </c>
      <c r="P962" t="str">
        <f>_xlfn.XLOOKUP(frasest[[#This Row],[author_es]],autorest[author_es],autorest[age_la])</f>
        <v>Epocha Ignota</v>
      </c>
      <c r="Q962" t="str">
        <f>_xlfn.XLOOKUP(frasest[[#This Row],[author_es]],autorest[author_es],autorest[image])</f>
        <v>https://i.ibb.co/Y4f7TZWm/espa-a.png</v>
      </c>
      <c r="R962">
        <f>_xlfn.XLOOKUP(frasest[[#This Row],[author_es]],autorest[author_es],autorest[image_atr])</f>
        <v>0</v>
      </c>
    </row>
    <row r="963" spans="1:18">
      <c r="A963">
        <v>962</v>
      </c>
      <c r="B963" t="s">
        <v>3091</v>
      </c>
      <c r="C963" t="s">
        <v>3092</v>
      </c>
      <c r="D963" t="s">
        <v>3091</v>
      </c>
      <c r="E963" t="s">
        <v>24</v>
      </c>
      <c r="G963" t="str">
        <f>_xlfn.XLOOKUP(frasest[[#This Row],[author_es]],autorest[author_es],autorest[author_la])</f>
        <v>Sententia Hispanica</v>
      </c>
      <c r="H963" t="str">
        <f>_xlfn.XLOOKUP(frasest[[#This Row],[author_es]],autorest[author_es],autorest[bio_es])</f>
        <v>Refranes populares de la tradición oral hispana que expresan de forma breve y ingeniosa enseñanzas prácticas sobre la vida cotidiana.</v>
      </c>
      <c r="I963" t="str">
        <f>_xlfn.XLOOKUP(frasest[[#This Row],[author_es]],autorest[author_es],autorest[bio_la])</f>
        <v>Collectio sententiarum Hispanicarum.</v>
      </c>
      <c r="J963" t="str">
        <f>_xlfn.XLOOKUP(frasest[[#This Row],[author_es]],autorest[author_es],autorest[iso3691])</f>
        <v>es</v>
      </c>
      <c r="K963" t="str">
        <f>_xlfn.XLOOKUP(frasest[[#This Row],[author_es]],autorest[author_es],autorest[language_es])</f>
        <v>Español</v>
      </c>
      <c r="L963" t="str">
        <f>_xlfn.XLOOKUP(frasest[[#This Row],[author_es]],autorest[author_es],autorest[language_la])</f>
        <v>Lingua Hispanica</v>
      </c>
      <c r="M963" t="str">
        <f>_xlfn.XLOOKUP(frasest[[#This Row],[author_es]],autorest[author_es],autorest[nation_es])</f>
        <v>España</v>
      </c>
      <c r="N963" t="str">
        <f>_xlfn.XLOOKUP(frasest[[#This Row],[author_es]],autorest[author_es],autorest[nation_la])</f>
        <v>Hispania</v>
      </c>
      <c r="O963" t="str">
        <f>_xlfn.XLOOKUP(frasest[[#This Row],[author_es]],autorest[author_es],autorest[age_es])</f>
        <v>Epoca Desconocida</v>
      </c>
      <c r="P963" t="str">
        <f>_xlfn.XLOOKUP(frasest[[#This Row],[author_es]],autorest[author_es],autorest[age_la])</f>
        <v>Epocha Ignota</v>
      </c>
      <c r="Q963" t="str">
        <f>_xlfn.XLOOKUP(frasest[[#This Row],[author_es]],autorest[author_es],autorest[image])</f>
        <v>https://i.ibb.co/Y4f7TZWm/espa-a.png</v>
      </c>
      <c r="R963">
        <f>_xlfn.XLOOKUP(frasest[[#This Row],[author_es]],autorest[author_es],autorest[image_atr])</f>
        <v>0</v>
      </c>
    </row>
    <row r="964" spans="1:18">
      <c r="A964">
        <v>963</v>
      </c>
      <c r="B964" t="s">
        <v>3093</v>
      </c>
      <c r="C964" t="s">
        <v>3094</v>
      </c>
      <c r="D964" t="s">
        <v>3093</v>
      </c>
      <c r="E964" t="s">
        <v>24</v>
      </c>
      <c r="G964" t="str">
        <f>_xlfn.XLOOKUP(frasest[[#This Row],[author_es]],autorest[author_es],autorest[author_la])</f>
        <v>Sententia Hispanica</v>
      </c>
      <c r="H964" t="str">
        <f>_xlfn.XLOOKUP(frasest[[#This Row],[author_es]],autorest[author_es],autorest[bio_es])</f>
        <v>Refranes populares de la tradición oral hispana que expresan de forma breve y ingeniosa enseñanzas prácticas sobre la vida cotidiana.</v>
      </c>
      <c r="I964" t="str">
        <f>_xlfn.XLOOKUP(frasest[[#This Row],[author_es]],autorest[author_es],autorest[bio_la])</f>
        <v>Collectio sententiarum Hispanicarum.</v>
      </c>
      <c r="J964" t="str">
        <f>_xlfn.XLOOKUP(frasest[[#This Row],[author_es]],autorest[author_es],autorest[iso3691])</f>
        <v>es</v>
      </c>
      <c r="K964" t="str">
        <f>_xlfn.XLOOKUP(frasest[[#This Row],[author_es]],autorest[author_es],autorest[language_es])</f>
        <v>Español</v>
      </c>
      <c r="L964" t="str">
        <f>_xlfn.XLOOKUP(frasest[[#This Row],[author_es]],autorest[author_es],autorest[language_la])</f>
        <v>Lingua Hispanica</v>
      </c>
      <c r="M964" t="str">
        <f>_xlfn.XLOOKUP(frasest[[#This Row],[author_es]],autorest[author_es],autorest[nation_es])</f>
        <v>España</v>
      </c>
      <c r="N964" t="str">
        <f>_xlfn.XLOOKUP(frasest[[#This Row],[author_es]],autorest[author_es],autorest[nation_la])</f>
        <v>Hispania</v>
      </c>
      <c r="O964" t="str">
        <f>_xlfn.XLOOKUP(frasest[[#This Row],[author_es]],autorest[author_es],autorest[age_es])</f>
        <v>Epoca Desconocida</v>
      </c>
      <c r="P964" t="str">
        <f>_xlfn.XLOOKUP(frasest[[#This Row],[author_es]],autorest[author_es],autorest[age_la])</f>
        <v>Epocha Ignota</v>
      </c>
      <c r="Q964" t="str">
        <f>_xlfn.XLOOKUP(frasest[[#This Row],[author_es]],autorest[author_es],autorest[image])</f>
        <v>https://i.ibb.co/Y4f7TZWm/espa-a.png</v>
      </c>
      <c r="R964">
        <f>_xlfn.XLOOKUP(frasest[[#This Row],[author_es]],autorest[author_es],autorest[image_atr])</f>
        <v>0</v>
      </c>
    </row>
    <row r="965" spans="1:18">
      <c r="A965">
        <v>964</v>
      </c>
      <c r="B965" t="s">
        <v>3095</v>
      </c>
      <c r="C965" t="s">
        <v>3096</v>
      </c>
      <c r="D965" t="s">
        <v>3095</v>
      </c>
      <c r="E965" t="s">
        <v>24</v>
      </c>
      <c r="G965" t="str">
        <f>_xlfn.XLOOKUP(frasest[[#This Row],[author_es]],autorest[author_es],autorest[author_la])</f>
        <v>Sententia Hispanica</v>
      </c>
      <c r="H965" t="str">
        <f>_xlfn.XLOOKUP(frasest[[#This Row],[author_es]],autorest[author_es],autorest[bio_es])</f>
        <v>Refranes populares de la tradición oral hispana que expresan de forma breve y ingeniosa enseñanzas prácticas sobre la vida cotidiana.</v>
      </c>
      <c r="I965" t="str">
        <f>_xlfn.XLOOKUP(frasest[[#This Row],[author_es]],autorest[author_es],autorest[bio_la])</f>
        <v>Collectio sententiarum Hispanicarum.</v>
      </c>
      <c r="J965" t="str">
        <f>_xlfn.XLOOKUP(frasest[[#This Row],[author_es]],autorest[author_es],autorest[iso3691])</f>
        <v>es</v>
      </c>
      <c r="K965" t="str">
        <f>_xlfn.XLOOKUP(frasest[[#This Row],[author_es]],autorest[author_es],autorest[language_es])</f>
        <v>Español</v>
      </c>
      <c r="L965" t="str">
        <f>_xlfn.XLOOKUP(frasest[[#This Row],[author_es]],autorest[author_es],autorest[language_la])</f>
        <v>Lingua Hispanica</v>
      </c>
      <c r="M965" t="str">
        <f>_xlfn.XLOOKUP(frasest[[#This Row],[author_es]],autorest[author_es],autorest[nation_es])</f>
        <v>España</v>
      </c>
      <c r="N965" t="str">
        <f>_xlfn.XLOOKUP(frasest[[#This Row],[author_es]],autorest[author_es],autorest[nation_la])</f>
        <v>Hispania</v>
      </c>
      <c r="O965" t="str">
        <f>_xlfn.XLOOKUP(frasest[[#This Row],[author_es]],autorest[author_es],autorest[age_es])</f>
        <v>Epoca Desconocida</v>
      </c>
      <c r="P965" t="str">
        <f>_xlfn.XLOOKUP(frasest[[#This Row],[author_es]],autorest[author_es],autorest[age_la])</f>
        <v>Epocha Ignota</v>
      </c>
      <c r="Q965" t="str">
        <f>_xlfn.XLOOKUP(frasest[[#This Row],[author_es]],autorest[author_es],autorest[image])</f>
        <v>https://i.ibb.co/Y4f7TZWm/espa-a.png</v>
      </c>
      <c r="R965">
        <f>_xlfn.XLOOKUP(frasest[[#This Row],[author_es]],autorest[author_es],autorest[image_atr])</f>
        <v>0</v>
      </c>
    </row>
    <row r="966" spans="1:18">
      <c r="A966">
        <v>965</v>
      </c>
      <c r="B966" t="s">
        <v>3097</v>
      </c>
      <c r="C966" t="s">
        <v>3098</v>
      </c>
      <c r="D966" t="s">
        <v>3097</v>
      </c>
      <c r="E966" t="s">
        <v>24</v>
      </c>
      <c r="G966" t="str">
        <f>_xlfn.XLOOKUP(frasest[[#This Row],[author_es]],autorest[author_es],autorest[author_la])</f>
        <v>Sententia Hispanica</v>
      </c>
      <c r="H966" t="str">
        <f>_xlfn.XLOOKUP(frasest[[#This Row],[author_es]],autorest[author_es],autorest[bio_es])</f>
        <v>Refranes populares de la tradición oral hispana que expresan de forma breve y ingeniosa enseñanzas prácticas sobre la vida cotidiana.</v>
      </c>
      <c r="I966" t="str">
        <f>_xlfn.XLOOKUP(frasest[[#This Row],[author_es]],autorest[author_es],autorest[bio_la])</f>
        <v>Collectio sententiarum Hispanicarum.</v>
      </c>
      <c r="J966" t="str">
        <f>_xlfn.XLOOKUP(frasest[[#This Row],[author_es]],autorest[author_es],autorest[iso3691])</f>
        <v>es</v>
      </c>
      <c r="K966" t="str">
        <f>_xlfn.XLOOKUP(frasest[[#This Row],[author_es]],autorest[author_es],autorest[language_es])</f>
        <v>Español</v>
      </c>
      <c r="L966" t="str">
        <f>_xlfn.XLOOKUP(frasest[[#This Row],[author_es]],autorest[author_es],autorest[language_la])</f>
        <v>Lingua Hispanica</v>
      </c>
      <c r="M966" t="str">
        <f>_xlfn.XLOOKUP(frasest[[#This Row],[author_es]],autorest[author_es],autorest[nation_es])</f>
        <v>España</v>
      </c>
      <c r="N966" t="str">
        <f>_xlfn.XLOOKUP(frasest[[#This Row],[author_es]],autorest[author_es],autorest[nation_la])</f>
        <v>Hispania</v>
      </c>
      <c r="O966" t="str">
        <f>_xlfn.XLOOKUP(frasest[[#This Row],[author_es]],autorest[author_es],autorest[age_es])</f>
        <v>Epoca Desconocida</v>
      </c>
      <c r="P966" t="str">
        <f>_xlfn.XLOOKUP(frasest[[#This Row],[author_es]],autorest[author_es],autorest[age_la])</f>
        <v>Epocha Ignota</v>
      </c>
      <c r="Q966" t="str">
        <f>_xlfn.XLOOKUP(frasest[[#This Row],[author_es]],autorest[author_es],autorest[image])</f>
        <v>https://i.ibb.co/Y4f7TZWm/espa-a.png</v>
      </c>
      <c r="R966">
        <f>_xlfn.XLOOKUP(frasest[[#This Row],[author_es]],autorest[author_es],autorest[image_atr])</f>
        <v>0</v>
      </c>
    </row>
    <row r="967" spans="1:18">
      <c r="A967">
        <v>966</v>
      </c>
      <c r="B967" t="s">
        <v>3099</v>
      </c>
      <c r="C967" t="s">
        <v>3100</v>
      </c>
      <c r="D967" t="s">
        <v>3099</v>
      </c>
      <c r="E967" t="s">
        <v>24</v>
      </c>
      <c r="G967" t="str">
        <f>_xlfn.XLOOKUP(frasest[[#This Row],[author_es]],autorest[author_es],autorest[author_la])</f>
        <v>Sententia Hispanica</v>
      </c>
      <c r="H967" t="str">
        <f>_xlfn.XLOOKUP(frasest[[#This Row],[author_es]],autorest[author_es],autorest[bio_es])</f>
        <v>Refranes populares de la tradición oral hispana que expresan de forma breve y ingeniosa enseñanzas prácticas sobre la vida cotidiana.</v>
      </c>
      <c r="I967" t="str">
        <f>_xlfn.XLOOKUP(frasest[[#This Row],[author_es]],autorest[author_es],autorest[bio_la])</f>
        <v>Collectio sententiarum Hispanicarum.</v>
      </c>
      <c r="J967" t="str">
        <f>_xlfn.XLOOKUP(frasest[[#This Row],[author_es]],autorest[author_es],autorest[iso3691])</f>
        <v>es</v>
      </c>
      <c r="K967" t="str">
        <f>_xlfn.XLOOKUP(frasest[[#This Row],[author_es]],autorest[author_es],autorest[language_es])</f>
        <v>Español</v>
      </c>
      <c r="L967" t="str">
        <f>_xlfn.XLOOKUP(frasest[[#This Row],[author_es]],autorest[author_es],autorest[language_la])</f>
        <v>Lingua Hispanica</v>
      </c>
      <c r="M967" t="str">
        <f>_xlfn.XLOOKUP(frasest[[#This Row],[author_es]],autorest[author_es],autorest[nation_es])</f>
        <v>España</v>
      </c>
      <c r="N967" t="str">
        <f>_xlfn.XLOOKUP(frasest[[#This Row],[author_es]],autorest[author_es],autorest[nation_la])</f>
        <v>Hispania</v>
      </c>
      <c r="O967" t="str">
        <f>_xlfn.XLOOKUP(frasest[[#This Row],[author_es]],autorest[author_es],autorest[age_es])</f>
        <v>Epoca Desconocida</v>
      </c>
      <c r="P967" t="str">
        <f>_xlfn.XLOOKUP(frasest[[#This Row],[author_es]],autorest[author_es],autorest[age_la])</f>
        <v>Epocha Ignota</v>
      </c>
      <c r="Q967" t="str">
        <f>_xlfn.XLOOKUP(frasest[[#This Row],[author_es]],autorest[author_es],autorest[image])</f>
        <v>https://i.ibb.co/Y4f7TZWm/espa-a.png</v>
      </c>
      <c r="R967">
        <f>_xlfn.XLOOKUP(frasest[[#This Row],[author_es]],autorest[author_es],autorest[image_atr])</f>
        <v>0</v>
      </c>
    </row>
    <row r="968" spans="1:18">
      <c r="A968">
        <v>967</v>
      </c>
      <c r="B968" t="s">
        <v>3101</v>
      </c>
      <c r="C968" t="s">
        <v>3102</v>
      </c>
      <c r="D968" t="s">
        <v>3101</v>
      </c>
      <c r="E968" t="s">
        <v>24</v>
      </c>
      <c r="G968" t="str">
        <f>_xlfn.XLOOKUP(frasest[[#This Row],[author_es]],autorest[author_es],autorest[author_la])</f>
        <v>Sententia Hispanica</v>
      </c>
      <c r="H968" t="str">
        <f>_xlfn.XLOOKUP(frasest[[#This Row],[author_es]],autorest[author_es],autorest[bio_es])</f>
        <v>Refranes populares de la tradición oral hispana que expresan de forma breve y ingeniosa enseñanzas prácticas sobre la vida cotidiana.</v>
      </c>
      <c r="I968" t="str">
        <f>_xlfn.XLOOKUP(frasest[[#This Row],[author_es]],autorest[author_es],autorest[bio_la])</f>
        <v>Collectio sententiarum Hispanicarum.</v>
      </c>
      <c r="J968" t="str">
        <f>_xlfn.XLOOKUP(frasest[[#This Row],[author_es]],autorest[author_es],autorest[iso3691])</f>
        <v>es</v>
      </c>
      <c r="K968" t="str">
        <f>_xlfn.XLOOKUP(frasest[[#This Row],[author_es]],autorest[author_es],autorest[language_es])</f>
        <v>Español</v>
      </c>
      <c r="L968" t="str">
        <f>_xlfn.XLOOKUP(frasest[[#This Row],[author_es]],autorest[author_es],autorest[language_la])</f>
        <v>Lingua Hispanica</v>
      </c>
      <c r="M968" t="str">
        <f>_xlfn.XLOOKUP(frasest[[#This Row],[author_es]],autorest[author_es],autorest[nation_es])</f>
        <v>España</v>
      </c>
      <c r="N968" t="str">
        <f>_xlfn.XLOOKUP(frasest[[#This Row],[author_es]],autorest[author_es],autorest[nation_la])</f>
        <v>Hispania</v>
      </c>
      <c r="O968" t="str">
        <f>_xlfn.XLOOKUP(frasest[[#This Row],[author_es]],autorest[author_es],autorest[age_es])</f>
        <v>Epoca Desconocida</v>
      </c>
      <c r="P968" t="str">
        <f>_xlfn.XLOOKUP(frasest[[#This Row],[author_es]],autorest[author_es],autorest[age_la])</f>
        <v>Epocha Ignota</v>
      </c>
      <c r="Q968" t="str">
        <f>_xlfn.XLOOKUP(frasest[[#This Row],[author_es]],autorest[author_es],autorest[image])</f>
        <v>https://i.ibb.co/Y4f7TZWm/espa-a.png</v>
      </c>
      <c r="R968">
        <f>_xlfn.XLOOKUP(frasest[[#This Row],[author_es]],autorest[author_es],autorest[image_atr])</f>
        <v>0</v>
      </c>
    </row>
    <row r="969" spans="1:18">
      <c r="A969">
        <v>968</v>
      </c>
      <c r="B969" t="s">
        <v>2631</v>
      </c>
      <c r="C969" t="s">
        <v>2632</v>
      </c>
      <c r="D969" t="s">
        <v>2631</v>
      </c>
      <c r="E969" t="s">
        <v>24</v>
      </c>
      <c r="G969" t="str">
        <f>_xlfn.XLOOKUP(frasest[[#This Row],[author_es]],autorest[author_es],autorest[author_la])</f>
        <v>Sententia Hispanica</v>
      </c>
      <c r="H969" t="str">
        <f>_xlfn.XLOOKUP(frasest[[#This Row],[author_es]],autorest[author_es],autorest[bio_es])</f>
        <v>Refranes populares de la tradición oral hispana que expresan de forma breve y ingeniosa enseñanzas prácticas sobre la vida cotidiana.</v>
      </c>
      <c r="I969" t="str">
        <f>_xlfn.XLOOKUP(frasest[[#This Row],[author_es]],autorest[author_es],autorest[bio_la])</f>
        <v>Collectio sententiarum Hispanicarum.</v>
      </c>
      <c r="J969" t="str">
        <f>_xlfn.XLOOKUP(frasest[[#This Row],[author_es]],autorest[author_es],autorest[iso3691])</f>
        <v>es</v>
      </c>
      <c r="K969" t="str">
        <f>_xlfn.XLOOKUP(frasest[[#This Row],[author_es]],autorest[author_es],autorest[language_es])</f>
        <v>Español</v>
      </c>
      <c r="L969" t="str">
        <f>_xlfn.XLOOKUP(frasest[[#This Row],[author_es]],autorest[author_es],autorest[language_la])</f>
        <v>Lingua Hispanica</v>
      </c>
      <c r="M969" t="str">
        <f>_xlfn.XLOOKUP(frasest[[#This Row],[author_es]],autorest[author_es],autorest[nation_es])</f>
        <v>España</v>
      </c>
      <c r="N969" t="str">
        <f>_xlfn.XLOOKUP(frasest[[#This Row],[author_es]],autorest[author_es],autorest[nation_la])</f>
        <v>Hispania</v>
      </c>
      <c r="O969" t="str">
        <f>_xlfn.XLOOKUP(frasest[[#This Row],[author_es]],autorest[author_es],autorest[age_es])</f>
        <v>Epoca Desconocida</v>
      </c>
      <c r="P969" t="str">
        <f>_xlfn.XLOOKUP(frasest[[#This Row],[author_es]],autorest[author_es],autorest[age_la])</f>
        <v>Epocha Ignota</v>
      </c>
      <c r="Q969" t="str">
        <f>_xlfn.XLOOKUP(frasest[[#This Row],[author_es]],autorest[author_es],autorest[image])</f>
        <v>https://i.ibb.co/Y4f7TZWm/espa-a.png</v>
      </c>
      <c r="R969">
        <f>_xlfn.XLOOKUP(frasest[[#This Row],[author_es]],autorest[author_es],autorest[image_atr])</f>
        <v>0</v>
      </c>
    </row>
    <row r="970" spans="1:18">
      <c r="A970">
        <v>969</v>
      </c>
      <c r="B970" t="s">
        <v>3103</v>
      </c>
      <c r="C970" t="s">
        <v>3104</v>
      </c>
      <c r="D970" t="s">
        <v>3103</v>
      </c>
      <c r="E970" t="s">
        <v>24</v>
      </c>
      <c r="G970" t="str">
        <f>_xlfn.XLOOKUP(frasest[[#This Row],[author_es]],autorest[author_es],autorest[author_la])</f>
        <v>Sententia Hispanica</v>
      </c>
      <c r="H970" t="str">
        <f>_xlfn.XLOOKUP(frasest[[#This Row],[author_es]],autorest[author_es],autorest[bio_es])</f>
        <v>Refranes populares de la tradición oral hispana que expresan de forma breve y ingeniosa enseñanzas prácticas sobre la vida cotidiana.</v>
      </c>
      <c r="I970" t="str">
        <f>_xlfn.XLOOKUP(frasest[[#This Row],[author_es]],autorest[author_es],autorest[bio_la])</f>
        <v>Collectio sententiarum Hispanicarum.</v>
      </c>
      <c r="J970" t="str">
        <f>_xlfn.XLOOKUP(frasest[[#This Row],[author_es]],autorest[author_es],autorest[iso3691])</f>
        <v>es</v>
      </c>
      <c r="K970" t="str">
        <f>_xlfn.XLOOKUP(frasest[[#This Row],[author_es]],autorest[author_es],autorest[language_es])</f>
        <v>Español</v>
      </c>
      <c r="L970" t="str">
        <f>_xlfn.XLOOKUP(frasest[[#This Row],[author_es]],autorest[author_es],autorest[language_la])</f>
        <v>Lingua Hispanica</v>
      </c>
      <c r="M970" t="str">
        <f>_xlfn.XLOOKUP(frasest[[#This Row],[author_es]],autorest[author_es],autorest[nation_es])</f>
        <v>España</v>
      </c>
      <c r="N970" t="str">
        <f>_xlfn.XLOOKUP(frasest[[#This Row],[author_es]],autorest[author_es],autorest[nation_la])</f>
        <v>Hispania</v>
      </c>
      <c r="O970" t="str">
        <f>_xlfn.XLOOKUP(frasest[[#This Row],[author_es]],autorest[author_es],autorest[age_es])</f>
        <v>Epoca Desconocida</v>
      </c>
      <c r="P970" t="str">
        <f>_xlfn.XLOOKUP(frasest[[#This Row],[author_es]],autorest[author_es],autorest[age_la])</f>
        <v>Epocha Ignota</v>
      </c>
      <c r="Q970" t="str">
        <f>_xlfn.XLOOKUP(frasest[[#This Row],[author_es]],autorest[author_es],autorest[image])</f>
        <v>https://i.ibb.co/Y4f7TZWm/espa-a.png</v>
      </c>
      <c r="R970">
        <f>_xlfn.XLOOKUP(frasest[[#This Row],[author_es]],autorest[author_es],autorest[image_atr])</f>
        <v>0</v>
      </c>
    </row>
    <row r="971" spans="1:18">
      <c r="A971">
        <v>970</v>
      </c>
      <c r="B971" t="s">
        <v>3105</v>
      </c>
      <c r="C971" t="s">
        <v>3106</v>
      </c>
      <c r="D971" t="s">
        <v>3105</v>
      </c>
      <c r="E971" t="s">
        <v>24</v>
      </c>
      <c r="G971" t="str">
        <f>_xlfn.XLOOKUP(frasest[[#This Row],[author_es]],autorest[author_es],autorest[author_la])</f>
        <v>Sententia Hispanica</v>
      </c>
      <c r="H971" t="str">
        <f>_xlfn.XLOOKUP(frasest[[#This Row],[author_es]],autorest[author_es],autorest[bio_es])</f>
        <v>Refranes populares de la tradición oral hispana que expresan de forma breve y ingeniosa enseñanzas prácticas sobre la vida cotidiana.</v>
      </c>
      <c r="I971" t="str">
        <f>_xlfn.XLOOKUP(frasest[[#This Row],[author_es]],autorest[author_es],autorest[bio_la])</f>
        <v>Collectio sententiarum Hispanicarum.</v>
      </c>
      <c r="J971" t="str">
        <f>_xlfn.XLOOKUP(frasest[[#This Row],[author_es]],autorest[author_es],autorest[iso3691])</f>
        <v>es</v>
      </c>
      <c r="K971" t="str">
        <f>_xlfn.XLOOKUP(frasest[[#This Row],[author_es]],autorest[author_es],autorest[language_es])</f>
        <v>Español</v>
      </c>
      <c r="L971" t="str">
        <f>_xlfn.XLOOKUP(frasest[[#This Row],[author_es]],autorest[author_es],autorest[language_la])</f>
        <v>Lingua Hispanica</v>
      </c>
      <c r="M971" t="str">
        <f>_xlfn.XLOOKUP(frasest[[#This Row],[author_es]],autorest[author_es],autorest[nation_es])</f>
        <v>España</v>
      </c>
      <c r="N971" t="str">
        <f>_xlfn.XLOOKUP(frasest[[#This Row],[author_es]],autorest[author_es],autorest[nation_la])</f>
        <v>Hispania</v>
      </c>
      <c r="O971" t="str">
        <f>_xlfn.XLOOKUP(frasest[[#This Row],[author_es]],autorest[author_es],autorest[age_es])</f>
        <v>Epoca Desconocida</v>
      </c>
      <c r="P971" t="str">
        <f>_xlfn.XLOOKUP(frasest[[#This Row],[author_es]],autorest[author_es],autorest[age_la])</f>
        <v>Epocha Ignota</v>
      </c>
      <c r="Q971" t="str">
        <f>_xlfn.XLOOKUP(frasest[[#This Row],[author_es]],autorest[author_es],autorest[image])</f>
        <v>https://i.ibb.co/Y4f7TZWm/espa-a.png</v>
      </c>
      <c r="R971">
        <f>_xlfn.XLOOKUP(frasest[[#This Row],[author_es]],autorest[author_es],autorest[image_atr])</f>
        <v>0</v>
      </c>
    </row>
    <row r="972" spans="1:18">
      <c r="A972">
        <v>971</v>
      </c>
      <c r="B972" t="s">
        <v>3107</v>
      </c>
      <c r="C972" t="s">
        <v>3108</v>
      </c>
      <c r="D972" t="s">
        <v>3107</v>
      </c>
      <c r="E972" t="s">
        <v>24</v>
      </c>
      <c r="G972" t="str">
        <f>_xlfn.XLOOKUP(frasest[[#This Row],[author_es]],autorest[author_es],autorest[author_la])</f>
        <v>Sententia Hispanica</v>
      </c>
      <c r="H972" t="str">
        <f>_xlfn.XLOOKUP(frasest[[#This Row],[author_es]],autorest[author_es],autorest[bio_es])</f>
        <v>Refranes populares de la tradición oral hispana que expresan de forma breve y ingeniosa enseñanzas prácticas sobre la vida cotidiana.</v>
      </c>
      <c r="I972" t="str">
        <f>_xlfn.XLOOKUP(frasest[[#This Row],[author_es]],autorest[author_es],autorest[bio_la])</f>
        <v>Collectio sententiarum Hispanicarum.</v>
      </c>
      <c r="J972" t="str">
        <f>_xlfn.XLOOKUP(frasest[[#This Row],[author_es]],autorest[author_es],autorest[iso3691])</f>
        <v>es</v>
      </c>
      <c r="K972" t="str">
        <f>_xlfn.XLOOKUP(frasest[[#This Row],[author_es]],autorest[author_es],autorest[language_es])</f>
        <v>Español</v>
      </c>
      <c r="L972" t="str">
        <f>_xlfn.XLOOKUP(frasest[[#This Row],[author_es]],autorest[author_es],autorest[language_la])</f>
        <v>Lingua Hispanica</v>
      </c>
      <c r="M972" t="str">
        <f>_xlfn.XLOOKUP(frasest[[#This Row],[author_es]],autorest[author_es],autorest[nation_es])</f>
        <v>España</v>
      </c>
      <c r="N972" t="str">
        <f>_xlfn.XLOOKUP(frasest[[#This Row],[author_es]],autorest[author_es],autorest[nation_la])</f>
        <v>Hispania</v>
      </c>
      <c r="O972" t="str">
        <f>_xlfn.XLOOKUP(frasest[[#This Row],[author_es]],autorest[author_es],autorest[age_es])</f>
        <v>Epoca Desconocida</v>
      </c>
      <c r="P972" t="str">
        <f>_xlfn.XLOOKUP(frasest[[#This Row],[author_es]],autorest[author_es],autorest[age_la])</f>
        <v>Epocha Ignota</v>
      </c>
      <c r="Q972" t="str">
        <f>_xlfn.XLOOKUP(frasest[[#This Row],[author_es]],autorest[author_es],autorest[image])</f>
        <v>https://i.ibb.co/Y4f7TZWm/espa-a.png</v>
      </c>
      <c r="R972">
        <f>_xlfn.XLOOKUP(frasest[[#This Row],[author_es]],autorest[author_es],autorest[image_atr])</f>
        <v>0</v>
      </c>
    </row>
    <row r="973" spans="1:18">
      <c r="A973">
        <v>972</v>
      </c>
      <c r="B973" t="s">
        <v>3109</v>
      </c>
      <c r="C973" t="s">
        <v>3110</v>
      </c>
      <c r="D973" t="s">
        <v>3109</v>
      </c>
      <c r="E973" t="s">
        <v>24</v>
      </c>
      <c r="G973" t="str">
        <f>_xlfn.XLOOKUP(frasest[[#This Row],[author_es]],autorest[author_es],autorest[author_la])</f>
        <v>Sententia Hispanica</v>
      </c>
      <c r="H973" t="str">
        <f>_xlfn.XLOOKUP(frasest[[#This Row],[author_es]],autorest[author_es],autorest[bio_es])</f>
        <v>Refranes populares de la tradición oral hispana que expresan de forma breve y ingeniosa enseñanzas prácticas sobre la vida cotidiana.</v>
      </c>
      <c r="I973" t="str">
        <f>_xlfn.XLOOKUP(frasest[[#This Row],[author_es]],autorest[author_es],autorest[bio_la])</f>
        <v>Collectio sententiarum Hispanicarum.</v>
      </c>
      <c r="J973" t="str">
        <f>_xlfn.XLOOKUP(frasest[[#This Row],[author_es]],autorest[author_es],autorest[iso3691])</f>
        <v>es</v>
      </c>
      <c r="K973" t="str">
        <f>_xlfn.XLOOKUP(frasest[[#This Row],[author_es]],autorest[author_es],autorest[language_es])</f>
        <v>Español</v>
      </c>
      <c r="L973" t="str">
        <f>_xlfn.XLOOKUP(frasest[[#This Row],[author_es]],autorest[author_es],autorest[language_la])</f>
        <v>Lingua Hispanica</v>
      </c>
      <c r="M973" t="str">
        <f>_xlfn.XLOOKUP(frasest[[#This Row],[author_es]],autorest[author_es],autorest[nation_es])</f>
        <v>España</v>
      </c>
      <c r="N973" t="str">
        <f>_xlfn.XLOOKUP(frasest[[#This Row],[author_es]],autorest[author_es],autorest[nation_la])</f>
        <v>Hispania</v>
      </c>
      <c r="O973" t="str">
        <f>_xlfn.XLOOKUP(frasest[[#This Row],[author_es]],autorest[author_es],autorest[age_es])</f>
        <v>Epoca Desconocida</v>
      </c>
      <c r="P973" t="str">
        <f>_xlfn.XLOOKUP(frasest[[#This Row],[author_es]],autorest[author_es],autorest[age_la])</f>
        <v>Epocha Ignota</v>
      </c>
      <c r="Q973" t="str">
        <f>_xlfn.XLOOKUP(frasest[[#This Row],[author_es]],autorest[author_es],autorest[image])</f>
        <v>https://i.ibb.co/Y4f7TZWm/espa-a.png</v>
      </c>
      <c r="R973">
        <f>_xlfn.XLOOKUP(frasest[[#This Row],[author_es]],autorest[author_es],autorest[image_atr])</f>
        <v>0</v>
      </c>
    </row>
    <row r="974" spans="1:18">
      <c r="A974">
        <v>973</v>
      </c>
      <c r="B974" t="s">
        <v>3111</v>
      </c>
      <c r="C974" t="s">
        <v>3112</v>
      </c>
      <c r="D974" t="s">
        <v>3111</v>
      </c>
      <c r="E974" t="s">
        <v>24</v>
      </c>
      <c r="G974" t="str">
        <f>_xlfn.XLOOKUP(frasest[[#This Row],[author_es]],autorest[author_es],autorest[author_la])</f>
        <v>Sententia Hispanica</v>
      </c>
      <c r="H974" t="str">
        <f>_xlfn.XLOOKUP(frasest[[#This Row],[author_es]],autorest[author_es],autorest[bio_es])</f>
        <v>Refranes populares de la tradición oral hispana que expresan de forma breve y ingeniosa enseñanzas prácticas sobre la vida cotidiana.</v>
      </c>
      <c r="I974" t="str">
        <f>_xlfn.XLOOKUP(frasest[[#This Row],[author_es]],autorest[author_es],autorest[bio_la])</f>
        <v>Collectio sententiarum Hispanicarum.</v>
      </c>
      <c r="J974" t="str">
        <f>_xlfn.XLOOKUP(frasest[[#This Row],[author_es]],autorest[author_es],autorest[iso3691])</f>
        <v>es</v>
      </c>
      <c r="K974" t="str">
        <f>_xlfn.XLOOKUP(frasest[[#This Row],[author_es]],autorest[author_es],autorest[language_es])</f>
        <v>Español</v>
      </c>
      <c r="L974" t="str">
        <f>_xlfn.XLOOKUP(frasest[[#This Row],[author_es]],autorest[author_es],autorest[language_la])</f>
        <v>Lingua Hispanica</v>
      </c>
      <c r="M974" t="str">
        <f>_xlfn.XLOOKUP(frasest[[#This Row],[author_es]],autorest[author_es],autorest[nation_es])</f>
        <v>España</v>
      </c>
      <c r="N974" t="str">
        <f>_xlfn.XLOOKUP(frasest[[#This Row],[author_es]],autorest[author_es],autorest[nation_la])</f>
        <v>Hispania</v>
      </c>
      <c r="O974" t="str">
        <f>_xlfn.XLOOKUP(frasest[[#This Row],[author_es]],autorest[author_es],autorest[age_es])</f>
        <v>Epoca Desconocida</v>
      </c>
      <c r="P974" t="str">
        <f>_xlfn.XLOOKUP(frasest[[#This Row],[author_es]],autorest[author_es],autorest[age_la])</f>
        <v>Epocha Ignota</v>
      </c>
      <c r="Q974" t="str">
        <f>_xlfn.XLOOKUP(frasest[[#This Row],[author_es]],autorest[author_es],autorest[image])</f>
        <v>https://i.ibb.co/Y4f7TZWm/espa-a.png</v>
      </c>
      <c r="R974">
        <f>_xlfn.XLOOKUP(frasest[[#This Row],[author_es]],autorest[author_es],autorest[image_atr])</f>
        <v>0</v>
      </c>
    </row>
    <row r="975" spans="1:18">
      <c r="A975">
        <v>974</v>
      </c>
      <c r="B975" t="s">
        <v>3113</v>
      </c>
      <c r="C975" t="s">
        <v>3114</v>
      </c>
      <c r="D975" t="s">
        <v>3113</v>
      </c>
      <c r="E975" t="s">
        <v>24</v>
      </c>
      <c r="G975" t="str">
        <f>_xlfn.XLOOKUP(frasest[[#This Row],[author_es]],autorest[author_es],autorest[author_la])</f>
        <v>Sententia Hispanica</v>
      </c>
      <c r="H975" t="str">
        <f>_xlfn.XLOOKUP(frasest[[#This Row],[author_es]],autorest[author_es],autorest[bio_es])</f>
        <v>Refranes populares de la tradición oral hispana que expresan de forma breve y ingeniosa enseñanzas prácticas sobre la vida cotidiana.</v>
      </c>
      <c r="I975" t="str">
        <f>_xlfn.XLOOKUP(frasest[[#This Row],[author_es]],autorest[author_es],autorest[bio_la])</f>
        <v>Collectio sententiarum Hispanicarum.</v>
      </c>
      <c r="J975" t="str">
        <f>_xlfn.XLOOKUP(frasest[[#This Row],[author_es]],autorest[author_es],autorest[iso3691])</f>
        <v>es</v>
      </c>
      <c r="K975" t="str">
        <f>_xlfn.XLOOKUP(frasest[[#This Row],[author_es]],autorest[author_es],autorest[language_es])</f>
        <v>Español</v>
      </c>
      <c r="L975" t="str">
        <f>_xlfn.XLOOKUP(frasest[[#This Row],[author_es]],autorest[author_es],autorest[language_la])</f>
        <v>Lingua Hispanica</v>
      </c>
      <c r="M975" t="str">
        <f>_xlfn.XLOOKUP(frasest[[#This Row],[author_es]],autorest[author_es],autorest[nation_es])</f>
        <v>España</v>
      </c>
      <c r="N975" t="str">
        <f>_xlfn.XLOOKUP(frasest[[#This Row],[author_es]],autorest[author_es],autorest[nation_la])</f>
        <v>Hispania</v>
      </c>
      <c r="O975" t="str">
        <f>_xlfn.XLOOKUP(frasest[[#This Row],[author_es]],autorest[author_es],autorest[age_es])</f>
        <v>Epoca Desconocida</v>
      </c>
      <c r="P975" t="str">
        <f>_xlfn.XLOOKUP(frasest[[#This Row],[author_es]],autorest[author_es],autorest[age_la])</f>
        <v>Epocha Ignota</v>
      </c>
      <c r="Q975" t="str">
        <f>_xlfn.XLOOKUP(frasest[[#This Row],[author_es]],autorest[author_es],autorest[image])</f>
        <v>https://i.ibb.co/Y4f7TZWm/espa-a.png</v>
      </c>
      <c r="R975">
        <f>_xlfn.XLOOKUP(frasest[[#This Row],[author_es]],autorest[author_es],autorest[image_atr])</f>
        <v>0</v>
      </c>
    </row>
    <row r="976" spans="1:18">
      <c r="A976">
        <v>975</v>
      </c>
      <c r="B976" t="s">
        <v>3115</v>
      </c>
      <c r="C976" t="s">
        <v>3116</v>
      </c>
      <c r="D976" t="s">
        <v>3115</v>
      </c>
      <c r="E976" t="s">
        <v>24</v>
      </c>
      <c r="G976" t="str">
        <f>_xlfn.XLOOKUP(frasest[[#This Row],[author_es]],autorest[author_es],autorest[author_la])</f>
        <v>Sententia Hispanica</v>
      </c>
      <c r="H976" t="str">
        <f>_xlfn.XLOOKUP(frasest[[#This Row],[author_es]],autorest[author_es],autorest[bio_es])</f>
        <v>Refranes populares de la tradición oral hispana que expresan de forma breve y ingeniosa enseñanzas prácticas sobre la vida cotidiana.</v>
      </c>
      <c r="I976" t="str">
        <f>_xlfn.XLOOKUP(frasest[[#This Row],[author_es]],autorest[author_es],autorest[bio_la])</f>
        <v>Collectio sententiarum Hispanicarum.</v>
      </c>
      <c r="J976" t="str">
        <f>_xlfn.XLOOKUP(frasest[[#This Row],[author_es]],autorest[author_es],autorest[iso3691])</f>
        <v>es</v>
      </c>
      <c r="K976" t="str">
        <f>_xlfn.XLOOKUP(frasest[[#This Row],[author_es]],autorest[author_es],autorest[language_es])</f>
        <v>Español</v>
      </c>
      <c r="L976" t="str">
        <f>_xlfn.XLOOKUP(frasest[[#This Row],[author_es]],autorest[author_es],autorest[language_la])</f>
        <v>Lingua Hispanica</v>
      </c>
      <c r="M976" t="str">
        <f>_xlfn.XLOOKUP(frasest[[#This Row],[author_es]],autorest[author_es],autorest[nation_es])</f>
        <v>España</v>
      </c>
      <c r="N976" t="str">
        <f>_xlfn.XLOOKUP(frasest[[#This Row],[author_es]],autorest[author_es],autorest[nation_la])</f>
        <v>Hispania</v>
      </c>
      <c r="O976" t="str">
        <f>_xlfn.XLOOKUP(frasest[[#This Row],[author_es]],autorest[author_es],autorest[age_es])</f>
        <v>Epoca Desconocida</v>
      </c>
      <c r="P976" t="str">
        <f>_xlfn.XLOOKUP(frasest[[#This Row],[author_es]],autorest[author_es],autorest[age_la])</f>
        <v>Epocha Ignota</v>
      </c>
      <c r="Q976" t="str">
        <f>_xlfn.XLOOKUP(frasest[[#This Row],[author_es]],autorest[author_es],autorest[image])</f>
        <v>https://i.ibb.co/Y4f7TZWm/espa-a.png</v>
      </c>
      <c r="R976">
        <f>_xlfn.XLOOKUP(frasest[[#This Row],[author_es]],autorest[author_es],autorest[image_atr])</f>
        <v>0</v>
      </c>
    </row>
    <row r="977" spans="1:18">
      <c r="A977">
        <v>976</v>
      </c>
      <c r="B977" t="s">
        <v>3117</v>
      </c>
      <c r="C977" t="s">
        <v>3118</v>
      </c>
      <c r="D977" t="s">
        <v>3117</v>
      </c>
      <c r="E977" t="s">
        <v>24</v>
      </c>
      <c r="G977" t="str">
        <f>_xlfn.XLOOKUP(frasest[[#This Row],[author_es]],autorest[author_es],autorest[author_la])</f>
        <v>Sententia Hispanica</v>
      </c>
      <c r="H977" t="str">
        <f>_xlfn.XLOOKUP(frasest[[#This Row],[author_es]],autorest[author_es],autorest[bio_es])</f>
        <v>Refranes populares de la tradición oral hispana que expresan de forma breve y ingeniosa enseñanzas prácticas sobre la vida cotidiana.</v>
      </c>
      <c r="I977" t="str">
        <f>_xlfn.XLOOKUP(frasest[[#This Row],[author_es]],autorest[author_es],autorest[bio_la])</f>
        <v>Collectio sententiarum Hispanicarum.</v>
      </c>
      <c r="J977" t="str">
        <f>_xlfn.XLOOKUP(frasest[[#This Row],[author_es]],autorest[author_es],autorest[iso3691])</f>
        <v>es</v>
      </c>
      <c r="K977" t="str">
        <f>_xlfn.XLOOKUP(frasest[[#This Row],[author_es]],autorest[author_es],autorest[language_es])</f>
        <v>Español</v>
      </c>
      <c r="L977" t="str">
        <f>_xlfn.XLOOKUP(frasest[[#This Row],[author_es]],autorest[author_es],autorest[language_la])</f>
        <v>Lingua Hispanica</v>
      </c>
      <c r="M977" t="str">
        <f>_xlfn.XLOOKUP(frasest[[#This Row],[author_es]],autorest[author_es],autorest[nation_es])</f>
        <v>España</v>
      </c>
      <c r="N977" t="str">
        <f>_xlfn.XLOOKUP(frasest[[#This Row],[author_es]],autorest[author_es],autorest[nation_la])</f>
        <v>Hispania</v>
      </c>
      <c r="O977" t="str">
        <f>_xlfn.XLOOKUP(frasest[[#This Row],[author_es]],autorest[author_es],autorest[age_es])</f>
        <v>Epoca Desconocida</v>
      </c>
      <c r="P977" t="str">
        <f>_xlfn.XLOOKUP(frasest[[#This Row],[author_es]],autorest[author_es],autorest[age_la])</f>
        <v>Epocha Ignota</v>
      </c>
      <c r="Q977" t="str">
        <f>_xlfn.XLOOKUP(frasest[[#This Row],[author_es]],autorest[author_es],autorest[image])</f>
        <v>https://i.ibb.co/Y4f7TZWm/espa-a.png</v>
      </c>
      <c r="R977">
        <f>_xlfn.XLOOKUP(frasest[[#This Row],[author_es]],autorest[author_es],autorest[image_atr])</f>
        <v>0</v>
      </c>
    </row>
    <row r="978" spans="1:18">
      <c r="A978">
        <v>977</v>
      </c>
      <c r="B978" t="s">
        <v>3119</v>
      </c>
      <c r="C978" t="s">
        <v>3120</v>
      </c>
      <c r="D978" t="s">
        <v>3119</v>
      </c>
      <c r="E978" t="s">
        <v>24</v>
      </c>
      <c r="G978" t="str">
        <f>_xlfn.XLOOKUP(frasest[[#This Row],[author_es]],autorest[author_es],autorest[author_la])</f>
        <v>Sententia Hispanica</v>
      </c>
      <c r="H978" t="str">
        <f>_xlfn.XLOOKUP(frasest[[#This Row],[author_es]],autorest[author_es],autorest[bio_es])</f>
        <v>Refranes populares de la tradición oral hispana que expresan de forma breve y ingeniosa enseñanzas prácticas sobre la vida cotidiana.</v>
      </c>
      <c r="I978" t="str">
        <f>_xlfn.XLOOKUP(frasest[[#This Row],[author_es]],autorest[author_es],autorest[bio_la])</f>
        <v>Collectio sententiarum Hispanicarum.</v>
      </c>
      <c r="J978" t="str">
        <f>_xlfn.XLOOKUP(frasest[[#This Row],[author_es]],autorest[author_es],autorest[iso3691])</f>
        <v>es</v>
      </c>
      <c r="K978" t="str">
        <f>_xlfn.XLOOKUP(frasest[[#This Row],[author_es]],autorest[author_es],autorest[language_es])</f>
        <v>Español</v>
      </c>
      <c r="L978" t="str">
        <f>_xlfn.XLOOKUP(frasest[[#This Row],[author_es]],autorest[author_es],autorest[language_la])</f>
        <v>Lingua Hispanica</v>
      </c>
      <c r="M978" t="str">
        <f>_xlfn.XLOOKUP(frasest[[#This Row],[author_es]],autorest[author_es],autorest[nation_es])</f>
        <v>España</v>
      </c>
      <c r="N978" t="str">
        <f>_xlfn.XLOOKUP(frasest[[#This Row],[author_es]],autorest[author_es],autorest[nation_la])</f>
        <v>Hispania</v>
      </c>
      <c r="O978" t="str">
        <f>_xlfn.XLOOKUP(frasest[[#This Row],[author_es]],autorest[author_es],autorest[age_es])</f>
        <v>Epoca Desconocida</v>
      </c>
      <c r="P978" t="str">
        <f>_xlfn.XLOOKUP(frasest[[#This Row],[author_es]],autorest[author_es],autorest[age_la])</f>
        <v>Epocha Ignota</v>
      </c>
      <c r="Q978" t="str">
        <f>_xlfn.XLOOKUP(frasest[[#This Row],[author_es]],autorest[author_es],autorest[image])</f>
        <v>https://i.ibb.co/Y4f7TZWm/espa-a.png</v>
      </c>
      <c r="R978">
        <f>_xlfn.XLOOKUP(frasest[[#This Row],[author_es]],autorest[author_es],autorest[image_atr])</f>
        <v>0</v>
      </c>
    </row>
    <row r="979" spans="1:18">
      <c r="A979">
        <v>978</v>
      </c>
      <c r="B979" t="s">
        <v>3121</v>
      </c>
      <c r="C979" t="s">
        <v>3122</v>
      </c>
      <c r="D979" t="s">
        <v>3121</v>
      </c>
      <c r="E979" t="s">
        <v>24</v>
      </c>
      <c r="G979" t="str">
        <f>_xlfn.XLOOKUP(frasest[[#This Row],[author_es]],autorest[author_es],autorest[author_la])</f>
        <v>Sententia Hispanica</v>
      </c>
      <c r="H979" t="str">
        <f>_xlfn.XLOOKUP(frasest[[#This Row],[author_es]],autorest[author_es],autorest[bio_es])</f>
        <v>Refranes populares de la tradición oral hispana que expresan de forma breve y ingeniosa enseñanzas prácticas sobre la vida cotidiana.</v>
      </c>
      <c r="I979" t="str">
        <f>_xlfn.XLOOKUP(frasest[[#This Row],[author_es]],autorest[author_es],autorest[bio_la])</f>
        <v>Collectio sententiarum Hispanicarum.</v>
      </c>
      <c r="J979" t="str">
        <f>_xlfn.XLOOKUP(frasest[[#This Row],[author_es]],autorest[author_es],autorest[iso3691])</f>
        <v>es</v>
      </c>
      <c r="K979" t="str">
        <f>_xlfn.XLOOKUP(frasest[[#This Row],[author_es]],autorest[author_es],autorest[language_es])</f>
        <v>Español</v>
      </c>
      <c r="L979" t="str">
        <f>_xlfn.XLOOKUP(frasest[[#This Row],[author_es]],autorest[author_es],autorest[language_la])</f>
        <v>Lingua Hispanica</v>
      </c>
      <c r="M979" t="str">
        <f>_xlfn.XLOOKUP(frasest[[#This Row],[author_es]],autorest[author_es],autorest[nation_es])</f>
        <v>España</v>
      </c>
      <c r="N979" t="str">
        <f>_xlfn.XLOOKUP(frasest[[#This Row],[author_es]],autorest[author_es],autorest[nation_la])</f>
        <v>Hispania</v>
      </c>
      <c r="O979" t="str">
        <f>_xlfn.XLOOKUP(frasest[[#This Row],[author_es]],autorest[author_es],autorest[age_es])</f>
        <v>Epoca Desconocida</v>
      </c>
      <c r="P979" t="str">
        <f>_xlfn.XLOOKUP(frasest[[#This Row],[author_es]],autorest[author_es],autorest[age_la])</f>
        <v>Epocha Ignota</v>
      </c>
      <c r="Q979" t="str">
        <f>_xlfn.XLOOKUP(frasest[[#This Row],[author_es]],autorest[author_es],autorest[image])</f>
        <v>https://i.ibb.co/Y4f7TZWm/espa-a.png</v>
      </c>
      <c r="R979">
        <f>_xlfn.XLOOKUP(frasest[[#This Row],[author_es]],autorest[author_es],autorest[image_atr])</f>
        <v>0</v>
      </c>
    </row>
    <row r="980" spans="1:18">
      <c r="A980">
        <v>979</v>
      </c>
      <c r="B980" t="s">
        <v>3123</v>
      </c>
      <c r="C980" t="s">
        <v>3124</v>
      </c>
      <c r="D980" t="s">
        <v>3123</v>
      </c>
      <c r="E980" t="s">
        <v>24</v>
      </c>
      <c r="G980" t="str">
        <f>_xlfn.XLOOKUP(frasest[[#This Row],[author_es]],autorest[author_es],autorest[author_la])</f>
        <v>Sententia Hispanica</v>
      </c>
      <c r="H980" t="str">
        <f>_xlfn.XLOOKUP(frasest[[#This Row],[author_es]],autorest[author_es],autorest[bio_es])</f>
        <v>Refranes populares de la tradición oral hispana que expresan de forma breve y ingeniosa enseñanzas prácticas sobre la vida cotidiana.</v>
      </c>
      <c r="I980" t="str">
        <f>_xlfn.XLOOKUP(frasest[[#This Row],[author_es]],autorest[author_es],autorest[bio_la])</f>
        <v>Collectio sententiarum Hispanicarum.</v>
      </c>
      <c r="J980" t="str">
        <f>_xlfn.XLOOKUP(frasest[[#This Row],[author_es]],autorest[author_es],autorest[iso3691])</f>
        <v>es</v>
      </c>
      <c r="K980" t="str">
        <f>_xlfn.XLOOKUP(frasest[[#This Row],[author_es]],autorest[author_es],autorest[language_es])</f>
        <v>Español</v>
      </c>
      <c r="L980" t="str">
        <f>_xlfn.XLOOKUP(frasest[[#This Row],[author_es]],autorest[author_es],autorest[language_la])</f>
        <v>Lingua Hispanica</v>
      </c>
      <c r="M980" t="str">
        <f>_xlfn.XLOOKUP(frasest[[#This Row],[author_es]],autorest[author_es],autorest[nation_es])</f>
        <v>España</v>
      </c>
      <c r="N980" t="str">
        <f>_xlfn.XLOOKUP(frasest[[#This Row],[author_es]],autorest[author_es],autorest[nation_la])</f>
        <v>Hispania</v>
      </c>
      <c r="O980" t="str">
        <f>_xlfn.XLOOKUP(frasest[[#This Row],[author_es]],autorest[author_es],autorest[age_es])</f>
        <v>Epoca Desconocida</v>
      </c>
      <c r="P980" t="str">
        <f>_xlfn.XLOOKUP(frasest[[#This Row],[author_es]],autorest[author_es],autorest[age_la])</f>
        <v>Epocha Ignota</v>
      </c>
      <c r="Q980" t="str">
        <f>_xlfn.XLOOKUP(frasest[[#This Row],[author_es]],autorest[author_es],autorest[image])</f>
        <v>https://i.ibb.co/Y4f7TZWm/espa-a.png</v>
      </c>
      <c r="R980">
        <f>_xlfn.XLOOKUP(frasest[[#This Row],[author_es]],autorest[author_es],autorest[image_atr])</f>
        <v>0</v>
      </c>
    </row>
    <row r="981" spans="1:18">
      <c r="A981">
        <v>980</v>
      </c>
      <c r="B981" t="s">
        <v>2637</v>
      </c>
      <c r="C981" t="s">
        <v>2638</v>
      </c>
      <c r="D981" t="s">
        <v>2637</v>
      </c>
      <c r="E981" t="s">
        <v>24</v>
      </c>
      <c r="G981" t="str">
        <f>_xlfn.XLOOKUP(frasest[[#This Row],[author_es]],autorest[author_es],autorest[author_la])</f>
        <v>Sententia Hispanica</v>
      </c>
      <c r="H981" t="str">
        <f>_xlfn.XLOOKUP(frasest[[#This Row],[author_es]],autorest[author_es],autorest[bio_es])</f>
        <v>Refranes populares de la tradición oral hispana que expresan de forma breve y ingeniosa enseñanzas prácticas sobre la vida cotidiana.</v>
      </c>
      <c r="I981" t="str">
        <f>_xlfn.XLOOKUP(frasest[[#This Row],[author_es]],autorest[author_es],autorest[bio_la])</f>
        <v>Collectio sententiarum Hispanicarum.</v>
      </c>
      <c r="J981" t="str">
        <f>_xlfn.XLOOKUP(frasest[[#This Row],[author_es]],autorest[author_es],autorest[iso3691])</f>
        <v>es</v>
      </c>
      <c r="K981" t="str">
        <f>_xlfn.XLOOKUP(frasest[[#This Row],[author_es]],autorest[author_es],autorest[language_es])</f>
        <v>Español</v>
      </c>
      <c r="L981" t="str">
        <f>_xlfn.XLOOKUP(frasest[[#This Row],[author_es]],autorest[author_es],autorest[language_la])</f>
        <v>Lingua Hispanica</v>
      </c>
      <c r="M981" t="str">
        <f>_xlfn.XLOOKUP(frasest[[#This Row],[author_es]],autorest[author_es],autorest[nation_es])</f>
        <v>España</v>
      </c>
      <c r="N981" t="str">
        <f>_xlfn.XLOOKUP(frasest[[#This Row],[author_es]],autorest[author_es],autorest[nation_la])</f>
        <v>Hispania</v>
      </c>
      <c r="O981" t="str">
        <f>_xlfn.XLOOKUP(frasest[[#This Row],[author_es]],autorest[author_es],autorest[age_es])</f>
        <v>Epoca Desconocida</v>
      </c>
      <c r="P981" t="str">
        <f>_xlfn.XLOOKUP(frasest[[#This Row],[author_es]],autorest[author_es],autorest[age_la])</f>
        <v>Epocha Ignota</v>
      </c>
      <c r="Q981" t="str">
        <f>_xlfn.XLOOKUP(frasest[[#This Row],[author_es]],autorest[author_es],autorest[image])</f>
        <v>https://i.ibb.co/Y4f7TZWm/espa-a.png</v>
      </c>
      <c r="R981">
        <f>_xlfn.XLOOKUP(frasest[[#This Row],[author_es]],autorest[author_es],autorest[image_atr])</f>
        <v>0</v>
      </c>
    </row>
    <row r="982" spans="1:18">
      <c r="A982">
        <v>981</v>
      </c>
      <c r="B982" t="s">
        <v>3125</v>
      </c>
      <c r="C982" t="s">
        <v>3126</v>
      </c>
      <c r="D982" t="s">
        <v>3125</v>
      </c>
      <c r="E982" t="s">
        <v>24</v>
      </c>
      <c r="G982" t="str">
        <f>_xlfn.XLOOKUP(frasest[[#This Row],[author_es]],autorest[author_es],autorest[author_la])</f>
        <v>Sententia Hispanica</v>
      </c>
      <c r="H982" t="str">
        <f>_xlfn.XLOOKUP(frasest[[#This Row],[author_es]],autorest[author_es],autorest[bio_es])</f>
        <v>Refranes populares de la tradición oral hispana que expresan de forma breve y ingeniosa enseñanzas prácticas sobre la vida cotidiana.</v>
      </c>
      <c r="I982" t="str">
        <f>_xlfn.XLOOKUP(frasest[[#This Row],[author_es]],autorest[author_es],autorest[bio_la])</f>
        <v>Collectio sententiarum Hispanicarum.</v>
      </c>
      <c r="J982" t="str">
        <f>_xlfn.XLOOKUP(frasest[[#This Row],[author_es]],autorest[author_es],autorest[iso3691])</f>
        <v>es</v>
      </c>
      <c r="K982" t="str">
        <f>_xlfn.XLOOKUP(frasest[[#This Row],[author_es]],autorest[author_es],autorest[language_es])</f>
        <v>Español</v>
      </c>
      <c r="L982" t="str">
        <f>_xlfn.XLOOKUP(frasest[[#This Row],[author_es]],autorest[author_es],autorest[language_la])</f>
        <v>Lingua Hispanica</v>
      </c>
      <c r="M982" t="str">
        <f>_xlfn.XLOOKUP(frasest[[#This Row],[author_es]],autorest[author_es],autorest[nation_es])</f>
        <v>España</v>
      </c>
      <c r="N982" t="str">
        <f>_xlfn.XLOOKUP(frasest[[#This Row],[author_es]],autorest[author_es],autorest[nation_la])</f>
        <v>Hispania</v>
      </c>
      <c r="O982" t="str">
        <f>_xlfn.XLOOKUP(frasest[[#This Row],[author_es]],autorest[author_es],autorest[age_es])</f>
        <v>Epoca Desconocida</v>
      </c>
      <c r="P982" t="str">
        <f>_xlfn.XLOOKUP(frasest[[#This Row],[author_es]],autorest[author_es],autorest[age_la])</f>
        <v>Epocha Ignota</v>
      </c>
      <c r="Q982" t="str">
        <f>_xlfn.XLOOKUP(frasest[[#This Row],[author_es]],autorest[author_es],autorest[image])</f>
        <v>https://i.ibb.co/Y4f7TZWm/espa-a.png</v>
      </c>
      <c r="R982">
        <f>_xlfn.XLOOKUP(frasest[[#This Row],[author_es]],autorest[author_es],autorest[image_atr])</f>
        <v>0</v>
      </c>
    </row>
    <row r="983" spans="1:18">
      <c r="A983">
        <v>982</v>
      </c>
      <c r="B983" t="s">
        <v>3127</v>
      </c>
      <c r="C983" t="s">
        <v>3128</v>
      </c>
      <c r="D983" t="s">
        <v>3127</v>
      </c>
      <c r="E983" t="s">
        <v>24</v>
      </c>
      <c r="G983" t="str">
        <f>_xlfn.XLOOKUP(frasest[[#This Row],[author_es]],autorest[author_es],autorest[author_la])</f>
        <v>Sententia Hispanica</v>
      </c>
      <c r="H983" t="str">
        <f>_xlfn.XLOOKUP(frasest[[#This Row],[author_es]],autorest[author_es],autorest[bio_es])</f>
        <v>Refranes populares de la tradición oral hispana que expresan de forma breve y ingeniosa enseñanzas prácticas sobre la vida cotidiana.</v>
      </c>
      <c r="I983" t="str">
        <f>_xlfn.XLOOKUP(frasest[[#This Row],[author_es]],autorest[author_es],autorest[bio_la])</f>
        <v>Collectio sententiarum Hispanicarum.</v>
      </c>
      <c r="J983" t="str">
        <f>_xlfn.XLOOKUP(frasest[[#This Row],[author_es]],autorest[author_es],autorest[iso3691])</f>
        <v>es</v>
      </c>
      <c r="K983" t="str">
        <f>_xlfn.XLOOKUP(frasest[[#This Row],[author_es]],autorest[author_es],autorest[language_es])</f>
        <v>Español</v>
      </c>
      <c r="L983" t="str">
        <f>_xlfn.XLOOKUP(frasest[[#This Row],[author_es]],autorest[author_es],autorest[language_la])</f>
        <v>Lingua Hispanica</v>
      </c>
      <c r="M983" t="str">
        <f>_xlfn.XLOOKUP(frasest[[#This Row],[author_es]],autorest[author_es],autorest[nation_es])</f>
        <v>España</v>
      </c>
      <c r="N983" t="str">
        <f>_xlfn.XLOOKUP(frasest[[#This Row],[author_es]],autorest[author_es],autorest[nation_la])</f>
        <v>Hispania</v>
      </c>
      <c r="O983" t="str">
        <f>_xlfn.XLOOKUP(frasest[[#This Row],[author_es]],autorest[author_es],autorest[age_es])</f>
        <v>Epoca Desconocida</v>
      </c>
      <c r="P983" t="str">
        <f>_xlfn.XLOOKUP(frasest[[#This Row],[author_es]],autorest[author_es],autorest[age_la])</f>
        <v>Epocha Ignota</v>
      </c>
      <c r="Q983" t="str">
        <f>_xlfn.XLOOKUP(frasest[[#This Row],[author_es]],autorest[author_es],autorest[image])</f>
        <v>https://i.ibb.co/Y4f7TZWm/espa-a.png</v>
      </c>
      <c r="R983">
        <f>_xlfn.XLOOKUP(frasest[[#This Row],[author_es]],autorest[author_es],autorest[image_atr])</f>
        <v>0</v>
      </c>
    </row>
    <row r="984" spans="1:18">
      <c r="A984">
        <v>983</v>
      </c>
      <c r="B984" t="s">
        <v>3129</v>
      </c>
      <c r="C984" t="s">
        <v>3130</v>
      </c>
      <c r="D984" t="s">
        <v>3129</v>
      </c>
      <c r="E984" t="s">
        <v>24</v>
      </c>
      <c r="G984" t="str">
        <f>_xlfn.XLOOKUP(frasest[[#This Row],[author_es]],autorest[author_es],autorest[author_la])</f>
        <v>Sententia Hispanica</v>
      </c>
      <c r="H984" t="str">
        <f>_xlfn.XLOOKUP(frasest[[#This Row],[author_es]],autorest[author_es],autorest[bio_es])</f>
        <v>Refranes populares de la tradición oral hispana que expresan de forma breve y ingeniosa enseñanzas prácticas sobre la vida cotidiana.</v>
      </c>
      <c r="I984" t="str">
        <f>_xlfn.XLOOKUP(frasest[[#This Row],[author_es]],autorest[author_es],autorest[bio_la])</f>
        <v>Collectio sententiarum Hispanicarum.</v>
      </c>
      <c r="J984" t="str">
        <f>_xlfn.XLOOKUP(frasest[[#This Row],[author_es]],autorest[author_es],autorest[iso3691])</f>
        <v>es</v>
      </c>
      <c r="K984" t="str">
        <f>_xlfn.XLOOKUP(frasest[[#This Row],[author_es]],autorest[author_es],autorest[language_es])</f>
        <v>Español</v>
      </c>
      <c r="L984" t="str">
        <f>_xlfn.XLOOKUP(frasest[[#This Row],[author_es]],autorest[author_es],autorest[language_la])</f>
        <v>Lingua Hispanica</v>
      </c>
      <c r="M984" t="str">
        <f>_xlfn.XLOOKUP(frasest[[#This Row],[author_es]],autorest[author_es],autorest[nation_es])</f>
        <v>España</v>
      </c>
      <c r="N984" t="str">
        <f>_xlfn.XLOOKUP(frasest[[#This Row],[author_es]],autorest[author_es],autorest[nation_la])</f>
        <v>Hispania</v>
      </c>
      <c r="O984" t="str">
        <f>_xlfn.XLOOKUP(frasest[[#This Row],[author_es]],autorest[author_es],autorest[age_es])</f>
        <v>Epoca Desconocida</v>
      </c>
      <c r="P984" t="str">
        <f>_xlfn.XLOOKUP(frasest[[#This Row],[author_es]],autorest[author_es],autorest[age_la])</f>
        <v>Epocha Ignota</v>
      </c>
      <c r="Q984" t="str">
        <f>_xlfn.XLOOKUP(frasest[[#This Row],[author_es]],autorest[author_es],autorest[image])</f>
        <v>https://i.ibb.co/Y4f7TZWm/espa-a.png</v>
      </c>
      <c r="R984">
        <f>_xlfn.XLOOKUP(frasest[[#This Row],[author_es]],autorest[author_es],autorest[image_atr])</f>
        <v>0</v>
      </c>
    </row>
    <row r="985" spans="1:18">
      <c r="A985">
        <v>984</v>
      </c>
      <c r="B985" t="s">
        <v>3131</v>
      </c>
      <c r="C985" t="s">
        <v>3132</v>
      </c>
      <c r="D985" t="s">
        <v>3131</v>
      </c>
      <c r="E985" t="s">
        <v>24</v>
      </c>
      <c r="G985" t="str">
        <f>_xlfn.XLOOKUP(frasest[[#This Row],[author_es]],autorest[author_es],autorest[author_la])</f>
        <v>Sententia Hispanica</v>
      </c>
      <c r="H985" t="str">
        <f>_xlfn.XLOOKUP(frasest[[#This Row],[author_es]],autorest[author_es],autorest[bio_es])</f>
        <v>Refranes populares de la tradición oral hispana que expresan de forma breve y ingeniosa enseñanzas prácticas sobre la vida cotidiana.</v>
      </c>
      <c r="I985" t="str">
        <f>_xlfn.XLOOKUP(frasest[[#This Row],[author_es]],autorest[author_es],autorest[bio_la])</f>
        <v>Collectio sententiarum Hispanicarum.</v>
      </c>
      <c r="J985" t="str">
        <f>_xlfn.XLOOKUP(frasest[[#This Row],[author_es]],autorest[author_es],autorest[iso3691])</f>
        <v>es</v>
      </c>
      <c r="K985" t="str">
        <f>_xlfn.XLOOKUP(frasest[[#This Row],[author_es]],autorest[author_es],autorest[language_es])</f>
        <v>Español</v>
      </c>
      <c r="L985" t="str">
        <f>_xlfn.XLOOKUP(frasest[[#This Row],[author_es]],autorest[author_es],autorest[language_la])</f>
        <v>Lingua Hispanica</v>
      </c>
      <c r="M985" t="str">
        <f>_xlfn.XLOOKUP(frasest[[#This Row],[author_es]],autorest[author_es],autorest[nation_es])</f>
        <v>España</v>
      </c>
      <c r="N985" t="str">
        <f>_xlfn.XLOOKUP(frasest[[#This Row],[author_es]],autorest[author_es],autorest[nation_la])</f>
        <v>Hispania</v>
      </c>
      <c r="O985" t="str">
        <f>_xlfn.XLOOKUP(frasest[[#This Row],[author_es]],autorest[author_es],autorest[age_es])</f>
        <v>Epoca Desconocida</v>
      </c>
      <c r="P985" t="str">
        <f>_xlfn.XLOOKUP(frasest[[#This Row],[author_es]],autorest[author_es],autorest[age_la])</f>
        <v>Epocha Ignota</v>
      </c>
      <c r="Q985" t="str">
        <f>_xlfn.XLOOKUP(frasest[[#This Row],[author_es]],autorest[author_es],autorest[image])</f>
        <v>https://i.ibb.co/Y4f7TZWm/espa-a.png</v>
      </c>
      <c r="R985">
        <f>_xlfn.XLOOKUP(frasest[[#This Row],[author_es]],autorest[author_es],autorest[image_atr])</f>
        <v>0</v>
      </c>
    </row>
    <row r="986" spans="1:18">
      <c r="A986">
        <v>985</v>
      </c>
      <c r="B986" t="s">
        <v>3133</v>
      </c>
      <c r="C986" t="s">
        <v>3134</v>
      </c>
      <c r="D986" t="s">
        <v>3133</v>
      </c>
      <c r="E986" t="s">
        <v>24</v>
      </c>
      <c r="G986" t="str">
        <f>_xlfn.XLOOKUP(frasest[[#This Row],[author_es]],autorest[author_es],autorest[author_la])</f>
        <v>Sententia Hispanica</v>
      </c>
      <c r="H986" t="str">
        <f>_xlfn.XLOOKUP(frasest[[#This Row],[author_es]],autorest[author_es],autorest[bio_es])</f>
        <v>Refranes populares de la tradición oral hispana que expresan de forma breve y ingeniosa enseñanzas prácticas sobre la vida cotidiana.</v>
      </c>
      <c r="I986" t="str">
        <f>_xlfn.XLOOKUP(frasest[[#This Row],[author_es]],autorest[author_es],autorest[bio_la])</f>
        <v>Collectio sententiarum Hispanicarum.</v>
      </c>
      <c r="J986" t="str">
        <f>_xlfn.XLOOKUP(frasest[[#This Row],[author_es]],autorest[author_es],autorest[iso3691])</f>
        <v>es</v>
      </c>
      <c r="K986" t="str">
        <f>_xlfn.XLOOKUP(frasest[[#This Row],[author_es]],autorest[author_es],autorest[language_es])</f>
        <v>Español</v>
      </c>
      <c r="L986" t="str">
        <f>_xlfn.XLOOKUP(frasest[[#This Row],[author_es]],autorest[author_es],autorest[language_la])</f>
        <v>Lingua Hispanica</v>
      </c>
      <c r="M986" t="str">
        <f>_xlfn.XLOOKUP(frasest[[#This Row],[author_es]],autorest[author_es],autorest[nation_es])</f>
        <v>España</v>
      </c>
      <c r="N986" t="str">
        <f>_xlfn.XLOOKUP(frasest[[#This Row],[author_es]],autorest[author_es],autorest[nation_la])</f>
        <v>Hispania</v>
      </c>
      <c r="O986" t="str">
        <f>_xlfn.XLOOKUP(frasest[[#This Row],[author_es]],autorest[author_es],autorest[age_es])</f>
        <v>Epoca Desconocida</v>
      </c>
      <c r="P986" t="str">
        <f>_xlfn.XLOOKUP(frasest[[#This Row],[author_es]],autorest[author_es],autorest[age_la])</f>
        <v>Epocha Ignota</v>
      </c>
      <c r="Q986" t="str">
        <f>_xlfn.XLOOKUP(frasest[[#This Row],[author_es]],autorest[author_es],autorest[image])</f>
        <v>https://i.ibb.co/Y4f7TZWm/espa-a.png</v>
      </c>
      <c r="R986">
        <f>_xlfn.XLOOKUP(frasest[[#This Row],[author_es]],autorest[author_es],autorest[image_atr])</f>
        <v>0</v>
      </c>
    </row>
    <row r="987" spans="1:18">
      <c r="A987">
        <v>986</v>
      </c>
      <c r="B987" t="s">
        <v>3135</v>
      </c>
      <c r="C987" t="s">
        <v>3136</v>
      </c>
      <c r="D987" t="s">
        <v>3135</v>
      </c>
      <c r="E987" t="s">
        <v>24</v>
      </c>
      <c r="G987" t="str">
        <f>_xlfn.XLOOKUP(frasest[[#This Row],[author_es]],autorest[author_es],autorest[author_la])</f>
        <v>Sententia Hispanica</v>
      </c>
      <c r="H987" t="str">
        <f>_xlfn.XLOOKUP(frasest[[#This Row],[author_es]],autorest[author_es],autorest[bio_es])</f>
        <v>Refranes populares de la tradición oral hispana que expresan de forma breve y ingeniosa enseñanzas prácticas sobre la vida cotidiana.</v>
      </c>
      <c r="I987" t="str">
        <f>_xlfn.XLOOKUP(frasest[[#This Row],[author_es]],autorest[author_es],autorest[bio_la])</f>
        <v>Collectio sententiarum Hispanicarum.</v>
      </c>
      <c r="J987" t="str">
        <f>_xlfn.XLOOKUP(frasest[[#This Row],[author_es]],autorest[author_es],autorest[iso3691])</f>
        <v>es</v>
      </c>
      <c r="K987" t="str">
        <f>_xlfn.XLOOKUP(frasest[[#This Row],[author_es]],autorest[author_es],autorest[language_es])</f>
        <v>Español</v>
      </c>
      <c r="L987" t="str">
        <f>_xlfn.XLOOKUP(frasest[[#This Row],[author_es]],autorest[author_es],autorest[language_la])</f>
        <v>Lingua Hispanica</v>
      </c>
      <c r="M987" t="str">
        <f>_xlfn.XLOOKUP(frasest[[#This Row],[author_es]],autorest[author_es],autorest[nation_es])</f>
        <v>España</v>
      </c>
      <c r="N987" t="str">
        <f>_xlfn.XLOOKUP(frasest[[#This Row],[author_es]],autorest[author_es],autorest[nation_la])</f>
        <v>Hispania</v>
      </c>
      <c r="O987" t="str">
        <f>_xlfn.XLOOKUP(frasest[[#This Row],[author_es]],autorest[author_es],autorest[age_es])</f>
        <v>Epoca Desconocida</v>
      </c>
      <c r="P987" t="str">
        <f>_xlfn.XLOOKUP(frasest[[#This Row],[author_es]],autorest[author_es],autorest[age_la])</f>
        <v>Epocha Ignota</v>
      </c>
      <c r="Q987" t="str">
        <f>_xlfn.XLOOKUP(frasest[[#This Row],[author_es]],autorest[author_es],autorest[image])</f>
        <v>https://i.ibb.co/Y4f7TZWm/espa-a.png</v>
      </c>
      <c r="R987">
        <f>_xlfn.XLOOKUP(frasest[[#This Row],[author_es]],autorest[author_es],autorest[image_atr])</f>
        <v>0</v>
      </c>
    </row>
    <row r="988" spans="1:18">
      <c r="A988">
        <v>987</v>
      </c>
      <c r="B988" t="s">
        <v>3137</v>
      </c>
      <c r="C988" t="s">
        <v>3138</v>
      </c>
      <c r="D988" t="s">
        <v>3137</v>
      </c>
      <c r="E988" t="s">
        <v>24</v>
      </c>
      <c r="G988" t="str">
        <f>_xlfn.XLOOKUP(frasest[[#This Row],[author_es]],autorest[author_es],autorest[author_la])</f>
        <v>Sententia Hispanica</v>
      </c>
      <c r="H988" t="str">
        <f>_xlfn.XLOOKUP(frasest[[#This Row],[author_es]],autorest[author_es],autorest[bio_es])</f>
        <v>Refranes populares de la tradición oral hispana que expresan de forma breve y ingeniosa enseñanzas prácticas sobre la vida cotidiana.</v>
      </c>
      <c r="I988" t="str">
        <f>_xlfn.XLOOKUP(frasest[[#This Row],[author_es]],autorest[author_es],autorest[bio_la])</f>
        <v>Collectio sententiarum Hispanicarum.</v>
      </c>
      <c r="J988" t="str">
        <f>_xlfn.XLOOKUP(frasest[[#This Row],[author_es]],autorest[author_es],autorest[iso3691])</f>
        <v>es</v>
      </c>
      <c r="K988" t="str">
        <f>_xlfn.XLOOKUP(frasest[[#This Row],[author_es]],autorest[author_es],autorest[language_es])</f>
        <v>Español</v>
      </c>
      <c r="L988" t="str">
        <f>_xlfn.XLOOKUP(frasest[[#This Row],[author_es]],autorest[author_es],autorest[language_la])</f>
        <v>Lingua Hispanica</v>
      </c>
      <c r="M988" t="str">
        <f>_xlfn.XLOOKUP(frasest[[#This Row],[author_es]],autorest[author_es],autorest[nation_es])</f>
        <v>España</v>
      </c>
      <c r="N988" t="str">
        <f>_xlfn.XLOOKUP(frasest[[#This Row],[author_es]],autorest[author_es],autorest[nation_la])</f>
        <v>Hispania</v>
      </c>
      <c r="O988" t="str">
        <f>_xlfn.XLOOKUP(frasest[[#This Row],[author_es]],autorest[author_es],autorest[age_es])</f>
        <v>Epoca Desconocida</v>
      </c>
      <c r="P988" t="str">
        <f>_xlfn.XLOOKUP(frasest[[#This Row],[author_es]],autorest[author_es],autorest[age_la])</f>
        <v>Epocha Ignota</v>
      </c>
      <c r="Q988" t="str">
        <f>_xlfn.XLOOKUP(frasest[[#This Row],[author_es]],autorest[author_es],autorest[image])</f>
        <v>https://i.ibb.co/Y4f7TZWm/espa-a.png</v>
      </c>
      <c r="R988">
        <f>_xlfn.XLOOKUP(frasest[[#This Row],[author_es]],autorest[author_es],autorest[image_atr])</f>
        <v>0</v>
      </c>
    </row>
    <row r="989" spans="1:18">
      <c r="A989">
        <v>988</v>
      </c>
      <c r="B989" t="s">
        <v>3139</v>
      </c>
      <c r="C989" t="s">
        <v>3140</v>
      </c>
      <c r="D989" t="s">
        <v>3139</v>
      </c>
      <c r="E989" t="s">
        <v>24</v>
      </c>
      <c r="G989" t="str">
        <f>_xlfn.XLOOKUP(frasest[[#This Row],[author_es]],autorest[author_es],autorest[author_la])</f>
        <v>Sententia Hispanica</v>
      </c>
      <c r="H989" t="str">
        <f>_xlfn.XLOOKUP(frasest[[#This Row],[author_es]],autorest[author_es],autorest[bio_es])</f>
        <v>Refranes populares de la tradición oral hispana que expresan de forma breve y ingeniosa enseñanzas prácticas sobre la vida cotidiana.</v>
      </c>
      <c r="I989" t="str">
        <f>_xlfn.XLOOKUP(frasest[[#This Row],[author_es]],autorest[author_es],autorest[bio_la])</f>
        <v>Collectio sententiarum Hispanicarum.</v>
      </c>
      <c r="J989" t="str">
        <f>_xlfn.XLOOKUP(frasest[[#This Row],[author_es]],autorest[author_es],autorest[iso3691])</f>
        <v>es</v>
      </c>
      <c r="K989" t="str">
        <f>_xlfn.XLOOKUP(frasest[[#This Row],[author_es]],autorest[author_es],autorest[language_es])</f>
        <v>Español</v>
      </c>
      <c r="L989" t="str">
        <f>_xlfn.XLOOKUP(frasest[[#This Row],[author_es]],autorest[author_es],autorest[language_la])</f>
        <v>Lingua Hispanica</v>
      </c>
      <c r="M989" t="str">
        <f>_xlfn.XLOOKUP(frasest[[#This Row],[author_es]],autorest[author_es],autorest[nation_es])</f>
        <v>España</v>
      </c>
      <c r="N989" t="str">
        <f>_xlfn.XLOOKUP(frasest[[#This Row],[author_es]],autorest[author_es],autorest[nation_la])</f>
        <v>Hispania</v>
      </c>
      <c r="O989" t="str">
        <f>_xlfn.XLOOKUP(frasest[[#This Row],[author_es]],autorest[author_es],autorest[age_es])</f>
        <v>Epoca Desconocida</v>
      </c>
      <c r="P989" t="str">
        <f>_xlfn.XLOOKUP(frasest[[#This Row],[author_es]],autorest[author_es],autorest[age_la])</f>
        <v>Epocha Ignota</v>
      </c>
      <c r="Q989" t="str">
        <f>_xlfn.XLOOKUP(frasest[[#This Row],[author_es]],autorest[author_es],autorest[image])</f>
        <v>https://i.ibb.co/Y4f7TZWm/espa-a.png</v>
      </c>
      <c r="R989">
        <f>_xlfn.XLOOKUP(frasest[[#This Row],[author_es]],autorest[author_es],autorest[image_atr])</f>
        <v>0</v>
      </c>
    </row>
    <row r="990" spans="1:18">
      <c r="A990">
        <v>989</v>
      </c>
      <c r="B990" t="s">
        <v>3141</v>
      </c>
      <c r="C990" t="s">
        <v>3142</v>
      </c>
      <c r="D990" t="s">
        <v>3141</v>
      </c>
      <c r="E990" t="s">
        <v>24</v>
      </c>
      <c r="G990" t="str">
        <f>_xlfn.XLOOKUP(frasest[[#This Row],[author_es]],autorest[author_es],autorest[author_la])</f>
        <v>Sententia Hispanica</v>
      </c>
      <c r="H990" t="str">
        <f>_xlfn.XLOOKUP(frasest[[#This Row],[author_es]],autorest[author_es],autorest[bio_es])</f>
        <v>Refranes populares de la tradición oral hispana que expresan de forma breve y ingeniosa enseñanzas prácticas sobre la vida cotidiana.</v>
      </c>
      <c r="I990" t="str">
        <f>_xlfn.XLOOKUP(frasest[[#This Row],[author_es]],autorest[author_es],autorest[bio_la])</f>
        <v>Collectio sententiarum Hispanicarum.</v>
      </c>
      <c r="J990" t="str">
        <f>_xlfn.XLOOKUP(frasest[[#This Row],[author_es]],autorest[author_es],autorest[iso3691])</f>
        <v>es</v>
      </c>
      <c r="K990" t="str">
        <f>_xlfn.XLOOKUP(frasest[[#This Row],[author_es]],autorest[author_es],autorest[language_es])</f>
        <v>Español</v>
      </c>
      <c r="L990" t="str">
        <f>_xlfn.XLOOKUP(frasest[[#This Row],[author_es]],autorest[author_es],autorest[language_la])</f>
        <v>Lingua Hispanica</v>
      </c>
      <c r="M990" t="str">
        <f>_xlfn.XLOOKUP(frasest[[#This Row],[author_es]],autorest[author_es],autorest[nation_es])</f>
        <v>España</v>
      </c>
      <c r="N990" t="str">
        <f>_xlfn.XLOOKUP(frasest[[#This Row],[author_es]],autorest[author_es],autorest[nation_la])</f>
        <v>Hispania</v>
      </c>
      <c r="O990" t="str">
        <f>_xlfn.XLOOKUP(frasest[[#This Row],[author_es]],autorest[author_es],autorest[age_es])</f>
        <v>Epoca Desconocida</v>
      </c>
      <c r="P990" t="str">
        <f>_xlfn.XLOOKUP(frasest[[#This Row],[author_es]],autorest[author_es],autorest[age_la])</f>
        <v>Epocha Ignota</v>
      </c>
      <c r="Q990" t="str">
        <f>_xlfn.XLOOKUP(frasest[[#This Row],[author_es]],autorest[author_es],autorest[image])</f>
        <v>https://i.ibb.co/Y4f7TZWm/espa-a.png</v>
      </c>
      <c r="R990">
        <f>_xlfn.XLOOKUP(frasest[[#This Row],[author_es]],autorest[author_es],autorest[image_atr])</f>
        <v>0</v>
      </c>
    </row>
    <row r="991" spans="1:18">
      <c r="A991">
        <v>990</v>
      </c>
      <c r="B991" t="s">
        <v>3143</v>
      </c>
      <c r="C991" t="s">
        <v>3144</v>
      </c>
      <c r="D991" t="s">
        <v>3143</v>
      </c>
      <c r="E991" t="s">
        <v>24</v>
      </c>
      <c r="G991" t="str">
        <f>_xlfn.XLOOKUP(frasest[[#This Row],[author_es]],autorest[author_es],autorest[author_la])</f>
        <v>Sententia Hispanica</v>
      </c>
      <c r="H991" t="str">
        <f>_xlfn.XLOOKUP(frasest[[#This Row],[author_es]],autorest[author_es],autorest[bio_es])</f>
        <v>Refranes populares de la tradición oral hispana que expresan de forma breve y ingeniosa enseñanzas prácticas sobre la vida cotidiana.</v>
      </c>
      <c r="I991" t="str">
        <f>_xlfn.XLOOKUP(frasest[[#This Row],[author_es]],autorest[author_es],autorest[bio_la])</f>
        <v>Collectio sententiarum Hispanicarum.</v>
      </c>
      <c r="J991" t="str">
        <f>_xlfn.XLOOKUP(frasest[[#This Row],[author_es]],autorest[author_es],autorest[iso3691])</f>
        <v>es</v>
      </c>
      <c r="K991" t="str">
        <f>_xlfn.XLOOKUP(frasest[[#This Row],[author_es]],autorest[author_es],autorest[language_es])</f>
        <v>Español</v>
      </c>
      <c r="L991" t="str">
        <f>_xlfn.XLOOKUP(frasest[[#This Row],[author_es]],autorest[author_es],autorest[language_la])</f>
        <v>Lingua Hispanica</v>
      </c>
      <c r="M991" t="str">
        <f>_xlfn.XLOOKUP(frasest[[#This Row],[author_es]],autorest[author_es],autorest[nation_es])</f>
        <v>España</v>
      </c>
      <c r="N991" t="str">
        <f>_xlfn.XLOOKUP(frasest[[#This Row],[author_es]],autorest[author_es],autorest[nation_la])</f>
        <v>Hispania</v>
      </c>
      <c r="O991" t="str">
        <f>_xlfn.XLOOKUP(frasest[[#This Row],[author_es]],autorest[author_es],autorest[age_es])</f>
        <v>Epoca Desconocida</v>
      </c>
      <c r="P991" t="str">
        <f>_xlfn.XLOOKUP(frasest[[#This Row],[author_es]],autorest[author_es],autorest[age_la])</f>
        <v>Epocha Ignota</v>
      </c>
      <c r="Q991" t="str">
        <f>_xlfn.XLOOKUP(frasest[[#This Row],[author_es]],autorest[author_es],autorest[image])</f>
        <v>https://i.ibb.co/Y4f7TZWm/espa-a.png</v>
      </c>
      <c r="R991">
        <f>_xlfn.XLOOKUP(frasest[[#This Row],[author_es]],autorest[author_es],autorest[image_atr])</f>
        <v>0</v>
      </c>
    </row>
    <row r="992" spans="1:18">
      <c r="A992">
        <v>991</v>
      </c>
      <c r="B992" t="s">
        <v>3145</v>
      </c>
      <c r="C992" t="s">
        <v>3146</v>
      </c>
      <c r="D992" t="s">
        <v>3145</v>
      </c>
      <c r="E992" t="s">
        <v>24</v>
      </c>
      <c r="G992" t="str">
        <f>_xlfn.XLOOKUP(frasest[[#This Row],[author_es]],autorest[author_es],autorest[author_la])</f>
        <v>Sententia Hispanica</v>
      </c>
      <c r="H992" t="str">
        <f>_xlfn.XLOOKUP(frasest[[#This Row],[author_es]],autorest[author_es],autorest[bio_es])</f>
        <v>Refranes populares de la tradición oral hispana que expresan de forma breve y ingeniosa enseñanzas prácticas sobre la vida cotidiana.</v>
      </c>
      <c r="I992" t="str">
        <f>_xlfn.XLOOKUP(frasest[[#This Row],[author_es]],autorest[author_es],autorest[bio_la])</f>
        <v>Collectio sententiarum Hispanicarum.</v>
      </c>
      <c r="J992" t="str">
        <f>_xlfn.XLOOKUP(frasest[[#This Row],[author_es]],autorest[author_es],autorest[iso3691])</f>
        <v>es</v>
      </c>
      <c r="K992" t="str">
        <f>_xlfn.XLOOKUP(frasest[[#This Row],[author_es]],autorest[author_es],autorest[language_es])</f>
        <v>Español</v>
      </c>
      <c r="L992" t="str">
        <f>_xlfn.XLOOKUP(frasest[[#This Row],[author_es]],autorest[author_es],autorest[language_la])</f>
        <v>Lingua Hispanica</v>
      </c>
      <c r="M992" t="str">
        <f>_xlfn.XLOOKUP(frasest[[#This Row],[author_es]],autorest[author_es],autorest[nation_es])</f>
        <v>España</v>
      </c>
      <c r="N992" t="str">
        <f>_xlfn.XLOOKUP(frasest[[#This Row],[author_es]],autorest[author_es],autorest[nation_la])</f>
        <v>Hispania</v>
      </c>
      <c r="O992" t="str">
        <f>_xlfn.XLOOKUP(frasest[[#This Row],[author_es]],autorest[author_es],autorest[age_es])</f>
        <v>Epoca Desconocida</v>
      </c>
      <c r="P992" t="str">
        <f>_xlfn.XLOOKUP(frasest[[#This Row],[author_es]],autorest[author_es],autorest[age_la])</f>
        <v>Epocha Ignota</v>
      </c>
      <c r="Q992" t="str">
        <f>_xlfn.XLOOKUP(frasest[[#This Row],[author_es]],autorest[author_es],autorest[image])</f>
        <v>https://i.ibb.co/Y4f7TZWm/espa-a.png</v>
      </c>
      <c r="R992">
        <f>_xlfn.XLOOKUP(frasest[[#This Row],[author_es]],autorest[author_es],autorest[image_atr])</f>
        <v>0</v>
      </c>
    </row>
    <row r="993" spans="1:18">
      <c r="A993">
        <v>992</v>
      </c>
      <c r="B993" t="s">
        <v>3147</v>
      </c>
      <c r="C993" t="s">
        <v>3148</v>
      </c>
      <c r="D993" t="s">
        <v>3147</v>
      </c>
      <c r="E993" t="s">
        <v>24</v>
      </c>
      <c r="G993" t="str">
        <f>_xlfn.XLOOKUP(frasest[[#This Row],[author_es]],autorest[author_es],autorest[author_la])</f>
        <v>Sententia Hispanica</v>
      </c>
      <c r="H993" t="str">
        <f>_xlfn.XLOOKUP(frasest[[#This Row],[author_es]],autorest[author_es],autorest[bio_es])</f>
        <v>Refranes populares de la tradición oral hispana que expresan de forma breve y ingeniosa enseñanzas prácticas sobre la vida cotidiana.</v>
      </c>
      <c r="I993" t="str">
        <f>_xlfn.XLOOKUP(frasest[[#This Row],[author_es]],autorest[author_es],autorest[bio_la])</f>
        <v>Collectio sententiarum Hispanicarum.</v>
      </c>
      <c r="J993" t="str">
        <f>_xlfn.XLOOKUP(frasest[[#This Row],[author_es]],autorest[author_es],autorest[iso3691])</f>
        <v>es</v>
      </c>
      <c r="K993" t="str">
        <f>_xlfn.XLOOKUP(frasest[[#This Row],[author_es]],autorest[author_es],autorest[language_es])</f>
        <v>Español</v>
      </c>
      <c r="L993" t="str">
        <f>_xlfn.XLOOKUP(frasest[[#This Row],[author_es]],autorest[author_es],autorest[language_la])</f>
        <v>Lingua Hispanica</v>
      </c>
      <c r="M993" t="str">
        <f>_xlfn.XLOOKUP(frasest[[#This Row],[author_es]],autorest[author_es],autorest[nation_es])</f>
        <v>España</v>
      </c>
      <c r="N993" t="str">
        <f>_xlfn.XLOOKUP(frasest[[#This Row],[author_es]],autorest[author_es],autorest[nation_la])</f>
        <v>Hispania</v>
      </c>
      <c r="O993" t="str">
        <f>_xlfn.XLOOKUP(frasest[[#This Row],[author_es]],autorest[author_es],autorest[age_es])</f>
        <v>Epoca Desconocida</v>
      </c>
      <c r="P993" t="str">
        <f>_xlfn.XLOOKUP(frasest[[#This Row],[author_es]],autorest[author_es],autorest[age_la])</f>
        <v>Epocha Ignota</v>
      </c>
      <c r="Q993" t="str">
        <f>_xlfn.XLOOKUP(frasest[[#This Row],[author_es]],autorest[author_es],autorest[image])</f>
        <v>https://i.ibb.co/Y4f7TZWm/espa-a.png</v>
      </c>
      <c r="R993">
        <f>_xlfn.XLOOKUP(frasest[[#This Row],[author_es]],autorest[author_es],autorest[image_atr])</f>
        <v>0</v>
      </c>
    </row>
    <row r="994" spans="1:18">
      <c r="A994">
        <v>993</v>
      </c>
      <c r="B994" t="s">
        <v>2575</v>
      </c>
      <c r="C994" t="s">
        <v>2576</v>
      </c>
      <c r="D994" t="s">
        <v>2575</v>
      </c>
      <c r="E994" t="s">
        <v>24</v>
      </c>
      <c r="G994" t="str">
        <f>_xlfn.XLOOKUP(frasest[[#This Row],[author_es]],autorest[author_es],autorest[author_la])</f>
        <v>Sententia Hispanica</v>
      </c>
      <c r="H994" t="str">
        <f>_xlfn.XLOOKUP(frasest[[#This Row],[author_es]],autorest[author_es],autorest[bio_es])</f>
        <v>Refranes populares de la tradición oral hispana que expresan de forma breve y ingeniosa enseñanzas prácticas sobre la vida cotidiana.</v>
      </c>
      <c r="I994" t="str">
        <f>_xlfn.XLOOKUP(frasest[[#This Row],[author_es]],autorest[author_es],autorest[bio_la])</f>
        <v>Collectio sententiarum Hispanicarum.</v>
      </c>
      <c r="J994" t="str">
        <f>_xlfn.XLOOKUP(frasest[[#This Row],[author_es]],autorest[author_es],autorest[iso3691])</f>
        <v>es</v>
      </c>
      <c r="K994" t="str">
        <f>_xlfn.XLOOKUP(frasest[[#This Row],[author_es]],autorest[author_es],autorest[language_es])</f>
        <v>Español</v>
      </c>
      <c r="L994" t="str">
        <f>_xlfn.XLOOKUP(frasest[[#This Row],[author_es]],autorest[author_es],autorest[language_la])</f>
        <v>Lingua Hispanica</v>
      </c>
      <c r="M994" t="str">
        <f>_xlfn.XLOOKUP(frasest[[#This Row],[author_es]],autorest[author_es],autorest[nation_es])</f>
        <v>España</v>
      </c>
      <c r="N994" t="str">
        <f>_xlfn.XLOOKUP(frasest[[#This Row],[author_es]],autorest[author_es],autorest[nation_la])</f>
        <v>Hispania</v>
      </c>
      <c r="O994" t="str">
        <f>_xlfn.XLOOKUP(frasest[[#This Row],[author_es]],autorest[author_es],autorest[age_es])</f>
        <v>Epoca Desconocida</v>
      </c>
      <c r="P994" t="str">
        <f>_xlfn.XLOOKUP(frasest[[#This Row],[author_es]],autorest[author_es],autorest[age_la])</f>
        <v>Epocha Ignota</v>
      </c>
      <c r="Q994" t="str">
        <f>_xlfn.XLOOKUP(frasest[[#This Row],[author_es]],autorest[author_es],autorest[image])</f>
        <v>https://i.ibb.co/Y4f7TZWm/espa-a.png</v>
      </c>
      <c r="R994">
        <f>_xlfn.XLOOKUP(frasest[[#This Row],[author_es]],autorest[author_es],autorest[image_atr])</f>
        <v>0</v>
      </c>
    </row>
    <row r="995" spans="1:18">
      <c r="A995">
        <v>994</v>
      </c>
      <c r="B995" t="s">
        <v>3149</v>
      </c>
      <c r="C995" t="s">
        <v>3150</v>
      </c>
      <c r="D995" t="s">
        <v>3149</v>
      </c>
      <c r="E995" t="s">
        <v>24</v>
      </c>
      <c r="G995" t="str">
        <f>_xlfn.XLOOKUP(frasest[[#This Row],[author_es]],autorest[author_es],autorest[author_la])</f>
        <v>Sententia Hispanica</v>
      </c>
      <c r="H995" t="str">
        <f>_xlfn.XLOOKUP(frasest[[#This Row],[author_es]],autorest[author_es],autorest[bio_es])</f>
        <v>Refranes populares de la tradición oral hispana que expresan de forma breve y ingeniosa enseñanzas prácticas sobre la vida cotidiana.</v>
      </c>
      <c r="I995" t="str">
        <f>_xlfn.XLOOKUP(frasest[[#This Row],[author_es]],autorest[author_es],autorest[bio_la])</f>
        <v>Collectio sententiarum Hispanicarum.</v>
      </c>
      <c r="J995" t="str">
        <f>_xlfn.XLOOKUP(frasest[[#This Row],[author_es]],autorest[author_es],autorest[iso3691])</f>
        <v>es</v>
      </c>
      <c r="K995" t="str">
        <f>_xlfn.XLOOKUP(frasest[[#This Row],[author_es]],autorest[author_es],autorest[language_es])</f>
        <v>Español</v>
      </c>
      <c r="L995" t="str">
        <f>_xlfn.XLOOKUP(frasest[[#This Row],[author_es]],autorest[author_es],autorest[language_la])</f>
        <v>Lingua Hispanica</v>
      </c>
      <c r="M995" t="str">
        <f>_xlfn.XLOOKUP(frasest[[#This Row],[author_es]],autorest[author_es],autorest[nation_es])</f>
        <v>España</v>
      </c>
      <c r="N995" t="str">
        <f>_xlfn.XLOOKUP(frasest[[#This Row],[author_es]],autorest[author_es],autorest[nation_la])</f>
        <v>Hispania</v>
      </c>
      <c r="O995" t="str">
        <f>_xlfn.XLOOKUP(frasest[[#This Row],[author_es]],autorest[author_es],autorest[age_es])</f>
        <v>Epoca Desconocida</v>
      </c>
      <c r="P995" t="str">
        <f>_xlfn.XLOOKUP(frasest[[#This Row],[author_es]],autorest[author_es],autorest[age_la])</f>
        <v>Epocha Ignota</v>
      </c>
      <c r="Q995" t="str">
        <f>_xlfn.XLOOKUP(frasest[[#This Row],[author_es]],autorest[author_es],autorest[image])</f>
        <v>https://i.ibb.co/Y4f7TZWm/espa-a.png</v>
      </c>
      <c r="R995">
        <f>_xlfn.XLOOKUP(frasest[[#This Row],[author_es]],autorest[author_es],autorest[image_atr])</f>
        <v>0</v>
      </c>
    </row>
    <row r="996" spans="1:18">
      <c r="A996">
        <v>995</v>
      </c>
      <c r="B996" t="s">
        <v>3151</v>
      </c>
      <c r="C996" t="s">
        <v>3152</v>
      </c>
      <c r="D996" t="s">
        <v>3151</v>
      </c>
      <c r="E996" t="s">
        <v>24</v>
      </c>
      <c r="G996" t="str">
        <f>_xlfn.XLOOKUP(frasest[[#This Row],[author_es]],autorest[author_es],autorest[author_la])</f>
        <v>Sententia Hispanica</v>
      </c>
      <c r="H996" t="str">
        <f>_xlfn.XLOOKUP(frasest[[#This Row],[author_es]],autorest[author_es],autorest[bio_es])</f>
        <v>Refranes populares de la tradición oral hispana que expresan de forma breve y ingeniosa enseñanzas prácticas sobre la vida cotidiana.</v>
      </c>
      <c r="I996" t="str">
        <f>_xlfn.XLOOKUP(frasest[[#This Row],[author_es]],autorest[author_es],autorest[bio_la])</f>
        <v>Collectio sententiarum Hispanicarum.</v>
      </c>
      <c r="J996" t="str">
        <f>_xlfn.XLOOKUP(frasest[[#This Row],[author_es]],autorest[author_es],autorest[iso3691])</f>
        <v>es</v>
      </c>
      <c r="K996" t="str">
        <f>_xlfn.XLOOKUP(frasest[[#This Row],[author_es]],autorest[author_es],autorest[language_es])</f>
        <v>Español</v>
      </c>
      <c r="L996" t="str">
        <f>_xlfn.XLOOKUP(frasest[[#This Row],[author_es]],autorest[author_es],autorest[language_la])</f>
        <v>Lingua Hispanica</v>
      </c>
      <c r="M996" t="str">
        <f>_xlfn.XLOOKUP(frasest[[#This Row],[author_es]],autorest[author_es],autorest[nation_es])</f>
        <v>España</v>
      </c>
      <c r="N996" t="str">
        <f>_xlfn.XLOOKUP(frasest[[#This Row],[author_es]],autorest[author_es],autorest[nation_la])</f>
        <v>Hispania</v>
      </c>
      <c r="O996" t="str">
        <f>_xlfn.XLOOKUP(frasest[[#This Row],[author_es]],autorest[author_es],autorest[age_es])</f>
        <v>Epoca Desconocida</v>
      </c>
      <c r="P996" t="str">
        <f>_xlfn.XLOOKUP(frasest[[#This Row],[author_es]],autorest[author_es],autorest[age_la])</f>
        <v>Epocha Ignota</v>
      </c>
      <c r="Q996" t="str">
        <f>_xlfn.XLOOKUP(frasest[[#This Row],[author_es]],autorest[author_es],autorest[image])</f>
        <v>https://i.ibb.co/Y4f7TZWm/espa-a.png</v>
      </c>
      <c r="R996">
        <f>_xlfn.XLOOKUP(frasest[[#This Row],[author_es]],autorest[author_es],autorest[image_atr])</f>
        <v>0</v>
      </c>
    </row>
    <row r="997" spans="1:18">
      <c r="A997">
        <v>996</v>
      </c>
      <c r="B997" t="s">
        <v>3153</v>
      </c>
      <c r="C997" t="s">
        <v>3154</v>
      </c>
      <c r="D997" t="s">
        <v>3153</v>
      </c>
      <c r="E997" t="s">
        <v>24</v>
      </c>
      <c r="G997" t="str">
        <f>_xlfn.XLOOKUP(frasest[[#This Row],[author_es]],autorest[author_es],autorest[author_la])</f>
        <v>Sententia Hispanica</v>
      </c>
      <c r="H997" t="str">
        <f>_xlfn.XLOOKUP(frasest[[#This Row],[author_es]],autorest[author_es],autorest[bio_es])</f>
        <v>Refranes populares de la tradición oral hispana que expresan de forma breve y ingeniosa enseñanzas prácticas sobre la vida cotidiana.</v>
      </c>
      <c r="I997" t="str">
        <f>_xlfn.XLOOKUP(frasest[[#This Row],[author_es]],autorest[author_es],autorest[bio_la])</f>
        <v>Collectio sententiarum Hispanicarum.</v>
      </c>
      <c r="J997" t="str">
        <f>_xlfn.XLOOKUP(frasest[[#This Row],[author_es]],autorest[author_es],autorest[iso3691])</f>
        <v>es</v>
      </c>
      <c r="K997" t="str">
        <f>_xlfn.XLOOKUP(frasest[[#This Row],[author_es]],autorest[author_es],autorest[language_es])</f>
        <v>Español</v>
      </c>
      <c r="L997" t="str">
        <f>_xlfn.XLOOKUP(frasest[[#This Row],[author_es]],autorest[author_es],autorest[language_la])</f>
        <v>Lingua Hispanica</v>
      </c>
      <c r="M997" t="str">
        <f>_xlfn.XLOOKUP(frasest[[#This Row],[author_es]],autorest[author_es],autorest[nation_es])</f>
        <v>España</v>
      </c>
      <c r="N997" t="str">
        <f>_xlfn.XLOOKUP(frasest[[#This Row],[author_es]],autorest[author_es],autorest[nation_la])</f>
        <v>Hispania</v>
      </c>
      <c r="O997" t="str">
        <f>_xlfn.XLOOKUP(frasest[[#This Row],[author_es]],autorest[author_es],autorest[age_es])</f>
        <v>Epoca Desconocida</v>
      </c>
      <c r="P997" t="str">
        <f>_xlfn.XLOOKUP(frasest[[#This Row],[author_es]],autorest[author_es],autorest[age_la])</f>
        <v>Epocha Ignota</v>
      </c>
      <c r="Q997" t="str">
        <f>_xlfn.XLOOKUP(frasest[[#This Row],[author_es]],autorest[author_es],autorest[image])</f>
        <v>https://i.ibb.co/Y4f7TZWm/espa-a.png</v>
      </c>
      <c r="R997">
        <f>_xlfn.XLOOKUP(frasest[[#This Row],[author_es]],autorest[author_es],autorest[image_atr])</f>
        <v>0</v>
      </c>
    </row>
    <row r="998" spans="1:18">
      <c r="A998">
        <v>997</v>
      </c>
      <c r="B998" t="s">
        <v>3155</v>
      </c>
      <c r="C998" t="s">
        <v>3156</v>
      </c>
      <c r="D998" t="s">
        <v>3155</v>
      </c>
      <c r="E998" t="s">
        <v>24</v>
      </c>
      <c r="G998" t="str">
        <f>_xlfn.XLOOKUP(frasest[[#This Row],[author_es]],autorest[author_es],autorest[author_la])</f>
        <v>Sententia Hispanica</v>
      </c>
      <c r="H998" t="str">
        <f>_xlfn.XLOOKUP(frasest[[#This Row],[author_es]],autorest[author_es],autorest[bio_es])</f>
        <v>Refranes populares de la tradición oral hispana que expresan de forma breve y ingeniosa enseñanzas prácticas sobre la vida cotidiana.</v>
      </c>
      <c r="I998" t="str">
        <f>_xlfn.XLOOKUP(frasest[[#This Row],[author_es]],autorest[author_es],autorest[bio_la])</f>
        <v>Collectio sententiarum Hispanicarum.</v>
      </c>
      <c r="J998" t="str">
        <f>_xlfn.XLOOKUP(frasest[[#This Row],[author_es]],autorest[author_es],autorest[iso3691])</f>
        <v>es</v>
      </c>
      <c r="K998" t="str">
        <f>_xlfn.XLOOKUP(frasest[[#This Row],[author_es]],autorest[author_es],autorest[language_es])</f>
        <v>Español</v>
      </c>
      <c r="L998" t="str">
        <f>_xlfn.XLOOKUP(frasest[[#This Row],[author_es]],autorest[author_es],autorest[language_la])</f>
        <v>Lingua Hispanica</v>
      </c>
      <c r="M998" t="str">
        <f>_xlfn.XLOOKUP(frasest[[#This Row],[author_es]],autorest[author_es],autorest[nation_es])</f>
        <v>España</v>
      </c>
      <c r="N998" t="str">
        <f>_xlfn.XLOOKUP(frasest[[#This Row],[author_es]],autorest[author_es],autorest[nation_la])</f>
        <v>Hispania</v>
      </c>
      <c r="O998" t="str">
        <f>_xlfn.XLOOKUP(frasest[[#This Row],[author_es]],autorest[author_es],autorest[age_es])</f>
        <v>Epoca Desconocida</v>
      </c>
      <c r="P998" t="str">
        <f>_xlfn.XLOOKUP(frasest[[#This Row],[author_es]],autorest[author_es],autorest[age_la])</f>
        <v>Epocha Ignota</v>
      </c>
      <c r="Q998" t="str">
        <f>_xlfn.XLOOKUP(frasest[[#This Row],[author_es]],autorest[author_es],autorest[image])</f>
        <v>https://i.ibb.co/Y4f7TZWm/espa-a.png</v>
      </c>
      <c r="R998">
        <f>_xlfn.XLOOKUP(frasest[[#This Row],[author_es]],autorest[author_es],autorest[image_atr])</f>
        <v>0</v>
      </c>
    </row>
    <row r="999" spans="1:18">
      <c r="A999">
        <v>998</v>
      </c>
      <c r="B999" t="s">
        <v>3157</v>
      </c>
      <c r="C999" t="s">
        <v>3158</v>
      </c>
      <c r="D999" t="s">
        <v>3157</v>
      </c>
      <c r="E999" t="s">
        <v>24</v>
      </c>
      <c r="G999" t="str">
        <f>_xlfn.XLOOKUP(frasest[[#This Row],[author_es]],autorest[author_es],autorest[author_la])</f>
        <v>Sententia Hispanica</v>
      </c>
      <c r="H999" t="str">
        <f>_xlfn.XLOOKUP(frasest[[#This Row],[author_es]],autorest[author_es],autorest[bio_es])</f>
        <v>Refranes populares de la tradición oral hispana que expresan de forma breve y ingeniosa enseñanzas prácticas sobre la vida cotidiana.</v>
      </c>
      <c r="I999" t="str">
        <f>_xlfn.XLOOKUP(frasest[[#This Row],[author_es]],autorest[author_es],autorest[bio_la])</f>
        <v>Collectio sententiarum Hispanicarum.</v>
      </c>
      <c r="J999" t="str">
        <f>_xlfn.XLOOKUP(frasest[[#This Row],[author_es]],autorest[author_es],autorest[iso3691])</f>
        <v>es</v>
      </c>
      <c r="K999" t="str">
        <f>_xlfn.XLOOKUP(frasest[[#This Row],[author_es]],autorest[author_es],autorest[language_es])</f>
        <v>Español</v>
      </c>
      <c r="L999" t="str">
        <f>_xlfn.XLOOKUP(frasest[[#This Row],[author_es]],autorest[author_es],autorest[language_la])</f>
        <v>Lingua Hispanica</v>
      </c>
      <c r="M999" t="str">
        <f>_xlfn.XLOOKUP(frasest[[#This Row],[author_es]],autorest[author_es],autorest[nation_es])</f>
        <v>España</v>
      </c>
      <c r="N999" t="str">
        <f>_xlfn.XLOOKUP(frasest[[#This Row],[author_es]],autorest[author_es],autorest[nation_la])</f>
        <v>Hispania</v>
      </c>
      <c r="O999" t="str">
        <f>_xlfn.XLOOKUP(frasest[[#This Row],[author_es]],autorest[author_es],autorest[age_es])</f>
        <v>Epoca Desconocida</v>
      </c>
      <c r="P999" t="str">
        <f>_xlfn.XLOOKUP(frasest[[#This Row],[author_es]],autorest[author_es],autorest[age_la])</f>
        <v>Epocha Ignota</v>
      </c>
      <c r="Q999" t="str">
        <f>_xlfn.XLOOKUP(frasest[[#This Row],[author_es]],autorest[author_es],autorest[image])</f>
        <v>https://i.ibb.co/Y4f7TZWm/espa-a.png</v>
      </c>
      <c r="R999">
        <f>_xlfn.XLOOKUP(frasest[[#This Row],[author_es]],autorest[author_es],autorest[image_atr])</f>
        <v>0</v>
      </c>
    </row>
    <row r="1000" spans="1:18">
      <c r="A1000">
        <v>999</v>
      </c>
      <c r="B1000" t="s">
        <v>3159</v>
      </c>
      <c r="C1000" t="s">
        <v>3160</v>
      </c>
      <c r="D1000" t="s">
        <v>3159</v>
      </c>
      <c r="E1000" t="s">
        <v>24</v>
      </c>
      <c r="G1000" t="str">
        <f>_xlfn.XLOOKUP(frasest[[#This Row],[author_es]],autorest[author_es],autorest[author_la])</f>
        <v>Sententia Hispanica</v>
      </c>
      <c r="H1000" t="str">
        <f>_xlfn.XLOOKUP(frasest[[#This Row],[author_es]],autorest[author_es],autorest[bio_es])</f>
        <v>Refranes populares de la tradición oral hispana que expresan de forma breve y ingeniosa enseñanzas prácticas sobre la vida cotidiana.</v>
      </c>
      <c r="I1000" t="str">
        <f>_xlfn.XLOOKUP(frasest[[#This Row],[author_es]],autorest[author_es],autorest[bio_la])</f>
        <v>Collectio sententiarum Hispanicarum.</v>
      </c>
      <c r="J1000" t="str">
        <f>_xlfn.XLOOKUP(frasest[[#This Row],[author_es]],autorest[author_es],autorest[iso3691])</f>
        <v>es</v>
      </c>
      <c r="K1000" t="str">
        <f>_xlfn.XLOOKUP(frasest[[#This Row],[author_es]],autorest[author_es],autorest[language_es])</f>
        <v>Español</v>
      </c>
      <c r="L1000" t="str">
        <f>_xlfn.XLOOKUP(frasest[[#This Row],[author_es]],autorest[author_es],autorest[language_la])</f>
        <v>Lingua Hispanica</v>
      </c>
      <c r="M1000" t="str">
        <f>_xlfn.XLOOKUP(frasest[[#This Row],[author_es]],autorest[author_es],autorest[nation_es])</f>
        <v>España</v>
      </c>
      <c r="N1000" t="str">
        <f>_xlfn.XLOOKUP(frasest[[#This Row],[author_es]],autorest[author_es],autorest[nation_la])</f>
        <v>Hispania</v>
      </c>
      <c r="O1000" t="str">
        <f>_xlfn.XLOOKUP(frasest[[#This Row],[author_es]],autorest[author_es],autorest[age_es])</f>
        <v>Epoca Desconocida</v>
      </c>
      <c r="P1000" t="str">
        <f>_xlfn.XLOOKUP(frasest[[#This Row],[author_es]],autorest[author_es],autorest[age_la])</f>
        <v>Epocha Ignota</v>
      </c>
      <c r="Q1000" t="str">
        <f>_xlfn.XLOOKUP(frasest[[#This Row],[author_es]],autorest[author_es],autorest[image])</f>
        <v>https://i.ibb.co/Y4f7TZWm/espa-a.png</v>
      </c>
      <c r="R1000">
        <f>_xlfn.XLOOKUP(frasest[[#This Row],[author_es]],autorest[author_es],autorest[image_atr])</f>
        <v>0</v>
      </c>
    </row>
    <row r="1001" spans="1:18">
      <c r="A1001">
        <v>1000</v>
      </c>
      <c r="B1001" t="s">
        <v>3161</v>
      </c>
      <c r="C1001" t="s">
        <v>3162</v>
      </c>
      <c r="D1001" t="s">
        <v>3161</v>
      </c>
      <c r="E1001" t="s">
        <v>24</v>
      </c>
      <c r="G1001" t="str">
        <f>_xlfn.XLOOKUP(frasest[[#This Row],[author_es]],autorest[author_es],autorest[author_la])</f>
        <v>Sententia Hispanica</v>
      </c>
      <c r="H1001" t="str">
        <f>_xlfn.XLOOKUP(frasest[[#This Row],[author_es]],autorest[author_es],autorest[bio_es])</f>
        <v>Refranes populares de la tradición oral hispana que expresan de forma breve y ingeniosa enseñanzas prácticas sobre la vida cotidiana.</v>
      </c>
      <c r="I1001" t="str">
        <f>_xlfn.XLOOKUP(frasest[[#This Row],[author_es]],autorest[author_es],autorest[bio_la])</f>
        <v>Collectio sententiarum Hispanicarum.</v>
      </c>
      <c r="J1001" t="str">
        <f>_xlfn.XLOOKUP(frasest[[#This Row],[author_es]],autorest[author_es],autorest[iso3691])</f>
        <v>es</v>
      </c>
      <c r="K1001" t="str">
        <f>_xlfn.XLOOKUP(frasest[[#This Row],[author_es]],autorest[author_es],autorest[language_es])</f>
        <v>Español</v>
      </c>
      <c r="L1001" t="str">
        <f>_xlfn.XLOOKUP(frasest[[#This Row],[author_es]],autorest[author_es],autorest[language_la])</f>
        <v>Lingua Hispanica</v>
      </c>
      <c r="M1001" t="str">
        <f>_xlfn.XLOOKUP(frasest[[#This Row],[author_es]],autorest[author_es],autorest[nation_es])</f>
        <v>España</v>
      </c>
      <c r="N1001" t="str">
        <f>_xlfn.XLOOKUP(frasest[[#This Row],[author_es]],autorest[author_es],autorest[nation_la])</f>
        <v>Hispania</v>
      </c>
      <c r="O1001" t="str">
        <f>_xlfn.XLOOKUP(frasest[[#This Row],[author_es]],autorest[author_es],autorest[age_es])</f>
        <v>Epoca Desconocida</v>
      </c>
      <c r="P1001" t="str">
        <f>_xlfn.XLOOKUP(frasest[[#This Row],[author_es]],autorest[author_es],autorest[age_la])</f>
        <v>Epocha Ignota</v>
      </c>
      <c r="Q1001" t="str">
        <f>_xlfn.XLOOKUP(frasest[[#This Row],[author_es]],autorest[author_es],autorest[image])</f>
        <v>https://i.ibb.co/Y4f7TZWm/espa-a.png</v>
      </c>
      <c r="R1001">
        <f>_xlfn.XLOOKUP(frasest[[#This Row],[author_es]],autorest[author_es],autorest[image_atr])</f>
        <v>0</v>
      </c>
    </row>
    <row r="1002" spans="1:18">
      <c r="A1002">
        <v>1001</v>
      </c>
      <c r="B1002" t="s">
        <v>3163</v>
      </c>
      <c r="C1002" t="s">
        <v>3164</v>
      </c>
      <c r="D1002" t="s">
        <v>3163</v>
      </c>
      <c r="E1002" t="s">
        <v>24</v>
      </c>
      <c r="G1002" t="str">
        <f>_xlfn.XLOOKUP(frasest[[#This Row],[author_es]],autorest[author_es],autorest[author_la])</f>
        <v>Sententia Hispanica</v>
      </c>
      <c r="H1002" t="str">
        <f>_xlfn.XLOOKUP(frasest[[#This Row],[author_es]],autorest[author_es],autorest[bio_es])</f>
        <v>Refranes populares de la tradición oral hispana que expresan de forma breve y ingeniosa enseñanzas prácticas sobre la vida cotidiana.</v>
      </c>
      <c r="I1002" t="str">
        <f>_xlfn.XLOOKUP(frasest[[#This Row],[author_es]],autorest[author_es],autorest[bio_la])</f>
        <v>Collectio sententiarum Hispanicarum.</v>
      </c>
      <c r="J1002" t="str">
        <f>_xlfn.XLOOKUP(frasest[[#This Row],[author_es]],autorest[author_es],autorest[iso3691])</f>
        <v>es</v>
      </c>
      <c r="K1002" t="str">
        <f>_xlfn.XLOOKUP(frasest[[#This Row],[author_es]],autorest[author_es],autorest[language_es])</f>
        <v>Español</v>
      </c>
      <c r="L1002" t="str">
        <f>_xlfn.XLOOKUP(frasest[[#This Row],[author_es]],autorest[author_es],autorest[language_la])</f>
        <v>Lingua Hispanica</v>
      </c>
      <c r="M1002" t="str">
        <f>_xlfn.XLOOKUP(frasest[[#This Row],[author_es]],autorest[author_es],autorest[nation_es])</f>
        <v>España</v>
      </c>
      <c r="N1002" t="str">
        <f>_xlfn.XLOOKUP(frasest[[#This Row],[author_es]],autorest[author_es],autorest[nation_la])</f>
        <v>Hispania</v>
      </c>
      <c r="O1002" t="str">
        <f>_xlfn.XLOOKUP(frasest[[#This Row],[author_es]],autorest[author_es],autorest[age_es])</f>
        <v>Epoca Desconocida</v>
      </c>
      <c r="P1002" t="str">
        <f>_xlfn.XLOOKUP(frasest[[#This Row],[author_es]],autorest[author_es],autorest[age_la])</f>
        <v>Epocha Ignota</v>
      </c>
      <c r="Q1002" t="str">
        <f>_xlfn.XLOOKUP(frasest[[#This Row],[author_es]],autorest[author_es],autorest[image])</f>
        <v>https://i.ibb.co/Y4f7TZWm/espa-a.png</v>
      </c>
      <c r="R1002">
        <f>_xlfn.XLOOKUP(frasest[[#This Row],[author_es]],autorest[author_es],autorest[image_atr])</f>
        <v>0</v>
      </c>
    </row>
    <row r="1003" spans="1:18">
      <c r="A1003">
        <v>1002</v>
      </c>
      <c r="B1003" t="s">
        <v>3165</v>
      </c>
      <c r="C1003" t="s">
        <v>3166</v>
      </c>
      <c r="D1003" t="s">
        <v>3165</v>
      </c>
      <c r="E1003" t="s">
        <v>24</v>
      </c>
      <c r="G1003" t="str">
        <f>_xlfn.XLOOKUP(frasest[[#This Row],[author_es]],autorest[author_es],autorest[author_la])</f>
        <v>Sententia Hispanica</v>
      </c>
      <c r="H1003" t="str">
        <f>_xlfn.XLOOKUP(frasest[[#This Row],[author_es]],autorest[author_es],autorest[bio_es])</f>
        <v>Refranes populares de la tradición oral hispana que expresan de forma breve y ingeniosa enseñanzas prácticas sobre la vida cotidiana.</v>
      </c>
      <c r="I1003" t="str">
        <f>_xlfn.XLOOKUP(frasest[[#This Row],[author_es]],autorest[author_es],autorest[bio_la])</f>
        <v>Collectio sententiarum Hispanicarum.</v>
      </c>
      <c r="J1003" t="str">
        <f>_xlfn.XLOOKUP(frasest[[#This Row],[author_es]],autorest[author_es],autorest[iso3691])</f>
        <v>es</v>
      </c>
      <c r="K1003" t="str">
        <f>_xlfn.XLOOKUP(frasest[[#This Row],[author_es]],autorest[author_es],autorest[language_es])</f>
        <v>Español</v>
      </c>
      <c r="L1003" t="str">
        <f>_xlfn.XLOOKUP(frasest[[#This Row],[author_es]],autorest[author_es],autorest[language_la])</f>
        <v>Lingua Hispanica</v>
      </c>
      <c r="M1003" t="str">
        <f>_xlfn.XLOOKUP(frasest[[#This Row],[author_es]],autorest[author_es],autorest[nation_es])</f>
        <v>España</v>
      </c>
      <c r="N1003" t="str">
        <f>_xlfn.XLOOKUP(frasest[[#This Row],[author_es]],autorest[author_es],autorest[nation_la])</f>
        <v>Hispania</v>
      </c>
      <c r="O1003" t="str">
        <f>_xlfn.XLOOKUP(frasest[[#This Row],[author_es]],autorest[author_es],autorest[age_es])</f>
        <v>Epoca Desconocida</v>
      </c>
      <c r="P1003" t="str">
        <f>_xlfn.XLOOKUP(frasest[[#This Row],[author_es]],autorest[author_es],autorest[age_la])</f>
        <v>Epocha Ignota</v>
      </c>
      <c r="Q1003" t="str">
        <f>_xlfn.XLOOKUP(frasest[[#This Row],[author_es]],autorest[author_es],autorest[image])</f>
        <v>https://i.ibb.co/Y4f7TZWm/espa-a.png</v>
      </c>
      <c r="R1003">
        <f>_xlfn.XLOOKUP(frasest[[#This Row],[author_es]],autorest[author_es],autorest[image_atr])</f>
        <v>0</v>
      </c>
    </row>
    <row r="1004" spans="1:18">
      <c r="A1004">
        <v>1003</v>
      </c>
      <c r="B1004" t="s">
        <v>3167</v>
      </c>
      <c r="C1004" t="s">
        <v>3168</v>
      </c>
      <c r="D1004" t="s">
        <v>3167</v>
      </c>
      <c r="E1004" t="s">
        <v>24</v>
      </c>
      <c r="G1004" t="str">
        <f>_xlfn.XLOOKUP(frasest[[#This Row],[author_es]],autorest[author_es],autorest[author_la])</f>
        <v>Sententia Hispanica</v>
      </c>
      <c r="H1004" t="str">
        <f>_xlfn.XLOOKUP(frasest[[#This Row],[author_es]],autorest[author_es],autorest[bio_es])</f>
        <v>Refranes populares de la tradición oral hispana que expresan de forma breve y ingeniosa enseñanzas prácticas sobre la vida cotidiana.</v>
      </c>
      <c r="I1004" t="str">
        <f>_xlfn.XLOOKUP(frasest[[#This Row],[author_es]],autorest[author_es],autorest[bio_la])</f>
        <v>Collectio sententiarum Hispanicarum.</v>
      </c>
      <c r="J1004" t="str">
        <f>_xlfn.XLOOKUP(frasest[[#This Row],[author_es]],autorest[author_es],autorest[iso3691])</f>
        <v>es</v>
      </c>
      <c r="K1004" t="str">
        <f>_xlfn.XLOOKUP(frasest[[#This Row],[author_es]],autorest[author_es],autorest[language_es])</f>
        <v>Español</v>
      </c>
      <c r="L1004" t="str">
        <f>_xlfn.XLOOKUP(frasest[[#This Row],[author_es]],autorest[author_es],autorest[language_la])</f>
        <v>Lingua Hispanica</v>
      </c>
      <c r="M1004" t="str">
        <f>_xlfn.XLOOKUP(frasest[[#This Row],[author_es]],autorest[author_es],autorest[nation_es])</f>
        <v>España</v>
      </c>
      <c r="N1004" t="str">
        <f>_xlfn.XLOOKUP(frasest[[#This Row],[author_es]],autorest[author_es],autorest[nation_la])</f>
        <v>Hispania</v>
      </c>
      <c r="O1004" t="str">
        <f>_xlfn.XLOOKUP(frasest[[#This Row],[author_es]],autorest[author_es],autorest[age_es])</f>
        <v>Epoca Desconocida</v>
      </c>
      <c r="P1004" t="str">
        <f>_xlfn.XLOOKUP(frasest[[#This Row],[author_es]],autorest[author_es],autorest[age_la])</f>
        <v>Epocha Ignota</v>
      </c>
      <c r="Q1004" t="str">
        <f>_xlfn.XLOOKUP(frasest[[#This Row],[author_es]],autorest[author_es],autorest[image])</f>
        <v>https://i.ibb.co/Y4f7TZWm/espa-a.png</v>
      </c>
      <c r="R1004">
        <f>_xlfn.XLOOKUP(frasest[[#This Row],[author_es]],autorest[author_es],autorest[image_atr])</f>
        <v>0</v>
      </c>
    </row>
    <row r="1005" spans="1:18">
      <c r="A1005">
        <v>1004</v>
      </c>
      <c r="B1005" t="s">
        <v>3169</v>
      </c>
      <c r="C1005" t="s">
        <v>3170</v>
      </c>
      <c r="D1005" t="s">
        <v>3169</v>
      </c>
      <c r="E1005" t="s">
        <v>24</v>
      </c>
      <c r="G1005" t="str">
        <f>_xlfn.XLOOKUP(frasest[[#This Row],[author_es]],autorest[author_es],autorest[author_la])</f>
        <v>Sententia Hispanica</v>
      </c>
      <c r="H1005" t="str">
        <f>_xlfn.XLOOKUP(frasest[[#This Row],[author_es]],autorest[author_es],autorest[bio_es])</f>
        <v>Refranes populares de la tradición oral hispana que expresan de forma breve y ingeniosa enseñanzas prácticas sobre la vida cotidiana.</v>
      </c>
      <c r="I1005" t="str">
        <f>_xlfn.XLOOKUP(frasest[[#This Row],[author_es]],autorest[author_es],autorest[bio_la])</f>
        <v>Collectio sententiarum Hispanicarum.</v>
      </c>
      <c r="J1005" t="str">
        <f>_xlfn.XLOOKUP(frasest[[#This Row],[author_es]],autorest[author_es],autorest[iso3691])</f>
        <v>es</v>
      </c>
      <c r="K1005" t="str">
        <f>_xlfn.XLOOKUP(frasest[[#This Row],[author_es]],autorest[author_es],autorest[language_es])</f>
        <v>Español</v>
      </c>
      <c r="L1005" t="str">
        <f>_xlfn.XLOOKUP(frasest[[#This Row],[author_es]],autorest[author_es],autorest[language_la])</f>
        <v>Lingua Hispanica</v>
      </c>
      <c r="M1005" t="str">
        <f>_xlfn.XLOOKUP(frasest[[#This Row],[author_es]],autorest[author_es],autorest[nation_es])</f>
        <v>España</v>
      </c>
      <c r="N1005" t="str">
        <f>_xlfn.XLOOKUP(frasest[[#This Row],[author_es]],autorest[author_es],autorest[nation_la])</f>
        <v>Hispania</v>
      </c>
      <c r="O1005" t="str">
        <f>_xlfn.XLOOKUP(frasest[[#This Row],[author_es]],autorest[author_es],autorest[age_es])</f>
        <v>Epoca Desconocida</v>
      </c>
      <c r="P1005" t="str">
        <f>_xlfn.XLOOKUP(frasest[[#This Row],[author_es]],autorest[author_es],autorest[age_la])</f>
        <v>Epocha Ignota</v>
      </c>
      <c r="Q1005" t="str">
        <f>_xlfn.XLOOKUP(frasest[[#This Row],[author_es]],autorest[author_es],autorest[image])</f>
        <v>https://i.ibb.co/Y4f7TZWm/espa-a.png</v>
      </c>
      <c r="R1005">
        <f>_xlfn.XLOOKUP(frasest[[#This Row],[author_es]],autorest[author_es],autorest[image_atr])</f>
        <v>0</v>
      </c>
    </row>
    <row r="1006" spans="1:18">
      <c r="A1006">
        <v>1005</v>
      </c>
      <c r="B1006" t="s">
        <v>3171</v>
      </c>
      <c r="C1006" t="s">
        <v>3172</v>
      </c>
      <c r="D1006" t="s">
        <v>3171</v>
      </c>
      <c r="E1006" t="s">
        <v>24</v>
      </c>
      <c r="G1006" t="str">
        <f>_xlfn.XLOOKUP(frasest[[#This Row],[author_es]],autorest[author_es],autorest[author_la])</f>
        <v>Sententia Hispanica</v>
      </c>
      <c r="H1006" t="str">
        <f>_xlfn.XLOOKUP(frasest[[#This Row],[author_es]],autorest[author_es],autorest[bio_es])</f>
        <v>Refranes populares de la tradición oral hispana que expresan de forma breve y ingeniosa enseñanzas prácticas sobre la vida cotidiana.</v>
      </c>
      <c r="I1006" t="str">
        <f>_xlfn.XLOOKUP(frasest[[#This Row],[author_es]],autorest[author_es],autorest[bio_la])</f>
        <v>Collectio sententiarum Hispanicarum.</v>
      </c>
      <c r="J1006" t="str">
        <f>_xlfn.XLOOKUP(frasest[[#This Row],[author_es]],autorest[author_es],autorest[iso3691])</f>
        <v>es</v>
      </c>
      <c r="K1006" t="str">
        <f>_xlfn.XLOOKUP(frasest[[#This Row],[author_es]],autorest[author_es],autorest[language_es])</f>
        <v>Español</v>
      </c>
      <c r="L1006" t="str">
        <f>_xlfn.XLOOKUP(frasest[[#This Row],[author_es]],autorest[author_es],autorest[language_la])</f>
        <v>Lingua Hispanica</v>
      </c>
      <c r="M1006" t="str">
        <f>_xlfn.XLOOKUP(frasest[[#This Row],[author_es]],autorest[author_es],autorest[nation_es])</f>
        <v>España</v>
      </c>
      <c r="N1006" t="str">
        <f>_xlfn.XLOOKUP(frasest[[#This Row],[author_es]],autorest[author_es],autorest[nation_la])</f>
        <v>Hispania</v>
      </c>
      <c r="O1006" t="str">
        <f>_xlfn.XLOOKUP(frasest[[#This Row],[author_es]],autorest[author_es],autorest[age_es])</f>
        <v>Epoca Desconocida</v>
      </c>
      <c r="P1006" t="str">
        <f>_xlfn.XLOOKUP(frasest[[#This Row],[author_es]],autorest[author_es],autorest[age_la])</f>
        <v>Epocha Ignota</v>
      </c>
      <c r="Q1006" t="str">
        <f>_xlfn.XLOOKUP(frasest[[#This Row],[author_es]],autorest[author_es],autorest[image])</f>
        <v>https://i.ibb.co/Y4f7TZWm/espa-a.png</v>
      </c>
      <c r="R1006">
        <f>_xlfn.XLOOKUP(frasest[[#This Row],[author_es]],autorest[author_es],autorest[image_atr])</f>
        <v>0</v>
      </c>
    </row>
    <row r="1007" spans="1:18">
      <c r="A1007">
        <v>1006</v>
      </c>
      <c r="B1007" t="s">
        <v>3173</v>
      </c>
      <c r="C1007" t="s">
        <v>3174</v>
      </c>
      <c r="D1007" t="s">
        <v>3173</v>
      </c>
      <c r="E1007" t="s">
        <v>24</v>
      </c>
      <c r="G1007" t="str">
        <f>_xlfn.XLOOKUP(frasest[[#This Row],[author_es]],autorest[author_es],autorest[author_la])</f>
        <v>Sententia Hispanica</v>
      </c>
      <c r="H1007" t="str">
        <f>_xlfn.XLOOKUP(frasest[[#This Row],[author_es]],autorest[author_es],autorest[bio_es])</f>
        <v>Refranes populares de la tradición oral hispana que expresan de forma breve y ingeniosa enseñanzas prácticas sobre la vida cotidiana.</v>
      </c>
      <c r="I1007" t="str">
        <f>_xlfn.XLOOKUP(frasest[[#This Row],[author_es]],autorest[author_es],autorest[bio_la])</f>
        <v>Collectio sententiarum Hispanicarum.</v>
      </c>
      <c r="J1007" t="str">
        <f>_xlfn.XLOOKUP(frasest[[#This Row],[author_es]],autorest[author_es],autorest[iso3691])</f>
        <v>es</v>
      </c>
      <c r="K1007" t="str">
        <f>_xlfn.XLOOKUP(frasest[[#This Row],[author_es]],autorest[author_es],autorest[language_es])</f>
        <v>Español</v>
      </c>
      <c r="L1007" t="str">
        <f>_xlfn.XLOOKUP(frasest[[#This Row],[author_es]],autorest[author_es],autorest[language_la])</f>
        <v>Lingua Hispanica</v>
      </c>
      <c r="M1007" t="str">
        <f>_xlfn.XLOOKUP(frasest[[#This Row],[author_es]],autorest[author_es],autorest[nation_es])</f>
        <v>España</v>
      </c>
      <c r="N1007" t="str">
        <f>_xlfn.XLOOKUP(frasest[[#This Row],[author_es]],autorest[author_es],autorest[nation_la])</f>
        <v>Hispania</v>
      </c>
      <c r="O1007" t="str">
        <f>_xlfn.XLOOKUP(frasest[[#This Row],[author_es]],autorest[author_es],autorest[age_es])</f>
        <v>Epoca Desconocida</v>
      </c>
      <c r="P1007" t="str">
        <f>_xlfn.XLOOKUP(frasest[[#This Row],[author_es]],autorest[author_es],autorest[age_la])</f>
        <v>Epocha Ignota</v>
      </c>
      <c r="Q1007" t="str">
        <f>_xlfn.XLOOKUP(frasest[[#This Row],[author_es]],autorest[author_es],autorest[image])</f>
        <v>https://i.ibb.co/Y4f7TZWm/espa-a.png</v>
      </c>
      <c r="R1007">
        <f>_xlfn.XLOOKUP(frasest[[#This Row],[author_es]],autorest[author_es],autorest[image_atr])</f>
        <v>0</v>
      </c>
    </row>
    <row r="1008" spans="1:18">
      <c r="A1008">
        <v>1007</v>
      </c>
      <c r="B1008" t="s">
        <v>3175</v>
      </c>
      <c r="C1008" t="s">
        <v>3176</v>
      </c>
      <c r="D1008" t="s">
        <v>3175</v>
      </c>
      <c r="E1008" t="s">
        <v>24</v>
      </c>
      <c r="G1008" t="str">
        <f>_xlfn.XLOOKUP(frasest[[#This Row],[author_es]],autorest[author_es],autorest[author_la])</f>
        <v>Sententia Hispanica</v>
      </c>
      <c r="H1008" t="str">
        <f>_xlfn.XLOOKUP(frasest[[#This Row],[author_es]],autorest[author_es],autorest[bio_es])</f>
        <v>Refranes populares de la tradición oral hispana que expresan de forma breve y ingeniosa enseñanzas prácticas sobre la vida cotidiana.</v>
      </c>
      <c r="I1008" t="str">
        <f>_xlfn.XLOOKUP(frasest[[#This Row],[author_es]],autorest[author_es],autorest[bio_la])</f>
        <v>Collectio sententiarum Hispanicarum.</v>
      </c>
      <c r="J1008" t="str">
        <f>_xlfn.XLOOKUP(frasest[[#This Row],[author_es]],autorest[author_es],autorest[iso3691])</f>
        <v>es</v>
      </c>
      <c r="K1008" t="str">
        <f>_xlfn.XLOOKUP(frasest[[#This Row],[author_es]],autorest[author_es],autorest[language_es])</f>
        <v>Español</v>
      </c>
      <c r="L1008" t="str">
        <f>_xlfn.XLOOKUP(frasest[[#This Row],[author_es]],autorest[author_es],autorest[language_la])</f>
        <v>Lingua Hispanica</v>
      </c>
      <c r="M1008" t="str">
        <f>_xlfn.XLOOKUP(frasest[[#This Row],[author_es]],autorest[author_es],autorest[nation_es])</f>
        <v>España</v>
      </c>
      <c r="N1008" t="str">
        <f>_xlfn.XLOOKUP(frasest[[#This Row],[author_es]],autorest[author_es],autorest[nation_la])</f>
        <v>Hispania</v>
      </c>
      <c r="O1008" t="str">
        <f>_xlfn.XLOOKUP(frasest[[#This Row],[author_es]],autorest[author_es],autorest[age_es])</f>
        <v>Epoca Desconocida</v>
      </c>
      <c r="P1008" t="str">
        <f>_xlfn.XLOOKUP(frasest[[#This Row],[author_es]],autorest[author_es],autorest[age_la])</f>
        <v>Epocha Ignota</v>
      </c>
      <c r="Q1008" t="str">
        <f>_xlfn.XLOOKUP(frasest[[#This Row],[author_es]],autorest[author_es],autorest[image])</f>
        <v>https://i.ibb.co/Y4f7TZWm/espa-a.png</v>
      </c>
      <c r="R1008">
        <f>_xlfn.XLOOKUP(frasest[[#This Row],[author_es]],autorest[author_es],autorest[image_atr])</f>
        <v>0</v>
      </c>
    </row>
    <row r="1009" spans="1:18">
      <c r="A1009">
        <v>1008</v>
      </c>
      <c r="B1009" t="s">
        <v>3177</v>
      </c>
      <c r="C1009" t="s">
        <v>3178</v>
      </c>
      <c r="D1009" t="s">
        <v>3177</v>
      </c>
      <c r="E1009" t="s">
        <v>24</v>
      </c>
      <c r="G1009" t="str">
        <f>_xlfn.XLOOKUP(frasest[[#This Row],[author_es]],autorest[author_es],autorest[author_la])</f>
        <v>Sententia Hispanica</v>
      </c>
      <c r="H1009" t="str">
        <f>_xlfn.XLOOKUP(frasest[[#This Row],[author_es]],autorest[author_es],autorest[bio_es])</f>
        <v>Refranes populares de la tradición oral hispana que expresan de forma breve y ingeniosa enseñanzas prácticas sobre la vida cotidiana.</v>
      </c>
      <c r="I1009" t="str">
        <f>_xlfn.XLOOKUP(frasest[[#This Row],[author_es]],autorest[author_es],autorest[bio_la])</f>
        <v>Collectio sententiarum Hispanicarum.</v>
      </c>
      <c r="J1009" t="str">
        <f>_xlfn.XLOOKUP(frasest[[#This Row],[author_es]],autorest[author_es],autorest[iso3691])</f>
        <v>es</v>
      </c>
      <c r="K1009" t="str">
        <f>_xlfn.XLOOKUP(frasest[[#This Row],[author_es]],autorest[author_es],autorest[language_es])</f>
        <v>Español</v>
      </c>
      <c r="L1009" t="str">
        <f>_xlfn.XLOOKUP(frasest[[#This Row],[author_es]],autorest[author_es],autorest[language_la])</f>
        <v>Lingua Hispanica</v>
      </c>
      <c r="M1009" t="str">
        <f>_xlfn.XLOOKUP(frasest[[#This Row],[author_es]],autorest[author_es],autorest[nation_es])</f>
        <v>España</v>
      </c>
      <c r="N1009" t="str">
        <f>_xlfn.XLOOKUP(frasest[[#This Row],[author_es]],autorest[author_es],autorest[nation_la])</f>
        <v>Hispania</v>
      </c>
      <c r="O1009" t="str">
        <f>_xlfn.XLOOKUP(frasest[[#This Row],[author_es]],autorest[author_es],autorest[age_es])</f>
        <v>Epoca Desconocida</v>
      </c>
      <c r="P1009" t="str">
        <f>_xlfn.XLOOKUP(frasest[[#This Row],[author_es]],autorest[author_es],autorest[age_la])</f>
        <v>Epocha Ignota</v>
      </c>
      <c r="Q1009" t="str">
        <f>_xlfn.XLOOKUP(frasest[[#This Row],[author_es]],autorest[author_es],autorest[image])</f>
        <v>https://i.ibb.co/Y4f7TZWm/espa-a.png</v>
      </c>
      <c r="R1009">
        <f>_xlfn.XLOOKUP(frasest[[#This Row],[author_es]],autorest[author_es],autorest[image_atr])</f>
        <v>0</v>
      </c>
    </row>
    <row r="1010" spans="1:18">
      <c r="A1010">
        <v>1009</v>
      </c>
      <c r="B1010" t="s">
        <v>3179</v>
      </c>
      <c r="C1010" t="s">
        <v>3180</v>
      </c>
      <c r="D1010" t="s">
        <v>3179</v>
      </c>
      <c r="E1010" t="s">
        <v>24</v>
      </c>
      <c r="G1010" t="str">
        <f>_xlfn.XLOOKUP(frasest[[#This Row],[author_es]],autorest[author_es],autorest[author_la])</f>
        <v>Sententia Hispanica</v>
      </c>
      <c r="H1010" t="str">
        <f>_xlfn.XLOOKUP(frasest[[#This Row],[author_es]],autorest[author_es],autorest[bio_es])</f>
        <v>Refranes populares de la tradición oral hispana que expresan de forma breve y ingeniosa enseñanzas prácticas sobre la vida cotidiana.</v>
      </c>
      <c r="I1010" t="str">
        <f>_xlfn.XLOOKUP(frasest[[#This Row],[author_es]],autorest[author_es],autorest[bio_la])</f>
        <v>Collectio sententiarum Hispanicarum.</v>
      </c>
      <c r="J1010" t="str">
        <f>_xlfn.XLOOKUP(frasest[[#This Row],[author_es]],autorest[author_es],autorest[iso3691])</f>
        <v>es</v>
      </c>
      <c r="K1010" t="str">
        <f>_xlfn.XLOOKUP(frasest[[#This Row],[author_es]],autorest[author_es],autorest[language_es])</f>
        <v>Español</v>
      </c>
      <c r="L1010" t="str">
        <f>_xlfn.XLOOKUP(frasest[[#This Row],[author_es]],autorest[author_es],autorest[language_la])</f>
        <v>Lingua Hispanica</v>
      </c>
      <c r="M1010" t="str">
        <f>_xlfn.XLOOKUP(frasest[[#This Row],[author_es]],autorest[author_es],autorest[nation_es])</f>
        <v>España</v>
      </c>
      <c r="N1010" t="str">
        <f>_xlfn.XLOOKUP(frasest[[#This Row],[author_es]],autorest[author_es],autorest[nation_la])</f>
        <v>Hispania</v>
      </c>
      <c r="O1010" t="str">
        <f>_xlfn.XLOOKUP(frasest[[#This Row],[author_es]],autorest[author_es],autorest[age_es])</f>
        <v>Epoca Desconocida</v>
      </c>
      <c r="P1010" t="str">
        <f>_xlfn.XLOOKUP(frasest[[#This Row],[author_es]],autorest[author_es],autorest[age_la])</f>
        <v>Epocha Ignota</v>
      </c>
      <c r="Q1010" t="str">
        <f>_xlfn.XLOOKUP(frasest[[#This Row],[author_es]],autorest[author_es],autorest[image])</f>
        <v>https://i.ibb.co/Y4f7TZWm/espa-a.png</v>
      </c>
      <c r="R1010">
        <f>_xlfn.XLOOKUP(frasest[[#This Row],[author_es]],autorest[author_es],autorest[image_atr])</f>
        <v>0</v>
      </c>
    </row>
    <row r="1011" spans="1:18">
      <c r="A1011">
        <v>1010</v>
      </c>
      <c r="B1011" t="s">
        <v>3181</v>
      </c>
      <c r="C1011" t="s">
        <v>3182</v>
      </c>
      <c r="D1011" t="s">
        <v>3181</v>
      </c>
      <c r="E1011" t="s">
        <v>24</v>
      </c>
      <c r="G1011" t="str">
        <f>_xlfn.XLOOKUP(frasest[[#This Row],[author_es]],autorest[author_es],autorest[author_la])</f>
        <v>Sententia Hispanica</v>
      </c>
      <c r="H1011" t="str">
        <f>_xlfn.XLOOKUP(frasest[[#This Row],[author_es]],autorest[author_es],autorest[bio_es])</f>
        <v>Refranes populares de la tradición oral hispana que expresan de forma breve y ingeniosa enseñanzas prácticas sobre la vida cotidiana.</v>
      </c>
      <c r="I1011" t="str">
        <f>_xlfn.XLOOKUP(frasest[[#This Row],[author_es]],autorest[author_es],autorest[bio_la])</f>
        <v>Collectio sententiarum Hispanicarum.</v>
      </c>
      <c r="J1011" t="str">
        <f>_xlfn.XLOOKUP(frasest[[#This Row],[author_es]],autorest[author_es],autorest[iso3691])</f>
        <v>es</v>
      </c>
      <c r="K1011" t="str">
        <f>_xlfn.XLOOKUP(frasest[[#This Row],[author_es]],autorest[author_es],autorest[language_es])</f>
        <v>Español</v>
      </c>
      <c r="L1011" t="str">
        <f>_xlfn.XLOOKUP(frasest[[#This Row],[author_es]],autorest[author_es],autorest[language_la])</f>
        <v>Lingua Hispanica</v>
      </c>
      <c r="M1011" t="str">
        <f>_xlfn.XLOOKUP(frasest[[#This Row],[author_es]],autorest[author_es],autorest[nation_es])</f>
        <v>España</v>
      </c>
      <c r="N1011" t="str">
        <f>_xlfn.XLOOKUP(frasest[[#This Row],[author_es]],autorest[author_es],autorest[nation_la])</f>
        <v>Hispania</v>
      </c>
      <c r="O1011" t="str">
        <f>_xlfn.XLOOKUP(frasest[[#This Row],[author_es]],autorest[author_es],autorest[age_es])</f>
        <v>Epoca Desconocida</v>
      </c>
      <c r="P1011" t="str">
        <f>_xlfn.XLOOKUP(frasest[[#This Row],[author_es]],autorest[author_es],autorest[age_la])</f>
        <v>Epocha Ignota</v>
      </c>
      <c r="Q1011" t="str">
        <f>_xlfn.XLOOKUP(frasest[[#This Row],[author_es]],autorest[author_es],autorest[image])</f>
        <v>https://i.ibb.co/Y4f7TZWm/espa-a.png</v>
      </c>
      <c r="R1011">
        <f>_xlfn.XLOOKUP(frasest[[#This Row],[author_es]],autorest[author_es],autorest[image_atr])</f>
        <v>0</v>
      </c>
    </row>
    <row r="1012" spans="1:18">
      <c r="A1012">
        <v>1011</v>
      </c>
      <c r="B1012" t="s">
        <v>3183</v>
      </c>
      <c r="C1012" t="s">
        <v>3106</v>
      </c>
      <c r="D1012" t="s">
        <v>3183</v>
      </c>
      <c r="E1012" t="s">
        <v>24</v>
      </c>
      <c r="G1012" t="str">
        <f>_xlfn.XLOOKUP(frasest[[#This Row],[author_es]],autorest[author_es],autorest[author_la])</f>
        <v>Sententia Hispanica</v>
      </c>
      <c r="H1012" t="str">
        <f>_xlfn.XLOOKUP(frasest[[#This Row],[author_es]],autorest[author_es],autorest[bio_es])</f>
        <v>Refranes populares de la tradición oral hispana que expresan de forma breve y ingeniosa enseñanzas prácticas sobre la vida cotidiana.</v>
      </c>
      <c r="I1012" t="str">
        <f>_xlfn.XLOOKUP(frasest[[#This Row],[author_es]],autorest[author_es],autorest[bio_la])</f>
        <v>Collectio sententiarum Hispanicarum.</v>
      </c>
      <c r="J1012" t="str">
        <f>_xlfn.XLOOKUP(frasest[[#This Row],[author_es]],autorest[author_es],autorest[iso3691])</f>
        <v>es</v>
      </c>
      <c r="K1012" t="str">
        <f>_xlfn.XLOOKUP(frasest[[#This Row],[author_es]],autorest[author_es],autorest[language_es])</f>
        <v>Español</v>
      </c>
      <c r="L1012" t="str">
        <f>_xlfn.XLOOKUP(frasest[[#This Row],[author_es]],autorest[author_es],autorest[language_la])</f>
        <v>Lingua Hispanica</v>
      </c>
      <c r="M1012" t="str">
        <f>_xlfn.XLOOKUP(frasest[[#This Row],[author_es]],autorest[author_es],autorest[nation_es])</f>
        <v>España</v>
      </c>
      <c r="N1012" t="str">
        <f>_xlfn.XLOOKUP(frasest[[#This Row],[author_es]],autorest[author_es],autorest[nation_la])</f>
        <v>Hispania</v>
      </c>
      <c r="O1012" t="str">
        <f>_xlfn.XLOOKUP(frasest[[#This Row],[author_es]],autorest[author_es],autorest[age_es])</f>
        <v>Epoca Desconocida</v>
      </c>
      <c r="P1012" t="str">
        <f>_xlfn.XLOOKUP(frasest[[#This Row],[author_es]],autorest[author_es],autorest[age_la])</f>
        <v>Epocha Ignota</v>
      </c>
      <c r="Q1012" t="str">
        <f>_xlfn.XLOOKUP(frasest[[#This Row],[author_es]],autorest[author_es],autorest[image])</f>
        <v>https://i.ibb.co/Y4f7TZWm/espa-a.png</v>
      </c>
      <c r="R1012">
        <f>_xlfn.XLOOKUP(frasest[[#This Row],[author_es]],autorest[author_es],autorest[image_atr])</f>
        <v>0</v>
      </c>
    </row>
    <row r="1013" spans="1:18">
      <c r="A1013">
        <v>1012</v>
      </c>
      <c r="B1013" t="s">
        <v>3184</v>
      </c>
      <c r="C1013" t="s">
        <v>3185</v>
      </c>
      <c r="D1013" t="s">
        <v>3184</v>
      </c>
      <c r="E1013" t="s">
        <v>24</v>
      </c>
      <c r="G1013" t="str">
        <f>_xlfn.XLOOKUP(frasest[[#This Row],[author_es]],autorest[author_es],autorest[author_la])</f>
        <v>Sententia Hispanica</v>
      </c>
      <c r="H1013" t="str">
        <f>_xlfn.XLOOKUP(frasest[[#This Row],[author_es]],autorest[author_es],autorest[bio_es])</f>
        <v>Refranes populares de la tradición oral hispana que expresan de forma breve y ingeniosa enseñanzas prácticas sobre la vida cotidiana.</v>
      </c>
      <c r="I1013" t="str">
        <f>_xlfn.XLOOKUP(frasest[[#This Row],[author_es]],autorest[author_es],autorest[bio_la])</f>
        <v>Collectio sententiarum Hispanicarum.</v>
      </c>
      <c r="J1013" t="str">
        <f>_xlfn.XLOOKUP(frasest[[#This Row],[author_es]],autorest[author_es],autorest[iso3691])</f>
        <v>es</v>
      </c>
      <c r="K1013" t="str">
        <f>_xlfn.XLOOKUP(frasest[[#This Row],[author_es]],autorest[author_es],autorest[language_es])</f>
        <v>Español</v>
      </c>
      <c r="L1013" t="str">
        <f>_xlfn.XLOOKUP(frasest[[#This Row],[author_es]],autorest[author_es],autorest[language_la])</f>
        <v>Lingua Hispanica</v>
      </c>
      <c r="M1013" t="str">
        <f>_xlfn.XLOOKUP(frasest[[#This Row],[author_es]],autorest[author_es],autorest[nation_es])</f>
        <v>España</v>
      </c>
      <c r="N1013" t="str">
        <f>_xlfn.XLOOKUP(frasest[[#This Row],[author_es]],autorest[author_es],autorest[nation_la])</f>
        <v>Hispania</v>
      </c>
      <c r="O1013" t="str">
        <f>_xlfn.XLOOKUP(frasest[[#This Row],[author_es]],autorest[author_es],autorest[age_es])</f>
        <v>Epoca Desconocida</v>
      </c>
      <c r="P1013" t="str">
        <f>_xlfn.XLOOKUP(frasest[[#This Row],[author_es]],autorest[author_es],autorest[age_la])</f>
        <v>Epocha Ignota</v>
      </c>
      <c r="Q1013" t="str">
        <f>_xlfn.XLOOKUP(frasest[[#This Row],[author_es]],autorest[author_es],autorest[image])</f>
        <v>https://i.ibb.co/Y4f7TZWm/espa-a.png</v>
      </c>
      <c r="R1013">
        <f>_xlfn.XLOOKUP(frasest[[#This Row],[author_es]],autorest[author_es],autorest[image_atr])</f>
        <v>0</v>
      </c>
    </row>
    <row r="1014" spans="1:18">
      <c r="A1014">
        <v>1013</v>
      </c>
      <c r="B1014" t="s">
        <v>3186</v>
      </c>
      <c r="C1014" t="s">
        <v>3187</v>
      </c>
      <c r="D1014" t="s">
        <v>3186</v>
      </c>
      <c r="E1014" t="s">
        <v>24</v>
      </c>
      <c r="G1014" t="str">
        <f>_xlfn.XLOOKUP(frasest[[#This Row],[author_es]],autorest[author_es],autorest[author_la])</f>
        <v>Sententia Hispanica</v>
      </c>
      <c r="H1014" t="str">
        <f>_xlfn.XLOOKUP(frasest[[#This Row],[author_es]],autorest[author_es],autorest[bio_es])</f>
        <v>Refranes populares de la tradición oral hispana que expresan de forma breve y ingeniosa enseñanzas prácticas sobre la vida cotidiana.</v>
      </c>
      <c r="I1014" t="str">
        <f>_xlfn.XLOOKUP(frasest[[#This Row],[author_es]],autorest[author_es],autorest[bio_la])</f>
        <v>Collectio sententiarum Hispanicarum.</v>
      </c>
      <c r="J1014" t="str">
        <f>_xlfn.XLOOKUP(frasest[[#This Row],[author_es]],autorest[author_es],autorest[iso3691])</f>
        <v>es</v>
      </c>
      <c r="K1014" t="str">
        <f>_xlfn.XLOOKUP(frasest[[#This Row],[author_es]],autorest[author_es],autorest[language_es])</f>
        <v>Español</v>
      </c>
      <c r="L1014" t="str">
        <f>_xlfn.XLOOKUP(frasest[[#This Row],[author_es]],autorest[author_es],autorest[language_la])</f>
        <v>Lingua Hispanica</v>
      </c>
      <c r="M1014" t="str">
        <f>_xlfn.XLOOKUP(frasest[[#This Row],[author_es]],autorest[author_es],autorest[nation_es])</f>
        <v>España</v>
      </c>
      <c r="N1014" t="str">
        <f>_xlfn.XLOOKUP(frasest[[#This Row],[author_es]],autorest[author_es],autorest[nation_la])</f>
        <v>Hispania</v>
      </c>
      <c r="O1014" t="str">
        <f>_xlfn.XLOOKUP(frasest[[#This Row],[author_es]],autorest[author_es],autorest[age_es])</f>
        <v>Epoca Desconocida</v>
      </c>
      <c r="P1014" t="str">
        <f>_xlfn.XLOOKUP(frasest[[#This Row],[author_es]],autorest[author_es],autorest[age_la])</f>
        <v>Epocha Ignota</v>
      </c>
      <c r="Q1014" t="str">
        <f>_xlfn.XLOOKUP(frasest[[#This Row],[author_es]],autorest[author_es],autorest[image])</f>
        <v>https://i.ibb.co/Y4f7TZWm/espa-a.png</v>
      </c>
      <c r="R1014">
        <f>_xlfn.XLOOKUP(frasest[[#This Row],[author_es]],autorest[author_es],autorest[image_atr])</f>
        <v>0</v>
      </c>
    </row>
    <row r="1015" spans="1:18">
      <c r="A1015">
        <v>1014</v>
      </c>
      <c r="B1015" t="s">
        <v>3188</v>
      </c>
      <c r="C1015" t="s">
        <v>3189</v>
      </c>
      <c r="D1015" t="s">
        <v>3188</v>
      </c>
      <c r="E1015" t="s">
        <v>24</v>
      </c>
      <c r="G1015" t="str">
        <f>_xlfn.XLOOKUP(frasest[[#This Row],[author_es]],autorest[author_es],autorest[author_la])</f>
        <v>Sententia Hispanica</v>
      </c>
      <c r="H1015" t="str">
        <f>_xlfn.XLOOKUP(frasest[[#This Row],[author_es]],autorest[author_es],autorest[bio_es])</f>
        <v>Refranes populares de la tradición oral hispana que expresan de forma breve y ingeniosa enseñanzas prácticas sobre la vida cotidiana.</v>
      </c>
      <c r="I1015" t="str">
        <f>_xlfn.XLOOKUP(frasest[[#This Row],[author_es]],autorest[author_es],autorest[bio_la])</f>
        <v>Collectio sententiarum Hispanicarum.</v>
      </c>
      <c r="J1015" t="str">
        <f>_xlfn.XLOOKUP(frasest[[#This Row],[author_es]],autorest[author_es],autorest[iso3691])</f>
        <v>es</v>
      </c>
      <c r="K1015" t="str">
        <f>_xlfn.XLOOKUP(frasest[[#This Row],[author_es]],autorest[author_es],autorest[language_es])</f>
        <v>Español</v>
      </c>
      <c r="L1015" t="str">
        <f>_xlfn.XLOOKUP(frasest[[#This Row],[author_es]],autorest[author_es],autorest[language_la])</f>
        <v>Lingua Hispanica</v>
      </c>
      <c r="M1015" t="str">
        <f>_xlfn.XLOOKUP(frasest[[#This Row],[author_es]],autorest[author_es],autorest[nation_es])</f>
        <v>España</v>
      </c>
      <c r="N1015" t="str">
        <f>_xlfn.XLOOKUP(frasest[[#This Row],[author_es]],autorest[author_es],autorest[nation_la])</f>
        <v>Hispania</v>
      </c>
      <c r="O1015" t="str">
        <f>_xlfn.XLOOKUP(frasest[[#This Row],[author_es]],autorest[author_es],autorest[age_es])</f>
        <v>Epoca Desconocida</v>
      </c>
      <c r="P1015" t="str">
        <f>_xlfn.XLOOKUP(frasest[[#This Row],[author_es]],autorest[author_es],autorest[age_la])</f>
        <v>Epocha Ignota</v>
      </c>
      <c r="Q1015" t="str">
        <f>_xlfn.XLOOKUP(frasest[[#This Row],[author_es]],autorest[author_es],autorest[image])</f>
        <v>https://i.ibb.co/Y4f7TZWm/espa-a.png</v>
      </c>
      <c r="R1015">
        <f>_xlfn.XLOOKUP(frasest[[#This Row],[author_es]],autorest[author_es],autorest[image_atr])</f>
        <v>0</v>
      </c>
    </row>
    <row r="1016" spans="1:18">
      <c r="A1016">
        <v>1015</v>
      </c>
      <c r="B1016" t="s">
        <v>3155</v>
      </c>
      <c r="C1016" t="s">
        <v>3156</v>
      </c>
      <c r="D1016" t="s">
        <v>3155</v>
      </c>
      <c r="E1016" t="s">
        <v>24</v>
      </c>
      <c r="G1016" t="str">
        <f>_xlfn.XLOOKUP(frasest[[#This Row],[author_es]],autorest[author_es],autorest[author_la])</f>
        <v>Sententia Hispanica</v>
      </c>
      <c r="H1016" t="str">
        <f>_xlfn.XLOOKUP(frasest[[#This Row],[author_es]],autorest[author_es],autorest[bio_es])</f>
        <v>Refranes populares de la tradición oral hispana que expresan de forma breve y ingeniosa enseñanzas prácticas sobre la vida cotidiana.</v>
      </c>
      <c r="I1016" t="str">
        <f>_xlfn.XLOOKUP(frasest[[#This Row],[author_es]],autorest[author_es],autorest[bio_la])</f>
        <v>Collectio sententiarum Hispanicarum.</v>
      </c>
      <c r="J1016" t="str">
        <f>_xlfn.XLOOKUP(frasest[[#This Row],[author_es]],autorest[author_es],autorest[iso3691])</f>
        <v>es</v>
      </c>
      <c r="K1016" t="str">
        <f>_xlfn.XLOOKUP(frasest[[#This Row],[author_es]],autorest[author_es],autorest[language_es])</f>
        <v>Español</v>
      </c>
      <c r="L1016" t="str">
        <f>_xlfn.XLOOKUP(frasest[[#This Row],[author_es]],autorest[author_es],autorest[language_la])</f>
        <v>Lingua Hispanica</v>
      </c>
      <c r="M1016" t="str">
        <f>_xlfn.XLOOKUP(frasest[[#This Row],[author_es]],autorest[author_es],autorest[nation_es])</f>
        <v>España</v>
      </c>
      <c r="N1016" t="str">
        <f>_xlfn.XLOOKUP(frasest[[#This Row],[author_es]],autorest[author_es],autorest[nation_la])</f>
        <v>Hispania</v>
      </c>
      <c r="O1016" t="str">
        <f>_xlfn.XLOOKUP(frasest[[#This Row],[author_es]],autorest[author_es],autorest[age_es])</f>
        <v>Epoca Desconocida</v>
      </c>
      <c r="P1016" t="str">
        <f>_xlfn.XLOOKUP(frasest[[#This Row],[author_es]],autorest[author_es],autorest[age_la])</f>
        <v>Epocha Ignota</v>
      </c>
      <c r="Q1016" t="str">
        <f>_xlfn.XLOOKUP(frasest[[#This Row],[author_es]],autorest[author_es],autorest[image])</f>
        <v>https://i.ibb.co/Y4f7TZWm/espa-a.png</v>
      </c>
      <c r="R1016">
        <f>_xlfn.XLOOKUP(frasest[[#This Row],[author_es]],autorest[author_es],autorest[image_atr])</f>
        <v>0</v>
      </c>
    </row>
    <row r="1017" spans="1:18">
      <c r="A1017">
        <v>1016</v>
      </c>
      <c r="B1017" t="s">
        <v>3190</v>
      </c>
      <c r="C1017" t="s">
        <v>3191</v>
      </c>
      <c r="D1017" t="s">
        <v>3190</v>
      </c>
      <c r="E1017" t="s">
        <v>24</v>
      </c>
      <c r="G1017" t="str">
        <f>_xlfn.XLOOKUP(frasest[[#This Row],[author_es]],autorest[author_es],autorest[author_la])</f>
        <v>Sententia Hispanica</v>
      </c>
      <c r="H1017" t="str">
        <f>_xlfn.XLOOKUP(frasest[[#This Row],[author_es]],autorest[author_es],autorest[bio_es])</f>
        <v>Refranes populares de la tradición oral hispana que expresan de forma breve y ingeniosa enseñanzas prácticas sobre la vida cotidiana.</v>
      </c>
      <c r="I1017" t="str">
        <f>_xlfn.XLOOKUP(frasest[[#This Row],[author_es]],autorest[author_es],autorest[bio_la])</f>
        <v>Collectio sententiarum Hispanicarum.</v>
      </c>
      <c r="J1017" t="str">
        <f>_xlfn.XLOOKUP(frasest[[#This Row],[author_es]],autorest[author_es],autorest[iso3691])</f>
        <v>es</v>
      </c>
      <c r="K1017" t="str">
        <f>_xlfn.XLOOKUP(frasest[[#This Row],[author_es]],autorest[author_es],autorest[language_es])</f>
        <v>Español</v>
      </c>
      <c r="L1017" t="str">
        <f>_xlfn.XLOOKUP(frasest[[#This Row],[author_es]],autorest[author_es],autorest[language_la])</f>
        <v>Lingua Hispanica</v>
      </c>
      <c r="M1017" t="str">
        <f>_xlfn.XLOOKUP(frasest[[#This Row],[author_es]],autorest[author_es],autorest[nation_es])</f>
        <v>España</v>
      </c>
      <c r="N1017" t="str">
        <f>_xlfn.XLOOKUP(frasest[[#This Row],[author_es]],autorest[author_es],autorest[nation_la])</f>
        <v>Hispania</v>
      </c>
      <c r="O1017" t="str">
        <f>_xlfn.XLOOKUP(frasest[[#This Row],[author_es]],autorest[author_es],autorest[age_es])</f>
        <v>Epoca Desconocida</v>
      </c>
      <c r="P1017" t="str">
        <f>_xlfn.XLOOKUP(frasest[[#This Row],[author_es]],autorest[author_es],autorest[age_la])</f>
        <v>Epocha Ignota</v>
      </c>
      <c r="Q1017" t="str">
        <f>_xlfn.XLOOKUP(frasest[[#This Row],[author_es]],autorest[author_es],autorest[image])</f>
        <v>https://i.ibb.co/Y4f7TZWm/espa-a.png</v>
      </c>
      <c r="R1017">
        <f>_xlfn.XLOOKUP(frasest[[#This Row],[author_es]],autorest[author_es],autorest[image_atr])</f>
        <v>0</v>
      </c>
    </row>
    <row r="1018" spans="1:18">
      <c r="A1018">
        <v>1017</v>
      </c>
      <c r="B1018" t="s">
        <v>3192</v>
      </c>
      <c r="C1018" t="s">
        <v>3193</v>
      </c>
      <c r="D1018" t="s">
        <v>3192</v>
      </c>
      <c r="E1018" t="s">
        <v>24</v>
      </c>
      <c r="G1018" t="str">
        <f>_xlfn.XLOOKUP(frasest[[#This Row],[author_es]],autorest[author_es],autorest[author_la])</f>
        <v>Sententia Hispanica</v>
      </c>
      <c r="H1018" t="str">
        <f>_xlfn.XLOOKUP(frasest[[#This Row],[author_es]],autorest[author_es],autorest[bio_es])</f>
        <v>Refranes populares de la tradición oral hispana que expresan de forma breve y ingeniosa enseñanzas prácticas sobre la vida cotidiana.</v>
      </c>
      <c r="I1018" t="str">
        <f>_xlfn.XLOOKUP(frasest[[#This Row],[author_es]],autorest[author_es],autorest[bio_la])</f>
        <v>Collectio sententiarum Hispanicarum.</v>
      </c>
      <c r="J1018" t="str">
        <f>_xlfn.XLOOKUP(frasest[[#This Row],[author_es]],autorest[author_es],autorest[iso3691])</f>
        <v>es</v>
      </c>
      <c r="K1018" t="str">
        <f>_xlfn.XLOOKUP(frasest[[#This Row],[author_es]],autorest[author_es],autorest[language_es])</f>
        <v>Español</v>
      </c>
      <c r="L1018" t="str">
        <f>_xlfn.XLOOKUP(frasest[[#This Row],[author_es]],autorest[author_es],autorest[language_la])</f>
        <v>Lingua Hispanica</v>
      </c>
      <c r="M1018" t="str">
        <f>_xlfn.XLOOKUP(frasest[[#This Row],[author_es]],autorest[author_es],autorest[nation_es])</f>
        <v>España</v>
      </c>
      <c r="N1018" t="str">
        <f>_xlfn.XLOOKUP(frasest[[#This Row],[author_es]],autorest[author_es],autorest[nation_la])</f>
        <v>Hispania</v>
      </c>
      <c r="O1018" t="str">
        <f>_xlfn.XLOOKUP(frasest[[#This Row],[author_es]],autorest[author_es],autorest[age_es])</f>
        <v>Epoca Desconocida</v>
      </c>
      <c r="P1018" t="str">
        <f>_xlfn.XLOOKUP(frasest[[#This Row],[author_es]],autorest[author_es],autorest[age_la])</f>
        <v>Epocha Ignota</v>
      </c>
      <c r="Q1018" t="str">
        <f>_xlfn.XLOOKUP(frasest[[#This Row],[author_es]],autorest[author_es],autorest[image])</f>
        <v>https://i.ibb.co/Y4f7TZWm/espa-a.png</v>
      </c>
      <c r="R1018">
        <f>_xlfn.XLOOKUP(frasest[[#This Row],[author_es]],autorest[author_es],autorest[image_atr])</f>
        <v>0</v>
      </c>
    </row>
    <row r="1019" spans="1:18">
      <c r="A1019">
        <v>1018</v>
      </c>
      <c r="B1019" t="s">
        <v>3194</v>
      </c>
      <c r="C1019" t="s">
        <v>3195</v>
      </c>
      <c r="D1019" t="s">
        <v>3194</v>
      </c>
      <c r="E1019" t="s">
        <v>24</v>
      </c>
      <c r="G1019" t="str">
        <f>_xlfn.XLOOKUP(frasest[[#This Row],[author_es]],autorest[author_es],autorest[author_la])</f>
        <v>Sententia Hispanica</v>
      </c>
      <c r="H1019" t="str">
        <f>_xlfn.XLOOKUP(frasest[[#This Row],[author_es]],autorest[author_es],autorest[bio_es])</f>
        <v>Refranes populares de la tradición oral hispana que expresan de forma breve y ingeniosa enseñanzas prácticas sobre la vida cotidiana.</v>
      </c>
      <c r="I1019" t="str">
        <f>_xlfn.XLOOKUP(frasest[[#This Row],[author_es]],autorest[author_es],autorest[bio_la])</f>
        <v>Collectio sententiarum Hispanicarum.</v>
      </c>
      <c r="J1019" t="str">
        <f>_xlfn.XLOOKUP(frasest[[#This Row],[author_es]],autorest[author_es],autorest[iso3691])</f>
        <v>es</v>
      </c>
      <c r="K1019" t="str">
        <f>_xlfn.XLOOKUP(frasest[[#This Row],[author_es]],autorest[author_es],autorest[language_es])</f>
        <v>Español</v>
      </c>
      <c r="L1019" t="str">
        <f>_xlfn.XLOOKUP(frasest[[#This Row],[author_es]],autorest[author_es],autorest[language_la])</f>
        <v>Lingua Hispanica</v>
      </c>
      <c r="M1019" t="str">
        <f>_xlfn.XLOOKUP(frasest[[#This Row],[author_es]],autorest[author_es],autorest[nation_es])</f>
        <v>España</v>
      </c>
      <c r="N1019" t="str">
        <f>_xlfn.XLOOKUP(frasest[[#This Row],[author_es]],autorest[author_es],autorest[nation_la])</f>
        <v>Hispania</v>
      </c>
      <c r="O1019" t="str">
        <f>_xlfn.XLOOKUP(frasest[[#This Row],[author_es]],autorest[author_es],autorest[age_es])</f>
        <v>Epoca Desconocida</v>
      </c>
      <c r="P1019" t="str">
        <f>_xlfn.XLOOKUP(frasest[[#This Row],[author_es]],autorest[author_es],autorest[age_la])</f>
        <v>Epocha Ignota</v>
      </c>
      <c r="Q1019" t="str">
        <f>_xlfn.XLOOKUP(frasest[[#This Row],[author_es]],autorest[author_es],autorest[image])</f>
        <v>https://i.ibb.co/Y4f7TZWm/espa-a.png</v>
      </c>
      <c r="R1019">
        <f>_xlfn.XLOOKUP(frasest[[#This Row],[author_es]],autorest[author_es],autorest[image_atr])</f>
        <v>0</v>
      </c>
    </row>
    <row r="1020" spans="1:18">
      <c r="A1020">
        <v>1019</v>
      </c>
      <c r="B1020" t="s">
        <v>3196</v>
      </c>
      <c r="C1020" t="s">
        <v>3197</v>
      </c>
      <c r="D1020" t="s">
        <v>3196</v>
      </c>
      <c r="E1020" t="s">
        <v>24</v>
      </c>
      <c r="G1020" t="str">
        <f>_xlfn.XLOOKUP(frasest[[#This Row],[author_es]],autorest[author_es],autorest[author_la])</f>
        <v>Sententia Hispanica</v>
      </c>
      <c r="H1020" t="str">
        <f>_xlfn.XLOOKUP(frasest[[#This Row],[author_es]],autorest[author_es],autorest[bio_es])</f>
        <v>Refranes populares de la tradición oral hispana que expresan de forma breve y ingeniosa enseñanzas prácticas sobre la vida cotidiana.</v>
      </c>
      <c r="I1020" t="str">
        <f>_xlfn.XLOOKUP(frasest[[#This Row],[author_es]],autorest[author_es],autorest[bio_la])</f>
        <v>Collectio sententiarum Hispanicarum.</v>
      </c>
      <c r="J1020" t="str">
        <f>_xlfn.XLOOKUP(frasest[[#This Row],[author_es]],autorest[author_es],autorest[iso3691])</f>
        <v>es</v>
      </c>
      <c r="K1020" t="str">
        <f>_xlfn.XLOOKUP(frasest[[#This Row],[author_es]],autorest[author_es],autorest[language_es])</f>
        <v>Español</v>
      </c>
      <c r="L1020" t="str">
        <f>_xlfn.XLOOKUP(frasest[[#This Row],[author_es]],autorest[author_es],autorest[language_la])</f>
        <v>Lingua Hispanica</v>
      </c>
      <c r="M1020" t="str">
        <f>_xlfn.XLOOKUP(frasest[[#This Row],[author_es]],autorest[author_es],autorest[nation_es])</f>
        <v>España</v>
      </c>
      <c r="N1020" t="str">
        <f>_xlfn.XLOOKUP(frasest[[#This Row],[author_es]],autorest[author_es],autorest[nation_la])</f>
        <v>Hispania</v>
      </c>
      <c r="O1020" t="str">
        <f>_xlfn.XLOOKUP(frasest[[#This Row],[author_es]],autorest[author_es],autorest[age_es])</f>
        <v>Epoca Desconocida</v>
      </c>
      <c r="P1020" t="str">
        <f>_xlfn.XLOOKUP(frasest[[#This Row],[author_es]],autorest[author_es],autorest[age_la])</f>
        <v>Epocha Ignota</v>
      </c>
      <c r="Q1020" t="str">
        <f>_xlfn.XLOOKUP(frasest[[#This Row],[author_es]],autorest[author_es],autorest[image])</f>
        <v>https://i.ibb.co/Y4f7TZWm/espa-a.png</v>
      </c>
      <c r="R1020">
        <f>_xlfn.XLOOKUP(frasest[[#This Row],[author_es]],autorest[author_es],autorest[image_atr])</f>
        <v>0</v>
      </c>
    </row>
    <row r="1021" spans="1:18">
      <c r="A1021">
        <v>1020</v>
      </c>
      <c r="B1021" t="s">
        <v>3198</v>
      </c>
      <c r="C1021" t="s">
        <v>3199</v>
      </c>
      <c r="D1021" t="s">
        <v>3198</v>
      </c>
      <c r="E1021" t="s">
        <v>24</v>
      </c>
      <c r="G1021" t="str">
        <f>_xlfn.XLOOKUP(frasest[[#This Row],[author_es]],autorest[author_es],autorest[author_la])</f>
        <v>Sententia Hispanica</v>
      </c>
      <c r="H1021" t="str">
        <f>_xlfn.XLOOKUP(frasest[[#This Row],[author_es]],autorest[author_es],autorest[bio_es])</f>
        <v>Refranes populares de la tradición oral hispana que expresan de forma breve y ingeniosa enseñanzas prácticas sobre la vida cotidiana.</v>
      </c>
      <c r="I1021" t="str">
        <f>_xlfn.XLOOKUP(frasest[[#This Row],[author_es]],autorest[author_es],autorest[bio_la])</f>
        <v>Collectio sententiarum Hispanicarum.</v>
      </c>
      <c r="J1021" t="str">
        <f>_xlfn.XLOOKUP(frasest[[#This Row],[author_es]],autorest[author_es],autorest[iso3691])</f>
        <v>es</v>
      </c>
      <c r="K1021" t="str">
        <f>_xlfn.XLOOKUP(frasest[[#This Row],[author_es]],autorest[author_es],autorest[language_es])</f>
        <v>Español</v>
      </c>
      <c r="L1021" t="str">
        <f>_xlfn.XLOOKUP(frasest[[#This Row],[author_es]],autorest[author_es],autorest[language_la])</f>
        <v>Lingua Hispanica</v>
      </c>
      <c r="M1021" t="str">
        <f>_xlfn.XLOOKUP(frasest[[#This Row],[author_es]],autorest[author_es],autorest[nation_es])</f>
        <v>España</v>
      </c>
      <c r="N1021" t="str">
        <f>_xlfn.XLOOKUP(frasest[[#This Row],[author_es]],autorest[author_es],autorest[nation_la])</f>
        <v>Hispania</v>
      </c>
      <c r="O1021" t="str">
        <f>_xlfn.XLOOKUP(frasest[[#This Row],[author_es]],autorest[author_es],autorest[age_es])</f>
        <v>Epoca Desconocida</v>
      </c>
      <c r="P1021" t="str">
        <f>_xlfn.XLOOKUP(frasest[[#This Row],[author_es]],autorest[author_es],autorest[age_la])</f>
        <v>Epocha Ignota</v>
      </c>
      <c r="Q1021" t="str">
        <f>_xlfn.XLOOKUP(frasest[[#This Row],[author_es]],autorest[author_es],autorest[image])</f>
        <v>https://i.ibb.co/Y4f7TZWm/espa-a.png</v>
      </c>
      <c r="R1021">
        <f>_xlfn.XLOOKUP(frasest[[#This Row],[author_es]],autorest[author_es],autorest[image_atr])</f>
        <v>0</v>
      </c>
    </row>
    <row r="1022" spans="1:18">
      <c r="A1022">
        <v>1021</v>
      </c>
      <c r="B1022" t="s">
        <v>3200</v>
      </c>
      <c r="C1022" t="s">
        <v>3201</v>
      </c>
      <c r="D1022" s="1" t="s">
        <v>3202</v>
      </c>
      <c r="E1022" t="s">
        <v>36</v>
      </c>
      <c r="G1022" t="str">
        <f>_xlfn.XLOOKUP(frasest[[#This Row],[author_es]],autorest[author_es],autorest[author_la])</f>
        <v>Proverbium Sinense</v>
      </c>
      <c r="H1022" t="str">
        <f>_xlfn.XLOOKUP(frasest[[#This Row],[author_es]],autorest[author_es],autorest[bio_es])</f>
        <v>Conjunto de proverbios tradicionales de la cultura china que transmiten sabiduría popular, valores morales y enseñanzas prácticas transmitidas oralmente durante siglos.</v>
      </c>
      <c r="I1022" t="str">
        <f>_xlfn.XLOOKUP(frasest[[#This Row],[author_es]],autorest[author_es],autorest[bio_la])</f>
        <v>Collectio sententiarum Sinensium, magnopere in cultura tradita.</v>
      </c>
      <c r="J1022" t="str">
        <f>_xlfn.XLOOKUP(frasest[[#This Row],[author_es]],autorest[author_es],autorest[iso3691])</f>
        <v>zh</v>
      </c>
      <c r="K1022" t="str">
        <f>_xlfn.XLOOKUP(frasest[[#This Row],[author_es]],autorest[author_es],autorest[language_es])</f>
        <v>Chino</v>
      </c>
      <c r="L1022" t="str">
        <f>_xlfn.XLOOKUP(frasest[[#This Row],[author_es]],autorest[author_es],autorest[language_la])</f>
        <v>Lingua Sinica</v>
      </c>
      <c r="M1022" t="str">
        <f>_xlfn.XLOOKUP(frasest[[#This Row],[author_es]],autorest[author_es],autorest[nation_es])</f>
        <v>China</v>
      </c>
      <c r="N1022" t="str">
        <f>_xlfn.XLOOKUP(frasest[[#This Row],[author_es]],autorest[author_es],autorest[nation_la])</f>
        <v>Sinae</v>
      </c>
      <c r="O1022" t="str">
        <f>_xlfn.XLOOKUP(frasest[[#This Row],[author_es]],autorest[author_es],autorest[age_es])</f>
        <v>Epoca Desconocida</v>
      </c>
      <c r="P1022" t="str">
        <f>_xlfn.XLOOKUP(frasest[[#This Row],[author_es]],autorest[author_es],autorest[age_la])</f>
        <v>Epocha Ignota</v>
      </c>
      <c r="Q1022" t="str">
        <f>_xlfn.XLOOKUP(frasest[[#This Row],[author_es]],autorest[author_es],autorest[image])</f>
        <v>https://i.ibb.co/qLfpZm6h/china.png</v>
      </c>
      <c r="R1022">
        <f>_xlfn.XLOOKUP(frasest[[#This Row],[author_es]],autorest[author_es],autorest[image_atr])</f>
        <v>0</v>
      </c>
    </row>
    <row r="1023" spans="1:18">
      <c r="A1023">
        <v>1022</v>
      </c>
      <c r="B1023" t="s">
        <v>3203</v>
      </c>
      <c r="C1023" t="s">
        <v>3204</v>
      </c>
      <c r="D1023" s="1" t="s">
        <v>3205</v>
      </c>
      <c r="E1023" t="s">
        <v>36</v>
      </c>
      <c r="G1023" t="str">
        <f>_xlfn.XLOOKUP(frasest[[#This Row],[author_es]],autorest[author_es],autorest[author_la])</f>
        <v>Proverbium Sinense</v>
      </c>
      <c r="H1023" t="str">
        <f>_xlfn.XLOOKUP(frasest[[#This Row],[author_es]],autorest[author_es],autorest[bio_es])</f>
        <v>Conjunto de proverbios tradicionales de la cultura china que transmiten sabiduría popular, valores morales y enseñanzas prácticas transmitidas oralmente durante siglos.</v>
      </c>
      <c r="I1023" t="str">
        <f>_xlfn.XLOOKUP(frasest[[#This Row],[author_es]],autorest[author_es],autorest[bio_la])</f>
        <v>Collectio sententiarum Sinensium, magnopere in cultura tradita.</v>
      </c>
      <c r="J1023" t="str">
        <f>_xlfn.XLOOKUP(frasest[[#This Row],[author_es]],autorest[author_es],autorest[iso3691])</f>
        <v>zh</v>
      </c>
      <c r="K1023" t="str">
        <f>_xlfn.XLOOKUP(frasest[[#This Row],[author_es]],autorest[author_es],autorest[language_es])</f>
        <v>Chino</v>
      </c>
      <c r="L1023" t="str">
        <f>_xlfn.XLOOKUP(frasest[[#This Row],[author_es]],autorest[author_es],autorest[language_la])</f>
        <v>Lingua Sinica</v>
      </c>
      <c r="M1023" t="str">
        <f>_xlfn.XLOOKUP(frasest[[#This Row],[author_es]],autorest[author_es],autorest[nation_es])</f>
        <v>China</v>
      </c>
      <c r="N1023" t="str">
        <f>_xlfn.XLOOKUP(frasest[[#This Row],[author_es]],autorest[author_es],autorest[nation_la])</f>
        <v>Sinae</v>
      </c>
      <c r="O1023" t="str">
        <f>_xlfn.XLOOKUP(frasest[[#This Row],[author_es]],autorest[author_es],autorest[age_es])</f>
        <v>Epoca Desconocida</v>
      </c>
      <c r="P1023" t="str">
        <f>_xlfn.XLOOKUP(frasest[[#This Row],[author_es]],autorest[author_es],autorest[age_la])</f>
        <v>Epocha Ignota</v>
      </c>
      <c r="Q1023" t="str">
        <f>_xlfn.XLOOKUP(frasest[[#This Row],[author_es]],autorest[author_es],autorest[image])</f>
        <v>https://i.ibb.co/qLfpZm6h/china.png</v>
      </c>
      <c r="R1023">
        <f>_xlfn.XLOOKUP(frasest[[#This Row],[author_es]],autorest[author_es],autorest[image_atr])</f>
        <v>0</v>
      </c>
    </row>
    <row r="1024" spans="1:18">
      <c r="A1024">
        <v>1023</v>
      </c>
      <c r="B1024" t="s">
        <v>3206</v>
      </c>
      <c r="C1024" t="s">
        <v>3207</v>
      </c>
      <c r="D1024" s="1" t="s">
        <v>3208</v>
      </c>
      <c r="E1024" t="s">
        <v>36</v>
      </c>
      <c r="G1024" t="str">
        <f>_xlfn.XLOOKUP(frasest[[#This Row],[author_es]],autorest[author_es],autorest[author_la])</f>
        <v>Proverbium Sinense</v>
      </c>
      <c r="H1024" t="str">
        <f>_xlfn.XLOOKUP(frasest[[#This Row],[author_es]],autorest[author_es],autorest[bio_es])</f>
        <v>Conjunto de proverbios tradicionales de la cultura china que transmiten sabiduría popular, valores morales y enseñanzas prácticas transmitidas oralmente durante siglos.</v>
      </c>
      <c r="I1024" t="str">
        <f>_xlfn.XLOOKUP(frasest[[#This Row],[author_es]],autorest[author_es],autorest[bio_la])</f>
        <v>Collectio sententiarum Sinensium, magnopere in cultura tradita.</v>
      </c>
      <c r="J1024" t="str">
        <f>_xlfn.XLOOKUP(frasest[[#This Row],[author_es]],autorest[author_es],autorest[iso3691])</f>
        <v>zh</v>
      </c>
      <c r="K1024" t="str">
        <f>_xlfn.XLOOKUP(frasest[[#This Row],[author_es]],autorest[author_es],autorest[language_es])</f>
        <v>Chino</v>
      </c>
      <c r="L1024" t="str">
        <f>_xlfn.XLOOKUP(frasest[[#This Row],[author_es]],autorest[author_es],autorest[language_la])</f>
        <v>Lingua Sinica</v>
      </c>
      <c r="M1024" t="str">
        <f>_xlfn.XLOOKUP(frasest[[#This Row],[author_es]],autorest[author_es],autorest[nation_es])</f>
        <v>China</v>
      </c>
      <c r="N1024" t="str">
        <f>_xlfn.XLOOKUP(frasest[[#This Row],[author_es]],autorest[author_es],autorest[nation_la])</f>
        <v>Sinae</v>
      </c>
      <c r="O1024" t="str">
        <f>_xlfn.XLOOKUP(frasest[[#This Row],[author_es]],autorest[author_es],autorest[age_es])</f>
        <v>Epoca Desconocida</v>
      </c>
      <c r="P1024" t="str">
        <f>_xlfn.XLOOKUP(frasest[[#This Row],[author_es]],autorest[author_es],autorest[age_la])</f>
        <v>Epocha Ignota</v>
      </c>
      <c r="Q1024" t="str">
        <f>_xlfn.XLOOKUP(frasest[[#This Row],[author_es]],autorest[author_es],autorest[image])</f>
        <v>https://i.ibb.co/qLfpZm6h/china.png</v>
      </c>
      <c r="R1024">
        <f>_xlfn.XLOOKUP(frasest[[#This Row],[author_es]],autorest[author_es],autorest[image_atr])</f>
        <v>0</v>
      </c>
    </row>
    <row r="1025" spans="1:18">
      <c r="A1025">
        <v>1024</v>
      </c>
      <c r="B1025" t="s">
        <v>3209</v>
      </c>
      <c r="C1025" t="s">
        <v>3210</v>
      </c>
      <c r="D1025" s="1" t="s">
        <v>3211</v>
      </c>
      <c r="E1025" t="s">
        <v>36</v>
      </c>
      <c r="G1025" t="str">
        <f>_xlfn.XLOOKUP(frasest[[#This Row],[author_es]],autorest[author_es],autorest[author_la])</f>
        <v>Proverbium Sinense</v>
      </c>
      <c r="H1025" t="str">
        <f>_xlfn.XLOOKUP(frasest[[#This Row],[author_es]],autorest[author_es],autorest[bio_es])</f>
        <v>Conjunto de proverbios tradicionales de la cultura china que transmiten sabiduría popular, valores morales y enseñanzas prácticas transmitidas oralmente durante siglos.</v>
      </c>
      <c r="I1025" t="str">
        <f>_xlfn.XLOOKUP(frasest[[#This Row],[author_es]],autorest[author_es],autorest[bio_la])</f>
        <v>Collectio sententiarum Sinensium, magnopere in cultura tradita.</v>
      </c>
      <c r="J1025" t="str">
        <f>_xlfn.XLOOKUP(frasest[[#This Row],[author_es]],autorest[author_es],autorest[iso3691])</f>
        <v>zh</v>
      </c>
      <c r="K1025" t="str">
        <f>_xlfn.XLOOKUP(frasest[[#This Row],[author_es]],autorest[author_es],autorest[language_es])</f>
        <v>Chino</v>
      </c>
      <c r="L1025" t="str">
        <f>_xlfn.XLOOKUP(frasest[[#This Row],[author_es]],autorest[author_es],autorest[language_la])</f>
        <v>Lingua Sinica</v>
      </c>
      <c r="M1025" t="str">
        <f>_xlfn.XLOOKUP(frasest[[#This Row],[author_es]],autorest[author_es],autorest[nation_es])</f>
        <v>China</v>
      </c>
      <c r="N1025" t="str">
        <f>_xlfn.XLOOKUP(frasest[[#This Row],[author_es]],autorest[author_es],autorest[nation_la])</f>
        <v>Sinae</v>
      </c>
      <c r="O1025" t="str">
        <f>_xlfn.XLOOKUP(frasest[[#This Row],[author_es]],autorest[author_es],autorest[age_es])</f>
        <v>Epoca Desconocida</v>
      </c>
      <c r="P1025" t="str">
        <f>_xlfn.XLOOKUP(frasest[[#This Row],[author_es]],autorest[author_es],autorest[age_la])</f>
        <v>Epocha Ignota</v>
      </c>
      <c r="Q1025" t="str">
        <f>_xlfn.XLOOKUP(frasest[[#This Row],[author_es]],autorest[author_es],autorest[image])</f>
        <v>https://i.ibb.co/qLfpZm6h/china.png</v>
      </c>
      <c r="R1025">
        <f>_xlfn.XLOOKUP(frasest[[#This Row],[author_es]],autorest[author_es],autorest[image_atr])</f>
        <v>0</v>
      </c>
    </row>
    <row r="1026" spans="1:18">
      <c r="A1026">
        <v>1025</v>
      </c>
      <c r="B1026" t="s">
        <v>3212</v>
      </c>
      <c r="C1026" t="s">
        <v>3213</v>
      </c>
      <c r="D1026" s="1" t="s">
        <v>3214</v>
      </c>
      <c r="E1026" t="s">
        <v>36</v>
      </c>
      <c r="G1026" t="str">
        <f>_xlfn.XLOOKUP(frasest[[#This Row],[author_es]],autorest[author_es],autorest[author_la])</f>
        <v>Proverbium Sinense</v>
      </c>
      <c r="H1026" t="str">
        <f>_xlfn.XLOOKUP(frasest[[#This Row],[author_es]],autorest[author_es],autorest[bio_es])</f>
        <v>Conjunto de proverbios tradicionales de la cultura china que transmiten sabiduría popular, valores morales y enseñanzas prácticas transmitidas oralmente durante siglos.</v>
      </c>
      <c r="I1026" t="str">
        <f>_xlfn.XLOOKUP(frasest[[#This Row],[author_es]],autorest[author_es],autorest[bio_la])</f>
        <v>Collectio sententiarum Sinensium, magnopere in cultura tradita.</v>
      </c>
      <c r="J1026" t="str">
        <f>_xlfn.XLOOKUP(frasest[[#This Row],[author_es]],autorest[author_es],autorest[iso3691])</f>
        <v>zh</v>
      </c>
      <c r="K1026" t="str">
        <f>_xlfn.XLOOKUP(frasest[[#This Row],[author_es]],autorest[author_es],autorest[language_es])</f>
        <v>Chino</v>
      </c>
      <c r="L1026" t="str">
        <f>_xlfn.XLOOKUP(frasest[[#This Row],[author_es]],autorest[author_es],autorest[language_la])</f>
        <v>Lingua Sinica</v>
      </c>
      <c r="M1026" t="str">
        <f>_xlfn.XLOOKUP(frasest[[#This Row],[author_es]],autorest[author_es],autorest[nation_es])</f>
        <v>China</v>
      </c>
      <c r="N1026" t="str">
        <f>_xlfn.XLOOKUP(frasest[[#This Row],[author_es]],autorest[author_es],autorest[nation_la])</f>
        <v>Sinae</v>
      </c>
      <c r="O1026" t="str">
        <f>_xlfn.XLOOKUP(frasest[[#This Row],[author_es]],autorest[author_es],autorest[age_es])</f>
        <v>Epoca Desconocida</v>
      </c>
      <c r="P1026" t="str">
        <f>_xlfn.XLOOKUP(frasest[[#This Row],[author_es]],autorest[author_es],autorest[age_la])</f>
        <v>Epocha Ignota</v>
      </c>
      <c r="Q1026" t="str">
        <f>_xlfn.XLOOKUP(frasest[[#This Row],[author_es]],autorest[author_es],autorest[image])</f>
        <v>https://i.ibb.co/qLfpZm6h/china.png</v>
      </c>
      <c r="R1026">
        <f>_xlfn.XLOOKUP(frasest[[#This Row],[author_es]],autorest[author_es],autorest[image_atr])</f>
        <v>0</v>
      </c>
    </row>
    <row r="1027" spans="1:18">
      <c r="A1027">
        <v>1026</v>
      </c>
      <c r="B1027" t="s">
        <v>3215</v>
      </c>
      <c r="C1027" t="s">
        <v>3216</v>
      </c>
      <c r="D1027" s="1" t="s">
        <v>3217</v>
      </c>
      <c r="E1027" t="s">
        <v>36</v>
      </c>
      <c r="G1027" t="str">
        <f>_xlfn.XLOOKUP(frasest[[#This Row],[author_es]],autorest[author_es],autorest[author_la])</f>
        <v>Proverbium Sinense</v>
      </c>
      <c r="H1027" t="str">
        <f>_xlfn.XLOOKUP(frasest[[#This Row],[author_es]],autorest[author_es],autorest[bio_es])</f>
        <v>Conjunto de proverbios tradicionales de la cultura china que transmiten sabiduría popular, valores morales y enseñanzas prácticas transmitidas oralmente durante siglos.</v>
      </c>
      <c r="I1027" t="str">
        <f>_xlfn.XLOOKUP(frasest[[#This Row],[author_es]],autorest[author_es],autorest[bio_la])</f>
        <v>Collectio sententiarum Sinensium, magnopere in cultura tradita.</v>
      </c>
      <c r="J1027" t="str">
        <f>_xlfn.XLOOKUP(frasest[[#This Row],[author_es]],autorest[author_es],autorest[iso3691])</f>
        <v>zh</v>
      </c>
      <c r="K1027" t="str">
        <f>_xlfn.XLOOKUP(frasest[[#This Row],[author_es]],autorest[author_es],autorest[language_es])</f>
        <v>Chino</v>
      </c>
      <c r="L1027" t="str">
        <f>_xlfn.XLOOKUP(frasest[[#This Row],[author_es]],autorest[author_es],autorest[language_la])</f>
        <v>Lingua Sinica</v>
      </c>
      <c r="M1027" t="str">
        <f>_xlfn.XLOOKUP(frasest[[#This Row],[author_es]],autorest[author_es],autorest[nation_es])</f>
        <v>China</v>
      </c>
      <c r="N1027" t="str">
        <f>_xlfn.XLOOKUP(frasest[[#This Row],[author_es]],autorest[author_es],autorest[nation_la])</f>
        <v>Sinae</v>
      </c>
      <c r="O1027" t="str">
        <f>_xlfn.XLOOKUP(frasest[[#This Row],[author_es]],autorest[author_es],autorest[age_es])</f>
        <v>Epoca Desconocida</v>
      </c>
      <c r="P1027" t="str">
        <f>_xlfn.XLOOKUP(frasest[[#This Row],[author_es]],autorest[author_es],autorest[age_la])</f>
        <v>Epocha Ignota</v>
      </c>
      <c r="Q1027" t="str">
        <f>_xlfn.XLOOKUP(frasest[[#This Row],[author_es]],autorest[author_es],autorest[image])</f>
        <v>https://i.ibb.co/qLfpZm6h/china.png</v>
      </c>
      <c r="R1027">
        <f>_xlfn.XLOOKUP(frasest[[#This Row],[author_es]],autorest[author_es],autorest[image_atr])</f>
        <v>0</v>
      </c>
    </row>
    <row r="1028" spans="1:18">
      <c r="A1028">
        <v>1027</v>
      </c>
      <c r="B1028" t="s">
        <v>3218</v>
      </c>
      <c r="C1028" t="s">
        <v>3219</v>
      </c>
      <c r="D1028" s="1" t="s">
        <v>3220</v>
      </c>
      <c r="E1028" t="s">
        <v>36</v>
      </c>
      <c r="G1028" t="str">
        <f>_xlfn.XLOOKUP(frasest[[#This Row],[author_es]],autorest[author_es],autorest[author_la])</f>
        <v>Proverbium Sinense</v>
      </c>
      <c r="H1028" t="str">
        <f>_xlfn.XLOOKUP(frasest[[#This Row],[author_es]],autorest[author_es],autorest[bio_es])</f>
        <v>Conjunto de proverbios tradicionales de la cultura china que transmiten sabiduría popular, valores morales y enseñanzas prácticas transmitidas oralmente durante siglos.</v>
      </c>
      <c r="I1028" t="str">
        <f>_xlfn.XLOOKUP(frasest[[#This Row],[author_es]],autorest[author_es],autorest[bio_la])</f>
        <v>Collectio sententiarum Sinensium, magnopere in cultura tradita.</v>
      </c>
      <c r="J1028" t="str">
        <f>_xlfn.XLOOKUP(frasest[[#This Row],[author_es]],autorest[author_es],autorest[iso3691])</f>
        <v>zh</v>
      </c>
      <c r="K1028" t="str">
        <f>_xlfn.XLOOKUP(frasest[[#This Row],[author_es]],autorest[author_es],autorest[language_es])</f>
        <v>Chino</v>
      </c>
      <c r="L1028" t="str">
        <f>_xlfn.XLOOKUP(frasest[[#This Row],[author_es]],autorest[author_es],autorest[language_la])</f>
        <v>Lingua Sinica</v>
      </c>
      <c r="M1028" t="str">
        <f>_xlfn.XLOOKUP(frasest[[#This Row],[author_es]],autorest[author_es],autorest[nation_es])</f>
        <v>China</v>
      </c>
      <c r="N1028" t="str">
        <f>_xlfn.XLOOKUP(frasest[[#This Row],[author_es]],autorest[author_es],autorest[nation_la])</f>
        <v>Sinae</v>
      </c>
      <c r="O1028" t="str">
        <f>_xlfn.XLOOKUP(frasest[[#This Row],[author_es]],autorest[author_es],autorest[age_es])</f>
        <v>Epoca Desconocida</v>
      </c>
      <c r="P1028" t="str">
        <f>_xlfn.XLOOKUP(frasest[[#This Row],[author_es]],autorest[author_es],autorest[age_la])</f>
        <v>Epocha Ignota</v>
      </c>
      <c r="Q1028" t="str">
        <f>_xlfn.XLOOKUP(frasest[[#This Row],[author_es]],autorest[author_es],autorest[image])</f>
        <v>https://i.ibb.co/qLfpZm6h/china.png</v>
      </c>
      <c r="R1028">
        <f>_xlfn.XLOOKUP(frasest[[#This Row],[author_es]],autorest[author_es],autorest[image_atr])</f>
        <v>0</v>
      </c>
    </row>
    <row r="1029" spans="1:18">
      <c r="A1029">
        <v>1028</v>
      </c>
      <c r="B1029" t="s">
        <v>3221</v>
      </c>
      <c r="C1029" t="s">
        <v>3222</v>
      </c>
      <c r="D1029" s="1" t="s">
        <v>3223</v>
      </c>
      <c r="E1029" t="s">
        <v>36</v>
      </c>
      <c r="G1029" t="str">
        <f>_xlfn.XLOOKUP(frasest[[#This Row],[author_es]],autorest[author_es],autorest[author_la])</f>
        <v>Proverbium Sinense</v>
      </c>
      <c r="H1029" t="str">
        <f>_xlfn.XLOOKUP(frasest[[#This Row],[author_es]],autorest[author_es],autorest[bio_es])</f>
        <v>Conjunto de proverbios tradicionales de la cultura china que transmiten sabiduría popular, valores morales y enseñanzas prácticas transmitidas oralmente durante siglos.</v>
      </c>
      <c r="I1029" t="str">
        <f>_xlfn.XLOOKUP(frasest[[#This Row],[author_es]],autorest[author_es],autorest[bio_la])</f>
        <v>Collectio sententiarum Sinensium, magnopere in cultura tradita.</v>
      </c>
      <c r="J1029" t="str">
        <f>_xlfn.XLOOKUP(frasest[[#This Row],[author_es]],autorest[author_es],autorest[iso3691])</f>
        <v>zh</v>
      </c>
      <c r="K1029" t="str">
        <f>_xlfn.XLOOKUP(frasest[[#This Row],[author_es]],autorest[author_es],autorest[language_es])</f>
        <v>Chino</v>
      </c>
      <c r="L1029" t="str">
        <f>_xlfn.XLOOKUP(frasest[[#This Row],[author_es]],autorest[author_es],autorest[language_la])</f>
        <v>Lingua Sinica</v>
      </c>
      <c r="M1029" t="str">
        <f>_xlfn.XLOOKUP(frasest[[#This Row],[author_es]],autorest[author_es],autorest[nation_es])</f>
        <v>China</v>
      </c>
      <c r="N1029" t="str">
        <f>_xlfn.XLOOKUP(frasest[[#This Row],[author_es]],autorest[author_es],autorest[nation_la])</f>
        <v>Sinae</v>
      </c>
      <c r="O1029" t="str">
        <f>_xlfn.XLOOKUP(frasest[[#This Row],[author_es]],autorest[author_es],autorest[age_es])</f>
        <v>Epoca Desconocida</v>
      </c>
      <c r="P1029" t="str">
        <f>_xlfn.XLOOKUP(frasest[[#This Row],[author_es]],autorest[author_es],autorest[age_la])</f>
        <v>Epocha Ignota</v>
      </c>
      <c r="Q1029" t="str">
        <f>_xlfn.XLOOKUP(frasest[[#This Row],[author_es]],autorest[author_es],autorest[image])</f>
        <v>https://i.ibb.co/qLfpZm6h/china.png</v>
      </c>
      <c r="R1029">
        <f>_xlfn.XLOOKUP(frasest[[#This Row],[author_es]],autorest[author_es],autorest[image_atr])</f>
        <v>0</v>
      </c>
    </row>
    <row r="1030" spans="1:18">
      <c r="A1030">
        <v>1029</v>
      </c>
      <c r="B1030" t="s">
        <v>3224</v>
      </c>
      <c r="C1030" t="s">
        <v>3225</v>
      </c>
      <c r="D1030" s="1" t="s">
        <v>3226</v>
      </c>
      <c r="E1030" t="s">
        <v>36</v>
      </c>
      <c r="G1030" t="str">
        <f>_xlfn.XLOOKUP(frasest[[#This Row],[author_es]],autorest[author_es],autorest[author_la])</f>
        <v>Proverbium Sinense</v>
      </c>
      <c r="H1030" t="str">
        <f>_xlfn.XLOOKUP(frasest[[#This Row],[author_es]],autorest[author_es],autorest[bio_es])</f>
        <v>Conjunto de proverbios tradicionales de la cultura china que transmiten sabiduría popular, valores morales y enseñanzas prácticas transmitidas oralmente durante siglos.</v>
      </c>
      <c r="I1030" t="str">
        <f>_xlfn.XLOOKUP(frasest[[#This Row],[author_es]],autorest[author_es],autorest[bio_la])</f>
        <v>Collectio sententiarum Sinensium, magnopere in cultura tradita.</v>
      </c>
      <c r="J1030" t="str">
        <f>_xlfn.XLOOKUP(frasest[[#This Row],[author_es]],autorest[author_es],autorest[iso3691])</f>
        <v>zh</v>
      </c>
      <c r="K1030" t="str">
        <f>_xlfn.XLOOKUP(frasest[[#This Row],[author_es]],autorest[author_es],autorest[language_es])</f>
        <v>Chino</v>
      </c>
      <c r="L1030" t="str">
        <f>_xlfn.XLOOKUP(frasest[[#This Row],[author_es]],autorest[author_es],autorest[language_la])</f>
        <v>Lingua Sinica</v>
      </c>
      <c r="M1030" t="str">
        <f>_xlfn.XLOOKUP(frasest[[#This Row],[author_es]],autorest[author_es],autorest[nation_es])</f>
        <v>China</v>
      </c>
      <c r="N1030" t="str">
        <f>_xlfn.XLOOKUP(frasest[[#This Row],[author_es]],autorest[author_es],autorest[nation_la])</f>
        <v>Sinae</v>
      </c>
      <c r="O1030" t="str">
        <f>_xlfn.XLOOKUP(frasest[[#This Row],[author_es]],autorest[author_es],autorest[age_es])</f>
        <v>Epoca Desconocida</v>
      </c>
      <c r="P1030" t="str">
        <f>_xlfn.XLOOKUP(frasest[[#This Row],[author_es]],autorest[author_es],autorest[age_la])</f>
        <v>Epocha Ignota</v>
      </c>
      <c r="Q1030" t="str">
        <f>_xlfn.XLOOKUP(frasest[[#This Row],[author_es]],autorest[author_es],autorest[image])</f>
        <v>https://i.ibb.co/qLfpZm6h/china.png</v>
      </c>
      <c r="R1030">
        <f>_xlfn.XLOOKUP(frasest[[#This Row],[author_es]],autorest[author_es],autorest[image_atr])</f>
        <v>0</v>
      </c>
    </row>
    <row r="1031" spans="1:18">
      <c r="A1031">
        <v>1030</v>
      </c>
      <c r="B1031" t="s">
        <v>3227</v>
      </c>
      <c r="C1031" t="s">
        <v>3228</v>
      </c>
      <c r="D1031" s="1" t="s">
        <v>3229</v>
      </c>
      <c r="E1031" t="s">
        <v>36</v>
      </c>
      <c r="G1031" t="str">
        <f>_xlfn.XLOOKUP(frasest[[#This Row],[author_es]],autorest[author_es],autorest[author_la])</f>
        <v>Proverbium Sinense</v>
      </c>
      <c r="H1031" t="str">
        <f>_xlfn.XLOOKUP(frasest[[#This Row],[author_es]],autorest[author_es],autorest[bio_es])</f>
        <v>Conjunto de proverbios tradicionales de la cultura china que transmiten sabiduría popular, valores morales y enseñanzas prácticas transmitidas oralmente durante siglos.</v>
      </c>
      <c r="I1031" t="str">
        <f>_xlfn.XLOOKUP(frasest[[#This Row],[author_es]],autorest[author_es],autorest[bio_la])</f>
        <v>Collectio sententiarum Sinensium, magnopere in cultura tradita.</v>
      </c>
      <c r="J1031" t="str">
        <f>_xlfn.XLOOKUP(frasest[[#This Row],[author_es]],autorest[author_es],autorest[iso3691])</f>
        <v>zh</v>
      </c>
      <c r="K1031" t="str">
        <f>_xlfn.XLOOKUP(frasest[[#This Row],[author_es]],autorest[author_es],autorest[language_es])</f>
        <v>Chino</v>
      </c>
      <c r="L1031" t="str">
        <f>_xlfn.XLOOKUP(frasest[[#This Row],[author_es]],autorest[author_es],autorest[language_la])</f>
        <v>Lingua Sinica</v>
      </c>
      <c r="M1031" t="str">
        <f>_xlfn.XLOOKUP(frasest[[#This Row],[author_es]],autorest[author_es],autorest[nation_es])</f>
        <v>China</v>
      </c>
      <c r="N1031" t="str">
        <f>_xlfn.XLOOKUP(frasest[[#This Row],[author_es]],autorest[author_es],autorest[nation_la])</f>
        <v>Sinae</v>
      </c>
      <c r="O1031" t="str">
        <f>_xlfn.XLOOKUP(frasest[[#This Row],[author_es]],autorest[author_es],autorest[age_es])</f>
        <v>Epoca Desconocida</v>
      </c>
      <c r="P1031" t="str">
        <f>_xlfn.XLOOKUP(frasest[[#This Row],[author_es]],autorest[author_es],autorest[age_la])</f>
        <v>Epocha Ignota</v>
      </c>
      <c r="Q1031" t="str">
        <f>_xlfn.XLOOKUP(frasest[[#This Row],[author_es]],autorest[author_es],autorest[image])</f>
        <v>https://i.ibb.co/qLfpZm6h/china.png</v>
      </c>
      <c r="R1031">
        <f>_xlfn.XLOOKUP(frasest[[#This Row],[author_es]],autorest[author_es],autorest[image_atr])</f>
        <v>0</v>
      </c>
    </row>
    <row r="1032" spans="1:18">
      <c r="A1032">
        <v>1031</v>
      </c>
      <c r="B1032" t="s">
        <v>3230</v>
      </c>
      <c r="C1032" t="s">
        <v>3231</v>
      </c>
      <c r="D1032" s="1" t="s">
        <v>1295</v>
      </c>
      <c r="E1032" t="s">
        <v>36</v>
      </c>
      <c r="G1032" t="str">
        <f>_xlfn.XLOOKUP(frasest[[#This Row],[author_es]],autorest[author_es],autorest[author_la])</f>
        <v>Proverbium Sinense</v>
      </c>
      <c r="H1032" t="str">
        <f>_xlfn.XLOOKUP(frasest[[#This Row],[author_es]],autorest[author_es],autorest[bio_es])</f>
        <v>Conjunto de proverbios tradicionales de la cultura china que transmiten sabiduría popular, valores morales y enseñanzas prácticas transmitidas oralmente durante siglos.</v>
      </c>
      <c r="I1032" t="str">
        <f>_xlfn.XLOOKUP(frasest[[#This Row],[author_es]],autorest[author_es],autorest[bio_la])</f>
        <v>Collectio sententiarum Sinensium, magnopere in cultura tradita.</v>
      </c>
      <c r="J1032" t="str">
        <f>_xlfn.XLOOKUP(frasest[[#This Row],[author_es]],autorest[author_es],autorest[iso3691])</f>
        <v>zh</v>
      </c>
      <c r="K1032" t="str">
        <f>_xlfn.XLOOKUP(frasest[[#This Row],[author_es]],autorest[author_es],autorest[language_es])</f>
        <v>Chino</v>
      </c>
      <c r="L1032" t="str">
        <f>_xlfn.XLOOKUP(frasest[[#This Row],[author_es]],autorest[author_es],autorest[language_la])</f>
        <v>Lingua Sinica</v>
      </c>
      <c r="M1032" t="str">
        <f>_xlfn.XLOOKUP(frasest[[#This Row],[author_es]],autorest[author_es],autorest[nation_es])</f>
        <v>China</v>
      </c>
      <c r="N1032" t="str">
        <f>_xlfn.XLOOKUP(frasest[[#This Row],[author_es]],autorest[author_es],autorest[nation_la])</f>
        <v>Sinae</v>
      </c>
      <c r="O1032" t="str">
        <f>_xlfn.XLOOKUP(frasest[[#This Row],[author_es]],autorest[author_es],autorest[age_es])</f>
        <v>Epoca Desconocida</v>
      </c>
      <c r="P1032" t="str">
        <f>_xlfn.XLOOKUP(frasest[[#This Row],[author_es]],autorest[author_es],autorest[age_la])</f>
        <v>Epocha Ignota</v>
      </c>
      <c r="Q1032" t="str">
        <f>_xlfn.XLOOKUP(frasest[[#This Row],[author_es]],autorest[author_es],autorest[image])</f>
        <v>https://i.ibb.co/qLfpZm6h/china.png</v>
      </c>
      <c r="R1032">
        <f>_xlfn.XLOOKUP(frasest[[#This Row],[author_es]],autorest[author_es],autorest[image_atr])</f>
        <v>0</v>
      </c>
    </row>
    <row r="1033" spans="1:18">
      <c r="A1033">
        <v>1032</v>
      </c>
      <c r="B1033" t="s">
        <v>3232</v>
      </c>
      <c r="C1033" t="s">
        <v>3233</v>
      </c>
      <c r="D1033" s="1" t="s">
        <v>3234</v>
      </c>
      <c r="E1033" t="s">
        <v>36</v>
      </c>
      <c r="G1033" t="str">
        <f>_xlfn.XLOOKUP(frasest[[#This Row],[author_es]],autorest[author_es],autorest[author_la])</f>
        <v>Proverbium Sinense</v>
      </c>
      <c r="H1033" t="str">
        <f>_xlfn.XLOOKUP(frasest[[#This Row],[author_es]],autorest[author_es],autorest[bio_es])</f>
        <v>Conjunto de proverbios tradicionales de la cultura china que transmiten sabiduría popular, valores morales y enseñanzas prácticas transmitidas oralmente durante siglos.</v>
      </c>
      <c r="I1033" t="str">
        <f>_xlfn.XLOOKUP(frasest[[#This Row],[author_es]],autorest[author_es],autorest[bio_la])</f>
        <v>Collectio sententiarum Sinensium, magnopere in cultura tradita.</v>
      </c>
      <c r="J1033" t="str">
        <f>_xlfn.XLOOKUP(frasest[[#This Row],[author_es]],autorest[author_es],autorest[iso3691])</f>
        <v>zh</v>
      </c>
      <c r="K1033" t="str">
        <f>_xlfn.XLOOKUP(frasest[[#This Row],[author_es]],autorest[author_es],autorest[language_es])</f>
        <v>Chino</v>
      </c>
      <c r="L1033" t="str">
        <f>_xlfn.XLOOKUP(frasest[[#This Row],[author_es]],autorest[author_es],autorest[language_la])</f>
        <v>Lingua Sinica</v>
      </c>
      <c r="M1033" t="str">
        <f>_xlfn.XLOOKUP(frasest[[#This Row],[author_es]],autorest[author_es],autorest[nation_es])</f>
        <v>China</v>
      </c>
      <c r="N1033" t="str">
        <f>_xlfn.XLOOKUP(frasest[[#This Row],[author_es]],autorest[author_es],autorest[nation_la])</f>
        <v>Sinae</v>
      </c>
      <c r="O1033" t="str">
        <f>_xlfn.XLOOKUP(frasest[[#This Row],[author_es]],autorest[author_es],autorest[age_es])</f>
        <v>Epoca Desconocida</v>
      </c>
      <c r="P1033" t="str">
        <f>_xlfn.XLOOKUP(frasest[[#This Row],[author_es]],autorest[author_es],autorest[age_la])</f>
        <v>Epocha Ignota</v>
      </c>
      <c r="Q1033" t="str">
        <f>_xlfn.XLOOKUP(frasest[[#This Row],[author_es]],autorest[author_es],autorest[image])</f>
        <v>https://i.ibb.co/qLfpZm6h/china.png</v>
      </c>
      <c r="R1033">
        <f>_xlfn.XLOOKUP(frasest[[#This Row],[author_es]],autorest[author_es],autorest[image_atr])</f>
        <v>0</v>
      </c>
    </row>
    <row r="1034" spans="1:18">
      <c r="A1034">
        <v>1033</v>
      </c>
      <c r="B1034" t="s">
        <v>3235</v>
      </c>
      <c r="C1034" t="s">
        <v>3236</v>
      </c>
      <c r="D1034" s="1" t="s">
        <v>3237</v>
      </c>
      <c r="E1034" t="s">
        <v>36</v>
      </c>
      <c r="G1034" t="str">
        <f>_xlfn.XLOOKUP(frasest[[#This Row],[author_es]],autorest[author_es],autorest[author_la])</f>
        <v>Proverbium Sinense</v>
      </c>
      <c r="H1034" t="str">
        <f>_xlfn.XLOOKUP(frasest[[#This Row],[author_es]],autorest[author_es],autorest[bio_es])</f>
        <v>Conjunto de proverbios tradicionales de la cultura china que transmiten sabiduría popular, valores morales y enseñanzas prácticas transmitidas oralmente durante siglos.</v>
      </c>
      <c r="I1034" t="str">
        <f>_xlfn.XLOOKUP(frasest[[#This Row],[author_es]],autorest[author_es],autorest[bio_la])</f>
        <v>Collectio sententiarum Sinensium, magnopere in cultura tradita.</v>
      </c>
      <c r="J1034" t="str">
        <f>_xlfn.XLOOKUP(frasest[[#This Row],[author_es]],autorest[author_es],autorest[iso3691])</f>
        <v>zh</v>
      </c>
      <c r="K1034" t="str">
        <f>_xlfn.XLOOKUP(frasest[[#This Row],[author_es]],autorest[author_es],autorest[language_es])</f>
        <v>Chino</v>
      </c>
      <c r="L1034" t="str">
        <f>_xlfn.XLOOKUP(frasest[[#This Row],[author_es]],autorest[author_es],autorest[language_la])</f>
        <v>Lingua Sinica</v>
      </c>
      <c r="M1034" t="str">
        <f>_xlfn.XLOOKUP(frasest[[#This Row],[author_es]],autorest[author_es],autorest[nation_es])</f>
        <v>China</v>
      </c>
      <c r="N1034" t="str">
        <f>_xlfn.XLOOKUP(frasest[[#This Row],[author_es]],autorest[author_es],autorest[nation_la])</f>
        <v>Sinae</v>
      </c>
      <c r="O1034" t="str">
        <f>_xlfn.XLOOKUP(frasest[[#This Row],[author_es]],autorest[author_es],autorest[age_es])</f>
        <v>Epoca Desconocida</v>
      </c>
      <c r="P1034" t="str">
        <f>_xlfn.XLOOKUP(frasest[[#This Row],[author_es]],autorest[author_es],autorest[age_la])</f>
        <v>Epocha Ignota</v>
      </c>
      <c r="Q1034" t="str">
        <f>_xlfn.XLOOKUP(frasest[[#This Row],[author_es]],autorest[author_es],autorest[image])</f>
        <v>https://i.ibb.co/qLfpZm6h/china.png</v>
      </c>
      <c r="R1034">
        <f>_xlfn.XLOOKUP(frasest[[#This Row],[author_es]],autorest[author_es],autorest[image_atr])</f>
        <v>0</v>
      </c>
    </row>
    <row r="1035" spans="1:18">
      <c r="A1035">
        <v>1034</v>
      </c>
      <c r="B1035" t="s">
        <v>3238</v>
      </c>
      <c r="C1035" t="s">
        <v>3239</v>
      </c>
      <c r="D1035" s="1" t="s">
        <v>3240</v>
      </c>
      <c r="E1035" t="s">
        <v>36</v>
      </c>
      <c r="G1035" t="str">
        <f>_xlfn.XLOOKUP(frasest[[#This Row],[author_es]],autorest[author_es],autorest[author_la])</f>
        <v>Proverbium Sinense</v>
      </c>
      <c r="H1035" t="str">
        <f>_xlfn.XLOOKUP(frasest[[#This Row],[author_es]],autorest[author_es],autorest[bio_es])</f>
        <v>Conjunto de proverbios tradicionales de la cultura china que transmiten sabiduría popular, valores morales y enseñanzas prácticas transmitidas oralmente durante siglos.</v>
      </c>
      <c r="I1035" t="str">
        <f>_xlfn.XLOOKUP(frasest[[#This Row],[author_es]],autorest[author_es],autorest[bio_la])</f>
        <v>Collectio sententiarum Sinensium, magnopere in cultura tradita.</v>
      </c>
      <c r="J1035" t="str">
        <f>_xlfn.XLOOKUP(frasest[[#This Row],[author_es]],autorest[author_es],autorest[iso3691])</f>
        <v>zh</v>
      </c>
      <c r="K1035" t="str">
        <f>_xlfn.XLOOKUP(frasest[[#This Row],[author_es]],autorest[author_es],autorest[language_es])</f>
        <v>Chino</v>
      </c>
      <c r="L1035" t="str">
        <f>_xlfn.XLOOKUP(frasest[[#This Row],[author_es]],autorest[author_es],autorest[language_la])</f>
        <v>Lingua Sinica</v>
      </c>
      <c r="M1035" t="str">
        <f>_xlfn.XLOOKUP(frasest[[#This Row],[author_es]],autorest[author_es],autorest[nation_es])</f>
        <v>China</v>
      </c>
      <c r="N1035" t="str">
        <f>_xlfn.XLOOKUP(frasest[[#This Row],[author_es]],autorest[author_es],autorest[nation_la])</f>
        <v>Sinae</v>
      </c>
      <c r="O1035" t="str">
        <f>_xlfn.XLOOKUP(frasest[[#This Row],[author_es]],autorest[author_es],autorest[age_es])</f>
        <v>Epoca Desconocida</v>
      </c>
      <c r="P1035" t="str">
        <f>_xlfn.XLOOKUP(frasest[[#This Row],[author_es]],autorest[author_es],autorest[age_la])</f>
        <v>Epocha Ignota</v>
      </c>
      <c r="Q1035" t="str">
        <f>_xlfn.XLOOKUP(frasest[[#This Row],[author_es]],autorest[author_es],autorest[image])</f>
        <v>https://i.ibb.co/qLfpZm6h/china.png</v>
      </c>
      <c r="R1035">
        <f>_xlfn.XLOOKUP(frasest[[#This Row],[author_es]],autorest[author_es],autorest[image_atr])</f>
        <v>0</v>
      </c>
    </row>
    <row r="1036" spans="1:18">
      <c r="A1036">
        <v>1035</v>
      </c>
      <c r="B1036" t="s">
        <v>3241</v>
      </c>
      <c r="C1036" t="s">
        <v>3242</v>
      </c>
      <c r="D1036" s="1" t="s">
        <v>3243</v>
      </c>
      <c r="E1036" t="s">
        <v>36</v>
      </c>
      <c r="G1036" t="str">
        <f>_xlfn.XLOOKUP(frasest[[#This Row],[author_es]],autorest[author_es],autorest[author_la])</f>
        <v>Proverbium Sinense</v>
      </c>
      <c r="H1036" t="str">
        <f>_xlfn.XLOOKUP(frasest[[#This Row],[author_es]],autorest[author_es],autorest[bio_es])</f>
        <v>Conjunto de proverbios tradicionales de la cultura china que transmiten sabiduría popular, valores morales y enseñanzas prácticas transmitidas oralmente durante siglos.</v>
      </c>
      <c r="I1036" t="str">
        <f>_xlfn.XLOOKUP(frasest[[#This Row],[author_es]],autorest[author_es],autorest[bio_la])</f>
        <v>Collectio sententiarum Sinensium, magnopere in cultura tradita.</v>
      </c>
      <c r="J1036" t="str">
        <f>_xlfn.XLOOKUP(frasest[[#This Row],[author_es]],autorest[author_es],autorest[iso3691])</f>
        <v>zh</v>
      </c>
      <c r="K1036" t="str">
        <f>_xlfn.XLOOKUP(frasest[[#This Row],[author_es]],autorest[author_es],autorest[language_es])</f>
        <v>Chino</v>
      </c>
      <c r="L1036" t="str">
        <f>_xlfn.XLOOKUP(frasest[[#This Row],[author_es]],autorest[author_es],autorest[language_la])</f>
        <v>Lingua Sinica</v>
      </c>
      <c r="M1036" t="str">
        <f>_xlfn.XLOOKUP(frasest[[#This Row],[author_es]],autorest[author_es],autorest[nation_es])</f>
        <v>China</v>
      </c>
      <c r="N1036" t="str">
        <f>_xlfn.XLOOKUP(frasest[[#This Row],[author_es]],autorest[author_es],autorest[nation_la])</f>
        <v>Sinae</v>
      </c>
      <c r="O1036" t="str">
        <f>_xlfn.XLOOKUP(frasest[[#This Row],[author_es]],autorest[author_es],autorest[age_es])</f>
        <v>Epoca Desconocida</v>
      </c>
      <c r="P1036" t="str">
        <f>_xlfn.XLOOKUP(frasest[[#This Row],[author_es]],autorest[author_es],autorest[age_la])</f>
        <v>Epocha Ignota</v>
      </c>
      <c r="Q1036" t="str">
        <f>_xlfn.XLOOKUP(frasest[[#This Row],[author_es]],autorest[author_es],autorest[image])</f>
        <v>https://i.ibb.co/qLfpZm6h/china.png</v>
      </c>
      <c r="R1036">
        <f>_xlfn.XLOOKUP(frasest[[#This Row],[author_es]],autorest[author_es],autorest[image_atr])</f>
        <v>0</v>
      </c>
    </row>
    <row r="1037" spans="1:18">
      <c r="A1037">
        <v>1036</v>
      </c>
      <c r="B1037" t="s">
        <v>3244</v>
      </c>
      <c r="C1037" t="s">
        <v>3245</v>
      </c>
      <c r="D1037" s="1" t="s">
        <v>3246</v>
      </c>
      <c r="E1037" t="s">
        <v>36</v>
      </c>
      <c r="G1037" t="str">
        <f>_xlfn.XLOOKUP(frasest[[#This Row],[author_es]],autorest[author_es],autorest[author_la])</f>
        <v>Proverbium Sinense</v>
      </c>
      <c r="H1037" t="str">
        <f>_xlfn.XLOOKUP(frasest[[#This Row],[author_es]],autorest[author_es],autorest[bio_es])</f>
        <v>Conjunto de proverbios tradicionales de la cultura china que transmiten sabiduría popular, valores morales y enseñanzas prácticas transmitidas oralmente durante siglos.</v>
      </c>
      <c r="I1037" t="str">
        <f>_xlfn.XLOOKUP(frasest[[#This Row],[author_es]],autorest[author_es],autorest[bio_la])</f>
        <v>Collectio sententiarum Sinensium, magnopere in cultura tradita.</v>
      </c>
      <c r="J1037" t="str">
        <f>_xlfn.XLOOKUP(frasest[[#This Row],[author_es]],autorest[author_es],autorest[iso3691])</f>
        <v>zh</v>
      </c>
      <c r="K1037" t="str">
        <f>_xlfn.XLOOKUP(frasest[[#This Row],[author_es]],autorest[author_es],autorest[language_es])</f>
        <v>Chino</v>
      </c>
      <c r="L1037" t="str">
        <f>_xlfn.XLOOKUP(frasest[[#This Row],[author_es]],autorest[author_es],autorest[language_la])</f>
        <v>Lingua Sinica</v>
      </c>
      <c r="M1037" t="str">
        <f>_xlfn.XLOOKUP(frasest[[#This Row],[author_es]],autorest[author_es],autorest[nation_es])</f>
        <v>China</v>
      </c>
      <c r="N1037" t="str">
        <f>_xlfn.XLOOKUP(frasest[[#This Row],[author_es]],autorest[author_es],autorest[nation_la])</f>
        <v>Sinae</v>
      </c>
      <c r="O1037" t="str">
        <f>_xlfn.XLOOKUP(frasest[[#This Row],[author_es]],autorest[author_es],autorest[age_es])</f>
        <v>Epoca Desconocida</v>
      </c>
      <c r="P1037" t="str">
        <f>_xlfn.XLOOKUP(frasest[[#This Row],[author_es]],autorest[author_es],autorest[age_la])</f>
        <v>Epocha Ignota</v>
      </c>
      <c r="Q1037" t="str">
        <f>_xlfn.XLOOKUP(frasest[[#This Row],[author_es]],autorest[author_es],autorest[image])</f>
        <v>https://i.ibb.co/qLfpZm6h/china.png</v>
      </c>
      <c r="R1037">
        <f>_xlfn.XLOOKUP(frasest[[#This Row],[author_es]],autorest[author_es],autorest[image_atr])</f>
        <v>0</v>
      </c>
    </row>
    <row r="1038" spans="1:18">
      <c r="A1038">
        <v>1037</v>
      </c>
      <c r="B1038" t="s">
        <v>3247</v>
      </c>
      <c r="C1038" t="s">
        <v>3248</v>
      </c>
      <c r="D1038" s="1" t="s">
        <v>3249</v>
      </c>
      <c r="E1038" t="s">
        <v>36</v>
      </c>
      <c r="G1038" t="str">
        <f>_xlfn.XLOOKUP(frasest[[#This Row],[author_es]],autorest[author_es],autorest[author_la])</f>
        <v>Proverbium Sinense</v>
      </c>
      <c r="H1038" t="str">
        <f>_xlfn.XLOOKUP(frasest[[#This Row],[author_es]],autorest[author_es],autorest[bio_es])</f>
        <v>Conjunto de proverbios tradicionales de la cultura china que transmiten sabiduría popular, valores morales y enseñanzas prácticas transmitidas oralmente durante siglos.</v>
      </c>
      <c r="I1038" t="str">
        <f>_xlfn.XLOOKUP(frasest[[#This Row],[author_es]],autorest[author_es],autorest[bio_la])</f>
        <v>Collectio sententiarum Sinensium, magnopere in cultura tradita.</v>
      </c>
      <c r="J1038" t="str">
        <f>_xlfn.XLOOKUP(frasest[[#This Row],[author_es]],autorest[author_es],autorest[iso3691])</f>
        <v>zh</v>
      </c>
      <c r="K1038" t="str">
        <f>_xlfn.XLOOKUP(frasest[[#This Row],[author_es]],autorest[author_es],autorest[language_es])</f>
        <v>Chino</v>
      </c>
      <c r="L1038" t="str">
        <f>_xlfn.XLOOKUP(frasest[[#This Row],[author_es]],autorest[author_es],autorest[language_la])</f>
        <v>Lingua Sinica</v>
      </c>
      <c r="M1038" t="str">
        <f>_xlfn.XLOOKUP(frasest[[#This Row],[author_es]],autorest[author_es],autorest[nation_es])</f>
        <v>China</v>
      </c>
      <c r="N1038" t="str">
        <f>_xlfn.XLOOKUP(frasest[[#This Row],[author_es]],autorest[author_es],autorest[nation_la])</f>
        <v>Sinae</v>
      </c>
      <c r="O1038" t="str">
        <f>_xlfn.XLOOKUP(frasest[[#This Row],[author_es]],autorest[author_es],autorest[age_es])</f>
        <v>Epoca Desconocida</v>
      </c>
      <c r="P1038" t="str">
        <f>_xlfn.XLOOKUP(frasest[[#This Row],[author_es]],autorest[author_es],autorest[age_la])</f>
        <v>Epocha Ignota</v>
      </c>
      <c r="Q1038" t="str">
        <f>_xlfn.XLOOKUP(frasest[[#This Row],[author_es]],autorest[author_es],autorest[image])</f>
        <v>https://i.ibb.co/qLfpZm6h/china.png</v>
      </c>
      <c r="R1038">
        <f>_xlfn.XLOOKUP(frasest[[#This Row],[author_es]],autorest[author_es],autorest[image_atr])</f>
        <v>0</v>
      </c>
    </row>
    <row r="1039" spans="1:18">
      <c r="A1039">
        <v>1038</v>
      </c>
      <c r="B1039" t="s">
        <v>3250</v>
      </c>
      <c r="C1039" t="s">
        <v>3251</v>
      </c>
      <c r="D1039" s="1" t="s">
        <v>3252</v>
      </c>
      <c r="E1039" t="s">
        <v>36</v>
      </c>
      <c r="G1039" t="str">
        <f>_xlfn.XLOOKUP(frasest[[#This Row],[author_es]],autorest[author_es],autorest[author_la])</f>
        <v>Proverbium Sinense</v>
      </c>
      <c r="H1039" t="str">
        <f>_xlfn.XLOOKUP(frasest[[#This Row],[author_es]],autorest[author_es],autorest[bio_es])</f>
        <v>Conjunto de proverbios tradicionales de la cultura china que transmiten sabiduría popular, valores morales y enseñanzas prácticas transmitidas oralmente durante siglos.</v>
      </c>
      <c r="I1039" t="str">
        <f>_xlfn.XLOOKUP(frasest[[#This Row],[author_es]],autorest[author_es],autorest[bio_la])</f>
        <v>Collectio sententiarum Sinensium, magnopere in cultura tradita.</v>
      </c>
      <c r="J1039" t="str">
        <f>_xlfn.XLOOKUP(frasest[[#This Row],[author_es]],autorest[author_es],autorest[iso3691])</f>
        <v>zh</v>
      </c>
      <c r="K1039" t="str">
        <f>_xlfn.XLOOKUP(frasest[[#This Row],[author_es]],autorest[author_es],autorest[language_es])</f>
        <v>Chino</v>
      </c>
      <c r="L1039" t="str">
        <f>_xlfn.XLOOKUP(frasest[[#This Row],[author_es]],autorest[author_es],autorest[language_la])</f>
        <v>Lingua Sinica</v>
      </c>
      <c r="M1039" t="str">
        <f>_xlfn.XLOOKUP(frasest[[#This Row],[author_es]],autorest[author_es],autorest[nation_es])</f>
        <v>China</v>
      </c>
      <c r="N1039" t="str">
        <f>_xlfn.XLOOKUP(frasest[[#This Row],[author_es]],autorest[author_es],autorest[nation_la])</f>
        <v>Sinae</v>
      </c>
      <c r="O1039" t="str">
        <f>_xlfn.XLOOKUP(frasest[[#This Row],[author_es]],autorest[author_es],autorest[age_es])</f>
        <v>Epoca Desconocida</v>
      </c>
      <c r="P1039" t="str">
        <f>_xlfn.XLOOKUP(frasest[[#This Row],[author_es]],autorest[author_es],autorest[age_la])</f>
        <v>Epocha Ignota</v>
      </c>
      <c r="Q1039" t="str">
        <f>_xlfn.XLOOKUP(frasest[[#This Row],[author_es]],autorest[author_es],autorest[image])</f>
        <v>https://i.ibb.co/qLfpZm6h/china.png</v>
      </c>
      <c r="R1039">
        <f>_xlfn.XLOOKUP(frasest[[#This Row],[author_es]],autorest[author_es],autorest[image_atr])</f>
        <v>0</v>
      </c>
    </row>
    <row r="1040" spans="1:18">
      <c r="A1040">
        <v>1039</v>
      </c>
      <c r="B1040" t="s">
        <v>3253</v>
      </c>
      <c r="C1040" t="s">
        <v>3254</v>
      </c>
      <c r="D1040" s="1" t="s">
        <v>3255</v>
      </c>
      <c r="E1040" t="s">
        <v>36</v>
      </c>
      <c r="G1040" t="str">
        <f>_xlfn.XLOOKUP(frasest[[#This Row],[author_es]],autorest[author_es],autorest[author_la])</f>
        <v>Proverbium Sinense</v>
      </c>
      <c r="H1040" t="str">
        <f>_xlfn.XLOOKUP(frasest[[#This Row],[author_es]],autorest[author_es],autorest[bio_es])</f>
        <v>Conjunto de proverbios tradicionales de la cultura china que transmiten sabiduría popular, valores morales y enseñanzas prácticas transmitidas oralmente durante siglos.</v>
      </c>
      <c r="I1040" t="str">
        <f>_xlfn.XLOOKUP(frasest[[#This Row],[author_es]],autorest[author_es],autorest[bio_la])</f>
        <v>Collectio sententiarum Sinensium, magnopere in cultura tradita.</v>
      </c>
      <c r="J1040" t="str">
        <f>_xlfn.XLOOKUP(frasest[[#This Row],[author_es]],autorest[author_es],autorest[iso3691])</f>
        <v>zh</v>
      </c>
      <c r="K1040" t="str">
        <f>_xlfn.XLOOKUP(frasest[[#This Row],[author_es]],autorest[author_es],autorest[language_es])</f>
        <v>Chino</v>
      </c>
      <c r="L1040" t="str">
        <f>_xlfn.XLOOKUP(frasest[[#This Row],[author_es]],autorest[author_es],autorest[language_la])</f>
        <v>Lingua Sinica</v>
      </c>
      <c r="M1040" t="str">
        <f>_xlfn.XLOOKUP(frasest[[#This Row],[author_es]],autorest[author_es],autorest[nation_es])</f>
        <v>China</v>
      </c>
      <c r="N1040" t="str">
        <f>_xlfn.XLOOKUP(frasest[[#This Row],[author_es]],autorest[author_es],autorest[nation_la])</f>
        <v>Sinae</v>
      </c>
      <c r="O1040" t="str">
        <f>_xlfn.XLOOKUP(frasest[[#This Row],[author_es]],autorest[author_es],autorest[age_es])</f>
        <v>Epoca Desconocida</v>
      </c>
      <c r="P1040" t="str">
        <f>_xlfn.XLOOKUP(frasest[[#This Row],[author_es]],autorest[author_es],autorest[age_la])</f>
        <v>Epocha Ignota</v>
      </c>
      <c r="Q1040" t="str">
        <f>_xlfn.XLOOKUP(frasest[[#This Row],[author_es]],autorest[author_es],autorest[image])</f>
        <v>https://i.ibb.co/qLfpZm6h/china.png</v>
      </c>
      <c r="R1040">
        <f>_xlfn.XLOOKUP(frasest[[#This Row],[author_es]],autorest[author_es],autorest[image_atr])</f>
        <v>0</v>
      </c>
    </row>
    <row r="1041" spans="1:18">
      <c r="A1041">
        <v>1040</v>
      </c>
      <c r="B1041" t="s">
        <v>3256</v>
      </c>
      <c r="C1041" t="s">
        <v>3257</v>
      </c>
      <c r="D1041" s="1" t="s">
        <v>3258</v>
      </c>
      <c r="E1041" t="s">
        <v>36</v>
      </c>
      <c r="G1041" t="str">
        <f>_xlfn.XLOOKUP(frasest[[#This Row],[author_es]],autorest[author_es],autorest[author_la])</f>
        <v>Proverbium Sinense</v>
      </c>
      <c r="H1041" t="str">
        <f>_xlfn.XLOOKUP(frasest[[#This Row],[author_es]],autorest[author_es],autorest[bio_es])</f>
        <v>Conjunto de proverbios tradicionales de la cultura china que transmiten sabiduría popular, valores morales y enseñanzas prácticas transmitidas oralmente durante siglos.</v>
      </c>
      <c r="I1041" t="str">
        <f>_xlfn.XLOOKUP(frasest[[#This Row],[author_es]],autorest[author_es],autorest[bio_la])</f>
        <v>Collectio sententiarum Sinensium, magnopere in cultura tradita.</v>
      </c>
      <c r="J1041" t="str">
        <f>_xlfn.XLOOKUP(frasest[[#This Row],[author_es]],autorest[author_es],autorest[iso3691])</f>
        <v>zh</v>
      </c>
      <c r="K1041" t="str">
        <f>_xlfn.XLOOKUP(frasest[[#This Row],[author_es]],autorest[author_es],autorest[language_es])</f>
        <v>Chino</v>
      </c>
      <c r="L1041" t="str">
        <f>_xlfn.XLOOKUP(frasest[[#This Row],[author_es]],autorest[author_es],autorest[language_la])</f>
        <v>Lingua Sinica</v>
      </c>
      <c r="M1041" t="str">
        <f>_xlfn.XLOOKUP(frasest[[#This Row],[author_es]],autorest[author_es],autorest[nation_es])</f>
        <v>China</v>
      </c>
      <c r="N1041" t="str">
        <f>_xlfn.XLOOKUP(frasest[[#This Row],[author_es]],autorest[author_es],autorest[nation_la])</f>
        <v>Sinae</v>
      </c>
      <c r="O1041" t="str">
        <f>_xlfn.XLOOKUP(frasest[[#This Row],[author_es]],autorest[author_es],autorest[age_es])</f>
        <v>Epoca Desconocida</v>
      </c>
      <c r="P1041" t="str">
        <f>_xlfn.XLOOKUP(frasest[[#This Row],[author_es]],autorest[author_es],autorest[age_la])</f>
        <v>Epocha Ignota</v>
      </c>
      <c r="Q1041" t="str">
        <f>_xlfn.XLOOKUP(frasest[[#This Row],[author_es]],autorest[author_es],autorest[image])</f>
        <v>https://i.ibb.co/qLfpZm6h/china.png</v>
      </c>
      <c r="R1041">
        <f>_xlfn.XLOOKUP(frasest[[#This Row],[author_es]],autorest[author_es],autorest[image_atr])</f>
        <v>0</v>
      </c>
    </row>
    <row r="1042" spans="1:18">
      <c r="A1042">
        <v>1041</v>
      </c>
      <c r="B1042" t="s">
        <v>3259</v>
      </c>
      <c r="C1042" t="s">
        <v>3260</v>
      </c>
      <c r="D1042" s="1" t="s">
        <v>3261</v>
      </c>
      <c r="E1042" t="s">
        <v>36</v>
      </c>
      <c r="G1042" t="str">
        <f>_xlfn.XLOOKUP(frasest[[#This Row],[author_es]],autorest[author_es],autorest[author_la])</f>
        <v>Proverbium Sinense</v>
      </c>
      <c r="H1042" t="str">
        <f>_xlfn.XLOOKUP(frasest[[#This Row],[author_es]],autorest[author_es],autorest[bio_es])</f>
        <v>Conjunto de proverbios tradicionales de la cultura china que transmiten sabiduría popular, valores morales y enseñanzas prácticas transmitidas oralmente durante siglos.</v>
      </c>
      <c r="I1042" t="str">
        <f>_xlfn.XLOOKUP(frasest[[#This Row],[author_es]],autorest[author_es],autorest[bio_la])</f>
        <v>Collectio sententiarum Sinensium, magnopere in cultura tradita.</v>
      </c>
      <c r="J1042" t="str">
        <f>_xlfn.XLOOKUP(frasest[[#This Row],[author_es]],autorest[author_es],autorest[iso3691])</f>
        <v>zh</v>
      </c>
      <c r="K1042" t="str">
        <f>_xlfn.XLOOKUP(frasest[[#This Row],[author_es]],autorest[author_es],autorest[language_es])</f>
        <v>Chino</v>
      </c>
      <c r="L1042" t="str">
        <f>_xlfn.XLOOKUP(frasest[[#This Row],[author_es]],autorest[author_es],autorest[language_la])</f>
        <v>Lingua Sinica</v>
      </c>
      <c r="M1042" t="str">
        <f>_xlfn.XLOOKUP(frasest[[#This Row],[author_es]],autorest[author_es],autorest[nation_es])</f>
        <v>China</v>
      </c>
      <c r="N1042" t="str">
        <f>_xlfn.XLOOKUP(frasest[[#This Row],[author_es]],autorest[author_es],autorest[nation_la])</f>
        <v>Sinae</v>
      </c>
      <c r="O1042" t="str">
        <f>_xlfn.XLOOKUP(frasest[[#This Row],[author_es]],autorest[author_es],autorest[age_es])</f>
        <v>Epoca Desconocida</v>
      </c>
      <c r="P1042" t="str">
        <f>_xlfn.XLOOKUP(frasest[[#This Row],[author_es]],autorest[author_es],autorest[age_la])</f>
        <v>Epocha Ignota</v>
      </c>
      <c r="Q1042" t="str">
        <f>_xlfn.XLOOKUP(frasest[[#This Row],[author_es]],autorest[author_es],autorest[image])</f>
        <v>https://i.ibb.co/qLfpZm6h/china.png</v>
      </c>
      <c r="R1042">
        <f>_xlfn.XLOOKUP(frasest[[#This Row],[author_es]],autorest[author_es],autorest[image_atr])</f>
        <v>0</v>
      </c>
    </row>
    <row r="1043" spans="1:18">
      <c r="A1043">
        <v>1042</v>
      </c>
      <c r="B1043" t="s">
        <v>3262</v>
      </c>
      <c r="C1043" t="s">
        <v>3263</v>
      </c>
      <c r="D1043" s="1" t="s">
        <v>3264</v>
      </c>
      <c r="E1043" t="s">
        <v>36</v>
      </c>
      <c r="G1043" t="str">
        <f>_xlfn.XLOOKUP(frasest[[#This Row],[author_es]],autorest[author_es],autorest[author_la])</f>
        <v>Proverbium Sinense</v>
      </c>
      <c r="H1043" t="str">
        <f>_xlfn.XLOOKUP(frasest[[#This Row],[author_es]],autorest[author_es],autorest[bio_es])</f>
        <v>Conjunto de proverbios tradicionales de la cultura china que transmiten sabiduría popular, valores morales y enseñanzas prácticas transmitidas oralmente durante siglos.</v>
      </c>
      <c r="I1043" t="str">
        <f>_xlfn.XLOOKUP(frasest[[#This Row],[author_es]],autorest[author_es],autorest[bio_la])</f>
        <v>Collectio sententiarum Sinensium, magnopere in cultura tradita.</v>
      </c>
      <c r="J1043" t="str">
        <f>_xlfn.XLOOKUP(frasest[[#This Row],[author_es]],autorest[author_es],autorest[iso3691])</f>
        <v>zh</v>
      </c>
      <c r="K1043" t="str">
        <f>_xlfn.XLOOKUP(frasest[[#This Row],[author_es]],autorest[author_es],autorest[language_es])</f>
        <v>Chino</v>
      </c>
      <c r="L1043" t="str">
        <f>_xlfn.XLOOKUP(frasest[[#This Row],[author_es]],autorest[author_es],autorest[language_la])</f>
        <v>Lingua Sinica</v>
      </c>
      <c r="M1043" t="str">
        <f>_xlfn.XLOOKUP(frasest[[#This Row],[author_es]],autorest[author_es],autorest[nation_es])</f>
        <v>China</v>
      </c>
      <c r="N1043" t="str">
        <f>_xlfn.XLOOKUP(frasest[[#This Row],[author_es]],autorest[author_es],autorest[nation_la])</f>
        <v>Sinae</v>
      </c>
      <c r="O1043" t="str">
        <f>_xlfn.XLOOKUP(frasest[[#This Row],[author_es]],autorest[author_es],autorest[age_es])</f>
        <v>Epoca Desconocida</v>
      </c>
      <c r="P1043" t="str">
        <f>_xlfn.XLOOKUP(frasest[[#This Row],[author_es]],autorest[author_es],autorest[age_la])</f>
        <v>Epocha Ignota</v>
      </c>
      <c r="Q1043" t="str">
        <f>_xlfn.XLOOKUP(frasest[[#This Row],[author_es]],autorest[author_es],autorest[image])</f>
        <v>https://i.ibb.co/qLfpZm6h/china.png</v>
      </c>
      <c r="R1043">
        <f>_xlfn.XLOOKUP(frasest[[#This Row],[author_es]],autorest[author_es],autorest[image_atr])</f>
        <v>0</v>
      </c>
    </row>
    <row r="1044" spans="1:18">
      <c r="A1044">
        <v>1043</v>
      </c>
      <c r="B1044" t="s">
        <v>3265</v>
      </c>
      <c r="C1044" t="s">
        <v>3266</v>
      </c>
      <c r="D1044" s="1" t="s">
        <v>3267</v>
      </c>
      <c r="E1044" t="s">
        <v>36</v>
      </c>
      <c r="G1044" t="str">
        <f>_xlfn.XLOOKUP(frasest[[#This Row],[author_es]],autorest[author_es],autorest[author_la])</f>
        <v>Proverbium Sinense</v>
      </c>
      <c r="H1044" t="str">
        <f>_xlfn.XLOOKUP(frasest[[#This Row],[author_es]],autorest[author_es],autorest[bio_es])</f>
        <v>Conjunto de proverbios tradicionales de la cultura china que transmiten sabiduría popular, valores morales y enseñanzas prácticas transmitidas oralmente durante siglos.</v>
      </c>
      <c r="I1044" t="str">
        <f>_xlfn.XLOOKUP(frasest[[#This Row],[author_es]],autorest[author_es],autorest[bio_la])</f>
        <v>Collectio sententiarum Sinensium, magnopere in cultura tradita.</v>
      </c>
      <c r="J1044" t="str">
        <f>_xlfn.XLOOKUP(frasest[[#This Row],[author_es]],autorest[author_es],autorest[iso3691])</f>
        <v>zh</v>
      </c>
      <c r="K1044" t="str">
        <f>_xlfn.XLOOKUP(frasest[[#This Row],[author_es]],autorest[author_es],autorest[language_es])</f>
        <v>Chino</v>
      </c>
      <c r="L1044" t="str">
        <f>_xlfn.XLOOKUP(frasest[[#This Row],[author_es]],autorest[author_es],autorest[language_la])</f>
        <v>Lingua Sinica</v>
      </c>
      <c r="M1044" t="str">
        <f>_xlfn.XLOOKUP(frasest[[#This Row],[author_es]],autorest[author_es],autorest[nation_es])</f>
        <v>China</v>
      </c>
      <c r="N1044" t="str">
        <f>_xlfn.XLOOKUP(frasest[[#This Row],[author_es]],autorest[author_es],autorest[nation_la])</f>
        <v>Sinae</v>
      </c>
      <c r="O1044" t="str">
        <f>_xlfn.XLOOKUP(frasest[[#This Row],[author_es]],autorest[author_es],autorest[age_es])</f>
        <v>Epoca Desconocida</v>
      </c>
      <c r="P1044" t="str">
        <f>_xlfn.XLOOKUP(frasest[[#This Row],[author_es]],autorest[author_es],autorest[age_la])</f>
        <v>Epocha Ignota</v>
      </c>
      <c r="Q1044" t="str">
        <f>_xlfn.XLOOKUP(frasest[[#This Row],[author_es]],autorest[author_es],autorest[image])</f>
        <v>https://i.ibb.co/qLfpZm6h/china.png</v>
      </c>
      <c r="R1044">
        <f>_xlfn.XLOOKUP(frasest[[#This Row],[author_es]],autorest[author_es],autorest[image_atr])</f>
        <v>0</v>
      </c>
    </row>
    <row r="1045" spans="1:18">
      <c r="A1045">
        <v>1044</v>
      </c>
      <c r="B1045" t="s">
        <v>3268</v>
      </c>
      <c r="C1045" t="s">
        <v>3269</v>
      </c>
      <c r="D1045" s="1" t="s">
        <v>3270</v>
      </c>
      <c r="E1045" t="s">
        <v>36</v>
      </c>
      <c r="G1045" t="str">
        <f>_xlfn.XLOOKUP(frasest[[#This Row],[author_es]],autorest[author_es],autorest[author_la])</f>
        <v>Proverbium Sinense</v>
      </c>
      <c r="H1045" t="str">
        <f>_xlfn.XLOOKUP(frasest[[#This Row],[author_es]],autorest[author_es],autorest[bio_es])</f>
        <v>Conjunto de proverbios tradicionales de la cultura china que transmiten sabiduría popular, valores morales y enseñanzas prácticas transmitidas oralmente durante siglos.</v>
      </c>
      <c r="I1045" t="str">
        <f>_xlfn.XLOOKUP(frasest[[#This Row],[author_es]],autorest[author_es],autorest[bio_la])</f>
        <v>Collectio sententiarum Sinensium, magnopere in cultura tradita.</v>
      </c>
      <c r="J1045" t="str">
        <f>_xlfn.XLOOKUP(frasest[[#This Row],[author_es]],autorest[author_es],autorest[iso3691])</f>
        <v>zh</v>
      </c>
      <c r="K1045" t="str">
        <f>_xlfn.XLOOKUP(frasest[[#This Row],[author_es]],autorest[author_es],autorest[language_es])</f>
        <v>Chino</v>
      </c>
      <c r="L1045" t="str">
        <f>_xlfn.XLOOKUP(frasest[[#This Row],[author_es]],autorest[author_es],autorest[language_la])</f>
        <v>Lingua Sinica</v>
      </c>
      <c r="M1045" t="str">
        <f>_xlfn.XLOOKUP(frasest[[#This Row],[author_es]],autorest[author_es],autorest[nation_es])</f>
        <v>China</v>
      </c>
      <c r="N1045" t="str">
        <f>_xlfn.XLOOKUP(frasest[[#This Row],[author_es]],autorest[author_es],autorest[nation_la])</f>
        <v>Sinae</v>
      </c>
      <c r="O1045" t="str">
        <f>_xlfn.XLOOKUP(frasest[[#This Row],[author_es]],autorest[author_es],autorest[age_es])</f>
        <v>Epoca Desconocida</v>
      </c>
      <c r="P1045" t="str">
        <f>_xlfn.XLOOKUP(frasest[[#This Row],[author_es]],autorest[author_es],autorest[age_la])</f>
        <v>Epocha Ignota</v>
      </c>
      <c r="Q1045" t="str">
        <f>_xlfn.XLOOKUP(frasest[[#This Row],[author_es]],autorest[author_es],autorest[image])</f>
        <v>https://i.ibb.co/qLfpZm6h/china.png</v>
      </c>
      <c r="R1045">
        <f>_xlfn.XLOOKUP(frasest[[#This Row],[author_es]],autorest[author_es],autorest[image_atr])</f>
        <v>0</v>
      </c>
    </row>
    <row r="1046" spans="1:18">
      <c r="A1046">
        <v>1045</v>
      </c>
      <c r="B1046" t="s">
        <v>3271</v>
      </c>
      <c r="C1046" t="s">
        <v>3272</v>
      </c>
      <c r="D1046" s="1" t="s">
        <v>3273</v>
      </c>
      <c r="E1046" t="s">
        <v>36</v>
      </c>
      <c r="G1046" t="str">
        <f>_xlfn.XLOOKUP(frasest[[#This Row],[author_es]],autorest[author_es],autorest[author_la])</f>
        <v>Proverbium Sinense</v>
      </c>
      <c r="H1046" t="str">
        <f>_xlfn.XLOOKUP(frasest[[#This Row],[author_es]],autorest[author_es],autorest[bio_es])</f>
        <v>Conjunto de proverbios tradicionales de la cultura china que transmiten sabiduría popular, valores morales y enseñanzas prácticas transmitidas oralmente durante siglos.</v>
      </c>
      <c r="I1046" t="str">
        <f>_xlfn.XLOOKUP(frasest[[#This Row],[author_es]],autorest[author_es],autorest[bio_la])</f>
        <v>Collectio sententiarum Sinensium, magnopere in cultura tradita.</v>
      </c>
      <c r="J1046" t="str">
        <f>_xlfn.XLOOKUP(frasest[[#This Row],[author_es]],autorest[author_es],autorest[iso3691])</f>
        <v>zh</v>
      </c>
      <c r="K1046" t="str">
        <f>_xlfn.XLOOKUP(frasest[[#This Row],[author_es]],autorest[author_es],autorest[language_es])</f>
        <v>Chino</v>
      </c>
      <c r="L1046" t="str">
        <f>_xlfn.XLOOKUP(frasest[[#This Row],[author_es]],autorest[author_es],autorest[language_la])</f>
        <v>Lingua Sinica</v>
      </c>
      <c r="M1046" t="str">
        <f>_xlfn.XLOOKUP(frasest[[#This Row],[author_es]],autorest[author_es],autorest[nation_es])</f>
        <v>China</v>
      </c>
      <c r="N1046" t="str">
        <f>_xlfn.XLOOKUP(frasest[[#This Row],[author_es]],autorest[author_es],autorest[nation_la])</f>
        <v>Sinae</v>
      </c>
      <c r="O1046" t="str">
        <f>_xlfn.XLOOKUP(frasest[[#This Row],[author_es]],autorest[author_es],autorest[age_es])</f>
        <v>Epoca Desconocida</v>
      </c>
      <c r="P1046" t="str">
        <f>_xlfn.XLOOKUP(frasest[[#This Row],[author_es]],autorest[author_es],autorest[age_la])</f>
        <v>Epocha Ignota</v>
      </c>
      <c r="Q1046" t="str">
        <f>_xlfn.XLOOKUP(frasest[[#This Row],[author_es]],autorest[author_es],autorest[image])</f>
        <v>https://i.ibb.co/qLfpZm6h/china.png</v>
      </c>
      <c r="R1046">
        <f>_xlfn.XLOOKUP(frasest[[#This Row],[author_es]],autorest[author_es],autorest[image_atr])</f>
        <v>0</v>
      </c>
    </row>
    <row r="1047" spans="1:18">
      <c r="A1047">
        <v>1046</v>
      </c>
      <c r="B1047" t="s">
        <v>3274</v>
      </c>
      <c r="C1047" t="s">
        <v>3275</v>
      </c>
      <c r="D1047" s="1" t="s">
        <v>3276</v>
      </c>
      <c r="E1047" t="s">
        <v>36</v>
      </c>
      <c r="G1047" t="str">
        <f>_xlfn.XLOOKUP(frasest[[#This Row],[author_es]],autorest[author_es],autorest[author_la])</f>
        <v>Proverbium Sinense</v>
      </c>
      <c r="H1047" t="str">
        <f>_xlfn.XLOOKUP(frasest[[#This Row],[author_es]],autorest[author_es],autorest[bio_es])</f>
        <v>Conjunto de proverbios tradicionales de la cultura china que transmiten sabiduría popular, valores morales y enseñanzas prácticas transmitidas oralmente durante siglos.</v>
      </c>
      <c r="I1047" t="str">
        <f>_xlfn.XLOOKUP(frasest[[#This Row],[author_es]],autorest[author_es],autorest[bio_la])</f>
        <v>Collectio sententiarum Sinensium, magnopere in cultura tradita.</v>
      </c>
      <c r="J1047" t="str">
        <f>_xlfn.XLOOKUP(frasest[[#This Row],[author_es]],autorest[author_es],autorest[iso3691])</f>
        <v>zh</v>
      </c>
      <c r="K1047" t="str">
        <f>_xlfn.XLOOKUP(frasest[[#This Row],[author_es]],autorest[author_es],autorest[language_es])</f>
        <v>Chino</v>
      </c>
      <c r="L1047" t="str">
        <f>_xlfn.XLOOKUP(frasest[[#This Row],[author_es]],autorest[author_es],autorest[language_la])</f>
        <v>Lingua Sinica</v>
      </c>
      <c r="M1047" t="str">
        <f>_xlfn.XLOOKUP(frasest[[#This Row],[author_es]],autorest[author_es],autorest[nation_es])</f>
        <v>China</v>
      </c>
      <c r="N1047" t="str">
        <f>_xlfn.XLOOKUP(frasest[[#This Row],[author_es]],autorest[author_es],autorest[nation_la])</f>
        <v>Sinae</v>
      </c>
      <c r="O1047" t="str">
        <f>_xlfn.XLOOKUP(frasest[[#This Row],[author_es]],autorest[author_es],autorest[age_es])</f>
        <v>Epoca Desconocida</v>
      </c>
      <c r="P1047" t="str">
        <f>_xlfn.XLOOKUP(frasest[[#This Row],[author_es]],autorest[author_es],autorest[age_la])</f>
        <v>Epocha Ignota</v>
      </c>
      <c r="Q1047" t="str">
        <f>_xlfn.XLOOKUP(frasest[[#This Row],[author_es]],autorest[author_es],autorest[image])</f>
        <v>https://i.ibb.co/qLfpZm6h/china.png</v>
      </c>
      <c r="R1047">
        <f>_xlfn.XLOOKUP(frasest[[#This Row],[author_es]],autorest[author_es],autorest[image_atr])</f>
        <v>0</v>
      </c>
    </row>
    <row r="1048" spans="1:18">
      <c r="A1048">
        <v>1047</v>
      </c>
      <c r="B1048" t="s">
        <v>3277</v>
      </c>
      <c r="C1048" t="s">
        <v>3278</v>
      </c>
      <c r="D1048" s="1" t="s">
        <v>3279</v>
      </c>
      <c r="E1048" t="s">
        <v>36</v>
      </c>
      <c r="G1048" t="str">
        <f>_xlfn.XLOOKUP(frasest[[#This Row],[author_es]],autorest[author_es],autorest[author_la])</f>
        <v>Proverbium Sinense</v>
      </c>
      <c r="H1048" t="str">
        <f>_xlfn.XLOOKUP(frasest[[#This Row],[author_es]],autorest[author_es],autorest[bio_es])</f>
        <v>Conjunto de proverbios tradicionales de la cultura china que transmiten sabiduría popular, valores morales y enseñanzas prácticas transmitidas oralmente durante siglos.</v>
      </c>
      <c r="I1048" t="str">
        <f>_xlfn.XLOOKUP(frasest[[#This Row],[author_es]],autorest[author_es],autorest[bio_la])</f>
        <v>Collectio sententiarum Sinensium, magnopere in cultura tradita.</v>
      </c>
      <c r="J1048" t="str">
        <f>_xlfn.XLOOKUP(frasest[[#This Row],[author_es]],autorest[author_es],autorest[iso3691])</f>
        <v>zh</v>
      </c>
      <c r="K1048" t="str">
        <f>_xlfn.XLOOKUP(frasest[[#This Row],[author_es]],autorest[author_es],autorest[language_es])</f>
        <v>Chino</v>
      </c>
      <c r="L1048" t="str">
        <f>_xlfn.XLOOKUP(frasest[[#This Row],[author_es]],autorest[author_es],autorest[language_la])</f>
        <v>Lingua Sinica</v>
      </c>
      <c r="M1048" t="str">
        <f>_xlfn.XLOOKUP(frasest[[#This Row],[author_es]],autorest[author_es],autorest[nation_es])</f>
        <v>China</v>
      </c>
      <c r="N1048" t="str">
        <f>_xlfn.XLOOKUP(frasest[[#This Row],[author_es]],autorest[author_es],autorest[nation_la])</f>
        <v>Sinae</v>
      </c>
      <c r="O1048" t="str">
        <f>_xlfn.XLOOKUP(frasest[[#This Row],[author_es]],autorest[author_es],autorest[age_es])</f>
        <v>Epoca Desconocida</v>
      </c>
      <c r="P1048" t="str">
        <f>_xlfn.XLOOKUP(frasest[[#This Row],[author_es]],autorest[author_es],autorest[age_la])</f>
        <v>Epocha Ignota</v>
      </c>
      <c r="Q1048" t="str">
        <f>_xlfn.XLOOKUP(frasest[[#This Row],[author_es]],autorest[author_es],autorest[image])</f>
        <v>https://i.ibb.co/qLfpZm6h/china.png</v>
      </c>
      <c r="R1048">
        <f>_xlfn.XLOOKUP(frasest[[#This Row],[author_es]],autorest[author_es],autorest[image_atr])</f>
        <v>0</v>
      </c>
    </row>
    <row r="1049" spans="1:18">
      <c r="A1049">
        <v>1048</v>
      </c>
      <c r="B1049" t="s">
        <v>3280</v>
      </c>
      <c r="C1049" t="s">
        <v>3281</v>
      </c>
      <c r="D1049" s="1" t="s">
        <v>3282</v>
      </c>
      <c r="E1049" t="s">
        <v>36</v>
      </c>
      <c r="G1049" t="str">
        <f>_xlfn.XLOOKUP(frasest[[#This Row],[author_es]],autorest[author_es],autorest[author_la])</f>
        <v>Proverbium Sinense</v>
      </c>
      <c r="H1049" t="str">
        <f>_xlfn.XLOOKUP(frasest[[#This Row],[author_es]],autorest[author_es],autorest[bio_es])</f>
        <v>Conjunto de proverbios tradicionales de la cultura china que transmiten sabiduría popular, valores morales y enseñanzas prácticas transmitidas oralmente durante siglos.</v>
      </c>
      <c r="I1049" t="str">
        <f>_xlfn.XLOOKUP(frasest[[#This Row],[author_es]],autorest[author_es],autorest[bio_la])</f>
        <v>Collectio sententiarum Sinensium, magnopere in cultura tradita.</v>
      </c>
      <c r="J1049" t="str">
        <f>_xlfn.XLOOKUP(frasest[[#This Row],[author_es]],autorest[author_es],autorest[iso3691])</f>
        <v>zh</v>
      </c>
      <c r="K1049" t="str">
        <f>_xlfn.XLOOKUP(frasest[[#This Row],[author_es]],autorest[author_es],autorest[language_es])</f>
        <v>Chino</v>
      </c>
      <c r="L1049" t="str">
        <f>_xlfn.XLOOKUP(frasest[[#This Row],[author_es]],autorest[author_es],autorest[language_la])</f>
        <v>Lingua Sinica</v>
      </c>
      <c r="M1049" t="str">
        <f>_xlfn.XLOOKUP(frasest[[#This Row],[author_es]],autorest[author_es],autorest[nation_es])</f>
        <v>China</v>
      </c>
      <c r="N1049" t="str">
        <f>_xlfn.XLOOKUP(frasest[[#This Row],[author_es]],autorest[author_es],autorest[nation_la])</f>
        <v>Sinae</v>
      </c>
      <c r="O1049" t="str">
        <f>_xlfn.XLOOKUP(frasest[[#This Row],[author_es]],autorest[author_es],autorest[age_es])</f>
        <v>Epoca Desconocida</v>
      </c>
      <c r="P1049" t="str">
        <f>_xlfn.XLOOKUP(frasest[[#This Row],[author_es]],autorest[author_es],autorest[age_la])</f>
        <v>Epocha Ignota</v>
      </c>
      <c r="Q1049" t="str">
        <f>_xlfn.XLOOKUP(frasest[[#This Row],[author_es]],autorest[author_es],autorest[image])</f>
        <v>https://i.ibb.co/qLfpZm6h/china.png</v>
      </c>
      <c r="R1049">
        <f>_xlfn.XLOOKUP(frasest[[#This Row],[author_es]],autorest[author_es],autorest[image_atr])</f>
        <v>0</v>
      </c>
    </row>
    <row r="1050" spans="1:18">
      <c r="A1050">
        <v>1049</v>
      </c>
      <c r="B1050" t="s">
        <v>3283</v>
      </c>
      <c r="C1050" t="s">
        <v>3284</v>
      </c>
      <c r="D1050" s="1" t="s">
        <v>3285</v>
      </c>
      <c r="E1050" t="s">
        <v>36</v>
      </c>
      <c r="G1050" t="str">
        <f>_xlfn.XLOOKUP(frasest[[#This Row],[author_es]],autorest[author_es],autorest[author_la])</f>
        <v>Proverbium Sinense</v>
      </c>
      <c r="H1050" t="str">
        <f>_xlfn.XLOOKUP(frasest[[#This Row],[author_es]],autorest[author_es],autorest[bio_es])</f>
        <v>Conjunto de proverbios tradicionales de la cultura china que transmiten sabiduría popular, valores morales y enseñanzas prácticas transmitidas oralmente durante siglos.</v>
      </c>
      <c r="I1050" t="str">
        <f>_xlfn.XLOOKUP(frasest[[#This Row],[author_es]],autorest[author_es],autorest[bio_la])</f>
        <v>Collectio sententiarum Sinensium, magnopere in cultura tradita.</v>
      </c>
      <c r="J1050" t="str">
        <f>_xlfn.XLOOKUP(frasest[[#This Row],[author_es]],autorest[author_es],autorest[iso3691])</f>
        <v>zh</v>
      </c>
      <c r="K1050" t="str">
        <f>_xlfn.XLOOKUP(frasest[[#This Row],[author_es]],autorest[author_es],autorest[language_es])</f>
        <v>Chino</v>
      </c>
      <c r="L1050" t="str">
        <f>_xlfn.XLOOKUP(frasest[[#This Row],[author_es]],autorest[author_es],autorest[language_la])</f>
        <v>Lingua Sinica</v>
      </c>
      <c r="M1050" t="str">
        <f>_xlfn.XLOOKUP(frasest[[#This Row],[author_es]],autorest[author_es],autorest[nation_es])</f>
        <v>China</v>
      </c>
      <c r="N1050" t="str">
        <f>_xlfn.XLOOKUP(frasest[[#This Row],[author_es]],autorest[author_es],autorest[nation_la])</f>
        <v>Sinae</v>
      </c>
      <c r="O1050" t="str">
        <f>_xlfn.XLOOKUP(frasest[[#This Row],[author_es]],autorest[author_es],autorest[age_es])</f>
        <v>Epoca Desconocida</v>
      </c>
      <c r="P1050" t="str">
        <f>_xlfn.XLOOKUP(frasest[[#This Row],[author_es]],autorest[author_es],autorest[age_la])</f>
        <v>Epocha Ignota</v>
      </c>
      <c r="Q1050" t="str">
        <f>_xlfn.XLOOKUP(frasest[[#This Row],[author_es]],autorest[author_es],autorest[image])</f>
        <v>https://i.ibb.co/qLfpZm6h/china.png</v>
      </c>
      <c r="R1050">
        <f>_xlfn.XLOOKUP(frasest[[#This Row],[author_es]],autorest[author_es],autorest[image_atr])</f>
        <v>0</v>
      </c>
    </row>
    <row r="1051" spans="1:18">
      <c r="A1051">
        <v>1050</v>
      </c>
      <c r="B1051" t="s">
        <v>3286</v>
      </c>
      <c r="C1051" t="s">
        <v>3287</v>
      </c>
      <c r="D1051" s="1" t="s">
        <v>3288</v>
      </c>
      <c r="E1051" t="s">
        <v>36</v>
      </c>
      <c r="G1051" t="str">
        <f>_xlfn.XLOOKUP(frasest[[#This Row],[author_es]],autorest[author_es],autorest[author_la])</f>
        <v>Proverbium Sinense</v>
      </c>
      <c r="H1051" t="str">
        <f>_xlfn.XLOOKUP(frasest[[#This Row],[author_es]],autorest[author_es],autorest[bio_es])</f>
        <v>Conjunto de proverbios tradicionales de la cultura china que transmiten sabiduría popular, valores morales y enseñanzas prácticas transmitidas oralmente durante siglos.</v>
      </c>
      <c r="I1051" t="str">
        <f>_xlfn.XLOOKUP(frasest[[#This Row],[author_es]],autorest[author_es],autorest[bio_la])</f>
        <v>Collectio sententiarum Sinensium, magnopere in cultura tradita.</v>
      </c>
      <c r="J1051" t="str">
        <f>_xlfn.XLOOKUP(frasest[[#This Row],[author_es]],autorest[author_es],autorest[iso3691])</f>
        <v>zh</v>
      </c>
      <c r="K1051" t="str">
        <f>_xlfn.XLOOKUP(frasest[[#This Row],[author_es]],autorest[author_es],autorest[language_es])</f>
        <v>Chino</v>
      </c>
      <c r="L1051" t="str">
        <f>_xlfn.XLOOKUP(frasest[[#This Row],[author_es]],autorest[author_es],autorest[language_la])</f>
        <v>Lingua Sinica</v>
      </c>
      <c r="M1051" t="str">
        <f>_xlfn.XLOOKUP(frasest[[#This Row],[author_es]],autorest[author_es],autorest[nation_es])</f>
        <v>China</v>
      </c>
      <c r="N1051" t="str">
        <f>_xlfn.XLOOKUP(frasest[[#This Row],[author_es]],autorest[author_es],autorest[nation_la])</f>
        <v>Sinae</v>
      </c>
      <c r="O1051" t="str">
        <f>_xlfn.XLOOKUP(frasest[[#This Row],[author_es]],autorest[author_es],autorest[age_es])</f>
        <v>Epoca Desconocida</v>
      </c>
      <c r="P1051" t="str">
        <f>_xlfn.XLOOKUP(frasest[[#This Row],[author_es]],autorest[author_es],autorest[age_la])</f>
        <v>Epocha Ignota</v>
      </c>
      <c r="Q1051" t="str">
        <f>_xlfn.XLOOKUP(frasest[[#This Row],[author_es]],autorest[author_es],autorest[image])</f>
        <v>https://i.ibb.co/qLfpZm6h/china.png</v>
      </c>
      <c r="R1051">
        <f>_xlfn.XLOOKUP(frasest[[#This Row],[author_es]],autorest[author_es],autorest[image_atr])</f>
        <v>0</v>
      </c>
    </row>
    <row r="1052" spans="1:18">
      <c r="A1052">
        <v>1051</v>
      </c>
      <c r="B1052" t="s">
        <v>3289</v>
      </c>
      <c r="C1052" t="s">
        <v>3290</v>
      </c>
      <c r="D1052" s="1" t="s">
        <v>3291</v>
      </c>
      <c r="E1052" t="s">
        <v>36</v>
      </c>
      <c r="G1052" t="str">
        <f>_xlfn.XLOOKUP(frasest[[#This Row],[author_es]],autorest[author_es],autorest[author_la])</f>
        <v>Proverbium Sinense</v>
      </c>
      <c r="H1052" t="str">
        <f>_xlfn.XLOOKUP(frasest[[#This Row],[author_es]],autorest[author_es],autorest[bio_es])</f>
        <v>Conjunto de proverbios tradicionales de la cultura china que transmiten sabiduría popular, valores morales y enseñanzas prácticas transmitidas oralmente durante siglos.</v>
      </c>
      <c r="I1052" t="str">
        <f>_xlfn.XLOOKUP(frasest[[#This Row],[author_es]],autorest[author_es],autorest[bio_la])</f>
        <v>Collectio sententiarum Sinensium, magnopere in cultura tradita.</v>
      </c>
      <c r="J1052" t="str">
        <f>_xlfn.XLOOKUP(frasest[[#This Row],[author_es]],autorest[author_es],autorest[iso3691])</f>
        <v>zh</v>
      </c>
      <c r="K1052" t="str">
        <f>_xlfn.XLOOKUP(frasest[[#This Row],[author_es]],autorest[author_es],autorest[language_es])</f>
        <v>Chino</v>
      </c>
      <c r="L1052" t="str">
        <f>_xlfn.XLOOKUP(frasest[[#This Row],[author_es]],autorest[author_es],autorest[language_la])</f>
        <v>Lingua Sinica</v>
      </c>
      <c r="M1052" t="str">
        <f>_xlfn.XLOOKUP(frasest[[#This Row],[author_es]],autorest[author_es],autorest[nation_es])</f>
        <v>China</v>
      </c>
      <c r="N1052" t="str">
        <f>_xlfn.XLOOKUP(frasest[[#This Row],[author_es]],autorest[author_es],autorest[nation_la])</f>
        <v>Sinae</v>
      </c>
      <c r="O1052" t="str">
        <f>_xlfn.XLOOKUP(frasest[[#This Row],[author_es]],autorest[author_es],autorest[age_es])</f>
        <v>Epoca Desconocida</v>
      </c>
      <c r="P1052" t="str">
        <f>_xlfn.XLOOKUP(frasest[[#This Row],[author_es]],autorest[author_es],autorest[age_la])</f>
        <v>Epocha Ignota</v>
      </c>
      <c r="Q1052" t="str">
        <f>_xlfn.XLOOKUP(frasest[[#This Row],[author_es]],autorest[author_es],autorest[image])</f>
        <v>https://i.ibb.co/qLfpZm6h/china.png</v>
      </c>
      <c r="R1052">
        <f>_xlfn.XLOOKUP(frasest[[#This Row],[author_es]],autorest[author_es],autorest[image_atr])</f>
        <v>0</v>
      </c>
    </row>
    <row r="1053" spans="1:18">
      <c r="A1053">
        <v>1052</v>
      </c>
      <c r="B1053" t="s">
        <v>3292</v>
      </c>
      <c r="C1053" t="s">
        <v>3293</v>
      </c>
      <c r="D1053" s="1" t="s">
        <v>3294</v>
      </c>
      <c r="E1053" t="s">
        <v>36</v>
      </c>
      <c r="G1053" t="str">
        <f>_xlfn.XLOOKUP(frasest[[#This Row],[author_es]],autorest[author_es],autorest[author_la])</f>
        <v>Proverbium Sinense</v>
      </c>
      <c r="H1053" t="str">
        <f>_xlfn.XLOOKUP(frasest[[#This Row],[author_es]],autorest[author_es],autorest[bio_es])</f>
        <v>Conjunto de proverbios tradicionales de la cultura china que transmiten sabiduría popular, valores morales y enseñanzas prácticas transmitidas oralmente durante siglos.</v>
      </c>
      <c r="I1053" t="str">
        <f>_xlfn.XLOOKUP(frasest[[#This Row],[author_es]],autorest[author_es],autorest[bio_la])</f>
        <v>Collectio sententiarum Sinensium, magnopere in cultura tradita.</v>
      </c>
      <c r="J1053" t="str">
        <f>_xlfn.XLOOKUP(frasest[[#This Row],[author_es]],autorest[author_es],autorest[iso3691])</f>
        <v>zh</v>
      </c>
      <c r="K1053" t="str">
        <f>_xlfn.XLOOKUP(frasest[[#This Row],[author_es]],autorest[author_es],autorest[language_es])</f>
        <v>Chino</v>
      </c>
      <c r="L1053" t="str">
        <f>_xlfn.XLOOKUP(frasest[[#This Row],[author_es]],autorest[author_es],autorest[language_la])</f>
        <v>Lingua Sinica</v>
      </c>
      <c r="M1053" t="str">
        <f>_xlfn.XLOOKUP(frasest[[#This Row],[author_es]],autorest[author_es],autorest[nation_es])</f>
        <v>China</v>
      </c>
      <c r="N1053" t="str">
        <f>_xlfn.XLOOKUP(frasest[[#This Row],[author_es]],autorest[author_es],autorest[nation_la])</f>
        <v>Sinae</v>
      </c>
      <c r="O1053" t="str">
        <f>_xlfn.XLOOKUP(frasest[[#This Row],[author_es]],autorest[author_es],autorest[age_es])</f>
        <v>Epoca Desconocida</v>
      </c>
      <c r="P1053" t="str">
        <f>_xlfn.XLOOKUP(frasest[[#This Row],[author_es]],autorest[author_es],autorest[age_la])</f>
        <v>Epocha Ignota</v>
      </c>
      <c r="Q1053" t="str">
        <f>_xlfn.XLOOKUP(frasest[[#This Row],[author_es]],autorest[author_es],autorest[image])</f>
        <v>https://i.ibb.co/qLfpZm6h/china.png</v>
      </c>
      <c r="R1053">
        <f>_xlfn.XLOOKUP(frasest[[#This Row],[author_es]],autorest[author_es],autorest[image_atr])</f>
        <v>0</v>
      </c>
    </row>
    <row r="1054" spans="1:18">
      <c r="A1054">
        <v>1053</v>
      </c>
      <c r="B1054" t="s">
        <v>3295</v>
      </c>
      <c r="C1054" t="s">
        <v>3296</v>
      </c>
      <c r="D1054" s="1" t="s">
        <v>3297</v>
      </c>
      <c r="E1054" t="s">
        <v>36</v>
      </c>
      <c r="G1054" t="str">
        <f>_xlfn.XLOOKUP(frasest[[#This Row],[author_es]],autorest[author_es],autorest[author_la])</f>
        <v>Proverbium Sinense</v>
      </c>
      <c r="H1054" t="str">
        <f>_xlfn.XLOOKUP(frasest[[#This Row],[author_es]],autorest[author_es],autorest[bio_es])</f>
        <v>Conjunto de proverbios tradicionales de la cultura china que transmiten sabiduría popular, valores morales y enseñanzas prácticas transmitidas oralmente durante siglos.</v>
      </c>
      <c r="I1054" t="str">
        <f>_xlfn.XLOOKUP(frasest[[#This Row],[author_es]],autorest[author_es],autorest[bio_la])</f>
        <v>Collectio sententiarum Sinensium, magnopere in cultura tradita.</v>
      </c>
      <c r="J1054" t="str">
        <f>_xlfn.XLOOKUP(frasest[[#This Row],[author_es]],autorest[author_es],autorest[iso3691])</f>
        <v>zh</v>
      </c>
      <c r="K1054" t="str">
        <f>_xlfn.XLOOKUP(frasest[[#This Row],[author_es]],autorest[author_es],autorest[language_es])</f>
        <v>Chino</v>
      </c>
      <c r="L1054" t="str">
        <f>_xlfn.XLOOKUP(frasest[[#This Row],[author_es]],autorest[author_es],autorest[language_la])</f>
        <v>Lingua Sinica</v>
      </c>
      <c r="M1054" t="str">
        <f>_xlfn.XLOOKUP(frasest[[#This Row],[author_es]],autorest[author_es],autorest[nation_es])</f>
        <v>China</v>
      </c>
      <c r="N1054" t="str">
        <f>_xlfn.XLOOKUP(frasest[[#This Row],[author_es]],autorest[author_es],autorest[nation_la])</f>
        <v>Sinae</v>
      </c>
      <c r="O1054" t="str">
        <f>_xlfn.XLOOKUP(frasest[[#This Row],[author_es]],autorest[author_es],autorest[age_es])</f>
        <v>Epoca Desconocida</v>
      </c>
      <c r="P1054" t="str">
        <f>_xlfn.XLOOKUP(frasest[[#This Row],[author_es]],autorest[author_es],autorest[age_la])</f>
        <v>Epocha Ignota</v>
      </c>
      <c r="Q1054" t="str">
        <f>_xlfn.XLOOKUP(frasest[[#This Row],[author_es]],autorest[author_es],autorest[image])</f>
        <v>https://i.ibb.co/qLfpZm6h/china.png</v>
      </c>
      <c r="R1054">
        <f>_xlfn.XLOOKUP(frasest[[#This Row],[author_es]],autorest[author_es],autorest[image_atr])</f>
        <v>0</v>
      </c>
    </row>
    <row r="1055" spans="1:18">
      <c r="A1055">
        <v>1054</v>
      </c>
      <c r="B1055" t="s">
        <v>3298</v>
      </c>
      <c r="C1055" t="s">
        <v>3299</v>
      </c>
      <c r="D1055" s="1" t="s">
        <v>3300</v>
      </c>
      <c r="E1055" t="s">
        <v>36</v>
      </c>
      <c r="G1055" t="str">
        <f>_xlfn.XLOOKUP(frasest[[#This Row],[author_es]],autorest[author_es],autorest[author_la])</f>
        <v>Proverbium Sinense</v>
      </c>
      <c r="H1055" t="str">
        <f>_xlfn.XLOOKUP(frasest[[#This Row],[author_es]],autorest[author_es],autorest[bio_es])</f>
        <v>Conjunto de proverbios tradicionales de la cultura china que transmiten sabiduría popular, valores morales y enseñanzas prácticas transmitidas oralmente durante siglos.</v>
      </c>
      <c r="I1055" t="str">
        <f>_xlfn.XLOOKUP(frasest[[#This Row],[author_es]],autorest[author_es],autorest[bio_la])</f>
        <v>Collectio sententiarum Sinensium, magnopere in cultura tradita.</v>
      </c>
      <c r="J1055" t="str">
        <f>_xlfn.XLOOKUP(frasest[[#This Row],[author_es]],autorest[author_es],autorest[iso3691])</f>
        <v>zh</v>
      </c>
      <c r="K1055" t="str">
        <f>_xlfn.XLOOKUP(frasest[[#This Row],[author_es]],autorest[author_es],autorest[language_es])</f>
        <v>Chino</v>
      </c>
      <c r="L1055" t="str">
        <f>_xlfn.XLOOKUP(frasest[[#This Row],[author_es]],autorest[author_es],autorest[language_la])</f>
        <v>Lingua Sinica</v>
      </c>
      <c r="M1055" t="str">
        <f>_xlfn.XLOOKUP(frasest[[#This Row],[author_es]],autorest[author_es],autorest[nation_es])</f>
        <v>China</v>
      </c>
      <c r="N1055" t="str">
        <f>_xlfn.XLOOKUP(frasest[[#This Row],[author_es]],autorest[author_es],autorest[nation_la])</f>
        <v>Sinae</v>
      </c>
      <c r="O1055" t="str">
        <f>_xlfn.XLOOKUP(frasest[[#This Row],[author_es]],autorest[author_es],autorest[age_es])</f>
        <v>Epoca Desconocida</v>
      </c>
      <c r="P1055" t="str">
        <f>_xlfn.XLOOKUP(frasest[[#This Row],[author_es]],autorest[author_es],autorest[age_la])</f>
        <v>Epocha Ignota</v>
      </c>
      <c r="Q1055" t="str">
        <f>_xlfn.XLOOKUP(frasest[[#This Row],[author_es]],autorest[author_es],autorest[image])</f>
        <v>https://i.ibb.co/qLfpZm6h/china.png</v>
      </c>
      <c r="R1055">
        <f>_xlfn.XLOOKUP(frasest[[#This Row],[author_es]],autorest[author_es],autorest[image_atr])</f>
        <v>0</v>
      </c>
    </row>
    <row r="1056" spans="1:18">
      <c r="A1056">
        <v>1055</v>
      </c>
      <c r="B1056" t="s">
        <v>3301</v>
      </c>
      <c r="C1056" t="s">
        <v>3302</v>
      </c>
      <c r="D1056" s="1" t="s">
        <v>3303</v>
      </c>
      <c r="E1056" t="s">
        <v>36</v>
      </c>
      <c r="G1056" t="str">
        <f>_xlfn.XLOOKUP(frasest[[#This Row],[author_es]],autorest[author_es],autorest[author_la])</f>
        <v>Proverbium Sinense</v>
      </c>
      <c r="H1056" t="str">
        <f>_xlfn.XLOOKUP(frasest[[#This Row],[author_es]],autorest[author_es],autorest[bio_es])</f>
        <v>Conjunto de proverbios tradicionales de la cultura china que transmiten sabiduría popular, valores morales y enseñanzas prácticas transmitidas oralmente durante siglos.</v>
      </c>
      <c r="I1056" t="str">
        <f>_xlfn.XLOOKUP(frasest[[#This Row],[author_es]],autorest[author_es],autorest[bio_la])</f>
        <v>Collectio sententiarum Sinensium, magnopere in cultura tradita.</v>
      </c>
      <c r="J1056" t="str">
        <f>_xlfn.XLOOKUP(frasest[[#This Row],[author_es]],autorest[author_es],autorest[iso3691])</f>
        <v>zh</v>
      </c>
      <c r="K1056" t="str">
        <f>_xlfn.XLOOKUP(frasest[[#This Row],[author_es]],autorest[author_es],autorest[language_es])</f>
        <v>Chino</v>
      </c>
      <c r="L1056" t="str">
        <f>_xlfn.XLOOKUP(frasest[[#This Row],[author_es]],autorest[author_es],autorest[language_la])</f>
        <v>Lingua Sinica</v>
      </c>
      <c r="M1056" t="str">
        <f>_xlfn.XLOOKUP(frasest[[#This Row],[author_es]],autorest[author_es],autorest[nation_es])</f>
        <v>China</v>
      </c>
      <c r="N1056" t="str">
        <f>_xlfn.XLOOKUP(frasest[[#This Row],[author_es]],autorest[author_es],autorest[nation_la])</f>
        <v>Sinae</v>
      </c>
      <c r="O1056" t="str">
        <f>_xlfn.XLOOKUP(frasest[[#This Row],[author_es]],autorest[author_es],autorest[age_es])</f>
        <v>Epoca Desconocida</v>
      </c>
      <c r="P1056" t="str">
        <f>_xlfn.XLOOKUP(frasest[[#This Row],[author_es]],autorest[author_es],autorest[age_la])</f>
        <v>Epocha Ignota</v>
      </c>
      <c r="Q1056" t="str">
        <f>_xlfn.XLOOKUP(frasest[[#This Row],[author_es]],autorest[author_es],autorest[image])</f>
        <v>https://i.ibb.co/qLfpZm6h/china.png</v>
      </c>
      <c r="R1056">
        <f>_xlfn.XLOOKUP(frasest[[#This Row],[author_es]],autorest[author_es],autorest[image_atr])</f>
        <v>0</v>
      </c>
    </row>
    <row r="1057" spans="1:18">
      <c r="A1057">
        <v>1056</v>
      </c>
      <c r="B1057" t="s">
        <v>3304</v>
      </c>
      <c r="C1057" t="s">
        <v>3305</v>
      </c>
      <c r="D1057" s="1" t="s">
        <v>3306</v>
      </c>
      <c r="E1057" t="s">
        <v>36</v>
      </c>
      <c r="G1057" t="str">
        <f>_xlfn.XLOOKUP(frasest[[#This Row],[author_es]],autorest[author_es],autorest[author_la])</f>
        <v>Proverbium Sinense</v>
      </c>
      <c r="H1057" t="str">
        <f>_xlfn.XLOOKUP(frasest[[#This Row],[author_es]],autorest[author_es],autorest[bio_es])</f>
        <v>Conjunto de proverbios tradicionales de la cultura china que transmiten sabiduría popular, valores morales y enseñanzas prácticas transmitidas oralmente durante siglos.</v>
      </c>
      <c r="I1057" t="str">
        <f>_xlfn.XLOOKUP(frasest[[#This Row],[author_es]],autorest[author_es],autorest[bio_la])</f>
        <v>Collectio sententiarum Sinensium, magnopere in cultura tradita.</v>
      </c>
      <c r="J1057" t="str">
        <f>_xlfn.XLOOKUP(frasest[[#This Row],[author_es]],autorest[author_es],autorest[iso3691])</f>
        <v>zh</v>
      </c>
      <c r="K1057" t="str">
        <f>_xlfn.XLOOKUP(frasest[[#This Row],[author_es]],autorest[author_es],autorest[language_es])</f>
        <v>Chino</v>
      </c>
      <c r="L1057" t="str">
        <f>_xlfn.XLOOKUP(frasest[[#This Row],[author_es]],autorest[author_es],autorest[language_la])</f>
        <v>Lingua Sinica</v>
      </c>
      <c r="M1057" t="str">
        <f>_xlfn.XLOOKUP(frasest[[#This Row],[author_es]],autorest[author_es],autorest[nation_es])</f>
        <v>China</v>
      </c>
      <c r="N1057" t="str">
        <f>_xlfn.XLOOKUP(frasest[[#This Row],[author_es]],autorest[author_es],autorest[nation_la])</f>
        <v>Sinae</v>
      </c>
      <c r="O1057" t="str">
        <f>_xlfn.XLOOKUP(frasest[[#This Row],[author_es]],autorest[author_es],autorest[age_es])</f>
        <v>Epoca Desconocida</v>
      </c>
      <c r="P1057" t="str">
        <f>_xlfn.XLOOKUP(frasest[[#This Row],[author_es]],autorest[author_es],autorest[age_la])</f>
        <v>Epocha Ignota</v>
      </c>
      <c r="Q1057" t="str">
        <f>_xlfn.XLOOKUP(frasest[[#This Row],[author_es]],autorest[author_es],autorest[image])</f>
        <v>https://i.ibb.co/qLfpZm6h/china.png</v>
      </c>
      <c r="R1057">
        <f>_xlfn.XLOOKUP(frasest[[#This Row],[author_es]],autorest[author_es],autorest[image_atr])</f>
        <v>0</v>
      </c>
    </row>
    <row r="1058" spans="1:18">
      <c r="A1058">
        <v>1057</v>
      </c>
      <c r="B1058" t="s">
        <v>3307</v>
      </c>
      <c r="C1058" t="s">
        <v>3308</v>
      </c>
      <c r="D1058" s="1" t="s">
        <v>3309</v>
      </c>
      <c r="E1058" t="s">
        <v>36</v>
      </c>
      <c r="G1058" t="str">
        <f>_xlfn.XLOOKUP(frasest[[#This Row],[author_es]],autorest[author_es],autorest[author_la])</f>
        <v>Proverbium Sinense</v>
      </c>
      <c r="H1058" t="str">
        <f>_xlfn.XLOOKUP(frasest[[#This Row],[author_es]],autorest[author_es],autorest[bio_es])</f>
        <v>Conjunto de proverbios tradicionales de la cultura china que transmiten sabiduría popular, valores morales y enseñanzas prácticas transmitidas oralmente durante siglos.</v>
      </c>
      <c r="I1058" t="str">
        <f>_xlfn.XLOOKUP(frasest[[#This Row],[author_es]],autorest[author_es],autorest[bio_la])</f>
        <v>Collectio sententiarum Sinensium, magnopere in cultura tradita.</v>
      </c>
      <c r="J1058" t="str">
        <f>_xlfn.XLOOKUP(frasest[[#This Row],[author_es]],autorest[author_es],autorest[iso3691])</f>
        <v>zh</v>
      </c>
      <c r="K1058" t="str">
        <f>_xlfn.XLOOKUP(frasest[[#This Row],[author_es]],autorest[author_es],autorest[language_es])</f>
        <v>Chino</v>
      </c>
      <c r="L1058" t="str">
        <f>_xlfn.XLOOKUP(frasest[[#This Row],[author_es]],autorest[author_es],autorest[language_la])</f>
        <v>Lingua Sinica</v>
      </c>
      <c r="M1058" t="str">
        <f>_xlfn.XLOOKUP(frasest[[#This Row],[author_es]],autorest[author_es],autorest[nation_es])</f>
        <v>China</v>
      </c>
      <c r="N1058" t="str">
        <f>_xlfn.XLOOKUP(frasest[[#This Row],[author_es]],autorest[author_es],autorest[nation_la])</f>
        <v>Sinae</v>
      </c>
      <c r="O1058" t="str">
        <f>_xlfn.XLOOKUP(frasest[[#This Row],[author_es]],autorest[author_es],autorest[age_es])</f>
        <v>Epoca Desconocida</v>
      </c>
      <c r="P1058" t="str">
        <f>_xlfn.XLOOKUP(frasest[[#This Row],[author_es]],autorest[author_es],autorest[age_la])</f>
        <v>Epocha Ignota</v>
      </c>
      <c r="Q1058" t="str">
        <f>_xlfn.XLOOKUP(frasest[[#This Row],[author_es]],autorest[author_es],autorest[image])</f>
        <v>https://i.ibb.co/qLfpZm6h/china.png</v>
      </c>
      <c r="R1058">
        <f>_xlfn.XLOOKUP(frasest[[#This Row],[author_es]],autorest[author_es],autorest[image_atr])</f>
        <v>0</v>
      </c>
    </row>
    <row r="1059" spans="1:18">
      <c r="A1059">
        <v>1058</v>
      </c>
      <c r="B1059" t="s">
        <v>3310</v>
      </c>
      <c r="C1059" t="s">
        <v>3311</v>
      </c>
      <c r="D1059" s="1" t="s">
        <v>3312</v>
      </c>
      <c r="E1059" t="s">
        <v>36</v>
      </c>
      <c r="G1059" t="str">
        <f>_xlfn.XLOOKUP(frasest[[#This Row],[author_es]],autorest[author_es],autorest[author_la])</f>
        <v>Proverbium Sinense</v>
      </c>
      <c r="H1059" t="str">
        <f>_xlfn.XLOOKUP(frasest[[#This Row],[author_es]],autorest[author_es],autorest[bio_es])</f>
        <v>Conjunto de proverbios tradicionales de la cultura china que transmiten sabiduría popular, valores morales y enseñanzas prácticas transmitidas oralmente durante siglos.</v>
      </c>
      <c r="I1059" t="str">
        <f>_xlfn.XLOOKUP(frasest[[#This Row],[author_es]],autorest[author_es],autorest[bio_la])</f>
        <v>Collectio sententiarum Sinensium, magnopere in cultura tradita.</v>
      </c>
      <c r="J1059" t="str">
        <f>_xlfn.XLOOKUP(frasest[[#This Row],[author_es]],autorest[author_es],autorest[iso3691])</f>
        <v>zh</v>
      </c>
      <c r="K1059" t="str">
        <f>_xlfn.XLOOKUP(frasest[[#This Row],[author_es]],autorest[author_es],autorest[language_es])</f>
        <v>Chino</v>
      </c>
      <c r="L1059" t="str">
        <f>_xlfn.XLOOKUP(frasest[[#This Row],[author_es]],autorest[author_es],autorest[language_la])</f>
        <v>Lingua Sinica</v>
      </c>
      <c r="M1059" t="str">
        <f>_xlfn.XLOOKUP(frasest[[#This Row],[author_es]],autorest[author_es],autorest[nation_es])</f>
        <v>China</v>
      </c>
      <c r="N1059" t="str">
        <f>_xlfn.XLOOKUP(frasest[[#This Row],[author_es]],autorest[author_es],autorest[nation_la])</f>
        <v>Sinae</v>
      </c>
      <c r="O1059" t="str">
        <f>_xlfn.XLOOKUP(frasest[[#This Row],[author_es]],autorest[author_es],autorest[age_es])</f>
        <v>Epoca Desconocida</v>
      </c>
      <c r="P1059" t="str">
        <f>_xlfn.XLOOKUP(frasest[[#This Row],[author_es]],autorest[author_es],autorest[age_la])</f>
        <v>Epocha Ignota</v>
      </c>
      <c r="Q1059" t="str">
        <f>_xlfn.XLOOKUP(frasest[[#This Row],[author_es]],autorest[author_es],autorest[image])</f>
        <v>https://i.ibb.co/qLfpZm6h/china.png</v>
      </c>
      <c r="R1059">
        <f>_xlfn.XLOOKUP(frasest[[#This Row],[author_es]],autorest[author_es],autorest[image_atr])</f>
        <v>0</v>
      </c>
    </row>
    <row r="1060" spans="1:18">
      <c r="A1060">
        <v>1059</v>
      </c>
      <c r="B1060" t="s">
        <v>3313</v>
      </c>
      <c r="C1060" t="s">
        <v>3314</v>
      </c>
      <c r="D1060" s="1" t="s">
        <v>3315</v>
      </c>
      <c r="E1060" t="s">
        <v>36</v>
      </c>
      <c r="G1060" t="str">
        <f>_xlfn.XLOOKUP(frasest[[#This Row],[author_es]],autorest[author_es],autorest[author_la])</f>
        <v>Proverbium Sinense</v>
      </c>
      <c r="H1060" t="str">
        <f>_xlfn.XLOOKUP(frasest[[#This Row],[author_es]],autorest[author_es],autorest[bio_es])</f>
        <v>Conjunto de proverbios tradicionales de la cultura china que transmiten sabiduría popular, valores morales y enseñanzas prácticas transmitidas oralmente durante siglos.</v>
      </c>
      <c r="I1060" t="str">
        <f>_xlfn.XLOOKUP(frasest[[#This Row],[author_es]],autorest[author_es],autorest[bio_la])</f>
        <v>Collectio sententiarum Sinensium, magnopere in cultura tradita.</v>
      </c>
      <c r="J1060" t="str">
        <f>_xlfn.XLOOKUP(frasest[[#This Row],[author_es]],autorest[author_es],autorest[iso3691])</f>
        <v>zh</v>
      </c>
      <c r="K1060" t="str">
        <f>_xlfn.XLOOKUP(frasest[[#This Row],[author_es]],autorest[author_es],autorest[language_es])</f>
        <v>Chino</v>
      </c>
      <c r="L1060" t="str">
        <f>_xlfn.XLOOKUP(frasest[[#This Row],[author_es]],autorest[author_es],autorest[language_la])</f>
        <v>Lingua Sinica</v>
      </c>
      <c r="M1060" t="str">
        <f>_xlfn.XLOOKUP(frasest[[#This Row],[author_es]],autorest[author_es],autorest[nation_es])</f>
        <v>China</v>
      </c>
      <c r="N1060" t="str">
        <f>_xlfn.XLOOKUP(frasest[[#This Row],[author_es]],autorest[author_es],autorest[nation_la])</f>
        <v>Sinae</v>
      </c>
      <c r="O1060" t="str">
        <f>_xlfn.XLOOKUP(frasest[[#This Row],[author_es]],autorest[author_es],autorest[age_es])</f>
        <v>Epoca Desconocida</v>
      </c>
      <c r="P1060" t="str">
        <f>_xlfn.XLOOKUP(frasest[[#This Row],[author_es]],autorest[author_es],autorest[age_la])</f>
        <v>Epocha Ignota</v>
      </c>
      <c r="Q1060" t="str">
        <f>_xlfn.XLOOKUP(frasest[[#This Row],[author_es]],autorest[author_es],autorest[image])</f>
        <v>https://i.ibb.co/qLfpZm6h/china.png</v>
      </c>
      <c r="R1060">
        <f>_xlfn.XLOOKUP(frasest[[#This Row],[author_es]],autorest[author_es],autorest[image_atr])</f>
        <v>0</v>
      </c>
    </row>
    <row r="1061" spans="1:18">
      <c r="A1061">
        <v>1060</v>
      </c>
      <c r="B1061" t="s">
        <v>3316</v>
      </c>
      <c r="C1061" t="s">
        <v>3317</v>
      </c>
      <c r="D1061" s="1" t="s">
        <v>3318</v>
      </c>
      <c r="E1061" t="s">
        <v>36</v>
      </c>
      <c r="G1061" t="str">
        <f>_xlfn.XLOOKUP(frasest[[#This Row],[author_es]],autorest[author_es],autorest[author_la])</f>
        <v>Proverbium Sinense</v>
      </c>
      <c r="H1061" t="str">
        <f>_xlfn.XLOOKUP(frasest[[#This Row],[author_es]],autorest[author_es],autorest[bio_es])</f>
        <v>Conjunto de proverbios tradicionales de la cultura china que transmiten sabiduría popular, valores morales y enseñanzas prácticas transmitidas oralmente durante siglos.</v>
      </c>
      <c r="I1061" t="str">
        <f>_xlfn.XLOOKUP(frasest[[#This Row],[author_es]],autorest[author_es],autorest[bio_la])</f>
        <v>Collectio sententiarum Sinensium, magnopere in cultura tradita.</v>
      </c>
      <c r="J1061" t="str">
        <f>_xlfn.XLOOKUP(frasest[[#This Row],[author_es]],autorest[author_es],autorest[iso3691])</f>
        <v>zh</v>
      </c>
      <c r="K1061" t="str">
        <f>_xlfn.XLOOKUP(frasest[[#This Row],[author_es]],autorest[author_es],autorest[language_es])</f>
        <v>Chino</v>
      </c>
      <c r="L1061" t="str">
        <f>_xlfn.XLOOKUP(frasest[[#This Row],[author_es]],autorest[author_es],autorest[language_la])</f>
        <v>Lingua Sinica</v>
      </c>
      <c r="M1061" t="str">
        <f>_xlfn.XLOOKUP(frasest[[#This Row],[author_es]],autorest[author_es],autorest[nation_es])</f>
        <v>China</v>
      </c>
      <c r="N1061" t="str">
        <f>_xlfn.XLOOKUP(frasest[[#This Row],[author_es]],autorest[author_es],autorest[nation_la])</f>
        <v>Sinae</v>
      </c>
      <c r="O1061" t="str">
        <f>_xlfn.XLOOKUP(frasest[[#This Row],[author_es]],autorest[author_es],autorest[age_es])</f>
        <v>Epoca Desconocida</v>
      </c>
      <c r="P1061" t="str">
        <f>_xlfn.XLOOKUP(frasest[[#This Row],[author_es]],autorest[author_es],autorest[age_la])</f>
        <v>Epocha Ignota</v>
      </c>
      <c r="Q1061" t="str">
        <f>_xlfn.XLOOKUP(frasest[[#This Row],[author_es]],autorest[author_es],autorest[image])</f>
        <v>https://i.ibb.co/qLfpZm6h/china.png</v>
      </c>
      <c r="R1061">
        <f>_xlfn.XLOOKUP(frasest[[#This Row],[author_es]],autorest[author_es],autorest[image_atr])</f>
        <v>0</v>
      </c>
    </row>
    <row r="1062" spans="1:18">
      <c r="A1062">
        <v>1061</v>
      </c>
      <c r="B1062" t="s">
        <v>3319</v>
      </c>
      <c r="C1062" t="s">
        <v>3320</v>
      </c>
      <c r="D1062" s="1" t="s">
        <v>3321</v>
      </c>
      <c r="E1062" t="s">
        <v>36</v>
      </c>
      <c r="G1062" t="str">
        <f>_xlfn.XLOOKUP(frasest[[#This Row],[author_es]],autorest[author_es],autorest[author_la])</f>
        <v>Proverbium Sinense</v>
      </c>
      <c r="H1062" t="str">
        <f>_xlfn.XLOOKUP(frasest[[#This Row],[author_es]],autorest[author_es],autorest[bio_es])</f>
        <v>Conjunto de proverbios tradicionales de la cultura china que transmiten sabiduría popular, valores morales y enseñanzas prácticas transmitidas oralmente durante siglos.</v>
      </c>
      <c r="I1062" t="str">
        <f>_xlfn.XLOOKUP(frasest[[#This Row],[author_es]],autorest[author_es],autorest[bio_la])</f>
        <v>Collectio sententiarum Sinensium, magnopere in cultura tradita.</v>
      </c>
      <c r="J1062" t="str">
        <f>_xlfn.XLOOKUP(frasest[[#This Row],[author_es]],autorest[author_es],autorest[iso3691])</f>
        <v>zh</v>
      </c>
      <c r="K1062" t="str">
        <f>_xlfn.XLOOKUP(frasest[[#This Row],[author_es]],autorest[author_es],autorest[language_es])</f>
        <v>Chino</v>
      </c>
      <c r="L1062" t="str">
        <f>_xlfn.XLOOKUP(frasest[[#This Row],[author_es]],autorest[author_es],autorest[language_la])</f>
        <v>Lingua Sinica</v>
      </c>
      <c r="M1062" t="str">
        <f>_xlfn.XLOOKUP(frasest[[#This Row],[author_es]],autorest[author_es],autorest[nation_es])</f>
        <v>China</v>
      </c>
      <c r="N1062" t="str">
        <f>_xlfn.XLOOKUP(frasest[[#This Row],[author_es]],autorest[author_es],autorest[nation_la])</f>
        <v>Sinae</v>
      </c>
      <c r="O1062" t="str">
        <f>_xlfn.XLOOKUP(frasest[[#This Row],[author_es]],autorest[author_es],autorest[age_es])</f>
        <v>Epoca Desconocida</v>
      </c>
      <c r="P1062" t="str">
        <f>_xlfn.XLOOKUP(frasest[[#This Row],[author_es]],autorest[author_es],autorest[age_la])</f>
        <v>Epocha Ignota</v>
      </c>
      <c r="Q1062" t="str">
        <f>_xlfn.XLOOKUP(frasest[[#This Row],[author_es]],autorest[author_es],autorest[image])</f>
        <v>https://i.ibb.co/qLfpZm6h/china.png</v>
      </c>
      <c r="R1062">
        <f>_xlfn.XLOOKUP(frasest[[#This Row],[author_es]],autorest[author_es],autorest[image_atr])</f>
        <v>0</v>
      </c>
    </row>
    <row r="1063" spans="1:18">
      <c r="A1063">
        <v>1062</v>
      </c>
      <c r="B1063" t="s">
        <v>1275</v>
      </c>
      <c r="C1063" t="s">
        <v>3322</v>
      </c>
      <c r="D1063" s="1" t="s">
        <v>1277</v>
      </c>
      <c r="E1063" t="s">
        <v>36</v>
      </c>
      <c r="G1063" t="str">
        <f>_xlfn.XLOOKUP(frasest[[#This Row],[author_es]],autorest[author_es],autorest[author_la])</f>
        <v>Proverbium Sinense</v>
      </c>
      <c r="H1063" t="str">
        <f>_xlfn.XLOOKUP(frasest[[#This Row],[author_es]],autorest[author_es],autorest[bio_es])</f>
        <v>Conjunto de proverbios tradicionales de la cultura china que transmiten sabiduría popular, valores morales y enseñanzas prácticas transmitidas oralmente durante siglos.</v>
      </c>
      <c r="I1063" t="str">
        <f>_xlfn.XLOOKUP(frasest[[#This Row],[author_es]],autorest[author_es],autorest[bio_la])</f>
        <v>Collectio sententiarum Sinensium, magnopere in cultura tradita.</v>
      </c>
      <c r="J1063" t="str">
        <f>_xlfn.XLOOKUP(frasest[[#This Row],[author_es]],autorest[author_es],autorest[iso3691])</f>
        <v>zh</v>
      </c>
      <c r="K1063" t="str">
        <f>_xlfn.XLOOKUP(frasest[[#This Row],[author_es]],autorest[author_es],autorest[language_es])</f>
        <v>Chino</v>
      </c>
      <c r="L1063" t="str">
        <f>_xlfn.XLOOKUP(frasest[[#This Row],[author_es]],autorest[author_es],autorest[language_la])</f>
        <v>Lingua Sinica</v>
      </c>
      <c r="M1063" t="str">
        <f>_xlfn.XLOOKUP(frasest[[#This Row],[author_es]],autorest[author_es],autorest[nation_es])</f>
        <v>China</v>
      </c>
      <c r="N1063" t="str">
        <f>_xlfn.XLOOKUP(frasest[[#This Row],[author_es]],autorest[author_es],autorest[nation_la])</f>
        <v>Sinae</v>
      </c>
      <c r="O1063" t="str">
        <f>_xlfn.XLOOKUP(frasest[[#This Row],[author_es]],autorest[author_es],autorest[age_es])</f>
        <v>Epoca Desconocida</v>
      </c>
      <c r="P1063" t="str">
        <f>_xlfn.XLOOKUP(frasest[[#This Row],[author_es]],autorest[author_es],autorest[age_la])</f>
        <v>Epocha Ignota</v>
      </c>
      <c r="Q1063" t="str">
        <f>_xlfn.XLOOKUP(frasest[[#This Row],[author_es]],autorest[author_es],autorest[image])</f>
        <v>https://i.ibb.co/qLfpZm6h/china.png</v>
      </c>
      <c r="R1063">
        <f>_xlfn.XLOOKUP(frasest[[#This Row],[author_es]],autorest[author_es],autorest[image_atr])</f>
        <v>0</v>
      </c>
    </row>
    <row r="1064" spans="1:18">
      <c r="A1064">
        <v>1063</v>
      </c>
      <c r="B1064" t="s">
        <v>3323</v>
      </c>
      <c r="C1064" t="s">
        <v>3324</v>
      </c>
      <c r="D1064" s="1" t="s">
        <v>3325</v>
      </c>
      <c r="E1064" t="s">
        <v>36</v>
      </c>
      <c r="G1064" t="str">
        <f>_xlfn.XLOOKUP(frasest[[#This Row],[author_es]],autorest[author_es],autorest[author_la])</f>
        <v>Proverbium Sinense</v>
      </c>
      <c r="H1064" t="str">
        <f>_xlfn.XLOOKUP(frasest[[#This Row],[author_es]],autorest[author_es],autorest[bio_es])</f>
        <v>Conjunto de proverbios tradicionales de la cultura china que transmiten sabiduría popular, valores morales y enseñanzas prácticas transmitidas oralmente durante siglos.</v>
      </c>
      <c r="I1064" t="str">
        <f>_xlfn.XLOOKUP(frasest[[#This Row],[author_es]],autorest[author_es],autorest[bio_la])</f>
        <v>Collectio sententiarum Sinensium, magnopere in cultura tradita.</v>
      </c>
      <c r="J1064" t="str">
        <f>_xlfn.XLOOKUP(frasest[[#This Row],[author_es]],autorest[author_es],autorest[iso3691])</f>
        <v>zh</v>
      </c>
      <c r="K1064" t="str">
        <f>_xlfn.XLOOKUP(frasest[[#This Row],[author_es]],autorest[author_es],autorest[language_es])</f>
        <v>Chino</v>
      </c>
      <c r="L1064" t="str">
        <f>_xlfn.XLOOKUP(frasest[[#This Row],[author_es]],autorest[author_es],autorest[language_la])</f>
        <v>Lingua Sinica</v>
      </c>
      <c r="M1064" t="str">
        <f>_xlfn.XLOOKUP(frasest[[#This Row],[author_es]],autorest[author_es],autorest[nation_es])</f>
        <v>China</v>
      </c>
      <c r="N1064" t="str">
        <f>_xlfn.XLOOKUP(frasest[[#This Row],[author_es]],autorest[author_es],autorest[nation_la])</f>
        <v>Sinae</v>
      </c>
      <c r="O1064" t="str">
        <f>_xlfn.XLOOKUP(frasest[[#This Row],[author_es]],autorest[author_es],autorest[age_es])</f>
        <v>Epoca Desconocida</v>
      </c>
      <c r="P1064" t="str">
        <f>_xlfn.XLOOKUP(frasest[[#This Row],[author_es]],autorest[author_es],autorest[age_la])</f>
        <v>Epocha Ignota</v>
      </c>
      <c r="Q1064" t="str">
        <f>_xlfn.XLOOKUP(frasest[[#This Row],[author_es]],autorest[author_es],autorest[image])</f>
        <v>https://i.ibb.co/qLfpZm6h/china.png</v>
      </c>
      <c r="R1064">
        <f>_xlfn.XLOOKUP(frasest[[#This Row],[author_es]],autorest[author_es],autorest[image_atr])</f>
        <v>0</v>
      </c>
    </row>
    <row r="1065" spans="1:18">
      <c r="A1065">
        <v>1064</v>
      </c>
      <c r="B1065" t="s">
        <v>3326</v>
      </c>
      <c r="C1065" t="s">
        <v>3327</v>
      </c>
      <c r="D1065" s="1" t="s">
        <v>3328</v>
      </c>
      <c r="E1065" t="s">
        <v>36</v>
      </c>
      <c r="G1065" t="str">
        <f>_xlfn.XLOOKUP(frasest[[#This Row],[author_es]],autorest[author_es],autorest[author_la])</f>
        <v>Proverbium Sinense</v>
      </c>
      <c r="H1065" t="str">
        <f>_xlfn.XLOOKUP(frasest[[#This Row],[author_es]],autorest[author_es],autorest[bio_es])</f>
        <v>Conjunto de proverbios tradicionales de la cultura china que transmiten sabiduría popular, valores morales y enseñanzas prácticas transmitidas oralmente durante siglos.</v>
      </c>
      <c r="I1065" t="str">
        <f>_xlfn.XLOOKUP(frasest[[#This Row],[author_es]],autorest[author_es],autorest[bio_la])</f>
        <v>Collectio sententiarum Sinensium, magnopere in cultura tradita.</v>
      </c>
      <c r="J1065" t="str">
        <f>_xlfn.XLOOKUP(frasest[[#This Row],[author_es]],autorest[author_es],autorest[iso3691])</f>
        <v>zh</v>
      </c>
      <c r="K1065" t="str">
        <f>_xlfn.XLOOKUP(frasest[[#This Row],[author_es]],autorest[author_es],autorest[language_es])</f>
        <v>Chino</v>
      </c>
      <c r="L1065" t="str">
        <f>_xlfn.XLOOKUP(frasest[[#This Row],[author_es]],autorest[author_es],autorest[language_la])</f>
        <v>Lingua Sinica</v>
      </c>
      <c r="M1065" t="str">
        <f>_xlfn.XLOOKUP(frasest[[#This Row],[author_es]],autorest[author_es],autorest[nation_es])</f>
        <v>China</v>
      </c>
      <c r="N1065" t="str">
        <f>_xlfn.XLOOKUP(frasest[[#This Row],[author_es]],autorest[author_es],autorest[nation_la])</f>
        <v>Sinae</v>
      </c>
      <c r="O1065" t="str">
        <f>_xlfn.XLOOKUP(frasest[[#This Row],[author_es]],autorest[author_es],autorest[age_es])</f>
        <v>Epoca Desconocida</v>
      </c>
      <c r="P1065" t="str">
        <f>_xlfn.XLOOKUP(frasest[[#This Row],[author_es]],autorest[author_es],autorest[age_la])</f>
        <v>Epocha Ignota</v>
      </c>
      <c r="Q1065" t="str">
        <f>_xlfn.XLOOKUP(frasest[[#This Row],[author_es]],autorest[author_es],autorest[image])</f>
        <v>https://i.ibb.co/qLfpZm6h/china.png</v>
      </c>
      <c r="R1065">
        <f>_xlfn.XLOOKUP(frasest[[#This Row],[author_es]],autorest[author_es],autorest[image_atr])</f>
        <v>0</v>
      </c>
    </row>
    <row r="1066" spans="1:18">
      <c r="A1066">
        <v>1065</v>
      </c>
      <c r="B1066" t="s">
        <v>3329</v>
      </c>
      <c r="C1066" t="s">
        <v>3330</v>
      </c>
      <c r="D1066" s="1" t="s">
        <v>3331</v>
      </c>
      <c r="E1066" t="s">
        <v>36</v>
      </c>
      <c r="G1066" t="str">
        <f>_xlfn.XLOOKUP(frasest[[#This Row],[author_es]],autorest[author_es],autorest[author_la])</f>
        <v>Proverbium Sinense</v>
      </c>
      <c r="H1066" t="str">
        <f>_xlfn.XLOOKUP(frasest[[#This Row],[author_es]],autorest[author_es],autorest[bio_es])</f>
        <v>Conjunto de proverbios tradicionales de la cultura china que transmiten sabiduría popular, valores morales y enseñanzas prácticas transmitidas oralmente durante siglos.</v>
      </c>
      <c r="I1066" t="str">
        <f>_xlfn.XLOOKUP(frasest[[#This Row],[author_es]],autorest[author_es],autorest[bio_la])</f>
        <v>Collectio sententiarum Sinensium, magnopere in cultura tradita.</v>
      </c>
      <c r="J1066" t="str">
        <f>_xlfn.XLOOKUP(frasest[[#This Row],[author_es]],autorest[author_es],autorest[iso3691])</f>
        <v>zh</v>
      </c>
      <c r="K1066" t="str">
        <f>_xlfn.XLOOKUP(frasest[[#This Row],[author_es]],autorest[author_es],autorest[language_es])</f>
        <v>Chino</v>
      </c>
      <c r="L1066" t="str">
        <f>_xlfn.XLOOKUP(frasest[[#This Row],[author_es]],autorest[author_es],autorest[language_la])</f>
        <v>Lingua Sinica</v>
      </c>
      <c r="M1066" t="str">
        <f>_xlfn.XLOOKUP(frasest[[#This Row],[author_es]],autorest[author_es],autorest[nation_es])</f>
        <v>China</v>
      </c>
      <c r="N1066" t="str">
        <f>_xlfn.XLOOKUP(frasest[[#This Row],[author_es]],autorest[author_es],autorest[nation_la])</f>
        <v>Sinae</v>
      </c>
      <c r="O1066" t="str">
        <f>_xlfn.XLOOKUP(frasest[[#This Row],[author_es]],autorest[author_es],autorest[age_es])</f>
        <v>Epoca Desconocida</v>
      </c>
      <c r="P1066" t="str">
        <f>_xlfn.XLOOKUP(frasest[[#This Row],[author_es]],autorest[author_es],autorest[age_la])</f>
        <v>Epocha Ignota</v>
      </c>
      <c r="Q1066" t="str">
        <f>_xlfn.XLOOKUP(frasest[[#This Row],[author_es]],autorest[author_es],autorest[image])</f>
        <v>https://i.ibb.co/qLfpZm6h/china.png</v>
      </c>
      <c r="R1066">
        <f>_xlfn.XLOOKUP(frasest[[#This Row],[author_es]],autorest[author_es],autorest[image_atr])</f>
        <v>0</v>
      </c>
    </row>
    <row r="1067" spans="1:18">
      <c r="A1067">
        <v>1066</v>
      </c>
      <c r="B1067" t="s">
        <v>3332</v>
      </c>
      <c r="C1067" t="s">
        <v>3333</v>
      </c>
      <c r="D1067" s="1" t="s">
        <v>3334</v>
      </c>
      <c r="E1067" t="s">
        <v>36</v>
      </c>
      <c r="G1067" t="str">
        <f>_xlfn.XLOOKUP(frasest[[#This Row],[author_es]],autorest[author_es],autorest[author_la])</f>
        <v>Proverbium Sinense</v>
      </c>
      <c r="H1067" t="str">
        <f>_xlfn.XLOOKUP(frasest[[#This Row],[author_es]],autorest[author_es],autorest[bio_es])</f>
        <v>Conjunto de proverbios tradicionales de la cultura china que transmiten sabiduría popular, valores morales y enseñanzas prácticas transmitidas oralmente durante siglos.</v>
      </c>
      <c r="I1067" t="str">
        <f>_xlfn.XLOOKUP(frasest[[#This Row],[author_es]],autorest[author_es],autorest[bio_la])</f>
        <v>Collectio sententiarum Sinensium, magnopere in cultura tradita.</v>
      </c>
      <c r="J1067" t="str">
        <f>_xlfn.XLOOKUP(frasest[[#This Row],[author_es]],autorest[author_es],autorest[iso3691])</f>
        <v>zh</v>
      </c>
      <c r="K1067" t="str">
        <f>_xlfn.XLOOKUP(frasest[[#This Row],[author_es]],autorest[author_es],autorest[language_es])</f>
        <v>Chino</v>
      </c>
      <c r="L1067" t="str">
        <f>_xlfn.XLOOKUP(frasest[[#This Row],[author_es]],autorest[author_es],autorest[language_la])</f>
        <v>Lingua Sinica</v>
      </c>
      <c r="M1067" t="str">
        <f>_xlfn.XLOOKUP(frasest[[#This Row],[author_es]],autorest[author_es],autorest[nation_es])</f>
        <v>China</v>
      </c>
      <c r="N1067" t="str">
        <f>_xlfn.XLOOKUP(frasest[[#This Row],[author_es]],autorest[author_es],autorest[nation_la])</f>
        <v>Sinae</v>
      </c>
      <c r="O1067" t="str">
        <f>_xlfn.XLOOKUP(frasest[[#This Row],[author_es]],autorest[author_es],autorest[age_es])</f>
        <v>Epoca Desconocida</v>
      </c>
      <c r="P1067" t="str">
        <f>_xlfn.XLOOKUP(frasest[[#This Row],[author_es]],autorest[author_es],autorest[age_la])</f>
        <v>Epocha Ignota</v>
      </c>
      <c r="Q1067" t="str">
        <f>_xlfn.XLOOKUP(frasest[[#This Row],[author_es]],autorest[author_es],autorest[image])</f>
        <v>https://i.ibb.co/qLfpZm6h/china.png</v>
      </c>
      <c r="R1067">
        <f>_xlfn.XLOOKUP(frasest[[#This Row],[author_es]],autorest[author_es],autorest[image_atr])</f>
        <v>0</v>
      </c>
    </row>
    <row r="1068" spans="1:18">
      <c r="A1068">
        <v>1067</v>
      </c>
      <c r="B1068" t="s">
        <v>3335</v>
      </c>
      <c r="C1068" t="s">
        <v>3336</v>
      </c>
      <c r="D1068" s="1" t="s">
        <v>3337</v>
      </c>
      <c r="E1068" t="s">
        <v>36</v>
      </c>
      <c r="G1068" t="str">
        <f>_xlfn.XLOOKUP(frasest[[#This Row],[author_es]],autorest[author_es],autorest[author_la])</f>
        <v>Proverbium Sinense</v>
      </c>
      <c r="H1068" t="str">
        <f>_xlfn.XLOOKUP(frasest[[#This Row],[author_es]],autorest[author_es],autorest[bio_es])</f>
        <v>Conjunto de proverbios tradicionales de la cultura china que transmiten sabiduría popular, valores morales y enseñanzas prácticas transmitidas oralmente durante siglos.</v>
      </c>
      <c r="I1068" t="str">
        <f>_xlfn.XLOOKUP(frasest[[#This Row],[author_es]],autorest[author_es],autorest[bio_la])</f>
        <v>Collectio sententiarum Sinensium, magnopere in cultura tradita.</v>
      </c>
      <c r="J1068" t="str">
        <f>_xlfn.XLOOKUP(frasest[[#This Row],[author_es]],autorest[author_es],autorest[iso3691])</f>
        <v>zh</v>
      </c>
      <c r="K1068" t="str">
        <f>_xlfn.XLOOKUP(frasest[[#This Row],[author_es]],autorest[author_es],autorest[language_es])</f>
        <v>Chino</v>
      </c>
      <c r="L1068" t="str">
        <f>_xlfn.XLOOKUP(frasest[[#This Row],[author_es]],autorest[author_es],autorest[language_la])</f>
        <v>Lingua Sinica</v>
      </c>
      <c r="M1068" t="str">
        <f>_xlfn.XLOOKUP(frasest[[#This Row],[author_es]],autorest[author_es],autorest[nation_es])</f>
        <v>China</v>
      </c>
      <c r="N1068" t="str">
        <f>_xlfn.XLOOKUP(frasest[[#This Row],[author_es]],autorest[author_es],autorest[nation_la])</f>
        <v>Sinae</v>
      </c>
      <c r="O1068" t="str">
        <f>_xlfn.XLOOKUP(frasest[[#This Row],[author_es]],autorest[author_es],autorest[age_es])</f>
        <v>Epoca Desconocida</v>
      </c>
      <c r="P1068" t="str">
        <f>_xlfn.XLOOKUP(frasest[[#This Row],[author_es]],autorest[author_es],autorest[age_la])</f>
        <v>Epocha Ignota</v>
      </c>
      <c r="Q1068" t="str">
        <f>_xlfn.XLOOKUP(frasest[[#This Row],[author_es]],autorest[author_es],autorest[image])</f>
        <v>https://i.ibb.co/qLfpZm6h/china.png</v>
      </c>
      <c r="R1068">
        <f>_xlfn.XLOOKUP(frasest[[#This Row],[author_es]],autorest[author_es],autorest[image_atr])</f>
        <v>0</v>
      </c>
    </row>
    <row r="1069" spans="1:18">
      <c r="A1069">
        <v>1068</v>
      </c>
      <c r="B1069" t="s">
        <v>3338</v>
      </c>
      <c r="C1069" t="s">
        <v>3339</v>
      </c>
      <c r="D1069" s="1" t="s">
        <v>3340</v>
      </c>
      <c r="E1069" t="s">
        <v>36</v>
      </c>
      <c r="G1069" t="str">
        <f>_xlfn.XLOOKUP(frasest[[#This Row],[author_es]],autorest[author_es],autorest[author_la])</f>
        <v>Proverbium Sinense</v>
      </c>
      <c r="H1069" t="str">
        <f>_xlfn.XLOOKUP(frasest[[#This Row],[author_es]],autorest[author_es],autorest[bio_es])</f>
        <v>Conjunto de proverbios tradicionales de la cultura china que transmiten sabiduría popular, valores morales y enseñanzas prácticas transmitidas oralmente durante siglos.</v>
      </c>
      <c r="I1069" t="str">
        <f>_xlfn.XLOOKUP(frasest[[#This Row],[author_es]],autorest[author_es],autorest[bio_la])</f>
        <v>Collectio sententiarum Sinensium, magnopere in cultura tradita.</v>
      </c>
      <c r="J1069" t="str">
        <f>_xlfn.XLOOKUP(frasest[[#This Row],[author_es]],autorest[author_es],autorest[iso3691])</f>
        <v>zh</v>
      </c>
      <c r="K1069" t="str">
        <f>_xlfn.XLOOKUP(frasest[[#This Row],[author_es]],autorest[author_es],autorest[language_es])</f>
        <v>Chino</v>
      </c>
      <c r="L1069" t="str">
        <f>_xlfn.XLOOKUP(frasest[[#This Row],[author_es]],autorest[author_es],autorest[language_la])</f>
        <v>Lingua Sinica</v>
      </c>
      <c r="M1069" t="str">
        <f>_xlfn.XLOOKUP(frasest[[#This Row],[author_es]],autorest[author_es],autorest[nation_es])</f>
        <v>China</v>
      </c>
      <c r="N1069" t="str">
        <f>_xlfn.XLOOKUP(frasest[[#This Row],[author_es]],autorest[author_es],autorest[nation_la])</f>
        <v>Sinae</v>
      </c>
      <c r="O1069" t="str">
        <f>_xlfn.XLOOKUP(frasest[[#This Row],[author_es]],autorest[author_es],autorest[age_es])</f>
        <v>Epoca Desconocida</v>
      </c>
      <c r="P1069" t="str">
        <f>_xlfn.XLOOKUP(frasest[[#This Row],[author_es]],autorest[author_es],autorest[age_la])</f>
        <v>Epocha Ignota</v>
      </c>
      <c r="Q1069" t="str">
        <f>_xlfn.XLOOKUP(frasest[[#This Row],[author_es]],autorest[author_es],autorest[image])</f>
        <v>https://i.ibb.co/qLfpZm6h/china.png</v>
      </c>
      <c r="R1069">
        <f>_xlfn.XLOOKUP(frasest[[#This Row],[author_es]],autorest[author_es],autorest[image_atr])</f>
        <v>0</v>
      </c>
    </row>
    <row r="1070" spans="1:18">
      <c r="A1070">
        <v>1069</v>
      </c>
      <c r="B1070" t="s">
        <v>3341</v>
      </c>
      <c r="C1070" t="s">
        <v>3342</v>
      </c>
      <c r="D1070" s="1" t="s">
        <v>3343</v>
      </c>
      <c r="E1070" t="s">
        <v>36</v>
      </c>
      <c r="G1070" t="str">
        <f>_xlfn.XLOOKUP(frasest[[#This Row],[author_es]],autorest[author_es],autorest[author_la])</f>
        <v>Proverbium Sinense</v>
      </c>
      <c r="H1070" t="str">
        <f>_xlfn.XLOOKUP(frasest[[#This Row],[author_es]],autorest[author_es],autorest[bio_es])</f>
        <v>Conjunto de proverbios tradicionales de la cultura china que transmiten sabiduría popular, valores morales y enseñanzas prácticas transmitidas oralmente durante siglos.</v>
      </c>
      <c r="I1070" t="str">
        <f>_xlfn.XLOOKUP(frasest[[#This Row],[author_es]],autorest[author_es],autorest[bio_la])</f>
        <v>Collectio sententiarum Sinensium, magnopere in cultura tradita.</v>
      </c>
      <c r="J1070" t="str">
        <f>_xlfn.XLOOKUP(frasest[[#This Row],[author_es]],autorest[author_es],autorest[iso3691])</f>
        <v>zh</v>
      </c>
      <c r="K1070" t="str">
        <f>_xlfn.XLOOKUP(frasest[[#This Row],[author_es]],autorest[author_es],autorest[language_es])</f>
        <v>Chino</v>
      </c>
      <c r="L1070" t="str">
        <f>_xlfn.XLOOKUP(frasest[[#This Row],[author_es]],autorest[author_es],autorest[language_la])</f>
        <v>Lingua Sinica</v>
      </c>
      <c r="M1070" t="str">
        <f>_xlfn.XLOOKUP(frasest[[#This Row],[author_es]],autorest[author_es],autorest[nation_es])</f>
        <v>China</v>
      </c>
      <c r="N1070" t="str">
        <f>_xlfn.XLOOKUP(frasest[[#This Row],[author_es]],autorest[author_es],autorest[nation_la])</f>
        <v>Sinae</v>
      </c>
      <c r="O1070" t="str">
        <f>_xlfn.XLOOKUP(frasest[[#This Row],[author_es]],autorest[author_es],autorest[age_es])</f>
        <v>Epoca Desconocida</v>
      </c>
      <c r="P1070" t="str">
        <f>_xlfn.XLOOKUP(frasest[[#This Row],[author_es]],autorest[author_es],autorest[age_la])</f>
        <v>Epocha Ignota</v>
      </c>
      <c r="Q1070" t="str">
        <f>_xlfn.XLOOKUP(frasest[[#This Row],[author_es]],autorest[author_es],autorest[image])</f>
        <v>https://i.ibb.co/qLfpZm6h/china.png</v>
      </c>
      <c r="R1070">
        <f>_xlfn.XLOOKUP(frasest[[#This Row],[author_es]],autorest[author_es],autorest[image_atr])</f>
        <v>0</v>
      </c>
    </row>
    <row r="1071" spans="1:18">
      <c r="A1071">
        <v>1070</v>
      </c>
      <c r="B1071" t="s">
        <v>3344</v>
      </c>
      <c r="C1071" t="s">
        <v>3345</v>
      </c>
      <c r="D1071" s="1" t="s">
        <v>3346</v>
      </c>
      <c r="E1071" t="s">
        <v>36</v>
      </c>
      <c r="G1071" t="str">
        <f>_xlfn.XLOOKUP(frasest[[#This Row],[author_es]],autorest[author_es],autorest[author_la])</f>
        <v>Proverbium Sinense</v>
      </c>
      <c r="H1071" t="str">
        <f>_xlfn.XLOOKUP(frasest[[#This Row],[author_es]],autorest[author_es],autorest[bio_es])</f>
        <v>Conjunto de proverbios tradicionales de la cultura china que transmiten sabiduría popular, valores morales y enseñanzas prácticas transmitidas oralmente durante siglos.</v>
      </c>
      <c r="I1071" t="str">
        <f>_xlfn.XLOOKUP(frasest[[#This Row],[author_es]],autorest[author_es],autorest[bio_la])</f>
        <v>Collectio sententiarum Sinensium, magnopere in cultura tradita.</v>
      </c>
      <c r="J1071" t="str">
        <f>_xlfn.XLOOKUP(frasest[[#This Row],[author_es]],autorest[author_es],autorest[iso3691])</f>
        <v>zh</v>
      </c>
      <c r="K1071" t="str">
        <f>_xlfn.XLOOKUP(frasest[[#This Row],[author_es]],autorest[author_es],autorest[language_es])</f>
        <v>Chino</v>
      </c>
      <c r="L1071" t="str">
        <f>_xlfn.XLOOKUP(frasest[[#This Row],[author_es]],autorest[author_es],autorest[language_la])</f>
        <v>Lingua Sinica</v>
      </c>
      <c r="M1071" t="str">
        <f>_xlfn.XLOOKUP(frasest[[#This Row],[author_es]],autorest[author_es],autorest[nation_es])</f>
        <v>China</v>
      </c>
      <c r="N1071" t="str">
        <f>_xlfn.XLOOKUP(frasest[[#This Row],[author_es]],autorest[author_es],autorest[nation_la])</f>
        <v>Sinae</v>
      </c>
      <c r="O1071" t="str">
        <f>_xlfn.XLOOKUP(frasest[[#This Row],[author_es]],autorest[author_es],autorest[age_es])</f>
        <v>Epoca Desconocida</v>
      </c>
      <c r="P1071" t="str">
        <f>_xlfn.XLOOKUP(frasest[[#This Row],[author_es]],autorest[author_es],autorest[age_la])</f>
        <v>Epocha Ignota</v>
      </c>
      <c r="Q1071" t="str">
        <f>_xlfn.XLOOKUP(frasest[[#This Row],[author_es]],autorest[author_es],autorest[image])</f>
        <v>https://i.ibb.co/qLfpZm6h/china.png</v>
      </c>
      <c r="R1071">
        <f>_xlfn.XLOOKUP(frasest[[#This Row],[author_es]],autorest[author_es],autorest[image_atr])</f>
        <v>0</v>
      </c>
    </row>
    <row r="1072" spans="1:18">
      <c r="A1072">
        <v>1071</v>
      </c>
      <c r="B1072" t="s">
        <v>3347</v>
      </c>
      <c r="C1072" t="s">
        <v>3348</v>
      </c>
      <c r="D1072" s="1" t="s">
        <v>3349</v>
      </c>
      <c r="E1072" t="s">
        <v>36</v>
      </c>
      <c r="G1072" t="str">
        <f>_xlfn.XLOOKUP(frasest[[#This Row],[author_es]],autorest[author_es],autorest[author_la])</f>
        <v>Proverbium Sinense</v>
      </c>
      <c r="H1072" t="str">
        <f>_xlfn.XLOOKUP(frasest[[#This Row],[author_es]],autorest[author_es],autorest[bio_es])</f>
        <v>Conjunto de proverbios tradicionales de la cultura china que transmiten sabiduría popular, valores morales y enseñanzas prácticas transmitidas oralmente durante siglos.</v>
      </c>
      <c r="I1072" t="str">
        <f>_xlfn.XLOOKUP(frasest[[#This Row],[author_es]],autorest[author_es],autorest[bio_la])</f>
        <v>Collectio sententiarum Sinensium, magnopere in cultura tradita.</v>
      </c>
      <c r="J1072" t="str">
        <f>_xlfn.XLOOKUP(frasest[[#This Row],[author_es]],autorest[author_es],autorest[iso3691])</f>
        <v>zh</v>
      </c>
      <c r="K1072" t="str">
        <f>_xlfn.XLOOKUP(frasest[[#This Row],[author_es]],autorest[author_es],autorest[language_es])</f>
        <v>Chino</v>
      </c>
      <c r="L1072" t="str">
        <f>_xlfn.XLOOKUP(frasest[[#This Row],[author_es]],autorest[author_es],autorest[language_la])</f>
        <v>Lingua Sinica</v>
      </c>
      <c r="M1072" t="str">
        <f>_xlfn.XLOOKUP(frasest[[#This Row],[author_es]],autorest[author_es],autorest[nation_es])</f>
        <v>China</v>
      </c>
      <c r="N1072" t="str">
        <f>_xlfn.XLOOKUP(frasest[[#This Row],[author_es]],autorest[author_es],autorest[nation_la])</f>
        <v>Sinae</v>
      </c>
      <c r="O1072" t="str">
        <f>_xlfn.XLOOKUP(frasest[[#This Row],[author_es]],autorest[author_es],autorest[age_es])</f>
        <v>Epoca Desconocida</v>
      </c>
      <c r="P1072" t="str">
        <f>_xlfn.XLOOKUP(frasest[[#This Row],[author_es]],autorest[author_es],autorest[age_la])</f>
        <v>Epocha Ignota</v>
      </c>
      <c r="Q1072" t="str">
        <f>_xlfn.XLOOKUP(frasest[[#This Row],[author_es]],autorest[author_es],autorest[image])</f>
        <v>https://i.ibb.co/qLfpZm6h/china.png</v>
      </c>
      <c r="R1072">
        <f>_xlfn.XLOOKUP(frasest[[#This Row],[author_es]],autorest[author_es],autorest[image_atr])</f>
        <v>0</v>
      </c>
    </row>
    <row r="1073" spans="1:18">
      <c r="A1073">
        <v>1072</v>
      </c>
      <c r="B1073" t="s">
        <v>3350</v>
      </c>
      <c r="C1073" t="s">
        <v>3351</v>
      </c>
      <c r="D1073" s="1" t="s">
        <v>3352</v>
      </c>
      <c r="E1073" t="s">
        <v>36</v>
      </c>
      <c r="G1073" t="str">
        <f>_xlfn.XLOOKUP(frasest[[#This Row],[author_es]],autorest[author_es],autorest[author_la])</f>
        <v>Proverbium Sinense</v>
      </c>
      <c r="H1073" t="str">
        <f>_xlfn.XLOOKUP(frasest[[#This Row],[author_es]],autorest[author_es],autorest[bio_es])</f>
        <v>Conjunto de proverbios tradicionales de la cultura china que transmiten sabiduría popular, valores morales y enseñanzas prácticas transmitidas oralmente durante siglos.</v>
      </c>
      <c r="I1073" t="str">
        <f>_xlfn.XLOOKUP(frasest[[#This Row],[author_es]],autorest[author_es],autorest[bio_la])</f>
        <v>Collectio sententiarum Sinensium, magnopere in cultura tradita.</v>
      </c>
      <c r="J1073" t="str">
        <f>_xlfn.XLOOKUP(frasest[[#This Row],[author_es]],autorest[author_es],autorest[iso3691])</f>
        <v>zh</v>
      </c>
      <c r="K1073" t="str">
        <f>_xlfn.XLOOKUP(frasest[[#This Row],[author_es]],autorest[author_es],autorest[language_es])</f>
        <v>Chino</v>
      </c>
      <c r="L1073" t="str">
        <f>_xlfn.XLOOKUP(frasest[[#This Row],[author_es]],autorest[author_es],autorest[language_la])</f>
        <v>Lingua Sinica</v>
      </c>
      <c r="M1073" t="str">
        <f>_xlfn.XLOOKUP(frasest[[#This Row],[author_es]],autorest[author_es],autorest[nation_es])</f>
        <v>China</v>
      </c>
      <c r="N1073" t="str">
        <f>_xlfn.XLOOKUP(frasest[[#This Row],[author_es]],autorest[author_es],autorest[nation_la])</f>
        <v>Sinae</v>
      </c>
      <c r="O1073" t="str">
        <f>_xlfn.XLOOKUP(frasest[[#This Row],[author_es]],autorest[author_es],autorest[age_es])</f>
        <v>Epoca Desconocida</v>
      </c>
      <c r="P1073" t="str">
        <f>_xlfn.XLOOKUP(frasest[[#This Row],[author_es]],autorest[author_es],autorest[age_la])</f>
        <v>Epocha Ignota</v>
      </c>
      <c r="Q1073" t="str">
        <f>_xlfn.XLOOKUP(frasest[[#This Row],[author_es]],autorest[author_es],autorest[image])</f>
        <v>https://i.ibb.co/qLfpZm6h/china.png</v>
      </c>
      <c r="R1073">
        <f>_xlfn.XLOOKUP(frasest[[#This Row],[author_es]],autorest[author_es],autorest[image_atr])</f>
        <v>0</v>
      </c>
    </row>
    <row r="1074" spans="1:18">
      <c r="A1074">
        <v>1073</v>
      </c>
      <c r="B1074" t="s">
        <v>3353</v>
      </c>
      <c r="C1074" t="s">
        <v>3354</v>
      </c>
      <c r="D1074" s="1" t="s">
        <v>3355</v>
      </c>
      <c r="E1074" t="s">
        <v>36</v>
      </c>
      <c r="G1074" t="str">
        <f>_xlfn.XLOOKUP(frasest[[#This Row],[author_es]],autorest[author_es],autorest[author_la])</f>
        <v>Proverbium Sinense</v>
      </c>
      <c r="H1074" t="str">
        <f>_xlfn.XLOOKUP(frasest[[#This Row],[author_es]],autorest[author_es],autorest[bio_es])</f>
        <v>Conjunto de proverbios tradicionales de la cultura china que transmiten sabiduría popular, valores morales y enseñanzas prácticas transmitidas oralmente durante siglos.</v>
      </c>
      <c r="I1074" t="str">
        <f>_xlfn.XLOOKUP(frasest[[#This Row],[author_es]],autorest[author_es],autorest[bio_la])</f>
        <v>Collectio sententiarum Sinensium, magnopere in cultura tradita.</v>
      </c>
      <c r="J1074" t="str">
        <f>_xlfn.XLOOKUP(frasest[[#This Row],[author_es]],autorest[author_es],autorest[iso3691])</f>
        <v>zh</v>
      </c>
      <c r="K1074" t="str">
        <f>_xlfn.XLOOKUP(frasest[[#This Row],[author_es]],autorest[author_es],autorest[language_es])</f>
        <v>Chino</v>
      </c>
      <c r="L1074" t="str">
        <f>_xlfn.XLOOKUP(frasest[[#This Row],[author_es]],autorest[author_es],autorest[language_la])</f>
        <v>Lingua Sinica</v>
      </c>
      <c r="M1074" t="str">
        <f>_xlfn.XLOOKUP(frasest[[#This Row],[author_es]],autorest[author_es],autorest[nation_es])</f>
        <v>China</v>
      </c>
      <c r="N1074" t="str">
        <f>_xlfn.XLOOKUP(frasest[[#This Row],[author_es]],autorest[author_es],autorest[nation_la])</f>
        <v>Sinae</v>
      </c>
      <c r="O1074" t="str">
        <f>_xlfn.XLOOKUP(frasest[[#This Row],[author_es]],autorest[author_es],autorest[age_es])</f>
        <v>Epoca Desconocida</v>
      </c>
      <c r="P1074" t="str">
        <f>_xlfn.XLOOKUP(frasest[[#This Row],[author_es]],autorest[author_es],autorest[age_la])</f>
        <v>Epocha Ignota</v>
      </c>
      <c r="Q1074" t="str">
        <f>_xlfn.XLOOKUP(frasest[[#This Row],[author_es]],autorest[author_es],autorest[image])</f>
        <v>https://i.ibb.co/qLfpZm6h/china.png</v>
      </c>
      <c r="R1074">
        <f>_xlfn.XLOOKUP(frasest[[#This Row],[author_es]],autorest[author_es],autorest[image_atr])</f>
        <v>0</v>
      </c>
    </row>
    <row r="1075" spans="1:18">
      <c r="A1075">
        <v>1074</v>
      </c>
      <c r="B1075" t="s">
        <v>3356</v>
      </c>
      <c r="C1075" t="s">
        <v>3357</v>
      </c>
      <c r="D1075" s="1" t="s">
        <v>3358</v>
      </c>
      <c r="E1075" t="s">
        <v>36</v>
      </c>
      <c r="G1075" t="str">
        <f>_xlfn.XLOOKUP(frasest[[#This Row],[author_es]],autorest[author_es],autorest[author_la])</f>
        <v>Proverbium Sinense</v>
      </c>
      <c r="H1075" t="str">
        <f>_xlfn.XLOOKUP(frasest[[#This Row],[author_es]],autorest[author_es],autorest[bio_es])</f>
        <v>Conjunto de proverbios tradicionales de la cultura china que transmiten sabiduría popular, valores morales y enseñanzas prácticas transmitidas oralmente durante siglos.</v>
      </c>
      <c r="I1075" t="str">
        <f>_xlfn.XLOOKUP(frasest[[#This Row],[author_es]],autorest[author_es],autorest[bio_la])</f>
        <v>Collectio sententiarum Sinensium, magnopere in cultura tradita.</v>
      </c>
      <c r="J1075" t="str">
        <f>_xlfn.XLOOKUP(frasest[[#This Row],[author_es]],autorest[author_es],autorest[iso3691])</f>
        <v>zh</v>
      </c>
      <c r="K1075" t="str">
        <f>_xlfn.XLOOKUP(frasest[[#This Row],[author_es]],autorest[author_es],autorest[language_es])</f>
        <v>Chino</v>
      </c>
      <c r="L1075" t="str">
        <f>_xlfn.XLOOKUP(frasest[[#This Row],[author_es]],autorest[author_es],autorest[language_la])</f>
        <v>Lingua Sinica</v>
      </c>
      <c r="M1075" t="str">
        <f>_xlfn.XLOOKUP(frasest[[#This Row],[author_es]],autorest[author_es],autorest[nation_es])</f>
        <v>China</v>
      </c>
      <c r="N1075" t="str">
        <f>_xlfn.XLOOKUP(frasest[[#This Row],[author_es]],autorest[author_es],autorest[nation_la])</f>
        <v>Sinae</v>
      </c>
      <c r="O1075" t="str">
        <f>_xlfn.XLOOKUP(frasest[[#This Row],[author_es]],autorest[author_es],autorest[age_es])</f>
        <v>Epoca Desconocida</v>
      </c>
      <c r="P1075" t="str">
        <f>_xlfn.XLOOKUP(frasest[[#This Row],[author_es]],autorest[author_es],autorest[age_la])</f>
        <v>Epocha Ignota</v>
      </c>
      <c r="Q1075" t="str">
        <f>_xlfn.XLOOKUP(frasest[[#This Row],[author_es]],autorest[author_es],autorest[image])</f>
        <v>https://i.ibb.co/qLfpZm6h/china.png</v>
      </c>
      <c r="R1075">
        <f>_xlfn.XLOOKUP(frasest[[#This Row],[author_es]],autorest[author_es],autorest[image_atr])</f>
        <v>0</v>
      </c>
    </row>
    <row r="1076" spans="1:18">
      <c r="A1076">
        <v>1075</v>
      </c>
      <c r="B1076" t="s">
        <v>3359</v>
      </c>
      <c r="C1076" t="s">
        <v>3360</v>
      </c>
      <c r="D1076" s="1" t="s">
        <v>3361</v>
      </c>
      <c r="E1076" t="s">
        <v>36</v>
      </c>
      <c r="G1076" t="str">
        <f>_xlfn.XLOOKUP(frasest[[#This Row],[author_es]],autorest[author_es],autorest[author_la])</f>
        <v>Proverbium Sinense</v>
      </c>
      <c r="H1076" t="str">
        <f>_xlfn.XLOOKUP(frasest[[#This Row],[author_es]],autorest[author_es],autorest[bio_es])</f>
        <v>Conjunto de proverbios tradicionales de la cultura china que transmiten sabiduría popular, valores morales y enseñanzas prácticas transmitidas oralmente durante siglos.</v>
      </c>
      <c r="I1076" t="str">
        <f>_xlfn.XLOOKUP(frasest[[#This Row],[author_es]],autorest[author_es],autorest[bio_la])</f>
        <v>Collectio sententiarum Sinensium, magnopere in cultura tradita.</v>
      </c>
      <c r="J1076" t="str">
        <f>_xlfn.XLOOKUP(frasest[[#This Row],[author_es]],autorest[author_es],autorest[iso3691])</f>
        <v>zh</v>
      </c>
      <c r="K1076" t="str">
        <f>_xlfn.XLOOKUP(frasest[[#This Row],[author_es]],autorest[author_es],autorest[language_es])</f>
        <v>Chino</v>
      </c>
      <c r="L1076" t="str">
        <f>_xlfn.XLOOKUP(frasest[[#This Row],[author_es]],autorest[author_es],autorest[language_la])</f>
        <v>Lingua Sinica</v>
      </c>
      <c r="M1076" t="str">
        <f>_xlfn.XLOOKUP(frasest[[#This Row],[author_es]],autorest[author_es],autorest[nation_es])</f>
        <v>China</v>
      </c>
      <c r="N1076" t="str">
        <f>_xlfn.XLOOKUP(frasest[[#This Row],[author_es]],autorest[author_es],autorest[nation_la])</f>
        <v>Sinae</v>
      </c>
      <c r="O1076" t="str">
        <f>_xlfn.XLOOKUP(frasest[[#This Row],[author_es]],autorest[author_es],autorest[age_es])</f>
        <v>Epoca Desconocida</v>
      </c>
      <c r="P1076" t="str">
        <f>_xlfn.XLOOKUP(frasest[[#This Row],[author_es]],autorest[author_es],autorest[age_la])</f>
        <v>Epocha Ignota</v>
      </c>
      <c r="Q1076" t="str">
        <f>_xlfn.XLOOKUP(frasest[[#This Row],[author_es]],autorest[author_es],autorest[image])</f>
        <v>https://i.ibb.co/qLfpZm6h/china.png</v>
      </c>
      <c r="R1076">
        <f>_xlfn.XLOOKUP(frasest[[#This Row],[author_es]],autorest[author_es],autorest[image_atr])</f>
        <v>0</v>
      </c>
    </row>
    <row r="1077" spans="1:18">
      <c r="A1077">
        <v>1076</v>
      </c>
      <c r="B1077" t="s">
        <v>3362</v>
      </c>
      <c r="C1077" t="s">
        <v>3363</v>
      </c>
      <c r="D1077" s="1" t="s">
        <v>3364</v>
      </c>
      <c r="E1077" t="s">
        <v>36</v>
      </c>
      <c r="G1077" t="str">
        <f>_xlfn.XLOOKUP(frasest[[#This Row],[author_es]],autorest[author_es],autorest[author_la])</f>
        <v>Proverbium Sinense</v>
      </c>
      <c r="H1077" t="str">
        <f>_xlfn.XLOOKUP(frasest[[#This Row],[author_es]],autorest[author_es],autorest[bio_es])</f>
        <v>Conjunto de proverbios tradicionales de la cultura china que transmiten sabiduría popular, valores morales y enseñanzas prácticas transmitidas oralmente durante siglos.</v>
      </c>
      <c r="I1077" t="str">
        <f>_xlfn.XLOOKUP(frasest[[#This Row],[author_es]],autorest[author_es],autorest[bio_la])</f>
        <v>Collectio sententiarum Sinensium, magnopere in cultura tradita.</v>
      </c>
      <c r="J1077" t="str">
        <f>_xlfn.XLOOKUP(frasest[[#This Row],[author_es]],autorest[author_es],autorest[iso3691])</f>
        <v>zh</v>
      </c>
      <c r="K1077" t="str">
        <f>_xlfn.XLOOKUP(frasest[[#This Row],[author_es]],autorest[author_es],autorest[language_es])</f>
        <v>Chino</v>
      </c>
      <c r="L1077" t="str">
        <f>_xlfn.XLOOKUP(frasest[[#This Row],[author_es]],autorest[author_es],autorest[language_la])</f>
        <v>Lingua Sinica</v>
      </c>
      <c r="M1077" t="str">
        <f>_xlfn.XLOOKUP(frasest[[#This Row],[author_es]],autorest[author_es],autorest[nation_es])</f>
        <v>China</v>
      </c>
      <c r="N1077" t="str">
        <f>_xlfn.XLOOKUP(frasest[[#This Row],[author_es]],autorest[author_es],autorest[nation_la])</f>
        <v>Sinae</v>
      </c>
      <c r="O1077" t="str">
        <f>_xlfn.XLOOKUP(frasest[[#This Row],[author_es]],autorest[author_es],autorest[age_es])</f>
        <v>Epoca Desconocida</v>
      </c>
      <c r="P1077" t="str">
        <f>_xlfn.XLOOKUP(frasest[[#This Row],[author_es]],autorest[author_es],autorest[age_la])</f>
        <v>Epocha Ignota</v>
      </c>
      <c r="Q1077" t="str">
        <f>_xlfn.XLOOKUP(frasest[[#This Row],[author_es]],autorest[author_es],autorest[image])</f>
        <v>https://i.ibb.co/qLfpZm6h/china.png</v>
      </c>
      <c r="R1077">
        <f>_xlfn.XLOOKUP(frasest[[#This Row],[author_es]],autorest[author_es],autorest[image_atr])</f>
        <v>0</v>
      </c>
    </row>
    <row r="1078" spans="1:18">
      <c r="A1078">
        <v>1077</v>
      </c>
      <c r="B1078" t="s">
        <v>3365</v>
      </c>
      <c r="C1078" t="s">
        <v>3366</v>
      </c>
      <c r="D1078" s="1" t="s">
        <v>3367</v>
      </c>
      <c r="E1078" t="s">
        <v>36</v>
      </c>
      <c r="G1078" t="str">
        <f>_xlfn.XLOOKUP(frasest[[#This Row],[author_es]],autorest[author_es],autorest[author_la])</f>
        <v>Proverbium Sinense</v>
      </c>
      <c r="H1078" t="str">
        <f>_xlfn.XLOOKUP(frasest[[#This Row],[author_es]],autorest[author_es],autorest[bio_es])</f>
        <v>Conjunto de proverbios tradicionales de la cultura china que transmiten sabiduría popular, valores morales y enseñanzas prácticas transmitidas oralmente durante siglos.</v>
      </c>
      <c r="I1078" t="str">
        <f>_xlfn.XLOOKUP(frasest[[#This Row],[author_es]],autorest[author_es],autorest[bio_la])</f>
        <v>Collectio sententiarum Sinensium, magnopere in cultura tradita.</v>
      </c>
      <c r="J1078" t="str">
        <f>_xlfn.XLOOKUP(frasest[[#This Row],[author_es]],autorest[author_es],autorest[iso3691])</f>
        <v>zh</v>
      </c>
      <c r="K1078" t="str">
        <f>_xlfn.XLOOKUP(frasest[[#This Row],[author_es]],autorest[author_es],autorest[language_es])</f>
        <v>Chino</v>
      </c>
      <c r="L1078" t="str">
        <f>_xlfn.XLOOKUP(frasest[[#This Row],[author_es]],autorest[author_es],autorest[language_la])</f>
        <v>Lingua Sinica</v>
      </c>
      <c r="M1078" t="str">
        <f>_xlfn.XLOOKUP(frasest[[#This Row],[author_es]],autorest[author_es],autorest[nation_es])</f>
        <v>China</v>
      </c>
      <c r="N1078" t="str">
        <f>_xlfn.XLOOKUP(frasest[[#This Row],[author_es]],autorest[author_es],autorest[nation_la])</f>
        <v>Sinae</v>
      </c>
      <c r="O1078" t="str">
        <f>_xlfn.XLOOKUP(frasest[[#This Row],[author_es]],autorest[author_es],autorest[age_es])</f>
        <v>Epoca Desconocida</v>
      </c>
      <c r="P1078" t="str">
        <f>_xlfn.XLOOKUP(frasest[[#This Row],[author_es]],autorest[author_es],autorest[age_la])</f>
        <v>Epocha Ignota</v>
      </c>
      <c r="Q1078" t="str">
        <f>_xlfn.XLOOKUP(frasest[[#This Row],[author_es]],autorest[author_es],autorest[image])</f>
        <v>https://i.ibb.co/qLfpZm6h/china.png</v>
      </c>
      <c r="R1078">
        <f>_xlfn.XLOOKUP(frasest[[#This Row],[author_es]],autorest[author_es],autorest[image_atr])</f>
        <v>0</v>
      </c>
    </row>
    <row r="1079" spans="1:18">
      <c r="A1079">
        <v>1078</v>
      </c>
      <c r="B1079" t="s">
        <v>3368</v>
      </c>
      <c r="C1079" t="s">
        <v>3369</v>
      </c>
      <c r="D1079" s="1" t="s">
        <v>3370</v>
      </c>
      <c r="E1079" t="s">
        <v>36</v>
      </c>
      <c r="G1079" t="str">
        <f>_xlfn.XLOOKUP(frasest[[#This Row],[author_es]],autorest[author_es],autorest[author_la])</f>
        <v>Proverbium Sinense</v>
      </c>
      <c r="H1079" t="str">
        <f>_xlfn.XLOOKUP(frasest[[#This Row],[author_es]],autorest[author_es],autorest[bio_es])</f>
        <v>Conjunto de proverbios tradicionales de la cultura china que transmiten sabiduría popular, valores morales y enseñanzas prácticas transmitidas oralmente durante siglos.</v>
      </c>
      <c r="I1079" t="str">
        <f>_xlfn.XLOOKUP(frasest[[#This Row],[author_es]],autorest[author_es],autorest[bio_la])</f>
        <v>Collectio sententiarum Sinensium, magnopere in cultura tradita.</v>
      </c>
      <c r="J1079" t="str">
        <f>_xlfn.XLOOKUP(frasest[[#This Row],[author_es]],autorest[author_es],autorest[iso3691])</f>
        <v>zh</v>
      </c>
      <c r="K1079" t="str">
        <f>_xlfn.XLOOKUP(frasest[[#This Row],[author_es]],autorest[author_es],autorest[language_es])</f>
        <v>Chino</v>
      </c>
      <c r="L1079" t="str">
        <f>_xlfn.XLOOKUP(frasest[[#This Row],[author_es]],autorest[author_es],autorest[language_la])</f>
        <v>Lingua Sinica</v>
      </c>
      <c r="M1079" t="str">
        <f>_xlfn.XLOOKUP(frasest[[#This Row],[author_es]],autorest[author_es],autorest[nation_es])</f>
        <v>China</v>
      </c>
      <c r="N1079" t="str">
        <f>_xlfn.XLOOKUP(frasest[[#This Row],[author_es]],autorest[author_es],autorest[nation_la])</f>
        <v>Sinae</v>
      </c>
      <c r="O1079" t="str">
        <f>_xlfn.XLOOKUP(frasest[[#This Row],[author_es]],autorest[author_es],autorest[age_es])</f>
        <v>Epoca Desconocida</v>
      </c>
      <c r="P1079" t="str">
        <f>_xlfn.XLOOKUP(frasest[[#This Row],[author_es]],autorest[author_es],autorest[age_la])</f>
        <v>Epocha Ignota</v>
      </c>
      <c r="Q1079" t="str">
        <f>_xlfn.XLOOKUP(frasest[[#This Row],[author_es]],autorest[author_es],autorest[image])</f>
        <v>https://i.ibb.co/qLfpZm6h/china.png</v>
      </c>
      <c r="R1079">
        <f>_xlfn.XLOOKUP(frasest[[#This Row],[author_es]],autorest[author_es],autorest[image_atr])</f>
        <v>0</v>
      </c>
    </row>
    <row r="1080" spans="1:18">
      <c r="A1080">
        <v>1079</v>
      </c>
      <c r="B1080" t="s">
        <v>3371</v>
      </c>
      <c r="C1080" t="s">
        <v>3372</v>
      </c>
      <c r="D1080" s="1" t="s">
        <v>3373</v>
      </c>
      <c r="E1080" t="s">
        <v>36</v>
      </c>
      <c r="G1080" t="str">
        <f>_xlfn.XLOOKUP(frasest[[#This Row],[author_es]],autorest[author_es],autorest[author_la])</f>
        <v>Proverbium Sinense</v>
      </c>
      <c r="H1080" t="str">
        <f>_xlfn.XLOOKUP(frasest[[#This Row],[author_es]],autorest[author_es],autorest[bio_es])</f>
        <v>Conjunto de proverbios tradicionales de la cultura china que transmiten sabiduría popular, valores morales y enseñanzas prácticas transmitidas oralmente durante siglos.</v>
      </c>
      <c r="I1080" t="str">
        <f>_xlfn.XLOOKUP(frasest[[#This Row],[author_es]],autorest[author_es],autorest[bio_la])</f>
        <v>Collectio sententiarum Sinensium, magnopere in cultura tradita.</v>
      </c>
      <c r="J1080" t="str">
        <f>_xlfn.XLOOKUP(frasest[[#This Row],[author_es]],autorest[author_es],autorest[iso3691])</f>
        <v>zh</v>
      </c>
      <c r="K1080" t="str">
        <f>_xlfn.XLOOKUP(frasest[[#This Row],[author_es]],autorest[author_es],autorest[language_es])</f>
        <v>Chino</v>
      </c>
      <c r="L1080" t="str">
        <f>_xlfn.XLOOKUP(frasest[[#This Row],[author_es]],autorest[author_es],autorest[language_la])</f>
        <v>Lingua Sinica</v>
      </c>
      <c r="M1080" t="str">
        <f>_xlfn.XLOOKUP(frasest[[#This Row],[author_es]],autorest[author_es],autorest[nation_es])</f>
        <v>China</v>
      </c>
      <c r="N1080" t="str">
        <f>_xlfn.XLOOKUP(frasest[[#This Row],[author_es]],autorest[author_es],autorest[nation_la])</f>
        <v>Sinae</v>
      </c>
      <c r="O1080" t="str">
        <f>_xlfn.XLOOKUP(frasest[[#This Row],[author_es]],autorest[author_es],autorest[age_es])</f>
        <v>Epoca Desconocida</v>
      </c>
      <c r="P1080" t="str">
        <f>_xlfn.XLOOKUP(frasest[[#This Row],[author_es]],autorest[author_es],autorest[age_la])</f>
        <v>Epocha Ignota</v>
      </c>
      <c r="Q1080" t="str">
        <f>_xlfn.XLOOKUP(frasest[[#This Row],[author_es]],autorest[author_es],autorest[image])</f>
        <v>https://i.ibb.co/qLfpZm6h/china.png</v>
      </c>
      <c r="R1080">
        <f>_xlfn.XLOOKUP(frasest[[#This Row],[author_es]],autorest[author_es],autorest[image_atr])</f>
        <v>0</v>
      </c>
    </row>
    <row r="1081" spans="1:18">
      <c r="A1081">
        <v>1080</v>
      </c>
      <c r="B1081" t="s">
        <v>3374</v>
      </c>
      <c r="C1081" t="s">
        <v>3375</v>
      </c>
      <c r="D1081" s="1" t="s">
        <v>3376</v>
      </c>
      <c r="E1081" t="s">
        <v>36</v>
      </c>
      <c r="G1081" t="str">
        <f>_xlfn.XLOOKUP(frasest[[#This Row],[author_es]],autorest[author_es],autorest[author_la])</f>
        <v>Proverbium Sinense</v>
      </c>
      <c r="H1081" t="str">
        <f>_xlfn.XLOOKUP(frasest[[#This Row],[author_es]],autorest[author_es],autorest[bio_es])</f>
        <v>Conjunto de proverbios tradicionales de la cultura china que transmiten sabiduría popular, valores morales y enseñanzas prácticas transmitidas oralmente durante siglos.</v>
      </c>
      <c r="I1081" t="str">
        <f>_xlfn.XLOOKUP(frasest[[#This Row],[author_es]],autorest[author_es],autorest[bio_la])</f>
        <v>Collectio sententiarum Sinensium, magnopere in cultura tradita.</v>
      </c>
      <c r="J1081" t="str">
        <f>_xlfn.XLOOKUP(frasest[[#This Row],[author_es]],autorest[author_es],autorest[iso3691])</f>
        <v>zh</v>
      </c>
      <c r="K1081" t="str">
        <f>_xlfn.XLOOKUP(frasest[[#This Row],[author_es]],autorest[author_es],autorest[language_es])</f>
        <v>Chino</v>
      </c>
      <c r="L1081" t="str">
        <f>_xlfn.XLOOKUP(frasest[[#This Row],[author_es]],autorest[author_es],autorest[language_la])</f>
        <v>Lingua Sinica</v>
      </c>
      <c r="M1081" t="str">
        <f>_xlfn.XLOOKUP(frasest[[#This Row],[author_es]],autorest[author_es],autorest[nation_es])</f>
        <v>China</v>
      </c>
      <c r="N1081" t="str">
        <f>_xlfn.XLOOKUP(frasest[[#This Row],[author_es]],autorest[author_es],autorest[nation_la])</f>
        <v>Sinae</v>
      </c>
      <c r="O1081" t="str">
        <f>_xlfn.XLOOKUP(frasest[[#This Row],[author_es]],autorest[author_es],autorest[age_es])</f>
        <v>Epoca Desconocida</v>
      </c>
      <c r="P1081" t="str">
        <f>_xlfn.XLOOKUP(frasest[[#This Row],[author_es]],autorest[author_es],autorest[age_la])</f>
        <v>Epocha Ignota</v>
      </c>
      <c r="Q1081" t="str">
        <f>_xlfn.XLOOKUP(frasest[[#This Row],[author_es]],autorest[author_es],autorest[image])</f>
        <v>https://i.ibb.co/qLfpZm6h/china.png</v>
      </c>
      <c r="R1081">
        <f>_xlfn.XLOOKUP(frasest[[#This Row],[author_es]],autorest[author_es],autorest[image_atr])</f>
        <v>0</v>
      </c>
    </row>
    <row r="1082" spans="1:18">
      <c r="A1082">
        <v>1081</v>
      </c>
      <c r="B1082" t="s">
        <v>3377</v>
      </c>
      <c r="C1082" t="s">
        <v>3378</v>
      </c>
      <c r="D1082" s="1" t="s">
        <v>3379</v>
      </c>
      <c r="E1082" t="s">
        <v>36</v>
      </c>
      <c r="G1082" t="str">
        <f>_xlfn.XLOOKUP(frasest[[#This Row],[author_es]],autorest[author_es],autorest[author_la])</f>
        <v>Proverbium Sinense</v>
      </c>
      <c r="H1082" t="str">
        <f>_xlfn.XLOOKUP(frasest[[#This Row],[author_es]],autorest[author_es],autorest[bio_es])</f>
        <v>Conjunto de proverbios tradicionales de la cultura china que transmiten sabiduría popular, valores morales y enseñanzas prácticas transmitidas oralmente durante siglos.</v>
      </c>
      <c r="I1082" t="str">
        <f>_xlfn.XLOOKUP(frasest[[#This Row],[author_es]],autorest[author_es],autorest[bio_la])</f>
        <v>Collectio sententiarum Sinensium, magnopere in cultura tradita.</v>
      </c>
      <c r="J1082" t="str">
        <f>_xlfn.XLOOKUP(frasest[[#This Row],[author_es]],autorest[author_es],autorest[iso3691])</f>
        <v>zh</v>
      </c>
      <c r="K1082" t="str">
        <f>_xlfn.XLOOKUP(frasest[[#This Row],[author_es]],autorest[author_es],autorest[language_es])</f>
        <v>Chino</v>
      </c>
      <c r="L1082" t="str">
        <f>_xlfn.XLOOKUP(frasest[[#This Row],[author_es]],autorest[author_es],autorest[language_la])</f>
        <v>Lingua Sinica</v>
      </c>
      <c r="M1082" t="str">
        <f>_xlfn.XLOOKUP(frasest[[#This Row],[author_es]],autorest[author_es],autorest[nation_es])</f>
        <v>China</v>
      </c>
      <c r="N1082" t="str">
        <f>_xlfn.XLOOKUP(frasest[[#This Row],[author_es]],autorest[author_es],autorest[nation_la])</f>
        <v>Sinae</v>
      </c>
      <c r="O1082" t="str">
        <f>_xlfn.XLOOKUP(frasest[[#This Row],[author_es]],autorest[author_es],autorest[age_es])</f>
        <v>Epoca Desconocida</v>
      </c>
      <c r="P1082" t="str">
        <f>_xlfn.XLOOKUP(frasest[[#This Row],[author_es]],autorest[author_es],autorest[age_la])</f>
        <v>Epocha Ignota</v>
      </c>
      <c r="Q1082" t="str">
        <f>_xlfn.XLOOKUP(frasest[[#This Row],[author_es]],autorest[author_es],autorest[image])</f>
        <v>https://i.ibb.co/qLfpZm6h/china.png</v>
      </c>
      <c r="R1082">
        <f>_xlfn.XLOOKUP(frasest[[#This Row],[author_es]],autorest[author_es],autorest[image_atr])</f>
        <v>0</v>
      </c>
    </row>
    <row r="1083" spans="1:18">
      <c r="A1083">
        <v>1082</v>
      </c>
      <c r="B1083" t="s">
        <v>3380</v>
      </c>
      <c r="C1083" t="s">
        <v>3381</v>
      </c>
      <c r="D1083" s="1" t="s">
        <v>3382</v>
      </c>
      <c r="E1083" t="s">
        <v>36</v>
      </c>
      <c r="G1083" t="str">
        <f>_xlfn.XLOOKUP(frasest[[#This Row],[author_es]],autorest[author_es],autorest[author_la])</f>
        <v>Proverbium Sinense</v>
      </c>
      <c r="H1083" t="str">
        <f>_xlfn.XLOOKUP(frasest[[#This Row],[author_es]],autorest[author_es],autorest[bio_es])</f>
        <v>Conjunto de proverbios tradicionales de la cultura china que transmiten sabiduría popular, valores morales y enseñanzas prácticas transmitidas oralmente durante siglos.</v>
      </c>
      <c r="I1083" t="str">
        <f>_xlfn.XLOOKUP(frasest[[#This Row],[author_es]],autorest[author_es],autorest[bio_la])</f>
        <v>Collectio sententiarum Sinensium, magnopere in cultura tradita.</v>
      </c>
      <c r="J1083" t="str">
        <f>_xlfn.XLOOKUP(frasest[[#This Row],[author_es]],autorest[author_es],autorest[iso3691])</f>
        <v>zh</v>
      </c>
      <c r="K1083" t="str">
        <f>_xlfn.XLOOKUP(frasest[[#This Row],[author_es]],autorest[author_es],autorest[language_es])</f>
        <v>Chino</v>
      </c>
      <c r="L1083" t="str">
        <f>_xlfn.XLOOKUP(frasest[[#This Row],[author_es]],autorest[author_es],autorest[language_la])</f>
        <v>Lingua Sinica</v>
      </c>
      <c r="M1083" t="str">
        <f>_xlfn.XLOOKUP(frasest[[#This Row],[author_es]],autorest[author_es],autorest[nation_es])</f>
        <v>China</v>
      </c>
      <c r="N1083" t="str">
        <f>_xlfn.XLOOKUP(frasest[[#This Row],[author_es]],autorest[author_es],autorest[nation_la])</f>
        <v>Sinae</v>
      </c>
      <c r="O1083" t="str">
        <f>_xlfn.XLOOKUP(frasest[[#This Row],[author_es]],autorest[author_es],autorest[age_es])</f>
        <v>Epoca Desconocida</v>
      </c>
      <c r="P1083" t="str">
        <f>_xlfn.XLOOKUP(frasest[[#This Row],[author_es]],autorest[author_es],autorest[age_la])</f>
        <v>Epocha Ignota</v>
      </c>
      <c r="Q1083" t="str">
        <f>_xlfn.XLOOKUP(frasest[[#This Row],[author_es]],autorest[author_es],autorest[image])</f>
        <v>https://i.ibb.co/qLfpZm6h/china.png</v>
      </c>
      <c r="R1083">
        <f>_xlfn.XLOOKUP(frasest[[#This Row],[author_es]],autorest[author_es],autorest[image_atr])</f>
        <v>0</v>
      </c>
    </row>
    <row r="1084" spans="1:18">
      <c r="A1084">
        <v>1083</v>
      </c>
      <c r="B1084" t="s">
        <v>3383</v>
      </c>
      <c r="C1084" t="s">
        <v>3384</v>
      </c>
      <c r="D1084" s="1" t="s">
        <v>3385</v>
      </c>
      <c r="E1084" t="s">
        <v>36</v>
      </c>
      <c r="G1084" t="str">
        <f>_xlfn.XLOOKUP(frasest[[#This Row],[author_es]],autorest[author_es],autorest[author_la])</f>
        <v>Proverbium Sinense</v>
      </c>
      <c r="H1084" t="str">
        <f>_xlfn.XLOOKUP(frasest[[#This Row],[author_es]],autorest[author_es],autorest[bio_es])</f>
        <v>Conjunto de proverbios tradicionales de la cultura china que transmiten sabiduría popular, valores morales y enseñanzas prácticas transmitidas oralmente durante siglos.</v>
      </c>
      <c r="I1084" t="str">
        <f>_xlfn.XLOOKUP(frasest[[#This Row],[author_es]],autorest[author_es],autorest[bio_la])</f>
        <v>Collectio sententiarum Sinensium, magnopere in cultura tradita.</v>
      </c>
      <c r="J1084" t="str">
        <f>_xlfn.XLOOKUP(frasest[[#This Row],[author_es]],autorest[author_es],autorest[iso3691])</f>
        <v>zh</v>
      </c>
      <c r="K1084" t="str">
        <f>_xlfn.XLOOKUP(frasest[[#This Row],[author_es]],autorest[author_es],autorest[language_es])</f>
        <v>Chino</v>
      </c>
      <c r="L1084" t="str">
        <f>_xlfn.XLOOKUP(frasest[[#This Row],[author_es]],autorest[author_es],autorest[language_la])</f>
        <v>Lingua Sinica</v>
      </c>
      <c r="M1084" t="str">
        <f>_xlfn.XLOOKUP(frasest[[#This Row],[author_es]],autorest[author_es],autorest[nation_es])</f>
        <v>China</v>
      </c>
      <c r="N1084" t="str">
        <f>_xlfn.XLOOKUP(frasest[[#This Row],[author_es]],autorest[author_es],autorest[nation_la])</f>
        <v>Sinae</v>
      </c>
      <c r="O1084" t="str">
        <f>_xlfn.XLOOKUP(frasest[[#This Row],[author_es]],autorest[author_es],autorest[age_es])</f>
        <v>Epoca Desconocida</v>
      </c>
      <c r="P1084" t="str">
        <f>_xlfn.XLOOKUP(frasest[[#This Row],[author_es]],autorest[author_es],autorest[age_la])</f>
        <v>Epocha Ignota</v>
      </c>
      <c r="Q1084" t="str">
        <f>_xlfn.XLOOKUP(frasest[[#This Row],[author_es]],autorest[author_es],autorest[image])</f>
        <v>https://i.ibb.co/qLfpZm6h/china.png</v>
      </c>
      <c r="R1084">
        <f>_xlfn.XLOOKUP(frasest[[#This Row],[author_es]],autorest[author_es],autorest[image_atr])</f>
        <v>0</v>
      </c>
    </row>
    <row r="1085" spans="1:18">
      <c r="A1085">
        <v>1084</v>
      </c>
      <c r="B1085" t="s">
        <v>3386</v>
      </c>
      <c r="C1085" t="s">
        <v>3387</v>
      </c>
      <c r="D1085" s="1" t="s">
        <v>3388</v>
      </c>
      <c r="E1085" t="s">
        <v>36</v>
      </c>
      <c r="G1085" t="str">
        <f>_xlfn.XLOOKUP(frasest[[#This Row],[author_es]],autorest[author_es],autorest[author_la])</f>
        <v>Proverbium Sinense</v>
      </c>
      <c r="H1085" t="str">
        <f>_xlfn.XLOOKUP(frasest[[#This Row],[author_es]],autorest[author_es],autorest[bio_es])</f>
        <v>Conjunto de proverbios tradicionales de la cultura china que transmiten sabiduría popular, valores morales y enseñanzas prácticas transmitidas oralmente durante siglos.</v>
      </c>
      <c r="I1085" t="str">
        <f>_xlfn.XLOOKUP(frasest[[#This Row],[author_es]],autorest[author_es],autorest[bio_la])</f>
        <v>Collectio sententiarum Sinensium, magnopere in cultura tradita.</v>
      </c>
      <c r="J1085" t="str">
        <f>_xlfn.XLOOKUP(frasest[[#This Row],[author_es]],autorest[author_es],autorest[iso3691])</f>
        <v>zh</v>
      </c>
      <c r="K1085" t="str">
        <f>_xlfn.XLOOKUP(frasest[[#This Row],[author_es]],autorest[author_es],autorest[language_es])</f>
        <v>Chino</v>
      </c>
      <c r="L1085" t="str">
        <f>_xlfn.XLOOKUP(frasest[[#This Row],[author_es]],autorest[author_es],autorest[language_la])</f>
        <v>Lingua Sinica</v>
      </c>
      <c r="M1085" t="str">
        <f>_xlfn.XLOOKUP(frasest[[#This Row],[author_es]],autorest[author_es],autorest[nation_es])</f>
        <v>China</v>
      </c>
      <c r="N1085" t="str">
        <f>_xlfn.XLOOKUP(frasest[[#This Row],[author_es]],autorest[author_es],autorest[nation_la])</f>
        <v>Sinae</v>
      </c>
      <c r="O1085" t="str">
        <f>_xlfn.XLOOKUP(frasest[[#This Row],[author_es]],autorest[author_es],autorest[age_es])</f>
        <v>Epoca Desconocida</v>
      </c>
      <c r="P1085" t="str">
        <f>_xlfn.XLOOKUP(frasest[[#This Row],[author_es]],autorest[author_es],autorest[age_la])</f>
        <v>Epocha Ignota</v>
      </c>
      <c r="Q1085" t="str">
        <f>_xlfn.XLOOKUP(frasest[[#This Row],[author_es]],autorest[author_es],autorest[image])</f>
        <v>https://i.ibb.co/qLfpZm6h/china.png</v>
      </c>
      <c r="R1085">
        <f>_xlfn.XLOOKUP(frasest[[#This Row],[author_es]],autorest[author_es],autorest[image_atr])</f>
        <v>0</v>
      </c>
    </row>
    <row r="1086" spans="1:18">
      <c r="A1086">
        <v>1085</v>
      </c>
      <c r="B1086" t="s">
        <v>3389</v>
      </c>
      <c r="C1086" t="s">
        <v>3390</v>
      </c>
      <c r="D1086" s="1" t="s">
        <v>3391</v>
      </c>
      <c r="E1086" t="s">
        <v>36</v>
      </c>
      <c r="G1086" t="str">
        <f>_xlfn.XLOOKUP(frasest[[#This Row],[author_es]],autorest[author_es],autorest[author_la])</f>
        <v>Proverbium Sinense</v>
      </c>
      <c r="H1086" t="str">
        <f>_xlfn.XLOOKUP(frasest[[#This Row],[author_es]],autorest[author_es],autorest[bio_es])</f>
        <v>Conjunto de proverbios tradicionales de la cultura china que transmiten sabiduría popular, valores morales y enseñanzas prácticas transmitidas oralmente durante siglos.</v>
      </c>
      <c r="I1086" t="str">
        <f>_xlfn.XLOOKUP(frasest[[#This Row],[author_es]],autorest[author_es],autorest[bio_la])</f>
        <v>Collectio sententiarum Sinensium, magnopere in cultura tradita.</v>
      </c>
      <c r="J1086" t="str">
        <f>_xlfn.XLOOKUP(frasest[[#This Row],[author_es]],autorest[author_es],autorest[iso3691])</f>
        <v>zh</v>
      </c>
      <c r="K1086" t="str">
        <f>_xlfn.XLOOKUP(frasest[[#This Row],[author_es]],autorest[author_es],autorest[language_es])</f>
        <v>Chino</v>
      </c>
      <c r="L1086" t="str">
        <f>_xlfn.XLOOKUP(frasest[[#This Row],[author_es]],autorest[author_es],autorest[language_la])</f>
        <v>Lingua Sinica</v>
      </c>
      <c r="M1086" t="str">
        <f>_xlfn.XLOOKUP(frasest[[#This Row],[author_es]],autorest[author_es],autorest[nation_es])</f>
        <v>China</v>
      </c>
      <c r="N1086" t="str">
        <f>_xlfn.XLOOKUP(frasest[[#This Row],[author_es]],autorest[author_es],autorest[nation_la])</f>
        <v>Sinae</v>
      </c>
      <c r="O1086" t="str">
        <f>_xlfn.XLOOKUP(frasest[[#This Row],[author_es]],autorest[author_es],autorest[age_es])</f>
        <v>Epoca Desconocida</v>
      </c>
      <c r="P1086" t="str">
        <f>_xlfn.XLOOKUP(frasest[[#This Row],[author_es]],autorest[author_es],autorest[age_la])</f>
        <v>Epocha Ignota</v>
      </c>
      <c r="Q1086" t="str">
        <f>_xlfn.XLOOKUP(frasest[[#This Row],[author_es]],autorest[author_es],autorest[image])</f>
        <v>https://i.ibb.co/qLfpZm6h/china.png</v>
      </c>
      <c r="R1086">
        <f>_xlfn.XLOOKUP(frasest[[#This Row],[author_es]],autorest[author_es],autorest[image_atr])</f>
        <v>0</v>
      </c>
    </row>
    <row r="1087" spans="1:18">
      <c r="A1087">
        <v>1086</v>
      </c>
      <c r="B1087" t="s">
        <v>3392</v>
      </c>
      <c r="C1087" t="s">
        <v>3393</v>
      </c>
      <c r="D1087" s="1" t="s">
        <v>3394</v>
      </c>
      <c r="E1087" t="s">
        <v>36</v>
      </c>
      <c r="G1087" t="str">
        <f>_xlfn.XLOOKUP(frasest[[#This Row],[author_es]],autorest[author_es],autorest[author_la])</f>
        <v>Proverbium Sinense</v>
      </c>
      <c r="H1087" t="str">
        <f>_xlfn.XLOOKUP(frasest[[#This Row],[author_es]],autorest[author_es],autorest[bio_es])</f>
        <v>Conjunto de proverbios tradicionales de la cultura china que transmiten sabiduría popular, valores morales y enseñanzas prácticas transmitidas oralmente durante siglos.</v>
      </c>
      <c r="I1087" t="str">
        <f>_xlfn.XLOOKUP(frasest[[#This Row],[author_es]],autorest[author_es],autorest[bio_la])</f>
        <v>Collectio sententiarum Sinensium, magnopere in cultura tradita.</v>
      </c>
      <c r="J1087" t="str">
        <f>_xlfn.XLOOKUP(frasest[[#This Row],[author_es]],autorest[author_es],autorest[iso3691])</f>
        <v>zh</v>
      </c>
      <c r="K1087" t="str">
        <f>_xlfn.XLOOKUP(frasest[[#This Row],[author_es]],autorest[author_es],autorest[language_es])</f>
        <v>Chino</v>
      </c>
      <c r="L1087" t="str">
        <f>_xlfn.XLOOKUP(frasest[[#This Row],[author_es]],autorest[author_es],autorest[language_la])</f>
        <v>Lingua Sinica</v>
      </c>
      <c r="M1087" t="str">
        <f>_xlfn.XLOOKUP(frasest[[#This Row],[author_es]],autorest[author_es],autorest[nation_es])</f>
        <v>China</v>
      </c>
      <c r="N1087" t="str">
        <f>_xlfn.XLOOKUP(frasest[[#This Row],[author_es]],autorest[author_es],autorest[nation_la])</f>
        <v>Sinae</v>
      </c>
      <c r="O1087" t="str">
        <f>_xlfn.XLOOKUP(frasest[[#This Row],[author_es]],autorest[author_es],autorest[age_es])</f>
        <v>Epoca Desconocida</v>
      </c>
      <c r="P1087" t="str">
        <f>_xlfn.XLOOKUP(frasest[[#This Row],[author_es]],autorest[author_es],autorest[age_la])</f>
        <v>Epocha Ignota</v>
      </c>
      <c r="Q1087" t="str">
        <f>_xlfn.XLOOKUP(frasest[[#This Row],[author_es]],autorest[author_es],autorest[image])</f>
        <v>https://i.ibb.co/qLfpZm6h/china.png</v>
      </c>
      <c r="R1087">
        <f>_xlfn.XLOOKUP(frasest[[#This Row],[author_es]],autorest[author_es],autorest[image_atr])</f>
        <v>0</v>
      </c>
    </row>
    <row r="1088" spans="1:18">
      <c r="A1088">
        <v>1087</v>
      </c>
      <c r="B1088" t="s">
        <v>3395</v>
      </c>
      <c r="C1088" t="s">
        <v>3396</v>
      </c>
      <c r="D1088" s="1" t="s">
        <v>3397</v>
      </c>
      <c r="E1088" t="s">
        <v>36</v>
      </c>
      <c r="G1088" t="str">
        <f>_xlfn.XLOOKUP(frasest[[#This Row],[author_es]],autorest[author_es],autorest[author_la])</f>
        <v>Proverbium Sinense</v>
      </c>
      <c r="H1088" t="str">
        <f>_xlfn.XLOOKUP(frasest[[#This Row],[author_es]],autorest[author_es],autorest[bio_es])</f>
        <v>Conjunto de proverbios tradicionales de la cultura china que transmiten sabiduría popular, valores morales y enseñanzas prácticas transmitidas oralmente durante siglos.</v>
      </c>
      <c r="I1088" t="str">
        <f>_xlfn.XLOOKUP(frasest[[#This Row],[author_es]],autorest[author_es],autorest[bio_la])</f>
        <v>Collectio sententiarum Sinensium, magnopere in cultura tradita.</v>
      </c>
      <c r="J1088" t="str">
        <f>_xlfn.XLOOKUP(frasest[[#This Row],[author_es]],autorest[author_es],autorest[iso3691])</f>
        <v>zh</v>
      </c>
      <c r="K1088" t="str">
        <f>_xlfn.XLOOKUP(frasest[[#This Row],[author_es]],autorest[author_es],autorest[language_es])</f>
        <v>Chino</v>
      </c>
      <c r="L1088" t="str">
        <f>_xlfn.XLOOKUP(frasest[[#This Row],[author_es]],autorest[author_es],autorest[language_la])</f>
        <v>Lingua Sinica</v>
      </c>
      <c r="M1088" t="str">
        <f>_xlfn.XLOOKUP(frasest[[#This Row],[author_es]],autorest[author_es],autorest[nation_es])</f>
        <v>China</v>
      </c>
      <c r="N1088" t="str">
        <f>_xlfn.XLOOKUP(frasest[[#This Row],[author_es]],autorest[author_es],autorest[nation_la])</f>
        <v>Sinae</v>
      </c>
      <c r="O1088" t="str">
        <f>_xlfn.XLOOKUP(frasest[[#This Row],[author_es]],autorest[author_es],autorest[age_es])</f>
        <v>Epoca Desconocida</v>
      </c>
      <c r="P1088" t="str">
        <f>_xlfn.XLOOKUP(frasest[[#This Row],[author_es]],autorest[author_es],autorest[age_la])</f>
        <v>Epocha Ignota</v>
      </c>
      <c r="Q1088" t="str">
        <f>_xlfn.XLOOKUP(frasest[[#This Row],[author_es]],autorest[author_es],autorest[image])</f>
        <v>https://i.ibb.co/qLfpZm6h/china.png</v>
      </c>
      <c r="R1088">
        <f>_xlfn.XLOOKUP(frasest[[#This Row],[author_es]],autorest[author_es],autorest[image_atr])</f>
        <v>0</v>
      </c>
    </row>
    <row r="1089" spans="1:18">
      <c r="A1089">
        <v>1088</v>
      </c>
      <c r="B1089" t="s">
        <v>3398</v>
      </c>
      <c r="C1089" t="s">
        <v>3399</v>
      </c>
      <c r="D1089" s="1" t="s">
        <v>3400</v>
      </c>
      <c r="E1089" t="s">
        <v>36</v>
      </c>
      <c r="G1089" t="str">
        <f>_xlfn.XLOOKUP(frasest[[#This Row],[author_es]],autorest[author_es],autorest[author_la])</f>
        <v>Proverbium Sinense</v>
      </c>
      <c r="H1089" t="str">
        <f>_xlfn.XLOOKUP(frasest[[#This Row],[author_es]],autorest[author_es],autorest[bio_es])</f>
        <v>Conjunto de proverbios tradicionales de la cultura china que transmiten sabiduría popular, valores morales y enseñanzas prácticas transmitidas oralmente durante siglos.</v>
      </c>
      <c r="I1089" t="str">
        <f>_xlfn.XLOOKUP(frasest[[#This Row],[author_es]],autorest[author_es],autorest[bio_la])</f>
        <v>Collectio sententiarum Sinensium, magnopere in cultura tradita.</v>
      </c>
      <c r="J1089" t="str">
        <f>_xlfn.XLOOKUP(frasest[[#This Row],[author_es]],autorest[author_es],autorest[iso3691])</f>
        <v>zh</v>
      </c>
      <c r="K1089" t="str">
        <f>_xlfn.XLOOKUP(frasest[[#This Row],[author_es]],autorest[author_es],autorest[language_es])</f>
        <v>Chino</v>
      </c>
      <c r="L1089" t="str">
        <f>_xlfn.XLOOKUP(frasest[[#This Row],[author_es]],autorest[author_es],autorest[language_la])</f>
        <v>Lingua Sinica</v>
      </c>
      <c r="M1089" t="str">
        <f>_xlfn.XLOOKUP(frasest[[#This Row],[author_es]],autorest[author_es],autorest[nation_es])</f>
        <v>China</v>
      </c>
      <c r="N1089" t="str">
        <f>_xlfn.XLOOKUP(frasest[[#This Row],[author_es]],autorest[author_es],autorest[nation_la])</f>
        <v>Sinae</v>
      </c>
      <c r="O1089" t="str">
        <f>_xlfn.XLOOKUP(frasest[[#This Row],[author_es]],autorest[author_es],autorest[age_es])</f>
        <v>Epoca Desconocida</v>
      </c>
      <c r="P1089" t="str">
        <f>_xlfn.XLOOKUP(frasest[[#This Row],[author_es]],autorest[author_es],autorest[age_la])</f>
        <v>Epocha Ignota</v>
      </c>
      <c r="Q1089" t="str">
        <f>_xlfn.XLOOKUP(frasest[[#This Row],[author_es]],autorest[author_es],autorest[image])</f>
        <v>https://i.ibb.co/qLfpZm6h/china.png</v>
      </c>
      <c r="R1089">
        <f>_xlfn.XLOOKUP(frasest[[#This Row],[author_es]],autorest[author_es],autorest[image_atr])</f>
        <v>0</v>
      </c>
    </row>
    <row r="1090" spans="1:18">
      <c r="A1090">
        <v>1089</v>
      </c>
      <c r="B1090" t="s">
        <v>3401</v>
      </c>
      <c r="C1090" t="s">
        <v>3402</v>
      </c>
      <c r="D1090" s="1" t="s">
        <v>3403</v>
      </c>
      <c r="E1090" t="s">
        <v>36</v>
      </c>
      <c r="G1090" t="str">
        <f>_xlfn.XLOOKUP(frasest[[#This Row],[author_es]],autorest[author_es],autorest[author_la])</f>
        <v>Proverbium Sinense</v>
      </c>
      <c r="H1090" t="str">
        <f>_xlfn.XLOOKUP(frasest[[#This Row],[author_es]],autorest[author_es],autorest[bio_es])</f>
        <v>Conjunto de proverbios tradicionales de la cultura china que transmiten sabiduría popular, valores morales y enseñanzas prácticas transmitidas oralmente durante siglos.</v>
      </c>
      <c r="I1090" t="str">
        <f>_xlfn.XLOOKUP(frasest[[#This Row],[author_es]],autorest[author_es],autorest[bio_la])</f>
        <v>Collectio sententiarum Sinensium, magnopere in cultura tradita.</v>
      </c>
      <c r="J1090" t="str">
        <f>_xlfn.XLOOKUP(frasest[[#This Row],[author_es]],autorest[author_es],autorest[iso3691])</f>
        <v>zh</v>
      </c>
      <c r="K1090" t="str">
        <f>_xlfn.XLOOKUP(frasest[[#This Row],[author_es]],autorest[author_es],autorest[language_es])</f>
        <v>Chino</v>
      </c>
      <c r="L1090" t="str">
        <f>_xlfn.XLOOKUP(frasest[[#This Row],[author_es]],autorest[author_es],autorest[language_la])</f>
        <v>Lingua Sinica</v>
      </c>
      <c r="M1090" t="str">
        <f>_xlfn.XLOOKUP(frasest[[#This Row],[author_es]],autorest[author_es],autorest[nation_es])</f>
        <v>China</v>
      </c>
      <c r="N1090" t="str">
        <f>_xlfn.XLOOKUP(frasest[[#This Row],[author_es]],autorest[author_es],autorest[nation_la])</f>
        <v>Sinae</v>
      </c>
      <c r="O1090" t="str">
        <f>_xlfn.XLOOKUP(frasest[[#This Row],[author_es]],autorest[author_es],autorest[age_es])</f>
        <v>Epoca Desconocida</v>
      </c>
      <c r="P1090" t="str">
        <f>_xlfn.XLOOKUP(frasest[[#This Row],[author_es]],autorest[author_es],autorest[age_la])</f>
        <v>Epocha Ignota</v>
      </c>
      <c r="Q1090" t="str">
        <f>_xlfn.XLOOKUP(frasest[[#This Row],[author_es]],autorest[author_es],autorest[image])</f>
        <v>https://i.ibb.co/qLfpZm6h/china.png</v>
      </c>
      <c r="R1090">
        <f>_xlfn.XLOOKUP(frasest[[#This Row],[author_es]],autorest[author_es],autorest[image_atr])</f>
        <v>0</v>
      </c>
    </row>
    <row r="1091" spans="1:18">
      <c r="A1091">
        <v>1090</v>
      </c>
      <c r="B1091" t="s">
        <v>3404</v>
      </c>
      <c r="C1091" t="s">
        <v>3405</v>
      </c>
      <c r="D1091" s="1" t="s">
        <v>3406</v>
      </c>
      <c r="E1091" t="s">
        <v>36</v>
      </c>
      <c r="G1091" t="str">
        <f>_xlfn.XLOOKUP(frasest[[#This Row],[author_es]],autorest[author_es],autorest[author_la])</f>
        <v>Proverbium Sinense</v>
      </c>
      <c r="H1091" t="str">
        <f>_xlfn.XLOOKUP(frasest[[#This Row],[author_es]],autorest[author_es],autorest[bio_es])</f>
        <v>Conjunto de proverbios tradicionales de la cultura china que transmiten sabiduría popular, valores morales y enseñanzas prácticas transmitidas oralmente durante siglos.</v>
      </c>
      <c r="I1091" t="str">
        <f>_xlfn.XLOOKUP(frasest[[#This Row],[author_es]],autorest[author_es],autorest[bio_la])</f>
        <v>Collectio sententiarum Sinensium, magnopere in cultura tradita.</v>
      </c>
      <c r="J1091" t="str">
        <f>_xlfn.XLOOKUP(frasest[[#This Row],[author_es]],autorest[author_es],autorest[iso3691])</f>
        <v>zh</v>
      </c>
      <c r="K1091" t="str">
        <f>_xlfn.XLOOKUP(frasest[[#This Row],[author_es]],autorest[author_es],autorest[language_es])</f>
        <v>Chino</v>
      </c>
      <c r="L1091" t="str">
        <f>_xlfn.XLOOKUP(frasest[[#This Row],[author_es]],autorest[author_es],autorest[language_la])</f>
        <v>Lingua Sinica</v>
      </c>
      <c r="M1091" t="str">
        <f>_xlfn.XLOOKUP(frasest[[#This Row],[author_es]],autorest[author_es],autorest[nation_es])</f>
        <v>China</v>
      </c>
      <c r="N1091" t="str">
        <f>_xlfn.XLOOKUP(frasest[[#This Row],[author_es]],autorest[author_es],autorest[nation_la])</f>
        <v>Sinae</v>
      </c>
      <c r="O1091" t="str">
        <f>_xlfn.XLOOKUP(frasest[[#This Row],[author_es]],autorest[author_es],autorest[age_es])</f>
        <v>Epoca Desconocida</v>
      </c>
      <c r="P1091" t="str">
        <f>_xlfn.XLOOKUP(frasest[[#This Row],[author_es]],autorest[author_es],autorest[age_la])</f>
        <v>Epocha Ignota</v>
      </c>
      <c r="Q1091" t="str">
        <f>_xlfn.XLOOKUP(frasest[[#This Row],[author_es]],autorest[author_es],autorest[image])</f>
        <v>https://i.ibb.co/qLfpZm6h/china.png</v>
      </c>
      <c r="R1091">
        <f>_xlfn.XLOOKUP(frasest[[#This Row],[author_es]],autorest[author_es],autorest[image_atr])</f>
        <v>0</v>
      </c>
    </row>
    <row r="1092" spans="1:18">
      <c r="A1092">
        <v>1091</v>
      </c>
      <c r="B1092" t="s">
        <v>3407</v>
      </c>
      <c r="C1092" t="s">
        <v>3408</v>
      </c>
      <c r="D1092" s="1" t="s">
        <v>3409</v>
      </c>
      <c r="E1092" t="s">
        <v>36</v>
      </c>
      <c r="G1092" t="str">
        <f>_xlfn.XLOOKUP(frasest[[#This Row],[author_es]],autorest[author_es],autorest[author_la])</f>
        <v>Proverbium Sinense</v>
      </c>
      <c r="H1092" t="str">
        <f>_xlfn.XLOOKUP(frasest[[#This Row],[author_es]],autorest[author_es],autorest[bio_es])</f>
        <v>Conjunto de proverbios tradicionales de la cultura china que transmiten sabiduría popular, valores morales y enseñanzas prácticas transmitidas oralmente durante siglos.</v>
      </c>
      <c r="I1092" t="str">
        <f>_xlfn.XLOOKUP(frasest[[#This Row],[author_es]],autorest[author_es],autorest[bio_la])</f>
        <v>Collectio sententiarum Sinensium, magnopere in cultura tradita.</v>
      </c>
      <c r="J1092" t="str">
        <f>_xlfn.XLOOKUP(frasest[[#This Row],[author_es]],autorest[author_es],autorest[iso3691])</f>
        <v>zh</v>
      </c>
      <c r="K1092" t="str">
        <f>_xlfn.XLOOKUP(frasest[[#This Row],[author_es]],autorest[author_es],autorest[language_es])</f>
        <v>Chino</v>
      </c>
      <c r="L1092" t="str">
        <f>_xlfn.XLOOKUP(frasest[[#This Row],[author_es]],autorest[author_es],autorest[language_la])</f>
        <v>Lingua Sinica</v>
      </c>
      <c r="M1092" t="str">
        <f>_xlfn.XLOOKUP(frasest[[#This Row],[author_es]],autorest[author_es],autorest[nation_es])</f>
        <v>China</v>
      </c>
      <c r="N1092" t="str">
        <f>_xlfn.XLOOKUP(frasest[[#This Row],[author_es]],autorest[author_es],autorest[nation_la])</f>
        <v>Sinae</v>
      </c>
      <c r="O1092" t="str">
        <f>_xlfn.XLOOKUP(frasest[[#This Row],[author_es]],autorest[author_es],autorest[age_es])</f>
        <v>Epoca Desconocida</v>
      </c>
      <c r="P1092" t="str">
        <f>_xlfn.XLOOKUP(frasest[[#This Row],[author_es]],autorest[author_es],autorest[age_la])</f>
        <v>Epocha Ignota</v>
      </c>
      <c r="Q1092" t="str">
        <f>_xlfn.XLOOKUP(frasest[[#This Row],[author_es]],autorest[author_es],autorest[image])</f>
        <v>https://i.ibb.co/qLfpZm6h/china.png</v>
      </c>
      <c r="R1092">
        <f>_xlfn.XLOOKUP(frasest[[#This Row],[author_es]],autorest[author_es],autorest[image_atr])</f>
        <v>0</v>
      </c>
    </row>
    <row r="1093" spans="1:18">
      <c r="A1093">
        <v>1092</v>
      </c>
      <c r="B1093" t="s">
        <v>3410</v>
      </c>
      <c r="C1093" t="s">
        <v>3411</v>
      </c>
      <c r="D1093" s="1" t="s">
        <v>3412</v>
      </c>
      <c r="E1093" t="s">
        <v>36</v>
      </c>
      <c r="G1093" t="str">
        <f>_xlfn.XLOOKUP(frasest[[#This Row],[author_es]],autorest[author_es],autorest[author_la])</f>
        <v>Proverbium Sinense</v>
      </c>
      <c r="H1093" t="str">
        <f>_xlfn.XLOOKUP(frasest[[#This Row],[author_es]],autorest[author_es],autorest[bio_es])</f>
        <v>Conjunto de proverbios tradicionales de la cultura china que transmiten sabiduría popular, valores morales y enseñanzas prácticas transmitidas oralmente durante siglos.</v>
      </c>
      <c r="I1093" t="str">
        <f>_xlfn.XLOOKUP(frasest[[#This Row],[author_es]],autorest[author_es],autorest[bio_la])</f>
        <v>Collectio sententiarum Sinensium, magnopere in cultura tradita.</v>
      </c>
      <c r="J1093" t="str">
        <f>_xlfn.XLOOKUP(frasest[[#This Row],[author_es]],autorest[author_es],autorest[iso3691])</f>
        <v>zh</v>
      </c>
      <c r="K1093" t="str">
        <f>_xlfn.XLOOKUP(frasest[[#This Row],[author_es]],autorest[author_es],autorest[language_es])</f>
        <v>Chino</v>
      </c>
      <c r="L1093" t="str">
        <f>_xlfn.XLOOKUP(frasest[[#This Row],[author_es]],autorest[author_es],autorest[language_la])</f>
        <v>Lingua Sinica</v>
      </c>
      <c r="M1093" t="str">
        <f>_xlfn.XLOOKUP(frasest[[#This Row],[author_es]],autorest[author_es],autorest[nation_es])</f>
        <v>China</v>
      </c>
      <c r="N1093" t="str">
        <f>_xlfn.XLOOKUP(frasest[[#This Row],[author_es]],autorest[author_es],autorest[nation_la])</f>
        <v>Sinae</v>
      </c>
      <c r="O1093" t="str">
        <f>_xlfn.XLOOKUP(frasest[[#This Row],[author_es]],autorest[author_es],autorest[age_es])</f>
        <v>Epoca Desconocida</v>
      </c>
      <c r="P1093" t="str">
        <f>_xlfn.XLOOKUP(frasest[[#This Row],[author_es]],autorest[author_es],autorest[age_la])</f>
        <v>Epocha Ignota</v>
      </c>
      <c r="Q1093" t="str">
        <f>_xlfn.XLOOKUP(frasest[[#This Row],[author_es]],autorest[author_es],autorest[image])</f>
        <v>https://i.ibb.co/qLfpZm6h/china.png</v>
      </c>
      <c r="R1093">
        <f>_xlfn.XLOOKUP(frasest[[#This Row],[author_es]],autorest[author_es],autorest[image_atr])</f>
        <v>0</v>
      </c>
    </row>
    <row r="1094" spans="1:18">
      <c r="A1094">
        <v>1093</v>
      </c>
      <c r="B1094" t="s">
        <v>3413</v>
      </c>
      <c r="C1094" t="s">
        <v>3414</v>
      </c>
      <c r="D1094" s="1" t="s">
        <v>3415</v>
      </c>
      <c r="E1094" t="s">
        <v>36</v>
      </c>
      <c r="G1094" t="str">
        <f>_xlfn.XLOOKUP(frasest[[#This Row],[author_es]],autorest[author_es],autorest[author_la])</f>
        <v>Proverbium Sinense</v>
      </c>
      <c r="H1094" t="str">
        <f>_xlfn.XLOOKUP(frasest[[#This Row],[author_es]],autorest[author_es],autorest[bio_es])</f>
        <v>Conjunto de proverbios tradicionales de la cultura china que transmiten sabiduría popular, valores morales y enseñanzas prácticas transmitidas oralmente durante siglos.</v>
      </c>
      <c r="I1094" t="str">
        <f>_xlfn.XLOOKUP(frasest[[#This Row],[author_es]],autorest[author_es],autorest[bio_la])</f>
        <v>Collectio sententiarum Sinensium, magnopere in cultura tradita.</v>
      </c>
      <c r="J1094" t="str">
        <f>_xlfn.XLOOKUP(frasest[[#This Row],[author_es]],autorest[author_es],autorest[iso3691])</f>
        <v>zh</v>
      </c>
      <c r="K1094" t="str">
        <f>_xlfn.XLOOKUP(frasest[[#This Row],[author_es]],autorest[author_es],autorest[language_es])</f>
        <v>Chino</v>
      </c>
      <c r="L1094" t="str">
        <f>_xlfn.XLOOKUP(frasest[[#This Row],[author_es]],autorest[author_es],autorest[language_la])</f>
        <v>Lingua Sinica</v>
      </c>
      <c r="M1094" t="str">
        <f>_xlfn.XLOOKUP(frasest[[#This Row],[author_es]],autorest[author_es],autorest[nation_es])</f>
        <v>China</v>
      </c>
      <c r="N1094" t="str">
        <f>_xlfn.XLOOKUP(frasest[[#This Row],[author_es]],autorest[author_es],autorest[nation_la])</f>
        <v>Sinae</v>
      </c>
      <c r="O1094" t="str">
        <f>_xlfn.XLOOKUP(frasest[[#This Row],[author_es]],autorest[author_es],autorest[age_es])</f>
        <v>Epoca Desconocida</v>
      </c>
      <c r="P1094" t="str">
        <f>_xlfn.XLOOKUP(frasest[[#This Row],[author_es]],autorest[author_es],autorest[age_la])</f>
        <v>Epocha Ignota</v>
      </c>
      <c r="Q1094" t="str">
        <f>_xlfn.XLOOKUP(frasest[[#This Row],[author_es]],autorest[author_es],autorest[image])</f>
        <v>https://i.ibb.co/qLfpZm6h/china.png</v>
      </c>
      <c r="R1094">
        <f>_xlfn.XLOOKUP(frasest[[#This Row],[author_es]],autorest[author_es],autorest[image_atr])</f>
        <v>0</v>
      </c>
    </row>
    <row r="1095" spans="1:18">
      <c r="A1095">
        <v>1094</v>
      </c>
      <c r="B1095" t="s">
        <v>3416</v>
      </c>
      <c r="C1095" t="s">
        <v>3417</v>
      </c>
      <c r="D1095" s="1" t="s">
        <v>3418</v>
      </c>
      <c r="E1095" t="s">
        <v>36</v>
      </c>
      <c r="G1095" t="str">
        <f>_xlfn.XLOOKUP(frasest[[#This Row],[author_es]],autorest[author_es],autorest[author_la])</f>
        <v>Proverbium Sinense</v>
      </c>
      <c r="H1095" t="str">
        <f>_xlfn.XLOOKUP(frasest[[#This Row],[author_es]],autorest[author_es],autorest[bio_es])</f>
        <v>Conjunto de proverbios tradicionales de la cultura china que transmiten sabiduría popular, valores morales y enseñanzas prácticas transmitidas oralmente durante siglos.</v>
      </c>
      <c r="I1095" t="str">
        <f>_xlfn.XLOOKUP(frasest[[#This Row],[author_es]],autorest[author_es],autorest[bio_la])</f>
        <v>Collectio sententiarum Sinensium, magnopere in cultura tradita.</v>
      </c>
      <c r="J1095" t="str">
        <f>_xlfn.XLOOKUP(frasest[[#This Row],[author_es]],autorest[author_es],autorest[iso3691])</f>
        <v>zh</v>
      </c>
      <c r="K1095" t="str">
        <f>_xlfn.XLOOKUP(frasest[[#This Row],[author_es]],autorest[author_es],autorest[language_es])</f>
        <v>Chino</v>
      </c>
      <c r="L1095" t="str">
        <f>_xlfn.XLOOKUP(frasest[[#This Row],[author_es]],autorest[author_es],autorest[language_la])</f>
        <v>Lingua Sinica</v>
      </c>
      <c r="M1095" t="str">
        <f>_xlfn.XLOOKUP(frasest[[#This Row],[author_es]],autorest[author_es],autorest[nation_es])</f>
        <v>China</v>
      </c>
      <c r="N1095" t="str">
        <f>_xlfn.XLOOKUP(frasest[[#This Row],[author_es]],autorest[author_es],autorest[nation_la])</f>
        <v>Sinae</v>
      </c>
      <c r="O1095" t="str">
        <f>_xlfn.XLOOKUP(frasest[[#This Row],[author_es]],autorest[author_es],autorest[age_es])</f>
        <v>Epoca Desconocida</v>
      </c>
      <c r="P1095" t="str">
        <f>_xlfn.XLOOKUP(frasest[[#This Row],[author_es]],autorest[author_es],autorest[age_la])</f>
        <v>Epocha Ignota</v>
      </c>
      <c r="Q1095" t="str">
        <f>_xlfn.XLOOKUP(frasest[[#This Row],[author_es]],autorest[author_es],autorest[image])</f>
        <v>https://i.ibb.co/qLfpZm6h/china.png</v>
      </c>
      <c r="R1095">
        <f>_xlfn.XLOOKUP(frasest[[#This Row],[author_es]],autorest[author_es],autorest[image_atr])</f>
        <v>0</v>
      </c>
    </row>
    <row r="1096" spans="1:18">
      <c r="A1096">
        <v>1095</v>
      </c>
      <c r="B1096" t="s">
        <v>3419</v>
      </c>
      <c r="C1096" t="s">
        <v>3420</v>
      </c>
      <c r="D1096" s="1" t="s">
        <v>3421</v>
      </c>
      <c r="E1096" t="s">
        <v>36</v>
      </c>
      <c r="G1096" t="str">
        <f>_xlfn.XLOOKUP(frasest[[#This Row],[author_es]],autorest[author_es],autorest[author_la])</f>
        <v>Proverbium Sinense</v>
      </c>
      <c r="H1096" t="str">
        <f>_xlfn.XLOOKUP(frasest[[#This Row],[author_es]],autorest[author_es],autorest[bio_es])</f>
        <v>Conjunto de proverbios tradicionales de la cultura china que transmiten sabiduría popular, valores morales y enseñanzas prácticas transmitidas oralmente durante siglos.</v>
      </c>
      <c r="I1096" t="str">
        <f>_xlfn.XLOOKUP(frasest[[#This Row],[author_es]],autorest[author_es],autorest[bio_la])</f>
        <v>Collectio sententiarum Sinensium, magnopere in cultura tradita.</v>
      </c>
      <c r="J1096" t="str">
        <f>_xlfn.XLOOKUP(frasest[[#This Row],[author_es]],autorest[author_es],autorest[iso3691])</f>
        <v>zh</v>
      </c>
      <c r="K1096" t="str">
        <f>_xlfn.XLOOKUP(frasest[[#This Row],[author_es]],autorest[author_es],autorest[language_es])</f>
        <v>Chino</v>
      </c>
      <c r="L1096" t="str">
        <f>_xlfn.XLOOKUP(frasest[[#This Row],[author_es]],autorest[author_es],autorest[language_la])</f>
        <v>Lingua Sinica</v>
      </c>
      <c r="M1096" t="str">
        <f>_xlfn.XLOOKUP(frasest[[#This Row],[author_es]],autorest[author_es],autorest[nation_es])</f>
        <v>China</v>
      </c>
      <c r="N1096" t="str">
        <f>_xlfn.XLOOKUP(frasest[[#This Row],[author_es]],autorest[author_es],autorest[nation_la])</f>
        <v>Sinae</v>
      </c>
      <c r="O1096" t="str">
        <f>_xlfn.XLOOKUP(frasest[[#This Row],[author_es]],autorest[author_es],autorest[age_es])</f>
        <v>Epoca Desconocida</v>
      </c>
      <c r="P1096" t="str">
        <f>_xlfn.XLOOKUP(frasest[[#This Row],[author_es]],autorest[author_es],autorest[age_la])</f>
        <v>Epocha Ignota</v>
      </c>
      <c r="Q1096" t="str">
        <f>_xlfn.XLOOKUP(frasest[[#This Row],[author_es]],autorest[author_es],autorest[image])</f>
        <v>https://i.ibb.co/qLfpZm6h/china.png</v>
      </c>
      <c r="R1096">
        <f>_xlfn.XLOOKUP(frasest[[#This Row],[author_es]],autorest[author_es],autorest[image_atr])</f>
        <v>0</v>
      </c>
    </row>
    <row r="1097" spans="1:18">
      <c r="A1097">
        <v>1096</v>
      </c>
      <c r="B1097" t="s">
        <v>3422</v>
      </c>
      <c r="C1097" t="s">
        <v>3423</v>
      </c>
      <c r="D1097" s="1" t="s">
        <v>3424</v>
      </c>
      <c r="E1097" t="s">
        <v>36</v>
      </c>
      <c r="G1097" t="str">
        <f>_xlfn.XLOOKUP(frasest[[#This Row],[author_es]],autorest[author_es],autorest[author_la])</f>
        <v>Proverbium Sinense</v>
      </c>
      <c r="H1097" t="str">
        <f>_xlfn.XLOOKUP(frasest[[#This Row],[author_es]],autorest[author_es],autorest[bio_es])</f>
        <v>Conjunto de proverbios tradicionales de la cultura china que transmiten sabiduría popular, valores morales y enseñanzas prácticas transmitidas oralmente durante siglos.</v>
      </c>
      <c r="I1097" t="str">
        <f>_xlfn.XLOOKUP(frasest[[#This Row],[author_es]],autorest[author_es],autorest[bio_la])</f>
        <v>Collectio sententiarum Sinensium, magnopere in cultura tradita.</v>
      </c>
      <c r="J1097" t="str">
        <f>_xlfn.XLOOKUP(frasest[[#This Row],[author_es]],autorest[author_es],autorest[iso3691])</f>
        <v>zh</v>
      </c>
      <c r="K1097" t="str">
        <f>_xlfn.XLOOKUP(frasest[[#This Row],[author_es]],autorest[author_es],autorest[language_es])</f>
        <v>Chino</v>
      </c>
      <c r="L1097" t="str">
        <f>_xlfn.XLOOKUP(frasest[[#This Row],[author_es]],autorest[author_es],autorest[language_la])</f>
        <v>Lingua Sinica</v>
      </c>
      <c r="M1097" t="str">
        <f>_xlfn.XLOOKUP(frasest[[#This Row],[author_es]],autorest[author_es],autorest[nation_es])</f>
        <v>China</v>
      </c>
      <c r="N1097" t="str">
        <f>_xlfn.XLOOKUP(frasest[[#This Row],[author_es]],autorest[author_es],autorest[nation_la])</f>
        <v>Sinae</v>
      </c>
      <c r="O1097" t="str">
        <f>_xlfn.XLOOKUP(frasest[[#This Row],[author_es]],autorest[author_es],autorest[age_es])</f>
        <v>Epoca Desconocida</v>
      </c>
      <c r="P1097" t="str">
        <f>_xlfn.XLOOKUP(frasest[[#This Row],[author_es]],autorest[author_es],autorest[age_la])</f>
        <v>Epocha Ignota</v>
      </c>
      <c r="Q1097" t="str">
        <f>_xlfn.XLOOKUP(frasest[[#This Row],[author_es]],autorest[author_es],autorest[image])</f>
        <v>https://i.ibb.co/qLfpZm6h/china.png</v>
      </c>
      <c r="R1097">
        <f>_xlfn.XLOOKUP(frasest[[#This Row],[author_es]],autorest[author_es],autorest[image_atr])</f>
        <v>0</v>
      </c>
    </row>
    <row r="1098" spans="1:18">
      <c r="A1098">
        <v>1097</v>
      </c>
      <c r="B1098" t="s">
        <v>3425</v>
      </c>
      <c r="C1098" t="s">
        <v>3426</v>
      </c>
      <c r="D1098" s="1" t="s">
        <v>3427</v>
      </c>
      <c r="E1098" t="s">
        <v>36</v>
      </c>
      <c r="G1098" t="str">
        <f>_xlfn.XLOOKUP(frasest[[#This Row],[author_es]],autorest[author_es],autorest[author_la])</f>
        <v>Proverbium Sinense</v>
      </c>
      <c r="H1098" t="str">
        <f>_xlfn.XLOOKUP(frasest[[#This Row],[author_es]],autorest[author_es],autorest[bio_es])</f>
        <v>Conjunto de proverbios tradicionales de la cultura china que transmiten sabiduría popular, valores morales y enseñanzas prácticas transmitidas oralmente durante siglos.</v>
      </c>
      <c r="I1098" t="str">
        <f>_xlfn.XLOOKUP(frasest[[#This Row],[author_es]],autorest[author_es],autorest[bio_la])</f>
        <v>Collectio sententiarum Sinensium, magnopere in cultura tradita.</v>
      </c>
      <c r="J1098" t="str">
        <f>_xlfn.XLOOKUP(frasest[[#This Row],[author_es]],autorest[author_es],autorest[iso3691])</f>
        <v>zh</v>
      </c>
      <c r="K1098" t="str">
        <f>_xlfn.XLOOKUP(frasest[[#This Row],[author_es]],autorest[author_es],autorest[language_es])</f>
        <v>Chino</v>
      </c>
      <c r="L1098" t="str">
        <f>_xlfn.XLOOKUP(frasest[[#This Row],[author_es]],autorest[author_es],autorest[language_la])</f>
        <v>Lingua Sinica</v>
      </c>
      <c r="M1098" t="str">
        <f>_xlfn.XLOOKUP(frasest[[#This Row],[author_es]],autorest[author_es],autorest[nation_es])</f>
        <v>China</v>
      </c>
      <c r="N1098" t="str">
        <f>_xlfn.XLOOKUP(frasest[[#This Row],[author_es]],autorest[author_es],autorest[nation_la])</f>
        <v>Sinae</v>
      </c>
      <c r="O1098" t="str">
        <f>_xlfn.XLOOKUP(frasest[[#This Row],[author_es]],autorest[author_es],autorest[age_es])</f>
        <v>Epoca Desconocida</v>
      </c>
      <c r="P1098" t="str">
        <f>_xlfn.XLOOKUP(frasest[[#This Row],[author_es]],autorest[author_es],autorest[age_la])</f>
        <v>Epocha Ignota</v>
      </c>
      <c r="Q1098" t="str">
        <f>_xlfn.XLOOKUP(frasest[[#This Row],[author_es]],autorest[author_es],autorest[image])</f>
        <v>https://i.ibb.co/qLfpZm6h/china.png</v>
      </c>
      <c r="R1098">
        <f>_xlfn.XLOOKUP(frasest[[#This Row],[author_es]],autorest[author_es],autorest[image_atr])</f>
        <v>0</v>
      </c>
    </row>
    <row r="1099" spans="1:18">
      <c r="A1099">
        <v>1098</v>
      </c>
      <c r="B1099" t="s">
        <v>3428</v>
      </c>
      <c r="C1099" t="s">
        <v>3429</v>
      </c>
      <c r="D1099" s="1" t="s">
        <v>3430</v>
      </c>
      <c r="E1099" t="s">
        <v>36</v>
      </c>
      <c r="G1099" t="str">
        <f>_xlfn.XLOOKUP(frasest[[#This Row],[author_es]],autorest[author_es],autorest[author_la])</f>
        <v>Proverbium Sinense</v>
      </c>
      <c r="H1099" t="str">
        <f>_xlfn.XLOOKUP(frasest[[#This Row],[author_es]],autorest[author_es],autorest[bio_es])</f>
        <v>Conjunto de proverbios tradicionales de la cultura china que transmiten sabiduría popular, valores morales y enseñanzas prácticas transmitidas oralmente durante siglos.</v>
      </c>
      <c r="I1099" t="str">
        <f>_xlfn.XLOOKUP(frasest[[#This Row],[author_es]],autorest[author_es],autorest[bio_la])</f>
        <v>Collectio sententiarum Sinensium, magnopere in cultura tradita.</v>
      </c>
      <c r="J1099" t="str">
        <f>_xlfn.XLOOKUP(frasest[[#This Row],[author_es]],autorest[author_es],autorest[iso3691])</f>
        <v>zh</v>
      </c>
      <c r="K1099" t="str">
        <f>_xlfn.XLOOKUP(frasest[[#This Row],[author_es]],autorest[author_es],autorest[language_es])</f>
        <v>Chino</v>
      </c>
      <c r="L1099" t="str">
        <f>_xlfn.XLOOKUP(frasest[[#This Row],[author_es]],autorest[author_es],autorest[language_la])</f>
        <v>Lingua Sinica</v>
      </c>
      <c r="M1099" t="str">
        <f>_xlfn.XLOOKUP(frasest[[#This Row],[author_es]],autorest[author_es],autorest[nation_es])</f>
        <v>China</v>
      </c>
      <c r="N1099" t="str">
        <f>_xlfn.XLOOKUP(frasest[[#This Row],[author_es]],autorest[author_es],autorest[nation_la])</f>
        <v>Sinae</v>
      </c>
      <c r="O1099" t="str">
        <f>_xlfn.XLOOKUP(frasest[[#This Row],[author_es]],autorest[author_es],autorest[age_es])</f>
        <v>Epoca Desconocida</v>
      </c>
      <c r="P1099" t="str">
        <f>_xlfn.XLOOKUP(frasest[[#This Row],[author_es]],autorest[author_es],autorest[age_la])</f>
        <v>Epocha Ignota</v>
      </c>
      <c r="Q1099" t="str">
        <f>_xlfn.XLOOKUP(frasest[[#This Row],[author_es]],autorest[author_es],autorest[image])</f>
        <v>https://i.ibb.co/qLfpZm6h/china.png</v>
      </c>
      <c r="R1099">
        <f>_xlfn.XLOOKUP(frasest[[#This Row],[author_es]],autorest[author_es],autorest[image_atr])</f>
        <v>0</v>
      </c>
    </row>
    <row r="1100" spans="1:18">
      <c r="A1100">
        <v>1099</v>
      </c>
      <c r="B1100" t="s">
        <v>3431</v>
      </c>
      <c r="C1100" t="s">
        <v>3432</v>
      </c>
      <c r="D1100" s="1" t="s">
        <v>3433</v>
      </c>
      <c r="E1100" t="s">
        <v>36</v>
      </c>
      <c r="G1100" t="str">
        <f>_xlfn.XLOOKUP(frasest[[#This Row],[author_es]],autorest[author_es],autorest[author_la])</f>
        <v>Proverbium Sinense</v>
      </c>
      <c r="H1100" t="str">
        <f>_xlfn.XLOOKUP(frasest[[#This Row],[author_es]],autorest[author_es],autorest[bio_es])</f>
        <v>Conjunto de proverbios tradicionales de la cultura china que transmiten sabiduría popular, valores morales y enseñanzas prácticas transmitidas oralmente durante siglos.</v>
      </c>
      <c r="I1100" t="str">
        <f>_xlfn.XLOOKUP(frasest[[#This Row],[author_es]],autorest[author_es],autorest[bio_la])</f>
        <v>Collectio sententiarum Sinensium, magnopere in cultura tradita.</v>
      </c>
      <c r="J1100" t="str">
        <f>_xlfn.XLOOKUP(frasest[[#This Row],[author_es]],autorest[author_es],autorest[iso3691])</f>
        <v>zh</v>
      </c>
      <c r="K1100" t="str">
        <f>_xlfn.XLOOKUP(frasest[[#This Row],[author_es]],autorest[author_es],autorest[language_es])</f>
        <v>Chino</v>
      </c>
      <c r="L1100" t="str">
        <f>_xlfn.XLOOKUP(frasest[[#This Row],[author_es]],autorest[author_es],autorest[language_la])</f>
        <v>Lingua Sinica</v>
      </c>
      <c r="M1100" t="str">
        <f>_xlfn.XLOOKUP(frasest[[#This Row],[author_es]],autorest[author_es],autorest[nation_es])</f>
        <v>China</v>
      </c>
      <c r="N1100" t="str">
        <f>_xlfn.XLOOKUP(frasest[[#This Row],[author_es]],autorest[author_es],autorest[nation_la])</f>
        <v>Sinae</v>
      </c>
      <c r="O1100" t="str">
        <f>_xlfn.XLOOKUP(frasest[[#This Row],[author_es]],autorest[author_es],autorest[age_es])</f>
        <v>Epoca Desconocida</v>
      </c>
      <c r="P1100" t="str">
        <f>_xlfn.XLOOKUP(frasest[[#This Row],[author_es]],autorest[author_es],autorest[age_la])</f>
        <v>Epocha Ignota</v>
      </c>
      <c r="Q1100" t="str">
        <f>_xlfn.XLOOKUP(frasest[[#This Row],[author_es]],autorest[author_es],autorest[image])</f>
        <v>https://i.ibb.co/qLfpZm6h/china.png</v>
      </c>
      <c r="R1100">
        <f>_xlfn.XLOOKUP(frasest[[#This Row],[author_es]],autorest[author_es],autorest[image_atr])</f>
        <v>0</v>
      </c>
    </row>
    <row r="1101" spans="1:18">
      <c r="A1101">
        <v>1100</v>
      </c>
      <c r="B1101" t="s">
        <v>3434</v>
      </c>
      <c r="C1101" t="s">
        <v>3435</v>
      </c>
      <c r="D1101" s="1" t="s">
        <v>3436</v>
      </c>
      <c r="E1101" t="s">
        <v>36</v>
      </c>
      <c r="G1101" t="str">
        <f>_xlfn.XLOOKUP(frasest[[#This Row],[author_es]],autorest[author_es],autorest[author_la])</f>
        <v>Proverbium Sinense</v>
      </c>
      <c r="H1101" t="str">
        <f>_xlfn.XLOOKUP(frasest[[#This Row],[author_es]],autorest[author_es],autorest[bio_es])</f>
        <v>Conjunto de proverbios tradicionales de la cultura china que transmiten sabiduría popular, valores morales y enseñanzas prácticas transmitidas oralmente durante siglos.</v>
      </c>
      <c r="I1101" t="str">
        <f>_xlfn.XLOOKUP(frasest[[#This Row],[author_es]],autorest[author_es],autorest[bio_la])</f>
        <v>Collectio sententiarum Sinensium, magnopere in cultura tradita.</v>
      </c>
      <c r="J1101" t="str">
        <f>_xlfn.XLOOKUP(frasest[[#This Row],[author_es]],autorest[author_es],autorest[iso3691])</f>
        <v>zh</v>
      </c>
      <c r="K1101" t="str">
        <f>_xlfn.XLOOKUP(frasest[[#This Row],[author_es]],autorest[author_es],autorest[language_es])</f>
        <v>Chino</v>
      </c>
      <c r="L1101" t="str">
        <f>_xlfn.XLOOKUP(frasest[[#This Row],[author_es]],autorest[author_es],autorest[language_la])</f>
        <v>Lingua Sinica</v>
      </c>
      <c r="M1101" t="str">
        <f>_xlfn.XLOOKUP(frasest[[#This Row],[author_es]],autorest[author_es],autorest[nation_es])</f>
        <v>China</v>
      </c>
      <c r="N1101" t="str">
        <f>_xlfn.XLOOKUP(frasest[[#This Row],[author_es]],autorest[author_es],autorest[nation_la])</f>
        <v>Sinae</v>
      </c>
      <c r="O1101" t="str">
        <f>_xlfn.XLOOKUP(frasest[[#This Row],[author_es]],autorest[author_es],autorest[age_es])</f>
        <v>Epoca Desconocida</v>
      </c>
      <c r="P1101" t="str">
        <f>_xlfn.XLOOKUP(frasest[[#This Row],[author_es]],autorest[author_es],autorest[age_la])</f>
        <v>Epocha Ignota</v>
      </c>
      <c r="Q1101" t="str">
        <f>_xlfn.XLOOKUP(frasest[[#This Row],[author_es]],autorest[author_es],autorest[image])</f>
        <v>https://i.ibb.co/qLfpZm6h/china.png</v>
      </c>
      <c r="R1101">
        <f>_xlfn.XLOOKUP(frasest[[#This Row],[author_es]],autorest[author_es],autorest[image_atr])</f>
        <v>0</v>
      </c>
    </row>
    <row r="1102" spans="1:18">
      <c r="A1102">
        <v>1101</v>
      </c>
      <c r="B1102" t="s">
        <v>3437</v>
      </c>
      <c r="C1102" t="s">
        <v>3438</v>
      </c>
      <c r="D1102" s="1" t="s">
        <v>3439</v>
      </c>
      <c r="E1102" t="s">
        <v>36</v>
      </c>
      <c r="G1102" t="str">
        <f>_xlfn.XLOOKUP(frasest[[#This Row],[author_es]],autorest[author_es],autorest[author_la])</f>
        <v>Proverbium Sinense</v>
      </c>
      <c r="H1102" t="str">
        <f>_xlfn.XLOOKUP(frasest[[#This Row],[author_es]],autorest[author_es],autorest[bio_es])</f>
        <v>Conjunto de proverbios tradicionales de la cultura china que transmiten sabiduría popular, valores morales y enseñanzas prácticas transmitidas oralmente durante siglos.</v>
      </c>
      <c r="I1102" t="str">
        <f>_xlfn.XLOOKUP(frasest[[#This Row],[author_es]],autorest[author_es],autorest[bio_la])</f>
        <v>Collectio sententiarum Sinensium, magnopere in cultura tradita.</v>
      </c>
      <c r="J1102" t="str">
        <f>_xlfn.XLOOKUP(frasest[[#This Row],[author_es]],autorest[author_es],autorest[iso3691])</f>
        <v>zh</v>
      </c>
      <c r="K1102" t="str">
        <f>_xlfn.XLOOKUP(frasest[[#This Row],[author_es]],autorest[author_es],autorest[language_es])</f>
        <v>Chino</v>
      </c>
      <c r="L1102" t="str">
        <f>_xlfn.XLOOKUP(frasest[[#This Row],[author_es]],autorest[author_es],autorest[language_la])</f>
        <v>Lingua Sinica</v>
      </c>
      <c r="M1102" t="str">
        <f>_xlfn.XLOOKUP(frasest[[#This Row],[author_es]],autorest[author_es],autorest[nation_es])</f>
        <v>China</v>
      </c>
      <c r="N1102" t="str">
        <f>_xlfn.XLOOKUP(frasest[[#This Row],[author_es]],autorest[author_es],autorest[nation_la])</f>
        <v>Sinae</v>
      </c>
      <c r="O1102" t="str">
        <f>_xlfn.XLOOKUP(frasest[[#This Row],[author_es]],autorest[author_es],autorest[age_es])</f>
        <v>Epoca Desconocida</v>
      </c>
      <c r="P1102" t="str">
        <f>_xlfn.XLOOKUP(frasest[[#This Row],[author_es]],autorest[author_es],autorest[age_la])</f>
        <v>Epocha Ignota</v>
      </c>
      <c r="Q1102" t="str">
        <f>_xlfn.XLOOKUP(frasest[[#This Row],[author_es]],autorest[author_es],autorest[image])</f>
        <v>https://i.ibb.co/qLfpZm6h/china.png</v>
      </c>
      <c r="R1102">
        <f>_xlfn.XLOOKUP(frasest[[#This Row],[author_es]],autorest[author_es],autorest[image_atr])</f>
        <v>0</v>
      </c>
    </row>
    <row r="1103" spans="1:18">
      <c r="A1103">
        <v>1102</v>
      </c>
      <c r="B1103" t="s">
        <v>3440</v>
      </c>
      <c r="C1103" t="s">
        <v>3441</v>
      </c>
      <c r="D1103" s="1" t="s">
        <v>3442</v>
      </c>
      <c r="E1103" t="s">
        <v>36</v>
      </c>
      <c r="G1103" t="str">
        <f>_xlfn.XLOOKUP(frasest[[#This Row],[author_es]],autorest[author_es],autorest[author_la])</f>
        <v>Proverbium Sinense</v>
      </c>
      <c r="H1103" t="str">
        <f>_xlfn.XLOOKUP(frasest[[#This Row],[author_es]],autorest[author_es],autorest[bio_es])</f>
        <v>Conjunto de proverbios tradicionales de la cultura china que transmiten sabiduría popular, valores morales y enseñanzas prácticas transmitidas oralmente durante siglos.</v>
      </c>
      <c r="I1103" t="str">
        <f>_xlfn.XLOOKUP(frasest[[#This Row],[author_es]],autorest[author_es],autorest[bio_la])</f>
        <v>Collectio sententiarum Sinensium, magnopere in cultura tradita.</v>
      </c>
      <c r="J1103" t="str">
        <f>_xlfn.XLOOKUP(frasest[[#This Row],[author_es]],autorest[author_es],autorest[iso3691])</f>
        <v>zh</v>
      </c>
      <c r="K1103" t="str">
        <f>_xlfn.XLOOKUP(frasest[[#This Row],[author_es]],autorest[author_es],autorest[language_es])</f>
        <v>Chino</v>
      </c>
      <c r="L1103" t="str">
        <f>_xlfn.XLOOKUP(frasest[[#This Row],[author_es]],autorest[author_es],autorest[language_la])</f>
        <v>Lingua Sinica</v>
      </c>
      <c r="M1103" t="str">
        <f>_xlfn.XLOOKUP(frasest[[#This Row],[author_es]],autorest[author_es],autorest[nation_es])</f>
        <v>China</v>
      </c>
      <c r="N1103" t="str">
        <f>_xlfn.XLOOKUP(frasest[[#This Row],[author_es]],autorest[author_es],autorest[nation_la])</f>
        <v>Sinae</v>
      </c>
      <c r="O1103" t="str">
        <f>_xlfn.XLOOKUP(frasest[[#This Row],[author_es]],autorest[author_es],autorest[age_es])</f>
        <v>Epoca Desconocida</v>
      </c>
      <c r="P1103" t="str">
        <f>_xlfn.XLOOKUP(frasest[[#This Row],[author_es]],autorest[author_es],autorest[age_la])</f>
        <v>Epocha Ignota</v>
      </c>
      <c r="Q1103" t="str">
        <f>_xlfn.XLOOKUP(frasest[[#This Row],[author_es]],autorest[author_es],autorest[image])</f>
        <v>https://i.ibb.co/qLfpZm6h/china.png</v>
      </c>
      <c r="R1103">
        <f>_xlfn.XLOOKUP(frasest[[#This Row],[author_es]],autorest[author_es],autorest[image_atr])</f>
        <v>0</v>
      </c>
    </row>
    <row r="1104" spans="1:18">
      <c r="A1104">
        <v>1103</v>
      </c>
      <c r="B1104" t="s">
        <v>3443</v>
      </c>
      <c r="C1104" t="s">
        <v>3444</v>
      </c>
      <c r="D1104" s="1" t="s">
        <v>3445</v>
      </c>
      <c r="E1104" t="s">
        <v>36</v>
      </c>
      <c r="G1104" t="str">
        <f>_xlfn.XLOOKUP(frasest[[#This Row],[author_es]],autorest[author_es],autorest[author_la])</f>
        <v>Proverbium Sinense</v>
      </c>
      <c r="H1104" t="str">
        <f>_xlfn.XLOOKUP(frasest[[#This Row],[author_es]],autorest[author_es],autorest[bio_es])</f>
        <v>Conjunto de proverbios tradicionales de la cultura china que transmiten sabiduría popular, valores morales y enseñanzas prácticas transmitidas oralmente durante siglos.</v>
      </c>
      <c r="I1104" t="str">
        <f>_xlfn.XLOOKUP(frasest[[#This Row],[author_es]],autorest[author_es],autorest[bio_la])</f>
        <v>Collectio sententiarum Sinensium, magnopere in cultura tradita.</v>
      </c>
      <c r="J1104" t="str">
        <f>_xlfn.XLOOKUP(frasest[[#This Row],[author_es]],autorest[author_es],autorest[iso3691])</f>
        <v>zh</v>
      </c>
      <c r="K1104" t="str">
        <f>_xlfn.XLOOKUP(frasest[[#This Row],[author_es]],autorest[author_es],autorest[language_es])</f>
        <v>Chino</v>
      </c>
      <c r="L1104" t="str">
        <f>_xlfn.XLOOKUP(frasest[[#This Row],[author_es]],autorest[author_es],autorest[language_la])</f>
        <v>Lingua Sinica</v>
      </c>
      <c r="M1104" t="str">
        <f>_xlfn.XLOOKUP(frasest[[#This Row],[author_es]],autorest[author_es],autorest[nation_es])</f>
        <v>China</v>
      </c>
      <c r="N1104" t="str">
        <f>_xlfn.XLOOKUP(frasest[[#This Row],[author_es]],autorest[author_es],autorest[nation_la])</f>
        <v>Sinae</v>
      </c>
      <c r="O1104" t="str">
        <f>_xlfn.XLOOKUP(frasest[[#This Row],[author_es]],autorest[author_es],autorest[age_es])</f>
        <v>Epoca Desconocida</v>
      </c>
      <c r="P1104" t="str">
        <f>_xlfn.XLOOKUP(frasest[[#This Row],[author_es]],autorest[author_es],autorest[age_la])</f>
        <v>Epocha Ignota</v>
      </c>
      <c r="Q1104" t="str">
        <f>_xlfn.XLOOKUP(frasest[[#This Row],[author_es]],autorest[author_es],autorest[image])</f>
        <v>https://i.ibb.co/qLfpZm6h/china.png</v>
      </c>
      <c r="R1104">
        <f>_xlfn.XLOOKUP(frasest[[#This Row],[author_es]],autorest[author_es],autorest[image_atr])</f>
        <v>0</v>
      </c>
    </row>
    <row r="1105" spans="1:18">
      <c r="A1105">
        <v>1104</v>
      </c>
      <c r="B1105" t="s">
        <v>3446</v>
      </c>
      <c r="C1105" t="s">
        <v>3447</v>
      </c>
      <c r="D1105" s="1" t="s">
        <v>3448</v>
      </c>
      <c r="E1105" t="s">
        <v>36</v>
      </c>
      <c r="G1105" t="str">
        <f>_xlfn.XLOOKUP(frasest[[#This Row],[author_es]],autorest[author_es],autorest[author_la])</f>
        <v>Proverbium Sinense</v>
      </c>
      <c r="H1105" t="str">
        <f>_xlfn.XLOOKUP(frasest[[#This Row],[author_es]],autorest[author_es],autorest[bio_es])</f>
        <v>Conjunto de proverbios tradicionales de la cultura china que transmiten sabiduría popular, valores morales y enseñanzas prácticas transmitidas oralmente durante siglos.</v>
      </c>
      <c r="I1105" t="str">
        <f>_xlfn.XLOOKUP(frasest[[#This Row],[author_es]],autorest[author_es],autorest[bio_la])</f>
        <v>Collectio sententiarum Sinensium, magnopere in cultura tradita.</v>
      </c>
      <c r="J1105" t="str">
        <f>_xlfn.XLOOKUP(frasest[[#This Row],[author_es]],autorest[author_es],autorest[iso3691])</f>
        <v>zh</v>
      </c>
      <c r="K1105" t="str">
        <f>_xlfn.XLOOKUP(frasest[[#This Row],[author_es]],autorest[author_es],autorest[language_es])</f>
        <v>Chino</v>
      </c>
      <c r="L1105" t="str">
        <f>_xlfn.XLOOKUP(frasest[[#This Row],[author_es]],autorest[author_es],autorest[language_la])</f>
        <v>Lingua Sinica</v>
      </c>
      <c r="M1105" t="str">
        <f>_xlfn.XLOOKUP(frasest[[#This Row],[author_es]],autorest[author_es],autorest[nation_es])</f>
        <v>China</v>
      </c>
      <c r="N1105" t="str">
        <f>_xlfn.XLOOKUP(frasest[[#This Row],[author_es]],autorest[author_es],autorest[nation_la])</f>
        <v>Sinae</v>
      </c>
      <c r="O1105" t="str">
        <f>_xlfn.XLOOKUP(frasest[[#This Row],[author_es]],autorest[author_es],autorest[age_es])</f>
        <v>Epoca Desconocida</v>
      </c>
      <c r="P1105" t="str">
        <f>_xlfn.XLOOKUP(frasest[[#This Row],[author_es]],autorest[author_es],autorest[age_la])</f>
        <v>Epocha Ignota</v>
      </c>
      <c r="Q1105" t="str">
        <f>_xlfn.XLOOKUP(frasest[[#This Row],[author_es]],autorest[author_es],autorest[image])</f>
        <v>https://i.ibb.co/qLfpZm6h/china.png</v>
      </c>
      <c r="R1105">
        <f>_xlfn.XLOOKUP(frasest[[#This Row],[author_es]],autorest[author_es],autorest[image_atr])</f>
        <v>0</v>
      </c>
    </row>
    <row r="1106" spans="1:18">
      <c r="A1106">
        <v>1105</v>
      </c>
      <c r="B1106" t="s">
        <v>3449</v>
      </c>
      <c r="C1106" t="s">
        <v>3450</v>
      </c>
      <c r="D1106" s="1" t="s">
        <v>3451</v>
      </c>
      <c r="E1106" t="s">
        <v>36</v>
      </c>
      <c r="G1106" t="str">
        <f>_xlfn.XLOOKUP(frasest[[#This Row],[author_es]],autorest[author_es],autorest[author_la])</f>
        <v>Proverbium Sinense</v>
      </c>
      <c r="H1106" t="str">
        <f>_xlfn.XLOOKUP(frasest[[#This Row],[author_es]],autorest[author_es],autorest[bio_es])</f>
        <v>Conjunto de proverbios tradicionales de la cultura china que transmiten sabiduría popular, valores morales y enseñanzas prácticas transmitidas oralmente durante siglos.</v>
      </c>
      <c r="I1106" t="str">
        <f>_xlfn.XLOOKUP(frasest[[#This Row],[author_es]],autorest[author_es],autorest[bio_la])</f>
        <v>Collectio sententiarum Sinensium, magnopere in cultura tradita.</v>
      </c>
      <c r="J1106" t="str">
        <f>_xlfn.XLOOKUP(frasest[[#This Row],[author_es]],autorest[author_es],autorest[iso3691])</f>
        <v>zh</v>
      </c>
      <c r="K1106" t="str">
        <f>_xlfn.XLOOKUP(frasest[[#This Row],[author_es]],autorest[author_es],autorest[language_es])</f>
        <v>Chino</v>
      </c>
      <c r="L1106" t="str">
        <f>_xlfn.XLOOKUP(frasest[[#This Row],[author_es]],autorest[author_es],autorest[language_la])</f>
        <v>Lingua Sinica</v>
      </c>
      <c r="M1106" t="str">
        <f>_xlfn.XLOOKUP(frasest[[#This Row],[author_es]],autorest[author_es],autorest[nation_es])</f>
        <v>China</v>
      </c>
      <c r="N1106" t="str">
        <f>_xlfn.XLOOKUP(frasest[[#This Row],[author_es]],autorest[author_es],autorest[nation_la])</f>
        <v>Sinae</v>
      </c>
      <c r="O1106" t="str">
        <f>_xlfn.XLOOKUP(frasest[[#This Row],[author_es]],autorest[author_es],autorest[age_es])</f>
        <v>Epoca Desconocida</v>
      </c>
      <c r="P1106" t="str">
        <f>_xlfn.XLOOKUP(frasest[[#This Row],[author_es]],autorest[author_es],autorest[age_la])</f>
        <v>Epocha Ignota</v>
      </c>
      <c r="Q1106" t="str">
        <f>_xlfn.XLOOKUP(frasest[[#This Row],[author_es]],autorest[author_es],autorest[image])</f>
        <v>https://i.ibb.co/qLfpZm6h/china.png</v>
      </c>
      <c r="R1106">
        <f>_xlfn.XLOOKUP(frasest[[#This Row],[author_es]],autorest[author_es],autorest[image_atr])</f>
        <v>0</v>
      </c>
    </row>
    <row r="1107" spans="1:18">
      <c r="A1107">
        <v>1106</v>
      </c>
      <c r="B1107" t="s">
        <v>3452</v>
      </c>
      <c r="C1107" t="s">
        <v>3453</v>
      </c>
      <c r="D1107" s="1" t="s">
        <v>3454</v>
      </c>
      <c r="E1107" t="s">
        <v>36</v>
      </c>
      <c r="G1107" t="str">
        <f>_xlfn.XLOOKUP(frasest[[#This Row],[author_es]],autorest[author_es],autorest[author_la])</f>
        <v>Proverbium Sinense</v>
      </c>
      <c r="H1107" t="str">
        <f>_xlfn.XLOOKUP(frasest[[#This Row],[author_es]],autorest[author_es],autorest[bio_es])</f>
        <v>Conjunto de proverbios tradicionales de la cultura china que transmiten sabiduría popular, valores morales y enseñanzas prácticas transmitidas oralmente durante siglos.</v>
      </c>
      <c r="I1107" t="str">
        <f>_xlfn.XLOOKUP(frasest[[#This Row],[author_es]],autorest[author_es],autorest[bio_la])</f>
        <v>Collectio sententiarum Sinensium, magnopere in cultura tradita.</v>
      </c>
      <c r="J1107" t="str">
        <f>_xlfn.XLOOKUP(frasest[[#This Row],[author_es]],autorest[author_es],autorest[iso3691])</f>
        <v>zh</v>
      </c>
      <c r="K1107" t="str">
        <f>_xlfn.XLOOKUP(frasest[[#This Row],[author_es]],autorest[author_es],autorest[language_es])</f>
        <v>Chino</v>
      </c>
      <c r="L1107" t="str">
        <f>_xlfn.XLOOKUP(frasest[[#This Row],[author_es]],autorest[author_es],autorest[language_la])</f>
        <v>Lingua Sinica</v>
      </c>
      <c r="M1107" t="str">
        <f>_xlfn.XLOOKUP(frasest[[#This Row],[author_es]],autorest[author_es],autorest[nation_es])</f>
        <v>China</v>
      </c>
      <c r="N1107" t="str">
        <f>_xlfn.XLOOKUP(frasest[[#This Row],[author_es]],autorest[author_es],autorest[nation_la])</f>
        <v>Sinae</v>
      </c>
      <c r="O1107" t="str">
        <f>_xlfn.XLOOKUP(frasest[[#This Row],[author_es]],autorest[author_es],autorest[age_es])</f>
        <v>Epoca Desconocida</v>
      </c>
      <c r="P1107" t="str">
        <f>_xlfn.XLOOKUP(frasest[[#This Row],[author_es]],autorest[author_es],autorest[age_la])</f>
        <v>Epocha Ignota</v>
      </c>
      <c r="Q1107" t="str">
        <f>_xlfn.XLOOKUP(frasest[[#This Row],[author_es]],autorest[author_es],autorest[image])</f>
        <v>https://i.ibb.co/qLfpZm6h/china.png</v>
      </c>
      <c r="R1107">
        <f>_xlfn.XLOOKUP(frasest[[#This Row],[author_es]],autorest[author_es],autorest[image_atr])</f>
        <v>0</v>
      </c>
    </row>
    <row r="1108" spans="1:18">
      <c r="A1108">
        <v>1107</v>
      </c>
      <c r="B1108" t="s">
        <v>3455</v>
      </c>
      <c r="C1108" t="s">
        <v>3456</v>
      </c>
      <c r="D1108" s="1" t="s">
        <v>3457</v>
      </c>
      <c r="E1108" t="s">
        <v>36</v>
      </c>
      <c r="G1108" t="str">
        <f>_xlfn.XLOOKUP(frasest[[#This Row],[author_es]],autorest[author_es],autorest[author_la])</f>
        <v>Proverbium Sinense</v>
      </c>
      <c r="H1108" t="str">
        <f>_xlfn.XLOOKUP(frasest[[#This Row],[author_es]],autorest[author_es],autorest[bio_es])</f>
        <v>Conjunto de proverbios tradicionales de la cultura china que transmiten sabiduría popular, valores morales y enseñanzas prácticas transmitidas oralmente durante siglos.</v>
      </c>
      <c r="I1108" t="str">
        <f>_xlfn.XLOOKUP(frasest[[#This Row],[author_es]],autorest[author_es],autorest[bio_la])</f>
        <v>Collectio sententiarum Sinensium, magnopere in cultura tradita.</v>
      </c>
      <c r="J1108" t="str">
        <f>_xlfn.XLOOKUP(frasest[[#This Row],[author_es]],autorest[author_es],autorest[iso3691])</f>
        <v>zh</v>
      </c>
      <c r="K1108" t="str">
        <f>_xlfn.XLOOKUP(frasest[[#This Row],[author_es]],autorest[author_es],autorest[language_es])</f>
        <v>Chino</v>
      </c>
      <c r="L1108" t="str">
        <f>_xlfn.XLOOKUP(frasest[[#This Row],[author_es]],autorest[author_es],autorest[language_la])</f>
        <v>Lingua Sinica</v>
      </c>
      <c r="M1108" t="str">
        <f>_xlfn.XLOOKUP(frasest[[#This Row],[author_es]],autorest[author_es],autorest[nation_es])</f>
        <v>China</v>
      </c>
      <c r="N1108" t="str">
        <f>_xlfn.XLOOKUP(frasest[[#This Row],[author_es]],autorest[author_es],autorest[nation_la])</f>
        <v>Sinae</v>
      </c>
      <c r="O1108" t="str">
        <f>_xlfn.XLOOKUP(frasest[[#This Row],[author_es]],autorest[author_es],autorest[age_es])</f>
        <v>Epoca Desconocida</v>
      </c>
      <c r="P1108" t="str">
        <f>_xlfn.XLOOKUP(frasest[[#This Row],[author_es]],autorest[author_es],autorest[age_la])</f>
        <v>Epocha Ignota</v>
      </c>
      <c r="Q1108" t="str">
        <f>_xlfn.XLOOKUP(frasest[[#This Row],[author_es]],autorest[author_es],autorest[image])</f>
        <v>https://i.ibb.co/qLfpZm6h/china.png</v>
      </c>
      <c r="R1108">
        <f>_xlfn.XLOOKUP(frasest[[#This Row],[author_es]],autorest[author_es],autorest[image_atr])</f>
        <v>0</v>
      </c>
    </row>
    <row r="1109" spans="1:18">
      <c r="A1109">
        <v>1108</v>
      </c>
      <c r="B1109" t="s">
        <v>3458</v>
      </c>
      <c r="C1109" t="s">
        <v>3459</v>
      </c>
      <c r="D1109" s="1" t="s">
        <v>3460</v>
      </c>
      <c r="E1109" t="s">
        <v>36</v>
      </c>
      <c r="G1109" t="str">
        <f>_xlfn.XLOOKUP(frasest[[#This Row],[author_es]],autorest[author_es],autorest[author_la])</f>
        <v>Proverbium Sinense</v>
      </c>
      <c r="H1109" t="str">
        <f>_xlfn.XLOOKUP(frasest[[#This Row],[author_es]],autorest[author_es],autorest[bio_es])</f>
        <v>Conjunto de proverbios tradicionales de la cultura china que transmiten sabiduría popular, valores morales y enseñanzas prácticas transmitidas oralmente durante siglos.</v>
      </c>
      <c r="I1109" t="str">
        <f>_xlfn.XLOOKUP(frasest[[#This Row],[author_es]],autorest[author_es],autorest[bio_la])</f>
        <v>Collectio sententiarum Sinensium, magnopere in cultura tradita.</v>
      </c>
      <c r="J1109" t="str">
        <f>_xlfn.XLOOKUP(frasest[[#This Row],[author_es]],autorest[author_es],autorest[iso3691])</f>
        <v>zh</v>
      </c>
      <c r="K1109" t="str">
        <f>_xlfn.XLOOKUP(frasest[[#This Row],[author_es]],autorest[author_es],autorest[language_es])</f>
        <v>Chino</v>
      </c>
      <c r="L1109" t="str">
        <f>_xlfn.XLOOKUP(frasest[[#This Row],[author_es]],autorest[author_es],autorest[language_la])</f>
        <v>Lingua Sinica</v>
      </c>
      <c r="M1109" t="str">
        <f>_xlfn.XLOOKUP(frasest[[#This Row],[author_es]],autorest[author_es],autorest[nation_es])</f>
        <v>China</v>
      </c>
      <c r="N1109" t="str">
        <f>_xlfn.XLOOKUP(frasest[[#This Row],[author_es]],autorest[author_es],autorest[nation_la])</f>
        <v>Sinae</v>
      </c>
      <c r="O1109" t="str">
        <f>_xlfn.XLOOKUP(frasest[[#This Row],[author_es]],autorest[author_es],autorest[age_es])</f>
        <v>Epoca Desconocida</v>
      </c>
      <c r="P1109" t="str">
        <f>_xlfn.XLOOKUP(frasest[[#This Row],[author_es]],autorest[author_es],autorest[age_la])</f>
        <v>Epocha Ignota</v>
      </c>
      <c r="Q1109" t="str">
        <f>_xlfn.XLOOKUP(frasest[[#This Row],[author_es]],autorest[author_es],autorest[image])</f>
        <v>https://i.ibb.co/qLfpZm6h/china.png</v>
      </c>
      <c r="R1109">
        <f>_xlfn.XLOOKUP(frasest[[#This Row],[author_es]],autorest[author_es],autorest[image_atr])</f>
        <v>0</v>
      </c>
    </row>
    <row r="1110" spans="1:18">
      <c r="A1110">
        <v>1109</v>
      </c>
      <c r="B1110" t="s">
        <v>3461</v>
      </c>
      <c r="C1110" t="s">
        <v>3462</v>
      </c>
      <c r="D1110" s="1" t="s">
        <v>3463</v>
      </c>
      <c r="E1110" t="s">
        <v>36</v>
      </c>
      <c r="G1110" t="str">
        <f>_xlfn.XLOOKUP(frasest[[#This Row],[author_es]],autorest[author_es],autorest[author_la])</f>
        <v>Proverbium Sinense</v>
      </c>
      <c r="H1110" t="str">
        <f>_xlfn.XLOOKUP(frasest[[#This Row],[author_es]],autorest[author_es],autorest[bio_es])</f>
        <v>Conjunto de proverbios tradicionales de la cultura china que transmiten sabiduría popular, valores morales y enseñanzas prácticas transmitidas oralmente durante siglos.</v>
      </c>
      <c r="I1110" t="str">
        <f>_xlfn.XLOOKUP(frasest[[#This Row],[author_es]],autorest[author_es],autorest[bio_la])</f>
        <v>Collectio sententiarum Sinensium, magnopere in cultura tradita.</v>
      </c>
      <c r="J1110" t="str">
        <f>_xlfn.XLOOKUP(frasest[[#This Row],[author_es]],autorest[author_es],autorest[iso3691])</f>
        <v>zh</v>
      </c>
      <c r="K1110" t="str">
        <f>_xlfn.XLOOKUP(frasest[[#This Row],[author_es]],autorest[author_es],autorest[language_es])</f>
        <v>Chino</v>
      </c>
      <c r="L1110" t="str">
        <f>_xlfn.XLOOKUP(frasest[[#This Row],[author_es]],autorest[author_es],autorest[language_la])</f>
        <v>Lingua Sinica</v>
      </c>
      <c r="M1110" t="str">
        <f>_xlfn.XLOOKUP(frasest[[#This Row],[author_es]],autorest[author_es],autorest[nation_es])</f>
        <v>China</v>
      </c>
      <c r="N1110" t="str">
        <f>_xlfn.XLOOKUP(frasest[[#This Row],[author_es]],autorest[author_es],autorest[nation_la])</f>
        <v>Sinae</v>
      </c>
      <c r="O1110" t="str">
        <f>_xlfn.XLOOKUP(frasest[[#This Row],[author_es]],autorest[author_es],autorest[age_es])</f>
        <v>Epoca Desconocida</v>
      </c>
      <c r="P1110" t="str">
        <f>_xlfn.XLOOKUP(frasest[[#This Row],[author_es]],autorest[author_es],autorest[age_la])</f>
        <v>Epocha Ignota</v>
      </c>
      <c r="Q1110" t="str">
        <f>_xlfn.XLOOKUP(frasest[[#This Row],[author_es]],autorest[author_es],autorest[image])</f>
        <v>https://i.ibb.co/qLfpZm6h/china.png</v>
      </c>
      <c r="R1110">
        <f>_xlfn.XLOOKUP(frasest[[#This Row],[author_es]],autorest[author_es],autorest[image_atr])</f>
        <v>0</v>
      </c>
    </row>
    <row r="1111" spans="1:18">
      <c r="A1111">
        <v>1110</v>
      </c>
      <c r="B1111" t="s">
        <v>3464</v>
      </c>
      <c r="C1111" t="s">
        <v>3465</v>
      </c>
      <c r="D1111" s="1" t="s">
        <v>3466</v>
      </c>
      <c r="E1111" t="s">
        <v>36</v>
      </c>
      <c r="G1111" t="str">
        <f>_xlfn.XLOOKUP(frasest[[#This Row],[author_es]],autorest[author_es],autorest[author_la])</f>
        <v>Proverbium Sinense</v>
      </c>
      <c r="H1111" t="str">
        <f>_xlfn.XLOOKUP(frasest[[#This Row],[author_es]],autorest[author_es],autorest[bio_es])</f>
        <v>Conjunto de proverbios tradicionales de la cultura china que transmiten sabiduría popular, valores morales y enseñanzas prácticas transmitidas oralmente durante siglos.</v>
      </c>
      <c r="I1111" t="str">
        <f>_xlfn.XLOOKUP(frasest[[#This Row],[author_es]],autorest[author_es],autorest[bio_la])</f>
        <v>Collectio sententiarum Sinensium, magnopere in cultura tradita.</v>
      </c>
      <c r="J1111" t="str">
        <f>_xlfn.XLOOKUP(frasest[[#This Row],[author_es]],autorest[author_es],autorest[iso3691])</f>
        <v>zh</v>
      </c>
      <c r="K1111" t="str">
        <f>_xlfn.XLOOKUP(frasest[[#This Row],[author_es]],autorest[author_es],autorest[language_es])</f>
        <v>Chino</v>
      </c>
      <c r="L1111" t="str">
        <f>_xlfn.XLOOKUP(frasest[[#This Row],[author_es]],autorest[author_es],autorest[language_la])</f>
        <v>Lingua Sinica</v>
      </c>
      <c r="M1111" t="str">
        <f>_xlfn.XLOOKUP(frasest[[#This Row],[author_es]],autorest[author_es],autorest[nation_es])</f>
        <v>China</v>
      </c>
      <c r="N1111" t="str">
        <f>_xlfn.XLOOKUP(frasest[[#This Row],[author_es]],autorest[author_es],autorest[nation_la])</f>
        <v>Sinae</v>
      </c>
      <c r="O1111" t="str">
        <f>_xlfn.XLOOKUP(frasest[[#This Row],[author_es]],autorest[author_es],autorest[age_es])</f>
        <v>Epoca Desconocida</v>
      </c>
      <c r="P1111" t="str">
        <f>_xlfn.XLOOKUP(frasest[[#This Row],[author_es]],autorest[author_es],autorest[age_la])</f>
        <v>Epocha Ignota</v>
      </c>
      <c r="Q1111" t="str">
        <f>_xlfn.XLOOKUP(frasest[[#This Row],[author_es]],autorest[author_es],autorest[image])</f>
        <v>https://i.ibb.co/qLfpZm6h/china.png</v>
      </c>
      <c r="R1111">
        <f>_xlfn.XLOOKUP(frasest[[#This Row],[author_es]],autorest[author_es],autorest[image_atr])</f>
        <v>0</v>
      </c>
    </row>
    <row r="1112" spans="1:18">
      <c r="A1112">
        <v>1111</v>
      </c>
      <c r="B1112" t="s">
        <v>3467</v>
      </c>
      <c r="C1112" t="s">
        <v>3468</v>
      </c>
      <c r="D1112" s="1" t="s">
        <v>3469</v>
      </c>
      <c r="E1112" t="s">
        <v>36</v>
      </c>
      <c r="G1112" t="str">
        <f>_xlfn.XLOOKUP(frasest[[#This Row],[author_es]],autorest[author_es],autorest[author_la])</f>
        <v>Proverbium Sinense</v>
      </c>
      <c r="H1112" t="str">
        <f>_xlfn.XLOOKUP(frasest[[#This Row],[author_es]],autorest[author_es],autorest[bio_es])</f>
        <v>Conjunto de proverbios tradicionales de la cultura china que transmiten sabiduría popular, valores morales y enseñanzas prácticas transmitidas oralmente durante siglos.</v>
      </c>
      <c r="I1112" t="str">
        <f>_xlfn.XLOOKUP(frasest[[#This Row],[author_es]],autorest[author_es],autorest[bio_la])</f>
        <v>Collectio sententiarum Sinensium, magnopere in cultura tradita.</v>
      </c>
      <c r="J1112" t="str">
        <f>_xlfn.XLOOKUP(frasest[[#This Row],[author_es]],autorest[author_es],autorest[iso3691])</f>
        <v>zh</v>
      </c>
      <c r="K1112" t="str">
        <f>_xlfn.XLOOKUP(frasest[[#This Row],[author_es]],autorest[author_es],autorest[language_es])</f>
        <v>Chino</v>
      </c>
      <c r="L1112" t="str">
        <f>_xlfn.XLOOKUP(frasest[[#This Row],[author_es]],autorest[author_es],autorest[language_la])</f>
        <v>Lingua Sinica</v>
      </c>
      <c r="M1112" t="str">
        <f>_xlfn.XLOOKUP(frasest[[#This Row],[author_es]],autorest[author_es],autorest[nation_es])</f>
        <v>China</v>
      </c>
      <c r="N1112" t="str">
        <f>_xlfn.XLOOKUP(frasest[[#This Row],[author_es]],autorest[author_es],autorest[nation_la])</f>
        <v>Sinae</v>
      </c>
      <c r="O1112" t="str">
        <f>_xlfn.XLOOKUP(frasest[[#This Row],[author_es]],autorest[author_es],autorest[age_es])</f>
        <v>Epoca Desconocida</v>
      </c>
      <c r="P1112" t="str">
        <f>_xlfn.XLOOKUP(frasest[[#This Row],[author_es]],autorest[author_es],autorest[age_la])</f>
        <v>Epocha Ignota</v>
      </c>
      <c r="Q1112" t="str">
        <f>_xlfn.XLOOKUP(frasest[[#This Row],[author_es]],autorest[author_es],autorest[image])</f>
        <v>https://i.ibb.co/qLfpZm6h/china.png</v>
      </c>
      <c r="R1112">
        <f>_xlfn.XLOOKUP(frasest[[#This Row],[author_es]],autorest[author_es],autorest[image_atr])</f>
        <v>0</v>
      </c>
    </row>
    <row r="1113" spans="1:18">
      <c r="A1113">
        <v>1112</v>
      </c>
      <c r="B1113" t="s">
        <v>3470</v>
      </c>
      <c r="C1113" t="s">
        <v>3471</v>
      </c>
      <c r="D1113" s="1" t="s">
        <v>3472</v>
      </c>
      <c r="E1113" t="s">
        <v>36</v>
      </c>
      <c r="G1113" t="str">
        <f>_xlfn.XLOOKUP(frasest[[#This Row],[author_es]],autorest[author_es],autorest[author_la])</f>
        <v>Proverbium Sinense</v>
      </c>
      <c r="H1113" t="str">
        <f>_xlfn.XLOOKUP(frasest[[#This Row],[author_es]],autorest[author_es],autorest[bio_es])</f>
        <v>Conjunto de proverbios tradicionales de la cultura china que transmiten sabiduría popular, valores morales y enseñanzas prácticas transmitidas oralmente durante siglos.</v>
      </c>
      <c r="I1113" t="str">
        <f>_xlfn.XLOOKUP(frasest[[#This Row],[author_es]],autorest[author_es],autorest[bio_la])</f>
        <v>Collectio sententiarum Sinensium, magnopere in cultura tradita.</v>
      </c>
      <c r="J1113" t="str">
        <f>_xlfn.XLOOKUP(frasest[[#This Row],[author_es]],autorest[author_es],autorest[iso3691])</f>
        <v>zh</v>
      </c>
      <c r="K1113" t="str">
        <f>_xlfn.XLOOKUP(frasest[[#This Row],[author_es]],autorest[author_es],autorest[language_es])</f>
        <v>Chino</v>
      </c>
      <c r="L1113" t="str">
        <f>_xlfn.XLOOKUP(frasest[[#This Row],[author_es]],autorest[author_es],autorest[language_la])</f>
        <v>Lingua Sinica</v>
      </c>
      <c r="M1113" t="str">
        <f>_xlfn.XLOOKUP(frasest[[#This Row],[author_es]],autorest[author_es],autorest[nation_es])</f>
        <v>China</v>
      </c>
      <c r="N1113" t="str">
        <f>_xlfn.XLOOKUP(frasest[[#This Row],[author_es]],autorest[author_es],autorest[nation_la])</f>
        <v>Sinae</v>
      </c>
      <c r="O1113" t="str">
        <f>_xlfn.XLOOKUP(frasest[[#This Row],[author_es]],autorest[author_es],autorest[age_es])</f>
        <v>Epoca Desconocida</v>
      </c>
      <c r="P1113" t="str">
        <f>_xlfn.XLOOKUP(frasest[[#This Row],[author_es]],autorest[author_es],autorest[age_la])</f>
        <v>Epocha Ignota</v>
      </c>
      <c r="Q1113" t="str">
        <f>_xlfn.XLOOKUP(frasest[[#This Row],[author_es]],autorest[author_es],autorest[image])</f>
        <v>https://i.ibb.co/qLfpZm6h/china.png</v>
      </c>
      <c r="R1113">
        <f>_xlfn.XLOOKUP(frasest[[#This Row],[author_es]],autorest[author_es],autorest[image_atr])</f>
        <v>0</v>
      </c>
    </row>
    <row r="1114" spans="1:18">
      <c r="A1114">
        <v>1113</v>
      </c>
      <c r="B1114" t="s">
        <v>3473</v>
      </c>
      <c r="C1114" t="s">
        <v>3474</v>
      </c>
      <c r="D1114" s="1" t="s">
        <v>3475</v>
      </c>
      <c r="E1114" t="s">
        <v>36</v>
      </c>
      <c r="G1114" t="str">
        <f>_xlfn.XLOOKUP(frasest[[#This Row],[author_es]],autorest[author_es],autorest[author_la])</f>
        <v>Proverbium Sinense</v>
      </c>
      <c r="H1114" t="str">
        <f>_xlfn.XLOOKUP(frasest[[#This Row],[author_es]],autorest[author_es],autorest[bio_es])</f>
        <v>Conjunto de proverbios tradicionales de la cultura china que transmiten sabiduría popular, valores morales y enseñanzas prácticas transmitidas oralmente durante siglos.</v>
      </c>
      <c r="I1114" t="str">
        <f>_xlfn.XLOOKUP(frasest[[#This Row],[author_es]],autorest[author_es],autorest[bio_la])</f>
        <v>Collectio sententiarum Sinensium, magnopere in cultura tradita.</v>
      </c>
      <c r="J1114" t="str">
        <f>_xlfn.XLOOKUP(frasest[[#This Row],[author_es]],autorest[author_es],autorest[iso3691])</f>
        <v>zh</v>
      </c>
      <c r="K1114" t="str">
        <f>_xlfn.XLOOKUP(frasest[[#This Row],[author_es]],autorest[author_es],autorest[language_es])</f>
        <v>Chino</v>
      </c>
      <c r="L1114" t="str">
        <f>_xlfn.XLOOKUP(frasest[[#This Row],[author_es]],autorest[author_es],autorest[language_la])</f>
        <v>Lingua Sinica</v>
      </c>
      <c r="M1114" t="str">
        <f>_xlfn.XLOOKUP(frasest[[#This Row],[author_es]],autorest[author_es],autorest[nation_es])</f>
        <v>China</v>
      </c>
      <c r="N1114" t="str">
        <f>_xlfn.XLOOKUP(frasest[[#This Row],[author_es]],autorest[author_es],autorest[nation_la])</f>
        <v>Sinae</v>
      </c>
      <c r="O1114" t="str">
        <f>_xlfn.XLOOKUP(frasest[[#This Row],[author_es]],autorest[author_es],autorest[age_es])</f>
        <v>Epoca Desconocida</v>
      </c>
      <c r="P1114" t="str">
        <f>_xlfn.XLOOKUP(frasest[[#This Row],[author_es]],autorest[author_es],autorest[age_la])</f>
        <v>Epocha Ignota</v>
      </c>
      <c r="Q1114" t="str">
        <f>_xlfn.XLOOKUP(frasest[[#This Row],[author_es]],autorest[author_es],autorest[image])</f>
        <v>https://i.ibb.co/qLfpZm6h/china.png</v>
      </c>
      <c r="R1114">
        <f>_xlfn.XLOOKUP(frasest[[#This Row],[author_es]],autorest[author_es],autorest[image_atr])</f>
        <v>0</v>
      </c>
    </row>
    <row r="1115" spans="1:18">
      <c r="A1115">
        <v>1114</v>
      </c>
      <c r="B1115" t="s">
        <v>3476</v>
      </c>
      <c r="C1115" t="s">
        <v>3477</v>
      </c>
      <c r="D1115" s="1" t="s">
        <v>3478</v>
      </c>
      <c r="E1115" t="s">
        <v>36</v>
      </c>
      <c r="G1115" t="str">
        <f>_xlfn.XLOOKUP(frasest[[#This Row],[author_es]],autorest[author_es],autorest[author_la])</f>
        <v>Proverbium Sinense</v>
      </c>
      <c r="H1115" t="str">
        <f>_xlfn.XLOOKUP(frasest[[#This Row],[author_es]],autorest[author_es],autorest[bio_es])</f>
        <v>Conjunto de proverbios tradicionales de la cultura china que transmiten sabiduría popular, valores morales y enseñanzas prácticas transmitidas oralmente durante siglos.</v>
      </c>
      <c r="I1115" t="str">
        <f>_xlfn.XLOOKUP(frasest[[#This Row],[author_es]],autorest[author_es],autorest[bio_la])</f>
        <v>Collectio sententiarum Sinensium, magnopere in cultura tradita.</v>
      </c>
      <c r="J1115" t="str">
        <f>_xlfn.XLOOKUP(frasest[[#This Row],[author_es]],autorest[author_es],autorest[iso3691])</f>
        <v>zh</v>
      </c>
      <c r="K1115" t="str">
        <f>_xlfn.XLOOKUP(frasest[[#This Row],[author_es]],autorest[author_es],autorest[language_es])</f>
        <v>Chino</v>
      </c>
      <c r="L1115" t="str">
        <f>_xlfn.XLOOKUP(frasest[[#This Row],[author_es]],autorest[author_es],autorest[language_la])</f>
        <v>Lingua Sinica</v>
      </c>
      <c r="M1115" t="str">
        <f>_xlfn.XLOOKUP(frasest[[#This Row],[author_es]],autorest[author_es],autorest[nation_es])</f>
        <v>China</v>
      </c>
      <c r="N1115" t="str">
        <f>_xlfn.XLOOKUP(frasest[[#This Row],[author_es]],autorest[author_es],autorest[nation_la])</f>
        <v>Sinae</v>
      </c>
      <c r="O1115" t="str">
        <f>_xlfn.XLOOKUP(frasest[[#This Row],[author_es]],autorest[author_es],autorest[age_es])</f>
        <v>Epoca Desconocida</v>
      </c>
      <c r="P1115" t="str">
        <f>_xlfn.XLOOKUP(frasest[[#This Row],[author_es]],autorest[author_es],autorest[age_la])</f>
        <v>Epocha Ignota</v>
      </c>
      <c r="Q1115" t="str">
        <f>_xlfn.XLOOKUP(frasest[[#This Row],[author_es]],autorest[author_es],autorest[image])</f>
        <v>https://i.ibb.co/qLfpZm6h/china.png</v>
      </c>
      <c r="R1115">
        <f>_xlfn.XLOOKUP(frasest[[#This Row],[author_es]],autorest[author_es],autorest[image_atr])</f>
        <v>0</v>
      </c>
    </row>
    <row r="1116" spans="1:18">
      <c r="A1116">
        <v>1115</v>
      </c>
      <c r="B1116" t="s">
        <v>3479</v>
      </c>
      <c r="C1116" t="s">
        <v>3480</v>
      </c>
      <c r="D1116" s="1" t="s">
        <v>3481</v>
      </c>
      <c r="E1116" t="s">
        <v>36</v>
      </c>
      <c r="G1116" t="str">
        <f>_xlfn.XLOOKUP(frasest[[#This Row],[author_es]],autorest[author_es],autorest[author_la])</f>
        <v>Proverbium Sinense</v>
      </c>
      <c r="H1116" t="str">
        <f>_xlfn.XLOOKUP(frasest[[#This Row],[author_es]],autorest[author_es],autorest[bio_es])</f>
        <v>Conjunto de proverbios tradicionales de la cultura china que transmiten sabiduría popular, valores morales y enseñanzas prácticas transmitidas oralmente durante siglos.</v>
      </c>
      <c r="I1116" t="str">
        <f>_xlfn.XLOOKUP(frasest[[#This Row],[author_es]],autorest[author_es],autorest[bio_la])</f>
        <v>Collectio sententiarum Sinensium, magnopere in cultura tradita.</v>
      </c>
      <c r="J1116" t="str">
        <f>_xlfn.XLOOKUP(frasest[[#This Row],[author_es]],autorest[author_es],autorest[iso3691])</f>
        <v>zh</v>
      </c>
      <c r="K1116" t="str">
        <f>_xlfn.XLOOKUP(frasest[[#This Row],[author_es]],autorest[author_es],autorest[language_es])</f>
        <v>Chino</v>
      </c>
      <c r="L1116" t="str">
        <f>_xlfn.XLOOKUP(frasest[[#This Row],[author_es]],autorest[author_es],autorest[language_la])</f>
        <v>Lingua Sinica</v>
      </c>
      <c r="M1116" t="str">
        <f>_xlfn.XLOOKUP(frasest[[#This Row],[author_es]],autorest[author_es],autorest[nation_es])</f>
        <v>China</v>
      </c>
      <c r="N1116" t="str">
        <f>_xlfn.XLOOKUP(frasest[[#This Row],[author_es]],autorest[author_es],autorest[nation_la])</f>
        <v>Sinae</v>
      </c>
      <c r="O1116" t="str">
        <f>_xlfn.XLOOKUP(frasest[[#This Row],[author_es]],autorest[author_es],autorest[age_es])</f>
        <v>Epoca Desconocida</v>
      </c>
      <c r="P1116" t="str">
        <f>_xlfn.XLOOKUP(frasest[[#This Row],[author_es]],autorest[author_es],autorest[age_la])</f>
        <v>Epocha Ignota</v>
      </c>
      <c r="Q1116" t="str">
        <f>_xlfn.XLOOKUP(frasest[[#This Row],[author_es]],autorest[author_es],autorest[image])</f>
        <v>https://i.ibb.co/qLfpZm6h/china.png</v>
      </c>
      <c r="R1116">
        <f>_xlfn.XLOOKUP(frasest[[#This Row],[author_es]],autorest[author_es],autorest[image_atr])</f>
        <v>0</v>
      </c>
    </row>
    <row r="1117" spans="1:18">
      <c r="A1117">
        <v>1116</v>
      </c>
      <c r="B1117" t="s">
        <v>3482</v>
      </c>
      <c r="C1117" t="s">
        <v>3483</v>
      </c>
      <c r="D1117" s="1" t="s">
        <v>3484</v>
      </c>
      <c r="E1117" t="s">
        <v>36</v>
      </c>
      <c r="G1117" t="str">
        <f>_xlfn.XLOOKUP(frasest[[#This Row],[author_es]],autorest[author_es],autorest[author_la])</f>
        <v>Proverbium Sinense</v>
      </c>
      <c r="H1117" t="str">
        <f>_xlfn.XLOOKUP(frasest[[#This Row],[author_es]],autorest[author_es],autorest[bio_es])</f>
        <v>Conjunto de proverbios tradicionales de la cultura china que transmiten sabiduría popular, valores morales y enseñanzas prácticas transmitidas oralmente durante siglos.</v>
      </c>
      <c r="I1117" t="str">
        <f>_xlfn.XLOOKUP(frasest[[#This Row],[author_es]],autorest[author_es],autorest[bio_la])</f>
        <v>Collectio sententiarum Sinensium, magnopere in cultura tradita.</v>
      </c>
      <c r="J1117" t="str">
        <f>_xlfn.XLOOKUP(frasest[[#This Row],[author_es]],autorest[author_es],autorest[iso3691])</f>
        <v>zh</v>
      </c>
      <c r="K1117" t="str">
        <f>_xlfn.XLOOKUP(frasest[[#This Row],[author_es]],autorest[author_es],autorest[language_es])</f>
        <v>Chino</v>
      </c>
      <c r="L1117" t="str">
        <f>_xlfn.XLOOKUP(frasest[[#This Row],[author_es]],autorest[author_es],autorest[language_la])</f>
        <v>Lingua Sinica</v>
      </c>
      <c r="M1117" t="str">
        <f>_xlfn.XLOOKUP(frasest[[#This Row],[author_es]],autorest[author_es],autorest[nation_es])</f>
        <v>China</v>
      </c>
      <c r="N1117" t="str">
        <f>_xlfn.XLOOKUP(frasest[[#This Row],[author_es]],autorest[author_es],autorest[nation_la])</f>
        <v>Sinae</v>
      </c>
      <c r="O1117" t="str">
        <f>_xlfn.XLOOKUP(frasest[[#This Row],[author_es]],autorest[author_es],autorest[age_es])</f>
        <v>Epoca Desconocida</v>
      </c>
      <c r="P1117" t="str">
        <f>_xlfn.XLOOKUP(frasest[[#This Row],[author_es]],autorest[author_es],autorest[age_la])</f>
        <v>Epocha Ignota</v>
      </c>
      <c r="Q1117" t="str">
        <f>_xlfn.XLOOKUP(frasest[[#This Row],[author_es]],autorest[author_es],autorest[image])</f>
        <v>https://i.ibb.co/qLfpZm6h/china.png</v>
      </c>
      <c r="R1117">
        <f>_xlfn.XLOOKUP(frasest[[#This Row],[author_es]],autorest[author_es],autorest[image_atr])</f>
        <v>0</v>
      </c>
    </row>
    <row r="1118" spans="1:18">
      <c r="A1118">
        <v>1117</v>
      </c>
      <c r="B1118" t="s">
        <v>3485</v>
      </c>
      <c r="C1118" t="s">
        <v>3486</v>
      </c>
      <c r="D1118" s="1" t="s">
        <v>3487</v>
      </c>
      <c r="E1118" t="s">
        <v>36</v>
      </c>
      <c r="G1118" t="str">
        <f>_xlfn.XLOOKUP(frasest[[#This Row],[author_es]],autorest[author_es],autorest[author_la])</f>
        <v>Proverbium Sinense</v>
      </c>
      <c r="H1118" t="str">
        <f>_xlfn.XLOOKUP(frasest[[#This Row],[author_es]],autorest[author_es],autorest[bio_es])</f>
        <v>Conjunto de proverbios tradicionales de la cultura china que transmiten sabiduría popular, valores morales y enseñanzas prácticas transmitidas oralmente durante siglos.</v>
      </c>
      <c r="I1118" t="str">
        <f>_xlfn.XLOOKUP(frasest[[#This Row],[author_es]],autorest[author_es],autorest[bio_la])</f>
        <v>Collectio sententiarum Sinensium, magnopere in cultura tradita.</v>
      </c>
      <c r="J1118" t="str">
        <f>_xlfn.XLOOKUP(frasest[[#This Row],[author_es]],autorest[author_es],autorest[iso3691])</f>
        <v>zh</v>
      </c>
      <c r="K1118" t="str">
        <f>_xlfn.XLOOKUP(frasest[[#This Row],[author_es]],autorest[author_es],autorest[language_es])</f>
        <v>Chino</v>
      </c>
      <c r="L1118" t="str">
        <f>_xlfn.XLOOKUP(frasest[[#This Row],[author_es]],autorest[author_es],autorest[language_la])</f>
        <v>Lingua Sinica</v>
      </c>
      <c r="M1118" t="str">
        <f>_xlfn.XLOOKUP(frasest[[#This Row],[author_es]],autorest[author_es],autorest[nation_es])</f>
        <v>China</v>
      </c>
      <c r="N1118" t="str">
        <f>_xlfn.XLOOKUP(frasest[[#This Row],[author_es]],autorest[author_es],autorest[nation_la])</f>
        <v>Sinae</v>
      </c>
      <c r="O1118" t="str">
        <f>_xlfn.XLOOKUP(frasest[[#This Row],[author_es]],autorest[author_es],autorest[age_es])</f>
        <v>Epoca Desconocida</v>
      </c>
      <c r="P1118" t="str">
        <f>_xlfn.XLOOKUP(frasest[[#This Row],[author_es]],autorest[author_es],autorest[age_la])</f>
        <v>Epocha Ignota</v>
      </c>
      <c r="Q1118" t="str">
        <f>_xlfn.XLOOKUP(frasest[[#This Row],[author_es]],autorest[author_es],autorest[image])</f>
        <v>https://i.ibb.co/qLfpZm6h/china.png</v>
      </c>
      <c r="R1118">
        <f>_xlfn.XLOOKUP(frasest[[#This Row],[author_es]],autorest[author_es],autorest[image_atr])</f>
        <v>0</v>
      </c>
    </row>
    <row r="1119" spans="1:18">
      <c r="A1119">
        <v>1118</v>
      </c>
      <c r="B1119" t="s">
        <v>3488</v>
      </c>
      <c r="C1119" t="s">
        <v>3489</v>
      </c>
      <c r="D1119" s="1" t="s">
        <v>3490</v>
      </c>
      <c r="E1119" t="s">
        <v>36</v>
      </c>
      <c r="G1119" t="str">
        <f>_xlfn.XLOOKUP(frasest[[#This Row],[author_es]],autorest[author_es],autorest[author_la])</f>
        <v>Proverbium Sinense</v>
      </c>
      <c r="H1119" t="str">
        <f>_xlfn.XLOOKUP(frasest[[#This Row],[author_es]],autorest[author_es],autorest[bio_es])</f>
        <v>Conjunto de proverbios tradicionales de la cultura china que transmiten sabiduría popular, valores morales y enseñanzas prácticas transmitidas oralmente durante siglos.</v>
      </c>
      <c r="I1119" t="str">
        <f>_xlfn.XLOOKUP(frasest[[#This Row],[author_es]],autorest[author_es],autorest[bio_la])</f>
        <v>Collectio sententiarum Sinensium, magnopere in cultura tradita.</v>
      </c>
      <c r="J1119" t="str">
        <f>_xlfn.XLOOKUP(frasest[[#This Row],[author_es]],autorest[author_es],autorest[iso3691])</f>
        <v>zh</v>
      </c>
      <c r="K1119" t="str">
        <f>_xlfn.XLOOKUP(frasest[[#This Row],[author_es]],autorest[author_es],autorest[language_es])</f>
        <v>Chino</v>
      </c>
      <c r="L1119" t="str">
        <f>_xlfn.XLOOKUP(frasest[[#This Row],[author_es]],autorest[author_es],autorest[language_la])</f>
        <v>Lingua Sinica</v>
      </c>
      <c r="M1119" t="str">
        <f>_xlfn.XLOOKUP(frasest[[#This Row],[author_es]],autorest[author_es],autorest[nation_es])</f>
        <v>China</v>
      </c>
      <c r="N1119" t="str">
        <f>_xlfn.XLOOKUP(frasest[[#This Row],[author_es]],autorest[author_es],autorest[nation_la])</f>
        <v>Sinae</v>
      </c>
      <c r="O1119" t="str">
        <f>_xlfn.XLOOKUP(frasest[[#This Row],[author_es]],autorest[author_es],autorest[age_es])</f>
        <v>Epoca Desconocida</v>
      </c>
      <c r="P1119" t="str">
        <f>_xlfn.XLOOKUP(frasest[[#This Row],[author_es]],autorest[author_es],autorest[age_la])</f>
        <v>Epocha Ignota</v>
      </c>
      <c r="Q1119" t="str">
        <f>_xlfn.XLOOKUP(frasest[[#This Row],[author_es]],autorest[author_es],autorest[image])</f>
        <v>https://i.ibb.co/qLfpZm6h/china.png</v>
      </c>
      <c r="R1119">
        <f>_xlfn.XLOOKUP(frasest[[#This Row],[author_es]],autorest[author_es],autorest[image_atr])</f>
        <v>0</v>
      </c>
    </row>
    <row r="1120" spans="1:18">
      <c r="A1120">
        <v>1119</v>
      </c>
      <c r="B1120" t="s">
        <v>3491</v>
      </c>
      <c r="C1120" t="s">
        <v>3492</v>
      </c>
      <c r="D1120" s="1" t="s">
        <v>3493</v>
      </c>
      <c r="E1120" t="s">
        <v>36</v>
      </c>
      <c r="G1120" t="str">
        <f>_xlfn.XLOOKUP(frasest[[#This Row],[author_es]],autorest[author_es],autorest[author_la])</f>
        <v>Proverbium Sinense</v>
      </c>
      <c r="H1120" t="str">
        <f>_xlfn.XLOOKUP(frasest[[#This Row],[author_es]],autorest[author_es],autorest[bio_es])</f>
        <v>Conjunto de proverbios tradicionales de la cultura china que transmiten sabiduría popular, valores morales y enseñanzas prácticas transmitidas oralmente durante siglos.</v>
      </c>
      <c r="I1120" t="str">
        <f>_xlfn.XLOOKUP(frasest[[#This Row],[author_es]],autorest[author_es],autorest[bio_la])</f>
        <v>Collectio sententiarum Sinensium, magnopere in cultura tradita.</v>
      </c>
      <c r="J1120" t="str">
        <f>_xlfn.XLOOKUP(frasest[[#This Row],[author_es]],autorest[author_es],autorest[iso3691])</f>
        <v>zh</v>
      </c>
      <c r="K1120" t="str">
        <f>_xlfn.XLOOKUP(frasest[[#This Row],[author_es]],autorest[author_es],autorest[language_es])</f>
        <v>Chino</v>
      </c>
      <c r="L1120" t="str">
        <f>_xlfn.XLOOKUP(frasest[[#This Row],[author_es]],autorest[author_es],autorest[language_la])</f>
        <v>Lingua Sinica</v>
      </c>
      <c r="M1120" t="str">
        <f>_xlfn.XLOOKUP(frasest[[#This Row],[author_es]],autorest[author_es],autorest[nation_es])</f>
        <v>China</v>
      </c>
      <c r="N1120" t="str">
        <f>_xlfn.XLOOKUP(frasest[[#This Row],[author_es]],autorest[author_es],autorest[nation_la])</f>
        <v>Sinae</v>
      </c>
      <c r="O1120" t="str">
        <f>_xlfn.XLOOKUP(frasest[[#This Row],[author_es]],autorest[author_es],autorest[age_es])</f>
        <v>Epoca Desconocida</v>
      </c>
      <c r="P1120" t="str">
        <f>_xlfn.XLOOKUP(frasest[[#This Row],[author_es]],autorest[author_es],autorest[age_la])</f>
        <v>Epocha Ignota</v>
      </c>
      <c r="Q1120" t="str">
        <f>_xlfn.XLOOKUP(frasest[[#This Row],[author_es]],autorest[author_es],autorest[image])</f>
        <v>https://i.ibb.co/qLfpZm6h/china.png</v>
      </c>
      <c r="R1120">
        <f>_xlfn.XLOOKUP(frasest[[#This Row],[author_es]],autorest[author_es],autorest[image_atr])</f>
        <v>0</v>
      </c>
    </row>
    <row r="1121" spans="1:18">
      <c r="A1121">
        <v>1120</v>
      </c>
      <c r="B1121" t="s">
        <v>3494</v>
      </c>
      <c r="C1121" t="s">
        <v>3495</v>
      </c>
      <c r="D1121" s="1" t="s">
        <v>3496</v>
      </c>
      <c r="E1121" t="s">
        <v>36</v>
      </c>
      <c r="G1121" t="str">
        <f>_xlfn.XLOOKUP(frasest[[#This Row],[author_es]],autorest[author_es],autorest[author_la])</f>
        <v>Proverbium Sinense</v>
      </c>
      <c r="H1121" t="str">
        <f>_xlfn.XLOOKUP(frasest[[#This Row],[author_es]],autorest[author_es],autorest[bio_es])</f>
        <v>Conjunto de proverbios tradicionales de la cultura china que transmiten sabiduría popular, valores morales y enseñanzas prácticas transmitidas oralmente durante siglos.</v>
      </c>
      <c r="I1121" t="str">
        <f>_xlfn.XLOOKUP(frasest[[#This Row],[author_es]],autorest[author_es],autorest[bio_la])</f>
        <v>Collectio sententiarum Sinensium, magnopere in cultura tradita.</v>
      </c>
      <c r="J1121" t="str">
        <f>_xlfn.XLOOKUP(frasest[[#This Row],[author_es]],autorest[author_es],autorest[iso3691])</f>
        <v>zh</v>
      </c>
      <c r="K1121" t="str">
        <f>_xlfn.XLOOKUP(frasest[[#This Row],[author_es]],autorest[author_es],autorest[language_es])</f>
        <v>Chino</v>
      </c>
      <c r="L1121" t="str">
        <f>_xlfn.XLOOKUP(frasest[[#This Row],[author_es]],autorest[author_es],autorest[language_la])</f>
        <v>Lingua Sinica</v>
      </c>
      <c r="M1121" t="str">
        <f>_xlfn.XLOOKUP(frasest[[#This Row],[author_es]],autorest[author_es],autorest[nation_es])</f>
        <v>China</v>
      </c>
      <c r="N1121" t="str">
        <f>_xlfn.XLOOKUP(frasest[[#This Row],[author_es]],autorest[author_es],autorest[nation_la])</f>
        <v>Sinae</v>
      </c>
      <c r="O1121" t="str">
        <f>_xlfn.XLOOKUP(frasest[[#This Row],[author_es]],autorest[author_es],autorest[age_es])</f>
        <v>Epoca Desconocida</v>
      </c>
      <c r="P1121" t="str">
        <f>_xlfn.XLOOKUP(frasest[[#This Row],[author_es]],autorest[author_es],autorest[age_la])</f>
        <v>Epocha Ignota</v>
      </c>
      <c r="Q1121" t="str">
        <f>_xlfn.XLOOKUP(frasest[[#This Row],[author_es]],autorest[author_es],autorest[image])</f>
        <v>https://i.ibb.co/qLfpZm6h/china.png</v>
      </c>
      <c r="R1121">
        <f>_xlfn.XLOOKUP(frasest[[#This Row],[author_es]],autorest[author_es],autorest[image_atr])</f>
        <v>0</v>
      </c>
    </row>
    <row r="1122" spans="1:18">
      <c r="A1122">
        <v>1121</v>
      </c>
      <c r="B1122" t="s">
        <v>3497</v>
      </c>
      <c r="C1122" t="s">
        <v>3498</v>
      </c>
      <c r="D1122" s="1" t="s">
        <v>3499</v>
      </c>
      <c r="E1122" t="s">
        <v>36</v>
      </c>
      <c r="G1122" t="str">
        <f>_xlfn.XLOOKUP(frasest[[#This Row],[author_es]],autorest[author_es],autorest[author_la])</f>
        <v>Proverbium Sinense</v>
      </c>
      <c r="H1122" t="str">
        <f>_xlfn.XLOOKUP(frasest[[#This Row],[author_es]],autorest[author_es],autorest[bio_es])</f>
        <v>Conjunto de proverbios tradicionales de la cultura china que transmiten sabiduría popular, valores morales y enseñanzas prácticas transmitidas oralmente durante siglos.</v>
      </c>
      <c r="I1122" t="str">
        <f>_xlfn.XLOOKUP(frasest[[#This Row],[author_es]],autorest[author_es],autorest[bio_la])</f>
        <v>Collectio sententiarum Sinensium, magnopere in cultura tradita.</v>
      </c>
      <c r="J1122" t="str">
        <f>_xlfn.XLOOKUP(frasest[[#This Row],[author_es]],autorest[author_es],autorest[iso3691])</f>
        <v>zh</v>
      </c>
      <c r="K1122" t="str">
        <f>_xlfn.XLOOKUP(frasest[[#This Row],[author_es]],autorest[author_es],autorest[language_es])</f>
        <v>Chino</v>
      </c>
      <c r="L1122" t="str">
        <f>_xlfn.XLOOKUP(frasest[[#This Row],[author_es]],autorest[author_es],autorest[language_la])</f>
        <v>Lingua Sinica</v>
      </c>
      <c r="M1122" t="str">
        <f>_xlfn.XLOOKUP(frasest[[#This Row],[author_es]],autorest[author_es],autorest[nation_es])</f>
        <v>China</v>
      </c>
      <c r="N1122" t="str">
        <f>_xlfn.XLOOKUP(frasest[[#This Row],[author_es]],autorest[author_es],autorest[nation_la])</f>
        <v>Sinae</v>
      </c>
      <c r="O1122" t="str">
        <f>_xlfn.XLOOKUP(frasest[[#This Row],[author_es]],autorest[author_es],autorest[age_es])</f>
        <v>Epoca Desconocida</v>
      </c>
      <c r="P1122" t="str">
        <f>_xlfn.XLOOKUP(frasest[[#This Row],[author_es]],autorest[author_es],autorest[age_la])</f>
        <v>Epocha Ignota</v>
      </c>
      <c r="Q1122" t="str">
        <f>_xlfn.XLOOKUP(frasest[[#This Row],[author_es]],autorest[author_es],autorest[image])</f>
        <v>https://i.ibb.co/qLfpZm6h/china.png</v>
      </c>
      <c r="R1122">
        <f>_xlfn.XLOOKUP(frasest[[#This Row],[author_es]],autorest[author_es],autorest[image_atr])</f>
        <v>0</v>
      </c>
    </row>
    <row r="1123" spans="1:18">
      <c r="A1123">
        <v>1122</v>
      </c>
      <c r="B1123" t="s">
        <v>3500</v>
      </c>
      <c r="C1123" t="s">
        <v>3501</v>
      </c>
      <c r="D1123" s="1" t="s">
        <v>3502</v>
      </c>
      <c r="E1123" t="s">
        <v>36</v>
      </c>
      <c r="G1123" t="str">
        <f>_xlfn.XLOOKUP(frasest[[#This Row],[author_es]],autorest[author_es],autorest[author_la])</f>
        <v>Proverbium Sinense</v>
      </c>
      <c r="H1123" t="str">
        <f>_xlfn.XLOOKUP(frasest[[#This Row],[author_es]],autorest[author_es],autorest[bio_es])</f>
        <v>Conjunto de proverbios tradicionales de la cultura china que transmiten sabiduría popular, valores morales y enseñanzas prácticas transmitidas oralmente durante siglos.</v>
      </c>
      <c r="I1123" t="str">
        <f>_xlfn.XLOOKUP(frasest[[#This Row],[author_es]],autorest[author_es],autorest[bio_la])</f>
        <v>Collectio sententiarum Sinensium, magnopere in cultura tradita.</v>
      </c>
      <c r="J1123" t="str">
        <f>_xlfn.XLOOKUP(frasest[[#This Row],[author_es]],autorest[author_es],autorest[iso3691])</f>
        <v>zh</v>
      </c>
      <c r="K1123" t="str">
        <f>_xlfn.XLOOKUP(frasest[[#This Row],[author_es]],autorest[author_es],autorest[language_es])</f>
        <v>Chino</v>
      </c>
      <c r="L1123" t="str">
        <f>_xlfn.XLOOKUP(frasest[[#This Row],[author_es]],autorest[author_es],autorest[language_la])</f>
        <v>Lingua Sinica</v>
      </c>
      <c r="M1123" t="str">
        <f>_xlfn.XLOOKUP(frasest[[#This Row],[author_es]],autorest[author_es],autorest[nation_es])</f>
        <v>China</v>
      </c>
      <c r="N1123" t="str">
        <f>_xlfn.XLOOKUP(frasest[[#This Row],[author_es]],autorest[author_es],autorest[nation_la])</f>
        <v>Sinae</v>
      </c>
      <c r="O1123" t="str">
        <f>_xlfn.XLOOKUP(frasest[[#This Row],[author_es]],autorest[author_es],autorest[age_es])</f>
        <v>Epoca Desconocida</v>
      </c>
      <c r="P1123" t="str">
        <f>_xlfn.XLOOKUP(frasest[[#This Row],[author_es]],autorest[author_es],autorest[age_la])</f>
        <v>Epocha Ignota</v>
      </c>
      <c r="Q1123" t="str">
        <f>_xlfn.XLOOKUP(frasest[[#This Row],[author_es]],autorest[author_es],autorest[image])</f>
        <v>https://i.ibb.co/qLfpZm6h/china.png</v>
      </c>
      <c r="R1123">
        <f>_xlfn.XLOOKUP(frasest[[#This Row],[author_es]],autorest[author_es],autorest[image_atr])</f>
        <v>0</v>
      </c>
    </row>
    <row r="1124" spans="1:18">
      <c r="A1124">
        <v>1123</v>
      </c>
      <c r="B1124" t="s">
        <v>3503</v>
      </c>
      <c r="C1124" t="s">
        <v>3504</v>
      </c>
      <c r="D1124" s="1" t="s">
        <v>3505</v>
      </c>
      <c r="E1124" t="s">
        <v>36</v>
      </c>
      <c r="G1124" t="str">
        <f>_xlfn.XLOOKUP(frasest[[#This Row],[author_es]],autorest[author_es],autorest[author_la])</f>
        <v>Proverbium Sinense</v>
      </c>
      <c r="H1124" t="str">
        <f>_xlfn.XLOOKUP(frasest[[#This Row],[author_es]],autorest[author_es],autorest[bio_es])</f>
        <v>Conjunto de proverbios tradicionales de la cultura china que transmiten sabiduría popular, valores morales y enseñanzas prácticas transmitidas oralmente durante siglos.</v>
      </c>
      <c r="I1124" t="str">
        <f>_xlfn.XLOOKUP(frasest[[#This Row],[author_es]],autorest[author_es],autorest[bio_la])</f>
        <v>Collectio sententiarum Sinensium, magnopere in cultura tradita.</v>
      </c>
      <c r="J1124" t="str">
        <f>_xlfn.XLOOKUP(frasest[[#This Row],[author_es]],autorest[author_es],autorest[iso3691])</f>
        <v>zh</v>
      </c>
      <c r="K1124" t="str">
        <f>_xlfn.XLOOKUP(frasest[[#This Row],[author_es]],autorest[author_es],autorest[language_es])</f>
        <v>Chino</v>
      </c>
      <c r="L1124" t="str">
        <f>_xlfn.XLOOKUP(frasest[[#This Row],[author_es]],autorest[author_es],autorest[language_la])</f>
        <v>Lingua Sinica</v>
      </c>
      <c r="M1124" t="str">
        <f>_xlfn.XLOOKUP(frasest[[#This Row],[author_es]],autorest[author_es],autorest[nation_es])</f>
        <v>China</v>
      </c>
      <c r="N1124" t="str">
        <f>_xlfn.XLOOKUP(frasest[[#This Row],[author_es]],autorest[author_es],autorest[nation_la])</f>
        <v>Sinae</v>
      </c>
      <c r="O1124" t="str">
        <f>_xlfn.XLOOKUP(frasest[[#This Row],[author_es]],autorest[author_es],autorest[age_es])</f>
        <v>Epoca Desconocida</v>
      </c>
      <c r="P1124" t="str">
        <f>_xlfn.XLOOKUP(frasest[[#This Row],[author_es]],autorest[author_es],autorest[age_la])</f>
        <v>Epocha Ignota</v>
      </c>
      <c r="Q1124" t="str">
        <f>_xlfn.XLOOKUP(frasest[[#This Row],[author_es]],autorest[author_es],autorest[image])</f>
        <v>https://i.ibb.co/qLfpZm6h/china.png</v>
      </c>
      <c r="R1124">
        <f>_xlfn.XLOOKUP(frasest[[#This Row],[author_es]],autorest[author_es],autorest[image_atr])</f>
        <v>0</v>
      </c>
    </row>
    <row r="1125" spans="1:18">
      <c r="A1125">
        <v>1124</v>
      </c>
      <c r="B1125" t="s">
        <v>3506</v>
      </c>
      <c r="C1125" t="s">
        <v>3507</v>
      </c>
      <c r="D1125" s="1" t="s">
        <v>3508</v>
      </c>
      <c r="E1125" t="s">
        <v>36</v>
      </c>
      <c r="G1125" t="str">
        <f>_xlfn.XLOOKUP(frasest[[#This Row],[author_es]],autorest[author_es],autorest[author_la])</f>
        <v>Proverbium Sinense</v>
      </c>
      <c r="H1125" t="str">
        <f>_xlfn.XLOOKUP(frasest[[#This Row],[author_es]],autorest[author_es],autorest[bio_es])</f>
        <v>Conjunto de proverbios tradicionales de la cultura china que transmiten sabiduría popular, valores morales y enseñanzas prácticas transmitidas oralmente durante siglos.</v>
      </c>
      <c r="I1125" t="str">
        <f>_xlfn.XLOOKUP(frasest[[#This Row],[author_es]],autorest[author_es],autorest[bio_la])</f>
        <v>Collectio sententiarum Sinensium, magnopere in cultura tradita.</v>
      </c>
      <c r="J1125" t="str">
        <f>_xlfn.XLOOKUP(frasest[[#This Row],[author_es]],autorest[author_es],autorest[iso3691])</f>
        <v>zh</v>
      </c>
      <c r="K1125" t="str">
        <f>_xlfn.XLOOKUP(frasest[[#This Row],[author_es]],autorest[author_es],autorest[language_es])</f>
        <v>Chino</v>
      </c>
      <c r="L1125" t="str">
        <f>_xlfn.XLOOKUP(frasest[[#This Row],[author_es]],autorest[author_es],autorest[language_la])</f>
        <v>Lingua Sinica</v>
      </c>
      <c r="M1125" t="str">
        <f>_xlfn.XLOOKUP(frasest[[#This Row],[author_es]],autorest[author_es],autorest[nation_es])</f>
        <v>China</v>
      </c>
      <c r="N1125" t="str">
        <f>_xlfn.XLOOKUP(frasest[[#This Row],[author_es]],autorest[author_es],autorest[nation_la])</f>
        <v>Sinae</v>
      </c>
      <c r="O1125" t="str">
        <f>_xlfn.XLOOKUP(frasest[[#This Row],[author_es]],autorest[author_es],autorest[age_es])</f>
        <v>Epoca Desconocida</v>
      </c>
      <c r="P1125" t="str">
        <f>_xlfn.XLOOKUP(frasest[[#This Row],[author_es]],autorest[author_es],autorest[age_la])</f>
        <v>Epocha Ignota</v>
      </c>
      <c r="Q1125" t="str">
        <f>_xlfn.XLOOKUP(frasest[[#This Row],[author_es]],autorest[author_es],autorest[image])</f>
        <v>https://i.ibb.co/qLfpZm6h/china.png</v>
      </c>
      <c r="R1125">
        <f>_xlfn.XLOOKUP(frasest[[#This Row],[author_es]],autorest[author_es],autorest[image_atr])</f>
        <v>0</v>
      </c>
    </row>
    <row r="1126" spans="1:18">
      <c r="A1126">
        <v>1125</v>
      </c>
      <c r="B1126" t="s">
        <v>3509</v>
      </c>
      <c r="C1126" t="s">
        <v>3510</v>
      </c>
      <c r="D1126" s="1" t="s">
        <v>3511</v>
      </c>
      <c r="E1126" t="s">
        <v>36</v>
      </c>
      <c r="G1126" t="str">
        <f>_xlfn.XLOOKUP(frasest[[#This Row],[author_es]],autorest[author_es],autorest[author_la])</f>
        <v>Proverbium Sinense</v>
      </c>
      <c r="H1126" t="str">
        <f>_xlfn.XLOOKUP(frasest[[#This Row],[author_es]],autorest[author_es],autorest[bio_es])</f>
        <v>Conjunto de proverbios tradicionales de la cultura china que transmiten sabiduría popular, valores morales y enseñanzas prácticas transmitidas oralmente durante siglos.</v>
      </c>
      <c r="I1126" t="str">
        <f>_xlfn.XLOOKUP(frasest[[#This Row],[author_es]],autorest[author_es],autorest[bio_la])</f>
        <v>Collectio sententiarum Sinensium, magnopere in cultura tradita.</v>
      </c>
      <c r="J1126" t="str">
        <f>_xlfn.XLOOKUP(frasest[[#This Row],[author_es]],autorest[author_es],autorest[iso3691])</f>
        <v>zh</v>
      </c>
      <c r="K1126" t="str">
        <f>_xlfn.XLOOKUP(frasest[[#This Row],[author_es]],autorest[author_es],autorest[language_es])</f>
        <v>Chino</v>
      </c>
      <c r="L1126" t="str">
        <f>_xlfn.XLOOKUP(frasest[[#This Row],[author_es]],autorest[author_es],autorest[language_la])</f>
        <v>Lingua Sinica</v>
      </c>
      <c r="M1126" t="str">
        <f>_xlfn.XLOOKUP(frasest[[#This Row],[author_es]],autorest[author_es],autorest[nation_es])</f>
        <v>China</v>
      </c>
      <c r="N1126" t="str">
        <f>_xlfn.XLOOKUP(frasest[[#This Row],[author_es]],autorest[author_es],autorest[nation_la])</f>
        <v>Sinae</v>
      </c>
      <c r="O1126" t="str">
        <f>_xlfn.XLOOKUP(frasest[[#This Row],[author_es]],autorest[author_es],autorest[age_es])</f>
        <v>Epoca Desconocida</v>
      </c>
      <c r="P1126" t="str">
        <f>_xlfn.XLOOKUP(frasest[[#This Row],[author_es]],autorest[author_es],autorest[age_la])</f>
        <v>Epocha Ignota</v>
      </c>
      <c r="Q1126" t="str">
        <f>_xlfn.XLOOKUP(frasest[[#This Row],[author_es]],autorest[author_es],autorest[image])</f>
        <v>https://i.ibb.co/qLfpZm6h/china.png</v>
      </c>
      <c r="R1126">
        <f>_xlfn.XLOOKUP(frasest[[#This Row],[author_es]],autorest[author_es],autorest[image_atr])</f>
        <v>0</v>
      </c>
    </row>
    <row r="1127" spans="1:18">
      <c r="A1127">
        <v>1126</v>
      </c>
      <c r="B1127" t="s">
        <v>3512</v>
      </c>
      <c r="C1127" t="s">
        <v>3513</v>
      </c>
      <c r="D1127" s="1" t="s">
        <v>3514</v>
      </c>
      <c r="E1127" t="s">
        <v>36</v>
      </c>
      <c r="G1127" t="str">
        <f>_xlfn.XLOOKUP(frasest[[#This Row],[author_es]],autorest[author_es],autorest[author_la])</f>
        <v>Proverbium Sinense</v>
      </c>
      <c r="H1127" t="str">
        <f>_xlfn.XLOOKUP(frasest[[#This Row],[author_es]],autorest[author_es],autorest[bio_es])</f>
        <v>Conjunto de proverbios tradicionales de la cultura china que transmiten sabiduría popular, valores morales y enseñanzas prácticas transmitidas oralmente durante siglos.</v>
      </c>
      <c r="I1127" t="str">
        <f>_xlfn.XLOOKUP(frasest[[#This Row],[author_es]],autorest[author_es],autorest[bio_la])</f>
        <v>Collectio sententiarum Sinensium, magnopere in cultura tradita.</v>
      </c>
      <c r="J1127" t="str">
        <f>_xlfn.XLOOKUP(frasest[[#This Row],[author_es]],autorest[author_es],autorest[iso3691])</f>
        <v>zh</v>
      </c>
      <c r="K1127" t="str">
        <f>_xlfn.XLOOKUP(frasest[[#This Row],[author_es]],autorest[author_es],autorest[language_es])</f>
        <v>Chino</v>
      </c>
      <c r="L1127" t="str">
        <f>_xlfn.XLOOKUP(frasest[[#This Row],[author_es]],autorest[author_es],autorest[language_la])</f>
        <v>Lingua Sinica</v>
      </c>
      <c r="M1127" t="str">
        <f>_xlfn.XLOOKUP(frasest[[#This Row],[author_es]],autorest[author_es],autorest[nation_es])</f>
        <v>China</v>
      </c>
      <c r="N1127" t="str">
        <f>_xlfn.XLOOKUP(frasest[[#This Row],[author_es]],autorest[author_es],autorest[nation_la])</f>
        <v>Sinae</v>
      </c>
      <c r="O1127" t="str">
        <f>_xlfn.XLOOKUP(frasest[[#This Row],[author_es]],autorest[author_es],autorest[age_es])</f>
        <v>Epoca Desconocida</v>
      </c>
      <c r="P1127" t="str">
        <f>_xlfn.XLOOKUP(frasest[[#This Row],[author_es]],autorest[author_es],autorest[age_la])</f>
        <v>Epocha Ignota</v>
      </c>
      <c r="Q1127" t="str">
        <f>_xlfn.XLOOKUP(frasest[[#This Row],[author_es]],autorest[author_es],autorest[image])</f>
        <v>https://i.ibb.co/qLfpZm6h/china.png</v>
      </c>
      <c r="R1127">
        <f>_xlfn.XLOOKUP(frasest[[#This Row],[author_es]],autorest[author_es],autorest[image_atr])</f>
        <v>0</v>
      </c>
    </row>
    <row r="1128" spans="1:18">
      <c r="A1128">
        <v>1127</v>
      </c>
      <c r="B1128" t="s">
        <v>3515</v>
      </c>
      <c r="C1128" t="s">
        <v>3516</v>
      </c>
      <c r="D1128" s="1" t="s">
        <v>3517</v>
      </c>
      <c r="E1128" t="s">
        <v>36</v>
      </c>
      <c r="G1128" t="str">
        <f>_xlfn.XLOOKUP(frasest[[#This Row],[author_es]],autorest[author_es],autorest[author_la])</f>
        <v>Proverbium Sinense</v>
      </c>
      <c r="H1128" t="str">
        <f>_xlfn.XLOOKUP(frasest[[#This Row],[author_es]],autorest[author_es],autorest[bio_es])</f>
        <v>Conjunto de proverbios tradicionales de la cultura china que transmiten sabiduría popular, valores morales y enseñanzas prácticas transmitidas oralmente durante siglos.</v>
      </c>
      <c r="I1128" t="str">
        <f>_xlfn.XLOOKUP(frasest[[#This Row],[author_es]],autorest[author_es],autorest[bio_la])</f>
        <v>Collectio sententiarum Sinensium, magnopere in cultura tradita.</v>
      </c>
      <c r="J1128" t="str">
        <f>_xlfn.XLOOKUP(frasest[[#This Row],[author_es]],autorest[author_es],autorest[iso3691])</f>
        <v>zh</v>
      </c>
      <c r="K1128" t="str">
        <f>_xlfn.XLOOKUP(frasest[[#This Row],[author_es]],autorest[author_es],autorest[language_es])</f>
        <v>Chino</v>
      </c>
      <c r="L1128" t="str">
        <f>_xlfn.XLOOKUP(frasest[[#This Row],[author_es]],autorest[author_es],autorest[language_la])</f>
        <v>Lingua Sinica</v>
      </c>
      <c r="M1128" t="str">
        <f>_xlfn.XLOOKUP(frasest[[#This Row],[author_es]],autorest[author_es],autorest[nation_es])</f>
        <v>China</v>
      </c>
      <c r="N1128" t="str">
        <f>_xlfn.XLOOKUP(frasest[[#This Row],[author_es]],autorest[author_es],autorest[nation_la])</f>
        <v>Sinae</v>
      </c>
      <c r="O1128" t="str">
        <f>_xlfn.XLOOKUP(frasest[[#This Row],[author_es]],autorest[author_es],autorest[age_es])</f>
        <v>Epoca Desconocida</v>
      </c>
      <c r="P1128" t="str">
        <f>_xlfn.XLOOKUP(frasest[[#This Row],[author_es]],autorest[author_es],autorest[age_la])</f>
        <v>Epocha Ignota</v>
      </c>
      <c r="Q1128" t="str">
        <f>_xlfn.XLOOKUP(frasest[[#This Row],[author_es]],autorest[author_es],autorest[image])</f>
        <v>https://i.ibb.co/qLfpZm6h/china.png</v>
      </c>
      <c r="R1128">
        <f>_xlfn.XLOOKUP(frasest[[#This Row],[author_es]],autorest[author_es],autorest[image_atr])</f>
        <v>0</v>
      </c>
    </row>
    <row r="1129" spans="1:18">
      <c r="A1129">
        <v>1128</v>
      </c>
      <c r="B1129" t="s">
        <v>3518</v>
      </c>
      <c r="C1129" t="s">
        <v>3519</v>
      </c>
      <c r="D1129" s="1" t="s">
        <v>3520</v>
      </c>
      <c r="E1129" t="s">
        <v>36</v>
      </c>
      <c r="G1129" t="str">
        <f>_xlfn.XLOOKUP(frasest[[#This Row],[author_es]],autorest[author_es],autorest[author_la])</f>
        <v>Proverbium Sinense</v>
      </c>
      <c r="H1129" t="str">
        <f>_xlfn.XLOOKUP(frasest[[#This Row],[author_es]],autorest[author_es],autorest[bio_es])</f>
        <v>Conjunto de proverbios tradicionales de la cultura china que transmiten sabiduría popular, valores morales y enseñanzas prácticas transmitidas oralmente durante siglos.</v>
      </c>
      <c r="I1129" t="str">
        <f>_xlfn.XLOOKUP(frasest[[#This Row],[author_es]],autorest[author_es],autorest[bio_la])</f>
        <v>Collectio sententiarum Sinensium, magnopere in cultura tradita.</v>
      </c>
      <c r="J1129" t="str">
        <f>_xlfn.XLOOKUP(frasest[[#This Row],[author_es]],autorest[author_es],autorest[iso3691])</f>
        <v>zh</v>
      </c>
      <c r="K1129" t="str">
        <f>_xlfn.XLOOKUP(frasest[[#This Row],[author_es]],autorest[author_es],autorest[language_es])</f>
        <v>Chino</v>
      </c>
      <c r="L1129" t="str">
        <f>_xlfn.XLOOKUP(frasest[[#This Row],[author_es]],autorest[author_es],autorest[language_la])</f>
        <v>Lingua Sinica</v>
      </c>
      <c r="M1129" t="str">
        <f>_xlfn.XLOOKUP(frasest[[#This Row],[author_es]],autorest[author_es],autorest[nation_es])</f>
        <v>China</v>
      </c>
      <c r="N1129" t="str">
        <f>_xlfn.XLOOKUP(frasest[[#This Row],[author_es]],autorest[author_es],autorest[nation_la])</f>
        <v>Sinae</v>
      </c>
      <c r="O1129" t="str">
        <f>_xlfn.XLOOKUP(frasest[[#This Row],[author_es]],autorest[author_es],autorest[age_es])</f>
        <v>Epoca Desconocida</v>
      </c>
      <c r="P1129" t="str">
        <f>_xlfn.XLOOKUP(frasest[[#This Row],[author_es]],autorest[author_es],autorest[age_la])</f>
        <v>Epocha Ignota</v>
      </c>
      <c r="Q1129" t="str">
        <f>_xlfn.XLOOKUP(frasest[[#This Row],[author_es]],autorest[author_es],autorest[image])</f>
        <v>https://i.ibb.co/qLfpZm6h/china.png</v>
      </c>
      <c r="R1129">
        <f>_xlfn.XLOOKUP(frasest[[#This Row],[author_es]],autorest[author_es],autorest[image_atr])</f>
        <v>0</v>
      </c>
    </row>
    <row r="1130" spans="1:18">
      <c r="A1130">
        <v>1129</v>
      </c>
      <c r="B1130" t="s">
        <v>3521</v>
      </c>
      <c r="C1130" t="s">
        <v>3522</v>
      </c>
      <c r="D1130" s="1" t="s">
        <v>3523</v>
      </c>
      <c r="E1130" t="s">
        <v>36</v>
      </c>
      <c r="G1130" t="str">
        <f>_xlfn.XLOOKUP(frasest[[#This Row],[author_es]],autorest[author_es],autorest[author_la])</f>
        <v>Proverbium Sinense</v>
      </c>
      <c r="H1130" t="str">
        <f>_xlfn.XLOOKUP(frasest[[#This Row],[author_es]],autorest[author_es],autorest[bio_es])</f>
        <v>Conjunto de proverbios tradicionales de la cultura china que transmiten sabiduría popular, valores morales y enseñanzas prácticas transmitidas oralmente durante siglos.</v>
      </c>
      <c r="I1130" t="str">
        <f>_xlfn.XLOOKUP(frasest[[#This Row],[author_es]],autorest[author_es],autorest[bio_la])</f>
        <v>Collectio sententiarum Sinensium, magnopere in cultura tradita.</v>
      </c>
      <c r="J1130" t="str">
        <f>_xlfn.XLOOKUP(frasest[[#This Row],[author_es]],autorest[author_es],autorest[iso3691])</f>
        <v>zh</v>
      </c>
      <c r="K1130" t="str">
        <f>_xlfn.XLOOKUP(frasest[[#This Row],[author_es]],autorest[author_es],autorest[language_es])</f>
        <v>Chino</v>
      </c>
      <c r="L1130" t="str">
        <f>_xlfn.XLOOKUP(frasest[[#This Row],[author_es]],autorest[author_es],autorest[language_la])</f>
        <v>Lingua Sinica</v>
      </c>
      <c r="M1130" t="str">
        <f>_xlfn.XLOOKUP(frasest[[#This Row],[author_es]],autorest[author_es],autorest[nation_es])</f>
        <v>China</v>
      </c>
      <c r="N1130" t="str">
        <f>_xlfn.XLOOKUP(frasest[[#This Row],[author_es]],autorest[author_es],autorest[nation_la])</f>
        <v>Sinae</v>
      </c>
      <c r="O1130" t="str">
        <f>_xlfn.XLOOKUP(frasest[[#This Row],[author_es]],autorest[author_es],autorest[age_es])</f>
        <v>Epoca Desconocida</v>
      </c>
      <c r="P1130" t="str">
        <f>_xlfn.XLOOKUP(frasest[[#This Row],[author_es]],autorest[author_es],autorest[age_la])</f>
        <v>Epocha Ignota</v>
      </c>
      <c r="Q1130" t="str">
        <f>_xlfn.XLOOKUP(frasest[[#This Row],[author_es]],autorest[author_es],autorest[image])</f>
        <v>https://i.ibb.co/qLfpZm6h/china.png</v>
      </c>
      <c r="R1130">
        <f>_xlfn.XLOOKUP(frasest[[#This Row],[author_es]],autorest[author_es],autorest[image_atr])</f>
        <v>0</v>
      </c>
    </row>
    <row r="1131" spans="1:18">
      <c r="A1131">
        <v>1130</v>
      </c>
      <c r="B1131" t="s">
        <v>3524</v>
      </c>
      <c r="C1131" t="s">
        <v>3525</v>
      </c>
      <c r="D1131" s="1" t="s">
        <v>3526</v>
      </c>
      <c r="E1131" t="s">
        <v>36</v>
      </c>
      <c r="G1131" t="str">
        <f>_xlfn.XLOOKUP(frasest[[#This Row],[author_es]],autorest[author_es],autorest[author_la])</f>
        <v>Proverbium Sinense</v>
      </c>
      <c r="H1131" t="str">
        <f>_xlfn.XLOOKUP(frasest[[#This Row],[author_es]],autorest[author_es],autorest[bio_es])</f>
        <v>Conjunto de proverbios tradicionales de la cultura china que transmiten sabiduría popular, valores morales y enseñanzas prácticas transmitidas oralmente durante siglos.</v>
      </c>
      <c r="I1131" t="str">
        <f>_xlfn.XLOOKUP(frasest[[#This Row],[author_es]],autorest[author_es],autorest[bio_la])</f>
        <v>Collectio sententiarum Sinensium, magnopere in cultura tradita.</v>
      </c>
      <c r="J1131" t="str">
        <f>_xlfn.XLOOKUP(frasest[[#This Row],[author_es]],autorest[author_es],autorest[iso3691])</f>
        <v>zh</v>
      </c>
      <c r="K1131" t="str">
        <f>_xlfn.XLOOKUP(frasest[[#This Row],[author_es]],autorest[author_es],autorest[language_es])</f>
        <v>Chino</v>
      </c>
      <c r="L1131" t="str">
        <f>_xlfn.XLOOKUP(frasest[[#This Row],[author_es]],autorest[author_es],autorest[language_la])</f>
        <v>Lingua Sinica</v>
      </c>
      <c r="M1131" t="str">
        <f>_xlfn.XLOOKUP(frasest[[#This Row],[author_es]],autorest[author_es],autorest[nation_es])</f>
        <v>China</v>
      </c>
      <c r="N1131" t="str">
        <f>_xlfn.XLOOKUP(frasest[[#This Row],[author_es]],autorest[author_es],autorest[nation_la])</f>
        <v>Sinae</v>
      </c>
      <c r="O1131" t="str">
        <f>_xlfn.XLOOKUP(frasest[[#This Row],[author_es]],autorest[author_es],autorest[age_es])</f>
        <v>Epoca Desconocida</v>
      </c>
      <c r="P1131" t="str">
        <f>_xlfn.XLOOKUP(frasest[[#This Row],[author_es]],autorest[author_es],autorest[age_la])</f>
        <v>Epocha Ignota</v>
      </c>
      <c r="Q1131" t="str">
        <f>_xlfn.XLOOKUP(frasest[[#This Row],[author_es]],autorest[author_es],autorest[image])</f>
        <v>https://i.ibb.co/qLfpZm6h/china.png</v>
      </c>
      <c r="R1131">
        <f>_xlfn.XLOOKUP(frasest[[#This Row],[author_es]],autorest[author_es],autorest[image_atr])</f>
        <v>0</v>
      </c>
    </row>
    <row r="1132" spans="1:18">
      <c r="A1132">
        <v>1131</v>
      </c>
      <c r="B1132" t="s">
        <v>3527</v>
      </c>
      <c r="C1132" t="s">
        <v>3528</v>
      </c>
      <c r="D1132" s="1" t="s">
        <v>3529</v>
      </c>
      <c r="E1132" t="s">
        <v>36</v>
      </c>
      <c r="G1132" t="str">
        <f>_xlfn.XLOOKUP(frasest[[#This Row],[author_es]],autorest[author_es],autorest[author_la])</f>
        <v>Proverbium Sinense</v>
      </c>
      <c r="H1132" t="str">
        <f>_xlfn.XLOOKUP(frasest[[#This Row],[author_es]],autorest[author_es],autorest[bio_es])</f>
        <v>Conjunto de proverbios tradicionales de la cultura china que transmiten sabiduría popular, valores morales y enseñanzas prácticas transmitidas oralmente durante siglos.</v>
      </c>
      <c r="I1132" t="str">
        <f>_xlfn.XLOOKUP(frasest[[#This Row],[author_es]],autorest[author_es],autorest[bio_la])</f>
        <v>Collectio sententiarum Sinensium, magnopere in cultura tradita.</v>
      </c>
      <c r="J1132" t="str">
        <f>_xlfn.XLOOKUP(frasest[[#This Row],[author_es]],autorest[author_es],autorest[iso3691])</f>
        <v>zh</v>
      </c>
      <c r="K1132" t="str">
        <f>_xlfn.XLOOKUP(frasest[[#This Row],[author_es]],autorest[author_es],autorest[language_es])</f>
        <v>Chino</v>
      </c>
      <c r="L1132" t="str">
        <f>_xlfn.XLOOKUP(frasest[[#This Row],[author_es]],autorest[author_es],autorest[language_la])</f>
        <v>Lingua Sinica</v>
      </c>
      <c r="M1132" t="str">
        <f>_xlfn.XLOOKUP(frasest[[#This Row],[author_es]],autorest[author_es],autorest[nation_es])</f>
        <v>China</v>
      </c>
      <c r="N1132" t="str">
        <f>_xlfn.XLOOKUP(frasest[[#This Row],[author_es]],autorest[author_es],autorest[nation_la])</f>
        <v>Sinae</v>
      </c>
      <c r="O1132" t="str">
        <f>_xlfn.XLOOKUP(frasest[[#This Row],[author_es]],autorest[author_es],autorest[age_es])</f>
        <v>Epoca Desconocida</v>
      </c>
      <c r="P1132" t="str">
        <f>_xlfn.XLOOKUP(frasest[[#This Row],[author_es]],autorest[author_es],autorest[age_la])</f>
        <v>Epocha Ignota</v>
      </c>
      <c r="Q1132" t="str">
        <f>_xlfn.XLOOKUP(frasest[[#This Row],[author_es]],autorest[author_es],autorest[image])</f>
        <v>https://i.ibb.co/qLfpZm6h/china.png</v>
      </c>
      <c r="R1132">
        <f>_xlfn.XLOOKUP(frasest[[#This Row],[author_es]],autorest[author_es],autorest[image_atr])</f>
        <v>0</v>
      </c>
    </row>
    <row r="1133" spans="1:18">
      <c r="A1133">
        <v>1132</v>
      </c>
      <c r="B1133" t="s">
        <v>3530</v>
      </c>
      <c r="C1133" t="s">
        <v>3531</v>
      </c>
      <c r="D1133" s="1" t="s">
        <v>3532</v>
      </c>
      <c r="E1133" t="s">
        <v>36</v>
      </c>
      <c r="G1133" t="str">
        <f>_xlfn.XLOOKUP(frasest[[#This Row],[author_es]],autorest[author_es],autorest[author_la])</f>
        <v>Proverbium Sinense</v>
      </c>
      <c r="H1133" t="str">
        <f>_xlfn.XLOOKUP(frasest[[#This Row],[author_es]],autorest[author_es],autorest[bio_es])</f>
        <v>Conjunto de proverbios tradicionales de la cultura china que transmiten sabiduría popular, valores morales y enseñanzas prácticas transmitidas oralmente durante siglos.</v>
      </c>
      <c r="I1133" t="str">
        <f>_xlfn.XLOOKUP(frasest[[#This Row],[author_es]],autorest[author_es],autorest[bio_la])</f>
        <v>Collectio sententiarum Sinensium, magnopere in cultura tradita.</v>
      </c>
      <c r="J1133" t="str">
        <f>_xlfn.XLOOKUP(frasest[[#This Row],[author_es]],autorest[author_es],autorest[iso3691])</f>
        <v>zh</v>
      </c>
      <c r="K1133" t="str">
        <f>_xlfn.XLOOKUP(frasest[[#This Row],[author_es]],autorest[author_es],autorest[language_es])</f>
        <v>Chino</v>
      </c>
      <c r="L1133" t="str">
        <f>_xlfn.XLOOKUP(frasest[[#This Row],[author_es]],autorest[author_es],autorest[language_la])</f>
        <v>Lingua Sinica</v>
      </c>
      <c r="M1133" t="str">
        <f>_xlfn.XLOOKUP(frasest[[#This Row],[author_es]],autorest[author_es],autorest[nation_es])</f>
        <v>China</v>
      </c>
      <c r="N1133" t="str">
        <f>_xlfn.XLOOKUP(frasest[[#This Row],[author_es]],autorest[author_es],autorest[nation_la])</f>
        <v>Sinae</v>
      </c>
      <c r="O1133" t="str">
        <f>_xlfn.XLOOKUP(frasest[[#This Row],[author_es]],autorest[author_es],autorest[age_es])</f>
        <v>Epoca Desconocida</v>
      </c>
      <c r="P1133" t="str">
        <f>_xlfn.XLOOKUP(frasest[[#This Row],[author_es]],autorest[author_es],autorest[age_la])</f>
        <v>Epocha Ignota</v>
      </c>
      <c r="Q1133" t="str">
        <f>_xlfn.XLOOKUP(frasest[[#This Row],[author_es]],autorest[author_es],autorest[image])</f>
        <v>https://i.ibb.co/qLfpZm6h/china.png</v>
      </c>
      <c r="R1133">
        <f>_xlfn.XLOOKUP(frasest[[#This Row],[author_es]],autorest[author_es],autorest[image_atr])</f>
        <v>0</v>
      </c>
    </row>
    <row r="1134" spans="1:18">
      <c r="A1134">
        <v>1133</v>
      </c>
      <c r="B1134" t="s">
        <v>3533</v>
      </c>
      <c r="C1134" t="s">
        <v>3534</v>
      </c>
      <c r="D1134" s="1" t="s">
        <v>3535</v>
      </c>
      <c r="E1134" t="s">
        <v>36</v>
      </c>
      <c r="G1134" t="str">
        <f>_xlfn.XLOOKUP(frasest[[#This Row],[author_es]],autorest[author_es],autorest[author_la])</f>
        <v>Proverbium Sinense</v>
      </c>
      <c r="H1134" t="str">
        <f>_xlfn.XLOOKUP(frasest[[#This Row],[author_es]],autorest[author_es],autorest[bio_es])</f>
        <v>Conjunto de proverbios tradicionales de la cultura china que transmiten sabiduría popular, valores morales y enseñanzas prácticas transmitidas oralmente durante siglos.</v>
      </c>
      <c r="I1134" t="str">
        <f>_xlfn.XLOOKUP(frasest[[#This Row],[author_es]],autorest[author_es],autorest[bio_la])</f>
        <v>Collectio sententiarum Sinensium, magnopere in cultura tradita.</v>
      </c>
      <c r="J1134" t="str">
        <f>_xlfn.XLOOKUP(frasest[[#This Row],[author_es]],autorest[author_es],autorest[iso3691])</f>
        <v>zh</v>
      </c>
      <c r="K1134" t="str">
        <f>_xlfn.XLOOKUP(frasest[[#This Row],[author_es]],autorest[author_es],autorest[language_es])</f>
        <v>Chino</v>
      </c>
      <c r="L1134" t="str">
        <f>_xlfn.XLOOKUP(frasest[[#This Row],[author_es]],autorest[author_es],autorest[language_la])</f>
        <v>Lingua Sinica</v>
      </c>
      <c r="M1134" t="str">
        <f>_xlfn.XLOOKUP(frasest[[#This Row],[author_es]],autorest[author_es],autorest[nation_es])</f>
        <v>China</v>
      </c>
      <c r="N1134" t="str">
        <f>_xlfn.XLOOKUP(frasest[[#This Row],[author_es]],autorest[author_es],autorest[nation_la])</f>
        <v>Sinae</v>
      </c>
      <c r="O1134" t="str">
        <f>_xlfn.XLOOKUP(frasest[[#This Row],[author_es]],autorest[author_es],autorest[age_es])</f>
        <v>Epoca Desconocida</v>
      </c>
      <c r="P1134" t="str">
        <f>_xlfn.XLOOKUP(frasest[[#This Row],[author_es]],autorest[author_es],autorest[age_la])</f>
        <v>Epocha Ignota</v>
      </c>
      <c r="Q1134" t="str">
        <f>_xlfn.XLOOKUP(frasest[[#This Row],[author_es]],autorest[author_es],autorest[image])</f>
        <v>https://i.ibb.co/qLfpZm6h/china.png</v>
      </c>
      <c r="R1134">
        <f>_xlfn.XLOOKUP(frasest[[#This Row],[author_es]],autorest[author_es],autorest[image_atr])</f>
        <v>0</v>
      </c>
    </row>
    <row r="1135" spans="1:18">
      <c r="A1135">
        <v>1134</v>
      </c>
      <c r="B1135" t="s">
        <v>3536</v>
      </c>
      <c r="C1135" t="s">
        <v>3537</v>
      </c>
      <c r="D1135" s="1" t="s">
        <v>3538</v>
      </c>
      <c r="E1135" t="s">
        <v>36</v>
      </c>
      <c r="G1135" t="str">
        <f>_xlfn.XLOOKUP(frasest[[#This Row],[author_es]],autorest[author_es],autorest[author_la])</f>
        <v>Proverbium Sinense</v>
      </c>
      <c r="H1135" t="str">
        <f>_xlfn.XLOOKUP(frasest[[#This Row],[author_es]],autorest[author_es],autorest[bio_es])</f>
        <v>Conjunto de proverbios tradicionales de la cultura china que transmiten sabiduría popular, valores morales y enseñanzas prácticas transmitidas oralmente durante siglos.</v>
      </c>
      <c r="I1135" t="str">
        <f>_xlfn.XLOOKUP(frasest[[#This Row],[author_es]],autorest[author_es],autorest[bio_la])</f>
        <v>Collectio sententiarum Sinensium, magnopere in cultura tradita.</v>
      </c>
      <c r="J1135" t="str">
        <f>_xlfn.XLOOKUP(frasest[[#This Row],[author_es]],autorest[author_es],autorest[iso3691])</f>
        <v>zh</v>
      </c>
      <c r="K1135" t="str">
        <f>_xlfn.XLOOKUP(frasest[[#This Row],[author_es]],autorest[author_es],autorest[language_es])</f>
        <v>Chino</v>
      </c>
      <c r="L1135" t="str">
        <f>_xlfn.XLOOKUP(frasest[[#This Row],[author_es]],autorest[author_es],autorest[language_la])</f>
        <v>Lingua Sinica</v>
      </c>
      <c r="M1135" t="str">
        <f>_xlfn.XLOOKUP(frasest[[#This Row],[author_es]],autorest[author_es],autorest[nation_es])</f>
        <v>China</v>
      </c>
      <c r="N1135" t="str">
        <f>_xlfn.XLOOKUP(frasest[[#This Row],[author_es]],autorest[author_es],autorest[nation_la])</f>
        <v>Sinae</v>
      </c>
      <c r="O1135" t="str">
        <f>_xlfn.XLOOKUP(frasest[[#This Row],[author_es]],autorest[author_es],autorest[age_es])</f>
        <v>Epoca Desconocida</v>
      </c>
      <c r="P1135" t="str">
        <f>_xlfn.XLOOKUP(frasest[[#This Row],[author_es]],autorest[author_es],autorest[age_la])</f>
        <v>Epocha Ignota</v>
      </c>
      <c r="Q1135" t="str">
        <f>_xlfn.XLOOKUP(frasest[[#This Row],[author_es]],autorest[author_es],autorest[image])</f>
        <v>https://i.ibb.co/qLfpZm6h/china.png</v>
      </c>
      <c r="R1135">
        <f>_xlfn.XLOOKUP(frasest[[#This Row],[author_es]],autorest[author_es],autorest[image_atr])</f>
        <v>0</v>
      </c>
    </row>
    <row r="1136" spans="1:18">
      <c r="A1136">
        <v>1135</v>
      </c>
      <c r="B1136" t="s">
        <v>3539</v>
      </c>
      <c r="C1136" t="s">
        <v>3540</v>
      </c>
      <c r="D1136" s="1" t="s">
        <v>3541</v>
      </c>
      <c r="E1136" t="s">
        <v>36</v>
      </c>
      <c r="G1136" t="str">
        <f>_xlfn.XLOOKUP(frasest[[#This Row],[author_es]],autorest[author_es],autorest[author_la])</f>
        <v>Proverbium Sinense</v>
      </c>
      <c r="H1136" t="str">
        <f>_xlfn.XLOOKUP(frasest[[#This Row],[author_es]],autorest[author_es],autorest[bio_es])</f>
        <v>Conjunto de proverbios tradicionales de la cultura china que transmiten sabiduría popular, valores morales y enseñanzas prácticas transmitidas oralmente durante siglos.</v>
      </c>
      <c r="I1136" t="str">
        <f>_xlfn.XLOOKUP(frasest[[#This Row],[author_es]],autorest[author_es],autorest[bio_la])</f>
        <v>Collectio sententiarum Sinensium, magnopere in cultura tradita.</v>
      </c>
      <c r="J1136" t="str">
        <f>_xlfn.XLOOKUP(frasest[[#This Row],[author_es]],autorest[author_es],autorest[iso3691])</f>
        <v>zh</v>
      </c>
      <c r="K1136" t="str">
        <f>_xlfn.XLOOKUP(frasest[[#This Row],[author_es]],autorest[author_es],autorest[language_es])</f>
        <v>Chino</v>
      </c>
      <c r="L1136" t="str">
        <f>_xlfn.XLOOKUP(frasest[[#This Row],[author_es]],autorest[author_es],autorest[language_la])</f>
        <v>Lingua Sinica</v>
      </c>
      <c r="M1136" t="str">
        <f>_xlfn.XLOOKUP(frasest[[#This Row],[author_es]],autorest[author_es],autorest[nation_es])</f>
        <v>China</v>
      </c>
      <c r="N1136" t="str">
        <f>_xlfn.XLOOKUP(frasest[[#This Row],[author_es]],autorest[author_es],autorest[nation_la])</f>
        <v>Sinae</v>
      </c>
      <c r="O1136" t="str">
        <f>_xlfn.XLOOKUP(frasest[[#This Row],[author_es]],autorest[author_es],autorest[age_es])</f>
        <v>Epoca Desconocida</v>
      </c>
      <c r="P1136" t="str">
        <f>_xlfn.XLOOKUP(frasest[[#This Row],[author_es]],autorest[author_es],autorest[age_la])</f>
        <v>Epocha Ignota</v>
      </c>
      <c r="Q1136" t="str">
        <f>_xlfn.XLOOKUP(frasest[[#This Row],[author_es]],autorest[author_es],autorest[image])</f>
        <v>https://i.ibb.co/qLfpZm6h/china.png</v>
      </c>
      <c r="R1136">
        <f>_xlfn.XLOOKUP(frasest[[#This Row],[author_es]],autorest[author_es],autorest[image_atr])</f>
        <v>0</v>
      </c>
    </row>
    <row r="1137" spans="1:18">
      <c r="A1137">
        <v>1136</v>
      </c>
      <c r="B1137" t="s">
        <v>3542</v>
      </c>
      <c r="C1137" t="s">
        <v>3543</v>
      </c>
      <c r="D1137" s="1" t="s">
        <v>3544</v>
      </c>
      <c r="E1137" t="s">
        <v>36</v>
      </c>
      <c r="G1137" t="str">
        <f>_xlfn.XLOOKUP(frasest[[#This Row],[author_es]],autorest[author_es],autorest[author_la])</f>
        <v>Proverbium Sinense</v>
      </c>
      <c r="H1137" t="str">
        <f>_xlfn.XLOOKUP(frasest[[#This Row],[author_es]],autorest[author_es],autorest[bio_es])</f>
        <v>Conjunto de proverbios tradicionales de la cultura china que transmiten sabiduría popular, valores morales y enseñanzas prácticas transmitidas oralmente durante siglos.</v>
      </c>
      <c r="I1137" t="str">
        <f>_xlfn.XLOOKUP(frasest[[#This Row],[author_es]],autorest[author_es],autorest[bio_la])</f>
        <v>Collectio sententiarum Sinensium, magnopere in cultura tradita.</v>
      </c>
      <c r="J1137" t="str">
        <f>_xlfn.XLOOKUP(frasest[[#This Row],[author_es]],autorest[author_es],autorest[iso3691])</f>
        <v>zh</v>
      </c>
      <c r="K1137" t="str">
        <f>_xlfn.XLOOKUP(frasest[[#This Row],[author_es]],autorest[author_es],autorest[language_es])</f>
        <v>Chino</v>
      </c>
      <c r="L1137" t="str">
        <f>_xlfn.XLOOKUP(frasest[[#This Row],[author_es]],autorest[author_es],autorest[language_la])</f>
        <v>Lingua Sinica</v>
      </c>
      <c r="M1137" t="str">
        <f>_xlfn.XLOOKUP(frasest[[#This Row],[author_es]],autorest[author_es],autorest[nation_es])</f>
        <v>China</v>
      </c>
      <c r="N1137" t="str">
        <f>_xlfn.XLOOKUP(frasest[[#This Row],[author_es]],autorest[author_es],autorest[nation_la])</f>
        <v>Sinae</v>
      </c>
      <c r="O1137" t="str">
        <f>_xlfn.XLOOKUP(frasest[[#This Row],[author_es]],autorest[author_es],autorest[age_es])</f>
        <v>Epoca Desconocida</v>
      </c>
      <c r="P1137" t="str">
        <f>_xlfn.XLOOKUP(frasest[[#This Row],[author_es]],autorest[author_es],autorest[age_la])</f>
        <v>Epocha Ignota</v>
      </c>
      <c r="Q1137" t="str">
        <f>_xlfn.XLOOKUP(frasest[[#This Row],[author_es]],autorest[author_es],autorest[image])</f>
        <v>https://i.ibb.co/qLfpZm6h/china.png</v>
      </c>
      <c r="R1137">
        <f>_xlfn.XLOOKUP(frasest[[#This Row],[author_es]],autorest[author_es],autorest[image_atr])</f>
        <v>0</v>
      </c>
    </row>
    <row r="1138" spans="1:18">
      <c r="A1138">
        <v>1137</v>
      </c>
      <c r="B1138" t="s">
        <v>3545</v>
      </c>
      <c r="C1138" t="s">
        <v>3546</v>
      </c>
      <c r="D1138" s="1" t="s">
        <v>3547</v>
      </c>
      <c r="E1138" t="s">
        <v>36</v>
      </c>
      <c r="G1138" t="str">
        <f>_xlfn.XLOOKUP(frasest[[#This Row],[author_es]],autorest[author_es],autorest[author_la])</f>
        <v>Proverbium Sinense</v>
      </c>
      <c r="H1138" t="str">
        <f>_xlfn.XLOOKUP(frasest[[#This Row],[author_es]],autorest[author_es],autorest[bio_es])</f>
        <v>Conjunto de proverbios tradicionales de la cultura china que transmiten sabiduría popular, valores morales y enseñanzas prácticas transmitidas oralmente durante siglos.</v>
      </c>
      <c r="I1138" t="str">
        <f>_xlfn.XLOOKUP(frasest[[#This Row],[author_es]],autorest[author_es],autorest[bio_la])</f>
        <v>Collectio sententiarum Sinensium, magnopere in cultura tradita.</v>
      </c>
      <c r="J1138" t="str">
        <f>_xlfn.XLOOKUP(frasest[[#This Row],[author_es]],autorest[author_es],autorest[iso3691])</f>
        <v>zh</v>
      </c>
      <c r="K1138" t="str">
        <f>_xlfn.XLOOKUP(frasest[[#This Row],[author_es]],autorest[author_es],autorest[language_es])</f>
        <v>Chino</v>
      </c>
      <c r="L1138" t="str">
        <f>_xlfn.XLOOKUP(frasest[[#This Row],[author_es]],autorest[author_es],autorest[language_la])</f>
        <v>Lingua Sinica</v>
      </c>
      <c r="M1138" t="str">
        <f>_xlfn.XLOOKUP(frasest[[#This Row],[author_es]],autorest[author_es],autorest[nation_es])</f>
        <v>China</v>
      </c>
      <c r="N1138" t="str">
        <f>_xlfn.XLOOKUP(frasest[[#This Row],[author_es]],autorest[author_es],autorest[nation_la])</f>
        <v>Sinae</v>
      </c>
      <c r="O1138" t="str">
        <f>_xlfn.XLOOKUP(frasest[[#This Row],[author_es]],autorest[author_es],autorest[age_es])</f>
        <v>Epoca Desconocida</v>
      </c>
      <c r="P1138" t="str">
        <f>_xlfn.XLOOKUP(frasest[[#This Row],[author_es]],autorest[author_es],autorest[age_la])</f>
        <v>Epocha Ignota</v>
      </c>
      <c r="Q1138" t="str">
        <f>_xlfn.XLOOKUP(frasest[[#This Row],[author_es]],autorest[author_es],autorest[image])</f>
        <v>https://i.ibb.co/qLfpZm6h/china.png</v>
      </c>
      <c r="R1138">
        <f>_xlfn.XLOOKUP(frasest[[#This Row],[author_es]],autorest[author_es],autorest[image_atr])</f>
        <v>0</v>
      </c>
    </row>
    <row r="1139" spans="1:18">
      <c r="A1139">
        <v>1138</v>
      </c>
      <c r="B1139" t="s">
        <v>3548</v>
      </c>
      <c r="C1139" t="s">
        <v>3549</v>
      </c>
      <c r="D1139" s="1" t="s">
        <v>3550</v>
      </c>
      <c r="E1139" t="s">
        <v>36</v>
      </c>
      <c r="G1139" t="str">
        <f>_xlfn.XLOOKUP(frasest[[#This Row],[author_es]],autorest[author_es],autorest[author_la])</f>
        <v>Proverbium Sinense</v>
      </c>
      <c r="H1139" t="str">
        <f>_xlfn.XLOOKUP(frasest[[#This Row],[author_es]],autorest[author_es],autorest[bio_es])</f>
        <v>Conjunto de proverbios tradicionales de la cultura china que transmiten sabiduría popular, valores morales y enseñanzas prácticas transmitidas oralmente durante siglos.</v>
      </c>
      <c r="I1139" t="str">
        <f>_xlfn.XLOOKUP(frasest[[#This Row],[author_es]],autorest[author_es],autorest[bio_la])</f>
        <v>Collectio sententiarum Sinensium, magnopere in cultura tradita.</v>
      </c>
      <c r="J1139" t="str">
        <f>_xlfn.XLOOKUP(frasest[[#This Row],[author_es]],autorest[author_es],autorest[iso3691])</f>
        <v>zh</v>
      </c>
      <c r="K1139" t="str">
        <f>_xlfn.XLOOKUP(frasest[[#This Row],[author_es]],autorest[author_es],autorest[language_es])</f>
        <v>Chino</v>
      </c>
      <c r="L1139" t="str">
        <f>_xlfn.XLOOKUP(frasest[[#This Row],[author_es]],autorest[author_es],autorest[language_la])</f>
        <v>Lingua Sinica</v>
      </c>
      <c r="M1139" t="str">
        <f>_xlfn.XLOOKUP(frasest[[#This Row],[author_es]],autorest[author_es],autorest[nation_es])</f>
        <v>China</v>
      </c>
      <c r="N1139" t="str">
        <f>_xlfn.XLOOKUP(frasest[[#This Row],[author_es]],autorest[author_es],autorest[nation_la])</f>
        <v>Sinae</v>
      </c>
      <c r="O1139" t="str">
        <f>_xlfn.XLOOKUP(frasest[[#This Row],[author_es]],autorest[author_es],autorest[age_es])</f>
        <v>Epoca Desconocida</v>
      </c>
      <c r="P1139" t="str">
        <f>_xlfn.XLOOKUP(frasest[[#This Row],[author_es]],autorest[author_es],autorest[age_la])</f>
        <v>Epocha Ignota</v>
      </c>
      <c r="Q1139" t="str">
        <f>_xlfn.XLOOKUP(frasest[[#This Row],[author_es]],autorest[author_es],autorest[image])</f>
        <v>https://i.ibb.co/qLfpZm6h/china.png</v>
      </c>
      <c r="R1139">
        <f>_xlfn.XLOOKUP(frasest[[#This Row],[author_es]],autorest[author_es],autorest[image_atr])</f>
        <v>0</v>
      </c>
    </row>
    <row r="1140" spans="1:18">
      <c r="A1140">
        <v>1139</v>
      </c>
      <c r="B1140" t="s">
        <v>3551</v>
      </c>
      <c r="C1140" t="s">
        <v>3552</v>
      </c>
      <c r="D1140" s="1" t="s">
        <v>3285</v>
      </c>
      <c r="E1140" t="s">
        <v>36</v>
      </c>
      <c r="G1140" t="str">
        <f>_xlfn.XLOOKUP(frasest[[#This Row],[author_es]],autorest[author_es],autorest[author_la])</f>
        <v>Proverbium Sinense</v>
      </c>
      <c r="H1140" t="str">
        <f>_xlfn.XLOOKUP(frasest[[#This Row],[author_es]],autorest[author_es],autorest[bio_es])</f>
        <v>Conjunto de proverbios tradicionales de la cultura china que transmiten sabiduría popular, valores morales y enseñanzas prácticas transmitidas oralmente durante siglos.</v>
      </c>
      <c r="I1140" t="str">
        <f>_xlfn.XLOOKUP(frasest[[#This Row],[author_es]],autorest[author_es],autorest[bio_la])</f>
        <v>Collectio sententiarum Sinensium, magnopere in cultura tradita.</v>
      </c>
      <c r="J1140" t="str">
        <f>_xlfn.XLOOKUP(frasest[[#This Row],[author_es]],autorest[author_es],autorest[iso3691])</f>
        <v>zh</v>
      </c>
      <c r="K1140" t="str">
        <f>_xlfn.XLOOKUP(frasest[[#This Row],[author_es]],autorest[author_es],autorest[language_es])</f>
        <v>Chino</v>
      </c>
      <c r="L1140" t="str">
        <f>_xlfn.XLOOKUP(frasest[[#This Row],[author_es]],autorest[author_es],autorest[language_la])</f>
        <v>Lingua Sinica</v>
      </c>
      <c r="M1140" t="str">
        <f>_xlfn.XLOOKUP(frasest[[#This Row],[author_es]],autorest[author_es],autorest[nation_es])</f>
        <v>China</v>
      </c>
      <c r="N1140" t="str">
        <f>_xlfn.XLOOKUP(frasest[[#This Row],[author_es]],autorest[author_es],autorest[nation_la])</f>
        <v>Sinae</v>
      </c>
      <c r="O1140" t="str">
        <f>_xlfn.XLOOKUP(frasest[[#This Row],[author_es]],autorest[author_es],autorest[age_es])</f>
        <v>Epoca Desconocida</v>
      </c>
      <c r="P1140" t="str">
        <f>_xlfn.XLOOKUP(frasest[[#This Row],[author_es]],autorest[author_es],autorest[age_la])</f>
        <v>Epocha Ignota</v>
      </c>
      <c r="Q1140" t="str">
        <f>_xlfn.XLOOKUP(frasest[[#This Row],[author_es]],autorest[author_es],autorest[image])</f>
        <v>https://i.ibb.co/qLfpZm6h/china.png</v>
      </c>
      <c r="R1140">
        <f>_xlfn.XLOOKUP(frasest[[#This Row],[author_es]],autorest[author_es],autorest[image_atr])</f>
        <v>0</v>
      </c>
    </row>
    <row r="1141" spans="1:18">
      <c r="A1141">
        <v>1140</v>
      </c>
      <c r="B1141" t="s">
        <v>3553</v>
      </c>
      <c r="C1141" t="s">
        <v>3554</v>
      </c>
      <c r="D1141" s="1" t="s">
        <v>3555</v>
      </c>
      <c r="E1141" t="s">
        <v>36</v>
      </c>
      <c r="G1141" t="str">
        <f>_xlfn.XLOOKUP(frasest[[#This Row],[author_es]],autorest[author_es],autorest[author_la])</f>
        <v>Proverbium Sinense</v>
      </c>
      <c r="H1141" t="str">
        <f>_xlfn.XLOOKUP(frasest[[#This Row],[author_es]],autorest[author_es],autorest[bio_es])</f>
        <v>Conjunto de proverbios tradicionales de la cultura china que transmiten sabiduría popular, valores morales y enseñanzas prácticas transmitidas oralmente durante siglos.</v>
      </c>
      <c r="I1141" t="str">
        <f>_xlfn.XLOOKUP(frasest[[#This Row],[author_es]],autorest[author_es],autorest[bio_la])</f>
        <v>Collectio sententiarum Sinensium, magnopere in cultura tradita.</v>
      </c>
      <c r="J1141" t="str">
        <f>_xlfn.XLOOKUP(frasest[[#This Row],[author_es]],autorest[author_es],autorest[iso3691])</f>
        <v>zh</v>
      </c>
      <c r="K1141" t="str">
        <f>_xlfn.XLOOKUP(frasest[[#This Row],[author_es]],autorest[author_es],autorest[language_es])</f>
        <v>Chino</v>
      </c>
      <c r="L1141" t="str">
        <f>_xlfn.XLOOKUP(frasest[[#This Row],[author_es]],autorest[author_es],autorest[language_la])</f>
        <v>Lingua Sinica</v>
      </c>
      <c r="M1141" t="str">
        <f>_xlfn.XLOOKUP(frasest[[#This Row],[author_es]],autorest[author_es],autorest[nation_es])</f>
        <v>China</v>
      </c>
      <c r="N1141" t="str">
        <f>_xlfn.XLOOKUP(frasest[[#This Row],[author_es]],autorest[author_es],autorest[nation_la])</f>
        <v>Sinae</v>
      </c>
      <c r="O1141" t="str">
        <f>_xlfn.XLOOKUP(frasest[[#This Row],[author_es]],autorest[author_es],autorest[age_es])</f>
        <v>Epoca Desconocida</v>
      </c>
      <c r="P1141" t="str">
        <f>_xlfn.XLOOKUP(frasest[[#This Row],[author_es]],autorest[author_es],autorest[age_la])</f>
        <v>Epocha Ignota</v>
      </c>
      <c r="Q1141" t="str">
        <f>_xlfn.XLOOKUP(frasest[[#This Row],[author_es]],autorest[author_es],autorest[image])</f>
        <v>https://i.ibb.co/qLfpZm6h/china.png</v>
      </c>
      <c r="R1141">
        <f>_xlfn.XLOOKUP(frasest[[#This Row],[author_es]],autorest[author_es],autorest[image_atr])</f>
        <v>0</v>
      </c>
    </row>
    <row r="1142" spans="1:18">
      <c r="A1142">
        <v>1141</v>
      </c>
      <c r="B1142" t="s">
        <v>3556</v>
      </c>
      <c r="C1142" t="s">
        <v>3557</v>
      </c>
      <c r="D1142" s="1" t="s">
        <v>3558</v>
      </c>
      <c r="E1142" t="s">
        <v>36</v>
      </c>
      <c r="G1142" t="str">
        <f>_xlfn.XLOOKUP(frasest[[#This Row],[author_es]],autorest[author_es],autorest[author_la])</f>
        <v>Proverbium Sinense</v>
      </c>
      <c r="H1142" t="str">
        <f>_xlfn.XLOOKUP(frasest[[#This Row],[author_es]],autorest[author_es],autorest[bio_es])</f>
        <v>Conjunto de proverbios tradicionales de la cultura china que transmiten sabiduría popular, valores morales y enseñanzas prácticas transmitidas oralmente durante siglos.</v>
      </c>
      <c r="I1142" t="str">
        <f>_xlfn.XLOOKUP(frasest[[#This Row],[author_es]],autorest[author_es],autorest[bio_la])</f>
        <v>Collectio sententiarum Sinensium, magnopere in cultura tradita.</v>
      </c>
      <c r="J1142" t="str">
        <f>_xlfn.XLOOKUP(frasest[[#This Row],[author_es]],autorest[author_es],autorest[iso3691])</f>
        <v>zh</v>
      </c>
      <c r="K1142" t="str">
        <f>_xlfn.XLOOKUP(frasest[[#This Row],[author_es]],autorest[author_es],autorest[language_es])</f>
        <v>Chino</v>
      </c>
      <c r="L1142" t="str">
        <f>_xlfn.XLOOKUP(frasest[[#This Row],[author_es]],autorest[author_es],autorest[language_la])</f>
        <v>Lingua Sinica</v>
      </c>
      <c r="M1142" t="str">
        <f>_xlfn.XLOOKUP(frasest[[#This Row],[author_es]],autorest[author_es],autorest[nation_es])</f>
        <v>China</v>
      </c>
      <c r="N1142" t="str">
        <f>_xlfn.XLOOKUP(frasest[[#This Row],[author_es]],autorest[author_es],autorest[nation_la])</f>
        <v>Sinae</v>
      </c>
      <c r="O1142" t="str">
        <f>_xlfn.XLOOKUP(frasest[[#This Row],[author_es]],autorest[author_es],autorest[age_es])</f>
        <v>Epoca Desconocida</v>
      </c>
      <c r="P1142" t="str">
        <f>_xlfn.XLOOKUP(frasest[[#This Row],[author_es]],autorest[author_es],autorest[age_la])</f>
        <v>Epocha Ignota</v>
      </c>
      <c r="Q1142" t="str">
        <f>_xlfn.XLOOKUP(frasest[[#This Row],[author_es]],autorest[author_es],autorest[image])</f>
        <v>https://i.ibb.co/qLfpZm6h/china.png</v>
      </c>
      <c r="R1142">
        <f>_xlfn.XLOOKUP(frasest[[#This Row],[author_es]],autorest[author_es],autorest[image_atr])</f>
        <v>0</v>
      </c>
    </row>
    <row r="1143" spans="1:18">
      <c r="A1143">
        <v>1142</v>
      </c>
      <c r="B1143" t="s">
        <v>3559</v>
      </c>
      <c r="C1143" t="s">
        <v>3560</v>
      </c>
      <c r="D1143" s="1" t="s">
        <v>3561</v>
      </c>
      <c r="E1143" t="s">
        <v>36</v>
      </c>
      <c r="G1143" t="str">
        <f>_xlfn.XLOOKUP(frasest[[#This Row],[author_es]],autorest[author_es],autorest[author_la])</f>
        <v>Proverbium Sinense</v>
      </c>
      <c r="H1143" t="str">
        <f>_xlfn.XLOOKUP(frasest[[#This Row],[author_es]],autorest[author_es],autorest[bio_es])</f>
        <v>Conjunto de proverbios tradicionales de la cultura china que transmiten sabiduría popular, valores morales y enseñanzas prácticas transmitidas oralmente durante siglos.</v>
      </c>
      <c r="I1143" t="str">
        <f>_xlfn.XLOOKUP(frasest[[#This Row],[author_es]],autorest[author_es],autorest[bio_la])</f>
        <v>Collectio sententiarum Sinensium, magnopere in cultura tradita.</v>
      </c>
      <c r="J1143" t="str">
        <f>_xlfn.XLOOKUP(frasest[[#This Row],[author_es]],autorest[author_es],autorest[iso3691])</f>
        <v>zh</v>
      </c>
      <c r="K1143" t="str">
        <f>_xlfn.XLOOKUP(frasest[[#This Row],[author_es]],autorest[author_es],autorest[language_es])</f>
        <v>Chino</v>
      </c>
      <c r="L1143" t="str">
        <f>_xlfn.XLOOKUP(frasest[[#This Row],[author_es]],autorest[author_es],autorest[language_la])</f>
        <v>Lingua Sinica</v>
      </c>
      <c r="M1143" t="str">
        <f>_xlfn.XLOOKUP(frasest[[#This Row],[author_es]],autorest[author_es],autorest[nation_es])</f>
        <v>China</v>
      </c>
      <c r="N1143" t="str">
        <f>_xlfn.XLOOKUP(frasest[[#This Row],[author_es]],autorest[author_es],autorest[nation_la])</f>
        <v>Sinae</v>
      </c>
      <c r="O1143" t="str">
        <f>_xlfn.XLOOKUP(frasest[[#This Row],[author_es]],autorest[author_es],autorest[age_es])</f>
        <v>Epoca Desconocida</v>
      </c>
      <c r="P1143" t="str">
        <f>_xlfn.XLOOKUP(frasest[[#This Row],[author_es]],autorest[author_es],autorest[age_la])</f>
        <v>Epocha Ignota</v>
      </c>
      <c r="Q1143" t="str">
        <f>_xlfn.XLOOKUP(frasest[[#This Row],[author_es]],autorest[author_es],autorest[image])</f>
        <v>https://i.ibb.co/qLfpZm6h/china.png</v>
      </c>
      <c r="R1143">
        <f>_xlfn.XLOOKUP(frasest[[#This Row],[author_es]],autorest[author_es],autorest[image_atr])</f>
        <v>0</v>
      </c>
    </row>
    <row r="1144" spans="1:18">
      <c r="A1144">
        <v>1143</v>
      </c>
      <c r="B1144" t="s">
        <v>3562</v>
      </c>
      <c r="C1144" t="s">
        <v>3563</v>
      </c>
      <c r="D1144" s="1" t="s">
        <v>3564</v>
      </c>
      <c r="E1144" t="s">
        <v>36</v>
      </c>
      <c r="G1144" t="str">
        <f>_xlfn.XLOOKUP(frasest[[#This Row],[author_es]],autorest[author_es],autorest[author_la])</f>
        <v>Proverbium Sinense</v>
      </c>
      <c r="H1144" t="str">
        <f>_xlfn.XLOOKUP(frasest[[#This Row],[author_es]],autorest[author_es],autorest[bio_es])</f>
        <v>Conjunto de proverbios tradicionales de la cultura china que transmiten sabiduría popular, valores morales y enseñanzas prácticas transmitidas oralmente durante siglos.</v>
      </c>
      <c r="I1144" t="str">
        <f>_xlfn.XLOOKUP(frasest[[#This Row],[author_es]],autorest[author_es],autorest[bio_la])</f>
        <v>Collectio sententiarum Sinensium, magnopere in cultura tradita.</v>
      </c>
      <c r="J1144" t="str">
        <f>_xlfn.XLOOKUP(frasest[[#This Row],[author_es]],autorest[author_es],autorest[iso3691])</f>
        <v>zh</v>
      </c>
      <c r="K1144" t="str">
        <f>_xlfn.XLOOKUP(frasest[[#This Row],[author_es]],autorest[author_es],autorest[language_es])</f>
        <v>Chino</v>
      </c>
      <c r="L1144" t="str">
        <f>_xlfn.XLOOKUP(frasest[[#This Row],[author_es]],autorest[author_es],autorest[language_la])</f>
        <v>Lingua Sinica</v>
      </c>
      <c r="M1144" t="str">
        <f>_xlfn.XLOOKUP(frasest[[#This Row],[author_es]],autorest[author_es],autorest[nation_es])</f>
        <v>China</v>
      </c>
      <c r="N1144" t="str">
        <f>_xlfn.XLOOKUP(frasest[[#This Row],[author_es]],autorest[author_es],autorest[nation_la])</f>
        <v>Sinae</v>
      </c>
      <c r="O1144" t="str">
        <f>_xlfn.XLOOKUP(frasest[[#This Row],[author_es]],autorest[author_es],autorest[age_es])</f>
        <v>Epoca Desconocida</v>
      </c>
      <c r="P1144" t="str">
        <f>_xlfn.XLOOKUP(frasest[[#This Row],[author_es]],autorest[author_es],autorest[age_la])</f>
        <v>Epocha Ignota</v>
      </c>
      <c r="Q1144" t="str">
        <f>_xlfn.XLOOKUP(frasest[[#This Row],[author_es]],autorest[author_es],autorest[image])</f>
        <v>https://i.ibb.co/qLfpZm6h/china.png</v>
      </c>
      <c r="R1144">
        <f>_xlfn.XLOOKUP(frasest[[#This Row],[author_es]],autorest[author_es],autorest[image_atr])</f>
        <v>0</v>
      </c>
    </row>
    <row r="1145" spans="1:18">
      <c r="A1145">
        <v>1144</v>
      </c>
      <c r="B1145" t="s">
        <v>3565</v>
      </c>
      <c r="C1145" t="s">
        <v>3566</v>
      </c>
      <c r="D1145" s="1" t="s">
        <v>3567</v>
      </c>
      <c r="E1145" t="s">
        <v>36</v>
      </c>
      <c r="G1145" t="str">
        <f>_xlfn.XLOOKUP(frasest[[#This Row],[author_es]],autorest[author_es],autorest[author_la])</f>
        <v>Proverbium Sinense</v>
      </c>
      <c r="H1145" t="str">
        <f>_xlfn.XLOOKUP(frasest[[#This Row],[author_es]],autorest[author_es],autorest[bio_es])</f>
        <v>Conjunto de proverbios tradicionales de la cultura china que transmiten sabiduría popular, valores morales y enseñanzas prácticas transmitidas oralmente durante siglos.</v>
      </c>
      <c r="I1145" t="str">
        <f>_xlfn.XLOOKUP(frasest[[#This Row],[author_es]],autorest[author_es],autorest[bio_la])</f>
        <v>Collectio sententiarum Sinensium, magnopere in cultura tradita.</v>
      </c>
      <c r="J1145" t="str">
        <f>_xlfn.XLOOKUP(frasest[[#This Row],[author_es]],autorest[author_es],autorest[iso3691])</f>
        <v>zh</v>
      </c>
      <c r="K1145" t="str">
        <f>_xlfn.XLOOKUP(frasest[[#This Row],[author_es]],autorest[author_es],autorest[language_es])</f>
        <v>Chino</v>
      </c>
      <c r="L1145" t="str">
        <f>_xlfn.XLOOKUP(frasest[[#This Row],[author_es]],autorest[author_es],autorest[language_la])</f>
        <v>Lingua Sinica</v>
      </c>
      <c r="M1145" t="str">
        <f>_xlfn.XLOOKUP(frasest[[#This Row],[author_es]],autorest[author_es],autorest[nation_es])</f>
        <v>China</v>
      </c>
      <c r="N1145" t="str">
        <f>_xlfn.XLOOKUP(frasest[[#This Row],[author_es]],autorest[author_es],autorest[nation_la])</f>
        <v>Sinae</v>
      </c>
      <c r="O1145" t="str">
        <f>_xlfn.XLOOKUP(frasest[[#This Row],[author_es]],autorest[author_es],autorest[age_es])</f>
        <v>Epoca Desconocida</v>
      </c>
      <c r="P1145" t="str">
        <f>_xlfn.XLOOKUP(frasest[[#This Row],[author_es]],autorest[author_es],autorest[age_la])</f>
        <v>Epocha Ignota</v>
      </c>
      <c r="Q1145" t="str">
        <f>_xlfn.XLOOKUP(frasest[[#This Row],[author_es]],autorest[author_es],autorest[image])</f>
        <v>https://i.ibb.co/qLfpZm6h/china.png</v>
      </c>
      <c r="R1145">
        <f>_xlfn.XLOOKUP(frasest[[#This Row],[author_es]],autorest[author_es],autorest[image_atr])</f>
        <v>0</v>
      </c>
    </row>
    <row r="1146" spans="1:18">
      <c r="A1146">
        <v>1145</v>
      </c>
      <c r="B1146" t="s">
        <v>3568</v>
      </c>
      <c r="C1146" t="s">
        <v>3569</v>
      </c>
      <c r="D1146" s="1" t="s">
        <v>3570</v>
      </c>
      <c r="E1146" t="s">
        <v>36</v>
      </c>
      <c r="G1146" t="str">
        <f>_xlfn.XLOOKUP(frasest[[#This Row],[author_es]],autorest[author_es],autorest[author_la])</f>
        <v>Proverbium Sinense</v>
      </c>
      <c r="H1146" t="str">
        <f>_xlfn.XLOOKUP(frasest[[#This Row],[author_es]],autorest[author_es],autorest[bio_es])</f>
        <v>Conjunto de proverbios tradicionales de la cultura china que transmiten sabiduría popular, valores morales y enseñanzas prácticas transmitidas oralmente durante siglos.</v>
      </c>
      <c r="I1146" t="str">
        <f>_xlfn.XLOOKUP(frasest[[#This Row],[author_es]],autorest[author_es],autorest[bio_la])</f>
        <v>Collectio sententiarum Sinensium, magnopere in cultura tradita.</v>
      </c>
      <c r="J1146" t="str">
        <f>_xlfn.XLOOKUP(frasest[[#This Row],[author_es]],autorest[author_es],autorest[iso3691])</f>
        <v>zh</v>
      </c>
      <c r="K1146" t="str">
        <f>_xlfn.XLOOKUP(frasest[[#This Row],[author_es]],autorest[author_es],autorest[language_es])</f>
        <v>Chino</v>
      </c>
      <c r="L1146" t="str">
        <f>_xlfn.XLOOKUP(frasest[[#This Row],[author_es]],autorest[author_es],autorest[language_la])</f>
        <v>Lingua Sinica</v>
      </c>
      <c r="M1146" t="str">
        <f>_xlfn.XLOOKUP(frasest[[#This Row],[author_es]],autorest[author_es],autorest[nation_es])</f>
        <v>China</v>
      </c>
      <c r="N1146" t="str">
        <f>_xlfn.XLOOKUP(frasest[[#This Row],[author_es]],autorest[author_es],autorest[nation_la])</f>
        <v>Sinae</v>
      </c>
      <c r="O1146" t="str">
        <f>_xlfn.XLOOKUP(frasest[[#This Row],[author_es]],autorest[author_es],autorest[age_es])</f>
        <v>Epoca Desconocida</v>
      </c>
      <c r="P1146" t="str">
        <f>_xlfn.XLOOKUP(frasest[[#This Row],[author_es]],autorest[author_es],autorest[age_la])</f>
        <v>Epocha Ignota</v>
      </c>
      <c r="Q1146" t="str">
        <f>_xlfn.XLOOKUP(frasest[[#This Row],[author_es]],autorest[author_es],autorest[image])</f>
        <v>https://i.ibb.co/qLfpZm6h/china.png</v>
      </c>
      <c r="R1146">
        <f>_xlfn.XLOOKUP(frasest[[#This Row],[author_es]],autorest[author_es],autorest[image_atr])</f>
        <v>0</v>
      </c>
    </row>
    <row r="1147" spans="1:18">
      <c r="A1147">
        <v>1146</v>
      </c>
      <c r="B1147" t="s">
        <v>3571</v>
      </c>
      <c r="C1147" t="s">
        <v>3572</v>
      </c>
      <c r="D1147" s="1" t="s">
        <v>3573</v>
      </c>
      <c r="E1147" t="s">
        <v>36</v>
      </c>
      <c r="G1147" t="str">
        <f>_xlfn.XLOOKUP(frasest[[#This Row],[author_es]],autorest[author_es],autorest[author_la])</f>
        <v>Proverbium Sinense</v>
      </c>
      <c r="H1147" t="str">
        <f>_xlfn.XLOOKUP(frasest[[#This Row],[author_es]],autorest[author_es],autorest[bio_es])</f>
        <v>Conjunto de proverbios tradicionales de la cultura china que transmiten sabiduría popular, valores morales y enseñanzas prácticas transmitidas oralmente durante siglos.</v>
      </c>
      <c r="I1147" t="str">
        <f>_xlfn.XLOOKUP(frasest[[#This Row],[author_es]],autorest[author_es],autorest[bio_la])</f>
        <v>Collectio sententiarum Sinensium, magnopere in cultura tradita.</v>
      </c>
      <c r="J1147" t="str">
        <f>_xlfn.XLOOKUP(frasest[[#This Row],[author_es]],autorest[author_es],autorest[iso3691])</f>
        <v>zh</v>
      </c>
      <c r="K1147" t="str">
        <f>_xlfn.XLOOKUP(frasest[[#This Row],[author_es]],autorest[author_es],autorest[language_es])</f>
        <v>Chino</v>
      </c>
      <c r="L1147" t="str">
        <f>_xlfn.XLOOKUP(frasest[[#This Row],[author_es]],autorest[author_es],autorest[language_la])</f>
        <v>Lingua Sinica</v>
      </c>
      <c r="M1147" t="str">
        <f>_xlfn.XLOOKUP(frasest[[#This Row],[author_es]],autorest[author_es],autorest[nation_es])</f>
        <v>China</v>
      </c>
      <c r="N1147" t="str">
        <f>_xlfn.XLOOKUP(frasest[[#This Row],[author_es]],autorest[author_es],autorest[nation_la])</f>
        <v>Sinae</v>
      </c>
      <c r="O1147" t="str">
        <f>_xlfn.XLOOKUP(frasest[[#This Row],[author_es]],autorest[author_es],autorest[age_es])</f>
        <v>Epoca Desconocida</v>
      </c>
      <c r="P1147" t="str">
        <f>_xlfn.XLOOKUP(frasest[[#This Row],[author_es]],autorest[author_es],autorest[age_la])</f>
        <v>Epocha Ignota</v>
      </c>
      <c r="Q1147" t="str">
        <f>_xlfn.XLOOKUP(frasest[[#This Row],[author_es]],autorest[author_es],autorest[image])</f>
        <v>https://i.ibb.co/qLfpZm6h/china.png</v>
      </c>
      <c r="R1147">
        <f>_xlfn.XLOOKUP(frasest[[#This Row],[author_es]],autorest[author_es],autorest[image_atr])</f>
        <v>0</v>
      </c>
    </row>
    <row r="1148" spans="1:18">
      <c r="A1148">
        <v>1147</v>
      </c>
      <c r="B1148" t="s">
        <v>3574</v>
      </c>
      <c r="C1148" t="s">
        <v>3575</v>
      </c>
      <c r="D1148" s="1" t="s">
        <v>3576</v>
      </c>
      <c r="E1148" t="s">
        <v>36</v>
      </c>
      <c r="G1148" t="str">
        <f>_xlfn.XLOOKUP(frasest[[#This Row],[author_es]],autorest[author_es],autorest[author_la])</f>
        <v>Proverbium Sinense</v>
      </c>
      <c r="H1148" t="str">
        <f>_xlfn.XLOOKUP(frasest[[#This Row],[author_es]],autorest[author_es],autorest[bio_es])</f>
        <v>Conjunto de proverbios tradicionales de la cultura china que transmiten sabiduría popular, valores morales y enseñanzas prácticas transmitidas oralmente durante siglos.</v>
      </c>
      <c r="I1148" t="str">
        <f>_xlfn.XLOOKUP(frasest[[#This Row],[author_es]],autorest[author_es],autorest[bio_la])</f>
        <v>Collectio sententiarum Sinensium, magnopere in cultura tradita.</v>
      </c>
      <c r="J1148" t="str">
        <f>_xlfn.XLOOKUP(frasest[[#This Row],[author_es]],autorest[author_es],autorest[iso3691])</f>
        <v>zh</v>
      </c>
      <c r="K1148" t="str">
        <f>_xlfn.XLOOKUP(frasest[[#This Row],[author_es]],autorest[author_es],autorest[language_es])</f>
        <v>Chino</v>
      </c>
      <c r="L1148" t="str">
        <f>_xlfn.XLOOKUP(frasest[[#This Row],[author_es]],autorest[author_es],autorest[language_la])</f>
        <v>Lingua Sinica</v>
      </c>
      <c r="M1148" t="str">
        <f>_xlfn.XLOOKUP(frasest[[#This Row],[author_es]],autorest[author_es],autorest[nation_es])</f>
        <v>China</v>
      </c>
      <c r="N1148" t="str">
        <f>_xlfn.XLOOKUP(frasest[[#This Row],[author_es]],autorest[author_es],autorest[nation_la])</f>
        <v>Sinae</v>
      </c>
      <c r="O1148" t="str">
        <f>_xlfn.XLOOKUP(frasest[[#This Row],[author_es]],autorest[author_es],autorest[age_es])</f>
        <v>Epoca Desconocida</v>
      </c>
      <c r="P1148" t="str">
        <f>_xlfn.XLOOKUP(frasest[[#This Row],[author_es]],autorest[author_es],autorest[age_la])</f>
        <v>Epocha Ignota</v>
      </c>
      <c r="Q1148" t="str">
        <f>_xlfn.XLOOKUP(frasest[[#This Row],[author_es]],autorest[author_es],autorest[image])</f>
        <v>https://i.ibb.co/qLfpZm6h/china.png</v>
      </c>
      <c r="R1148">
        <f>_xlfn.XLOOKUP(frasest[[#This Row],[author_es]],autorest[author_es],autorest[image_atr])</f>
        <v>0</v>
      </c>
    </row>
    <row r="1149" spans="1:18">
      <c r="A1149">
        <v>1148</v>
      </c>
      <c r="B1149" t="s">
        <v>3577</v>
      </c>
      <c r="C1149" t="s">
        <v>3578</v>
      </c>
      <c r="D1149" s="1" t="s">
        <v>3579</v>
      </c>
      <c r="E1149" t="s">
        <v>36</v>
      </c>
      <c r="G1149" t="str">
        <f>_xlfn.XLOOKUP(frasest[[#This Row],[author_es]],autorest[author_es],autorest[author_la])</f>
        <v>Proverbium Sinense</v>
      </c>
      <c r="H1149" t="str">
        <f>_xlfn.XLOOKUP(frasest[[#This Row],[author_es]],autorest[author_es],autorest[bio_es])</f>
        <v>Conjunto de proverbios tradicionales de la cultura china que transmiten sabiduría popular, valores morales y enseñanzas prácticas transmitidas oralmente durante siglos.</v>
      </c>
      <c r="I1149" t="str">
        <f>_xlfn.XLOOKUP(frasest[[#This Row],[author_es]],autorest[author_es],autorest[bio_la])</f>
        <v>Collectio sententiarum Sinensium, magnopere in cultura tradita.</v>
      </c>
      <c r="J1149" t="str">
        <f>_xlfn.XLOOKUP(frasest[[#This Row],[author_es]],autorest[author_es],autorest[iso3691])</f>
        <v>zh</v>
      </c>
      <c r="K1149" t="str">
        <f>_xlfn.XLOOKUP(frasest[[#This Row],[author_es]],autorest[author_es],autorest[language_es])</f>
        <v>Chino</v>
      </c>
      <c r="L1149" t="str">
        <f>_xlfn.XLOOKUP(frasest[[#This Row],[author_es]],autorest[author_es],autorest[language_la])</f>
        <v>Lingua Sinica</v>
      </c>
      <c r="M1149" t="str">
        <f>_xlfn.XLOOKUP(frasest[[#This Row],[author_es]],autorest[author_es],autorest[nation_es])</f>
        <v>China</v>
      </c>
      <c r="N1149" t="str">
        <f>_xlfn.XLOOKUP(frasest[[#This Row],[author_es]],autorest[author_es],autorest[nation_la])</f>
        <v>Sinae</v>
      </c>
      <c r="O1149" t="str">
        <f>_xlfn.XLOOKUP(frasest[[#This Row],[author_es]],autorest[author_es],autorest[age_es])</f>
        <v>Epoca Desconocida</v>
      </c>
      <c r="P1149" t="str">
        <f>_xlfn.XLOOKUP(frasest[[#This Row],[author_es]],autorest[author_es],autorest[age_la])</f>
        <v>Epocha Ignota</v>
      </c>
      <c r="Q1149" t="str">
        <f>_xlfn.XLOOKUP(frasest[[#This Row],[author_es]],autorest[author_es],autorest[image])</f>
        <v>https://i.ibb.co/qLfpZm6h/china.png</v>
      </c>
      <c r="R1149">
        <f>_xlfn.XLOOKUP(frasest[[#This Row],[author_es]],autorest[author_es],autorest[image_atr])</f>
        <v>0</v>
      </c>
    </row>
    <row r="1150" spans="1:18">
      <c r="A1150">
        <v>1149</v>
      </c>
      <c r="B1150" t="s">
        <v>3580</v>
      </c>
      <c r="C1150" t="s">
        <v>3581</v>
      </c>
      <c r="D1150" s="1" t="s">
        <v>3582</v>
      </c>
      <c r="E1150" t="s">
        <v>36</v>
      </c>
      <c r="G1150" t="str">
        <f>_xlfn.XLOOKUP(frasest[[#This Row],[author_es]],autorest[author_es],autorest[author_la])</f>
        <v>Proverbium Sinense</v>
      </c>
      <c r="H1150" t="str">
        <f>_xlfn.XLOOKUP(frasest[[#This Row],[author_es]],autorest[author_es],autorest[bio_es])</f>
        <v>Conjunto de proverbios tradicionales de la cultura china que transmiten sabiduría popular, valores morales y enseñanzas prácticas transmitidas oralmente durante siglos.</v>
      </c>
      <c r="I1150" t="str">
        <f>_xlfn.XLOOKUP(frasest[[#This Row],[author_es]],autorest[author_es],autorest[bio_la])</f>
        <v>Collectio sententiarum Sinensium, magnopere in cultura tradita.</v>
      </c>
      <c r="J1150" t="str">
        <f>_xlfn.XLOOKUP(frasest[[#This Row],[author_es]],autorest[author_es],autorest[iso3691])</f>
        <v>zh</v>
      </c>
      <c r="K1150" t="str">
        <f>_xlfn.XLOOKUP(frasest[[#This Row],[author_es]],autorest[author_es],autorest[language_es])</f>
        <v>Chino</v>
      </c>
      <c r="L1150" t="str">
        <f>_xlfn.XLOOKUP(frasest[[#This Row],[author_es]],autorest[author_es],autorest[language_la])</f>
        <v>Lingua Sinica</v>
      </c>
      <c r="M1150" t="str">
        <f>_xlfn.XLOOKUP(frasest[[#This Row],[author_es]],autorest[author_es],autorest[nation_es])</f>
        <v>China</v>
      </c>
      <c r="N1150" t="str">
        <f>_xlfn.XLOOKUP(frasest[[#This Row],[author_es]],autorest[author_es],autorest[nation_la])</f>
        <v>Sinae</v>
      </c>
      <c r="O1150" t="str">
        <f>_xlfn.XLOOKUP(frasest[[#This Row],[author_es]],autorest[author_es],autorest[age_es])</f>
        <v>Epoca Desconocida</v>
      </c>
      <c r="P1150" t="str">
        <f>_xlfn.XLOOKUP(frasest[[#This Row],[author_es]],autorest[author_es],autorest[age_la])</f>
        <v>Epocha Ignota</v>
      </c>
      <c r="Q1150" t="str">
        <f>_xlfn.XLOOKUP(frasest[[#This Row],[author_es]],autorest[author_es],autorest[image])</f>
        <v>https://i.ibb.co/qLfpZm6h/china.png</v>
      </c>
      <c r="R1150">
        <f>_xlfn.XLOOKUP(frasest[[#This Row],[author_es]],autorest[author_es],autorest[image_atr])</f>
        <v>0</v>
      </c>
    </row>
    <row r="1151" spans="1:18">
      <c r="A1151">
        <v>1150</v>
      </c>
      <c r="B1151" t="s">
        <v>3583</v>
      </c>
      <c r="C1151" t="s">
        <v>3584</v>
      </c>
      <c r="D1151" s="1" t="s">
        <v>3585</v>
      </c>
      <c r="E1151" t="s">
        <v>36</v>
      </c>
      <c r="G1151" t="str">
        <f>_xlfn.XLOOKUP(frasest[[#This Row],[author_es]],autorest[author_es],autorest[author_la])</f>
        <v>Proverbium Sinense</v>
      </c>
      <c r="H1151" t="str">
        <f>_xlfn.XLOOKUP(frasest[[#This Row],[author_es]],autorest[author_es],autorest[bio_es])</f>
        <v>Conjunto de proverbios tradicionales de la cultura china que transmiten sabiduría popular, valores morales y enseñanzas prácticas transmitidas oralmente durante siglos.</v>
      </c>
      <c r="I1151" t="str">
        <f>_xlfn.XLOOKUP(frasest[[#This Row],[author_es]],autorest[author_es],autorest[bio_la])</f>
        <v>Collectio sententiarum Sinensium, magnopere in cultura tradita.</v>
      </c>
      <c r="J1151" t="str">
        <f>_xlfn.XLOOKUP(frasest[[#This Row],[author_es]],autorest[author_es],autorest[iso3691])</f>
        <v>zh</v>
      </c>
      <c r="K1151" t="str">
        <f>_xlfn.XLOOKUP(frasest[[#This Row],[author_es]],autorest[author_es],autorest[language_es])</f>
        <v>Chino</v>
      </c>
      <c r="L1151" t="str">
        <f>_xlfn.XLOOKUP(frasest[[#This Row],[author_es]],autorest[author_es],autorest[language_la])</f>
        <v>Lingua Sinica</v>
      </c>
      <c r="M1151" t="str">
        <f>_xlfn.XLOOKUP(frasest[[#This Row],[author_es]],autorest[author_es],autorest[nation_es])</f>
        <v>China</v>
      </c>
      <c r="N1151" t="str">
        <f>_xlfn.XLOOKUP(frasest[[#This Row],[author_es]],autorest[author_es],autorest[nation_la])</f>
        <v>Sinae</v>
      </c>
      <c r="O1151" t="str">
        <f>_xlfn.XLOOKUP(frasest[[#This Row],[author_es]],autorest[author_es],autorest[age_es])</f>
        <v>Epoca Desconocida</v>
      </c>
      <c r="P1151" t="str">
        <f>_xlfn.XLOOKUP(frasest[[#This Row],[author_es]],autorest[author_es],autorest[age_la])</f>
        <v>Epocha Ignota</v>
      </c>
      <c r="Q1151" t="str">
        <f>_xlfn.XLOOKUP(frasest[[#This Row],[author_es]],autorest[author_es],autorest[image])</f>
        <v>https://i.ibb.co/qLfpZm6h/china.png</v>
      </c>
      <c r="R1151">
        <f>_xlfn.XLOOKUP(frasest[[#This Row],[author_es]],autorest[author_es],autorest[image_atr])</f>
        <v>0</v>
      </c>
    </row>
    <row r="1152" spans="1:18">
      <c r="A1152">
        <v>1151</v>
      </c>
      <c r="B1152" t="s">
        <v>3586</v>
      </c>
      <c r="C1152" t="s">
        <v>3587</v>
      </c>
      <c r="D1152" s="1" t="s">
        <v>3588</v>
      </c>
      <c r="E1152" t="s">
        <v>36</v>
      </c>
      <c r="G1152" t="str">
        <f>_xlfn.XLOOKUP(frasest[[#This Row],[author_es]],autorest[author_es],autorest[author_la])</f>
        <v>Proverbium Sinense</v>
      </c>
      <c r="H1152" t="str">
        <f>_xlfn.XLOOKUP(frasest[[#This Row],[author_es]],autorest[author_es],autorest[bio_es])</f>
        <v>Conjunto de proverbios tradicionales de la cultura china que transmiten sabiduría popular, valores morales y enseñanzas prácticas transmitidas oralmente durante siglos.</v>
      </c>
      <c r="I1152" t="str">
        <f>_xlfn.XLOOKUP(frasest[[#This Row],[author_es]],autorest[author_es],autorest[bio_la])</f>
        <v>Collectio sententiarum Sinensium, magnopere in cultura tradita.</v>
      </c>
      <c r="J1152" t="str">
        <f>_xlfn.XLOOKUP(frasest[[#This Row],[author_es]],autorest[author_es],autorest[iso3691])</f>
        <v>zh</v>
      </c>
      <c r="K1152" t="str">
        <f>_xlfn.XLOOKUP(frasest[[#This Row],[author_es]],autorest[author_es],autorest[language_es])</f>
        <v>Chino</v>
      </c>
      <c r="L1152" t="str">
        <f>_xlfn.XLOOKUP(frasest[[#This Row],[author_es]],autorest[author_es],autorest[language_la])</f>
        <v>Lingua Sinica</v>
      </c>
      <c r="M1152" t="str">
        <f>_xlfn.XLOOKUP(frasest[[#This Row],[author_es]],autorest[author_es],autorest[nation_es])</f>
        <v>China</v>
      </c>
      <c r="N1152" t="str">
        <f>_xlfn.XLOOKUP(frasest[[#This Row],[author_es]],autorest[author_es],autorest[nation_la])</f>
        <v>Sinae</v>
      </c>
      <c r="O1152" t="str">
        <f>_xlfn.XLOOKUP(frasest[[#This Row],[author_es]],autorest[author_es],autorest[age_es])</f>
        <v>Epoca Desconocida</v>
      </c>
      <c r="P1152" t="str">
        <f>_xlfn.XLOOKUP(frasest[[#This Row],[author_es]],autorest[author_es],autorest[age_la])</f>
        <v>Epocha Ignota</v>
      </c>
      <c r="Q1152" t="str">
        <f>_xlfn.XLOOKUP(frasest[[#This Row],[author_es]],autorest[author_es],autorest[image])</f>
        <v>https://i.ibb.co/qLfpZm6h/china.png</v>
      </c>
      <c r="R1152">
        <f>_xlfn.XLOOKUP(frasest[[#This Row],[author_es]],autorest[author_es],autorest[image_atr])</f>
        <v>0</v>
      </c>
    </row>
    <row r="1153" spans="1:18">
      <c r="A1153">
        <v>1152</v>
      </c>
      <c r="B1153" t="s">
        <v>3589</v>
      </c>
      <c r="C1153" t="s">
        <v>3590</v>
      </c>
      <c r="D1153" s="1" t="s">
        <v>3276</v>
      </c>
      <c r="E1153" t="s">
        <v>36</v>
      </c>
      <c r="G1153" t="str">
        <f>_xlfn.XLOOKUP(frasest[[#This Row],[author_es]],autorest[author_es],autorest[author_la])</f>
        <v>Proverbium Sinense</v>
      </c>
      <c r="H1153" t="str">
        <f>_xlfn.XLOOKUP(frasest[[#This Row],[author_es]],autorest[author_es],autorest[bio_es])</f>
        <v>Conjunto de proverbios tradicionales de la cultura china que transmiten sabiduría popular, valores morales y enseñanzas prácticas transmitidas oralmente durante siglos.</v>
      </c>
      <c r="I1153" t="str">
        <f>_xlfn.XLOOKUP(frasest[[#This Row],[author_es]],autorest[author_es],autorest[bio_la])</f>
        <v>Collectio sententiarum Sinensium, magnopere in cultura tradita.</v>
      </c>
      <c r="J1153" t="str">
        <f>_xlfn.XLOOKUP(frasest[[#This Row],[author_es]],autorest[author_es],autorest[iso3691])</f>
        <v>zh</v>
      </c>
      <c r="K1153" t="str">
        <f>_xlfn.XLOOKUP(frasest[[#This Row],[author_es]],autorest[author_es],autorest[language_es])</f>
        <v>Chino</v>
      </c>
      <c r="L1153" t="str">
        <f>_xlfn.XLOOKUP(frasest[[#This Row],[author_es]],autorest[author_es],autorest[language_la])</f>
        <v>Lingua Sinica</v>
      </c>
      <c r="M1153" t="str">
        <f>_xlfn.XLOOKUP(frasest[[#This Row],[author_es]],autorest[author_es],autorest[nation_es])</f>
        <v>China</v>
      </c>
      <c r="N1153" t="str">
        <f>_xlfn.XLOOKUP(frasest[[#This Row],[author_es]],autorest[author_es],autorest[nation_la])</f>
        <v>Sinae</v>
      </c>
      <c r="O1153" t="str">
        <f>_xlfn.XLOOKUP(frasest[[#This Row],[author_es]],autorest[author_es],autorest[age_es])</f>
        <v>Epoca Desconocida</v>
      </c>
      <c r="P1153" t="str">
        <f>_xlfn.XLOOKUP(frasest[[#This Row],[author_es]],autorest[author_es],autorest[age_la])</f>
        <v>Epocha Ignota</v>
      </c>
      <c r="Q1153" t="str">
        <f>_xlfn.XLOOKUP(frasest[[#This Row],[author_es]],autorest[author_es],autorest[image])</f>
        <v>https://i.ibb.co/qLfpZm6h/china.png</v>
      </c>
      <c r="R1153">
        <f>_xlfn.XLOOKUP(frasest[[#This Row],[author_es]],autorest[author_es],autorest[image_atr])</f>
        <v>0</v>
      </c>
    </row>
    <row r="1154" spans="1:18">
      <c r="A1154">
        <v>1153</v>
      </c>
      <c r="B1154" t="s">
        <v>3591</v>
      </c>
      <c r="C1154" t="s">
        <v>3592</v>
      </c>
      <c r="D1154" s="1" t="s">
        <v>3593</v>
      </c>
      <c r="E1154" t="s">
        <v>36</v>
      </c>
      <c r="G1154" t="str">
        <f>_xlfn.XLOOKUP(frasest[[#This Row],[author_es]],autorest[author_es],autorest[author_la])</f>
        <v>Proverbium Sinense</v>
      </c>
      <c r="H1154" t="str">
        <f>_xlfn.XLOOKUP(frasest[[#This Row],[author_es]],autorest[author_es],autorest[bio_es])</f>
        <v>Conjunto de proverbios tradicionales de la cultura china que transmiten sabiduría popular, valores morales y enseñanzas prácticas transmitidas oralmente durante siglos.</v>
      </c>
      <c r="I1154" t="str">
        <f>_xlfn.XLOOKUP(frasest[[#This Row],[author_es]],autorest[author_es],autorest[bio_la])</f>
        <v>Collectio sententiarum Sinensium, magnopere in cultura tradita.</v>
      </c>
      <c r="J1154" t="str">
        <f>_xlfn.XLOOKUP(frasest[[#This Row],[author_es]],autorest[author_es],autorest[iso3691])</f>
        <v>zh</v>
      </c>
      <c r="K1154" t="str">
        <f>_xlfn.XLOOKUP(frasest[[#This Row],[author_es]],autorest[author_es],autorest[language_es])</f>
        <v>Chino</v>
      </c>
      <c r="L1154" t="str">
        <f>_xlfn.XLOOKUP(frasest[[#This Row],[author_es]],autorest[author_es],autorest[language_la])</f>
        <v>Lingua Sinica</v>
      </c>
      <c r="M1154" t="str">
        <f>_xlfn.XLOOKUP(frasest[[#This Row],[author_es]],autorest[author_es],autorest[nation_es])</f>
        <v>China</v>
      </c>
      <c r="N1154" t="str">
        <f>_xlfn.XLOOKUP(frasest[[#This Row],[author_es]],autorest[author_es],autorest[nation_la])</f>
        <v>Sinae</v>
      </c>
      <c r="O1154" t="str">
        <f>_xlfn.XLOOKUP(frasest[[#This Row],[author_es]],autorest[author_es],autorest[age_es])</f>
        <v>Epoca Desconocida</v>
      </c>
      <c r="P1154" t="str">
        <f>_xlfn.XLOOKUP(frasest[[#This Row],[author_es]],autorest[author_es],autorest[age_la])</f>
        <v>Epocha Ignota</v>
      </c>
      <c r="Q1154" t="str">
        <f>_xlfn.XLOOKUP(frasest[[#This Row],[author_es]],autorest[author_es],autorest[image])</f>
        <v>https://i.ibb.co/qLfpZm6h/china.png</v>
      </c>
      <c r="R1154">
        <f>_xlfn.XLOOKUP(frasest[[#This Row],[author_es]],autorest[author_es],autorest[image_atr])</f>
        <v>0</v>
      </c>
    </row>
    <row r="1155" spans="1:18">
      <c r="A1155">
        <v>1154</v>
      </c>
      <c r="B1155" t="s">
        <v>3594</v>
      </c>
      <c r="C1155" t="s">
        <v>3595</v>
      </c>
      <c r="D1155" s="1" t="s">
        <v>3596</v>
      </c>
      <c r="E1155" t="s">
        <v>36</v>
      </c>
      <c r="G1155" t="str">
        <f>_xlfn.XLOOKUP(frasest[[#This Row],[author_es]],autorest[author_es],autorest[author_la])</f>
        <v>Proverbium Sinense</v>
      </c>
      <c r="H1155" t="str">
        <f>_xlfn.XLOOKUP(frasest[[#This Row],[author_es]],autorest[author_es],autorest[bio_es])</f>
        <v>Conjunto de proverbios tradicionales de la cultura china que transmiten sabiduría popular, valores morales y enseñanzas prácticas transmitidas oralmente durante siglos.</v>
      </c>
      <c r="I1155" t="str">
        <f>_xlfn.XLOOKUP(frasest[[#This Row],[author_es]],autorest[author_es],autorest[bio_la])</f>
        <v>Collectio sententiarum Sinensium, magnopere in cultura tradita.</v>
      </c>
      <c r="J1155" t="str">
        <f>_xlfn.XLOOKUP(frasest[[#This Row],[author_es]],autorest[author_es],autorest[iso3691])</f>
        <v>zh</v>
      </c>
      <c r="K1155" t="str">
        <f>_xlfn.XLOOKUP(frasest[[#This Row],[author_es]],autorest[author_es],autorest[language_es])</f>
        <v>Chino</v>
      </c>
      <c r="L1155" t="str">
        <f>_xlfn.XLOOKUP(frasest[[#This Row],[author_es]],autorest[author_es],autorest[language_la])</f>
        <v>Lingua Sinica</v>
      </c>
      <c r="M1155" t="str">
        <f>_xlfn.XLOOKUP(frasest[[#This Row],[author_es]],autorest[author_es],autorest[nation_es])</f>
        <v>China</v>
      </c>
      <c r="N1155" t="str">
        <f>_xlfn.XLOOKUP(frasest[[#This Row],[author_es]],autorest[author_es],autorest[nation_la])</f>
        <v>Sinae</v>
      </c>
      <c r="O1155" t="str">
        <f>_xlfn.XLOOKUP(frasest[[#This Row],[author_es]],autorest[author_es],autorest[age_es])</f>
        <v>Epoca Desconocida</v>
      </c>
      <c r="P1155" t="str">
        <f>_xlfn.XLOOKUP(frasest[[#This Row],[author_es]],autorest[author_es],autorest[age_la])</f>
        <v>Epocha Ignota</v>
      </c>
      <c r="Q1155" t="str">
        <f>_xlfn.XLOOKUP(frasest[[#This Row],[author_es]],autorest[author_es],autorest[image])</f>
        <v>https://i.ibb.co/qLfpZm6h/china.png</v>
      </c>
      <c r="R1155">
        <f>_xlfn.XLOOKUP(frasest[[#This Row],[author_es]],autorest[author_es],autorest[image_atr])</f>
        <v>0</v>
      </c>
    </row>
    <row r="1156" spans="1:18">
      <c r="A1156">
        <v>1155</v>
      </c>
      <c r="B1156" t="s">
        <v>3597</v>
      </c>
      <c r="C1156" t="s">
        <v>3598</v>
      </c>
      <c r="D1156" s="1" t="s">
        <v>3599</v>
      </c>
      <c r="E1156" t="s">
        <v>36</v>
      </c>
      <c r="G1156" t="str">
        <f>_xlfn.XLOOKUP(frasest[[#This Row],[author_es]],autorest[author_es],autorest[author_la])</f>
        <v>Proverbium Sinense</v>
      </c>
      <c r="H1156" t="str">
        <f>_xlfn.XLOOKUP(frasest[[#This Row],[author_es]],autorest[author_es],autorest[bio_es])</f>
        <v>Conjunto de proverbios tradicionales de la cultura china que transmiten sabiduría popular, valores morales y enseñanzas prácticas transmitidas oralmente durante siglos.</v>
      </c>
      <c r="I1156" t="str">
        <f>_xlfn.XLOOKUP(frasest[[#This Row],[author_es]],autorest[author_es],autorest[bio_la])</f>
        <v>Collectio sententiarum Sinensium, magnopere in cultura tradita.</v>
      </c>
      <c r="J1156" t="str">
        <f>_xlfn.XLOOKUP(frasest[[#This Row],[author_es]],autorest[author_es],autorest[iso3691])</f>
        <v>zh</v>
      </c>
      <c r="K1156" t="str">
        <f>_xlfn.XLOOKUP(frasest[[#This Row],[author_es]],autorest[author_es],autorest[language_es])</f>
        <v>Chino</v>
      </c>
      <c r="L1156" t="str">
        <f>_xlfn.XLOOKUP(frasest[[#This Row],[author_es]],autorest[author_es],autorest[language_la])</f>
        <v>Lingua Sinica</v>
      </c>
      <c r="M1156" t="str">
        <f>_xlfn.XLOOKUP(frasest[[#This Row],[author_es]],autorest[author_es],autorest[nation_es])</f>
        <v>China</v>
      </c>
      <c r="N1156" t="str">
        <f>_xlfn.XLOOKUP(frasest[[#This Row],[author_es]],autorest[author_es],autorest[nation_la])</f>
        <v>Sinae</v>
      </c>
      <c r="O1156" t="str">
        <f>_xlfn.XLOOKUP(frasest[[#This Row],[author_es]],autorest[author_es],autorest[age_es])</f>
        <v>Epoca Desconocida</v>
      </c>
      <c r="P1156" t="str">
        <f>_xlfn.XLOOKUP(frasest[[#This Row],[author_es]],autorest[author_es],autorest[age_la])</f>
        <v>Epocha Ignota</v>
      </c>
      <c r="Q1156" t="str">
        <f>_xlfn.XLOOKUP(frasest[[#This Row],[author_es]],autorest[author_es],autorest[image])</f>
        <v>https://i.ibb.co/qLfpZm6h/china.png</v>
      </c>
      <c r="R1156">
        <f>_xlfn.XLOOKUP(frasest[[#This Row],[author_es]],autorest[author_es],autorest[image_atr])</f>
        <v>0</v>
      </c>
    </row>
    <row r="1157" spans="1:18">
      <c r="A1157">
        <v>1156</v>
      </c>
      <c r="B1157" t="s">
        <v>3600</v>
      </c>
      <c r="C1157" t="s">
        <v>3601</v>
      </c>
      <c r="D1157" s="1" t="s">
        <v>3602</v>
      </c>
      <c r="E1157" t="s">
        <v>36</v>
      </c>
      <c r="G1157" t="str">
        <f>_xlfn.XLOOKUP(frasest[[#This Row],[author_es]],autorest[author_es],autorest[author_la])</f>
        <v>Proverbium Sinense</v>
      </c>
      <c r="H1157" t="str">
        <f>_xlfn.XLOOKUP(frasest[[#This Row],[author_es]],autorest[author_es],autorest[bio_es])</f>
        <v>Conjunto de proverbios tradicionales de la cultura china que transmiten sabiduría popular, valores morales y enseñanzas prácticas transmitidas oralmente durante siglos.</v>
      </c>
      <c r="I1157" t="str">
        <f>_xlfn.XLOOKUP(frasest[[#This Row],[author_es]],autorest[author_es],autorest[bio_la])</f>
        <v>Collectio sententiarum Sinensium, magnopere in cultura tradita.</v>
      </c>
      <c r="J1157" t="str">
        <f>_xlfn.XLOOKUP(frasest[[#This Row],[author_es]],autorest[author_es],autorest[iso3691])</f>
        <v>zh</v>
      </c>
      <c r="K1157" t="str">
        <f>_xlfn.XLOOKUP(frasest[[#This Row],[author_es]],autorest[author_es],autorest[language_es])</f>
        <v>Chino</v>
      </c>
      <c r="L1157" t="str">
        <f>_xlfn.XLOOKUP(frasest[[#This Row],[author_es]],autorest[author_es],autorest[language_la])</f>
        <v>Lingua Sinica</v>
      </c>
      <c r="M1157" t="str">
        <f>_xlfn.XLOOKUP(frasest[[#This Row],[author_es]],autorest[author_es],autorest[nation_es])</f>
        <v>China</v>
      </c>
      <c r="N1157" t="str">
        <f>_xlfn.XLOOKUP(frasest[[#This Row],[author_es]],autorest[author_es],autorest[nation_la])</f>
        <v>Sinae</v>
      </c>
      <c r="O1157" t="str">
        <f>_xlfn.XLOOKUP(frasest[[#This Row],[author_es]],autorest[author_es],autorest[age_es])</f>
        <v>Epoca Desconocida</v>
      </c>
      <c r="P1157" t="str">
        <f>_xlfn.XLOOKUP(frasest[[#This Row],[author_es]],autorest[author_es],autorest[age_la])</f>
        <v>Epocha Ignota</v>
      </c>
      <c r="Q1157" t="str">
        <f>_xlfn.XLOOKUP(frasest[[#This Row],[author_es]],autorest[author_es],autorest[image])</f>
        <v>https://i.ibb.co/qLfpZm6h/china.png</v>
      </c>
      <c r="R1157">
        <f>_xlfn.XLOOKUP(frasest[[#This Row],[author_es]],autorest[author_es],autorest[image_atr])</f>
        <v>0</v>
      </c>
    </row>
    <row r="1158" spans="1:18">
      <c r="A1158">
        <v>1157</v>
      </c>
      <c r="B1158" t="s">
        <v>3603</v>
      </c>
      <c r="C1158" t="s">
        <v>3604</v>
      </c>
      <c r="D1158" s="1" t="s">
        <v>3605</v>
      </c>
      <c r="E1158" t="s">
        <v>36</v>
      </c>
      <c r="G1158" t="str">
        <f>_xlfn.XLOOKUP(frasest[[#This Row],[author_es]],autorest[author_es],autorest[author_la])</f>
        <v>Proverbium Sinense</v>
      </c>
      <c r="H1158" t="str">
        <f>_xlfn.XLOOKUP(frasest[[#This Row],[author_es]],autorest[author_es],autorest[bio_es])</f>
        <v>Conjunto de proverbios tradicionales de la cultura china que transmiten sabiduría popular, valores morales y enseñanzas prácticas transmitidas oralmente durante siglos.</v>
      </c>
      <c r="I1158" t="str">
        <f>_xlfn.XLOOKUP(frasest[[#This Row],[author_es]],autorest[author_es],autorest[bio_la])</f>
        <v>Collectio sententiarum Sinensium, magnopere in cultura tradita.</v>
      </c>
      <c r="J1158" t="str">
        <f>_xlfn.XLOOKUP(frasest[[#This Row],[author_es]],autorest[author_es],autorest[iso3691])</f>
        <v>zh</v>
      </c>
      <c r="K1158" t="str">
        <f>_xlfn.XLOOKUP(frasest[[#This Row],[author_es]],autorest[author_es],autorest[language_es])</f>
        <v>Chino</v>
      </c>
      <c r="L1158" t="str">
        <f>_xlfn.XLOOKUP(frasest[[#This Row],[author_es]],autorest[author_es],autorest[language_la])</f>
        <v>Lingua Sinica</v>
      </c>
      <c r="M1158" t="str">
        <f>_xlfn.XLOOKUP(frasest[[#This Row],[author_es]],autorest[author_es],autorest[nation_es])</f>
        <v>China</v>
      </c>
      <c r="N1158" t="str">
        <f>_xlfn.XLOOKUP(frasest[[#This Row],[author_es]],autorest[author_es],autorest[nation_la])</f>
        <v>Sinae</v>
      </c>
      <c r="O1158" t="str">
        <f>_xlfn.XLOOKUP(frasest[[#This Row],[author_es]],autorest[author_es],autorest[age_es])</f>
        <v>Epoca Desconocida</v>
      </c>
      <c r="P1158" t="str">
        <f>_xlfn.XLOOKUP(frasest[[#This Row],[author_es]],autorest[author_es],autorest[age_la])</f>
        <v>Epocha Ignota</v>
      </c>
      <c r="Q1158" t="str">
        <f>_xlfn.XLOOKUP(frasest[[#This Row],[author_es]],autorest[author_es],autorest[image])</f>
        <v>https://i.ibb.co/qLfpZm6h/china.png</v>
      </c>
      <c r="R1158">
        <f>_xlfn.XLOOKUP(frasest[[#This Row],[author_es]],autorest[author_es],autorest[image_atr])</f>
        <v>0</v>
      </c>
    </row>
    <row r="1159" spans="1:18">
      <c r="A1159">
        <v>1158</v>
      </c>
      <c r="B1159" t="s">
        <v>3606</v>
      </c>
      <c r="C1159" t="s">
        <v>3607</v>
      </c>
      <c r="D1159" s="1" t="s">
        <v>3608</v>
      </c>
      <c r="E1159" t="s">
        <v>36</v>
      </c>
      <c r="G1159" t="str">
        <f>_xlfn.XLOOKUP(frasest[[#This Row],[author_es]],autorest[author_es],autorest[author_la])</f>
        <v>Proverbium Sinense</v>
      </c>
      <c r="H1159" t="str">
        <f>_xlfn.XLOOKUP(frasest[[#This Row],[author_es]],autorest[author_es],autorest[bio_es])</f>
        <v>Conjunto de proverbios tradicionales de la cultura china que transmiten sabiduría popular, valores morales y enseñanzas prácticas transmitidas oralmente durante siglos.</v>
      </c>
      <c r="I1159" t="str">
        <f>_xlfn.XLOOKUP(frasest[[#This Row],[author_es]],autorest[author_es],autorest[bio_la])</f>
        <v>Collectio sententiarum Sinensium, magnopere in cultura tradita.</v>
      </c>
      <c r="J1159" t="str">
        <f>_xlfn.XLOOKUP(frasest[[#This Row],[author_es]],autorest[author_es],autorest[iso3691])</f>
        <v>zh</v>
      </c>
      <c r="K1159" t="str">
        <f>_xlfn.XLOOKUP(frasest[[#This Row],[author_es]],autorest[author_es],autorest[language_es])</f>
        <v>Chino</v>
      </c>
      <c r="L1159" t="str">
        <f>_xlfn.XLOOKUP(frasest[[#This Row],[author_es]],autorest[author_es],autorest[language_la])</f>
        <v>Lingua Sinica</v>
      </c>
      <c r="M1159" t="str">
        <f>_xlfn.XLOOKUP(frasest[[#This Row],[author_es]],autorest[author_es],autorest[nation_es])</f>
        <v>China</v>
      </c>
      <c r="N1159" t="str">
        <f>_xlfn.XLOOKUP(frasest[[#This Row],[author_es]],autorest[author_es],autorest[nation_la])</f>
        <v>Sinae</v>
      </c>
      <c r="O1159" t="str">
        <f>_xlfn.XLOOKUP(frasest[[#This Row],[author_es]],autorest[author_es],autorest[age_es])</f>
        <v>Epoca Desconocida</v>
      </c>
      <c r="P1159" t="str">
        <f>_xlfn.XLOOKUP(frasest[[#This Row],[author_es]],autorest[author_es],autorest[age_la])</f>
        <v>Epocha Ignota</v>
      </c>
      <c r="Q1159" t="str">
        <f>_xlfn.XLOOKUP(frasest[[#This Row],[author_es]],autorest[author_es],autorest[image])</f>
        <v>https://i.ibb.co/qLfpZm6h/china.png</v>
      </c>
      <c r="R1159">
        <f>_xlfn.XLOOKUP(frasest[[#This Row],[author_es]],autorest[author_es],autorest[image_atr])</f>
        <v>0</v>
      </c>
    </row>
    <row r="1160" spans="1:18">
      <c r="A1160">
        <v>1159</v>
      </c>
      <c r="B1160" t="s">
        <v>3609</v>
      </c>
      <c r="C1160" t="s">
        <v>3610</v>
      </c>
      <c r="D1160" s="1" t="s">
        <v>3611</v>
      </c>
      <c r="E1160" t="s">
        <v>36</v>
      </c>
      <c r="G1160" t="str">
        <f>_xlfn.XLOOKUP(frasest[[#This Row],[author_es]],autorest[author_es],autorest[author_la])</f>
        <v>Proverbium Sinense</v>
      </c>
      <c r="H1160" t="str">
        <f>_xlfn.XLOOKUP(frasest[[#This Row],[author_es]],autorest[author_es],autorest[bio_es])</f>
        <v>Conjunto de proverbios tradicionales de la cultura china que transmiten sabiduría popular, valores morales y enseñanzas prácticas transmitidas oralmente durante siglos.</v>
      </c>
      <c r="I1160" t="str">
        <f>_xlfn.XLOOKUP(frasest[[#This Row],[author_es]],autorest[author_es],autorest[bio_la])</f>
        <v>Collectio sententiarum Sinensium, magnopere in cultura tradita.</v>
      </c>
      <c r="J1160" t="str">
        <f>_xlfn.XLOOKUP(frasest[[#This Row],[author_es]],autorest[author_es],autorest[iso3691])</f>
        <v>zh</v>
      </c>
      <c r="K1160" t="str">
        <f>_xlfn.XLOOKUP(frasest[[#This Row],[author_es]],autorest[author_es],autorest[language_es])</f>
        <v>Chino</v>
      </c>
      <c r="L1160" t="str">
        <f>_xlfn.XLOOKUP(frasest[[#This Row],[author_es]],autorest[author_es],autorest[language_la])</f>
        <v>Lingua Sinica</v>
      </c>
      <c r="M1160" t="str">
        <f>_xlfn.XLOOKUP(frasest[[#This Row],[author_es]],autorest[author_es],autorest[nation_es])</f>
        <v>China</v>
      </c>
      <c r="N1160" t="str">
        <f>_xlfn.XLOOKUP(frasest[[#This Row],[author_es]],autorest[author_es],autorest[nation_la])</f>
        <v>Sinae</v>
      </c>
      <c r="O1160" t="str">
        <f>_xlfn.XLOOKUP(frasest[[#This Row],[author_es]],autorest[author_es],autorest[age_es])</f>
        <v>Epoca Desconocida</v>
      </c>
      <c r="P1160" t="str">
        <f>_xlfn.XLOOKUP(frasest[[#This Row],[author_es]],autorest[author_es],autorest[age_la])</f>
        <v>Epocha Ignota</v>
      </c>
      <c r="Q1160" t="str">
        <f>_xlfn.XLOOKUP(frasest[[#This Row],[author_es]],autorest[author_es],autorest[image])</f>
        <v>https://i.ibb.co/qLfpZm6h/china.png</v>
      </c>
      <c r="R1160">
        <f>_xlfn.XLOOKUP(frasest[[#This Row],[author_es]],autorest[author_es],autorest[image_atr])</f>
        <v>0</v>
      </c>
    </row>
    <row r="1161" spans="1:18">
      <c r="A1161">
        <v>1160</v>
      </c>
      <c r="B1161" t="s">
        <v>3612</v>
      </c>
      <c r="C1161" t="s">
        <v>3613</v>
      </c>
      <c r="D1161" s="1" t="s">
        <v>3614</v>
      </c>
      <c r="E1161" t="s">
        <v>36</v>
      </c>
      <c r="G1161" t="str">
        <f>_xlfn.XLOOKUP(frasest[[#This Row],[author_es]],autorest[author_es],autorest[author_la])</f>
        <v>Proverbium Sinense</v>
      </c>
      <c r="H1161" t="str">
        <f>_xlfn.XLOOKUP(frasest[[#This Row],[author_es]],autorest[author_es],autorest[bio_es])</f>
        <v>Conjunto de proverbios tradicionales de la cultura china que transmiten sabiduría popular, valores morales y enseñanzas prácticas transmitidas oralmente durante siglos.</v>
      </c>
      <c r="I1161" t="str">
        <f>_xlfn.XLOOKUP(frasest[[#This Row],[author_es]],autorest[author_es],autorest[bio_la])</f>
        <v>Collectio sententiarum Sinensium, magnopere in cultura tradita.</v>
      </c>
      <c r="J1161" t="str">
        <f>_xlfn.XLOOKUP(frasest[[#This Row],[author_es]],autorest[author_es],autorest[iso3691])</f>
        <v>zh</v>
      </c>
      <c r="K1161" t="str">
        <f>_xlfn.XLOOKUP(frasest[[#This Row],[author_es]],autorest[author_es],autorest[language_es])</f>
        <v>Chino</v>
      </c>
      <c r="L1161" t="str">
        <f>_xlfn.XLOOKUP(frasest[[#This Row],[author_es]],autorest[author_es],autorest[language_la])</f>
        <v>Lingua Sinica</v>
      </c>
      <c r="M1161" t="str">
        <f>_xlfn.XLOOKUP(frasest[[#This Row],[author_es]],autorest[author_es],autorest[nation_es])</f>
        <v>China</v>
      </c>
      <c r="N1161" t="str">
        <f>_xlfn.XLOOKUP(frasest[[#This Row],[author_es]],autorest[author_es],autorest[nation_la])</f>
        <v>Sinae</v>
      </c>
      <c r="O1161" t="str">
        <f>_xlfn.XLOOKUP(frasest[[#This Row],[author_es]],autorest[author_es],autorest[age_es])</f>
        <v>Epoca Desconocida</v>
      </c>
      <c r="P1161" t="str">
        <f>_xlfn.XLOOKUP(frasest[[#This Row],[author_es]],autorest[author_es],autorest[age_la])</f>
        <v>Epocha Ignota</v>
      </c>
      <c r="Q1161" t="str">
        <f>_xlfn.XLOOKUP(frasest[[#This Row],[author_es]],autorest[author_es],autorest[image])</f>
        <v>https://i.ibb.co/qLfpZm6h/china.png</v>
      </c>
      <c r="R1161">
        <f>_xlfn.XLOOKUP(frasest[[#This Row],[author_es]],autorest[author_es],autorest[image_atr])</f>
        <v>0</v>
      </c>
    </row>
    <row r="1162" spans="1:18">
      <c r="A1162">
        <v>1161</v>
      </c>
      <c r="B1162" t="s">
        <v>3615</v>
      </c>
      <c r="C1162" t="s">
        <v>3616</v>
      </c>
      <c r="D1162" s="1" t="s">
        <v>3617</v>
      </c>
      <c r="E1162" t="s">
        <v>36</v>
      </c>
      <c r="G1162" t="str">
        <f>_xlfn.XLOOKUP(frasest[[#This Row],[author_es]],autorest[author_es],autorest[author_la])</f>
        <v>Proverbium Sinense</v>
      </c>
      <c r="H1162" t="str">
        <f>_xlfn.XLOOKUP(frasest[[#This Row],[author_es]],autorest[author_es],autorest[bio_es])</f>
        <v>Conjunto de proverbios tradicionales de la cultura china que transmiten sabiduría popular, valores morales y enseñanzas prácticas transmitidas oralmente durante siglos.</v>
      </c>
      <c r="I1162" t="str">
        <f>_xlfn.XLOOKUP(frasest[[#This Row],[author_es]],autorest[author_es],autorest[bio_la])</f>
        <v>Collectio sententiarum Sinensium, magnopere in cultura tradita.</v>
      </c>
      <c r="J1162" t="str">
        <f>_xlfn.XLOOKUP(frasest[[#This Row],[author_es]],autorest[author_es],autorest[iso3691])</f>
        <v>zh</v>
      </c>
      <c r="K1162" t="str">
        <f>_xlfn.XLOOKUP(frasest[[#This Row],[author_es]],autorest[author_es],autorest[language_es])</f>
        <v>Chino</v>
      </c>
      <c r="L1162" t="str">
        <f>_xlfn.XLOOKUP(frasest[[#This Row],[author_es]],autorest[author_es],autorest[language_la])</f>
        <v>Lingua Sinica</v>
      </c>
      <c r="M1162" t="str">
        <f>_xlfn.XLOOKUP(frasest[[#This Row],[author_es]],autorest[author_es],autorest[nation_es])</f>
        <v>China</v>
      </c>
      <c r="N1162" t="str">
        <f>_xlfn.XLOOKUP(frasest[[#This Row],[author_es]],autorest[author_es],autorest[nation_la])</f>
        <v>Sinae</v>
      </c>
      <c r="O1162" t="str">
        <f>_xlfn.XLOOKUP(frasest[[#This Row],[author_es]],autorest[author_es],autorest[age_es])</f>
        <v>Epoca Desconocida</v>
      </c>
      <c r="P1162" t="str">
        <f>_xlfn.XLOOKUP(frasest[[#This Row],[author_es]],autorest[author_es],autorest[age_la])</f>
        <v>Epocha Ignota</v>
      </c>
      <c r="Q1162" t="str">
        <f>_xlfn.XLOOKUP(frasest[[#This Row],[author_es]],autorest[author_es],autorest[image])</f>
        <v>https://i.ibb.co/qLfpZm6h/china.png</v>
      </c>
      <c r="R1162">
        <f>_xlfn.XLOOKUP(frasest[[#This Row],[author_es]],autorest[author_es],autorest[image_atr])</f>
        <v>0</v>
      </c>
    </row>
    <row r="1163" spans="1:18">
      <c r="A1163">
        <v>1162</v>
      </c>
      <c r="B1163" t="s">
        <v>3618</v>
      </c>
      <c r="C1163" t="s">
        <v>3619</v>
      </c>
      <c r="D1163" s="1" t="s">
        <v>3620</v>
      </c>
      <c r="E1163" t="s">
        <v>36</v>
      </c>
      <c r="G1163" t="str">
        <f>_xlfn.XLOOKUP(frasest[[#This Row],[author_es]],autorest[author_es],autorest[author_la])</f>
        <v>Proverbium Sinense</v>
      </c>
      <c r="H1163" t="str">
        <f>_xlfn.XLOOKUP(frasest[[#This Row],[author_es]],autorest[author_es],autorest[bio_es])</f>
        <v>Conjunto de proverbios tradicionales de la cultura china que transmiten sabiduría popular, valores morales y enseñanzas prácticas transmitidas oralmente durante siglos.</v>
      </c>
      <c r="I1163" t="str">
        <f>_xlfn.XLOOKUP(frasest[[#This Row],[author_es]],autorest[author_es],autorest[bio_la])</f>
        <v>Collectio sententiarum Sinensium, magnopere in cultura tradita.</v>
      </c>
      <c r="J1163" t="str">
        <f>_xlfn.XLOOKUP(frasest[[#This Row],[author_es]],autorest[author_es],autorest[iso3691])</f>
        <v>zh</v>
      </c>
      <c r="K1163" t="str">
        <f>_xlfn.XLOOKUP(frasest[[#This Row],[author_es]],autorest[author_es],autorest[language_es])</f>
        <v>Chino</v>
      </c>
      <c r="L1163" t="str">
        <f>_xlfn.XLOOKUP(frasest[[#This Row],[author_es]],autorest[author_es],autorest[language_la])</f>
        <v>Lingua Sinica</v>
      </c>
      <c r="M1163" t="str">
        <f>_xlfn.XLOOKUP(frasest[[#This Row],[author_es]],autorest[author_es],autorest[nation_es])</f>
        <v>China</v>
      </c>
      <c r="N1163" t="str">
        <f>_xlfn.XLOOKUP(frasest[[#This Row],[author_es]],autorest[author_es],autorest[nation_la])</f>
        <v>Sinae</v>
      </c>
      <c r="O1163" t="str">
        <f>_xlfn.XLOOKUP(frasest[[#This Row],[author_es]],autorest[author_es],autorest[age_es])</f>
        <v>Epoca Desconocida</v>
      </c>
      <c r="P1163" t="str">
        <f>_xlfn.XLOOKUP(frasest[[#This Row],[author_es]],autorest[author_es],autorest[age_la])</f>
        <v>Epocha Ignota</v>
      </c>
      <c r="Q1163" t="str">
        <f>_xlfn.XLOOKUP(frasest[[#This Row],[author_es]],autorest[author_es],autorest[image])</f>
        <v>https://i.ibb.co/qLfpZm6h/china.png</v>
      </c>
      <c r="R1163">
        <f>_xlfn.XLOOKUP(frasest[[#This Row],[author_es]],autorest[author_es],autorest[image_atr])</f>
        <v>0</v>
      </c>
    </row>
    <row r="1164" spans="1:18">
      <c r="A1164">
        <v>1163</v>
      </c>
      <c r="B1164" t="s">
        <v>3621</v>
      </c>
      <c r="C1164" t="s">
        <v>3622</v>
      </c>
      <c r="D1164" s="1" t="s">
        <v>3623</v>
      </c>
      <c r="E1164" t="s">
        <v>36</v>
      </c>
      <c r="G1164" t="str">
        <f>_xlfn.XLOOKUP(frasest[[#This Row],[author_es]],autorest[author_es],autorest[author_la])</f>
        <v>Proverbium Sinense</v>
      </c>
      <c r="H1164" t="str">
        <f>_xlfn.XLOOKUP(frasest[[#This Row],[author_es]],autorest[author_es],autorest[bio_es])</f>
        <v>Conjunto de proverbios tradicionales de la cultura china que transmiten sabiduría popular, valores morales y enseñanzas prácticas transmitidas oralmente durante siglos.</v>
      </c>
      <c r="I1164" t="str">
        <f>_xlfn.XLOOKUP(frasest[[#This Row],[author_es]],autorest[author_es],autorest[bio_la])</f>
        <v>Collectio sententiarum Sinensium, magnopere in cultura tradita.</v>
      </c>
      <c r="J1164" t="str">
        <f>_xlfn.XLOOKUP(frasest[[#This Row],[author_es]],autorest[author_es],autorest[iso3691])</f>
        <v>zh</v>
      </c>
      <c r="K1164" t="str">
        <f>_xlfn.XLOOKUP(frasest[[#This Row],[author_es]],autorest[author_es],autorest[language_es])</f>
        <v>Chino</v>
      </c>
      <c r="L1164" t="str">
        <f>_xlfn.XLOOKUP(frasest[[#This Row],[author_es]],autorest[author_es],autorest[language_la])</f>
        <v>Lingua Sinica</v>
      </c>
      <c r="M1164" t="str">
        <f>_xlfn.XLOOKUP(frasest[[#This Row],[author_es]],autorest[author_es],autorest[nation_es])</f>
        <v>China</v>
      </c>
      <c r="N1164" t="str">
        <f>_xlfn.XLOOKUP(frasest[[#This Row],[author_es]],autorest[author_es],autorest[nation_la])</f>
        <v>Sinae</v>
      </c>
      <c r="O1164" t="str">
        <f>_xlfn.XLOOKUP(frasest[[#This Row],[author_es]],autorest[author_es],autorest[age_es])</f>
        <v>Epoca Desconocida</v>
      </c>
      <c r="P1164" t="str">
        <f>_xlfn.XLOOKUP(frasest[[#This Row],[author_es]],autorest[author_es],autorest[age_la])</f>
        <v>Epocha Ignota</v>
      </c>
      <c r="Q1164" t="str">
        <f>_xlfn.XLOOKUP(frasest[[#This Row],[author_es]],autorest[author_es],autorest[image])</f>
        <v>https://i.ibb.co/qLfpZm6h/china.png</v>
      </c>
      <c r="R1164">
        <f>_xlfn.XLOOKUP(frasest[[#This Row],[author_es]],autorest[author_es],autorest[image_atr])</f>
        <v>0</v>
      </c>
    </row>
    <row r="1165" spans="1:18">
      <c r="A1165">
        <v>1164</v>
      </c>
      <c r="B1165" t="s">
        <v>3624</v>
      </c>
      <c r="C1165" t="s">
        <v>3625</v>
      </c>
      <c r="D1165" s="1" t="s">
        <v>3626</v>
      </c>
      <c r="E1165" t="s">
        <v>36</v>
      </c>
      <c r="G1165" t="str">
        <f>_xlfn.XLOOKUP(frasest[[#This Row],[author_es]],autorest[author_es],autorest[author_la])</f>
        <v>Proverbium Sinense</v>
      </c>
      <c r="H1165" t="str">
        <f>_xlfn.XLOOKUP(frasest[[#This Row],[author_es]],autorest[author_es],autorest[bio_es])</f>
        <v>Conjunto de proverbios tradicionales de la cultura china que transmiten sabiduría popular, valores morales y enseñanzas prácticas transmitidas oralmente durante siglos.</v>
      </c>
      <c r="I1165" t="str">
        <f>_xlfn.XLOOKUP(frasest[[#This Row],[author_es]],autorest[author_es],autorest[bio_la])</f>
        <v>Collectio sententiarum Sinensium, magnopere in cultura tradita.</v>
      </c>
      <c r="J1165" t="str">
        <f>_xlfn.XLOOKUP(frasest[[#This Row],[author_es]],autorest[author_es],autorest[iso3691])</f>
        <v>zh</v>
      </c>
      <c r="K1165" t="str">
        <f>_xlfn.XLOOKUP(frasest[[#This Row],[author_es]],autorest[author_es],autorest[language_es])</f>
        <v>Chino</v>
      </c>
      <c r="L1165" t="str">
        <f>_xlfn.XLOOKUP(frasest[[#This Row],[author_es]],autorest[author_es],autorest[language_la])</f>
        <v>Lingua Sinica</v>
      </c>
      <c r="M1165" t="str">
        <f>_xlfn.XLOOKUP(frasest[[#This Row],[author_es]],autorest[author_es],autorest[nation_es])</f>
        <v>China</v>
      </c>
      <c r="N1165" t="str">
        <f>_xlfn.XLOOKUP(frasest[[#This Row],[author_es]],autorest[author_es],autorest[nation_la])</f>
        <v>Sinae</v>
      </c>
      <c r="O1165" t="str">
        <f>_xlfn.XLOOKUP(frasest[[#This Row],[author_es]],autorest[author_es],autorest[age_es])</f>
        <v>Epoca Desconocida</v>
      </c>
      <c r="P1165" t="str">
        <f>_xlfn.XLOOKUP(frasest[[#This Row],[author_es]],autorest[author_es],autorest[age_la])</f>
        <v>Epocha Ignota</v>
      </c>
      <c r="Q1165" t="str">
        <f>_xlfn.XLOOKUP(frasest[[#This Row],[author_es]],autorest[author_es],autorest[image])</f>
        <v>https://i.ibb.co/qLfpZm6h/china.png</v>
      </c>
      <c r="R1165">
        <f>_xlfn.XLOOKUP(frasest[[#This Row],[author_es]],autorest[author_es],autorest[image_atr])</f>
        <v>0</v>
      </c>
    </row>
    <row r="1166" spans="1:18">
      <c r="A1166">
        <v>1165</v>
      </c>
      <c r="B1166" t="s">
        <v>3627</v>
      </c>
      <c r="C1166" t="s">
        <v>3628</v>
      </c>
      <c r="D1166" s="1" t="s">
        <v>3629</v>
      </c>
      <c r="E1166" t="s">
        <v>36</v>
      </c>
      <c r="G1166" t="str">
        <f>_xlfn.XLOOKUP(frasest[[#This Row],[author_es]],autorest[author_es],autorest[author_la])</f>
        <v>Proverbium Sinense</v>
      </c>
      <c r="H1166" t="str">
        <f>_xlfn.XLOOKUP(frasest[[#This Row],[author_es]],autorest[author_es],autorest[bio_es])</f>
        <v>Conjunto de proverbios tradicionales de la cultura china que transmiten sabiduría popular, valores morales y enseñanzas prácticas transmitidas oralmente durante siglos.</v>
      </c>
      <c r="I1166" t="str">
        <f>_xlfn.XLOOKUP(frasest[[#This Row],[author_es]],autorest[author_es],autorest[bio_la])</f>
        <v>Collectio sententiarum Sinensium, magnopere in cultura tradita.</v>
      </c>
      <c r="J1166" t="str">
        <f>_xlfn.XLOOKUP(frasest[[#This Row],[author_es]],autorest[author_es],autorest[iso3691])</f>
        <v>zh</v>
      </c>
      <c r="K1166" t="str">
        <f>_xlfn.XLOOKUP(frasest[[#This Row],[author_es]],autorest[author_es],autorest[language_es])</f>
        <v>Chino</v>
      </c>
      <c r="L1166" t="str">
        <f>_xlfn.XLOOKUP(frasest[[#This Row],[author_es]],autorest[author_es],autorest[language_la])</f>
        <v>Lingua Sinica</v>
      </c>
      <c r="M1166" t="str">
        <f>_xlfn.XLOOKUP(frasest[[#This Row],[author_es]],autorest[author_es],autorest[nation_es])</f>
        <v>China</v>
      </c>
      <c r="N1166" t="str">
        <f>_xlfn.XLOOKUP(frasest[[#This Row],[author_es]],autorest[author_es],autorest[nation_la])</f>
        <v>Sinae</v>
      </c>
      <c r="O1166" t="str">
        <f>_xlfn.XLOOKUP(frasest[[#This Row],[author_es]],autorest[author_es],autorest[age_es])</f>
        <v>Epoca Desconocida</v>
      </c>
      <c r="P1166" t="str">
        <f>_xlfn.XLOOKUP(frasest[[#This Row],[author_es]],autorest[author_es],autorest[age_la])</f>
        <v>Epocha Ignota</v>
      </c>
      <c r="Q1166" t="str">
        <f>_xlfn.XLOOKUP(frasest[[#This Row],[author_es]],autorest[author_es],autorest[image])</f>
        <v>https://i.ibb.co/qLfpZm6h/china.png</v>
      </c>
      <c r="R1166">
        <f>_xlfn.XLOOKUP(frasest[[#This Row],[author_es]],autorest[author_es],autorest[image_atr])</f>
        <v>0</v>
      </c>
    </row>
    <row r="1167" spans="1:18">
      <c r="A1167">
        <v>1166</v>
      </c>
      <c r="B1167" t="s">
        <v>3630</v>
      </c>
      <c r="C1167" t="s">
        <v>3631</v>
      </c>
      <c r="D1167" s="1" t="s">
        <v>3632</v>
      </c>
      <c r="E1167" t="s">
        <v>36</v>
      </c>
      <c r="G1167" t="str">
        <f>_xlfn.XLOOKUP(frasest[[#This Row],[author_es]],autorest[author_es],autorest[author_la])</f>
        <v>Proverbium Sinense</v>
      </c>
      <c r="H1167" t="str">
        <f>_xlfn.XLOOKUP(frasest[[#This Row],[author_es]],autorest[author_es],autorest[bio_es])</f>
        <v>Conjunto de proverbios tradicionales de la cultura china que transmiten sabiduría popular, valores morales y enseñanzas prácticas transmitidas oralmente durante siglos.</v>
      </c>
      <c r="I1167" t="str">
        <f>_xlfn.XLOOKUP(frasest[[#This Row],[author_es]],autorest[author_es],autorest[bio_la])</f>
        <v>Collectio sententiarum Sinensium, magnopere in cultura tradita.</v>
      </c>
      <c r="J1167" t="str">
        <f>_xlfn.XLOOKUP(frasest[[#This Row],[author_es]],autorest[author_es],autorest[iso3691])</f>
        <v>zh</v>
      </c>
      <c r="K1167" t="str">
        <f>_xlfn.XLOOKUP(frasest[[#This Row],[author_es]],autorest[author_es],autorest[language_es])</f>
        <v>Chino</v>
      </c>
      <c r="L1167" t="str">
        <f>_xlfn.XLOOKUP(frasest[[#This Row],[author_es]],autorest[author_es],autorest[language_la])</f>
        <v>Lingua Sinica</v>
      </c>
      <c r="M1167" t="str">
        <f>_xlfn.XLOOKUP(frasest[[#This Row],[author_es]],autorest[author_es],autorest[nation_es])</f>
        <v>China</v>
      </c>
      <c r="N1167" t="str">
        <f>_xlfn.XLOOKUP(frasest[[#This Row],[author_es]],autorest[author_es],autorest[nation_la])</f>
        <v>Sinae</v>
      </c>
      <c r="O1167" t="str">
        <f>_xlfn.XLOOKUP(frasest[[#This Row],[author_es]],autorest[author_es],autorest[age_es])</f>
        <v>Epoca Desconocida</v>
      </c>
      <c r="P1167" t="str">
        <f>_xlfn.XLOOKUP(frasest[[#This Row],[author_es]],autorest[author_es],autorest[age_la])</f>
        <v>Epocha Ignota</v>
      </c>
      <c r="Q1167" t="str">
        <f>_xlfn.XLOOKUP(frasest[[#This Row],[author_es]],autorest[author_es],autorest[image])</f>
        <v>https://i.ibb.co/qLfpZm6h/china.png</v>
      </c>
      <c r="R1167">
        <f>_xlfn.XLOOKUP(frasest[[#This Row],[author_es]],autorest[author_es],autorest[image_atr])</f>
        <v>0</v>
      </c>
    </row>
    <row r="1168" spans="1:18">
      <c r="A1168">
        <v>1167</v>
      </c>
      <c r="B1168" t="s">
        <v>3633</v>
      </c>
      <c r="C1168" t="s">
        <v>3634</v>
      </c>
      <c r="D1168" s="1" t="s">
        <v>3635</v>
      </c>
      <c r="E1168" t="s">
        <v>36</v>
      </c>
      <c r="G1168" t="str">
        <f>_xlfn.XLOOKUP(frasest[[#This Row],[author_es]],autorest[author_es],autorest[author_la])</f>
        <v>Proverbium Sinense</v>
      </c>
      <c r="H1168" t="str">
        <f>_xlfn.XLOOKUP(frasest[[#This Row],[author_es]],autorest[author_es],autorest[bio_es])</f>
        <v>Conjunto de proverbios tradicionales de la cultura china que transmiten sabiduría popular, valores morales y enseñanzas prácticas transmitidas oralmente durante siglos.</v>
      </c>
      <c r="I1168" t="str">
        <f>_xlfn.XLOOKUP(frasest[[#This Row],[author_es]],autorest[author_es],autorest[bio_la])</f>
        <v>Collectio sententiarum Sinensium, magnopere in cultura tradita.</v>
      </c>
      <c r="J1168" t="str">
        <f>_xlfn.XLOOKUP(frasest[[#This Row],[author_es]],autorest[author_es],autorest[iso3691])</f>
        <v>zh</v>
      </c>
      <c r="K1168" t="str">
        <f>_xlfn.XLOOKUP(frasest[[#This Row],[author_es]],autorest[author_es],autorest[language_es])</f>
        <v>Chino</v>
      </c>
      <c r="L1168" t="str">
        <f>_xlfn.XLOOKUP(frasest[[#This Row],[author_es]],autorest[author_es],autorest[language_la])</f>
        <v>Lingua Sinica</v>
      </c>
      <c r="M1168" t="str">
        <f>_xlfn.XLOOKUP(frasest[[#This Row],[author_es]],autorest[author_es],autorest[nation_es])</f>
        <v>China</v>
      </c>
      <c r="N1168" t="str">
        <f>_xlfn.XLOOKUP(frasest[[#This Row],[author_es]],autorest[author_es],autorest[nation_la])</f>
        <v>Sinae</v>
      </c>
      <c r="O1168" t="str">
        <f>_xlfn.XLOOKUP(frasest[[#This Row],[author_es]],autorest[author_es],autorest[age_es])</f>
        <v>Epoca Desconocida</v>
      </c>
      <c r="P1168" t="str">
        <f>_xlfn.XLOOKUP(frasest[[#This Row],[author_es]],autorest[author_es],autorest[age_la])</f>
        <v>Epocha Ignota</v>
      </c>
      <c r="Q1168" t="str">
        <f>_xlfn.XLOOKUP(frasest[[#This Row],[author_es]],autorest[author_es],autorest[image])</f>
        <v>https://i.ibb.co/qLfpZm6h/china.png</v>
      </c>
      <c r="R1168">
        <f>_xlfn.XLOOKUP(frasest[[#This Row],[author_es]],autorest[author_es],autorest[image_atr])</f>
        <v>0</v>
      </c>
    </row>
    <row r="1169" spans="1:18">
      <c r="A1169">
        <v>1168</v>
      </c>
      <c r="B1169" t="s">
        <v>3636</v>
      </c>
      <c r="C1169" t="s">
        <v>3637</v>
      </c>
      <c r="D1169" s="1" t="s">
        <v>3638</v>
      </c>
      <c r="E1169" t="s">
        <v>36</v>
      </c>
      <c r="G1169" t="str">
        <f>_xlfn.XLOOKUP(frasest[[#This Row],[author_es]],autorest[author_es],autorest[author_la])</f>
        <v>Proverbium Sinense</v>
      </c>
      <c r="H1169" t="str">
        <f>_xlfn.XLOOKUP(frasest[[#This Row],[author_es]],autorest[author_es],autorest[bio_es])</f>
        <v>Conjunto de proverbios tradicionales de la cultura china que transmiten sabiduría popular, valores morales y enseñanzas prácticas transmitidas oralmente durante siglos.</v>
      </c>
      <c r="I1169" t="str">
        <f>_xlfn.XLOOKUP(frasest[[#This Row],[author_es]],autorest[author_es],autorest[bio_la])</f>
        <v>Collectio sententiarum Sinensium, magnopere in cultura tradita.</v>
      </c>
      <c r="J1169" t="str">
        <f>_xlfn.XLOOKUP(frasest[[#This Row],[author_es]],autorest[author_es],autorest[iso3691])</f>
        <v>zh</v>
      </c>
      <c r="K1169" t="str">
        <f>_xlfn.XLOOKUP(frasest[[#This Row],[author_es]],autorest[author_es],autorest[language_es])</f>
        <v>Chino</v>
      </c>
      <c r="L1169" t="str">
        <f>_xlfn.XLOOKUP(frasest[[#This Row],[author_es]],autorest[author_es],autorest[language_la])</f>
        <v>Lingua Sinica</v>
      </c>
      <c r="M1169" t="str">
        <f>_xlfn.XLOOKUP(frasest[[#This Row],[author_es]],autorest[author_es],autorest[nation_es])</f>
        <v>China</v>
      </c>
      <c r="N1169" t="str">
        <f>_xlfn.XLOOKUP(frasest[[#This Row],[author_es]],autorest[author_es],autorest[nation_la])</f>
        <v>Sinae</v>
      </c>
      <c r="O1169" t="str">
        <f>_xlfn.XLOOKUP(frasest[[#This Row],[author_es]],autorest[author_es],autorest[age_es])</f>
        <v>Epoca Desconocida</v>
      </c>
      <c r="P1169" t="str">
        <f>_xlfn.XLOOKUP(frasest[[#This Row],[author_es]],autorest[author_es],autorest[age_la])</f>
        <v>Epocha Ignota</v>
      </c>
      <c r="Q1169" t="str">
        <f>_xlfn.XLOOKUP(frasest[[#This Row],[author_es]],autorest[author_es],autorest[image])</f>
        <v>https://i.ibb.co/qLfpZm6h/china.png</v>
      </c>
      <c r="R1169">
        <f>_xlfn.XLOOKUP(frasest[[#This Row],[author_es]],autorest[author_es],autorest[image_atr])</f>
        <v>0</v>
      </c>
    </row>
    <row r="1170" spans="1:18">
      <c r="A1170">
        <v>1169</v>
      </c>
      <c r="B1170" t="s">
        <v>3639</v>
      </c>
      <c r="C1170" t="s">
        <v>3640</v>
      </c>
      <c r="D1170" s="1" t="s">
        <v>3641</v>
      </c>
      <c r="E1170" t="s">
        <v>36</v>
      </c>
      <c r="G1170" t="str">
        <f>_xlfn.XLOOKUP(frasest[[#This Row],[author_es]],autorest[author_es],autorest[author_la])</f>
        <v>Proverbium Sinense</v>
      </c>
      <c r="H1170" t="str">
        <f>_xlfn.XLOOKUP(frasest[[#This Row],[author_es]],autorest[author_es],autorest[bio_es])</f>
        <v>Conjunto de proverbios tradicionales de la cultura china que transmiten sabiduría popular, valores morales y enseñanzas prácticas transmitidas oralmente durante siglos.</v>
      </c>
      <c r="I1170" t="str">
        <f>_xlfn.XLOOKUP(frasest[[#This Row],[author_es]],autorest[author_es],autorest[bio_la])</f>
        <v>Collectio sententiarum Sinensium, magnopere in cultura tradita.</v>
      </c>
      <c r="J1170" t="str">
        <f>_xlfn.XLOOKUP(frasest[[#This Row],[author_es]],autorest[author_es],autorest[iso3691])</f>
        <v>zh</v>
      </c>
      <c r="K1170" t="str">
        <f>_xlfn.XLOOKUP(frasest[[#This Row],[author_es]],autorest[author_es],autorest[language_es])</f>
        <v>Chino</v>
      </c>
      <c r="L1170" t="str">
        <f>_xlfn.XLOOKUP(frasest[[#This Row],[author_es]],autorest[author_es],autorest[language_la])</f>
        <v>Lingua Sinica</v>
      </c>
      <c r="M1170" t="str">
        <f>_xlfn.XLOOKUP(frasest[[#This Row],[author_es]],autorest[author_es],autorest[nation_es])</f>
        <v>China</v>
      </c>
      <c r="N1170" t="str">
        <f>_xlfn.XLOOKUP(frasest[[#This Row],[author_es]],autorest[author_es],autorest[nation_la])</f>
        <v>Sinae</v>
      </c>
      <c r="O1170" t="str">
        <f>_xlfn.XLOOKUP(frasest[[#This Row],[author_es]],autorest[author_es],autorest[age_es])</f>
        <v>Epoca Desconocida</v>
      </c>
      <c r="P1170" t="str">
        <f>_xlfn.XLOOKUP(frasest[[#This Row],[author_es]],autorest[author_es],autorest[age_la])</f>
        <v>Epocha Ignota</v>
      </c>
      <c r="Q1170" t="str">
        <f>_xlfn.XLOOKUP(frasest[[#This Row],[author_es]],autorest[author_es],autorest[image])</f>
        <v>https://i.ibb.co/qLfpZm6h/china.png</v>
      </c>
      <c r="R1170">
        <f>_xlfn.XLOOKUP(frasest[[#This Row],[author_es]],autorest[author_es],autorest[image_atr])</f>
        <v>0</v>
      </c>
    </row>
    <row r="1171" spans="1:18">
      <c r="A1171">
        <v>1170</v>
      </c>
      <c r="B1171" t="s">
        <v>3642</v>
      </c>
      <c r="C1171" t="s">
        <v>3643</v>
      </c>
      <c r="D1171" s="1" t="s">
        <v>3644</v>
      </c>
      <c r="E1171" t="s">
        <v>36</v>
      </c>
      <c r="G1171" t="str">
        <f>_xlfn.XLOOKUP(frasest[[#This Row],[author_es]],autorest[author_es],autorest[author_la])</f>
        <v>Proverbium Sinense</v>
      </c>
      <c r="H1171" t="str">
        <f>_xlfn.XLOOKUP(frasest[[#This Row],[author_es]],autorest[author_es],autorest[bio_es])</f>
        <v>Conjunto de proverbios tradicionales de la cultura china que transmiten sabiduría popular, valores morales y enseñanzas prácticas transmitidas oralmente durante siglos.</v>
      </c>
      <c r="I1171" t="str">
        <f>_xlfn.XLOOKUP(frasest[[#This Row],[author_es]],autorest[author_es],autorest[bio_la])</f>
        <v>Collectio sententiarum Sinensium, magnopere in cultura tradita.</v>
      </c>
      <c r="J1171" t="str">
        <f>_xlfn.XLOOKUP(frasest[[#This Row],[author_es]],autorest[author_es],autorest[iso3691])</f>
        <v>zh</v>
      </c>
      <c r="K1171" t="str">
        <f>_xlfn.XLOOKUP(frasest[[#This Row],[author_es]],autorest[author_es],autorest[language_es])</f>
        <v>Chino</v>
      </c>
      <c r="L1171" t="str">
        <f>_xlfn.XLOOKUP(frasest[[#This Row],[author_es]],autorest[author_es],autorest[language_la])</f>
        <v>Lingua Sinica</v>
      </c>
      <c r="M1171" t="str">
        <f>_xlfn.XLOOKUP(frasest[[#This Row],[author_es]],autorest[author_es],autorest[nation_es])</f>
        <v>China</v>
      </c>
      <c r="N1171" t="str">
        <f>_xlfn.XLOOKUP(frasest[[#This Row],[author_es]],autorest[author_es],autorest[nation_la])</f>
        <v>Sinae</v>
      </c>
      <c r="O1171" t="str">
        <f>_xlfn.XLOOKUP(frasest[[#This Row],[author_es]],autorest[author_es],autorest[age_es])</f>
        <v>Epoca Desconocida</v>
      </c>
      <c r="P1171" t="str">
        <f>_xlfn.XLOOKUP(frasest[[#This Row],[author_es]],autorest[author_es],autorest[age_la])</f>
        <v>Epocha Ignota</v>
      </c>
      <c r="Q1171" t="str">
        <f>_xlfn.XLOOKUP(frasest[[#This Row],[author_es]],autorest[author_es],autorest[image])</f>
        <v>https://i.ibb.co/qLfpZm6h/china.png</v>
      </c>
      <c r="R1171">
        <f>_xlfn.XLOOKUP(frasest[[#This Row],[author_es]],autorest[author_es],autorest[image_atr])</f>
        <v>0</v>
      </c>
    </row>
    <row r="1172" spans="1:18">
      <c r="A1172">
        <v>1171</v>
      </c>
      <c r="B1172" t="s">
        <v>3645</v>
      </c>
      <c r="C1172" t="s">
        <v>3646</v>
      </c>
      <c r="D1172" s="1" t="s">
        <v>3647</v>
      </c>
      <c r="E1172" t="s">
        <v>36</v>
      </c>
      <c r="G1172" t="str">
        <f>_xlfn.XLOOKUP(frasest[[#This Row],[author_es]],autorest[author_es],autorest[author_la])</f>
        <v>Proverbium Sinense</v>
      </c>
      <c r="H1172" t="str">
        <f>_xlfn.XLOOKUP(frasest[[#This Row],[author_es]],autorest[author_es],autorest[bio_es])</f>
        <v>Conjunto de proverbios tradicionales de la cultura china que transmiten sabiduría popular, valores morales y enseñanzas prácticas transmitidas oralmente durante siglos.</v>
      </c>
      <c r="I1172" t="str">
        <f>_xlfn.XLOOKUP(frasest[[#This Row],[author_es]],autorest[author_es],autorest[bio_la])</f>
        <v>Collectio sententiarum Sinensium, magnopere in cultura tradita.</v>
      </c>
      <c r="J1172" t="str">
        <f>_xlfn.XLOOKUP(frasest[[#This Row],[author_es]],autorest[author_es],autorest[iso3691])</f>
        <v>zh</v>
      </c>
      <c r="K1172" t="str">
        <f>_xlfn.XLOOKUP(frasest[[#This Row],[author_es]],autorest[author_es],autorest[language_es])</f>
        <v>Chino</v>
      </c>
      <c r="L1172" t="str">
        <f>_xlfn.XLOOKUP(frasest[[#This Row],[author_es]],autorest[author_es],autorest[language_la])</f>
        <v>Lingua Sinica</v>
      </c>
      <c r="M1172" t="str">
        <f>_xlfn.XLOOKUP(frasest[[#This Row],[author_es]],autorest[author_es],autorest[nation_es])</f>
        <v>China</v>
      </c>
      <c r="N1172" t="str">
        <f>_xlfn.XLOOKUP(frasest[[#This Row],[author_es]],autorest[author_es],autorest[nation_la])</f>
        <v>Sinae</v>
      </c>
      <c r="O1172" t="str">
        <f>_xlfn.XLOOKUP(frasest[[#This Row],[author_es]],autorest[author_es],autorest[age_es])</f>
        <v>Epoca Desconocida</v>
      </c>
      <c r="P1172" t="str">
        <f>_xlfn.XLOOKUP(frasest[[#This Row],[author_es]],autorest[author_es],autorest[age_la])</f>
        <v>Epocha Ignota</v>
      </c>
      <c r="Q1172" t="str">
        <f>_xlfn.XLOOKUP(frasest[[#This Row],[author_es]],autorest[author_es],autorest[image])</f>
        <v>https://i.ibb.co/qLfpZm6h/china.png</v>
      </c>
      <c r="R1172">
        <f>_xlfn.XLOOKUP(frasest[[#This Row],[author_es]],autorest[author_es],autorest[image_atr])</f>
        <v>0</v>
      </c>
    </row>
    <row r="1173" spans="1:18">
      <c r="A1173">
        <v>1172</v>
      </c>
      <c r="B1173" t="s">
        <v>3648</v>
      </c>
      <c r="C1173" t="s">
        <v>3649</v>
      </c>
      <c r="D1173" s="1" t="s">
        <v>3650</v>
      </c>
      <c r="E1173" t="s">
        <v>36</v>
      </c>
      <c r="G1173" t="str">
        <f>_xlfn.XLOOKUP(frasest[[#This Row],[author_es]],autorest[author_es],autorest[author_la])</f>
        <v>Proverbium Sinense</v>
      </c>
      <c r="H1173" t="str">
        <f>_xlfn.XLOOKUP(frasest[[#This Row],[author_es]],autorest[author_es],autorest[bio_es])</f>
        <v>Conjunto de proverbios tradicionales de la cultura china que transmiten sabiduría popular, valores morales y enseñanzas prácticas transmitidas oralmente durante siglos.</v>
      </c>
      <c r="I1173" t="str">
        <f>_xlfn.XLOOKUP(frasest[[#This Row],[author_es]],autorest[author_es],autorest[bio_la])</f>
        <v>Collectio sententiarum Sinensium, magnopere in cultura tradita.</v>
      </c>
      <c r="J1173" t="str">
        <f>_xlfn.XLOOKUP(frasest[[#This Row],[author_es]],autorest[author_es],autorest[iso3691])</f>
        <v>zh</v>
      </c>
      <c r="K1173" t="str">
        <f>_xlfn.XLOOKUP(frasest[[#This Row],[author_es]],autorest[author_es],autorest[language_es])</f>
        <v>Chino</v>
      </c>
      <c r="L1173" t="str">
        <f>_xlfn.XLOOKUP(frasest[[#This Row],[author_es]],autorest[author_es],autorest[language_la])</f>
        <v>Lingua Sinica</v>
      </c>
      <c r="M1173" t="str">
        <f>_xlfn.XLOOKUP(frasest[[#This Row],[author_es]],autorest[author_es],autorest[nation_es])</f>
        <v>China</v>
      </c>
      <c r="N1173" t="str">
        <f>_xlfn.XLOOKUP(frasest[[#This Row],[author_es]],autorest[author_es],autorest[nation_la])</f>
        <v>Sinae</v>
      </c>
      <c r="O1173" t="str">
        <f>_xlfn.XLOOKUP(frasest[[#This Row],[author_es]],autorest[author_es],autorest[age_es])</f>
        <v>Epoca Desconocida</v>
      </c>
      <c r="P1173" t="str">
        <f>_xlfn.XLOOKUP(frasest[[#This Row],[author_es]],autorest[author_es],autorest[age_la])</f>
        <v>Epocha Ignota</v>
      </c>
      <c r="Q1173" t="str">
        <f>_xlfn.XLOOKUP(frasest[[#This Row],[author_es]],autorest[author_es],autorest[image])</f>
        <v>https://i.ibb.co/qLfpZm6h/china.png</v>
      </c>
      <c r="R1173">
        <f>_xlfn.XLOOKUP(frasest[[#This Row],[author_es]],autorest[author_es],autorest[image_atr])</f>
        <v>0</v>
      </c>
    </row>
    <row r="1174" spans="1:18">
      <c r="A1174">
        <v>1173</v>
      </c>
      <c r="B1174" t="s">
        <v>1320</v>
      </c>
      <c r="C1174" t="s">
        <v>1321</v>
      </c>
      <c r="D1174" s="1" t="s">
        <v>3651</v>
      </c>
      <c r="E1174" t="s">
        <v>36</v>
      </c>
      <c r="G1174" t="str">
        <f>_xlfn.XLOOKUP(frasest[[#This Row],[author_es]],autorest[author_es],autorest[author_la])</f>
        <v>Proverbium Sinense</v>
      </c>
      <c r="H1174" t="str">
        <f>_xlfn.XLOOKUP(frasest[[#This Row],[author_es]],autorest[author_es],autorest[bio_es])</f>
        <v>Conjunto de proverbios tradicionales de la cultura china que transmiten sabiduría popular, valores morales y enseñanzas prácticas transmitidas oralmente durante siglos.</v>
      </c>
      <c r="I1174" t="str">
        <f>_xlfn.XLOOKUP(frasest[[#This Row],[author_es]],autorest[author_es],autorest[bio_la])</f>
        <v>Collectio sententiarum Sinensium, magnopere in cultura tradita.</v>
      </c>
      <c r="J1174" t="str">
        <f>_xlfn.XLOOKUP(frasest[[#This Row],[author_es]],autorest[author_es],autorest[iso3691])</f>
        <v>zh</v>
      </c>
      <c r="K1174" t="str">
        <f>_xlfn.XLOOKUP(frasest[[#This Row],[author_es]],autorest[author_es],autorest[language_es])</f>
        <v>Chino</v>
      </c>
      <c r="L1174" t="str">
        <f>_xlfn.XLOOKUP(frasest[[#This Row],[author_es]],autorest[author_es],autorest[language_la])</f>
        <v>Lingua Sinica</v>
      </c>
      <c r="M1174" t="str">
        <f>_xlfn.XLOOKUP(frasest[[#This Row],[author_es]],autorest[author_es],autorest[nation_es])</f>
        <v>China</v>
      </c>
      <c r="N1174" t="str">
        <f>_xlfn.XLOOKUP(frasest[[#This Row],[author_es]],autorest[author_es],autorest[nation_la])</f>
        <v>Sinae</v>
      </c>
      <c r="O1174" t="str">
        <f>_xlfn.XLOOKUP(frasest[[#This Row],[author_es]],autorest[author_es],autorest[age_es])</f>
        <v>Epoca Desconocida</v>
      </c>
      <c r="P1174" t="str">
        <f>_xlfn.XLOOKUP(frasest[[#This Row],[author_es]],autorest[author_es],autorest[age_la])</f>
        <v>Epocha Ignota</v>
      </c>
      <c r="Q1174" t="str">
        <f>_xlfn.XLOOKUP(frasest[[#This Row],[author_es]],autorest[author_es],autorest[image])</f>
        <v>https://i.ibb.co/qLfpZm6h/china.png</v>
      </c>
      <c r="R1174">
        <f>_xlfn.XLOOKUP(frasest[[#This Row],[author_es]],autorest[author_es],autorest[image_atr])</f>
        <v>0</v>
      </c>
    </row>
    <row r="1175" spans="1:18">
      <c r="A1175">
        <v>1174</v>
      </c>
      <c r="B1175" t="s">
        <v>3652</v>
      </c>
      <c r="C1175" t="s">
        <v>3653</v>
      </c>
      <c r="D1175" s="1" t="s">
        <v>3654</v>
      </c>
      <c r="E1175" t="s">
        <v>36</v>
      </c>
      <c r="G1175" t="str">
        <f>_xlfn.XLOOKUP(frasest[[#This Row],[author_es]],autorest[author_es],autorest[author_la])</f>
        <v>Proverbium Sinense</v>
      </c>
      <c r="H1175" t="str">
        <f>_xlfn.XLOOKUP(frasest[[#This Row],[author_es]],autorest[author_es],autorest[bio_es])</f>
        <v>Conjunto de proverbios tradicionales de la cultura china que transmiten sabiduría popular, valores morales y enseñanzas prácticas transmitidas oralmente durante siglos.</v>
      </c>
      <c r="I1175" t="str">
        <f>_xlfn.XLOOKUP(frasest[[#This Row],[author_es]],autorest[author_es],autorest[bio_la])</f>
        <v>Collectio sententiarum Sinensium, magnopere in cultura tradita.</v>
      </c>
      <c r="J1175" t="str">
        <f>_xlfn.XLOOKUP(frasest[[#This Row],[author_es]],autorest[author_es],autorest[iso3691])</f>
        <v>zh</v>
      </c>
      <c r="K1175" t="str">
        <f>_xlfn.XLOOKUP(frasest[[#This Row],[author_es]],autorest[author_es],autorest[language_es])</f>
        <v>Chino</v>
      </c>
      <c r="L1175" t="str">
        <f>_xlfn.XLOOKUP(frasest[[#This Row],[author_es]],autorest[author_es],autorest[language_la])</f>
        <v>Lingua Sinica</v>
      </c>
      <c r="M1175" t="str">
        <f>_xlfn.XLOOKUP(frasest[[#This Row],[author_es]],autorest[author_es],autorest[nation_es])</f>
        <v>China</v>
      </c>
      <c r="N1175" t="str">
        <f>_xlfn.XLOOKUP(frasest[[#This Row],[author_es]],autorest[author_es],autorest[nation_la])</f>
        <v>Sinae</v>
      </c>
      <c r="O1175" t="str">
        <f>_xlfn.XLOOKUP(frasest[[#This Row],[author_es]],autorest[author_es],autorest[age_es])</f>
        <v>Epoca Desconocida</v>
      </c>
      <c r="P1175" t="str">
        <f>_xlfn.XLOOKUP(frasest[[#This Row],[author_es]],autorest[author_es],autorest[age_la])</f>
        <v>Epocha Ignota</v>
      </c>
      <c r="Q1175" t="str">
        <f>_xlfn.XLOOKUP(frasest[[#This Row],[author_es]],autorest[author_es],autorest[image])</f>
        <v>https://i.ibb.co/qLfpZm6h/china.png</v>
      </c>
      <c r="R1175">
        <f>_xlfn.XLOOKUP(frasest[[#This Row],[author_es]],autorest[author_es],autorest[image_atr])</f>
        <v>0</v>
      </c>
    </row>
    <row r="1176" spans="1:18">
      <c r="A1176">
        <v>1175</v>
      </c>
      <c r="B1176" t="s">
        <v>3655</v>
      </c>
      <c r="C1176" t="s">
        <v>3656</v>
      </c>
      <c r="D1176" s="1" t="s">
        <v>129</v>
      </c>
      <c r="E1176" t="s">
        <v>36</v>
      </c>
      <c r="G1176" t="str">
        <f>_xlfn.XLOOKUP(frasest[[#This Row],[author_es]],autorest[author_es],autorest[author_la])</f>
        <v>Proverbium Sinense</v>
      </c>
      <c r="H1176" t="str">
        <f>_xlfn.XLOOKUP(frasest[[#This Row],[author_es]],autorest[author_es],autorest[bio_es])</f>
        <v>Conjunto de proverbios tradicionales de la cultura china que transmiten sabiduría popular, valores morales y enseñanzas prácticas transmitidas oralmente durante siglos.</v>
      </c>
      <c r="I1176" t="str">
        <f>_xlfn.XLOOKUP(frasest[[#This Row],[author_es]],autorest[author_es],autorest[bio_la])</f>
        <v>Collectio sententiarum Sinensium, magnopere in cultura tradita.</v>
      </c>
      <c r="J1176" t="str">
        <f>_xlfn.XLOOKUP(frasest[[#This Row],[author_es]],autorest[author_es],autorest[iso3691])</f>
        <v>zh</v>
      </c>
      <c r="K1176" t="str">
        <f>_xlfn.XLOOKUP(frasest[[#This Row],[author_es]],autorest[author_es],autorest[language_es])</f>
        <v>Chino</v>
      </c>
      <c r="L1176" t="str">
        <f>_xlfn.XLOOKUP(frasest[[#This Row],[author_es]],autorest[author_es],autorest[language_la])</f>
        <v>Lingua Sinica</v>
      </c>
      <c r="M1176" t="str">
        <f>_xlfn.XLOOKUP(frasest[[#This Row],[author_es]],autorest[author_es],autorest[nation_es])</f>
        <v>China</v>
      </c>
      <c r="N1176" t="str">
        <f>_xlfn.XLOOKUP(frasest[[#This Row],[author_es]],autorest[author_es],autorest[nation_la])</f>
        <v>Sinae</v>
      </c>
      <c r="O1176" t="str">
        <f>_xlfn.XLOOKUP(frasest[[#This Row],[author_es]],autorest[author_es],autorest[age_es])</f>
        <v>Epoca Desconocida</v>
      </c>
      <c r="P1176" t="str">
        <f>_xlfn.XLOOKUP(frasest[[#This Row],[author_es]],autorest[author_es],autorest[age_la])</f>
        <v>Epocha Ignota</v>
      </c>
      <c r="Q1176" t="str">
        <f>_xlfn.XLOOKUP(frasest[[#This Row],[author_es]],autorest[author_es],autorest[image])</f>
        <v>https://i.ibb.co/qLfpZm6h/china.png</v>
      </c>
      <c r="R1176">
        <f>_xlfn.XLOOKUP(frasest[[#This Row],[author_es]],autorest[author_es],autorest[image_atr])</f>
        <v>0</v>
      </c>
    </row>
    <row r="1177" spans="1:18">
      <c r="A1177">
        <v>1176</v>
      </c>
      <c r="B1177" t="s">
        <v>3657</v>
      </c>
      <c r="C1177" t="s">
        <v>3658</v>
      </c>
      <c r="D1177" s="1" t="s">
        <v>3659</v>
      </c>
      <c r="E1177" t="s">
        <v>36</v>
      </c>
      <c r="G1177" t="str">
        <f>_xlfn.XLOOKUP(frasest[[#This Row],[author_es]],autorest[author_es],autorest[author_la])</f>
        <v>Proverbium Sinense</v>
      </c>
      <c r="H1177" t="str">
        <f>_xlfn.XLOOKUP(frasest[[#This Row],[author_es]],autorest[author_es],autorest[bio_es])</f>
        <v>Conjunto de proverbios tradicionales de la cultura china que transmiten sabiduría popular, valores morales y enseñanzas prácticas transmitidas oralmente durante siglos.</v>
      </c>
      <c r="I1177" t="str">
        <f>_xlfn.XLOOKUP(frasest[[#This Row],[author_es]],autorest[author_es],autorest[bio_la])</f>
        <v>Collectio sententiarum Sinensium, magnopere in cultura tradita.</v>
      </c>
      <c r="J1177" t="str">
        <f>_xlfn.XLOOKUP(frasest[[#This Row],[author_es]],autorest[author_es],autorest[iso3691])</f>
        <v>zh</v>
      </c>
      <c r="K1177" t="str">
        <f>_xlfn.XLOOKUP(frasest[[#This Row],[author_es]],autorest[author_es],autorest[language_es])</f>
        <v>Chino</v>
      </c>
      <c r="L1177" t="str">
        <f>_xlfn.XLOOKUP(frasest[[#This Row],[author_es]],autorest[author_es],autorest[language_la])</f>
        <v>Lingua Sinica</v>
      </c>
      <c r="M1177" t="str">
        <f>_xlfn.XLOOKUP(frasest[[#This Row],[author_es]],autorest[author_es],autorest[nation_es])</f>
        <v>China</v>
      </c>
      <c r="N1177" t="str">
        <f>_xlfn.XLOOKUP(frasest[[#This Row],[author_es]],autorest[author_es],autorest[nation_la])</f>
        <v>Sinae</v>
      </c>
      <c r="O1177" t="str">
        <f>_xlfn.XLOOKUP(frasest[[#This Row],[author_es]],autorest[author_es],autorest[age_es])</f>
        <v>Epoca Desconocida</v>
      </c>
      <c r="P1177" t="str">
        <f>_xlfn.XLOOKUP(frasest[[#This Row],[author_es]],autorest[author_es],autorest[age_la])</f>
        <v>Epocha Ignota</v>
      </c>
      <c r="Q1177" t="str">
        <f>_xlfn.XLOOKUP(frasest[[#This Row],[author_es]],autorest[author_es],autorest[image])</f>
        <v>https://i.ibb.co/qLfpZm6h/china.png</v>
      </c>
      <c r="R1177">
        <f>_xlfn.XLOOKUP(frasest[[#This Row],[author_es]],autorest[author_es],autorest[image_atr])</f>
        <v>0</v>
      </c>
    </row>
    <row r="1178" spans="1:18">
      <c r="A1178">
        <v>1177</v>
      </c>
      <c r="B1178" t="s">
        <v>3660</v>
      </c>
      <c r="C1178" t="s">
        <v>3661</v>
      </c>
      <c r="D1178" s="1" t="s">
        <v>3662</v>
      </c>
      <c r="E1178" t="s">
        <v>36</v>
      </c>
      <c r="G1178" t="str">
        <f>_xlfn.XLOOKUP(frasest[[#This Row],[author_es]],autorest[author_es],autorest[author_la])</f>
        <v>Proverbium Sinense</v>
      </c>
      <c r="H1178" t="str">
        <f>_xlfn.XLOOKUP(frasest[[#This Row],[author_es]],autorest[author_es],autorest[bio_es])</f>
        <v>Conjunto de proverbios tradicionales de la cultura china que transmiten sabiduría popular, valores morales y enseñanzas prácticas transmitidas oralmente durante siglos.</v>
      </c>
      <c r="I1178" t="str">
        <f>_xlfn.XLOOKUP(frasest[[#This Row],[author_es]],autorest[author_es],autorest[bio_la])</f>
        <v>Collectio sententiarum Sinensium, magnopere in cultura tradita.</v>
      </c>
      <c r="J1178" t="str">
        <f>_xlfn.XLOOKUP(frasest[[#This Row],[author_es]],autorest[author_es],autorest[iso3691])</f>
        <v>zh</v>
      </c>
      <c r="K1178" t="str">
        <f>_xlfn.XLOOKUP(frasest[[#This Row],[author_es]],autorest[author_es],autorest[language_es])</f>
        <v>Chino</v>
      </c>
      <c r="L1178" t="str">
        <f>_xlfn.XLOOKUP(frasest[[#This Row],[author_es]],autorest[author_es],autorest[language_la])</f>
        <v>Lingua Sinica</v>
      </c>
      <c r="M1178" t="str">
        <f>_xlfn.XLOOKUP(frasest[[#This Row],[author_es]],autorest[author_es],autorest[nation_es])</f>
        <v>China</v>
      </c>
      <c r="N1178" t="str">
        <f>_xlfn.XLOOKUP(frasest[[#This Row],[author_es]],autorest[author_es],autorest[nation_la])</f>
        <v>Sinae</v>
      </c>
      <c r="O1178" t="str">
        <f>_xlfn.XLOOKUP(frasest[[#This Row],[author_es]],autorest[author_es],autorest[age_es])</f>
        <v>Epoca Desconocida</v>
      </c>
      <c r="P1178" t="str">
        <f>_xlfn.XLOOKUP(frasest[[#This Row],[author_es]],autorest[author_es],autorest[age_la])</f>
        <v>Epocha Ignota</v>
      </c>
      <c r="Q1178" t="str">
        <f>_xlfn.XLOOKUP(frasest[[#This Row],[author_es]],autorest[author_es],autorest[image])</f>
        <v>https://i.ibb.co/qLfpZm6h/china.png</v>
      </c>
      <c r="R1178">
        <f>_xlfn.XLOOKUP(frasest[[#This Row],[author_es]],autorest[author_es],autorest[image_atr])</f>
        <v>0</v>
      </c>
    </row>
    <row r="1179" spans="1:18">
      <c r="A1179">
        <v>1178</v>
      </c>
      <c r="B1179" t="s">
        <v>3663</v>
      </c>
      <c r="C1179" t="s">
        <v>3664</v>
      </c>
      <c r="D1179" s="1" t="s">
        <v>3665</v>
      </c>
      <c r="E1179" t="s">
        <v>36</v>
      </c>
      <c r="G1179" t="str">
        <f>_xlfn.XLOOKUP(frasest[[#This Row],[author_es]],autorest[author_es],autorest[author_la])</f>
        <v>Proverbium Sinense</v>
      </c>
      <c r="H1179" t="str">
        <f>_xlfn.XLOOKUP(frasest[[#This Row],[author_es]],autorest[author_es],autorest[bio_es])</f>
        <v>Conjunto de proverbios tradicionales de la cultura china que transmiten sabiduría popular, valores morales y enseñanzas prácticas transmitidas oralmente durante siglos.</v>
      </c>
      <c r="I1179" t="str">
        <f>_xlfn.XLOOKUP(frasest[[#This Row],[author_es]],autorest[author_es],autorest[bio_la])</f>
        <v>Collectio sententiarum Sinensium, magnopere in cultura tradita.</v>
      </c>
      <c r="J1179" t="str">
        <f>_xlfn.XLOOKUP(frasest[[#This Row],[author_es]],autorest[author_es],autorest[iso3691])</f>
        <v>zh</v>
      </c>
      <c r="K1179" t="str">
        <f>_xlfn.XLOOKUP(frasest[[#This Row],[author_es]],autorest[author_es],autorest[language_es])</f>
        <v>Chino</v>
      </c>
      <c r="L1179" t="str">
        <f>_xlfn.XLOOKUP(frasest[[#This Row],[author_es]],autorest[author_es],autorest[language_la])</f>
        <v>Lingua Sinica</v>
      </c>
      <c r="M1179" t="str">
        <f>_xlfn.XLOOKUP(frasest[[#This Row],[author_es]],autorest[author_es],autorest[nation_es])</f>
        <v>China</v>
      </c>
      <c r="N1179" t="str">
        <f>_xlfn.XLOOKUP(frasest[[#This Row],[author_es]],autorest[author_es],autorest[nation_la])</f>
        <v>Sinae</v>
      </c>
      <c r="O1179" t="str">
        <f>_xlfn.XLOOKUP(frasest[[#This Row],[author_es]],autorest[author_es],autorest[age_es])</f>
        <v>Epoca Desconocida</v>
      </c>
      <c r="P1179" t="str">
        <f>_xlfn.XLOOKUP(frasest[[#This Row],[author_es]],autorest[author_es],autorest[age_la])</f>
        <v>Epocha Ignota</v>
      </c>
      <c r="Q1179" t="str">
        <f>_xlfn.XLOOKUP(frasest[[#This Row],[author_es]],autorest[author_es],autorest[image])</f>
        <v>https://i.ibb.co/qLfpZm6h/china.png</v>
      </c>
      <c r="R1179">
        <f>_xlfn.XLOOKUP(frasest[[#This Row],[author_es]],autorest[author_es],autorest[image_atr])</f>
        <v>0</v>
      </c>
    </row>
    <row r="1180" spans="1:18">
      <c r="A1180">
        <v>1179</v>
      </c>
      <c r="B1180" t="s">
        <v>3666</v>
      </c>
      <c r="C1180" t="s">
        <v>3667</v>
      </c>
      <c r="D1180" s="1" t="s">
        <v>3668</v>
      </c>
      <c r="E1180" t="s">
        <v>36</v>
      </c>
      <c r="G1180" t="str">
        <f>_xlfn.XLOOKUP(frasest[[#This Row],[author_es]],autorest[author_es],autorest[author_la])</f>
        <v>Proverbium Sinense</v>
      </c>
      <c r="H1180" t="str">
        <f>_xlfn.XLOOKUP(frasest[[#This Row],[author_es]],autorest[author_es],autorest[bio_es])</f>
        <v>Conjunto de proverbios tradicionales de la cultura china que transmiten sabiduría popular, valores morales y enseñanzas prácticas transmitidas oralmente durante siglos.</v>
      </c>
      <c r="I1180" t="str">
        <f>_xlfn.XLOOKUP(frasest[[#This Row],[author_es]],autorest[author_es],autorest[bio_la])</f>
        <v>Collectio sententiarum Sinensium, magnopere in cultura tradita.</v>
      </c>
      <c r="J1180" t="str">
        <f>_xlfn.XLOOKUP(frasest[[#This Row],[author_es]],autorest[author_es],autorest[iso3691])</f>
        <v>zh</v>
      </c>
      <c r="K1180" t="str">
        <f>_xlfn.XLOOKUP(frasest[[#This Row],[author_es]],autorest[author_es],autorest[language_es])</f>
        <v>Chino</v>
      </c>
      <c r="L1180" t="str">
        <f>_xlfn.XLOOKUP(frasest[[#This Row],[author_es]],autorest[author_es],autorest[language_la])</f>
        <v>Lingua Sinica</v>
      </c>
      <c r="M1180" t="str">
        <f>_xlfn.XLOOKUP(frasest[[#This Row],[author_es]],autorest[author_es],autorest[nation_es])</f>
        <v>China</v>
      </c>
      <c r="N1180" t="str">
        <f>_xlfn.XLOOKUP(frasest[[#This Row],[author_es]],autorest[author_es],autorest[nation_la])</f>
        <v>Sinae</v>
      </c>
      <c r="O1180" t="str">
        <f>_xlfn.XLOOKUP(frasest[[#This Row],[author_es]],autorest[author_es],autorest[age_es])</f>
        <v>Epoca Desconocida</v>
      </c>
      <c r="P1180" t="str">
        <f>_xlfn.XLOOKUP(frasest[[#This Row],[author_es]],autorest[author_es],autorest[age_la])</f>
        <v>Epocha Ignota</v>
      </c>
      <c r="Q1180" t="str">
        <f>_xlfn.XLOOKUP(frasest[[#This Row],[author_es]],autorest[author_es],autorest[image])</f>
        <v>https://i.ibb.co/qLfpZm6h/china.png</v>
      </c>
      <c r="R1180">
        <f>_xlfn.XLOOKUP(frasest[[#This Row],[author_es]],autorest[author_es],autorest[image_atr])</f>
        <v>0</v>
      </c>
    </row>
    <row r="1181" spans="1:18">
      <c r="A1181">
        <v>1180</v>
      </c>
      <c r="B1181" t="s">
        <v>3669</v>
      </c>
      <c r="C1181" t="s">
        <v>3670</v>
      </c>
      <c r="D1181" s="1" t="s">
        <v>3671</v>
      </c>
      <c r="E1181" t="s">
        <v>36</v>
      </c>
      <c r="G1181" t="str">
        <f>_xlfn.XLOOKUP(frasest[[#This Row],[author_es]],autorest[author_es],autorest[author_la])</f>
        <v>Proverbium Sinense</v>
      </c>
      <c r="H1181" t="str">
        <f>_xlfn.XLOOKUP(frasest[[#This Row],[author_es]],autorest[author_es],autorest[bio_es])</f>
        <v>Conjunto de proverbios tradicionales de la cultura china que transmiten sabiduría popular, valores morales y enseñanzas prácticas transmitidas oralmente durante siglos.</v>
      </c>
      <c r="I1181" t="str">
        <f>_xlfn.XLOOKUP(frasest[[#This Row],[author_es]],autorest[author_es],autorest[bio_la])</f>
        <v>Collectio sententiarum Sinensium, magnopere in cultura tradita.</v>
      </c>
      <c r="J1181" t="str">
        <f>_xlfn.XLOOKUP(frasest[[#This Row],[author_es]],autorest[author_es],autorest[iso3691])</f>
        <v>zh</v>
      </c>
      <c r="K1181" t="str">
        <f>_xlfn.XLOOKUP(frasest[[#This Row],[author_es]],autorest[author_es],autorest[language_es])</f>
        <v>Chino</v>
      </c>
      <c r="L1181" t="str">
        <f>_xlfn.XLOOKUP(frasest[[#This Row],[author_es]],autorest[author_es],autorest[language_la])</f>
        <v>Lingua Sinica</v>
      </c>
      <c r="M1181" t="str">
        <f>_xlfn.XLOOKUP(frasest[[#This Row],[author_es]],autorest[author_es],autorest[nation_es])</f>
        <v>China</v>
      </c>
      <c r="N1181" t="str">
        <f>_xlfn.XLOOKUP(frasest[[#This Row],[author_es]],autorest[author_es],autorest[nation_la])</f>
        <v>Sinae</v>
      </c>
      <c r="O1181" t="str">
        <f>_xlfn.XLOOKUP(frasest[[#This Row],[author_es]],autorest[author_es],autorest[age_es])</f>
        <v>Epoca Desconocida</v>
      </c>
      <c r="P1181" t="str">
        <f>_xlfn.XLOOKUP(frasest[[#This Row],[author_es]],autorest[author_es],autorest[age_la])</f>
        <v>Epocha Ignota</v>
      </c>
      <c r="Q1181" t="str">
        <f>_xlfn.XLOOKUP(frasest[[#This Row],[author_es]],autorest[author_es],autorest[image])</f>
        <v>https://i.ibb.co/qLfpZm6h/china.png</v>
      </c>
      <c r="R1181">
        <f>_xlfn.XLOOKUP(frasest[[#This Row],[author_es]],autorest[author_es],autorest[image_atr])</f>
        <v>0</v>
      </c>
    </row>
    <row r="1182" spans="1:18">
      <c r="A1182">
        <v>1181</v>
      </c>
      <c r="B1182" t="s">
        <v>3672</v>
      </c>
      <c r="C1182" t="s">
        <v>3673</v>
      </c>
      <c r="D1182" s="1" t="s">
        <v>3674</v>
      </c>
      <c r="E1182" t="s">
        <v>36</v>
      </c>
      <c r="G1182" t="str">
        <f>_xlfn.XLOOKUP(frasest[[#This Row],[author_es]],autorest[author_es],autorest[author_la])</f>
        <v>Proverbium Sinense</v>
      </c>
      <c r="H1182" t="str">
        <f>_xlfn.XLOOKUP(frasest[[#This Row],[author_es]],autorest[author_es],autorest[bio_es])</f>
        <v>Conjunto de proverbios tradicionales de la cultura china que transmiten sabiduría popular, valores morales y enseñanzas prácticas transmitidas oralmente durante siglos.</v>
      </c>
      <c r="I1182" t="str">
        <f>_xlfn.XLOOKUP(frasest[[#This Row],[author_es]],autorest[author_es],autorest[bio_la])</f>
        <v>Collectio sententiarum Sinensium, magnopere in cultura tradita.</v>
      </c>
      <c r="J1182" t="str">
        <f>_xlfn.XLOOKUP(frasest[[#This Row],[author_es]],autorest[author_es],autorest[iso3691])</f>
        <v>zh</v>
      </c>
      <c r="K1182" t="str">
        <f>_xlfn.XLOOKUP(frasest[[#This Row],[author_es]],autorest[author_es],autorest[language_es])</f>
        <v>Chino</v>
      </c>
      <c r="L1182" t="str">
        <f>_xlfn.XLOOKUP(frasest[[#This Row],[author_es]],autorest[author_es],autorest[language_la])</f>
        <v>Lingua Sinica</v>
      </c>
      <c r="M1182" t="str">
        <f>_xlfn.XLOOKUP(frasest[[#This Row],[author_es]],autorest[author_es],autorest[nation_es])</f>
        <v>China</v>
      </c>
      <c r="N1182" t="str">
        <f>_xlfn.XLOOKUP(frasest[[#This Row],[author_es]],autorest[author_es],autorest[nation_la])</f>
        <v>Sinae</v>
      </c>
      <c r="O1182" t="str">
        <f>_xlfn.XLOOKUP(frasest[[#This Row],[author_es]],autorest[author_es],autorest[age_es])</f>
        <v>Epoca Desconocida</v>
      </c>
      <c r="P1182" t="str">
        <f>_xlfn.XLOOKUP(frasest[[#This Row],[author_es]],autorest[author_es],autorest[age_la])</f>
        <v>Epocha Ignota</v>
      </c>
      <c r="Q1182" t="str">
        <f>_xlfn.XLOOKUP(frasest[[#This Row],[author_es]],autorest[author_es],autorest[image])</f>
        <v>https://i.ibb.co/qLfpZm6h/china.png</v>
      </c>
      <c r="R1182">
        <f>_xlfn.XLOOKUP(frasest[[#This Row],[author_es]],autorest[author_es],autorest[image_atr])</f>
        <v>0</v>
      </c>
    </row>
    <row r="1183" spans="1:18">
      <c r="A1183">
        <v>1182</v>
      </c>
      <c r="B1183" t="s">
        <v>3675</v>
      </c>
      <c r="C1183" t="s">
        <v>3676</v>
      </c>
      <c r="D1183" s="1" t="s">
        <v>3677</v>
      </c>
      <c r="E1183" t="s">
        <v>36</v>
      </c>
      <c r="G1183" t="str">
        <f>_xlfn.XLOOKUP(frasest[[#This Row],[author_es]],autorest[author_es],autorest[author_la])</f>
        <v>Proverbium Sinense</v>
      </c>
      <c r="H1183" t="str">
        <f>_xlfn.XLOOKUP(frasest[[#This Row],[author_es]],autorest[author_es],autorest[bio_es])</f>
        <v>Conjunto de proverbios tradicionales de la cultura china que transmiten sabiduría popular, valores morales y enseñanzas prácticas transmitidas oralmente durante siglos.</v>
      </c>
      <c r="I1183" t="str">
        <f>_xlfn.XLOOKUP(frasest[[#This Row],[author_es]],autorest[author_es],autorest[bio_la])</f>
        <v>Collectio sententiarum Sinensium, magnopere in cultura tradita.</v>
      </c>
      <c r="J1183" t="str">
        <f>_xlfn.XLOOKUP(frasest[[#This Row],[author_es]],autorest[author_es],autorest[iso3691])</f>
        <v>zh</v>
      </c>
      <c r="K1183" t="str">
        <f>_xlfn.XLOOKUP(frasest[[#This Row],[author_es]],autorest[author_es],autorest[language_es])</f>
        <v>Chino</v>
      </c>
      <c r="L1183" t="str">
        <f>_xlfn.XLOOKUP(frasest[[#This Row],[author_es]],autorest[author_es],autorest[language_la])</f>
        <v>Lingua Sinica</v>
      </c>
      <c r="M1183" t="str">
        <f>_xlfn.XLOOKUP(frasest[[#This Row],[author_es]],autorest[author_es],autorest[nation_es])</f>
        <v>China</v>
      </c>
      <c r="N1183" t="str">
        <f>_xlfn.XLOOKUP(frasest[[#This Row],[author_es]],autorest[author_es],autorest[nation_la])</f>
        <v>Sinae</v>
      </c>
      <c r="O1183" t="str">
        <f>_xlfn.XLOOKUP(frasest[[#This Row],[author_es]],autorest[author_es],autorest[age_es])</f>
        <v>Epoca Desconocida</v>
      </c>
      <c r="P1183" t="str">
        <f>_xlfn.XLOOKUP(frasest[[#This Row],[author_es]],autorest[author_es],autorest[age_la])</f>
        <v>Epocha Ignota</v>
      </c>
      <c r="Q1183" t="str">
        <f>_xlfn.XLOOKUP(frasest[[#This Row],[author_es]],autorest[author_es],autorest[image])</f>
        <v>https://i.ibb.co/qLfpZm6h/china.png</v>
      </c>
      <c r="R1183">
        <f>_xlfn.XLOOKUP(frasest[[#This Row],[author_es]],autorest[author_es],autorest[image_atr])</f>
        <v>0</v>
      </c>
    </row>
    <row r="1184" spans="1:18">
      <c r="A1184">
        <v>1183</v>
      </c>
      <c r="B1184" t="s">
        <v>3678</v>
      </c>
      <c r="C1184" t="s">
        <v>3679</v>
      </c>
      <c r="D1184" s="1" t="s">
        <v>3680</v>
      </c>
      <c r="E1184" t="s">
        <v>36</v>
      </c>
      <c r="G1184" t="str">
        <f>_xlfn.XLOOKUP(frasest[[#This Row],[author_es]],autorest[author_es],autorest[author_la])</f>
        <v>Proverbium Sinense</v>
      </c>
      <c r="H1184" t="str">
        <f>_xlfn.XLOOKUP(frasest[[#This Row],[author_es]],autorest[author_es],autorest[bio_es])</f>
        <v>Conjunto de proverbios tradicionales de la cultura china que transmiten sabiduría popular, valores morales y enseñanzas prácticas transmitidas oralmente durante siglos.</v>
      </c>
      <c r="I1184" t="str">
        <f>_xlfn.XLOOKUP(frasest[[#This Row],[author_es]],autorest[author_es],autorest[bio_la])</f>
        <v>Collectio sententiarum Sinensium, magnopere in cultura tradita.</v>
      </c>
      <c r="J1184" t="str">
        <f>_xlfn.XLOOKUP(frasest[[#This Row],[author_es]],autorest[author_es],autorest[iso3691])</f>
        <v>zh</v>
      </c>
      <c r="K1184" t="str">
        <f>_xlfn.XLOOKUP(frasest[[#This Row],[author_es]],autorest[author_es],autorest[language_es])</f>
        <v>Chino</v>
      </c>
      <c r="L1184" t="str">
        <f>_xlfn.XLOOKUP(frasest[[#This Row],[author_es]],autorest[author_es],autorest[language_la])</f>
        <v>Lingua Sinica</v>
      </c>
      <c r="M1184" t="str">
        <f>_xlfn.XLOOKUP(frasest[[#This Row],[author_es]],autorest[author_es],autorest[nation_es])</f>
        <v>China</v>
      </c>
      <c r="N1184" t="str">
        <f>_xlfn.XLOOKUP(frasest[[#This Row],[author_es]],autorest[author_es],autorest[nation_la])</f>
        <v>Sinae</v>
      </c>
      <c r="O1184" t="str">
        <f>_xlfn.XLOOKUP(frasest[[#This Row],[author_es]],autorest[author_es],autorest[age_es])</f>
        <v>Epoca Desconocida</v>
      </c>
      <c r="P1184" t="str">
        <f>_xlfn.XLOOKUP(frasest[[#This Row],[author_es]],autorest[author_es],autorest[age_la])</f>
        <v>Epocha Ignota</v>
      </c>
      <c r="Q1184" t="str">
        <f>_xlfn.XLOOKUP(frasest[[#This Row],[author_es]],autorest[author_es],autorest[image])</f>
        <v>https://i.ibb.co/qLfpZm6h/china.png</v>
      </c>
      <c r="R1184">
        <f>_xlfn.XLOOKUP(frasest[[#This Row],[author_es]],autorest[author_es],autorest[image_atr])</f>
        <v>0</v>
      </c>
    </row>
    <row r="1185" spans="1:18">
      <c r="A1185">
        <v>1184</v>
      </c>
      <c r="B1185" t="s">
        <v>3681</v>
      </c>
      <c r="C1185" t="s">
        <v>3682</v>
      </c>
      <c r="D1185" s="1" t="s">
        <v>3683</v>
      </c>
      <c r="E1185" t="s">
        <v>36</v>
      </c>
      <c r="G1185" t="str">
        <f>_xlfn.XLOOKUP(frasest[[#This Row],[author_es]],autorest[author_es],autorest[author_la])</f>
        <v>Proverbium Sinense</v>
      </c>
      <c r="H1185" t="str">
        <f>_xlfn.XLOOKUP(frasest[[#This Row],[author_es]],autorest[author_es],autorest[bio_es])</f>
        <v>Conjunto de proverbios tradicionales de la cultura china que transmiten sabiduría popular, valores morales y enseñanzas prácticas transmitidas oralmente durante siglos.</v>
      </c>
      <c r="I1185" t="str">
        <f>_xlfn.XLOOKUP(frasest[[#This Row],[author_es]],autorest[author_es],autorest[bio_la])</f>
        <v>Collectio sententiarum Sinensium, magnopere in cultura tradita.</v>
      </c>
      <c r="J1185" t="str">
        <f>_xlfn.XLOOKUP(frasest[[#This Row],[author_es]],autorest[author_es],autorest[iso3691])</f>
        <v>zh</v>
      </c>
      <c r="K1185" t="str">
        <f>_xlfn.XLOOKUP(frasest[[#This Row],[author_es]],autorest[author_es],autorest[language_es])</f>
        <v>Chino</v>
      </c>
      <c r="L1185" t="str">
        <f>_xlfn.XLOOKUP(frasest[[#This Row],[author_es]],autorest[author_es],autorest[language_la])</f>
        <v>Lingua Sinica</v>
      </c>
      <c r="M1185" t="str">
        <f>_xlfn.XLOOKUP(frasest[[#This Row],[author_es]],autorest[author_es],autorest[nation_es])</f>
        <v>China</v>
      </c>
      <c r="N1185" t="str">
        <f>_xlfn.XLOOKUP(frasest[[#This Row],[author_es]],autorest[author_es],autorest[nation_la])</f>
        <v>Sinae</v>
      </c>
      <c r="O1185" t="str">
        <f>_xlfn.XLOOKUP(frasest[[#This Row],[author_es]],autorest[author_es],autorest[age_es])</f>
        <v>Epoca Desconocida</v>
      </c>
      <c r="P1185" t="str">
        <f>_xlfn.XLOOKUP(frasest[[#This Row],[author_es]],autorest[author_es],autorest[age_la])</f>
        <v>Epocha Ignota</v>
      </c>
      <c r="Q1185" t="str">
        <f>_xlfn.XLOOKUP(frasest[[#This Row],[author_es]],autorest[author_es],autorest[image])</f>
        <v>https://i.ibb.co/qLfpZm6h/china.png</v>
      </c>
      <c r="R1185">
        <f>_xlfn.XLOOKUP(frasest[[#This Row],[author_es]],autorest[author_es],autorest[image_atr])</f>
        <v>0</v>
      </c>
    </row>
    <row r="1186" spans="1:18">
      <c r="A1186">
        <v>1185</v>
      </c>
      <c r="B1186" t="s">
        <v>3684</v>
      </c>
      <c r="C1186" t="s">
        <v>2372</v>
      </c>
      <c r="D1186" s="1" t="s">
        <v>3685</v>
      </c>
      <c r="E1186" t="s">
        <v>36</v>
      </c>
      <c r="G1186" t="str">
        <f>_xlfn.XLOOKUP(frasest[[#This Row],[author_es]],autorest[author_es],autorest[author_la])</f>
        <v>Proverbium Sinense</v>
      </c>
      <c r="H1186" t="str">
        <f>_xlfn.XLOOKUP(frasest[[#This Row],[author_es]],autorest[author_es],autorest[bio_es])</f>
        <v>Conjunto de proverbios tradicionales de la cultura china que transmiten sabiduría popular, valores morales y enseñanzas prácticas transmitidas oralmente durante siglos.</v>
      </c>
      <c r="I1186" t="str">
        <f>_xlfn.XLOOKUP(frasest[[#This Row],[author_es]],autorest[author_es],autorest[bio_la])</f>
        <v>Collectio sententiarum Sinensium, magnopere in cultura tradita.</v>
      </c>
      <c r="J1186" t="str">
        <f>_xlfn.XLOOKUP(frasest[[#This Row],[author_es]],autorest[author_es],autorest[iso3691])</f>
        <v>zh</v>
      </c>
      <c r="K1186" t="str">
        <f>_xlfn.XLOOKUP(frasest[[#This Row],[author_es]],autorest[author_es],autorest[language_es])</f>
        <v>Chino</v>
      </c>
      <c r="L1186" t="str">
        <f>_xlfn.XLOOKUP(frasest[[#This Row],[author_es]],autorest[author_es],autorest[language_la])</f>
        <v>Lingua Sinica</v>
      </c>
      <c r="M1186" t="str">
        <f>_xlfn.XLOOKUP(frasest[[#This Row],[author_es]],autorest[author_es],autorest[nation_es])</f>
        <v>China</v>
      </c>
      <c r="N1186" t="str">
        <f>_xlfn.XLOOKUP(frasest[[#This Row],[author_es]],autorest[author_es],autorest[nation_la])</f>
        <v>Sinae</v>
      </c>
      <c r="O1186" t="str">
        <f>_xlfn.XLOOKUP(frasest[[#This Row],[author_es]],autorest[author_es],autorest[age_es])</f>
        <v>Epoca Desconocida</v>
      </c>
      <c r="P1186" t="str">
        <f>_xlfn.XLOOKUP(frasest[[#This Row],[author_es]],autorest[author_es],autorest[age_la])</f>
        <v>Epocha Ignota</v>
      </c>
      <c r="Q1186" t="str">
        <f>_xlfn.XLOOKUP(frasest[[#This Row],[author_es]],autorest[author_es],autorest[image])</f>
        <v>https://i.ibb.co/qLfpZm6h/china.png</v>
      </c>
      <c r="R1186">
        <f>_xlfn.XLOOKUP(frasest[[#This Row],[author_es]],autorest[author_es],autorest[image_atr])</f>
        <v>0</v>
      </c>
    </row>
    <row r="1187" spans="1:18">
      <c r="A1187">
        <v>1186</v>
      </c>
      <c r="B1187" t="s">
        <v>3686</v>
      </c>
      <c r="C1187" t="s">
        <v>3687</v>
      </c>
      <c r="D1187" s="1" t="s">
        <v>3688</v>
      </c>
      <c r="E1187" t="s">
        <v>36</v>
      </c>
      <c r="G1187" t="str">
        <f>_xlfn.XLOOKUP(frasest[[#This Row],[author_es]],autorest[author_es],autorest[author_la])</f>
        <v>Proverbium Sinense</v>
      </c>
      <c r="H1187" t="str">
        <f>_xlfn.XLOOKUP(frasest[[#This Row],[author_es]],autorest[author_es],autorest[bio_es])</f>
        <v>Conjunto de proverbios tradicionales de la cultura china que transmiten sabiduría popular, valores morales y enseñanzas prácticas transmitidas oralmente durante siglos.</v>
      </c>
      <c r="I1187" t="str">
        <f>_xlfn.XLOOKUP(frasest[[#This Row],[author_es]],autorest[author_es],autorest[bio_la])</f>
        <v>Collectio sententiarum Sinensium, magnopere in cultura tradita.</v>
      </c>
      <c r="J1187" t="str">
        <f>_xlfn.XLOOKUP(frasest[[#This Row],[author_es]],autorest[author_es],autorest[iso3691])</f>
        <v>zh</v>
      </c>
      <c r="K1187" t="str">
        <f>_xlfn.XLOOKUP(frasest[[#This Row],[author_es]],autorest[author_es],autorest[language_es])</f>
        <v>Chino</v>
      </c>
      <c r="L1187" t="str">
        <f>_xlfn.XLOOKUP(frasest[[#This Row],[author_es]],autorest[author_es],autorest[language_la])</f>
        <v>Lingua Sinica</v>
      </c>
      <c r="M1187" t="str">
        <f>_xlfn.XLOOKUP(frasest[[#This Row],[author_es]],autorest[author_es],autorest[nation_es])</f>
        <v>China</v>
      </c>
      <c r="N1187" t="str">
        <f>_xlfn.XLOOKUP(frasest[[#This Row],[author_es]],autorest[author_es],autorest[nation_la])</f>
        <v>Sinae</v>
      </c>
      <c r="O1187" t="str">
        <f>_xlfn.XLOOKUP(frasest[[#This Row],[author_es]],autorest[author_es],autorest[age_es])</f>
        <v>Epoca Desconocida</v>
      </c>
      <c r="P1187" t="str">
        <f>_xlfn.XLOOKUP(frasest[[#This Row],[author_es]],autorest[author_es],autorest[age_la])</f>
        <v>Epocha Ignota</v>
      </c>
      <c r="Q1187" t="str">
        <f>_xlfn.XLOOKUP(frasest[[#This Row],[author_es]],autorest[author_es],autorest[image])</f>
        <v>https://i.ibb.co/qLfpZm6h/china.png</v>
      </c>
      <c r="R1187">
        <f>_xlfn.XLOOKUP(frasest[[#This Row],[author_es]],autorest[author_es],autorest[image_atr])</f>
        <v>0</v>
      </c>
    </row>
    <row r="1188" spans="1:18">
      <c r="A1188">
        <v>1187</v>
      </c>
      <c r="B1188" t="s">
        <v>3689</v>
      </c>
      <c r="C1188" t="s">
        <v>3690</v>
      </c>
      <c r="D1188" s="1" t="s">
        <v>3691</v>
      </c>
      <c r="E1188" t="s">
        <v>36</v>
      </c>
      <c r="G1188" t="str">
        <f>_xlfn.XLOOKUP(frasest[[#This Row],[author_es]],autorest[author_es],autorest[author_la])</f>
        <v>Proverbium Sinense</v>
      </c>
      <c r="H1188" t="str">
        <f>_xlfn.XLOOKUP(frasest[[#This Row],[author_es]],autorest[author_es],autorest[bio_es])</f>
        <v>Conjunto de proverbios tradicionales de la cultura china que transmiten sabiduría popular, valores morales y enseñanzas prácticas transmitidas oralmente durante siglos.</v>
      </c>
      <c r="I1188" t="str">
        <f>_xlfn.XLOOKUP(frasest[[#This Row],[author_es]],autorest[author_es],autorest[bio_la])</f>
        <v>Collectio sententiarum Sinensium, magnopere in cultura tradita.</v>
      </c>
      <c r="J1188" t="str">
        <f>_xlfn.XLOOKUP(frasest[[#This Row],[author_es]],autorest[author_es],autorest[iso3691])</f>
        <v>zh</v>
      </c>
      <c r="K1188" t="str">
        <f>_xlfn.XLOOKUP(frasest[[#This Row],[author_es]],autorest[author_es],autorest[language_es])</f>
        <v>Chino</v>
      </c>
      <c r="L1188" t="str">
        <f>_xlfn.XLOOKUP(frasest[[#This Row],[author_es]],autorest[author_es],autorest[language_la])</f>
        <v>Lingua Sinica</v>
      </c>
      <c r="M1188" t="str">
        <f>_xlfn.XLOOKUP(frasest[[#This Row],[author_es]],autorest[author_es],autorest[nation_es])</f>
        <v>China</v>
      </c>
      <c r="N1188" t="str">
        <f>_xlfn.XLOOKUP(frasest[[#This Row],[author_es]],autorest[author_es],autorest[nation_la])</f>
        <v>Sinae</v>
      </c>
      <c r="O1188" t="str">
        <f>_xlfn.XLOOKUP(frasest[[#This Row],[author_es]],autorest[author_es],autorest[age_es])</f>
        <v>Epoca Desconocida</v>
      </c>
      <c r="P1188" t="str">
        <f>_xlfn.XLOOKUP(frasest[[#This Row],[author_es]],autorest[author_es],autorest[age_la])</f>
        <v>Epocha Ignota</v>
      </c>
      <c r="Q1188" t="str">
        <f>_xlfn.XLOOKUP(frasest[[#This Row],[author_es]],autorest[author_es],autorest[image])</f>
        <v>https://i.ibb.co/qLfpZm6h/china.png</v>
      </c>
      <c r="R1188">
        <f>_xlfn.XLOOKUP(frasest[[#This Row],[author_es]],autorest[author_es],autorest[image_atr])</f>
        <v>0</v>
      </c>
    </row>
    <row r="1189" spans="1:18">
      <c r="A1189">
        <v>1188</v>
      </c>
      <c r="B1189" t="s">
        <v>3692</v>
      </c>
      <c r="C1189" t="s">
        <v>3693</v>
      </c>
      <c r="D1189" s="1" t="s">
        <v>3694</v>
      </c>
      <c r="E1189" t="s">
        <v>36</v>
      </c>
      <c r="G1189" t="str">
        <f>_xlfn.XLOOKUP(frasest[[#This Row],[author_es]],autorest[author_es],autorest[author_la])</f>
        <v>Proverbium Sinense</v>
      </c>
      <c r="H1189" t="str">
        <f>_xlfn.XLOOKUP(frasest[[#This Row],[author_es]],autorest[author_es],autorest[bio_es])</f>
        <v>Conjunto de proverbios tradicionales de la cultura china que transmiten sabiduría popular, valores morales y enseñanzas prácticas transmitidas oralmente durante siglos.</v>
      </c>
      <c r="I1189" t="str">
        <f>_xlfn.XLOOKUP(frasest[[#This Row],[author_es]],autorest[author_es],autorest[bio_la])</f>
        <v>Collectio sententiarum Sinensium, magnopere in cultura tradita.</v>
      </c>
      <c r="J1189" t="str">
        <f>_xlfn.XLOOKUP(frasest[[#This Row],[author_es]],autorest[author_es],autorest[iso3691])</f>
        <v>zh</v>
      </c>
      <c r="K1189" t="str">
        <f>_xlfn.XLOOKUP(frasest[[#This Row],[author_es]],autorest[author_es],autorest[language_es])</f>
        <v>Chino</v>
      </c>
      <c r="L1189" t="str">
        <f>_xlfn.XLOOKUP(frasest[[#This Row],[author_es]],autorest[author_es],autorest[language_la])</f>
        <v>Lingua Sinica</v>
      </c>
      <c r="M1189" t="str">
        <f>_xlfn.XLOOKUP(frasest[[#This Row],[author_es]],autorest[author_es],autorest[nation_es])</f>
        <v>China</v>
      </c>
      <c r="N1189" t="str">
        <f>_xlfn.XLOOKUP(frasest[[#This Row],[author_es]],autorest[author_es],autorest[nation_la])</f>
        <v>Sinae</v>
      </c>
      <c r="O1189" t="str">
        <f>_xlfn.XLOOKUP(frasest[[#This Row],[author_es]],autorest[author_es],autorest[age_es])</f>
        <v>Epoca Desconocida</v>
      </c>
      <c r="P1189" t="str">
        <f>_xlfn.XLOOKUP(frasest[[#This Row],[author_es]],autorest[author_es],autorest[age_la])</f>
        <v>Epocha Ignota</v>
      </c>
      <c r="Q1189" t="str">
        <f>_xlfn.XLOOKUP(frasest[[#This Row],[author_es]],autorest[author_es],autorest[image])</f>
        <v>https://i.ibb.co/qLfpZm6h/china.png</v>
      </c>
      <c r="R1189">
        <f>_xlfn.XLOOKUP(frasest[[#This Row],[author_es]],autorest[author_es],autorest[image_atr])</f>
        <v>0</v>
      </c>
    </row>
    <row r="1190" spans="1:18">
      <c r="A1190">
        <v>1189</v>
      </c>
      <c r="B1190" t="s">
        <v>3695</v>
      </c>
      <c r="C1190" t="s">
        <v>3011</v>
      </c>
      <c r="D1190" s="1" t="s">
        <v>3614</v>
      </c>
      <c r="E1190" t="s">
        <v>36</v>
      </c>
      <c r="G1190" t="str">
        <f>_xlfn.XLOOKUP(frasest[[#This Row],[author_es]],autorest[author_es],autorest[author_la])</f>
        <v>Proverbium Sinense</v>
      </c>
      <c r="H1190" t="str">
        <f>_xlfn.XLOOKUP(frasest[[#This Row],[author_es]],autorest[author_es],autorest[bio_es])</f>
        <v>Conjunto de proverbios tradicionales de la cultura china que transmiten sabiduría popular, valores morales y enseñanzas prácticas transmitidas oralmente durante siglos.</v>
      </c>
      <c r="I1190" t="str">
        <f>_xlfn.XLOOKUP(frasest[[#This Row],[author_es]],autorest[author_es],autorest[bio_la])</f>
        <v>Collectio sententiarum Sinensium, magnopere in cultura tradita.</v>
      </c>
      <c r="J1190" t="str">
        <f>_xlfn.XLOOKUP(frasest[[#This Row],[author_es]],autorest[author_es],autorest[iso3691])</f>
        <v>zh</v>
      </c>
      <c r="K1190" t="str">
        <f>_xlfn.XLOOKUP(frasest[[#This Row],[author_es]],autorest[author_es],autorest[language_es])</f>
        <v>Chino</v>
      </c>
      <c r="L1190" t="str">
        <f>_xlfn.XLOOKUP(frasest[[#This Row],[author_es]],autorest[author_es],autorest[language_la])</f>
        <v>Lingua Sinica</v>
      </c>
      <c r="M1190" t="str">
        <f>_xlfn.XLOOKUP(frasest[[#This Row],[author_es]],autorest[author_es],autorest[nation_es])</f>
        <v>China</v>
      </c>
      <c r="N1190" t="str">
        <f>_xlfn.XLOOKUP(frasest[[#This Row],[author_es]],autorest[author_es],autorest[nation_la])</f>
        <v>Sinae</v>
      </c>
      <c r="O1190" t="str">
        <f>_xlfn.XLOOKUP(frasest[[#This Row],[author_es]],autorest[author_es],autorest[age_es])</f>
        <v>Epoca Desconocida</v>
      </c>
      <c r="P1190" t="str">
        <f>_xlfn.XLOOKUP(frasest[[#This Row],[author_es]],autorest[author_es],autorest[age_la])</f>
        <v>Epocha Ignota</v>
      </c>
      <c r="Q1190" t="str">
        <f>_xlfn.XLOOKUP(frasest[[#This Row],[author_es]],autorest[author_es],autorest[image])</f>
        <v>https://i.ibb.co/qLfpZm6h/china.png</v>
      </c>
      <c r="R1190">
        <f>_xlfn.XLOOKUP(frasest[[#This Row],[author_es]],autorest[author_es],autorest[image_atr])</f>
        <v>0</v>
      </c>
    </row>
    <row r="1191" spans="1:18">
      <c r="A1191">
        <v>1190</v>
      </c>
      <c r="B1191" t="s">
        <v>3696</v>
      </c>
      <c r="C1191" t="s">
        <v>3697</v>
      </c>
      <c r="D1191" s="1" t="s">
        <v>3698</v>
      </c>
      <c r="E1191" t="s">
        <v>36</v>
      </c>
      <c r="G1191" t="str">
        <f>_xlfn.XLOOKUP(frasest[[#This Row],[author_es]],autorest[author_es],autorest[author_la])</f>
        <v>Proverbium Sinense</v>
      </c>
      <c r="H1191" t="str">
        <f>_xlfn.XLOOKUP(frasest[[#This Row],[author_es]],autorest[author_es],autorest[bio_es])</f>
        <v>Conjunto de proverbios tradicionales de la cultura china que transmiten sabiduría popular, valores morales y enseñanzas prácticas transmitidas oralmente durante siglos.</v>
      </c>
      <c r="I1191" t="str">
        <f>_xlfn.XLOOKUP(frasest[[#This Row],[author_es]],autorest[author_es],autorest[bio_la])</f>
        <v>Collectio sententiarum Sinensium, magnopere in cultura tradita.</v>
      </c>
      <c r="J1191" t="str">
        <f>_xlfn.XLOOKUP(frasest[[#This Row],[author_es]],autorest[author_es],autorest[iso3691])</f>
        <v>zh</v>
      </c>
      <c r="K1191" t="str">
        <f>_xlfn.XLOOKUP(frasest[[#This Row],[author_es]],autorest[author_es],autorest[language_es])</f>
        <v>Chino</v>
      </c>
      <c r="L1191" t="str">
        <f>_xlfn.XLOOKUP(frasest[[#This Row],[author_es]],autorest[author_es],autorest[language_la])</f>
        <v>Lingua Sinica</v>
      </c>
      <c r="M1191" t="str">
        <f>_xlfn.XLOOKUP(frasest[[#This Row],[author_es]],autorest[author_es],autorest[nation_es])</f>
        <v>China</v>
      </c>
      <c r="N1191" t="str">
        <f>_xlfn.XLOOKUP(frasest[[#This Row],[author_es]],autorest[author_es],autorest[nation_la])</f>
        <v>Sinae</v>
      </c>
      <c r="O1191" t="str">
        <f>_xlfn.XLOOKUP(frasest[[#This Row],[author_es]],autorest[author_es],autorest[age_es])</f>
        <v>Epoca Desconocida</v>
      </c>
      <c r="P1191" t="str">
        <f>_xlfn.XLOOKUP(frasest[[#This Row],[author_es]],autorest[author_es],autorest[age_la])</f>
        <v>Epocha Ignota</v>
      </c>
      <c r="Q1191" t="str">
        <f>_xlfn.XLOOKUP(frasest[[#This Row],[author_es]],autorest[author_es],autorest[image])</f>
        <v>https://i.ibb.co/qLfpZm6h/china.png</v>
      </c>
      <c r="R1191">
        <f>_xlfn.XLOOKUP(frasest[[#This Row],[author_es]],autorest[author_es],autorest[image_atr])</f>
        <v>0</v>
      </c>
    </row>
    <row r="1192" spans="1:18">
      <c r="A1192">
        <v>1191</v>
      </c>
      <c r="B1192" t="s">
        <v>3699</v>
      </c>
      <c r="C1192" t="s">
        <v>3700</v>
      </c>
      <c r="D1192" s="1" t="s">
        <v>3701</v>
      </c>
      <c r="E1192" t="s">
        <v>36</v>
      </c>
      <c r="G1192" t="str">
        <f>_xlfn.XLOOKUP(frasest[[#This Row],[author_es]],autorest[author_es],autorest[author_la])</f>
        <v>Proverbium Sinense</v>
      </c>
      <c r="H1192" t="str">
        <f>_xlfn.XLOOKUP(frasest[[#This Row],[author_es]],autorest[author_es],autorest[bio_es])</f>
        <v>Conjunto de proverbios tradicionales de la cultura china que transmiten sabiduría popular, valores morales y enseñanzas prácticas transmitidas oralmente durante siglos.</v>
      </c>
      <c r="I1192" t="str">
        <f>_xlfn.XLOOKUP(frasest[[#This Row],[author_es]],autorest[author_es],autorest[bio_la])</f>
        <v>Collectio sententiarum Sinensium, magnopere in cultura tradita.</v>
      </c>
      <c r="J1192" t="str">
        <f>_xlfn.XLOOKUP(frasest[[#This Row],[author_es]],autorest[author_es],autorest[iso3691])</f>
        <v>zh</v>
      </c>
      <c r="K1192" t="str">
        <f>_xlfn.XLOOKUP(frasest[[#This Row],[author_es]],autorest[author_es],autorest[language_es])</f>
        <v>Chino</v>
      </c>
      <c r="L1192" t="str">
        <f>_xlfn.XLOOKUP(frasest[[#This Row],[author_es]],autorest[author_es],autorest[language_la])</f>
        <v>Lingua Sinica</v>
      </c>
      <c r="M1192" t="str">
        <f>_xlfn.XLOOKUP(frasest[[#This Row],[author_es]],autorest[author_es],autorest[nation_es])</f>
        <v>China</v>
      </c>
      <c r="N1192" t="str">
        <f>_xlfn.XLOOKUP(frasest[[#This Row],[author_es]],autorest[author_es],autorest[nation_la])</f>
        <v>Sinae</v>
      </c>
      <c r="O1192" t="str">
        <f>_xlfn.XLOOKUP(frasest[[#This Row],[author_es]],autorest[author_es],autorest[age_es])</f>
        <v>Epoca Desconocida</v>
      </c>
      <c r="P1192" t="str">
        <f>_xlfn.XLOOKUP(frasest[[#This Row],[author_es]],autorest[author_es],autorest[age_la])</f>
        <v>Epocha Ignota</v>
      </c>
      <c r="Q1192" t="str">
        <f>_xlfn.XLOOKUP(frasest[[#This Row],[author_es]],autorest[author_es],autorest[image])</f>
        <v>https://i.ibb.co/qLfpZm6h/china.png</v>
      </c>
      <c r="R1192">
        <f>_xlfn.XLOOKUP(frasest[[#This Row],[author_es]],autorest[author_es],autorest[image_atr])</f>
        <v>0</v>
      </c>
    </row>
    <row r="1193" spans="1:18">
      <c r="A1193">
        <v>1192</v>
      </c>
      <c r="B1193" t="s">
        <v>3702</v>
      </c>
      <c r="C1193" t="s">
        <v>3703</v>
      </c>
      <c r="D1193" s="1" t="s">
        <v>3704</v>
      </c>
      <c r="E1193" t="s">
        <v>36</v>
      </c>
      <c r="G1193" t="str">
        <f>_xlfn.XLOOKUP(frasest[[#This Row],[author_es]],autorest[author_es],autorest[author_la])</f>
        <v>Proverbium Sinense</v>
      </c>
      <c r="H1193" t="str">
        <f>_xlfn.XLOOKUP(frasest[[#This Row],[author_es]],autorest[author_es],autorest[bio_es])</f>
        <v>Conjunto de proverbios tradicionales de la cultura china que transmiten sabiduría popular, valores morales y enseñanzas prácticas transmitidas oralmente durante siglos.</v>
      </c>
      <c r="I1193" t="str">
        <f>_xlfn.XLOOKUP(frasest[[#This Row],[author_es]],autorest[author_es],autorest[bio_la])</f>
        <v>Collectio sententiarum Sinensium, magnopere in cultura tradita.</v>
      </c>
      <c r="J1193" t="str">
        <f>_xlfn.XLOOKUP(frasest[[#This Row],[author_es]],autorest[author_es],autorest[iso3691])</f>
        <v>zh</v>
      </c>
      <c r="K1193" t="str">
        <f>_xlfn.XLOOKUP(frasest[[#This Row],[author_es]],autorest[author_es],autorest[language_es])</f>
        <v>Chino</v>
      </c>
      <c r="L1193" t="str">
        <f>_xlfn.XLOOKUP(frasest[[#This Row],[author_es]],autorest[author_es],autorest[language_la])</f>
        <v>Lingua Sinica</v>
      </c>
      <c r="M1193" t="str">
        <f>_xlfn.XLOOKUP(frasest[[#This Row],[author_es]],autorest[author_es],autorest[nation_es])</f>
        <v>China</v>
      </c>
      <c r="N1193" t="str">
        <f>_xlfn.XLOOKUP(frasest[[#This Row],[author_es]],autorest[author_es],autorest[nation_la])</f>
        <v>Sinae</v>
      </c>
      <c r="O1193" t="str">
        <f>_xlfn.XLOOKUP(frasest[[#This Row],[author_es]],autorest[author_es],autorest[age_es])</f>
        <v>Epoca Desconocida</v>
      </c>
      <c r="P1193" t="str">
        <f>_xlfn.XLOOKUP(frasest[[#This Row],[author_es]],autorest[author_es],autorest[age_la])</f>
        <v>Epocha Ignota</v>
      </c>
      <c r="Q1193" t="str">
        <f>_xlfn.XLOOKUP(frasest[[#This Row],[author_es]],autorest[author_es],autorest[image])</f>
        <v>https://i.ibb.co/qLfpZm6h/china.png</v>
      </c>
      <c r="R1193">
        <f>_xlfn.XLOOKUP(frasest[[#This Row],[author_es]],autorest[author_es],autorest[image_atr])</f>
        <v>0</v>
      </c>
    </row>
    <row r="1194" spans="1:18">
      <c r="A1194">
        <v>1193</v>
      </c>
      <c r="B1194" t="s">
        <v>3705</v>
      </c>
      <c r="C1194" t="s">
        <v>3706</v>
      </c>
      <c r="D1194" s="1" t="s">
        <v>3707</v>
      </c>
      <c r="E1194" t="s">
        <v>36</v>
      </c>
      <c r="G1194" t="str">
        <f>_xlfn.XLOOKUP(frasest[[#This Row],[author_es]],autorest[author_es],autorest[author_la])</f>
        <v>Proverbium Sinense</v>
      </c>
      <c r="H1194" t="str">
        <f>_xlfn.XLOOKUP(frasest[[#This Row],[author_es]],autorest[author_es],autorest[bio_es])</f>
        <v>Conjunto de proverbios tradicionales de la cultura china que transmiten sabiduría popular, valores morales y enseñanzas prácticas transmitidas oralmente durante siglos.</v>
      </c>
      <c r="I1194" t="str">
        <f>_xlfn.XLOOKUP(frasest[[#This Row],[author_es]],autorest[author_es],autorest[bio_la])</f>
        <v>Collectio sententiarum Sinensium, magnopere in cultura tradita.</v>
      </c>
      <c r="J1194" t="str">
        <f>_xlfn.XLOOKUP(frasest[[#This Row],[author_es]],autorest[author_es],autorest[iso3691])</f>
        <v>zh</v>
      </c>
      <c r="K1194" t="str">
        <f>_xlfn.XLOOKUP(frasest[[#This Row],[author_es]],autorest[author_es],autorest[language_es])</f>
        <v>Chino</v>
      </c>
      <c r="L1194" t="str">
        <f>_xlfn.XLOOKUP(frasest[[#This Row],[author_es]],autorest[author_es],autorest[language_la])</f>
        <v>Lingua Sinica</v>
      </c>
      <c r="M1194" t="str">
        <f>_xlfn.XLOOKUP(frasest[[#This Row],[author_es]],autorest[author_es],autorest[nation_es])</f>
        <v>China</v>
      </c>
      <c r="N1194" t="str">
        <f>_xlfn.XLOOKUP(frasest[[#This Row],[author_es]],autorest[author_es],autorest[nation_la])</f>
        <v>Sinae</v>
      </c>
      <c r="O1194" t="str">
        <f>_xlfn.XLOOKUP(frasest[[#This Row],[author_es]],autorest[author_es],autorest[age_es])</f>
        <v>Epoca Desconocida</v>
      </c>
      <c r="P1194" t="str">
        <f>_xlfn.XLOOKUP(frasest[[#This Row],[author_es]],autorest[author_es],autorest[age_la])</f>
        <v>Epocha Ignota</v>
      </c>
      <c r="Q1194" t="str">
        <f>_xlfn.XLOOKUP(frasest[[#This Row],[author_es]],autorest[author_es],autorest[image])</f>
        <v>https://i.ibb.co/qLfpZm6h/china.png</v>
      </c>
      <c r="R1194">
        <f>_xlfn.XLOOKUP(frasest[[#This Row],[author_es]],autorest[author_es],autorest[image_atr])</f>
        <v>0</v>
      </c>
    </row>
    <row r="1195" spans="1:18">
      <c r="A1195">
        <v>1194</v>
      </c>
      <c r="B1195" t="s">
        <v>3708</v>
      </c>
      <c r="C1195" t="s">
        <v>3709</v>
      </c>
      <c r="D1195" s="1" t="s">
        <v>3258</v>
      </c>
      <c r="E1195" t="s">
        <v>36</v>
      </c>
      <c r="G1195" t="str">
        <f>_xlfn.XLOOKUP(frasest[[#This Row],[author_es]],autorest[author_es],autorest[author_la])</f>
        <v>Proverbium Sinense</v>
      </c>
      <c r="H1195" t="str">
        <f>_xlfn.XLOOKUP(frasest[[#This Row],[author_es]],autorest[author_es],autorest[bio_es])</f>
        <v>Conjunto de proverbios tradicionales de la cultura china que transmiten sabiduría popular, valores morales y enseñanzas prácticas transmitidas oralmente durante siglos.</v>
      </c>
      <c r="I1195" t="str">
        <f>_xlfn.XLOOKUP(frasest[[#This Row],[author_es]],autorest[author_es],autorest[bio_la])</f>
        <v>Collectio sententiarum Sinensium, magnopere in cultura tradita.</v>
      </c>
      <c r="J1195" t="str">
        <f>_xlfn.XLOOKUP(frasest[[#This Row],[author_es]],autorest[author_es],autorest[iso3691])</f>
        <v>zh</v>
      </c>
      <c r="K1195" t="str">
        <f>_xlfn.XLOOKUP(frasest[[#This Row],[author_es]],autorest[author_es],autorest[language_es])</f>
        <v>Chino</v>
      </c>
      <c r="L1195" t="str">
        <f>_xlfn.XLOOKUP(frasest[[#This Row],[author_es]],autorest[author_es],autorest[language_la])</f>
        <v>Lingua Sinica</v>
      </c>
      <c r="M1195" t="str">
        <f>_xlfn.XLOOKUP(frasest[[#This Row],[author_es]],autorest[author_es],autorest[nation_es])</f>
        <v>China</v>
      </c>
      <c r="N1195" t="str">
        <f>_xlfn.XLOOKUP(frasest[[#This Row],[author_es]],autorest[author_es],autorest[nation_la])</f>
        <v>Sinae</v>
      </c>
      <c r="O1195" t="str">
        <f>_xlfn.XLOOKUP(frasest[[#This Row],[author_es]],autorest[author_es],autorest[age_es])</f>
        <v>Epoca Desconocida</v>
      </c>
      <c r="P1195" t="str">
        <f>_xlfn.XLOOKUP(frasest[[#This Row],[author_es]],autorest[author_es],autorest[age_la])</f>
        <v>Epocha Ignota</v>
      </c>
      <c r="Q1195" t="str">
        <f>_xlfn.XLOOKUP(frasest[[#This Row],[author_es]],autorest[author_es],autorest[image])</f>
        <v>https://i.ibb.co/qLfpZm6h/china.png</v>
      </c>
      <c r="R1195">
        <f>_xlfn.XLOOKUP(frasest[[#This Row],[author_es]],autorest[author_es],autorest[image_atr])</f>
        <v>0</v>
      </c>
    </row>
    <row r="1196" spans="1:18">
      <c r="A1196">
        <v>1195</v>
      </c>
      <c r="B1196" t="s">
        <v>3710</v>
      </c>
      <c r="C1196" t="s">
        <v>2997</v>
      </c>
      <c r="D1196" s="1" t="s">
        <v>3711</v>
      </c>
      <c r="E1196" t="s">
        <v>36</v>
      </c>
      <c r="G1196" t="str">
        <f>_xlfn.XLOOKUP(frasest[[#This Row],[author_es]],autorest[author_es],autorest[author_la])</f>
        <v>Proverbium Sinense</v>
      </c>
      <c r="H1196" t="str">
        <f>_xlfn.XLOOKUP(frasest[[#This Row],[author_es]],autorest[author_es],autorest[bio_es])</f>
        <v>Conjunto de proverbios tradicionales de la cultura china que transmiten sabiduría popular, valores morales y enseñanzas prácticas transmitidas oralmente durante siglos.</v>
      </c>
      <c r="I1196" t="str">
        <f>_xlfn.XLOOKUP(frasest[[#This Row],[author_es]],autorest[author_es],autorest[bio_la])</f>
        <v>Collectio sententiarum Sinensium, magnopere in cultura tradita.</v>
      </c>
      <c r="J1196" t="str">
        <f>_xlfn.XLOOKUP(frasest[[#This Row],[author_es]],autorest[author_es],autorest[iso3691])</f>
        <v>zh</v>
      </c>
      <c r="K1196" t="str">
        <f>_xlfn.XLOOKUP(frasest[[#This Row],[author_es]],autorest[author_es],autorest[language_es])</f>
        <v>Chino</v>
      </c>
      <c r="L1196" t="str">
        <f>_xlfn.XLOOKUP(frasest[[#This Row],[author_es]],autorest[author_es],autorest[language_la])</f>
        <v>Lingua Sinica</v>
      </c>
      <c r="M1196" t="str">
        <f>_xlfn.XLOOKUP(frasest[[#This Row],[author_es]],autorest[author_es],autorest[nation_es])</f>
        <v>China</v>
      </c>
      <c r="N1196" t="str">
        <f>_xlfn.XLOOKUP(frasest[[#This Row],[author_es]],autorest[author_es],autorest[nation_la])</f>
        <v>Sinae</v>
      </c>
      <c r="O1196" t="str">
        <f>_xlfn.XLOOKUP(frasest[[#This Row],[author_es]],autorest[author_es],autorest[age_es])</f>
        <v>Epoca Desconocida</v>
      </c>
      <c r="P1196" t="str">
        <f>_xlfn.XLOOKUP(frasest[[#This Row],[author_es]],autorest[author_es],autorest[age_la])</f>
        <v>Epocha Ignota</v>
      </c>
      <c r="Q1196" t="str">
        <f>_xlfn.XLOOKUP(frasest[[#This Row],[author_es]],autorest[author_es],autorest[image])</f>
        <v>https://i.ibb.co/qLfpZm6h/china.png</v>
      </c>
      <c r="R1196">
        <f>_xlfn.XLOOKUP(frasest[[#This Row],[author_es]],autorest[author_es],autorest[image_atr])</f>
        <v>0</v>
      </c>
    </row>
    <row r="1197" spans="1:18">
      <c r="A1197">
        <v>1196</v>
      </c>
      <c r="B1197" t="s">
        <v>2986</v>
      </c>
      <c r="C1197" t="s">
        <v>2987</v>
      </c>
      <c r="D1197" s="1" t="s">
        <v>3712</v>
      </c>
      <c r="E1197" t="s">
        <v>36</v>
      </c>
      <c r="G1197" t="str">
        <f>_xlfn.XLOOKUP(frasest[[#This Row],[author_es]],autorest[author_es],autorest[author_la])</f>
        <v>Proverbium Sinense</v>
      </c>
      <c r="H1197" t="str">
        <f>_xlfn.XLOOKUP(frasest[[#This Row],[author_es]],autorest[author_es],autorest[bio_es])</f>
        <v>Conjunto de proverbios tradicionales de la cultura china que transmiten sabiduría popular, valores morales y enseñanzas prácticas transmitidas oralmente durante siglos.</v>
      </c>
      <c r="I1197" t="str">
        <f>_xlfn.XLOOKUP(frasest[[#This Row],[author_es]],autorest[author_es],autorest[bio_la])</f>
        <v>Collectio sententiarum Sinensium, magnopere in cultura tradita.</v>
      </c>
      <c r="J1197" t="str">
        <f>_xlfn.XLOOKUP(frasest[[#This Row],[author_es]],autorest[author_es],autorest[iso3691])</f>
        <v>zh</v>
      </c>
      <c r="K1197" t="str">
        <f>_xlfn.XLOOKUP(frasest[[#This Row],[author_es]],autorest[author_es],autorest[language_es])</f>
        <v>Chino</v>
      </c>
      <c r="L1197" t="str">
        <f>_xlfn.XLOOKUP(frasest[[#This Row],[author_es]],autorest[author_es],autorest[language_la])</f>
        <v>Lingua Sinica</v>
      </c>
      <c r="M1197" t="str">
        <f>_xlfn.XLOOKUP(frasest[[#This Row],[author_es]],autorest[author_es],autorest[nation_es])</f>
        <v>China</v>
      </c>
      <c r="N1197" t="str">
        <f>_xlfn.XLOOKUP(frasest[[#This Row],[author_es]],autorest[author_es],autorest[nation_la])</f>
        <v>Sinae</v>
      </c>
      <c r="O1197" t="str">
        <f>_xlfn.XLOOKUP(frasest[[#This Row],[author_es]],autorest[author_es],autorest[age_es])</f>
        <v>Epoca Desconocida</v>
      </c>
      <c r="P1197" t="str">
        <f>_xlfn.XLOOKUP(frasest[[#This Row],[author_es]],autorest[author_es],autorest[age_la])</f>
        <v>Epocha Ignota</v>
      </c>
      <c r="Q1197" t="str">
        <f>_xlfn.XLOOKUP(frasest[[#This Row],[author_es]],autorest[author_es],autorest[image])</f>
        <v>https://i.ibb.co/qLfpZm6h/china.png</v>
      </c>
      <c r="R1197">
        <f>_xlfn.XLOOKUP(frasest[[#This Row],[author_es]],autorest[author_es],autorest[image_atr])</f>
        <v>0</v>
      </c>
    </row>
    <row r="1198" spans="1:18">
      <c r="A1198">
        <v>1197</v>
      </c>
      <c r="B1198" t="s">
        <v>3713</v>
      </c>
      <c r="C1198" t="s">
        <v>3714</v>
      </c>
      <c r="D1198" s="1" t="s">
        <v>3715</v>
      </c>
      <c r="E1198" t="s">
        <v>36</v>
      </c>
      <c r="G1198" t="str">
        <f>_xlfn.XLOOKUP(frasest[[#This Row],[author_es]],autorest[author_es],autorest[author_la])</f>
        <v>Proverbium Sinense</v>
      </c>
      <c r="H1198" t="str">
        <f>_xlfn.XLOOKUP(frasest[[#This Row],[author_es]],autorest[author_es],autorest[bio_es])</f>
        <v>Conjunto de proverbios tradicionales de la cultura china que transmiten sabiduría popular, valores morales y enseñanzas prácticas transmitidas oralmente durante siglos.</v>
      </c>
      <c r="I1198" t="str">
        <f>_xlfn.XLOOKUP(frasest[[#This Row],[author_es]],autorest[author_es],autorest[bio_la])</f>
        <v>Collectio sententiarum Sinensium, magnopere in cultura tradita.</v>
      </c>
      <c r="J1198" t="str">
        <f>_xlfn.XLOOKUP(frasest[[#This Row],[author_es]],autorest[author_es],autorest[iso3691])</f>
        <v>zh</v>
      </c>
      <c r="K1198" t="str">
        <f>_xlfn.XLOOKUP(frasest[[#This Row],[author_es]],autorest[author_es],autorest[language_es])</f>
        <v>Chino</v>
      </c>
      <c r="L1198" t="str">
        <f>_xlfn.XLOOKUP(frasest[[#This Row],[author_es]],autorest[author_es],autorest[language_la])</f>
        <v>Lingua Sinica</v>
      </c>
      <c r="M1198" t="str">
        <f>_xlfn.XLOOKUP(frasest[[#This Row],[author_es]],autorest[author_es],autorest[nation_es])</f>
        <v>China</v>
      </c>
      <c r="N1198" t="str">
        <f>_xlfn.XLOOKUP(frasest[[#This Row],[author_es]],autorest[author_es],autorest[nation_la])</f>
        <v>Sinae</v>
      </c>
      <c r="O1198" t="str">
        <f>_xlfn.XLOOKUP(frasest[[#This Row],[author_es]],autorest[author_es],autorest[age_es])</f>
        <v>Epoca Desconocida</v>
      </c>
      <c r="P1198" t="str">
        <f>_xlfn.XLOOKUP(frasest[[#This Row],[author_es]],autorest[author_es],autorest[age_la])</f>
        <v>Epocha Ignota</v>
      </c>
      <c r="Q1198" t="str">
        <f>_xlfn.XLOOKUP(frasest[[#This Row],[author_es]],autorest[author_es],autorest[image])</f>
        <v>https://i.ibb.co/qLfpZm6h/china.png</v>
      </c>
      <c r="R1198">
        <f>_xlfn.XLOOKUP(frasest[[#This Row],[author_es]],autorest[author_es],autorest[image_atr])</f>
        <v>0</v>
      </c>
    </row>
    <row r="1199" spans="1:18">
      <c r="A1199">
        <v>1198</v>
      </c>
      <c r="B1199" t="s">
        <v>3716</v>
      </c>
      <c r="C1199" t="s">
        <v>3717</v>
      </c>
      <c r="D1199" s="1" t="s">
        <v>3541</v>
      </c>
      <c r="E1199" t="s">
        <v>36</v>
      </c>
      <c r="G1199" t="str">
        <f>_xlfn.XLOOKUP(frasest[[#This Row],[author_es]],autorest[author_es],autorest[author_la])</f>
        <v>Proverbium Sinense</v>
      </c>
      <c r="H1199" t="str">
        <f>_xlfn.XLOOKUP(frasest[[#This Row],[author_es]],autorest[author_es],autorest[bio_es])</f>
        <v>Conjunto de proverbios tradicionales de la cultura china que transmiten sabiduría popular, valores morales y enseñanzas prácticas transmitidas oralmente durante siglos.</v>
      </c>
      <c r="I1199" t="str">
        <f>_xlfn.XLOOKUP(frasest[[#This Row],[author_es]],autorest[author_es],autorest[bio_la])</f>
        <v>Collectio sententiarum Sinensium, magnopere in cultura tradita.</v>
      </c>
      <c r="J1199" t="str">
        <f>_xlfn.XLOOKUP(frasest[[#This Row],[author_es]],autorest[author_es],autorest[iso3691])</f>
        <v>zh</v>
      </c>
      <c r="K1199" t="str">
        <f>_xlfn.XLOOKUP(frasest[[#This Row],[author_es]],autorest[author_es],autorest[language_es])</f>
        <v>Chino</v>
      </c>
      <c r="L1199" t="str">
        <f>_xlfn.XLOOKUP(frasest[[#This Row],[author_es]],autorest[author_es],autorest[language_la])</f>
        <v>Lingua Sinica</v>
      </c>
      <c r="M1199" t="str">
        <f>_xlfn.XLOOKUP(frasest[[#This Row],[author_es]],autorest[author_es],autorest[nation_es])</f>
        <v>China</v>
      </c>
      <c r="N1199" t="str">
        <f>_xlfn.XLOOKUP(frasest[[#This Row],[author_es]],autorest[author_es],autorest[nation_la])</f>
        <v>Sinae</v>
      </c>
      <c r="O1199" t="str">
        <f>_xlfn.XLOOKUP(frasest[[#This Row],[author_es]],autorest[author_es],autorest[age_es])</f>
        <v>Epoca Desconocida</v>
      </c>
      <c r="P1199" t="str">
        <f>_xlfn.XLOOKUP(frasest[[#This Row],[author_es]],autorest[author_es],autorest[age_la])</f>
        <v>Epocha Ignota</v>
      </c>
      <c r="Q1199" t="str">
        <f>_xlfn.XLOOKUP(frasest[[#This Row],[author_es]],autorest[author_es],autorest[image])</f>
        <v>https://i.ibb.co/qLfpZm6h/china.png</v>
      </c>
      <c r="R1199">
        <f>_xlfn.XLOOKUP(frasest[[#This Row],[author_es]],autorest[author_es],autorest[image_atr])</f>
        <v>0</v>
      </c>
    </row>
    <row r="1200" spans="1:18">
      <c r="A1200">
        <v>1199</v>
      </c>
      <c r="B1200" t="s">
        <v>3718</v>
      </c>
      <c r="C1200" t="s">
        <v>3719</v>
      </c>
      <c r="D1200" s="1" t="s">
        <v>3720</v>
      </c>
      <c r="E1200" t="s">
        <v>36</v>
      </c>
      <c r="G1200" t="str">
        <f>_xlfn.XLOOKUP(frasest[[#This Row],[author_es]],autorest[author_es],autorest[author_la])</f>
        <v>Proverbium Sinense</v>
      </c>
      <c r="H1200" t="str">
        <f>_xlfn.XLOOKUP(frasest[[#This Row],[author_es]],autorest[author_es],autorest[bio_es])</f>
        <v>Conjunto de proverbios tradicionales de la cultura china que transmiten sabiduría popular, valores morales y enseñanzas prácticas transmitidas oralmente durante siglos.</v>
      </c>
      <c r="I1200" t="str">
        <f>_xlfn.XLOOKUP(frasest[[#This Row],[author_es]],autorest[author_es],autorest[bio_la])</f>
        <v>Collectio sententiarum Sinensium, magnopere in cultura tradita.</v>
      </c>
      <c r="J1200" t="str">
        <f>_xlfn.XLOOKUP(frasest[[#This Row],[author_es]],autorest[author_es],autorest[iso3691])</f>
        <v>zh</v>
      </c>
      <c r="K1200" t="str">
        <f>_xlfn.XLOOKUP(frasest[[#This Row],[author_es]],autorest[author_es],autorest[language_es])</f>
        <v>Chino</v>
      </c>
      <c r="L1200" t="str">
        <f>_xlfn.XLOOKUP(frasest[[#This Row],[author_es]],autorest[author_es],autorest[language_la])</f>
        <v>Lingua Sinica</v>
      </c>
      <c r="M1200" t="str">
        <f>_xlfn.XLOOKUP(frasest[[#This Row],[author_es]],autorest[author_es],autorest[nation_es])</f>
        <v>China</v>
      </c>
      <c r="N1200" t="str">
        <f>_xlfn.XLOOKUP(frasest[[#This Row],[author_es]],autorest[author_es],autorest[nation_la])</f>
        <v>Sinae</v>
      </c>
      <c r="O1200" t="str">
        <f>_xlfn.XLOOKUP(frasest[[#This Row],[author_es]],autorest[author_es],autorest[age_es])</f>
        <v>Epoca Desconocida</v>
      </c>
      <c r="P1200" t="str">
        <f>_xlfn.XLOOKUP(frasest[[#This Row],[author_es]],autorest[author_es],autorest[age_la])</f>
        <v>Epocha Ignota</v>
      </c>
      <c r="Q1200" t="str">
        <f>_xlfn.XLOOKUP(frasest[[#This Row],[author_es]],autorest[author_es],autorest[image])</f>
        <v>https://i.ibb.co/qLfpZm6h/china.png</v>
      </c>
      <c r="R1200">
        <f>_xlfn.XLOOKUP(frasest[[#This Row],[author_es]],autorest[author_es],autorest[image_atr])</f>
        <v>0</v>
      </c>
    </row>
    <row r="1201" spans="1:18">
      <c r="A1201">
        <v>1200</v>
      </c>
      <c r="B1201" t="s">
        <v>3721</v>
      </c>
      <c r="C1201" t="s">
        <v>3722</v>
      </c>
      <c r="D1201" s="1" t="s">
        <v>3723</v>
      </c>
      <c r="E1201" t="s">
        <v>36</v>
      </c>
      <c r="G1201" t="str">
        <f>_xlfn.XLOOKUP(frasest[[#This Row],[author_es]],autorest[author_es],autorest[author_la])</f>
        <v>Proverbium Sinense</v>
      </c>
      <c r="H1201" t="str">
        <f>_xlfn.XLOOKUP(frasest[[#This Row],[author_es]],autorest[author_es],autorest[bio_es])</f>
        <v>Conjunto de proverbios tradicionales de la cultura china que transmiten sabiduría popular, valores morales y enseñanzas prácticas transmitidas oralmente durante siglos.</v>
      </c>
      <c r="I1201" t="str">
        <f>_xlfn.XLOOKUP(frasest[[#This Row],[author_es]],autorest[author_es],autorest[bio_la])</f>
        <v>Collectio sententiarum Sinensium, magnopere in cultura tradita.</v>
      </c>
      <c r="J1201" t="str">
        <f>_xlfn.XLOOKUP(frasest[[#This Row],[author_es]],autorest[author_es],autorest[iso3691])</f>
        <v>zh</v>
      </c>
      <c r="K1201" t="str">
        <f>_xlfn.XLOOKUP(frasest[[#This Row],[author_es]],autorest[author_es],autorest[language_es])</f>
        <v>Chino</v>
      </c>
      <c r="L1201" t="str">
        <f>_xlfn.XLOOKUP(frasest[[#This Row],[author_es]],autorest[author_es],autorest[language_la])</f>
        <v>Lingua Sinica</v>
      </c>
      <c r="M1201" t="str">
        <f>_xlfn.XLOOKUP(frasest[[#This Row],[author_es]],autorest[author_es],autorest[nation_es])</f>
        <v>China</v>
      </c>
      <c r="N1201" t="str">
        <f>_xlfn.XLOOKUP(frasest[[#This Row],[author_es]],autorest[author_es],autorest[nation_la])</f>
        <v>Sinae</v>
      </c>
      <c r="O1201" t="str">
        <f>_xlfn.XLOOKUP(frasest[[#This Row],[author_es]],autorest[author_es],autorest[age_es])</f>
        <v>Epoca Desconocida</v>
      </c>
      <c r="P1201" t="str">
        <f>_xlfn.XLOOKUP(frasest[[#This Row],[author_es]],autorest[author_es],autorest[age_la])</f>
        <v>Epocha Ignota</v>
      </c>
      <c r="Q1201" t="str">
        <f>_xlfn.XLOOKUP(frasest[[#This Row],[author_es]],autorest[author_es],autorest[image])</f>
        <v>https://i.ibb.co/qLfpZm6h/china.png</v>
      </c>
      <c r="R1201">
        <f>_xlfn.XLOOKUP(frasest[[#This Row],[author_es]],autorest[author_es],autorest[image_atr])</f>
        <v>0</v>
      </c>
    </row>
    <row r="1202" spans="1:18">
      <c r="A1202">
        <v>1201</v>
      </c>
      <c r="B1202" t="s">
        <v>3724</v>
      </c>
      <c r="C1202" t="s">
        <v>3725</v>
      </c>
      <c r="D1202" s="1" t="s">
        <v>3555</v>
      </c>
      <c r="E1202" t="s">
        <v>36</v>
      </c>
      <c r="G1202" t="str">
        <f>_xlfn.XLOOKUP(frasest[[#This Row],[author_es]],autorest[author_es],autorest[author_la])</f>
        <v>Proverbium Sinense</v>
      </c>
      <c r="H1202" t="str">
        <f>_xlfn.XLOOKUP(frasest[[#This Row],[author_es]],autorest[author_es],autorest[bio_es])</f>
        <v>Conjunto de proverbios tradicionales de la cultura china que transmiten sabiduría popular, valores morales y enseñanzas prácticas transmitidas oralmente durante siglos.</v>
      </c>
      <c r="I1202" t="str">
        <f>_xlfn.XLOOKUP(frasest[[#This Row],[author_es]],autorest[author_es],autorest[bio_la])</f>
        <v>Collectio sententiarum Sinensium, magnopere in cultura tradita.</v>
      </c>
      <c r="J1202" t="str">
        <f>_xlfn.XLOOKUP(frasest[[#This Row],[author_es]],autorest[author_es],autorest[iso3691])</f>
        <v>zh</v>
      </c>
      <c r="K1202" t="str">
        <f>_xlfn.XLOOKUP(frasest[[#This Row],[author_es]],autorest[author_es],autorest[language_es])</f>
        <v>Chino</v>
      </c>
      <c r="L1202" t="str">
        <f>_xlfn.XLOOKUP(frasest[[#This Row],[author_es]],autorest[author_es],autorest[language_la])</f>
        <v>Lingua Sinica</v>
      </c>
      <c r="M1202" t="str">
        <f>_xlfn.XLOOKUP(frasest[[#This Row],[author_es]],autorest[author_es],autorest[nation_es])</f>
        <v>China</v>
      </c>
      <c r="N1202" t="str">
        <f>_xlfn.XLOOKUP(frasest[[#This Row],[author_es]],autorest[author_es],autorest[nation_la])</f>
        <v>Sinae</v>
      </c>
      <c r="O1202" t="str">
        <f>_xlfn.XLOOKUP(frasest[[#This Row],[author_es]],autorest[author_es],autorest[age_es])</f>
        <v>Epoca Desconocida</v>
      </c>
      <c r="P1202" t="str">
        <f>_xlfn.XLOOKUP(frasest[[#This Row],[author_es]],autorest[author_es],autorest[age_la])</f>
        <v>Epocha Ignota</v>
      </c>
      <c r="Q1202" t="str">
        <f>_xlfn.XLOOKUP(frasest[[#This Row],[author_es]],autorest[author_es],autorest[image])</f>
        <v>https://i.ibb.co/qLfpZm6h/china.png</v>
      </c>
      <c r="R1202">
        <f>_xlfn.XLOOKUP(frasest[[#This Row],[author_es]],autorest[author_es],autorest[image_atr])</f>
        <v>0</v>
      </c>
    </row>
    <row r="1203" spans="1:18">
      <c r="A1203">
        <v>1202</v>
      </c>
      <c r="B1203" t="s">
        <v>3726</v>
      </c>
      <c r="C1203" t="s">
        <v>3727</v>
      </c>
      <c r="D1203" s="1" t="s">
        <v>3728</v>
      </c>
      <c r="E1203" t="s">
        <v>36</v>
      </c>
      <c r="G1203" t="str">
        <f>_xlfn.XLOOKUP(frasest[[#This Row],[author_es]],autorest[author_es],autorest[author_la])</f>
        <v>Proverbium Sinense</v>
      </c>
      <c r="H1203" t="str">
        <f>_xlfn.XLOOKUP(frasest[[#This Row],[author_es]],autorest[author_es],autorest[bio_es])</f>
        <v>Conjunto de proverbios tradicionales de la cultura china que transmiten sabiduría popular, valores morales y enseñanzas prácticas transmitidas oralmente durante siglos.</v>
      </c>
      <c r="I1203" t="str">
        <f>_xlfn.XLOOKUP(frasest[[#This Row],[author_es]],autorest[author_es],autorest[bio_la])</f>
        <v>Collectio sententiarum Sinensium, magnopere in cultura tradita.</v>
      </c>
      <c r="J1203" t="str">
        <f>_xlfn.XLOOKUP(frasest[[#This Row],[author_es]],autorest[author_es],autorest[iso3691])</f>
        <v>zh</v>
      </c>
      <c r="K1203" t="str">
        <f>_xlfn.XLOOKUP(frasest[[#This Row],[author_es]],autorest[author_es],autorest[language_es])</f>
        <v>Chino</v>
      </c>
      <c r="L1203" t="str">
        <f>_xlfn.XLOOKUP(frasest[[#This Row],[author_es]],autorest[author_es],autorest[language_la])</f>
        <v>Lingua Sinica</v>
      </c>
      <c r="M1203" t="str">
        <f>_xlfn.XLOOKUP(frasest[[#This Row],[author_es]],autorest[author_es],autorest[nation_es])</f>
        <v>China</v>
      </c>
      <c r="N1203" t="str">
        <f>_xlfn.XLOOKUP(frasest[[#This Row],[author_es]],autorest[author_es],autorest[nation_la])</f>
        <v>Sinae</v>
      </c>
      <c r="O1203" t="str">
        <f>_xlfn.XLOOKUP(frasest[[#This Row],[author_es]],autorest[author_es],autorest[age_es])</f>
        <v>Epoca Desconocida</v>
      </c>
      <c r="P1203" t="str">
        <f>_xlfn.XLOOKUP(frasest[[#This Row],[author_es]],autorest[author_es],autorest[age_la])</f>
        <v>Epocha Ignota</v>
      </c>
      <c r="Q1203" t="str">
        <f>_xlfn.XLOOKUP(frasest[[#This Row],[author_es]],autorest[author_es],autorest[image])</f>
        <v>https://i.ibb.co/qLfpZm6h/china.png</v>
      </c>
      <c r="R1203">
        <f>_xlfn.XLOOKUP(frasest[[#This Row],[author_es]],autorest[author_es],autorest[image_atr])</f>
        <v>0</v>
      </c>
    </row>
    <row r="1204" spans="1:18">
      <c r="A1204">
        <v>1203</v>
      </c>
      <c r="B1204" t="s">
        <v>3729</v>
      </c>
      <c r="C1204" t="s">
        <v>3730</v>
      </c>
      <c r="D1204" s="1" t="s">
        <v>3731</v>
      </c>
      <c r="E1204" t="s">
        <v>36</v>
      </c>
      <c r="G1204" t="str">
        <f>_xlfn.XLOOKUP(frasest[[#This Row],[author_es]],autorest[author_es],autorest[author_la])</f>
        <v>Proverbium Sinense</v>
      </c>
      <c r="H1204" t="str">
        <f>_xlfn.XLOOKUP(frasest[[#This Row],[author_es]],autorest[author_es],autorest[bio_es])</f>
        <v>Conjunto de proverbios tradicionales de la cultura china que transmiten sabiduría popular, valores morales y enseñanzas prácticas transmitidas oralmente durante siglos.</v>
      </c>
      <c r="I1204" t="str">
        <f>_xlfn.XLOOKUP(frasest[[#This Row],[author_es]],autorest[author_es],autorest[bio_la])</f>
        <v>Collectio sententiarum Sinensium, magnopere in cultura tradita.</v>
      </c>
      <c r="J1204" t="str">
        <f>_xlfn.XLOOKUP(frasest[[#This Row],[author_es]],autorest[author_es],autorest[iso3691])</f>
        <v>zh</v>
      </c>
      <c r="K1204" t="str">
        <f>_xlfn.XLOOKUP(frasest[[#This Row],[author_es]],autorest[author_es],autorest[language_es])</f>
        <v>Chino</v>
      </c>
      <c r="L1204" t="str">
        <f>_xlfn.XLOOKUP(frasest[[#This Row],[author_es]],autorest[author_es],autorest[language_la])</f>
        <v>Lingua Sinica</v>
      </c>
      <c r="M1204" t="str">
        <f>_xlfn.XLOOKUP(frasest[[#This Row],[author_es]],autorest[author_es],autorest[nation_es])</f>
        <v>China</v>
      </c>
      <c r="N1204" t="str">
        <f>_xlfn.XLOOKUP(frasest[[#This Row],[author_es]],autorest[author_es],autorest[nation_la])</f>
        <v>Sinae</v>
      </c>
      <c r="O1204" t="str">
        <f>_xlfn.XLOOKUP(frasest[[#This Row],[author_es]],autorest[author_es],autorest[age_es])</f>
        <v>Epoca Desconocida</v>
      </c>
      <c r="P1204" t="str">
        <f>_xlfn.XLOOKUP(frasest[[#This Row],[author_es]],autorest[author_es],autorest[age_la])</f>
        <v>Epocha Ignota</v>
      </c>
      <c r="Q1204" t="str">
        <f>_xlfn.XLOOKUP(frasest[[#This Row],[author_es]],autorest[author_es],autorest[image])</f>
        <v>https://i.ibb.co/qLfpZm6h/china.png</v>
      </c>
      <c r="R1204">
        <f>_xlfn.XLOOKUP(frasest[[#This Row],[author_es]],autorest[author_es],autorest[image_atr])</f>
        <v>0</v>
      </c>
    </row>
    <row r="1205" spans="1:18">
      <c r="A1205">
        <v>1204</v>
      </c>
      <c r="B1205" t="s">
        <v>3732</v>
      </c>
      <c r="C1205" t="s">
        <v>3733</v>
      </c>
      <c r="D1205" s="1" t="s">
        <v>3734</v>
      </c>
      <c r="E1205" t="s">
        <v>36</v>
      </c>
      <c r="G1205" t="str">
        <f>_xlfn.XLOOKUP(frasest[[#This Row],[author_es]],autorest[author_es],autorest[author_la])</f>
        <v>Proverbium Sinense</v>
      </c>
      <c r="H1205" t="str">
        <f>_xlfn.XLOOKUP(frasest[[#This Row],[author_es]],autorest[author_es],autorest[bio_es])</f>
        <v>Conjunto de proverbios tradicionales de la cultura china que transmiten sabiduría popular, valores morales y enseñanzas prácticas transmitidas oralmente durante siglos.</v>
      </c>
      <c r="I1205" t="str">
        <f>_xlfn.XLOOKUP(frasest[[#This Row],[author_es]],autorest[author_es],autorest[bio_la])</f>
        <v>Collectio sententiarum Sinensium, magnopere in cultura tradita.</v>
      </c>
      <c r="J1205" t="str">
        <f>_xlfn.XLOOKUP(frasest[[#This Row],[author_es]],autorest[author_es],autorest[iso3691])</f>
        <v>zh</v>
      </c>
      <c r="K1205" t="str">
        <f>_xlfn.XLOOKUP(frasest[[#This Row],[author_es]],autorest[author_es],autorest[language_es])</f>
        <v>Chino</v>
      </c>
      <c r="L1205" t="str">
        <f>_xlfn.XLOOKUP(frasest[[#This Row],[author_es]],autorest[author_es],autorest[language_la])</f>
        <v>Lingua Sinica</v>
      </c>
      <c r="M1205" t="str">
        <f>_xlfn.XLOOKUP(frasest[[#This Row],[author_es]],autorest[author_es],autorest[nation_es])</f>
        <v>China</v>
      </c>
      <c r="N1205" t="str">
        <f>_xlfn.XLOOKUP(frasest[[#This Row],[author_es]],autorest[author_es],autorest[nation_la])</f>
        <v>Sinae</v>
      </c>
      <c r="O1205" t="str">
        <f>_xlfn.XLOOKUP(frasest[[#This Row],[author_es]],autorest[author_es],autorest[age_es])</f>
        <v>Epoca Desconocida</v>
      </c>
      <c r="P1205" t="str">
        <f>_xlfn.XLOOKUP(frasest[[#This Row],[author_es]],autorest[author_es],autorest[age_la])</f>
        <v>Epocha Ignota</v>
      </c>
      <c r="Q1205" t="str">
        <f>_xlfn.XLOOKUP(frasest[[#This Row],[author_es]],autorest[author_es],autorest[image])</f>
        <v>https://i.ibb.co/qLfpZm6h/china.png</v>
      </c>
      <c r="R1205">
        <f>_xlfn.XLOOKUP(frasest[[#This Row],[author_es]],autorest[author_es],autorest[image_atr])</f>
        <v>0</v>
      </c>
    </row>
    <row r="1206" spans="1:18">
      <c r="A1206">
        <v>1205</v>
      </c>
      <c r="B1206" t="s">
        <v>3735</v>
      </c>
      <c r="C1206" t="s">
        <v>3736</v>
      </c>
      <c r="D1206" s="1" t="s">
        <v>3737</v>
      </c>
      <c r="E1206" t="s">
        <v>36</v>
      </c>
      <c r="G1206" t="str">
        <f>_xlfn.XLOOKUP(frasest[[#This Row],[author_es]],autorest[author_es],autorest[author_la])</f>
        <v>Proverbium Sinense</v>
      </c>
      <c r="H1206" t="str">
        <f>_xlfn.XLOOKUP(frasest[[#This Row],[author_es]],autorest[author_es],autorest[bio_es])</f>
        <v>Conjunto de proverbios tradicionales de la cultura china que transmiten sabiduría popular, valores morales y enseñanzas prácticas transmitidas oralmente durante siglos.</v>
      </c>
      <c r="I1206" t="str">
        <f>_xlfn.XLOOKUP(frasest[[#This Row],[author_es]],autorest[author_es],autorest[bio_la])</f>
        <v>Collectio sententiarum Sinensium, magnopere in cultura tradita.</v>
      </c>
      <c r="J1206" t="str">
        <f>_xlfn.XLOOKUP(frasest[[#This Row],[author_es]],autorest[author_es],autorest[iso3691])</f>
        <v>zh</v>
      </c>
      <c r="K1206" t="str">
        <f>_xlfn.XLOOKUP(frasest[[#This Row],[author_es]],autorest[author_es],autorest[language_es])</f>
        <v>Chino</v>
      </c>
      <c r="L1206" t="str">
        <f>_xlfn.XLOOKUP(frasest[[#This Row],[author_es]],autorest[author_es],autorest[language_la])</f>
        <v>Lingua Sinica</v>
      </c>
      <c r="M1206" t="str">
        <f>_xlfn.XLOOKUP(frasest[[#This Row],[author_es]],autorest[author_es],autorest[nation_es])</f>
        <v>China</v>
      </c>
      <c r="N1206" t="str">
        <f>_xlfn.XLOOKUP(frasest[[#This Row],[author_es]],autorest[author_es],autorest[nation_la])</f>
        <v>Sinae</v>
      </c>
      <c r="O1206" t="str">
        <f>_xlfn.XLOOKUP(frasest[[#This Row],[author_es]],autorest[author_es],autorest[age_es])</f>
        <v>Epoca Desconocida</v>
      </c>
      <c r="P1206" t="str">
        <f>_xlfn.XLOOKUP(frasest[[#This Row],[author_es]],autorest[author_es],autorest[age_la])</f>
        <v>Epocha Ignota</v>
      </c>
      <c r="Q1206" t="str">
        <f>_xlfn.XLOOKUP(frasest[[#This Row],[author_es]],autorest[author_es],autorest[image])</f>
        <v>https://i.ibb.co/qLfpZm6h/china.png</v>
      </c>
      <c r="R1206">
        <f>_xlfn.XLOOKUP(frasest[[#This Row],[author_es]],autorest[author_es],autorest[image_atr])</f>
        <v>0</v>
      </c>
    </row>
    <row r="1207" spans="1:18">
      <c r="A1207">
        <v>1206</v>
      </c>
      <c r="B1207" t="s">
        <v>3738</v>
      </c>
      <c r="C1207" t="s">
        <v>3739</v>
      </c>
      <c r="D1207" s="1" t="s">
        <v>3740</v>
      </c>
      <c r="E1207" t="s">
        <v>36</v>
      </c>
      <c r="G1207" t="str">
        <f>_xlfn.XLOOKUP(frasest[[#This Row],[author_es]],autorest[author_es],autorest[author_la])</f>
        <v>Proverbium Sinense</v>
      </c>
      <c r="H1207" t="str">
        <f>_xlfn.XLOOKUP(frasest[[#This Row],[author_es]],autorest[author_es],autorest[bio_es])</f>
        <v>Conjunto de proverbios tradicionales de la cultura china que transmiten sabiduría popular, valores morales y enseñanzas prácticas transmitidas oralmente durante siglos.</v>
      </c>
      <c r="I1207" t="str">
        <f>_xlfn.XLOOKUP(frasest[[#This Row],[author_es]],autorest[author_es],autorest[bio_la])</f>
        <v>Collectio sententiarum Sinensium, magnopere in cultura tradita.</v>
      </c>
      <c r="J1207" t="str">
        <f>_xlfn.XLOOKUP(frasest[[#This Row],[author_es]],autorest[author_es],autorest[iso3691])</f>
        <v>zh</v>
      </c>
      <c r="K1207" t="str">
        <f>_xlfn.XLOOKUP(frasest[[#This Row],[author_es]],autorest[author_es],autorest[language_es])</f>
        <v>Chino</v>
      </c>
      <c r="L1207" t="str">
        <f>_xlfn.XLOOKUP(frasest[[#This Row],[author_es]],autorest[author_es],autorest[language_la])</f>
        <v>Lingua Sinica</v>
      </c>
      <c r="M1207" t="str">
        <f>_xlfn.XLOOKUP(frasest[[#This Row],[author_es]],autorest[author_es],autorest[nation_es])</f>
        <v>China</v>
      </c>
      <c r="N1207" t="str">
        <f>_xlfn.XLOOKUP(frasest[[#This Row],[author_es]],autorest[author_es],autorest[nation_la])</f>
        <v>Sinae</v>
      </c>
      <c r="O1207" t="str">
        <f>_xlfn.XLOOKUP(frasest[[#This Row],[author_es]],autorest[author_es],autorest[age_es])</f>
        <v>Epoca Desconocida</v>
      </c>
      <c r="P1207" t="str">
        <f>_xlfn.XLOOKUP(frasest[[#This Row],[author_es]],autorest[author_es],autorest[age_la])</f>
        <v>Epocha Ignota</v>
      </c>
      <c r="Q1207" t="str">
        <f>_xlfn.XLOOKUP(frasest[[#This Row],[author_es]],autorest[author_es],autorest[image])</f>
        <v>https://i.ibb.co/qLfpZm6h/china.png</v>
      </c>
      <c r="R1207">
        <f>_xlfn.XLOOKUP(frasest[[#This Row],[author_es]],autorest[author_es],autorest[image_atr])</f>
        <v>0</v>
      </c>
    </row>
    <row r="1208" spans="1:18">
      <c r="A1208">
        <v>1207</v>
      </c>
      <c r="B1208" t="s">
        <v>3741</v>
      </c>
      <c r="C1208" t="s">
        <v>3742</v>
      </c>
      <c r="D1208" s="1" t="s">
        <v>3743</v>
      </c>
      <c r="E1208" t="s">
        <v>36</v>
      </c>
      <c r="G1208" t="str">
        <f>_xlfn.XLOOKUP(frasest[[#This Row],[author_es]],autorest[author_es],autorest[author_la])</f>
        <v>Proverbium Sinense</v>
      </c>
      <c r="H1208" t="str">
        <f>_xlfn.XLOOKUP(frasest[[#This Row],[author_es]],autorest[author_es],autorest[bio_es])</f>
        <v>Conjunto de proverbios tradicionales de la cultura china que transmiten sabiduría popular, valores morales y enseñanzas prácticas transmitidas oralmente durante siglos.</v>
      </c>
      <c r="I1208" t="str">
        <f>_xlfn.XLOOKUP(frasest[[#This Row],[author_es]],autorest[author_es],autorest[bio_la])</f>
        <v>Collectio sententiarum Sinensium, magnopere in cultura tradita.</v>
      </c>
      <c r="J1208" t="str">
        <f>_xlfn.XLOOKUP(frasest[[#This Row],[author_es]],autorest[author_es],autorest[iso3691])</f>
        <v>zh</v>
      </c>
      <c r="K1208" t="str">
        <f>_xlfn.XLOOKUP(frasest[[#This Row],[author_es]],autorest[author_es],autorest[language_es])</f>
        <v>Chino</v>
      </c>
      <c r="L1208" t="str">
        <f>_xlfn.XLOOKUP(frasest[[#This Row],[author_es]],autorest[author_es],autorest[language_la])</f>
        <v>Lingua Sinica</v>
      </c>
      <c r="M1208" t="str">
        <f>_xlfn.XLOOKUP(frasest[[#This Row],[author_es]],autorest[author_es],autorest[nation_es])</f>
        <v>China</v>
      </c>
      <c r="N1208" t="str">
        <f>_xlfn.XLOOKUP(frasest[[#This Row],[author_es]],autorest[author_es],autorest[nation_la])</f>
        <v>Sinae</v>
      </c>
      <c r="O1208" t="str">
        <f>_xlfn.XLOOKUP(frasest[[#This Row],[author_es]],autorest[author_es],autorest[age_es])</f>
        <v>Epoca Desconocida</v>
      </c>
      <c r="P1208" t="str">
        <f>_xlfn.XLOOKUP(frasest[[#This Row],[author_es]],autorest[author_es],autorest[age_la])</f>
        <v>Epocha Ignota</v>
      </c>
      <c r="Q1208" t="str">
        <f>_xlfn.XLOOKUP(frasest[[#This Row],[author_es]],autorest[author_es],autorest[image])</f>
        <v>https://i.ibb.co/qLfpZm6h/china.png</v>
      </c>
      <c r="R1208">
        <f>_xlfn.XLOOKUP(frasest[[#This Row],[author_es]],autorest[author_es],autorest[image_atr])</f>
        <v>0</v>
      </c>
    </row>
    <row r="1209" spans="1:18">
      <c r="A1209">
        <v>1208</v>
      </c>
      <c r="B1209" t="s">
        <v>3744</v>
      </c>
      <c r="C1209" t="s">
        <v>3745</v>
      </c>
      <c r="D1209" s="1" t="s">
        <v>3746</v>
      </c>
      <c r="E1209" t="s">
        <v>36</v>
      </c>
      <c r="G1209" t="str">
        <f>_xlfn.XLOOKUP(frasest[[#This Row],[author_es]],autorest[author_es],autorest[author_la])</f>
        <v>Proverbium Sinense</v>
      </c>
      <c r="H1209" t="str">
        <f>_xlfn.XLOOKUP(frasest[[#This Row],[author_es]],autorest[author_es],autorest[bio_es])</f>
        <v>Conjunto de proverbios tradicionales de la cultura china que transmiten sabiduría popular, valores morales y enseñanzas prácticas transmitidas oralmente durante siglos.</v>
      </c>
      <c r="I1209" t="str">
        <f>_xlfn.XLOOKUP(frasest[[#This Row],[author_es]],autorest[author_es],autorest[bio_la])</f>
        <v>Collectio sententiarum Sinensium, magnopere in cultura tradita.</v>
      </c>
      <c r="J1209" t="str">
        <f>_xlfn.XLOOKUP(frasest[[#This Row],[author_es]],autorest[author_es],autorest[iso3691])</f>
        <v>zh</v>
      </c>
      <c r="K1209" t="str">
        <f>_xlfn.XLOOKUP(frasest[[#This Row],[author_es]],autorest[author_es],autorest[language_es])</f>
        <v>Chino</v>
      </c>
      <c r="L1209" t="str">
        <f>_xlfn.XLOOKUP(frasest[[#This Row],[author_es]],autorest[author_es],autorest[language_la])</f>
        <v>Lingua Sinica</v>
      </c>
      <c r="M1209" t="str">
        <f>_xlfn.XLOOKUP(frasest[[#This Row],[author_es]],autorest[author_es],autorest[nation_es])</f>
        <v>China</v>
      </c>
      <c r="N1209" t="str">
        <f>_xlfn.XLOOKUP(frasest[[#This Row],[author_es]],autorest[author_es],autorest[nation_la])</f>
        <v>Sinae</v>
      </c>
      <c r="O1209" t="str">
        <f>_xlfn.XLOOKUP(frasest[[#This Row],[author_es]],autorest[author_es],autorest[age_es])</f>
        <v>Epoca Desconocida</v>
      </c>
      <c r="P1209" t="str">
        <f>_xlfn.XLOOKUP(frasest[[#This Row],[author_es]],autorest[author_es],autorest[age_la])</f>
        <v>Epocha Ignota</v>
      </c>
      <c r="Q1209" t="str">
        <f>_xlfn.XLOOKUP(frasest[[#This Row],[author_es]],autorest[author_es],autorest[image])</f>
        <v>https://i.ibb.co/qLfpZm6h/china.png</v>
      </c>
      <c r="R1209">
        <f>_xlfn.XLOOKUP(frasest[[#This Row],[author_es]],autorest[author_es],autorest[image_atr])</f>
        <v>0</v>
      </c>
    </row>
    <row r="1210" spans="1:18">
      <c r="A1210">
        <v>1209</v>
      </c>
      <c r="B1210" t="s">
        <v>3747</v>
      </c>
      <c r="C1210" t="s">
        <v>3748</v>
      </c>
      <c r="D1210" s="1" t="s">
        <v>3749</v>
      </c>
      <c r="E1210" t="s">
        <v>36</v>
      </c>
      <c r="G1210" t="str">
        <f>_xlfn.XLOOKUP(frasest[[#This Row],[author_es]],autorest[author_es],autorest[author_la])</f>
        <v>Proverbium Sinense</v>
      </c>
      <c r="H1210" t="str">
        <f>_xlfn.XLOOKUP(frasest[[#This Row],[author_es]],autorest[author_es],autorest[bio_es])</f>
        <v>Conjunto de proverbios tradicionales de la cultura china que transmiten sabiduría popular, valores morales y enseñanzas prácticas transmitidas oralmente durante siglos.</v>
      </c>
      <c r="I1210" t="str">
        <f>_xlfn.XLOOKUP(frasest[[#This Row],[author_es]],autorest[author_es],autorest[bio_la])</f>
        <v>Collectio sententiarum Sinensium, magnopere in cultura tradita.</v>
      </c>
      <c r="J1210" t="str">
        <f>_xlfn.XLOOKUP(frasest[[#This Row],[author_es]],autorest[author_es],autorest[iso3691])</f>
        <v>zh</v>
      </c>
      <c r="K1210" t="str">
        <f>_xlfn.XLOOKUP(frasest[[#This Row],[author_es]],autorest[author_es],autorest[language_es])</f>
        <v>Chino</v>
      </c>
      <c r="L1210" t="str">
        <f>_xlfn.XLOOKUP(frasest[[#This Row],[author_es]],autorest[author_es],autorest[language_la])</f>
        <v>Lingua Sinica</v>
      </c>
      <c r="M1210" t="str">
        <f>_xlfn.XLOOKUP(frasest[[#This Row],[author_es]],autorest[author_es],autorest[nation_es])</f>
        <v>China</v>
      </c>
      <c r="N1210" t="str">
        <f>_xlfn.XLOOKUP(frasest[[#This Row],[author_es]],autorest[author_es],autorest[nation_la])</f>
        <v>Sinae</v>
      </c>
      <c r="O1210" t="str">
        <f>_xlfn.XLOOKUP(frasest[[#This Row],[author_es]],autorest[author_es],autorest[age_es])</f>
        <v>Epoca Desconocida</v>
      </c>
      <c r="P1210" t="str">
        <f>_xlfn.XLOOKUP(frasest[[#This Row],[author_es]],autorest[author_es],autorest[age_la])</f>
        <v>Epocha Ignota</v>
      </c>
      <c r="Q1210" t="str">
        <f>_xlfn.XLOOKUP(frasest[[#This Row],[author_es]],autorest[author_es],autorest[image])</f>
        <v>https://i.ibb.co/qLfpZm6h/china.png</v>
      </c>
      <c r="R1210">
        <f>_xlfn.XLOOKUP(frasest[[#This Row],[author_es]],autorest[author_es],autorest[image_atr])</f>
        <v>0</v>
      </c>
    </row>
    <row r="1211" spans="1:18">
      <c r="A1211">
        <v>1210</v>
      </c>
      <c r="B1211" t="s">
        <v>3750</v>
      </c>
      <c r="C1211" t="s">
        <v>3751</v>
      </c>
      <c r="D1211" s="1" t="s">
        <v>3752</v>
      </c>
      <c r="E1211" t="s">
        <v>36</v>
      </c>
      <c r="G1211" t="str">
        <f>_xlfn.XLOOKUP(frasest[[#This Row],[author_es]],autorest[author_es],autorest[author_la])</f>
        <v>Proverbium Sinense</v>
      </c>
      <c r="H1211" t="str">
        <f>_xlfn.XLOOKUP(frasest[[#This Row],[author_es]],autorest[author_es],autorest[bio_es])</f>
        <v>Conjunto de proverbios tradicionales de la cultura china que transmiten sabiduría popular, valores morales y enseñanzas prácticas transmitidas oralmente durante siglos.</v>
      </c>
      <c r="I1211" t="str">
        <f>_xlfn.XLOOKUP(frasest[[#This Row],[author_es]],autorest[author_es],autorest[bio_la])</f>
        <v>Collectio sententiarum Sinensium, magnopere in cultura tradita.</v>
      </c>
      <c r="J1211" t="str">
        <f>_xlfn.XLOOKUP(frasest[[#This Row],[author_es]],autorest[author_es],autorest[iso3691])</f>
        <v>zh</v>
      </c>
      <c r="K1211" t="str">
        <f>_xlfn.XLOOKUP(frasest[[#This Row],[author_es]],autorest[author_es],autorest[language_es])</f>
        <v>Chino</v>
      </c>
      <c r="L1211" t="str">
        <f>_xlfn.XLOOKUP(frasest[[#This Row],[author_es]],autorest[author_es],autorest[language_la])</f>
        <v>Lingua Sinica</v>
      </c>
      <c r="M1211" t="str">
        <f>_xlfn.XLOOKUP(frasest[[#This Row],[author_es]],autorest[author_es],autorest[nation_es])</f>
        <v>China</v>
      </c>
      <c r="N1211" t="str">
        <f>_xlfn.XLOOKUP(frasest[[#This Row],[author_es]],autorest[author_es],autorest[nation_la])</f>
        <v>Sinae</v>
      </c>
      <c r="O1211" t="str">
        <f>_xlfn.XLOOKUP(frasest[[#This Row],[author_es]],autorest[author_es],autorest[age_es])</f>
        <v>Epoca Desconocida</v>
      </c>
      <c r="P1211" t="str">
        <f>_xlfn.XLOOKUP(frasest[[#This Row],[author_es]],autorest[author_es],autorest[age_la])</f>
        <v>Epocha Ignota</v>
      </c>
      <c r="Q1211" t="str">
        <f>_xlfn.XLOOKUP(frasest[[#This Row],[author_es]],autorest[author_es],autorest[image])</f>
        <v>https://i.ibb.co/qLfpZm6h/china.png</v>
      </c>
      <c r="R1211">
        <f>_xlfn.XLOOKUP(frasest[[#This Row],[author_es]],autorest[author_es],autorest[image_atr])</f>
        <v>0</v>
      </c>
    </row>
    <row r="1212" spans="1:18">
      <c r="A1212">
        <v>1211</v>
      </c>
      <c r="B1212" t="s">
        <v>3753</v>
      </c>
      <c r="C1212" t="s">
        <v>3754</v>
      </c>
      <c r="D1212" s="1" t="s">
        <v>3755</v>
      </c>
      <c r="E1212" t="s">
        <v>36</v>
      </c>
      <c r="G1212" t="str">
        <f>_xlfn.XLOOKUP(frasest[[#This Row],[author_es]],autorest[author_es],autorest[author_la])</f>
        <v>Proverbium Sinense</v>
      </c>
      <c r="H1212" t="str">
        <f>_xlfn.XLOOKUP(frasest[[#This Row],[author_es]],autorest[author_es],autorest[bio_es])</f>
        <v>Conjunto de proverbios tradicionales de la cultura china que transmiten sabiduría popular, valores morales y enseñanzas prácticas transmitidas oralmente durante siglos.</v>
      </c>
      <c r="I1212" t="str">
        <f>_xlfn.XLOOKUP(frasest[[#This Row],[author_es]],autorest[author_es],autorest[bio_la])</f>
        <v>Collectio sententiarum Sinensium, magnopere in cultura tradita.</v>
      </c>
      <c r="J1212" t="str">
        <f>_xlfn.XLOOKUP(frasest[[#This Row],[author_es]],autorest[author_es],autorest[iso3691])</f>
        <v>zh</v>
      </c>
      <c r="K1212" t="str">
        <f>_xlfn.XLOOKUP(frasest[[#This Row],[author_es]],autorest[author_es],autorest[language_es])</f>
        <v>Chino</v>
      </c>
      <c r="L1212" t="str">
        <f>_xlfn.XLOOKUP(frasest[[#This Row],[author_es]],autorest[author_es],autorest[language_la])</f>
        <v>Lingua Sinica</v>
      </c>
      <c r="M1212" t="str">
        <f>_xlfn.XLOOKUP(frasest[[#This Row],[author_es]],autorest[author_es],autorest[nation_es])</f>
        <v>China</v>
      </c>
      <c r="N1212" t="str">
        <f>_xlfn.XLOOKUP(frasest[[#This Row],[author_es]],autorest[author_es],autorest[nation_la])</f>
        <v>Sinae</v>
      </c>
      <c r="O1212" t="str">
        <f>_xlfn.XLOOKUP(frasest[[#This Row],[author_es]],autorest[author_es],autorest[age_es])</f>
        <v>Epoca Desconocida</v>
      </c>
      <c r="P1212" t="str">
        <f>_xlfn.XLOOKUP(frasest[[#This Row],[author_es]],autorest[author_es],autorest[age_la])</f>
        <v>Epocha Ignota</v>
      </c>
      <c r="Q1212" t="str">
        <f>_xlfn.XLOOKUP(frasest[[#This Row],[author_es]],autorest[author_es],autorest[image])</f>
        <v>https://i.ibb.co/qLfpZm6h/china.png</v>
      </c>
      <c r="R1212">
        <f>_xlfn.XLOOKUP(frasest[[#This Row],[author_es]],autorest[author_es],autorest[image_atr])</f>
        <v>0</v>
      </c>
    </row>
    <row r="1213" spans="1:18">
      <c r="A1213">
        <v>1212</v>
      </c>
      <c r="B1213" t="s">
        <v>3756</v>
      </c>
      <c r="C1213" t="s">
        <v>3757</v>
      </c>
      <c r="D1213" s="1" t="s">
        <v>3758</v>
      </c>
      <c r="E1213" t="s">
        <v>36</v>
      </c>
      <c r="G1213" t="str">
        <f>_xlfn.XLOOKUP(frasest[[#This Row],[author_es]],autorest[author_es],autorest[author_la])</f>
        <v>Proverbium Sinense</v>
      </c>
      <c r="H1213" t="str">
        <f>_xlfn.XLOOKUP(frasest[[#This Row],[author_es]],autorest[author_es],autorest[bio_es])</f>
        <v>Conjunto de proverbios tradicionales de la cultura china que transmiten sabiduría popular, valores morales y enseñanzas prácticas transmitidas oralmente durante siglos.</v>
      </c>
      <c r="I1213" t="str">
        <f>_xlfn.XLOOKUP(frasest[[#This Row],[author_es]],autorest[author_es],autorest[bio_la])</f>
        <v>Collectio sententiarum Sinensium, magnopere in cultura tradita.</v>
      </c>
      <c r="J1213" t="str">
        <f>_xlfn.XLOOKUP(frasest[[#This Row],[author_es]],autorest[author_es],autorest[iso3691])</f>
        <v>zh</v>
      </c>
      <c r="K1213" t="str">
        <f>_xlfn.XLOOKUP(frasest[[#This Row],[author_es]],autorest[author_es],autorest[language_es])</f>
        <v>Chino</v>
      </c>
      <c r="L1213" t="str">
        <f>_xlfn.XLOOKUP(frasest[[#This Row],[author_es]],autorest[author_es],autorest[language_la])</f>
        <v>Lingua Sinica</v>
      </c>
      <c r="M1213" t="str">
        <f>_xlfn.XLOOKUP(frasest[[#This Row],[author_es]],autorest[author_es],autorest[nation_es])</f>
        <v>China</v>
      </c>
      <c r="N1213" t="str">
        <f>_xlfn.XLOOKUP(frasest[[#This Row],[author_es]],autorest[author_es],autorest[nation_la])</f>
        <v>Sinae</v>
      </c>
      <c r="O1213" t="str">
        <f>_xlfn.XLOOKUP(frasest[[#This Row],[author_es]],autorest[author_es],autorest[age_es])</f>
        <v>Epoca Desconocida</v>
      </c>
      <c r="P1213" t="str">
        <f>_xlfn.XLOOKUP(frasest[[#This Row],[author_es]],autorest[author_es],autorest[age_la])</f>
        <v>Epocha Ignota</v>
      </c>
      <c r="Q1213" t="str">
        <f>_xlfn.XLOOKUP(frasest[[#This Row],[author_es]],autorest[author_es],autorest[image])</f>
        <v>https://i.ibb.co/qLfpZm6h/china.png</v>
      </c>
      <c r="R1213">
        <f>_xlfn.XLOOKUP(frasest[[#This Row],[author_es]],autorest[author_es],autorest[image_atr])</f>
        <v>0</v>
      </c>
    </row>
    <row r="1214" spans="1:18">
      <c r="A1214">
        <v>1213</v>
      </c>
      <c r="B1214" t="s">
        <v>3759</v>
      </c>
      <c r="C1214" t="s">
        <v>3760</v>
      </c>
      <c r="D1214" s="1" t="s">
        <v>3761</v>
      </c>
      <c r="E1214" t="s">
        <v>36</v>
      </c>
      <c r="G1214" t="str">
        <f>_xlfn.XLOOKUP(frasest[[#This Row],[author_es]],autorest[author_es],autorest[author_la])</f>
        <v>Proverbium Sinense</v>
      </c>
      <c r="H1214" t="str">
        <f>_xlfn.XLOOKUP(frasest[[#This Row],[author_es]],autorest[author_es],autorest[bio_es])</f>
        <v>Conjunto de proverbios tradicionales de la cultura china que transmiten sabiduría popular, valores morales y enseñanzas prácticas transmitidas oralmente durante siglos.</v>
      </c>
      <c r="I1214" t="str">
        <f>_xlfn.XLOOKUP(frasest[[#This Row],[author_es]],autorest[author_es],autorest[bio_la])</f>
        <v>Collectio sententiarum Sinensium, magnopere in cultura tradita.</v>
      </c>
      <c r="J1214" t="str">
        <f>_xlfn.XLOOKUP(frasest[[#This Row],[author_es]],autorest[author_es],autorest[iso3691])</f>
        <v>zh</v>
      </c>
      <c r="K1214" t="str">
        <f>_xlfn.XLOOKUP(frasest[[#This Row],[author_es]],autorest[author_es],autorest[language_es])</f>
        <v>Chino</v>
      </c>
      <c r="L1214" t="str">
        <f>_xlfn.XLOOKUP(frasest[[#This Row],[author_es]],autorest[author_es],autorest[language_la])</f>
        <v>Lingua Sinica</v>
      </c>
      <c r="M1214" t="str">
        <f>_xlfn.XLOOKUP(frasest[[#This Row],[author_es]],autorest[author_es],autorest[nation_es])</f>
        <v>China</v>
      </c>
      <c r="N1214" t="str">
        <f>_xlfn.XLOOKUP(frasest[[#This Row],[author_es]],autorest[author_es],autorest[nation_la])</f>
        <v>Sinae</v>
      </c>
      <c r="O1214" t="str">
        <f>_xlfn.XLOOKUP(frasest[[#This Row],[author_es]],autorest[author_es],autorest[age_es])</f>
        <v>Epoca Desconocida</v>
      </c>
      <c r="P1214" t="str">
        <f>_xlfn.XLOOKUP(frasest[[#This Row],[author_es]],autorest[author_es],autorest[age_la])</f>
        <v>Epocha Ignota</v>
      </c>
      <c r="Q1214" t="str">
        <f>_xlfn.XLOOKUP(frasest[[#This Row],[author_es]],autorest[author_es],autorest[image])</f>
        <v>https://i.ibb.co/qLfpZm6h/china.png</v>
      </c>
      <c r="R1214">
        <f>_xlfn.XLOOKUP(frasest[[#This Row],[author_es]],autorest[author_es],autorest[image_atr])</f>
        <v>0</v>
      </c>
    </row>
    <row r="1215" spans="1:18">
      <c r="A1215">
        <v>1214</v>
      </c>
      <c r="B1215" t="s">
        <v>3762</v>
      </c>
      <c r="C1215" t="s">
        <v>3763</v>
      </c>
      <c r="D1215" s="1" t="s">
        <v>3764</v>
      </c>
      <c r="E1215" t="s">
        <v>36</v>
      </c>
      <c r="G1215" t="str">
        <f>_xlfn.XLOOKUP(frasest[[#This Row],[author_es]],autorest[author_es],autorest[author_la])</f>
        <v>Proverbium Sinense</v>
      </c>
      <c r="H1215" t="str">
        <f>_xlfn.XLOOKUP(frasest[[#This Row],[author_es]],autorest[author_es],autorest[bio_es])</f>
        <v>Conjunto de proverbios tradicionales de la cultura china que transmiten sabiduría popular, valores morales y enseñanzas prácticas transmitidas oralmente durante siglos.</v>
      </c>
      <c r="I1215" t="str">
        <f>_xlfn.XLOOKUP(frasest[[#This Row],[author_es]],autorest[author_es],autorest[bio_la])</f>
        <v>Collectio sententiarum Sinensium, magnopere in cultura tradita.</v>
      </c>
      <c r="J1215" t="str">
        <f>_xlfn.XLOOKUP(frasest[[#This Row],[author_es]],autorest[author_es],autorest[iso3691])</f>
        <v>zh</v>
      </c>
      <c r="K1215" t="str">
        <f>_xlfn.XLOOKUP(frasest[[#This Row],[author_es]],autorest[author_es],autorest[language_es])</f>
        <v>Chino</v>
      </c>
      <c r="L1215" t="str">
        <f>_xlfn.XLOOKUP(frasest[[#This Row],[author_es]],autorest[author_es],autorest[language_la])</f>
        <v>Lingua Sinica</v>
      </c>
      <c r="M1215" t="str">
        <f>_xlfn.XLOOKUP(frasest[[#This Row],[author_es]],autorest[author_es],autorest[nation_es])</f>
        <v>China</v>
      </c>
      <c r="N1215" t="str">
        <f>_xlfn.XLOOKUP(frasest[[#This Row],[author_es]],autorest[author_es],autorest[nation_la])</f>
        <v>Sinae</v>
      </c>
      <c r="O1215" t="str">
        <f>_xlfn.XLOOKUP(frasest[[#This Row],[author_es]],autorest[author_es],autorest[age_es])</f>
        <v>Epoca Desconocida</v>
      </c>
      <c r="P1215" t="str">
        <f>_xlfn.XLOOKUP(frasest[[#This Row],[author_es]],autorest[author_es],autorest[age_la])</f>
        <v>Epocha Ignota</v>
      </c>
      <c r="Q1215" t="str">
        <f>_xlfn.XLOOKUP(frasest[[#This Row],[author_es]],autorest[author_es],autorest[image])</f>
        <v>https://i.ibb.co/qLfpZm6h/china.png</v>
      </c>
      <c r="R1215">
        <f>_xlfn.XLOOKUP(frasest[[#This Row],[author_es]],autorest[author_es],autorest[image_atr])</f>
        <v>0</v>
      </c>
    </row>
    <row r="1216" spans="1:18">
      <c r="A1216">
        <v>1215</v>
      </c>
      <c r="B1216" t="s">
        <v>3765</v>
      </c>
      <c r="C1216" t="s">
        <v>3766</v>
      </c>
      <c r="D1216" s="1" t="s">
        <v>3694</v>
      </c>
      <c r="E1216" t="s">
        <v>36</v>
      </c>
      <c r="G1216" t="str">
        <f>_xlfn.XLOOKUP(frasest[[#This Row],[author_es]],autorest[author_es],autorest[author_la])</f>
        <v>Proverbium Sinense</v>
      </c>
      <c r="H1216" t="str">
        <f>_xlfn.XLOOKUP(frasest[[#This Row],[author_es]],autorest[author_es],autorest[bio_es])</f>
        <v>Conjunto de proverbios tradicionales de la cultura china que transmiten sabiduría popular, valores morales y enseñanzas prácticas transmitidas oralmente durante siglos.</v>
      </c>
      <c r="I1216" t="str">
        <f>_xlfn.XLOOKUP(frasest[[#This Row],[author_es]],autorest[author_es],autorest[bio_la])</f>
        <v>Collectio sententiarum Sinensium, magnopere in cultura tradita.</v>
      </c>
      <c r="J1216" t="str">
        <f>_xlfn.XLOOKUP(frasest[[#This Row],[author_es]],autorest[author_es],autorest[iso3691])</f>
        <v>zh</v>
      </c>
      <c r="K1216" t="str">
        <f>_xlfn.XLOOKUP(frasest[[#This Row],[author_es]],autorest[author_es],autorest[language_es])</f>
        <v>Chino</v>
      </c>
      <c r="L1216" t="str">
        <f>_xlfn.XLOOKUP(frasest[[#This Row],[author_es]],autorest[author_es],autorest[language_la])</f>
        <v>Lingua Sinica</v>
      </c>
      <c r="M1216" t="str">
        <f>_xlfn.XLOOKUP(frasest[[#This Row],[author_es]],autorest[author_es],autorest[nation_es])</f>
        <v>China</v>
      </c>
      <c r="N1216" t="str">
        <f>_xlfn.XLOOKUP(frasest[[#This Row],[author_es]],autorest[author_es],autorest[nation_la])</f>
        <v>Sinae</v>
      </c>
      <c r="O1216" t="str">
        <f>_xlfn.XLOOKUP(frasest[[#This Row],[author_es]],autorest[author_es],autorest[age_es])</f>
        <v>Epoca Desconocida</v>
      </c>
      <c r="P1216" t="str">
        <f>_xlfn.XLOOKUP(frasest[[#This Row],[author_es]],autorest[author_es],autorest[age_la])</f>
        <v>Epocha Ignota</v>
      </c>
      <c r="Q1216" t="str">
        <f>_xlfn.XLOOKUP(frasest[[#This Row],[author_es]],autorest[author_es],autorest[image])</f>
        <v>https://i.ibb.co/qLfpZm6h/china.png</v>
      </c>
      <c r="R1216">
        <f>_xlfn.XLOOKUP(frasest[[#This Row],[author_es]],autorest[author_es],autorest[image_atr])</f>
        <v>0</v>
      </c>
    </row>
    <row r="1217" spans="1:18">
      <c r="A1217">
        <v>1216</v>
      </c>
      <c r="B1217" t="s">
        <v>3767</v>
      </c>
      <c r="C1217" t="s">
        <v>3768</v>
      </c>
      <c r="D1217" s="1" t="s">
        <v>3769</v>
      </c>
      <c r="E1217" t="s">
        <v>36</v>
      </c>
      <c r="G1217" t="str">
        <f>_xlfn.XLOOKUP(frasest[[#This Row],[author_es]],autorest[author_es],autorest[author_la])</f>
        <v>Proverbium Sinense</v>
      </c>
      <c r="H1217" t="str">
        <f>_xlfn.XLOOKUP(frasest[[#This Row],[author_es]],autorest[author_es],autorest[bio_es])</f>
        <v>Conjunto de proverbios tradicionales de la cultura china que transmiten sabiduría popular, valores morales y enseñanzas prácticas transmitidas oralmente durante siglos.</v>
      </c>
      <c r="I1217" t="str">
        <f>_xlfn.XLOOKUP(frasest[[#This Row],[author_es]],autorest[author_es],autorest[bio_la])</f>
        <v>Collectio sententiarum Sinensium, magnopere in cultura tradita.</v>
      </c>
      <c r="J1217" t="str">
        <f>_xlfn.XLOOKUP(frasest[[#This Row],[author_es]],autorest[author_es],autorest[iso3691])</f>
        <v>zh</v>
      </c>
      <c r="K1217" t="str">
        <f>_xlfn.XLOOKUP(frasest[[#This Row],[author_es]],autorest[author_es],autorest[language_es])</f>
        <v>Chino</v>
      </c>
      <c r="L1217" t="str">
        <f>_xlfn.XLOOKUP(frasest[[#This Row],[author_es]],autorest[author_es],autorest[language_la])</f>
        <v>Lingua Sinica</v>
      </c>
      <c r="M1217" t="str">
        <f>_xlfn.XLOOKUP(frasest[[#This Row],[author_es]],autorest[author_es],autorest[nation_es])</f>
        <v>China</v>
      </c>
      <c r="N1217" t="str">
        <f>_xlfn.XLOOKUP(frasest[[#This Row],[author_es]],autorest[author_es],autorest[nation_la])</f>
        <v>Sinae</v>
      </c>
      <c r="O1217" t="str">
        <f>_xlfn.XLOOKUP(frasest[[#This Row],[author_es]],autorest[author_es],autorest[age_es])</f>
        <v>Epoca Desconocida</v>
      </c>
      <c r="P1217" t="str">
        <f>_xlfn.XLOOKUP(frasest[[#This Row],[author_es]],autorest[author_es],autorest[age_la])</f>
        <v>Epocha Ignota</v>
      </c>
      <c r="Q1217" t="str">
        <f>_xlfn.XLOOKUP(frasest[[#This Row],[author_es]],autorest[author_es],autorest[image])</f>
        <v>https://i.ibb.co/qLfpZm6h/china.png</v>
      </c>
      <c r="R1217">
        <f>_xlfn.XLOOKUP(frasest[[#This Row],[author_es]],autorest[author_es],autorest[image_atr])</f>
        <v>0</v>
      </c>
    </row>
    <row r="1218" spans="1:18">
      <c r="A1218">
        <v>1217</v>
      </c>
      <c r="B1218" t="s">
        <v>3770</v>
      </c>
      <c r="C1218" t="s">
        <v>3771</v>
      </c>
      <c r="D1218" s="1" t="s">
        <v>3772</v>
      </c>
      <c r="E1218" t="s">
        <v>36</v>
      </c>
      <c r="G1218" t="str">
        <f>_xlfn.XLOOKUP(frasest[[#This Row],[author_es]],autorest[author_es],autorest[author_la])</f>
        <v>Proverbium Sinense</v>
      </c>
      <c r="H1218" t="str">
        <f>_xlfn.XLOOKUP(frasest[[#This Row],[author_es]],autorest[author_es],autorest[bio_es])</f>
        <v>Conjunto de proverbios tradicionales de la cultura china que transmiten sabiduría popular, valores morales y enseñanzas prácticas transmitidas oralmente durante siglos.</v>
      </c>
      <c r="I1218" t="str">
        <f>_xlfn.XLOOKUP(frasest[[#This Row],[author_es]],autorest[author_es],autorest[bio_la])</f>
        <v>Collectio sententiarum Sinensium, magnopere in cultura tradita.</v>
      </c>
      <c r="J1218" t="str">
        <f>_xlfn.XLOOKUP(frasest[[#This Row],[author_es]],autorest[author_es],autorest[iso3691])</f>
        <v>zh</v>
      </c>
      <c r="K1218" t="str">
        <f>_xlfn.XLOOKUP(frasest[[#This Row],[author_es]],autorest[author_es],autorest[language_es])</f>
        <v>Chino</v>
      </c>
      <c r="L1218" t="str">
        <f>_xlfn.XLOOKUP(frasest[[#This Row],[author_es]],autorest[author_es],autorest[language_la])</f>
        <v>Lingua Sinica</v>
      </c>
      <c r="M1218" t="str">
        <f>_xlfn.XLOOKUP(frasest[[#This Row],[author_es]],autorest[author_es],autorest[nation_es])</f>
        <v>China</v>
      </c>
      <c r="N1218" t="str">
        <f>_xlfn.XLOOKUP(frasest[[#This Row],[author_es]],autorest[author_es],autorest[nation_la])</f>
        <v>Sinae</v>
      </c>
      <c r="O1218" t="str">
        <f>_xlfn.XLOOKUP(frasest[[#This Row],[author_es]],autorest[author_es],autorest[age_es])</f>
        <v>Epoca Desconocida</v>
      </c>
      <c r="P1218" t="str">
        <f>_xlfn.XLOOKUP(frasest[[#This Row],[author_es]],autorest[author_es],autorest[age_la])</f>
        <v>Epocha Ignota</v>
      </c>
      <c r="Q1218" t="str">
        <f>_xlfn.XLOOKUP(frasest[[#This Row],[author_es]],autorest[author_es],autorest[image])</f>
        <v>https://i.ibb.co/qLfpZm6h/china.png</v>
      </c>
      <c r="R1218">
        <f>_xlfn.XLOOKUP(frasest[[#This Row],[author_es]],autorest[author_es],autorest[image_atr])</f>
        <v>0</v>
      </c>
    </row>
    <row r="1219" spans="1:18">
      <c r="A1219">
        <v>1218</v>
      </c>
      <c r="B1219" t="s">
        <v>3773</v>
      </c>
      <c r="C1219" t="s">
        <v>3774</v>
      </c>
      <c r="D1219" s="1" t="s">
        <v>3775</v>
      </c>
      <c r="E1219" t="s">
        <v>36</v>
      </c>
      <c r="G1219" t="str">
        <f>_xlfn.XLOOKUP(frasest[[#This Row],[author_es]],autorest[author_es],autorest[author_la])</f>
        <v>Proverbium Sinense</v>
      </c>
      <c r="H1219" t="str">
        <f>_xlfn.XLOOKUP(frasest[[#This Row],[author_es]],autorest[author_es],autorest[bio_es])</f>
        <v>Conjunto de proverbios tradicionales de la cultura china que transmiten sabiduría popular, valores morales y enseñanzas prácticas transmitidas oralmente durante siglos.</v>
      </c>
      <c r="I1219" t="str">
        <f>_xlfn.XLOOKUP(frasest[[#This Row],[author_es]],autorest[author_es],autorest[bio_la])</f>
        <v>Collectio sententiarum Sinensium, magnopere in cultura tradita.</v>
      </c>
      <c r="J1219" t="str">
        <f>_xlfn.XLOOKUP(frasest[[#This Row],[author_es]],autorest[author_es],autorest[iso3691])</f>
        <v>zh</v>
      </c>
      <c r="K1219" t="str">
        <f>_xlfn.XLOOKUP(frasest[[#This Row],[author_es]],autorest[author_es],autorest[language_es])</f>
        <v>Chino</v>
      </c>
      <c r="L1219" t="str">
        <f>_xlfn.XLOOKUP(frasest[[#This Row],[author_es]],autorest[author_es],autorest[language_la])</f>
        <v>Lingua Sinica</v>
      </c>
      <c r="M1219" t="str">
        <f>_xlfn.XLOOKUP(frasest[[#This Row],[author_es]],autorest[author_es],autorest[nation_es])</f>
        <v>China</v>
      </c>
      <c r="N1219" t="str">
        <f>_xlfn.XLOOKUP(frasest[[#This Row],[author_es]],autorest[author_es],autorest[nation_la])</f>
        <v>Sinae</v>
      </c>
      <c r="O1219" t="str">
        <f>_xlfn.XLOOKUP(frasest[[#This Row],[author_es]],autorest[author_es],autorest[age_es])</f>
        <v>Epoca Desconocida</v>
      </c>
      <c r="P1219" t="str">
        <f>_xlfn.XLOOKUP(frasest[[#This Row],[author_es]],autorest[author_es],autorest[age_la])</f>
        <v>Epocha Ignota</v>
      </c>
      <c r="Q1219" t="str">
        <f>_xlfn.XLOOKUP(frasest[[#This Row],[author_es]],autorest[author_es],autorest[image])</f>
        <v>https://i.ibb.co/qLfpZm6h/china.png</v>
      </c>
      <c r="R1219">
        <f>_xlfn.XLOOKUP(frasest[[#This Row],[author_es]],autorest[author_es],autorest[image_atr])</f>
        <v>0</v>
      </c>
    </row>
    <row r="1220" spans="1:18">
      <c r="A1220">
        <v>1219</v>
      </c>
      <c r="B1220" t="s">
        <v>3776</v>
      </c>
      <c r="C1220" t="s">
        <v>3777</v>
      </c>
      <c r="D1220" s="1" t="s">
        <v>3778</v>
      </c>
      <c r="E1220" t="s">
        <v>36</v>
      </c>
      <c r="G1220" t="str">
        <f>_xlfn.XLOOKUP(frasest[[#This Row],[author_es]],autorest[author_es],autorest[author_la])</f>
        <v>Proverbium Sinense</v>
      </c>
      <c r="H1220" t="str">
        <f>_xlfn.XLOOKUP(frasest[[#This Row],[author_es]],autorest[author_es],autorest[bio_es])</f>
        <v>Conjunto de proverbios tradicionales de la cultura china que transmiten sabiduría popular, valores morales y enseñanzas prácticas transmitidas oralmente durante siglos.</v>
      </c>
      <c r="I1220" t="str">
        <f>_xlfn.XLOOKUP(frasest[[#This Row],[author_es]],autorest[author_es],autorest[bio_la])</f>
        <v>Collectio sententiarum Sinensium, magnopere in cultura tradita.</v>
      </c>
      <c r="J1220" t="str">
        <f>_xlfn.XLOOKUP(frasest[[#This Row],[author_es]],autorest[author_es],autorest[iso3691])</f>
        <v>zh</v>
      </c>
      <c r="K1220" t="str">
        <f>_xlfn.XLOOKUP(frasest[[#This Row],[author_es]],autorest[author_es],autorest[language_es])</f>
        <v>Chino</v>
      </c>
      <c r="L1220" t="str">
        <f>_xlfn.XLOOKUP(frasest[[#This Row],[author_es]],autorest[author_es],autorest[language_la])</f>
        <v>Lingua Sinica</v>
      </c>
      <c r="M1220" t="str">
        <f>_xlfn.XLOOKUP(frasest[[#This Row],[author_es]],autorest[author_es],autorest[nation_es])</f>
        <v>China</v>
      </c>
      <c r="N1220" t="str">
        <f>_xlfn.XLOOKUP(frasest[[#This Row],[author_es]],autorest[author_es],autorest[nation_la])</f>
        <v>Sinae</v>
      </c>
      <c r="O1220" t="str">
        <f>_xlfn.XLOOKUP(frasest[[#This Row],[author_es]],autorest[author_es],autorest[age_es])</f>
        <v>Epoca Desconocida</v>
      </c>
      <c r="P1220" t="str">
        <f>_xlfn.XLOOKUP(frasest[[#This Row],[author_es]],autorest[author_es],autorest[age_la])</f>
        <v>Epocha Ignota</v>
      </c>
      <c r="Q1220" t="str">
        <f>_xlfn.XLOOKUP(frasest[[#This Row],[author_es]],autorest[author_es],autorest[image])</f>
        <v>https://i.ibb.co/qLfpZm6h/china.png</v>
      </c>
      <c r="R1220">
        <f>_xlfn.XLOOKUP(frasest[[#This Row],[author_es]],autorest[author_es],autorest[image_atr])</f>
        <v>0</v>
      </c>
    </row>
    <row r="1221" spans="1:18">
      <c r="A1221">
        <v>1220</v>
      </c>
      <c r="B1221" t="s">
        <v>3779</v>
      </c>
      <c r="C1221" t="s">
        <v>3780</v>
      </c>
      <c r="D1221" s="1" t="s">
        <v>3781</v>
      </c>
      <c r="E1221" t="s">
        <v>36</v>
      </c>
      <c r="G1221" t="str">
        <f>_xlfn.XLOOKUP(frasest[[#This Row],[author_es]],autorest[author_es],autorest[author_la])</f>
        <v>Proverbium Sinense</v>
      </c>
      <c r="H1221" t="str">
        <f>_xlfn.XLOOKUP(frasest[[#This Row],[author_es]],autorest[author_es],autorest[bio_es])</f>
        <v>Conjunto de proverbios tradicionales de la cultura china que transmiten sabiduría popular, valores morales y enseñanzas prácticas transmitidas oralmente durante siglos.</v>
      </c>
      <c r="I1221" t="str">
        <f>_xlfn.XLOOKUP(frasest[[#This Row],[author_es]],autorest[author_es],autorest[bio_la])</f>
        <v>Collectio sententiarum Sinensium, magnopere in cultura tradita.</v>
      </c>
      <c r="J1221" t="str">
        <f>_xlfn.XLOOKUP(frasest[[#This Row],[author_es]],autorest[author_es],autorest[iso3691])</f>
        <v>zh</v>
      </c>
      <c r="K1221" t="str">
        <f>_xlfn.XLOOKUP(frasest[[#This Row],[author_es]],autorest[author_es],autorest[language_es])</f>
        <v>Chino</v>
      </c>
      <c r="L1221" t="str">
        <f>_xlfn.XLOOKUP(frasest[[#This Row],[author_es]],autorest[author_es],autorest[language_la])</f>
        <v>Lingua Sinica</v>
      </c>
      <c r="M1221" t="str">
        <f>_xlfn.XLOOKUP(frasest[[#This Row],[author_es]],autorest[author_es],autorest[nation_es])</f>
        <v>China</v>
      </c>
      <c r="N1221" t="str">
        <f>_xlfn.XLOOKUP(frasest[[#This Row],[author_es]],autorest[author_es],autorest[nation_la])</f>
        <v>Sinae</v>
      </c>
      <c r="O1221" t="str">
        <f>_xlfn.XLOOKUP(frasest[[#This Row],[author_es]],autorest[author_es],autorest[age_es])</f>
        <v>Epoca Desconocida</v>
      </c>
      <c r="P1221" t="str">
        <f>_xlfn.XLOOKUP(frasest[[#This Row],[author_es]],autorest[author_es],autorest[age_la])</f>
        <v>Epocha Ignota</v>
      </c>
      <c r="Q1221" t="str">
        <f>_xlfn.XLOOKUP(frasest[[#This Row],[author_es]],autorest[author_es],autorest[image])</f>
        <v>https://i.ibb.co/qLfpZm6h/china.png</v>
      </c>
      <c r="R1221">
        <f>_xlfn.XLOOKUP(frasest[[#This Row],[author_es]],autorest[author_es],autorest[image_atr])</f>
        <v>0</v>
      </c>
    </row>
    <row r="1222" spans="1:18">
      <c r="A1222">
        <v>1221</v>
      </c>
      <c r="B1222" t="s">
        <v>3782</v>
      </c>
      <c r="C1222" t="s">
        <v>3783</v>
      </c>
      <c r="D1222" s="1" t="s">
        <v>3784</v>
      </c>
      <c r="E1222" t="s">
        <v>36</v>
      </c>
      <c r="G1222" t="str">
        <f>_xlfn.XLOOKUP(frasest[[#This Row],[author_es]],autorest[author_es],autorest[author_la])</f>
        <v>Proverbium Sinense</v>
      </c>
      <c r="H1222" t="str">
        <f>_xlfn.XLOOKUP(frasest[[#This Row],[author_es]],autorest[author_es],autorest[bio_es])</f>
        <v>Conjunto de proverbios tradicionales de la cultura china que transmiten sabiduría popular, valores morales y enseñanzas prácticas transmitidas oralmente durante siglos.</v>
      </c>
      <c r="I1222" t="str">
        <f>_xlfn.XLOOKUP(frasest[[#This Row],[author_es]],autorest[author_es],autorest[bio_la])</f>
        <v>Collectio sententiarum Sinensium, magnopere in cultura tradita.</v>
      </c>
      <c r="J1222" t="str">
        <f>_xlfn.XLOOKUP(frasest[[#This Row],[author_es]],autorest[author_es],autorest[iso3691])</f>
        <v>zh</v>
      </c>
      <c r="K1222" t="str">
        <f>_xlfn.XLOOKUP(frasest[[#This Row],[author_es]],autorest[author_es],autorest[language_es])</f>
        <v>Chino</v>
      </c>
      <c r="L1222" t="str">
        <f>_xlfn.XLOOKUP(frasest[[#This Row],[author_es]],autorest[author_es],autorest[language_la])</f>
        <v>Lingua Sinica</v>
      </c>
      <c r="M1222" t="str">
        <f>_xlfn.XLOOKUP(frasest[[#This Row],[author_es]],autorest[author_es],autorest[nation_es])</f>
        <v>China</v>
      </c>
      <c r="N1222" t="str">
        <f>_xlfn.XLOOKUP(frasest[[#This Row],[author_es]],autorest[author_es],autorest[nation_la])</f>
        <v>Sinae</v>
      </c>
      <c r="O1222" t="str">
        <f>_xlfn.XLOOKUP(frasest[[#This Row],[author_es]],autorest[author_es],autorest[age_es])</f>
        <v>Epoca Desconocida</v>
      </c>
      <c r="P1222" t="str">
        <f>_xlfn.XLOOKUP(frasest[[#This Row],[author_es]],autorest[author_es],autorest[age_la])</f>
        <v>Epocha Ignota</v>
      </c>
      <c r="Q1222" t="str">
        <f>_xlfn.XLOOKUP(frasest[[#This Row],[author_es]],autorest[author_es],autorest[image])</f>
        <v>https://i.ibb.co/qLfpZm6h/china.png</v>
      </c>
      <c r="R1222">
        <f>_xlfn.XLOOKUP(frasest[[#This Row],[author_es]],autorest[author_es],autorest[image_atr])</f>
        <v>0</v>
      </c>
    </row>
    <row r="1223" spans="1:18">
      <c r="A1223">
        <v>1222</v>
      </c>
      <c r="B1223" t="s">
        <v>3785</v>
      </c>
      <c r="C1223" t="s">
        <v>3786</v>
      </c>
      <c r="D1223" s="1" t="s">
        <v>3787</v>
      </c>
      <c r="E1223" t="s">
        <v>36</v>
      </c>
      <c r="G1223" t="str">
        <f>_xlfn.XLOOKUP(frasest[[#This Row],[author_es]],autorest[author_es],autorest[author_la])</f>
        <v>Proverbium Sinense</v>
      </c>
      <c r="H1223" t="str">
        <f>_xlfn.XLOOKUP(frasest[[#This Row],[author_es]],autorest[author_es],autorest[bio_es])</f>
        <v>Conjunto de proverbios tradicionales de la cultura china que transmiten sabiduría popular, valores morales y enseñanzas prácticas transmitidas oralmente durante siglos.</v>
      </c>
      <c r="I1223" t="str">
        <f>_xlfn.XLOOKUP(frasest[[#This Row],[author_es]],autorest[author_es],autorest[bio_la])</f>
        <v>Collectio sententiarum Sinensium, magnopere in cultura tradita.</v>
      </c>
      <c r="J1223" t="str">
        <f>_xlfn.XLOOKUP(frasest[[#This Row],[author_es]],autorest[author_es],autorest[iso3691])</f>
        <v>zh</v>
      </c>
      <c r="K1223" t="str">
        <f>_xlfn.XLOOKUP(frasest[[#This Row],[author_es]],autorest[author_es],autorest[language_es])</f>
        <v>Chino</v>
      </c>
      <c r="L1223" t="str">
        <f>_xlfn.XLOOKUP(frasest[[#This Row],[author_es]],autorest[author_es],autorest[language_la])</f>
        <v>Lingua Sinica</v>
      </c>
      <c r="M1223" t="str">
        <f>_xlfn.XLOOKUP(frasest[[#This Row],[author_es]],autorest[author_es],autorest[nation_es])</f>
        <v>China</v>
      </c>
      <c r="N1223" t="str">
        <f>_xlfn.XLOOKUP(frasest[[#This Row],[author_es]],autorest[author_es],autorest[nation_la])</f>
        <v>Sinae</v>
      </c>
      <c r="O1223" t="str">
        <f>_xlfn.XLOOKUP(frasest[[#This Row],[author_es]],autorest[author_es],autorest[age_es])</f>
        <v>Epoca Desconocida</v>
      </c>
      <c r="P1223" t="str">
        <f>_xlfn.XLOOKUP(frasest[[#This Row],[author_es]],autorest[author_es],autorest[age_la])</f>
        <v>Epocha Ignota</v>
      </c>
      <c r="Q1223" t="str">
        <f>_xlfn.XLOOKUP(frasest[[#This Row],[author_es]],autorest[author_es],autorest[image])</f>
        <v>https://i.ibb.co/qLfpZm6h/china.png</v>
      </c>
      <c r="R1223">
        <f>_xlfn.XLOOKUP(frasest[[#This Row],[author_es]],autorest[author_es],autorest[image_atr])</f>
        <v>0</v>
      </c>
    </row>
    <row r="1224" spans="1:18">
      <c r="A1224">
        <v>1223</v>
      </c>
      <c r="B1224" t="s">
        <v>3788</v>
      </c>
      <c r="C1224" t="s">
        <v>3789</v>
      </c>
      <c r="D1224" s="1" t="s">
        <v>3790</v>
      </c>
      <c r="E1224" t="s">
        <v>36</v>
      </c>
      <c r="G1224" t="str">
        <f>_xlfn.XLOOKUP(frasest[[#This Row],[author_es]],autorest[author_es],autorest[author_la])</f>
        <v>Proverbium Sinense</v>
      </c>
      <c r="H1224" t="str">
        <f>_xlfn.XLOOKUP(frasest[[#This Row],[author_es]],autorest[author_es],autorest[bio_es])</f>
        <v>Conjunto de proverbios tradicionales de la cultura china que transmiten sabiduría popular, valores morales y enseñanzas prácticas transmitidas oralmente durante siglos.</v>
      </c>
      <c r="I1224" t="str">
        <f>_xlfn.XLOOKUP(frasest[[#This Row],[author_es]],autorest[author_es],autorest[bio_la])</f>
        <v>Collectio sententiarum Sinensium, magnopere in cultura tradita.</v>
      </c>
      <c r="J1224" t="str">
        <f>_xlfn.XLOOKUP(frasest[[#This Row],[author_es]],autorest[author_es],autorest[iso3691])</f>
        <v>zh</v>
      </c>
      <c r="K1224" t="str">
        <f>_xlfn.XLOOKUP(frasest[[#This Row],[author_es]],autorest[author_es],autorest[language_es])</f>
        <v>Chino</v>
      </c>
      <c r="L1224" t="str">
        <f>_xlfn.XLOOKUP(frasest[[#This Row],[author_es]],autorest[author_es],autorest[language_la])</f>
        <v>Lingua Sinica</v>
      </c>
      <c r="M1224" t="str">
        <f>_xlfn.XLOOKUP(frasest[[#This Row],[author_es]],autorest[author_es],autorest[nation_es])</f>
        <v>China</v>
      </c>
      <c r="N1224" t="str">
        <f>_xlfn.XLOOKUP(frasest[[#This Row],[author_es]],autorest[author_es],autorest[nation_la])</f>
        <v>Sinae</v>
      </c>
      <c r="O1224" t="str">
        <f>_xlfn.XLOOKUP(frasest[[#This Row],[author_es]],autorest[author_es],autorest[age_es])</f>
        <v>Epoca Desconocida</v>
      </c>
      <c r="P1224" t="str">
        <f>_xlfn.XLOOKUP(frasest[[#This Row],[author_es]],autorest[author_es],autorest[age_la])</f>
        <v>Epocha Ignota</v>
      </c>
      <c r="Q1224" t="str">
        <f>_xlfn.XLOOKUP(frasest[[#This Row],[author_es]],autorest[author_es],autorest[image])</f>
        <v>https://i.ibb.co/qLfpZm6h/china.png</v>
      </c>
      <c r="R1224">
        <f>_xlfn.XLOOKUP(frasest[[#This Row],[author_es]],autorest[author_es],autorest[image_atr])</f>
        <v>0</v>
      </c>
    </row>
    <row r="1225" spans="1:18">
      <c r="A1225">
        <v>1224</v>
      </c>
      <c r="B1225" t="s">
        <v>3791</v>
      </c>
      <c r="C1225" t="s">
        <v>3792</v>
      </c>
      <c r="D1225" s="1" t="s">
        <v>3793</v>
      </c>
      <c r="E1225" t="s">
        <v>36</v>
      </c>
      <c r="G1225" t="str">
        <f>_xlfn.XLOOKUP(frasest[[#This Row],[author_es]],autorest[author_es],autorest[author_la])</f>
        <v>Proverbium Sinense</v>
      </c>
      <c r="H1225" t="str">
        <f>_xlfn.XLOOKUP(frasest[[#This Row],[author_es]],autorest[author_es],autorest[bio_es])</f>
        <v>Conjunto de proverbios tradicionales de la cultura china que transmiten sabiduría popular, valores morales y enseñanzas prácticas transmitidas oralmente durante siglos.</v>
      </c>
      <c r="I1225" t="str">
        <f>_xlfn.XLOOKUP(frasest[[#This Row],[author_es]],autorest[author_es],autorest[bio_la])</f>
        <v>Collectio sententiarum Sinensium, magnopere in cultura tradita.</v>
      </c>
      <c r="J1225" t="str">
        <f>_xlfn.XLOOKUP(frasest[[#This Row],[author_es]],autorest[author_es],autorest[iso3691])</f>
        <v>zh</v>
      </c>
      <c r="K1225" t="str">
        <f>_xlfn.XLOOKUP(frasest[[#This Row],[author_es]],autorest[author_es],autorest[language_es])</f>
        <v>Chino</v>
      </c>
      <c r="L1225" t="str">
        <f>_xlfn.XLOOKUP(frasest[[#This Row],[author_es]],autorest[author_es],autorest[language_la])</f>
        <v>Lingua Sinica</v>
      </c>
      <c r="M1225" t="str">
        <f>_xlfn.XLOOKUP(frasest[[#This Row],[author_es]],autorest[author_es],autorest[nation_es])</f>
        <v>China</v>
      </c>
      <c r="N1225" t="str">
        <f>_xlfn.XLOOKUP(frasest[[#This Row],[author_es]],autorest[author_es],autorest[nation_la])</f>
        <v>Sinae</v>
      </c>
      <c r="O1225" t="str">
        <f>_xlfn.XLOOKUP(frasest[[#This Row],[author_es]],autorest[author_es],autorest[age_es])</f>
        <v>Epoca Desconocida</v>
      </c>
      <c r="P1225" t="str">
        <f>_xlfn.XLOOKUP(frasest[[#This Row],[author_es]],autorest[author_es],autorest[age_la])</f>
        <v>Epocha Ignota</v>
      </c>
      <c r="Q1225" t="str">
        <f>_xlfn.XLOOKUP(frasest[[#This Row],[author_es]],autorest[author_es],autorest[image])</f>
        <v>https://i.ibb.co/qLfpZm6h/china.png</v>
      </c>
      <c r="R1225">
        <f>_xlfn.XLOOKUP(frasest[[#This Row],[author_es]],autorest[author_es],autorest[image_atr])</f>
        <v>0</v>
      </c>
    </row>
    <row r="1226" spans="1:18">
      <c r="A1226">
        <v>1225</v>
      </c>
      <c r="B1226" t="s">
        <v>3794</v>
      </c>
      <c r="C1226" t="s">
        <v>3795</v>
      </c>
      <c r="D1226" s="1" t="s">
        <v>3796</v>
      </c>
      <c r="E1226" t="s">
        <v>36</v>
      </c>
      <c r="G1226" t="str">
        <f>_xlfn.XLOOKUP(frasest[[#This Row],[author_es]],autorest[author_es],autorest[author_la])</f>
        <v>Proverbium Sinense</v>
      </c>
      <c r="H1226" t="str">
        <f>_xlfn.XLOOKUP(frasest[[#This Row],[author_es]],autorest[author_es],autorest[bio_es])</f>
        <v>Conjunto de proverbios tradicionales de la cultura china que transmiten sabiduría popular, valores morales y enseñanzas prácticas transmitidas oralmente durante siglos.</v>
      </c>
      <c r="I1226" t="str">
        <f>_xlfn.XLOOKUP(frasest[[#This Row],[author_es]],autorest[author_es],autorest[bio_la])</f>
        <v>Collectio sententiarum Sinensium, magnopere in cultura tradita.</v>
      </c>
      <c r="J1226" t="str">
        <f>_xlfn.XLOOKUP(frasest[[#This Row],[author_es]],autorest[author_es],autorest[iso3691])</f>
        <v>zh</v>
      </c>
      <c r="K1226" t="str">
        <f>_xlfn.XLOOKUP(frasest[[#This Row],[author_es]],autorest[author_es],autorest[language_es])</f>
        <v>Chino</v>
      </c>
      <c r="L1226" t="str">
        <f>_xlfn.XLOOKUP(frasest[[#This Row],[author_es]],autorest[author_es],autorest[language_la])</f>
        <v>Lingua Sinica</v>
      </c>
      <c r="M1226" t="str">
        <f>_xlfn.XLOOKUP(frasest[[#This Row],[author_es]],autorest[author_es],autorest[nation_es])</f>
        <v>China</v>
      </c>
      <c r="N1226" t="str">
        <f>_xlfn.XLOOKUP(frasest[[#This Row],[author_es]],autorest[author_es],autorest[nation_la])</f>
        <v>Sinae</v>
      </c>
      <c r="O1226" t="str">
        <f>_xlfn.XLOOKUP(frasest[[#This Row],[author_es]],autorest[author_es],autorest[age_es])</f>
        <v>Epoca Desconocida</v>
      </c>
      <c r="P1226" t="str">
        <f>_xlfn.XLOOKUP(frasest[[#This Row],[author_es]],autorest[author_es],autorest[age_la])</f>
        <v>Epocha Ignota</v>
      </c>
      <c r="Q1226" t="str">
        <f>_xlfn.XLOOKUP(frasest[[#This Row],[author_es]],autorest[author_es],autorest[image])</f>
        <v>https://i.ibb.co/qLfpZm6h/china.png</v>
      </c>
      <c r="R1226">
        <f>_xlfn.XLOOKUP(frasest[[#This Row],[author_es]],autorest[author_es],autorest[image_atr])</f>
        <v>0</v>
      </c>
    </row>
    <row r="1227" spans="1:18">
      <c r="A1227">
        <v>1226</v>
      </c>
      <c r="B1227" t="s">
        <v>3797</v>
      </c>
      <c r="C1227" t="s">
        <v>3798</v>
      </c>
      <c r="D1227" s="1" t="s">
        <v>3799</v>
      </c>
      <c r="E1227" t="s">
        <v>36</v>
      </c>
      <c r="G1227" t="str">
        <f>_xlfn.XLOOKUP(frasest[[#This Row],[author_es]],autorest[author_es],autorest[author_la])</f>
        <v>Proverbium Sinense</v>
      </c>
      <c r="H1227" t="str">
        <f>_xlfn.XLOOKUP(frasest[[#This Row],[author_es]],autorest[author_es],autorest[bio_es])</f>
        <v>Conjunto de proverbios tradicionales de la cultura china que transmiten sabiduría popular, valores morales y enseñanzas prácticas transmitidas oralmente durante siglos.</v>
      </c>
      <c r="I1227" t="str">
        <f>_xlfn.XLOOKUP(frasest[[#This Row],[author_es]],autorest[author_es],autorest[bio_la])</f>
        <v>Collectio sententiarum Sinensium, magnopere in cultura tradita.</v>
      </c>
      <c r="J1227" t="str">
        <f>_xlfn.XLOOKUP(frasest[[#This Row],[author_es]],autorest[author_es],autorest[iso3691])</f>
        <v>zh</v>
      </c>
      <c r="K1227" t="str">
        <f>_xlfn.XLOOKUP(frasest[[#This Row],[author_es]],autorest[author_es],autorest[language_es])</f>
        <v>Chino</v>
      </c>
      <c r="L1227" t="str">
        <f>_xlfn.XLOOKUP(frasest[[#This Row],[author_es]],autorest[author_es],autorest[language_la])</f>
        <v>Lingua Sinica</v>
      </c>
      <c r="M1227" t="str">
        <f>_xlfn.XLOOKUP(frasest[[#This Row],[author_es]],autorest[author_es],autorest[nation_es])</f>
        <v>China</v>
      </c>
      <c r="N1227" t="str">
        <f>_xlfn.XLOOKUP(frasest[[#This Row],[author_es]],autorest[author_es],autorest[nation_la])</f>
        <v>Sinae</v>
      </c>
      <c r="O1227" t="str">
        <f>_xlfn.XLOOKUP(frasest[[#This Row],[author_es]],autorest[author_es],autorest[age_es])</f>
        <v>Epoca Desconocida</v>
      </c>
      <c r="P1227" t="str">
        <f>_xlfn.XLOOKUP(frasest[[#This Row],[author_es]],autorest[author_es],autorest[age_la])</f>
        <v>Epocha Ignota</v>
      </c>
      <c r="Q1227" t="str">
        <f>_xlfn.XLOOKUP(frasest[[#This Row],[author_es]],autorest[author_es],autorest[image])</f>
        <v>https://i.ibb.co/qLfpZm6h/china.png</v>
      </c>
      <c r="R1227">
        <f>_xlfn.XLOOKUP(frasest[[#This Row],[author_es]],autorest[author_es],autorest[image_atr])</f>
        <v>0</v>
      </c>
    </row>
    <row r="1228" spans="1:18">
      <c r="A1228">
        <v>1227</v>
      </c>
      <c r="B1228" t="s">
        <v>3800</v>
      </c>
      <c r="C1228" t="s">
        <v>3801</v>
      </c>
      <c r="D1228" s="1" t="s">
        <v>1289</v>
      </c>
      <c r="E1228" t="s">
        <v>36</v>
      </c>
      <c r="G1228" t="str">
        <f>_xlfn.XLOOKUP(frasest[[#This Row],[author_es]],autorest[author_es],autorest[author_la])</f>
        <v>Proverbium Sinense</v>
      </c>
      <c r="H1228" t="str">
        <f>_xlfn.XLOOKUP(frasest[[#This Row],[author_es]],autorest[author_es],autorest[bio_es])</f>
        <v>Conjunto de proverbios tradicionales de la cultura china que transmiten sabiduría popular, valores morales y enseñanzas prácticas transmitidas oralmente durante siglos.</v>
      </c>
      <c r="I1228" t="str">
        <f>_xlfn.XLOOKUP(frasest[[#This Row],[author_es]],autorest[author_es],autorest[bio_la])</f>
        <v>Collectio sententiarum Sinensium, magnopere in cultura tradita.</v>
      </c>
      <c r="J1228" t="str">
        <f>_xlfn.XLOOKUP(frasest[[#This Row],[author_es]],autorest[author_es],autorest[iso3691])</f>
        <v>zh</v>
      </c>
      <c r="K1228" t="str">
        <f>_xlfn.XLOOKUP(frasest[[#This Row],[author_es]],autorest[author_es],autorest[language_es])</f>
        <v>Chino</v>
      </c>
      <c r="L1228" t="str">
        <f>_xlfn.XLOOKUP(frasest[[#This Row],[author_es]],autorest[author_es],autorest[language_la])</f>
        <v>Lingua Sinica</v>
      </c>
      <c r="M1228" t="str">
        <f>_xlfn.XLOOKUP(frasest[[#This Row],[author_es]],autorest[author_es],autorest[nation_es])</f>
        <v>China</v>
      </c>
      <c r="N1228" t="str">
        <f>_xlfn.XLOOKUP(frasest[[#This Row],[author_es]],autorest[author_es],autorest[nation_la])</f>
        <v>Sinae</v>
      </c>
      <c r="O1228" t="str">
        <f>_xlfn.XLOOKUP(frasest[[#This Row],[author_es]],autorest[author_es],autorest[age_es])</f>
        <v>Epoca Desconocida</v>
      </c>
      <c r="P1228" t="str">
        <f>_xlfn.XLOOKUP(frasest[[#This Row],[author_es]],autorest[author_es],autorest[age_la])</f>
        <v>Epocha Ignota</v>
      </c>
      <c r="Q1228" t="str">
        <f>_xlfn.XLOOKUP(frasest[[#This Row],[author_es]],autorest[author_es],autorest[image])</f>
        <v>https://i.ibb.co/qLfpZm6h/china.png</v>
      </c>
      <c r="R1228">
        <f>_xlfn.XLOOKUP(frasest[[#This Row],[author_es]],autorest[author_es],autorest[image_atr])</f>
        <v>0</v>
      </c>
    </row>
    <row r="1229" spans="1:18">
      <c r="A1229">
        <v>1228</v>
      </c>
      <c r="B1229" t="s">
        <v>3802</v>
      </c>
      <c r="C1229" t="s">
        <v>3803</v>
      </c>
      <c r="D1229" s="1" t="s">
        <v>3804</v>
      </c>
      <c r="E1229" t="s">
        <v>36</v>
      </c>
      <c r="G1229" t="str">
        <f>_xlfn.XLOOKUP(frasest[[#This Row],[author_es]],autorest[author_es],autorest[author_la])</f>
        <v>Proverbium Sinense</v>
      </c>
      <c r="H1229" t="str">
        <f>_xlfn.XLOOKUP(frasest[[#This Row],[author_es]],autorest[author_es],autorest[bio_es])</f>
        <v>Conjunto de proverbios tradicionales de la cultura china que transmiten sabiduría popular, valores morales y enseñanzas prácticas transmitidas oralmente durante siglos.</v>
      </c>
      <c r="I1229" t="str">
        <f>_xlfn.XLOOKUP(frasest[[#This Row],[author_es]],autorest[author_es],autorest[bio_la])</f>
        <v>Collectio sententiarum Sinensium, magnopere in cultura tradita.</v>
      </c>
      <c r="J1229" t="str">
        <f>_xlfn.XLOOKUP(frasest[[#This Row],[author_es]],autorest[author_es],autorest[iso3691])</f>
        <v>zh</v>
      </c>
      <c r="K1229" t="str">
        <f>_xlfn.XLOOKUP(frasest[[#This Row],[author_es]],autorest[author_es],autorest[language_es])</f>
        <v>Chino</v>
      </c>
      <c r="L1229" t="str">
        <f>_xlfn.XLOOKUP(frasest[[#This Row],[author_es]],autorest[author_es],autorest[language_la])</f>
        <v>Lingua Sinica</v>
      </c>
      <c r="M1229" t="str">
        <f>_xlfn.XLOOKUP(frasest[[#This Row],[author_es]],autorest[author_es],autorest[nation_es])</f>
        <v>China</v>
      </c>
      <c r="N1229" t="str">
        <f>_xlfn.XLOOKUP(frasest[[#This Row],[author_es]],autorest[author_es],autorest[nation_la])</f>
        <v>Sinae</v>
      </c>
      <c r="O1229" t="str">
        <f>_xlfn.XLOOKUP(frasest[[#This Row],[author_es]],autorest[author_es],autorest[age_es])</f>
        <v>Epoca Desconocida</v>
      </c>
      <c r="P1229" t="str">
        <f>_xlfn.XLOOKUP(frasest[[#This Row],[author_es]],autorest[author_es],autorest[age_la])</f>
        <v>Epocha Ignota</v>
      </c>
      <c r="Q1229" t="str">
        <f>_xlfn.XLOOKUP(frasest[[#This Row],[author_es]],autorest[author_es],autorest[image])</f>
        <v>https://i.ibb.co/qLfpZm6h/china.png</v>
      </c>
      <c r="R1229">
        <f>_xlfn.XLOOKUP(frasest[[#This Row],[author_es]],autorest[author_es],autorest[image_atr])</f>
        <v>0</v>
      </c>
    </row>
    <row r="1230" spans="1:18">
      <c r="A1230">
        <v>1229</v>
      </c>
      <c r="B1230" t="s">
        <v>3805</v>
      </c>
      <c r="C1230" t="s">
        <v>3806</v>
      </c>
      <c r="D1230" s="1" t="s">
        <v>3807</v>
      </c>
      <c r="E1230" t="s">
        <v>36</v>
      </c>
      <c r="G1230" t="str">
        <f>_xlfn.XLOOKUP(frasest[[#This Row],[author_es]],autorest[author_es],autorest[author_la])</f>
        <v>Proverbium Sinense</v>
      </c>
      <c r="H1230" t="str">
        <f>_xlfn.XLOOKUP(frasest[[#This Row],[author_es]],autorest[author_es],autorest[bio_es])</f>
        <v>Conjunto de proverbios tradicionales de la cultura china que transmiten sabiduría popular, valores morales y enseñanzas prácticas transmitidas oralmente durante siglos.</v>
      </c>
      <c r="I1230" t="str">
        <f>_xlfn.XLOOKUP(frasest[[#This Row],[author_es]],autorest[author_es],autorest[bio_la])</f>
        <v>Collectio sententiarum Sinensium, magnopere in cultura tradita.</v>
      </c>
      <c r="J1230" t="str">
        <f>_xlfn.XLOOKUP(frasest[[#This Row],[author_es]],autorest[author_es],autorest[iso3691])</f>
        <v>zh</v>
      </c>
      <c r="K1230" t="str">
        <f>_xlfn.XLOOKUP(frasest[[#This Row],[author_es]],autorest[author_es],autorest[language_es])</f>
        <v>Chino</v>
      </c>
      <c r="L1230" t="str">
        <f>_xlfn.XLOOKUP(frasest[[#This Row],[author_es]],autorest[author_es],autorest[language_la])</f>
        <v>Lingua Sinica</v>
      </c>
      <c r="M1230" t="str">
        <f>_xlfn.XLOOKUP(frasest[[#This Row],[author_es]],autorest[author_es],autorest[nation_es])</f>
        <v>China</v>
      </c>
      <c r="N1230" t="str">
        <f>_xlfn.XLOOKUP(frasest[[#This Row],[author_es]],autorest[author_es],autorest[nation_la])</f>
        <v>Sinae</v>
      </c>
      <c r="O1230" t="str">
        <f>_xlfn.XLOOKUP(frasest[[#This Row],[author_es]],autorest[author_es],autorest[age_es])</f>
        <v>Epoca Desconocida</v>
      </c>
      <c r="P1230" t="str">
        <f>_xlfn.XLOOKUP(frasest[[#This Row],[author_es]],autorest[author_es],autorest[age_la])</f>
        <v>Epocha Ignota</v>
      </c>
      <c r="Q1230" t="str">
        <f>_xlfn.XLOOKUP(frasest[[#This Row],[author_es]],autorest[author_es],autorest[image])</f>
        <v>https://i.ibb.co/qLfpZm6h/china.png</v>
      </c>
      <c r="R1230">
        <f>_xlfn.XLOOKUP(frasest[[#This Row],[author_es]],autorest[author_es],autorest[image_atr])</f>
        <v>0</v>
      </c>
    </row>
    <row r="1231" spans="1:18">
      <c r="A1231">
        <v>1230</v>
      </c>
      <c r="B1231" t="s">
        <v>3808</v>
      </c>
      <c r="C1231" t="s">
        <v>3809</v>
      </c>
      <c r="D1231" s="1" t="s">
        <v>3810</v>
      </c>
      <c r="E1231" t="s">
        <v>36</v>
      </c>
      <c r="G1231" t="str">
        <f>_xlfn.XLOOKUP(frasest[[#This Row],[author_es]],autorest[author_es],autorest[author_la])</f>
        <v>Proverbium Sinense</v>
      </c>
      <c r="H1231" t="str">
        <f>_xlfn.XLOOKUP(frasest[[#This Row],[author_es]],autorest[author_es],autorest[bio_es])</f>
        <v>Conjunto de proverbios tradicionales de la cultura china que transmiten sabiduría popular, valores morales y enseñanzas prácticas transmitidas oralmente durante siglos.</v>
      </c>
      <c r="I1231" t="str">
        <f>_xlfn.XLOOKUP(frasest[[#This Row],[author_es]],autorest[author_es],autorest[bio_la])</f>
        <v>Collectio sententiarum Sinensium, magnopere in cultura tradita.</v>
      </c>
      <c r="J1231" t="str">
        <f>_xlfn.XLOOKUP(frasest[[#This Row],[author_es]],autorest[author_es],autorest[iso3691])</f>
        <v>zh</v>
      </c>
      <c r="K1231" t="str">
        <f>_xlfn.XLOOKUP(frasest[[#This Row],[author_es]],autorest[author_es],autorest[language_es])</f>
        <v>Chino</v>
      </c>
      <c r="L1231" t="str">
        <f>_xlfn.XLOOKUP(frasest[[#This Row],[author_es]],autorest[author_es],autorest[language_la])</f>
        <v>Lingua Sinica</v>
      </c>
      <c r="M1231" t="str">
        <f>_xlfn.XLOOKUP(frasest[[#This Row],[author_es]],autorest[author_es],autorest[nation_es])</f>
        <v>China</v>
      </c>
      <c r="N1231" t="str">
        <f>_xlfn.XLOOKUP(frasest[[#This Row],[author_es]],autorest[author_es],autorest[nation_la])</f>
        <v>Sinae</v>
      </c>
      <c r="O1231" t="str">
        <f>_xlfn.XLOOKUP(frasest[[#This Row],[author_es]],autorest[author_es],autorest[age_es])</f>
        <v>Epoca Desconocida</v>
      </c>
      <c r="P1231" t="str">
        <f>_xlfn.XLOOKUP(frasest[[#This Row],[author_es]],autorest[author_es],autorest[age_la])</f>
        <v>Epocha Ignota</v>
      </c>
      <c r="Q1231" t="str">
        <f>_xlfn.XLOOKUP(frasest[[#This Row],[author_es]],autorest[author_es],autorest[image])</f>
        <v>https://i.ibb.co/qLfpZm6h/china.png</v>
      </c>
      <c r="R1231">
        <f>_xlfn.XLOOKUP(frasest[[#This Row],[author_es]],autorest[author_es],autorest[image_atr])</f>
        <v>0</v>
      </c>
    </row>
    <row r="1232" spans="1:18">
      <c r="A1232">
        <v>1231</v>
      </c>
      <c r="B1232" t="s">
        <v>3811</v>
      </c>
      <c r="C1232" t="s">
        <v>3812</v>
      </c>
      <c r="D1232" s="1" t="s">
        <v>3813</v>
      </c>
      <c r="E1232" t="s">
        <v>36</v>
      </c>
      <c r="G1232" t="str">
        <f>_xlfn.XLOOKUP(frasest[[#This Row],[author_es]],autorest[author_es],autorest[author_la])</f>
        <v>Proverbium Sinense</v>
      </c>
      <c r="H1232" t="str">
        <f>_xlfn.XLOOKUP(frasest[[#This Row],[author_es]],autorest[author_es],autorest[bio_es])</f>
        <v>Conjunto de proverbios tradicionales de la cultura china que transmiten sabiduría popular, valores morales y enseñanzas prácticas transmitidas oralmente durante siglos.</v>
      </c>
      <c r="I1232" t="str">
        <f>_xlfn.XLOOKUP(frasest[[#This Row],[author_es]],autorest[author_es],autorest[bio_la])</f>
        <v>Collectio sententiarum Sinensium, magnopere in cultura tradita.</v>
      </c>
      <c r="J1232" t="str">
        <f>_xlfn.XLOOKUP(frasest[[#This Row],[author_es]],autorest[author_es],autorest[iso3691])</f>
        <v>zh</v>
      </c>
      <c r="K1232" t="str">
        <f>_xlfn.XLOOKUP(frasest[[#This Row],[author_es]],autorest[author_es],autorest[language_es])</f>
        <v>Chino</v>
      </c>
      <c r="L1232" t="str">
        <f>_xlfn.XLOOKUP(frasest[[#This Row],[author_es]],autorest[author_es],autorest[language_la])</f>
        <v>Lingua Sinica</v>
      </c>
      <c r="M1232" t="str">
        <f>_xlfn.XLOOKUP(frasest[[#This Row],[author_es]],autorest[author_es],autorest[nation_es])</f>
        <v>China</v>
      </c>
      <c r="N1232" t="str">
        <f>_xlfn.XLOOKUP(frasest[[#This Row],[author_es]],autorest[author_es],autorest[nation_la])</f>
        <v>Sinae</v>
      </c>
      <c r="O1232" t="str">
        <f>_xlfn.XLOOKUP(frasest[[#This Row],[author_es]],autorest[author_es],autorest[age_es])</f>
        <v>Epoca Desconocida</v>
      </c>
      <c r="P1232" t="str">
        <f>_xlfn.XLOOKUP(frasest[[#This Row],[author_es]],autorest[author_es],autorest[age_la])</f>
        <v>Epocha Ignota</v>
      </c>
      <c r="Q1232" t="str">
        <f>_xlfn.XLOOKUP(frasest[[#This Row],[author_es]],autorest[author_es],autorest[image])</f>
        <v>https://i.ibb.co/qLfpZm6h/china.png</v>
      </c>
      <c r="R1232">
        <f>_xlfn.XLOOKUP(frasest[[#This Row],[author_es]],autorest[author_es],autorest[image_atr])</f>
        <v>0</v>
      </c>
    </row>
    <row r="1233" spans="1:18">
      <c r="A1233">
        <v>1232</v>
      </c>
      <c r="B1233" t="s">
        <v>3814</v>
      </c>
      <c r="C1233" t="s">
        <v>3815</v>
      </c>
      <c r="D1233" s="1" t="s">
        <v>3816</v>
      </c>
      <c r="E1233" t="s">
        <v>36</v>
      </c>
      <c r="G1233" t="str">
        <f>_xlfn.XLOOKUP(frasest[[#This Row],[author_es]],autorest[author_es],autorest[author_la])</f>
        <v>Proverbium Sinense</v>
      </c>
      <c r="H1233" t="str">
        <f>_xlfn.XLOOKUP(frasest[[#This Row],[author_es]],autorest[author_es],autorest[bio_es])</f>
        <v>Conjunto de proverbios tradicionales de la cultura china que transmiten sabiduría popular, valores morales y enseñanzas prácticas transmitidas oralmente durante siglos.</v>
      </c>
      <c r="I1233" t="str">
        <f>_xlfn.XLOOKUP(frasest[[#This Row],[author_es]],autorest[author_es],autorest[bio_la])</f>
        <v>Collectio sententiarum Sinensium, magnopere in cultura tradita.</v>
      </c>
      <c r="J1233" t="str">
        <f>_xlfn.XLOOKUP(frasest[[#This Row],[author_es]],autorest[author_es],autorest[iso3691])</f>
        <v>zh</v>
      </c>
      <c r="K1233" t="str">
        <f>_xlfn.XLOOKUP(frasest[[#This Row],[author_es]],autorest[author_es],autorest[language_es])</f>
        <v>Chino</v>
      </c>
      <c r="L1233" t="str">
        <f>_xlfn.XLOOKUP(frasest[[#This Row],[author_es]],autorest[author_es],autorest[language_la])</f>
        <v>Lingua Sinica</v>
      </c>
      <c r="M1233" t="str">
        <f>_xlfn.XLOOKUP(frasest[[#This Row],[author_es]],autorest[author_es],autorest[nation_es])</f>
        <v>China</v>
      </c>
      <c r="N1233" t="str">
        <f>_xlfn.XLOOKUP(frasest[[#This Row],[author_es]],autorest[author_es],autorest[nation_la])</f>
        <v>Sinae</v>
      </c>
      <c r="O1233" t="str">
        <f>_xlfn.XLOOKUP(frasest[[#This Row],[author_es]],autorest[author_es],autorest[age_es])</f>
        <v>Epoca Desconocida</v>
      </c>
      <c r="P1233" t="str">
        <f>_xlfn.XLOOKUP(frasest[[#This Row],[author_es]],autorest[author_es],autorest[age_la])</f>
        <v>Epocha Ignota</v>
      </c>
      <c r="Q1233" t="str">
        <f>_xlfn.XLOOKUP(frasest[[#This Row],[author_es]],autorest[author_es],autorest[image])</f>
        <v>https://i.ibb.co/qLfpZm6h/china.png</v>
      </c>
      <c r="R1233">
        <f>_xlfn.XLOOKUP(frasest[[#This Row],[author_es]],autorest[author_es],autorest[image_atr])</f>
        <v>0</v>
      </c>
    </row>
    <row r="1234" spans="1:18">
      <c r="A1234">
        <v>1233</v>
      </c>
      <c r="B1234" t="s">
        <v>3817</v>
      </c>
      <c r="C1234" t="s">
        <v>3818</v>
      </c>
      <c r="D1234" s="1" t="s">
        <v>3819</v>
      </c>
      <c r="E1234" t="s">
        <v>36</v>
      </c>
      <c r="G1234" t="str">
        <f>_xlfn.XLOOKUP(frasest[[#This Row],[author_es]],autorest[author_es],autorest[author_la])</f>
        <v>Proverbium Sinense</v>
      </c>
      <c r="H1234" t="str">
        <f>_xlfn.XLOOKUP(frasest[[#This Row],[author_es]],autorest[author_es],autorest[bio_es])</f>
        <v>Conjunto de proverbios tradicionales de la cultura china que transmiten sabiduría popular, valores morales y enseñanzas prácticas transmitidas oralmente durante siglos.</v>
      </c>
      <c r="I1234" t="str">
        <f>_xlfn.XLOOKUP(frasest[[#This Row],[author_es]],autorest[author_es],autorest[bio_la])</f>
        <v>Collectio sententiarum Sinensium, magnopere in cultura tradita.</v>
      </c>
      <c r="J1234" t="str">
        <f>_xlfn.XLOOKUP(frasest[[#This Row],[author_es]],autorest[author_es],autorest[iso3691])</f>
        <v>zh</v>
      </c>
      <c r="K1234" t="str">
        <f>_xlfn.XLOOKUP(frasest[[#This Row],[author_es]],autorest[author_es],autorest[language_es])</f>
        <v>Chino</v>
      </c>
      <c r="L1234" t="str">
        <f>_xlfn.XLOOKUP(frasest[[#This Row],[author_es]],autorest[author_es],autorest[language_la])</f>
        <v>Lingua Sinica</v>
      </c>
      <c r="M1234" t="str">
        <f>_xlfn.XLOOKUP(frasest[[#This Row],[author_es]],autorest[author_es],autorest[nation_es])</f>
        <v>China</v>
      </c>
      <c r="N1234" t="str">
        <f>_xlfn.XLOOKUP(frasest[[#This Row],[author_es]],autorest[author_es],autorest[nation_la])</f>
        <v>Sinae</v>
      </c>
      <c r="O1234" t="str">
        <f>_xlfn.XLOOKUP(frasest[[#This Row],[author_es]],autorest[author_es],autorest[age_es])</f>
        <v>Epoca Desconocida</v>
      </c>
      <c r="P1234" t="str">
        <f>_xlfn.XLOOKUP(frasest[[#This Row],[author_es]],autorest[author_es],autorest[age_la])</f>
        <v>Epocha Ignota</v>
      </c>
      <c r="Q1234" t="str">
        <f>_xlfn.XLOOKUP(frasest[[#This Row],[author_es]],autorest[author_es],autorest[image])</f>
        <v>https://i.ibb.co/qLfpZm6h/china.png</v>
      </c>
      <c r="R1234">
        <f>_xlfn.XLOOKUP(frasest[[#This Row],[author_es]],autorest[author_es],autorest[image_atr])</f>
        <v>0</v>
      </c>
    </row>
    <row r="1235" spans="1:18">
      <c r="A1235">
        <v>1234</v>
      </c>
      <c r="B1235" t="s">
        <v>3820</v>
      </c>
      <c r="C1235" t="s">
        <v>3821</v>
      </c>
      <c r="D1235" s="1" t="s">
        <v>3822</v>
      </c>
      <c r="E1235" t="s">
        <v>36</v>
      </c>
      <c r="G1235" t="str">
        <f>_xlfn.XLOOKUP(frasest[[#This Row],[author_es]],autorest[author_es],autorest[author_la])</f>
        <v>Proverbium Sinense</v>
      </c>
      <c r="H1235" t="str">
        <f>_xlfn.XLOOKUP(frasest[[#This Row],[author_es]],autorest[author_es],autorest[bio_es])</f>
        <v>Conjunto de proverbios tradicionales de la cultura china que transmiten sabiduría popular, valores morales y enseñanzas prácticas transmitidas oralmente durante siglos.</v>
      </c>
      <c r="I1235" t="str">
        <f>_xlfn.XLOOKUP(frasest[[#This Row],[author_es]],autorest[author_es],autorest[bio_la])</f>
        <v>Collectio sententiarum Sinensium, magnopere in cultura tradita.</v>
      </c>
      <c r="J1235" t="str">
        <f>_xlfn.XLOOKUP(frasest[[#This Row],[author_es]],autorest[author_es],autorest[iso3691])</f>
        <v>zh</v>
      </c>
      <c r="K1235" t="str">
        <f>_xlfn.XLOOKUP(frasest[[#This Row],[author_es]],autorest[author_es],autorest[language_es])</f>
        <v>Chino</v>
      </c>
      <c r="L1235" t="str">
        <f>_xlfn.XLOOKUP(frasest[[#This Row],[author_es]],autorest[author_es],autorest[language_la])</f>
        <v>Lingua Sinica</v>
      </c>
      <c r="M1235" t="str">
        <f>_xlfn.XLOOKUP(frasest[[#This Row],[author_es]],autorest[author_es],autorest[nation_es])</f>
        <v>China</v>
      </c>
      <c r="N1235" t="str">
        <f>_xlfn.XLOOKUP(frasest[[#This Row],[author_es]],autorest[author_es],autorest[nation_la])</f>
        <v>Sinae</v>
      </c>
      <c r="O1235" t="str">
        <f>_xlfn.XLOOKUP(frasest[[#This Row],[author_es]],autorest[author_es],autorest[age_es])</f>
        <v>Epoca Desconocida</v>
      </c>
      <c r="P1235" t="str">
        <f>_xlfn.XLOOKUP(frasest[[#This Row],[author_es]],autorest[author_es],autorest[age_la])</f>
        <v>Epocha Ignota</v>
      </c>
      <c r="Q1235" t="str">
        <f>_xlfn.XLOOKUP(frasest[[#This Row],[author_es]],autorest[author_es],autorest[image])</f>
        <v>https://i.ibb.co/qLfpZm6h/china.png</v>
      </c>
      <c r="R1235">
        <f>_xlfn.XLOOKUP(frasest[[#This Row],[author_es]],autorest[author_es],autorest[image_atr])</f>
        <v>0</v>
      </c>
    </row>
    <row r="1236" spans="1:18">
      <c r="A1236">
        <v>1235</v>
      </c>
      <c r="B1236" t="s">
        <v>3823</v>
      </c>
      <c r="C1236" t="s">
        <v>3824</v>
      </c>
      <c r="D1236" s="1" t="s">
        <v>3825</v>
      </c>
      <c r="E1236" t="s">
        <v>36</v>
      </c>
      <c r="G1236" t="str">
        <f>_xlfn.XLOOKUP(frasest[[#This Row],[author_es]],autorest[author_es],autorest[author_la])</f>
        <v>Proverbium Sinense</v>
      </c>
      <c r="H1236" t="str">
        <f>_xlfn.XLOOKUP(frasest[[#This Row],[author_es]],autorest[author_es],autorest[bio_es])</f>
        <v>Conjunto de proverbios tradicionales de la cultura china que transmiten sabiduría popular, valores morales y enseñanzas prácticas transmitidas oralmente durante siglos.</v>
      </c>
      <c r="I1236" t="str">
        <f>_xlfn.XLOOKUP(frasest[[#This Row],[author_es]],autorest[author_es],autorest[bio_la])</f>
        <v>Collectio sententiarum Sinensium, magnopere in cultura tradita.</v>
      </c>
      <c r="J1236" t="str">
        <f>_xlfn.XLOOKUP(frasest[[#This Row],[author_es]],autorest[author_es],autorest[iso3691])</f>
        <v>zh</v>
      </c>
      <c r="K1236" t="str">
        <f>_xlfn.XLOOKUP(frasest[[#This Row],[author_es]],autorest[author_es],autorest[language_es])</f>
        <v>Chino</v>
      </c>
      <c r="L1236" t="str">
        <f>_xlfn.XLOOKUP(frasest[[#This Row],[author_es]],autorest[author_es],autorest[language_la])</f>
        <v>Lingua Sinica</v>
      </c>
      <c r="M1236" t="str">
        <f>_xlfn.XLOOKUP(frasest[[#This Row],[author_es]],autorest[author_es],autorest[nation_es])</f>
        <v>China</v>
      </c>
      <c r="N1236" t="str">
        <f>_xlfn.XLOOKUP(frasest[[#This Row],[author_es]],autorest[author_es],autorest[nation_la])</f>
        <v>Sinae</v>
      </c>
      <c r="O1236" t="str">
        <f>_xlfn.XLOOKUP(frasest[[#This Row],[author_es]],autorest[author_es],autorest[age_es])</f>
        <v>Epoca Desconocida</v>
      </c>
      <c r="P1236" t="str">
        <f>_xlfn.XLOOKUP(frasest[[#This Row],[author_es]],autorest[author_es],autorest[age_la])</f>
        <v>Epocha Ignota</v>
      </c>
      <c r="Q1236" t="str">
        <f>_xlfn.XLOOKUP(frasest[[#This Row],[author_es]],autorest[author_es],autorest[image])</f>
        <v>https://i.ibb.co/qLfpZm6h/china.png</v>
      </c>
      <c r="R1236">
        <f>_xlfn.XLOOKUP(frasest[[#This Row],[author_es]],autorest[author_es],autorest[image_atr])</f>
        <v>0</v>
      </c>
    </row>
    <row r="1237" spans="1:18">
      <c r="A1237">
        <v>1236</v>
      </c>
      <c r="B1237" t="s">
        <v>3826</v>
      </c>
      <c r="C1237" t="s">
        <v>3827</v>
      </c>
      <c r="D1237" s="1" t="s">
        <v>3828</v>
      </c>
      <c r="E1237" t="s">
        <v>36</v>
      </c>
      <c r="G1237" t="str">
        <f>_xlfn.XLOOKUP(frasest[[#This Row],[author_es]],autorest[author_es],autorest[author_la])</f>
        <v>Proverbium Sinense</v>
      </c>
      <c r="H1237" t="str">
        <f>_xlfn.XLOOKUP(frasest[[#This Row],[author_es]],autorest[author_es],autorest[bio_es])</f>
        <v>Conjunto de proverbios tradicionales de la cultura china que transmiten sabiduría popular, valores morales y enseñanzas prácticas transmitidas oralmente durante siglos.</v>
      </c>
      <c r="I1237" t="str">
        <f>_xlfn.XLOOKUP(frasest[[#This Row],[author_es]],autorest[author_es],autorest[bio_la])</f>
        <v>Collectio sententiarum Sinensium, magnopere in cultura tradita.</v>
      </c>
      <c r="J1237" t="str">
        <f>_xlfn.XLOOKUP(frasest[[#This Row],[author_es]],autorest[author_es],autorest[iso3691])</f>
        <v>zh</v>
      </c>
      <c r="K1237" t="str">
        <f>_xlfn.XLOOKUP(frasest[[#This Row],[author_es]],autorest[author_es],autorest[language_es])</f>
        <v>Chino</v>
      </c>
      <c r="L1237" t="str">
        <f>_xlfn.XLOOKUP(frasest[[#This Row],[author_es]],autorest[author_es],autorest[language_la])</f>
        <v>Lingua Sinica</v>
      </c>
      <c r="M1237" t="str">
        <f>_xlfn.XLOOKUP(frasest[[#This Row],[author_es]],autorest[author_es],autorest[nation_es])</f>
        <v>China</v>
      </c>
      <c r="N1237" t="str">
        <f>_xlfn.XLOOKUP(frasest[[#This Row],[author_es]],autorest[author_es],autorest[nation_la])</f>
        <v>Sinae</v>
      </c>
      <c r="O1237" t="str">
        <f>_xlfn.XLOOKUP(frasest[[#This Row],[author_es]],autorest[author_es],autorest[age_es])</f>
        <v>Epoca Desconocida</v>
      </c>
      <c r="P1237" t="str">
        <f>_xlfn.XLOOKUP(frasest[[#This Row],[author_es]],autorest[author_es],autorest[age_la])</f>
        <v>Epocha Ignota</v>
      </c>
      <c r="Q1237" t="str">
        <f>_xlfn.XLOOKUP(frasest[[#This Row],[author_es]],autorest[author_es],autorest[image])</f>
        <v>https://i.ibb.co/qLfpZm6h/china.png</v>
      </c>
      <c r="R1237">
        <f>_xlfn.XLOOKUP(frasest[[#This Row],[author_es]],autorest[author_es],autorest[image_atr])</f>
        <v>0</v>
      </c>
    </row>
    <row r="1238" spans="1:18">
      <c r="A1238">
        <v>1237</v>
      </c>
      <c r="B1238" t="s">
        <v>3829</v>
      </c>
      <c r="C1238" t="s">
        <v>3830</v>
      </c>
      <c r="D1238" s="1" t="s">
        <v>3831</v>
      </c>
      <c r="E1238" t="s">
        <v>36</v>
      </c>
      <c r="G1238" t="str">
        <f>_xlfn.XLOOKUP(frasest[[#This Row],[author_es]],autorest[author_es],autorest[author_la])</f>
        <v>Proverbium Sinense</v>
      </c>
      <c r="H1238" t="str">
        <f>_xlfn.XLOOKUP(frasest[[#This Row],[author_es]],autorest[author_es],autorest[bio_es])</f>
        <v>Conjunto de proverbios tradicionales de la cultura china que transmiten sabiduría popular, valores morales y enseñanzas prácticas transmitidas oralmente durante siglos.</v>
      </c>
      <c r="I1238" t="str">
        <f>_xlfn.XLOOKUP(frasest[[#This Row],[author_es]],autorest[author_es],autorest[bio_la])</f>
        <v>Collectio sententiarum Sinensium, magnopere in cultura tradita.</v>
      </c>
      <c r="J1238" t="str">
        <f>_xlfn.XLOOKUP(frasest[[#This Row],[author_es]],autorest[author_es],autorest[iso3691])</f>
        <v>zh</v>
      </c>
      <c r="K1238" t="str">
        <f>_xlfn.XLOOKUP(frasest[[#This Row],[author_es]],autorest[author_es],autorest[language_es])</f>
        <v>Chino</v>
      </c>
      <c r="L1238" t="str">
        <f>_xlfn.XLOOKUP(frasest[[#This Row],[author_es]],autorest[author_es],autorest[language_la])</f>
        <v>Lingua Sinica</v>
      </c>
      <c r="M1238" t="str">
        <f>_xlfn.XLOOKUP(frasest[[#This Row],[author_es]],autorest[author_es],autorest[nation_es])</f>
        <v>China</v>
      </c>
      <c r="N1238" t="str">
        <f>_xlfn.XLOOKUP(frasest[[#This Row],[author_es]],autorest[author_es],autorest[nation_la])</f>
        <v>Sinae</v>
      </c>
      <c r="O1238" t="str">
        <f>_xlfn.XLOOKUP(frasest[[#This Row],[author_es]],autorest[author_es],autorest[age_es])</f>
        <v>Epoca Desconocida</v>
      </c>
      <c r="P1238" t="str">
        <f>_xlfn.XLOOKUP(frasest[[#This Row],[author_es]],autorest[author_es],autorest[age_la])</f>
        <v>Epocha Ignota</v>
      </c>
      <c r="Q1238" t="str">
        <f>_xlfn.XLOOKUP(frasest[[#This Row],[author_es]],autorest[author_es],autorest[image])</f>
        <v>https://i.ibb.co/qLfpZm6h/china.png</v>
      </c>
      <c r="R1238">
        <f>_xlfn.XLOOKUP(frasest[[#This Row],[author_es]],autorest[author_es],autorest[image_atr])</f>
        <v>0</v>
      </c>
    </row>
    <row r="1239" spans="1:18">
      <c r="A1239">
        <v>1238</v>
      </c>
      <c r="B1239" t="s">
        <v>3832</v>
      </c>
      <c r="C1239" t="s">
        <v>3833</v>
      </c>
      <c r="D1239" s="1" t="s">
        <v>3834</v>
      </c>
      <c r="E1239" t="s">
        <v>36</v>
      </c>
      <c r="G1239" t="str">
        <f>_xlfn.XLOOKUP(frasest[[#This Row],[author_es]],autorest[author_es],autorest[author_la])</f>
        <v>Proverbium Sinense</v>
      </c>
      <c r="H1239" t="str">
        <f>_xlfn.XLOOKUP(frasest[[#This Row],[author_es]],autorest[author_es],autorest[bio_es])</f>
        <v>Conjunto de proverbios tradicionales de la cultura china que transmiten sabiduría popular, valores morales y enseñanzas prácticas transmitidas oralmente durante siglos.</v>
      </c>
      <c r="I1239" t="str">
        <f>_xlfn.XLOOKUP(frasest[[#This Row],[author_es]],autorest[author_es],autorest[bio_la])</f>
        <v>Collectio sententiarum Sinensium, magnopere in cultura tradita.</v>
      </c>
      <c r="J1239" t="str">
        <f>_xlfn.XLOOKUP(frasest[[#This Row],[author_es]],autorest[author_es],autorest[iso3691])</f>
        <v>zh</v>
      </c>
      <c r="K1239" t="str">
        <f>_xlfn.XLOOKUP(frasest[[#This Row],[author_es]],autorest[author_es],autorest[language_es])</f>
        <v>Chino</v>
      </c>
      <c r="L1239" t="str">
        <f>_xlfn.XLOOKUP(frasest[[#This Row],[author_es]],autorest[author_es],autorest[language_la])</f>
        <v>Lingua Sinica</v>
      </c>
      <c r="M1239" t="str">
        <f>_xlfn.XLOOKUP(frasest[[#This Row],[author_es]],autorest[author_es],autorest[nation_es])</f>
        <v>China</v>
      </c>
      <c r="N1239" t="str">
        <f>_xlfn.XLOOKUP(frasest[[#This Row],[author_es]],autorest[author_es],autorest[nation_la])</f>
        <v>Sinae</v>
      </c>
      <c r="O1239" t="str">
        <f>_xlfn.XLOOKUP(frasest[[#This Row],[author_es]],autorest[author_es],autorest[age_es])</f>
        <v>Epoca Desconocida</v>
      </c>
      <c r="P1239" t="str">
        <f>_xlfn.XLOOKUP(frasest[[#This Row],[author_es]],autorest[author_es],autorest[age_la])</f>
        <v>Epocha Ignota</v>
      </c>
      <c r="Q1239" t="str">
        <f>_xlfn.XLOOKUP(frasest[[#This Row],[author_es]],autorest[author_es],autorest[image])</f>
        <v>https://i.ibb.co/qLfpZm6h/china.png</v>
      </c>
      <c r="R1239">
        <f>_xlfn.XLOOKUP(frasest[[#This Row],[author_es]],autorest[author_es],autorest[image_atr])</f>
        <v>0</v>
      </c>
    </row>
    <row r="1240" spans="1:18">
      <c r="A1240">
        <v>1239</v>
      </c>
      <c r="B1240" t="s">
        <v>3835</v>
      </c>
      <c r="C1240" t="s">
        <v>3836</v>
      </c>
      <c r="D1240" s="1" t="s">
        <v>3837</v>
      </c>
      <c r="E1240" t="s">
        <v>36</v>
      </c>
      <c r="G1240" t="str">
        <f>_xlfn.XLOOKUP(frasest[[#This Row],[author_es]],autorest[author_es],autorest[author_la])</f>
        <v>Proverbium Sinense</v>
      </c>
      <c r="H1240" t="str">
        <f>_xlfn.XLOOKUP(frasest[[#This Row],[author_es]],autorest[author_es],autorest[bio_es])</f>
        <v>Conjunto de proverbios tradicionales de la cultura china que transmiten sabiduría popular, valores morales y enseñanzas prácticas transmitidas oralmente durante siglos.</v>
      </c>
      <c r="I1240" t="str">
        <f>_xlfn.XLOOKUP(frasest[[#This Row],[author_es]],autorest[author_es],autorest[bio_la])</f>
        <v>Collectio sententiarum Sinensium, magnopere in cultura tradita.</v>
      </c>
      <c r="J1240" t="str">
        <f>_xlfn.XLOOKUP(frasest[[#This Row],[author_es]],autorest[author_es],autorest[iso3691])</f>
        <v>zh</v>
      </c>
      <c r="K1240" t="str">
        <f>_xlfn.XLOOKUP(frasest[[#This Row],[author_es]],autorest[author_es],autorest[language_es])</f>
        <v>Chino</v>
      </c>
      <c r="L1240" t="str">
        <f>_xlfn.XLOOKUP(frasest[[#This Row],[author_es]],autorest[author_es],autorest[language_la])</f>
        <v>Lingua Sinica</v>
      </c>
      <c r="M1240" t="str">
        <f>_xlfn.XLOOKUP(frasest[[#This Row],[author_es]],autorest[author_es],autorest[nation_es])</f>
        <v>China</v>
      </c>
      <c r="N1240" t="str">
        <f>_xlfn.XLOOKUP(frasest[[#This Row],[author_es]],autorest[author_es],autorest[nation_la])</f>
        <v>Sinae</v>
      </c>
      <c r="O1240" t="str">
        <f>_xlfn.XLOOKUP(frasest[[#This Row],[author_es]],autorest[author_es],autorest[age_es])</f>
        <v>Epoca Desconocida</v>
      </c>
      <c r="P1240" t="str">
        <f>_xlfn.XLOOKUP(frasest[[#This Row],[author_es]],autorest[author_es],autorest[age_la])</f>
        <v>Epocha Ignota</v>
      </c>
      <c r="Q1240" t="str">
        <f>_xlfn.XLOOKUP(frasest[[#This Row],[author_es]],autorest[author_es],autorest[image])</f>
        <v>https://i.ibb.co/qLfpZm6h/china.png</v>
      </c>
      <c r="R1240">
        <f>_xlfn.XLOOKUP(frasest[[#This Row],[author_es]],autorest[author_es],autorest[image_atr])</f>
        <v>0</v>
      </c>
    </row>
    <row r="1241" spans="1:18">
      <c r="A1241">
        <v>1240</v>
      </c>
      <c r="B1241" t="s">
        <v>3838</v>
      </c>
      <c r="C1241" t="s">
        <v>3839</v>
      </c>
      <c r="D1241" s="1" t="s">
        <v>3840</v>
      </c>
      <c r="E1241" t="s">
        <v>36</v>
      </c>
      <c r="G1241" t="str">
        <f>_xlfn.XLOOKUP(frasest[[#This Row],[author_es]],autorest[author_es],autorest[author_la])</f>
        <v>Proverbium Sinense</v>
      </c>
      <c r="H1241" t="str">
        <f>_xlfn.XLOOKUP(frasest[[#This Row],[author_es]],autorest[author_es],autorest[bio_es])</f>
        <v>Conjunto de proverbios tradicionales de la cultura china que transmiten sabiduría popular, valores morales y enseñanzas prácticas transmitidas oralmente durante siglos.</v>
      </c>
      <c r="I1241" t="str">
        <f>_xlfn.XLOOKUP(frasest[[#This Row],[author_es]],autorest[author_es],autorest[bio_la])</f>
        <v>Collectio sententiarum Sinensium, magnopere in cultura tradita.</v>
      </c>
      <c r="J1241" t="str">
        <f>_xlfn.XLOOKUP(frasest[[#This Row],[author_es]],autorest[author_es],autorest[iso3691])</f>
        <v>zh</v>
      </c>
      <c r="K1241" t="str">
        <f>_xlfn.XLOOKUP(frasest[[#This Row],[author_es]],autorest[author_es],autorest[language_es])</f>
        <v>Chino</v>
      </c>
      <c r="L1241" t="str">
        <f>_xlfn.XLOOKUP(frasest[[#This Row],[author_es]],autorest[author_es],autorest[language_la])</f>
        <v>Lingua Sinica</v>
      </c>
      <c r="M1241" t="str">
        <f>_xlfn.XLOOKUP(frasest[[#This Row],[author_es]],autorest[author_es],autorest[nation_es])</f>
        <v>China</v>
      </c>
      <c r="N1241" t="str">
        <f>_xlfn.XLOOKUP(frasest[[#This Row],[author_es]],autorest[author_es],autorest[nation_la])</f>
        <v>Sinae</v>
      </c>
      <c r="O1241" t="str">
        <f>_xlfn.XLOOKUP(frasest[[#This Row],[author_es]],autorest[author_es],autorest[age_es])</f>
        <v>Epoca Desconocida</v>
      </c>
      <c r="P1241" t="str">
        <f>_xlfn.XLOOKUP(frasest[[#This Row],[author_es]],autorest[author_es],autorest[age_la])</f>
        <v>Epocha Ignota</v>
      </c>
      <c r="Q1241" t="str">
        <f>_xlfn.XLOOKUP(frasest[[#This Row],[author_es]],autorest[author_es],autorest[image])</f>
        <v>https://i.ibb.co/qLfpZm6h/china.png</v>
      </c>
      <c r="R1241">
        <f>_xlfn.XLOOKUP(frasest[[#This Row],[author_es]],autorest[author_es],autorest[image_atr])</f>
        <v>0</v>
      </c>
    </row>
    <row r="1242" spans="1:18">
      <c r="A1242">
        <v>1241</v>
      </c>
      <c r="B1242" t="s">
        <v>3841</v>
      </c>
      <c r="C1242" t="s">
        <v>3842</v>
      </c>
      <c r="D1242" s="1" t="s">
        <v>3843</v>
      </c>
      <c r="E1242" t="s">
        <v>36</v>
      </c>
      <c r="G1242" t="str">
        <f>_xlfn.XLOOKUP(frasest[[#This Row],[author_es]],autorest[author_es],autorest[author_la])</f>
        <v>Proverbium Sinense</v>
      </c>
      <c r="H1242" t="str">
        <f>_xlfn.XLOOKUP(frasest[[#This Row],[author_es]],autorest[author_es],autorest[bio_es])</f>
        <v>Conjunto de proverbios tradicionales de la cultura china que transmiten sabiduría popular, valores morales y enseñanzas prácticas transmitidas oralmente durante siglos.</v>
      </c>
      <c r="I1242" t="str">
        <f>_xlfn.XLOOKUP(frasest[[#This Row],[author_es]],autorest[author_es],autorest[bio_la])</f>
        <v>Collectio sententiarum Sinensium, magnopere in cultura tradita.</v>
      </c>
      <c r="J1242" t="str">
        <f>_xlfn.XLOOKUP(frasest[[#This Row],[author_es]],autorest[author_es],autorest[iso3691])</f>
        <v>zh</v>
      </c>
      <c r="K1242" t="str">
        <f>_xlfn.XLOOKUP(frasest[[#This Row],[author_es]],autorest[author_es],autorest[language_es])</f>
        <v>Chino</v>
      </c>
      <c r="L1242" t="str">
        <f>_xlfn.XLOOKUP(frasest[[#This Row],[author_es]],autorest[author_es],autorest[language_la])</f>
        <v>Lingua Sinica</v>
      </c>
      <c r="M1242" t="str">
        <f>_xlfn.XLOOKUP(frasest[[#This Row],[author_es]],autorest[author_es],autorest[nation_es])</f>
        <v>China</v>
      </c>
      <c r="N1242" t="str">
        <f>_xlfn.XLOOKUP(frasest[[#This Row],[author_es]],autorest[author_es],autorest[nation_la])</f>
        <v>Sinae</v>
      </c>
      <c r="O1242" t="str">
        <f>_xlfn.XLOOKUP(frasest[[#This Row],[author_es]],autorest[author_es],autorest[age_es])</f>
        <v>Epoca Desconocida</v>
      </c>
      <c r="P1242" t="str">
        <f>_xlfn.XLOOKUP(frasest[[#This Row],[author_es]],autorest[author_es],autorest[age_la])</f>
        <v>Epocha Ignota</v>
      </c>
      <c r="Q1242" t="str">
        <f>_xlfn.XLOOKUP(frasest[[#This Row],[author_es]],autorest[author_es],autorest[image])</f>
        <v>https://i.ibb.co/qLfpZm6h/china.png</v>
      </c>
      <c r="R1242">
        <f>_xlfn.XLOOKUP(frasest[[#This Row],[author_es]],autorest[author_es],autorest[image_atr])</f>
        <v>0</v>
      </c>
    </row>
    <row r="1243" spans="1:18">
      <c r="A1243">
        <v>1242</v>
      </c>
      <c r="B1243" t="s">
        <v>3844</v>
      </c>
      <c r="C1243" t="s">
        <v>3845</v>
      </c>
      <c r="D1243" s="1" t="s">
        <v>3846</v>
      </c>
      <c r="E1243" t="s">
        <v>36</v>
      </c>
      <c r="G1243" t="str">
        <f>_xlfn.XLOOKUP(frasest[[#This Row],[author_es]],autorest[author_es],autorest[author_la])</f>
        <v>Proverbium Sinense</v>
      </c>
      <c r="H1243" t="str">
        <f>_xlfn.XLOOKUP(frasest[[#This Row],[author_es]],autorest[author_es],autorest[bio_es])</f>
        <v>Conjunto de proverbios tradicionales de la cultura china que transmiten sabiduría popular, valores morales y enseñanzas prácticas transmitidas oralmente durante siglos.</v>
      </c>
      <c r="I1243" t="str">
        <f>_xlfn.XLOOKUP(frasest[[#This Row],[author_es]],autorest[author_es],autorest[bio_la])</f>
        <v>Collectio sententiarum Sinensium, magnopere in cultura tradita.</v>
      </c>
      <c r="J1243" t="str">
        <f>_xlfn.XLOOKUP(frasest[[#This Row],[author_es]],autorest[author_es],autorest[iso3691])</f>
        <v>zh</v>
      </c>
      <c r="K1243" t="str">
        <f>_xlfn.XLOOKUP(frasest[[#This Row],[author_es]],autorest[author_es],autorest[language_es])</f>
        <v>Chino</v>
      </c>
      <c r="L1243" t="str">
        <f>_xlfn.XLOOKUP(frasest[[#This Row],[author_es]],autorest[author_es],autorest[language_la])</f>
        <v>Lingua Sinica</v>
      </c>
      <c r="M1243" t="str">
        <f>_xlfn.XLOOKUP(frasest[[#This Row],[author_es]],autorest[author_es],autorest[nation_es])</f>
        <v>China</v>
      </c>
      <c r="N1243" t="str">
        <f>_xlfn.XLOOKUP(frasest[[#This Row],[author_es]],autorest[author_es],autorest[nation_la])</f>
        <v>Sinae</v>
      </c>
      <c r="O1243" t="str">
        <f>_xlfn.XLOOKUP(frasest[[#This Row],[author_es]],autorest[author_es],autorest[age_es])</f>
        <v>Epoca Desconocida</v>
      </c>
      <c r="P1243" t="str">
        <f>_xlfn.XLOOKUP(frasest[[#This Row],[author_es]],autorest[author_es],autorest[age_la])</f>
        <v>Epocha Ignota</v>
      </c>
      <c r="Q1243" t="str">
        <f>_xlfn.XLOOKUP(frasest[[#This Row],[author_es]],autorest[author_es],autorest[image])</f>
        <v>https://i.ibb.co/qLfpZm6h/china.png</v>
      </c>
      <c r="R1243">
        <f>_xlfn.XLOOKUP(frasest[[#This Row],[author_es]],autorest[author_es],autorest[image_atr])</f>
        <v>0</v>
      </c>
    </row>
    <row r="1244" spans="1:18">
      <c r="A1244">
        <v>1243</v>
      </c>
      <c r="B1244" t="s">
        <v>3847</v>
      </c>
      <c r="C1244" t="s">
        <v>3848</v>
      </c>
      <c r="D1244" s="1" t="s">
        <v>3849</v>
      </c>
      <c r="E1244" t="s">
        <v>36</v>
      </c>
      <c r="G1244" t="str">
        <f>_xlfn.XLOOKUP(frasest[[#This Row],[author_es]],autorest[author_es],autorest[author_la])</f>
        <v>Proverbium Sinense</v>
      </c>
      <c r="H1244" t="str">
        <f>_xlfn.XLOOKUP(frasest[[#This Row],[author_es]],autorest[author_es],autorest[bio_es])</f>
        <v>Conjunto de proverbios tradicionales de la cultura china que transmiten sabiduría popular, valores morales y enseñanzas prácticas transmitidas oralmente durante siglos.</v>
      </c>
      <c r="I1244" t="str">
        <f>_xlfn.XLOOKUP(frasest[[#This Row],[author_es]],autorest[author_es],autorest[bio_la])</f>
        <v>Collectio sententiarum Sinensium, magnopere in cultura tradita.</v>
      </c>
      <c r="J1244" t="str">
        <f>_xlfn.XLOOKUP(frasest[[#This Row],[author_es]],autorest[author_es],autorest[iso3691])</f>
        <v>zh</v>
      </c>
      <c r="K1244" t="str">
        <f>_xlfn.XLOOKUP(frasest[[#This Row],[author_es]],autorest[author_es],autorest[language_es])</f>
        <v>Chino</v>
      </c>
      <c r="L1244" t="str">
        <f>_xlfn.XLOOKUP(frasest[[#This Row],[author_es]],autorest[author_es],autorest[language_la])</f>
        <v>Lingua Sinica</v>
      </c>
      <c r="M1244" t="str">
        <f>_xlfn.XLOOKUP(frasest[[#This Row],[author_es]],autorest[author_es],autorest[nation_es])</f>
        <v>China</v>
      </c>
      <c r="N1244" t="str">
        <f>_xlfn.XLOOKUP(frasest[[#This Row],[author_es]],autorest[author_es],autorest[nation_la])</f>
        <v>Sinae</v>
      </c>
      <c r="O1244" t="str">
        <f>_xlfn.XLOOKUP(frasest[[#This Row],[author_es]],autorest[author_es],autorest[age_es])</f>
        <v>Epoca Desconocida</v>
      </c>
      <c r="P1244" t="str">
        <f>_xlfn.XLOOKUP(frasest[[#This Row],[author_es]],autorest[author_es],autorest[age_la])</f>
        <v>Epocha Ignota</v>
      </c>
      <c r="Q1244" t="str">
        <f>_xlfn.XLOOKUP(frasest[[#This Row],[author_es]],autorest[author_es],autorest[image])</f>
        <v>https://i.ibb.co/qLfpZm6h/china.png</v>
      </c>
      <c r="R1244">
        <f>_xlfn.XLOOKUP(frasest[[#This Row],[author_es]],autorest[author_es],autorest[image_atr])</f>
        <v>0</v>
      </c>
    </row>
    <row r="1245" spans="1:18">
      <c r="A1245">
        <v>1244</v>
      </c>
      <c r="B1245" t="s">
        <v>3850</v>
      </c>
      <c r="C1245" t="s">
        <v>3851</v>
      </c>
      <c r="D1245" s="1" t="s">
        <v>3852</v>
      </c>
      <c r="E1245" t="s">
        <v>36</v>
      </c>
      <c r="G1245" t="str">
        <f>_xlfn.XLOOKUP(frasest[[#This Row],[author_es]],autorest[author_es],autorest[author_la])</f>
        <v>Proverbium Sinense</v>
      </c>
      <c r="H1245" t="str">
        <f>_xlfn.XLOOKUP(frasest[[#This Row],[author_es]],autorest[author_es],autorest[bio_es])</f>
        <v>Conjunto de proverbios tradicionales de la cultura china que transmiten sabiduría popular, valores morales y enseñanzas prácticas transmitidas oralmente durante siglos.</v>
      </c>
      <c r="I1245" t="str">
        <f>_xlfn.XLOOKUP(frasest[[#This Row],[author_es]],autorest[author_es],autorest[bio_la])</f>
        <v>Collectio sententiarum Sinensium, magnopere in cultura tradita.</v>
      </c>
      <c r="J1245" t="str">
        <f>_xlfn.XLOOKUP(frasest[[#This Row],[author_es]],autorest[author_es],autorest[iso3691])</f>
        <v>zh</v>
      </c>
      <c r="K1245" t="str">
        <f>_xlfn.XLOOKUP(frasest[[#This Row],[author_es]],autorest[author_es],autorest[language_es])</f>
        <v>Chino</v>
      </c>
      <c r="L1245" t="str">
        <f>_xlfn.XLOOKUP(frasest[[#This Row],[author_es]],autorest[author_es],autorest[language_la])</f>
        <v>Lingua Sinica</v>
      </c>
      <c r="M1245" t="str">
        <f>_xlfn.XLOOKUP(frasest[[#This Row],[author_es]],autorest[author_es],autorest[nation_es])</f>
        <v>China</v>
      </c>
      <c r="N1245" t="str">
        <f>_xlfn.XLOOKUP(frasest[[#This Row],[author_es]],autorest[author_es],autorest[nation_la])</f>
        <v>Sinae</v>
      </c>
      <c r="O1245" t="str">
        <f>_xlfn.XLOOKUP(frasest[[#This Row],[author_es]],autorest[author_es],autorest[age_es])</f>
        <v>Epoca Desconocida</v>
      </c>
      <c r="P1245" t="str">
        <f>_xlfn.XLOOKUP(frasest[[#This Row],[author_es]],autorest[author_es],autorest[age_la])</f>
        <v>Epocha Ignota</v>
      </c>
      <c r="Q1245" t="str">
        <f>_xlfn.XLOOKUP(frasest[[#This Row],[author_es]],autorest[author_es],autorest[image])</f>
        <v>https://i.ibb.co/qLfpZm6h/china.png</v>
      </c>
      <c r="R1245">
        <f>_xlfn.XLOOKUP(frasest[[#This Row],[author_es]],autorest[author_es],autorest[image_atr])</f>
        <v>0</v>
      </c>
    </row>
    <row r="1246" spans="1:18">
      <c r="A1246">
        <v>1245</v>
      </c>
      <c r="B1246" t="s">
        <v>3853</v>
      </c>
      <c r="C1246" t="s">
        <v>3854</v>
      </c>
      <c r="D1246" s="1" t="s">
        <v>3855</v>
      </c>
      <c r="E1246" t="s">
        <v>36</v>
      </c>
      <c r="G1246" t="str">
        <f>_xlfn.XLOOKUP(frasest[[#This Row],[author_es]],autorest[author_es],autorest[author_la])</f>
        <v>Proverbium Sinense</v>
      </c>
      <c r="H1246" t="str">
        <f>_xlfn.XLOOKUP(frasest[[#This Row],[author_es]],autorest[author_es],autorest[bio_es])</f>
        <v>Conjunto de proverbios tradicionales de la cultura china que transmiten sabiduría popular, valores morales y enseñanzas prácticas transmitidas oralmente durante siglos.</v>
      </c>
      <c r="I1246" t="str">
        <f>_xlfn.XLOOKUP(frasest[[#This Row],[author_es]],autorest[author_es],autorest[bio_la])</f>
        <v>Collectio sententiarum Sinensium, magnopere in cultura tradita.</v>
      </c>
      <c r="J1246" t="str">
        <f>_xlfn.XLOOKUP(frasest[[#This Row],[author_es]],autorest[author_es],autorest[iso3691])</f>
        <v>zh</v>
      </c>
      <c r="K1246" t="str">
        <f>_xlfn.XLOOKUP(frasest[[#This Row],[author_es]],autorest[author_es],autorest[language_es])</f>
        <v>Chino</v>
      </c>
      <c r="L1246" t="str">
        <f>_xlfn.XLOOKUP(frasest[[#This Row],[author_es]],autorest[author_es],autorest[language_la])</f>
        <v>Lingua Sinica</v>
      </c>
      <c r="M1246" t="str">
        <f>_xlfn.XLOOKUP(frasest[[#This Row],[author_es]],autorest[author_es],autorest[nation_es])</f>
        <v>China</v>
      </c>
      <c r="N1246" t="str">
        <f>_xlfn.XLOOKUP(frasest[[#This Row],[author_es]],autorest[author_es],autorest[nation_la])</f>
        <v>Sinae</v>
      </c>
      <c r="O1246" t="str">
        <f>_xlfn.XLOOKUP(frasest[[#This Row],[author_es]],autorest[author_es],autorest[age_es])</f>
        <v>Epoca Desconocida</v>
      </c>
      <c r="P1246" t="str">
        <f>_xlfn.XLOOKUP(frasest[[#This Row],[author_es]],autorest[author_es],autorest[age_la])</f>
        <v>Epocha Ignota</v>
      </c>
      <c r="Q1246" t="str">
        <f>_xlfn.XLOOKUP(frasest[[#This Row],[author_es]],autorest[author_es],autorest[image])</f>
        <v>https://i.ibb.co/qLfpZm6h/china.png</v>
      </c>
      <c r="R1246">
        <f>_xlfn.XLOOKUP(frasest[[#This Row],[author_es]],autorest[author_es],autorest[image_atr])</f>
        <v>0</v>
      </c>
    </row>
    <row r="1247" spans="1:18">
      <c r="A1247">
        <v>1246</v>
      </c>
      <c r="B1247" t="s">
        <v>3856</v>
      </c>
      <c r="C1247" t="s">
        <v>3857</v>
      </c>
      <c r="D1247" s="1" t="s">
        <v>3858</v>
      </c>
      <c r="E1247" t="s">
        <v>36</v>
      </c>
      <c r="G1247" t="str">
        <f>_xlfn.XLOOKUP(frasest[[#This Row],[author_es]],autorest[author_es],autorest[author_la])</f>
        <v>Proverbium Sinense</v>
      </c>
      <c r="H1247" t="str">
        <f>_xlfn.XLOOKUP(frasest[[#This Row],[author_es]],autorest[author_es],autorest[bio_es])</f>
        <v>Conjunto de proverbios tradicionales de la cultura china que transmiten sabiduría popular, valores morales y enseñanzas prácticas transmitidas oralmente durante siglos.</v>
      </c>
      <c r="I1247" t="str">
        <f>_xlfn.XLOOKUP(frasest[[#This Row],[author_es]],autorest[author_es],autorest[bio_la])</f>
        <v>Collectio sententiarum Sinensium, magnopere in cultura tradita.</v>
      </c>
      <c r="J1247" t="str">
        <f>_xlfn.XLOOKUP(frasest[[#This Row],[author_es]],autorest[author_es],autorest[iso3691])</f>
        <v>zh</v>
      </c>
      <c r="K1247" t="str">
        <f>_xlfn.XLOOKUP(frasest[[#This Row],[author_es]],autorest[author_es],autorest[language_es])</f>
        <v>Chino</v>
      </c>
      <c r="L1247" t="str">
        <f>_xlfn.XLOOKUP(frasest[[#This Row],[author_es]],autorest[author_es],autorest[language_la])</f>
        <v>Lingua Sinica</v>
      </c>
      <c r="M1247" t="str">
        <f>_xlfn.XLOOKUP(frasest[[#This Row],[author_es]],autorest[author_es],autorest[nation_es])</f>
        <v>China</v>
      </c>
      <c r="N1247" t="str">
        <f>_xlfn.XLOOKUP(frasest[[#This Row],[author_es]],autorest[author_es],autorest[nation_la])</f>
        <v>Sinae</v>
      </c>
      <c r="O1247" t="str">
        <f>_xlfn.XLOOKUP(frasest[[#This Row],[author_es]],autorest[author_es],autorest[age_es])</f>
        <v>Epoca Desconocida</v>
      </c>
      <c r="P1247" t="str">
        <f>_xlfn.XLOOKUP(frasest[[#This Row],[author_es]],autorest[author_es],autorest[age_la])</f>
        <v>Epocha Ignota</v>
      </c>
      <c r="Q1247" t="str">
        <f>_xlfn.XLOOKUP(frasest[[#This Row],[author_es]],autorest[author_es],autorest[image])</f>
        <v>https://i.ibb.co/qLfpZm6h/china.png</v>
      </c>
      <c r="R1247">
        <f>_xlfn.XLOOKUP(frasest[[#This Row],[author_es]],autorest[author_es],autorest[image_atr])</f>
        <v>0</v>
      </c>
    </row>
    <row r="1248" spans="1:18">
      <c r="A1248">
        <v>1247</v>
      </c>
      <c r="B1248" t="s">
        <v>3859</v>
      </c>
      <c r="C1248" t="s">
        <v>3860</v>
      </c>
      <c r="D1248" s="1" t="s">
        <v>3861</v>
      </c>
      <c r="E1248" t="s">
        <v>36</v>
      </c>
      <c r="G1248" t="str">
        <f>_xlfn.XLOOKUP(frasest[[#This Row],[author_es]],autorest[author_es],autorest[author_la])</f>
        <v>Proverbium Sinense</v>
      </c>
      <c r="H1248" t="str">
        <f>_xlfn.XLOOKUP(frasest[[#This Row],[author_es]],autorest[author_es],autorest[bio_es])</f>
        <v>Conjunto de proverbios tradicionales de la cultura china que transmiten sabiduría popular, valores morales y enseñanzas prácticas transmitidas oralmente durante siglos.</v>
      </c>
      <c r="I1248" t="str">
        <f>_xlfn.XLOOKUP(frasest[[#This Row],[author_es]],autorest[author_es],autorest[bio_la])</f>
        <v>Collectio sententiarum Sinensium, magnopere in cultura tradita.</v>
      </c>
      <c r="J1248" t="str">
        <f>_xlfn.XLOOKUP(frasest[[#This Row],[author_es]],autorest[author_es],autorest[iso3691])</f>
        <v>zh</v>
      </c>
      <c r="K1248" t="str">
        <f>_xlfn.XLOOKUP(frasest[[#This Row],[author_es]],autorest[author_es],autorest[language_es])</f>
        <v>Chino</v>
      </c>
      <c r="L1248" t="str">
        <f>_xlfn.XLOOKUP(frasest[[#This Row],[author_es]],autorest[author_es],autorest[language_la])</f>
        <v>Lingua Sinica</v>
      </c>
      <c r="M1248" t="str">
        <f>_xlfn.XLOOKUP(frasest[[#This Row],[author_es]],autorest[author_es],autorest[nation_es])</f>
        <v>China</v>
      </c>
      <c r="N1248" t="str">
        <f>_xlfn.XLOOKUP(frasest[[#This Row],[author_es]],autorest[author_es],autorest[nation_la])</f>
        <v>Sinae</v>
      </c>
      <c r="O1248" t="str">
        <f>_xlfn.XLOOKUP(frasest[[#This Row],[author_es]],autorest[author_es],autorest[age_es])</f>
        <v>Epoca Desconocida</v>
      </c>
      <c r="P1248" t="str">
        <f>_xlfn.XLOOKUP(frasest[[#This Row],[author_es]],autorest[author_es],autorest[age_la])</f>
        <v>Epocha Ignota</v>
      </c>
      <c r="Q1248" t="str">
        <f>_xlfn.XLOOKUP(frasest[[#This Row],[author_es]],autorest[author_es],autorest[image])</f>
        <v>https://i.ibb.co/qLfpZm6h/china.png</v>
      </c>
      <c r="R1248">
        <f>_xlfn.XLOOKUP(frasest[[#This Row],[author_es]],autorest[author_es],autorest[image_atr])</f>
        <v>0</v>
      </c>
    </row>
    <row r="1249" spans="1:18">
      <c r="A1249">
        <v>1248</v>
      </c>
      <c r="B1249" t="s">
        <v>3862</v>
      </c>
      <c r="C1249" t="s">
        <v>3863</v>
      </c>
      <c r="D1249" s="1" t="s">
        <v>3864</v>
      </c>
      <c r="E1249" t="s">
        <v>36</v>
      </c>
      <c r="G1249" t="str">
        <f>_xlfn.XLOOKUP(frasest[[#This Row],[author_es]],autorest[author_es],autorest[author_la])</f>
        <v>Proverbium Sinense</v>
      </c>
      <c r="H1249" t="str">
        <f>_xlfn.XLOOKUP(frasest[[#This Row],[author_es]],autorest[author_es],autorest[bio_es])</f>
        <v>Conjunto de proverbios tradicionales de la cultura china que transmiten sabiduría popular, valores morales y enseñanzas prácticas transmitidas oralmente durante siglos.</v>
      </c>
      <c r="I1249" t="str">
        <f>_xlfn.XLOOKUP(frasest[[#This Row],[author_es]],autorest[author_es],autorest[bio_la])</f>
        <v>Collectio sententiarum Sinensium, magnopere in cultura tradita.</v>
      </c>
      <c r="J1249" t="str">
        <f>_xlfn.XLOOKUP(frasest[[#This Row],[author_es]],autorest[author_es],autorest[iso3691])</f>
        <v>zh</v>
      </c>
      <c r="K1249" t="str">
        <f>_xlfn.XLOOKUP(frasest[[#This Row],[author_es]],autorest[author_es],autorest[language_es])</f>
        <v>Chino</v>
      </c>
      <c r="L1249" t="str">
        <f>_xlfn.XLOOKUP(frasest[[#This Row],[author_es]],autorest[author_es],autorest[language_la])</f>
        <v>Lingua Sinica</v>
      </c>
      <c r="M1249" t="str">
        <f>_xlfn.XLOOKUP(frasest[[#This Row],[author_es]],autorest[author_es],autorest[nation_es])</f>
        <v>China</v>
      </c>
      <c r="N1249" t="str">
        <f>_xlfn.XLOOKUP(frasest[[#This Row],[author_es]],autorest[author_es],autorest[nation_la])</f>
        <v>Sinae</v>
      </c>
      <c r="O1249" t="str">
        <f>_xlfn.XLOOKUP(frasest[[#This Row],[author_es]],autorest[author_es],autorest[age_es])</f>
        <v>Epoca Desconocida</v>
      </c>
      <c r="P1249" t="str">
        <f>_xlfn.XLOOKUP(frasest[[#This Row],[author_es]],autorest[author_es],autorest[age_la])</f>
        <v>Epocha Ignota</v>
      </c>
      <c r="Q1249" t="str">
        <f>_xlfn.XLOOKUP(frasest[[#This Row],[author_es]],autorest[author_es],autorest[image])</f>
        <v>https://i.ibb.co/qLfpZm6h/china.png</v>
      </c>
      <c r="R1249">
        <f>_xlfn.XLOOKUP(frasest[[#This Row],[author_es]],autorest[author_es],autorest[image_atr])</f>
        <v>0</v>
      </c>
    </row>
    <row r="1250" spans="1:18">
      <c r="A1250">
        <v>1249</v>
      </c>
      <c r="B1250" t="s">
        <v>3865</v>
      </c>
      <c r="C1250" t="s">
        <v>3866</v>
      </c>
      <c r="D1250" s="1" t="s">
        <v>3867</v>
      </c>
      <c r="E1250" t="s">
        <v>36</v>
      </c>
      <c r="G1250" t="str">
        <f>_xlfn.XLOOKUP(frasest[[#This Row],[author_es]],autorest[author_es],autorest[author_la])</f>
        <v>Proverbium Sinense</v>
      </c>
      <c r="H1250" t="str">
        <f>_xlfn.XLOOKUP(frasest[[#This Row],[author_es]],autorest[author_es],autorest[bio_es])</f>
        <v>Conjunto de proverbios tradicionales de la cultura china que transmiten sabiduría popular, valores morales y enseñanzas prácticas transmitidas oralmente durante siglos.</v>
      </c>
      <c r="I1250" t="str">
        <f>_xlfn.XLOOKUP(frasest[[#This Row],[author_es]],autorest[author_es],autorest[bio_la])</f>
        <v>Collectio sententiarum Sinensium, magnopere in cultura tradita.</v>
      </c>
      <c r="J1250" t="str">
        <f>_xlfn.XLOOKUP(frasest[[#This Row],[author_es]],autorest[author_es],autorest[iso3691])</f>
        <v>zh</v>
      </c>
      <c r="K1250" t="str">
        <f>_xlfn.XLOOKUP(frasest[[#This Row],[author_es]],autorest[author_es],autorest[language_es])</f>
        <v>Chino</v>
      </c>
      <c r="L1250" t="str">
        <f>_xlfn.XLOOKUP(frasest[[#This Row],[author_es]],autorest[author_es],autorest[language_la])</f>
        <v>Lingua Sinica</v>
      </c>
      <c r="M1250" t="str">
        <f>_xlfn.XLOOKUP(frasest[[#This Row],[author_es]],autorest[author_es],autorest[nation_es])</f>
        <v>China</v>
      </c>
      <c r="N1250" t="str">
        <f>_xlfn.XLOOKUP(frasest[[#This Row],[author_es]],autorest[author_es],autorest[nation_la])</f>
        <v>Sinae</v>
      </c>
      <c r="O1250" t="str">
        <f>_xlfn.XLOOKUP(frasest[[#This Row],[author_es]],autorest[author_es],autorest[age_es])</f>
        <v>Epoca Desconocida</v>
      </c>
      <c r="P1250" t="str">
        <f>_xlfn.XLOOKUP(frasest[[#This Row],[author_es]],autorest[author_es],autorest[age_la])</f>
        <v>Epocha Ignota</v>
      </c>
      <c r="Q1250" t="str">
        <f>_xlfn.XLOOKUP(frasest[[#This Row],[author_es]],autorest[author_es],autorest[image])</f>
        <v>https://i.ibb.co/qLfpZm6h/china.png</v>
      </c>
      <c r="R1250">
        <f>_xlfn.XLOOKUP(frasest[[#This Row],[author_es]],autorest[author_es],autorest[image_atr])</f>
        <v>0</v>
      </c>
    </row>
    <row r="1251" spans="1:18">
      <c r="A1251">
        <v>1250</v>
      </c>
      <c r="B1251" t="s">
        <v>3868</v>
      </c>
      <c r="C1251" t="s">
        <v>3869</v>
      </c>
      <c r="D1251" s="1" t="s">
        <v>3870</v>
      </c>
      <c r="E1251" t="s">
        <v>36</v>
      </c>
      <c r="G1251" t="str">
        <f>_xlfn.XLOOKUP(frasest[[#This Row],[author_es]],autorest[author_es],autorest[author_la])</f>
        <v>Proverbium Sinense</v>
      </c>
      <c r="H1251" t="str">
        <f>_xlfn.XLOOKUP(frasest[[#This Row],[author_es]],autorest[author_es],autorest[bio_es])</f>
        <v>Conjunto de proverbios tradicionales de la cultura china que transmiten sabiduría popular, valores morales y enseñanzas prácticas transmitidas oralmente durante siglos.</v>
      </c>
      <c r="I1251" t="str">
        <f>_xlfn.XLOOKUP(frasest[[#This Row],[author_es]],autorest[author_es],autorest[bio_la])</f>
        <v>Collectio sententiarum Sinensium, magnopere in cultura tradita.</v>
      </c>
      <c r="J1251" t="str">
        <f>_xlfn.XLOOKUP(frasest[[#This Row],[author_es]],autorest[author_es],autorest[iso3691])</f>
        <v>zh</v>
      </c>
      <c r="K1251" t="str">
        <f>_xlfn.XLOOKUP(frasest[[#This Row],[author_es]],autorest[author_es],autorest[language_es])</f>
        <v>Chino</v>
      </c>
      <c r="L1251" t="str">
        <f>_xlfn.XLOOKUP(frasest[[#This Row],[author_es]],autorest[author_es],autorest[language_la])</f>
        <v>Lingua Sinica</v>
      </c>
      <c r="M1251" t="str">
        <f>_xlfn.XLOOKUP(frasest[[#This Row],[author_es]],autorest[author_es],autorest[nation_es])</f>
        <v>China</v>
      </c>
      <c r="N1251" t="str">
        <f>_xlfn.XLOOKUP(frasest[[#This Row],[author_es]],autorest[author_es],autorest[nation_la])</f>
        <v>Sinae</v>
      </c>
      <c r="O1251" t="str">
        <f>_xlfn.XLOOKUP(frasest[[#This Row],[author_es]],autorest[author_es],autorest[age_es])</f>
        <v>Epoca Desconocida</v>
      </c>
      <c r="P1251" t="str">
        <f>_xlfn.XLOOKUP(frasest[[#This Row],[author_es]],autorest[author_es],autorest[age_la])</f>
        <v>Epocha Ignota</v>
      </c>
      <c r="Q1251" t="str">
        <f>_xlfn.XLOOKUP(frasest[[#This Row],[author_es]],autorest[author_es],autorest[image])</f>
        <v>https://i.ibb.co/qLfpZm6h/china.png</v>
      </c>
      <c r="R1251">
        <f>_xlfn.XLOOKUP(frasest[[#This Row],[author_es]],autorest[author_es],autorest[image_atr])</f>
        <v>0</v>
      </c>
    </row>
    <row r="1252" spans="1:18">
      <c r="A1252">
        <v>1251</v>
      </c>
      <c r="B1252" t="s">
        <v>3871</v>
      </c>
      <c r="C1252" t="s">
        <v>3872</v>
      </c>
      <c r="D1252" s="1" t="s">
        <v>3285</v>
      </c>
      <c r="E1252" t="s">
        <v>36</v>
      </c>
      <c r="G1252" t="str">
        <f>_xlfn.XLOOKUP(frasest[[#This Row],[author_es]],autorest[author_es],autorest[author_la])</f>
        <v>Proverbium Sinense</v>
      </c>
      <c r="H1252" t="str">
        <f>_xlfn.XLOOKUP(frasest[[#This Row],[author_es]],autorest[author_es],autorest[bio_es])</f>
        <v>Conjunto de proverbios tradicionales de la cultura china que transmiten sabiduría popular, valores morales y enseñanzas prácticas transmitidas oralmente durante siglos.</v>
      </c>
      <c r="I1252" t="str">
        <f>_xlfn.XLOOKUP(frasest[[#This Row],[author_es]],autorest[author_es],autorest[bio_la])</f>
        <v>Collectio sententiarum Sinensium, magnopere in cultura tradita.</v>
      </c>
      <c r="J1252" t="str">
        <f>_xlfn.XLOOKUP(frasest[[#This Row],[author_es]],autorest[author_es],autorest[iso3691])</f>
        <v>zh</v>
      </c>
      <c r="K1252" t="str">
        <f>_xlfn.XLOOKUP(frasest[[#This Row],[author_es]],autorest[author_es],autorest[language_es])</f>
        <v>Chino</v>
      </c>
      <c r="L1252" t="str">
        <f>_xlfn.XLOOKUP(frasest[[#This Row],[author_es]],autorest[author_es],autorest[language_la])</f>
        <v>Lingua Sinica</v>
      </c>
      <c r="M1252" t="str">
        <f>_xlfn.XLOOKUP(frasest[[#This Row],[author_es]],autorest[author_es],autorest[nation_es])</f>
        <v>China</v>
      </c>
      <c r="N1252" t="str">
        <f>_xlfn.XLOOKUP(frasest[[#This Row],[author_es]],autorest[author_es],autorest[nation_la])</f>
        <v>Sinae</v>
      </c>
      <c r="O1252" t="str">
        <f>_xlfn.XLOOKUP(frasest[[#This Row],[author_es]],autorest[author_es],autorest[age_es])</f>
        <v>Epoca Desconocida</v>
      </c>
      <c r="P1252" t="str">
        <f>_xlfn.XLOOKUP(frasest[[#This Row],[author_es]],autorest[author_es],autorest[age_la])</f>
        <v>Epocha Ignota</v>
      </c>
      <c r="Q1252" t="str">
        <f>_xlfn.XLOOKUP(frasest[[#This Row],[author_es]],autorest[author_es],autorest[image])</f>
        <v>https://i.ibb.co/qLfpZm6h/china.png</v>
      </c>
      <c r="R1252">
        <f>_xlfn.XLOOKUP(frasest[[#This Row],[author_es]],autorest[author_es],autorest[image_atr])</f>
        <v>0</v>
      </c>
    </row>
    <row r="1253" spans="1:18">
      <c r="A1253">
        <v>1252</v>
      </c>
      <c r="B1253" t="s">
        <v>3873</v>
      </c>
      <c r="C1253" t="s">
        <v>3874</v>
      </c>
      <c r="D1253" s="1" t="s">
        <v>3875</v>
      </c>
      <c r="E1253" t="s">
        <v>36</v>
      </c>
      <c r="G1253" t="str">
        <f>_xlfn.XLOOKUP(frasest[[#This Row],[author_es]],autorest[author_es],autorest[author_la])</f>
        <v>Proverbium Sinense</v>
      </c>
      <c r="H1253" t="str">
        <f>_xlfn.XLOOKUP(frasest[[#This Row],[author_es]],autorest[author_es],autorest[bio_es])</f>
        <v>Conjunto de proverbios tradicionales de la cultura china que transmiten sabiduría popular, valores morales y enseñanzas prácticas transmitidas oralmente durante siglos.</v>
      </c>
      <c r="I1253" t="str">
        <f>_xlfn.XLOOKUP(frasest[[#This Row],[author_es]],autorest[author_es],autorest[bio_la])</f>
        <v>Collectio sententiarum Sinensium, magnopere in cultura tradita.</v>
      </c>
      <c r="J1253" t="str">
        <f>_xlfn.XLOOKUP(frasest[[#This Row],[author_es]],autorest[author_es],autorest[iso3691])</f>
        <v>zh</v>
      </c>
      <c r="K1253" t="str">
        <f>_xlfn.XLOOKUP(frasest[[#This Row],[author_es]],autorest[author_es],autorest[language_es])</f>
        <v>Chino</v>
      </c>
      <c r="L1253" t="str">
        <f>_xlfn.XLOOKUP(frasest[[#This Row],[author_es]],autorest[author_es],autorest[language_la])</f>
        <v>Lingua Sinica</v>
      </c>
      <c r="M1253" t="str">
        <f>_xlfn.XLOOKUP(frasest[[#This Row],[author_es]],autorest[author_es],autorest[nation_es])</f>
        <v>China</v>
      </c>
      <c r="N1253" t="str">
        <f>_xlfn.XLOOKUP(frasest[[#This Row],[author_es]],autorest[author_es],autorest[nation_la])</f>
        <v>Sinae</v>
      </c>
      <c r="O1253" t="str">
        <f>_xlfn.XLOOKUP(frasest[[#This Row],[author_es]],autorest[author_es],autorest[age_es])</f>
        <v>Epoca Desconocida</v>
      </c>
      <c r="P1253" t="str">
        <f>_xlfn.XLOOKUP(frasest[[#This Row],[author_es]],autorest[author_es],autorest[age_la])</f>
        <v>Epocha Ignota</v>
      </c>
      <c r="Q1253" t="str">
        <f>_xlfn.XLOOKUP(frasest[[#This Row],[author_es]],autorest[author_es],autorest[image])</f>
        <v>https://i.ibb.co/qLfpZm6h/china.png</v>
      </c>
      <c r="R1253">
        <f>_xlfn.XLOOKUP(frasest[[#This Row],[author_es]],autorest[author_es],autorest[image_atr])</f>
        <v>0</v>
      </c>
    </row>
    <row r="1254" spans="1:18">
      <c r="A1254">
        <v>1253</v>
      </c>
      <c r="B1254" t="s">
        <v>3876</v>
      </c>
      <c r="C1254" t="s">
        <v>3877</v>
      </c>
      <c r="D1254" s="1" t="s">
        <v>3878</v>
      </c>
      <c r="E1254" t="s">
        <v>36</v>
      </c>
      <c r="G1254" t="str">
        <f>_xlfn.XLOOKUP(frasest[[#This Row],[author_es]],autorest[author_es],autorest[author_la])</f>
        <v>Proverbium Sinense</v>
      </c>
      <c r="H1254" t="str">
        <f>_xlfn.XLOOKUP(frasest[[#This Row],[author_es]],autorest[author_es],autorest[bio_es])</f>
        <v>Conjunto de proverbios tradicionales de la cultura china que transmiten sabiduría popular, valores morales y enseñanzas prácticas transmitidas oralmente durante siglos.</v>
      </c>
      <c r="I1254" t="str">
        <f>_xlfn.XLOOKUP(frasest[[#This Row],[author_es]],autorest[author_es],autorest[bio_la])</f>
        <v>Collectio sententiarum Sinensium, magnopere in cultura tradita.</v>
      </c>
      <c r="J1254" t="str">
        <f>_xlfn.XLOOKUP(frasest[[#This Row],[author_es]],autorest[author_es],autorest[iso3691])</f>
        <v>zh</v>
      </c>
      <c r="K1254" t="str">
        <f>_xlfn.XLOOKUP(frasest[[#This Row],[author_es]],autorest[author_es],autorest[language_es])</f>
        <v>Chino</v>
      </c>
      <c r="L1254" t="str">
        <f>_xlfn.XLOOKUP(frasest[[#This Row],[author_es]],autorest[author_es],autorest[language_la])</f>
        <v>Lingua Sinica</v>
      </c>
      <c r="M1254" t="str">
        <f>_xlfn.XLOOKUP(frasest[[#This Row],[author_es]],autorest[author_es],autorest[nation_es])</f>
        <v>China</v>
      </c>
      <c r="N1254" t="str">
        <f>_xlfn.XLOOKUP(frasest[[#This Row],[author_es]],autorest[author_es],autorest[nation_la])</f>
        <v>Sinae</v>
      </c>
      <c r="O1254" t="str">
        <f>_xlfn.XLOOKUP(frasest[[#This Row],[author_es]],autorest[author_es],autorest[age_es])</f>
        <v>Epoca Desconocida</v>
      </c>
      <c r="P1254" t="str">
        <f>_xlfn.XLOOKUP(frasest[[#This Row],[author_es]],autorest[author_es],autorest[age_la])</f>
        <v>Epocha Ignota</v>
      </c>
      <c r="Q1254" t="str">
        <f>_xlfn.XLOOKUP(frasest[[#This Row],[author_es]],autorest[author_es],autorest[image])</f>
        <v>https://i.ibb.co/qLfpZm6h/china.png</v>
      </c>
      <c r="R1254">
        <f>_xlfn.XLOOKUP(frasest[[#This Row],[author_es]],autorest[author_es],autorest[image_atr])</f>
        <v>0</v>
      </c>
    </row>
    <row r="1255" spans="1:18">
      <c r="A1255">
        <v>1254</v>
      </c>
      <c r="B1255" t="s">
        <v>3879</v>
      </c>
      <c r="C1255" t="s">
        <v>3880</v>
      </c>
      <c r="D1255" s="1" t="s">
        <v>3881</v>
      </c>
      <c r="E1255" t="s">
        <v>36</v>
      </c>
      <c r="G1255" t="str">
        <f>_xlfn.XLOOKUP(frasest[[#This Row],[author_es]],autorest[author_es],autorest[author_la])</f>
        <v>Proverbium Sinense</v>
      </c>
      <c r="H1255" t="str">
        <f>_xlfn.XLOOKUP(frasest[[#This Row],[author_es]],autorest[author_es],autorest[bio_es])</f>
        <v>Conjunto de proverbios tradicionales de la cultura china que transmiten sabiduría popular, valores morales y enseñanzas prácticas transmitidas oralmente durante siglos.</v>
      </c>
      <c r="I1255" t="str">
        <f>_xlfn.XLOOKUP(frasest[[#This Row],[author_es]],autorest[author_es],autorest[bio_la])</f>
        <v>Collectio sententiarum Sinensium, magnopere in cultura tradita.</v>
      </c>
      <c r="J1255" t="str">
        <f>_xlfn.XLOOKUP(frasest[[#This Row],[author_es]],autorest[author_es],autorest[iso3691])</f>
        <v>zh</v>
      </c>
      <c r="K1255" t="str">
        <f>_xlfn.XLOOKUP(frasest[[#This Row],[author_es]],autorest[author_es],autorest[language_es])</f>
        <v>Chino</v>
      </c>
      <c r="L1255" t="str">
        <f>_xlfn.XLOOKUP(frasest[[#This Row],[author_es]],autorest[author_es],autorest[language_la])</f>
        <v>Lingua Sinica</v>
      </c>
      <c r="M1255" t="str">
        <f>_xlfn.XLOOKUP(frasest[[#This Row],[author_es]],autorest[author_es],autorest[nation_es])</f>
        <v>China</v>
      </c>
      <c r="N1255" t="str">
        <f>_xlfn.XLOOKUP(frasest[[#This Row],[author_es]],autorest[author_es],autorest[nation_la])</f>
        <v>Sinae</v>
      </c>
      <c r="O1255" t="str">
        <f>_xlfn.XLOOKUP(frasest[[#This Row],[author_es]],autorest[author_es],autorest[age_es])</f>
        <v>Epoca Desconocida</v>
      </c>
      <c r="P1255" t="str">
        <f>_xlfn.XLOOKUP(frasest[[#This Row],[author_es]],autorest[author_es],autorest[age_la])</f>
        <v>Epocha Ignota</v>
      </c>
      <c r="Q1255" t="str">
        <f>_xlfn.XLOOKUP(frasest[[#This Row],[author_es]],autorest[author_es],autorest[image])</f>
        <v>https://i.ibb.co/qLfpZm6h/china.png</v>
      </c>
      <c r="R1255">
        <f>_xlfn.XLOOKUP(frasest[[#This Row],[author_es]],autorest[author_es],autorest[image_atr])</f>
        <v>0</v>
      </c>
    </row>
    <row r="1256" spans="1:18">
      <c r="A1256">
        <v>1255</v>
      </c>
      <c r="B1256" t="s">
        <v>3882</v>
      </c>
      <c r="C1256" t="s">
        <v>3883</v>
      </c>
      <c r="D1256" s="1" t="s">
        <v>3884</v>
      </c>
      <c r="E1256" t="s">
        <v>36</v>
      </c>
      <c r="G1256" t="str">
        <f>_xlfn.XLOOKUP(frasest[[#This Row],[author_es]],autorest[author_es],autorest[author_la])</f>
        <v>Proverbium Sinense</v>
      </c>
      <c r="H1256" t="str">
        <f>_xlfn.XLOOKUP(frasest[[#This Row],[author_es]],autorest[author_es],autorest[bio_es])</f>
        <v>Conjunto de proverbios tradicionales de la cultura china que transmiten sabiduría popular, valores morales y enseñanzas prácticas transmitidas oralmente durante siglos.</v>
      </c>
      <c r="I1256" t="str">
        <f>_xlfn.XLOOKUP(frasest[[#This Row],[author_es]],autorest[author_es],autorest[bio_la])</f>
        <v>Collectio sententiarum Sinensium, magnopere in cultura tradita.</v>
      </c>
      <c r="J1256" t="str">
        <f>_xlfn.XLOOKUP(frasest[[#This Row],[author_es]],autorest[author_es],autorest[iso3691])</f>
        <v>zh</v>
      </c>
      <c r="K1256" t="str">
        <f>_xlfn.XLOOKUP(frasest[[#This Row],[author_es]],autorest[author_es],autorest[language_es])</f>
        <v>Chino</v>
      </c>
      <c r="L1256" t="str">
        <f>_xlfn.XLOOKUP(frasest[[#This Row],[author_es]],autorest[author_es],autorest[language_la])</f>
        <v>Lingua Sinica</v>
      </c>
      <c r="M1256" t="str">
        <f>_xlfn.XLOOKUP(frasest[[#This Row],[author_es]],autorest[author_es],autorest[nation_es])</f>
        <v>China</v>
      </c>
      <c r="N1256" t="str">
        <f>_xlfn.XLOOKUP(frasest[[#This Row],[author_es]],autorest[author_es],autorest[nation_la])</f>
        <v>Sinae</v>
      </c>
      <c r="O1256" t="str">
        <f>_xlfn.XLOOKUP(frasest[[#This Row],[author_es]],autorest[author_es],autorest[age_es])</f>
        <v>Epoca Desconocida</v>
      </c>
      <c r="P1256" t="str">
        <f>_xlfn.XLOOKUP(frasest[[#This Row],[author_es]],autorest[author_es],autorest[age_la])</f>
        <v>Epocha Ignota</v>
      </c>
      <c r="Q1256" t="str">
        <f>_xlfn.XLOOKUP(frasest[[#This Row],[author_es]],autorest[author_es],autorest[image])</f>
        <v>https://i.ibb.co/qLfpZm6h/china.png</v>
      </c>
      <c r="R1256">
        <f>_xlfn.XLOOKUP(frasest[[#This Row],[author_es]],autorest[author_es],autorest[image_atr])</f>
        <v>0</v>
      </c>
    </row>
    <row r="1257" spans="1:18">
      <c r="A1257">
        <v>1256</v>
      </c>
      <c r="B1257" t="s">
        <v>3885</v>
      </c>
      <c r="C1257" t="s">
        <v>3886</v>
      </c>
      <c r="D1257" s="1" t="s">
        <v>3887</v>
      </c>
      <c r="E1257" t="s">
        <v>36</v>
      </c>
      <c r="G1257" t="str">
        <f>_xlfn.XLOOKUP(frasest[[#This Row],[author_es]],autorest[author_es],autorest[author_la])</f>
        <v>Proverbium Sinense</v>
      </c>
      <c r="H1257" t="str">
        <f>_xlfn.XLOOKUP(frasest[[#This Row],[author_es]],autorest[author_es],autorest[bio_es])</f>
        <v>Conjunto de proverbios tradicionales de la cultura china que transmiten sabiduría popular, valores morales y enseñanzas prácticas transmitidas oralmente durante siglos.</v>
      </c>
      <c r="I1257" t="str">
        <f>_xlfn.XLOOKUP(frasest[[#This Row],[author_es]],autorest[author_es],autorest[bio_la])</f>
        <v>Collectio sententiarum Sinensium, magnopere in cultura tradita.</v>
      </c>
      <c r="J1257" t="str">
        <f>_xlfn.XLOOKUP(frasest[[#This Row],[author_es]],autorest[author_es],autorest[iso3691])</f>
        <v>zh</v>
      </c>
      <c r="K1257" t="str">
        <f>_xlfn.XLOOKUP(frasest[[#This Row],[author_es]],autorest[author_es],autorest[language_es])</f>
        <v>Chino</v>
      </c>
      <c r="L1257" t="str">
        <f>_xlfn.XLOOKUP(frasest[[#This Row],[author_es]],autorest[author_es],autorest[language_la])</f>
        <v>Lingua Sinica</v>
      </c>
      <c r="M1257" t="str">
        <f>_xlfn.XLOOKUP(frasest[[#This Row],[author_es]],autorest[author_es],autorest[nation_es])</f>
        <v>China</v>
      </c>
      <c r="N1257" t="str">
        <f>_xlfn.XLOOKUP(frasest[[#This Row],[author_es]],autorest[author_es],autorest[nation_la])</f>
        <v>Sinae</v>
      </c>
      <c r="O1257" t="str">
        <f>_xlfn.XLOOKUP(frasest[[#This Row],[author_es]],autorest[author_es],autorest[age_es])</f>
        <v>Epoca Desconocida</v>
      </c>
      <c r="P1257" t="str">
        <f>_xlfn.XLOOKUP(frasest[[#This Row],[author_es]],autorest[author_es],autorest[age_la])</f>
        <v>Epocha Ignota</v>
      </c>
      <c r="Q1257" t="str">
        <f>_xlfn.XLOOKUP(frasest[[#This Row],[author_es]],autorest[author_es],autorest[image])</f>
        <v>https://i.ibb.co/qLfpZm6h/china.png</v>
      </c>
      <c r="R1257">
        <f>_xlfn.XLOOKUP(frasest[[#This Row],[author_es]],autorest[author_es],autorest[image_atr])</f>
        <v>0</v>
      </c>
    </row>
    <row r="1258" spans="1:18">
      <c r="A1258">
        <v>1257</v>
      </c>
      <c r="B1258" t="s">
        <v>3888</v>
      </c>
      <c r="C1258" t="s">
        <v>3889</v>
      </c>
      <c r="D1258" s="1" t="s">
        <v>3890</v>
      </c>
      <c r="E1258" t="s">
        <v>36</v>
      </c>
      <c r="G1258" t="str">
        <f>_xlfn.XLOOKUP(frasest[[#This Row],[author_es]],autorest[author_es],autorest[author_la])</f>
        <v>Proverbium Sinense</v>
      </c>
      <c r="H1258" t="str">
        <f>_xlfn.XLOOKUP(frasest[[#This Row],[author_es]],autorest[author_es],autorest[bio_es])</f>
        <v>Conjunto de proverbios tradicionales de la cultura china que transmiten sabiduría popular, valores morales y enseñanzas prácticas transmitidas oralmente durante siglos.</v>
      </c>
      <c r="I1258" t="str">
        <f>_xlfn.XLOOKUP(frasest[[#This Row],[author_es]],autorest[author_es],autorest[bio_la])</f>
        <v>Collectio sententiarum Sinensium, magnopere in cultura tradita.</v>
      </c>
      <c r="J1258" t="str">
        <f>_xlfn.XLOOKUP(frasest[[#This Row],[author_es]],autorest[author_es],autorest[iso3691])</f>
        <v>zh</v>
      </c>
      <c r="K1258" t="str">
        <f>_xlfn.XLOOKUP(frasest[[#This Row],[author_es]],autorest[author_es],autorest[language_es])</f>
        <v>Chino</v>
      </c>
      <c r="L1258" t="str">
        <f>_xlfn.XLOOKUP(frasest[[#This Row],[author_es]],autorest[author_es],autorest[language_la])</f>
        <v>Lingua Sinica</v>
      </c>
      <c r="M1258" t="str">
        <f>_xlfn.XLOOKUP(frasest[[#This Row],[author_es]],autorest[author_es],autorest[nation_es])</f>
        <v>China</v>
      </c>
      <c r="N1258" t="str">
        <f>_xlfn.XLOOKUP(frasest[[#This Row],[author_es]],autorest[author_es],autorest[nation_la])</f>
        <v>Sinae</v>
      </c>
      <c r="O1258" t="str">
        <f>_xlfn.XLOOKUP(frasest[[#This Row],[author_es]],autorest[author_es],autorest[age_es])</f>
        <v>Epoca Desconocida</v>
      </c>
      <c r="P1258" t="str">
        <f>_xlfn.XLOOKUP(frasest[[#This Row],[author_es]],autorest[author_es],autorest[age_la])</f>
        <v>Epocha Ignota</v>
      </c>
      <c r="Q1258" t="str">
        <f>_xlfn.XLOOKUP(frasest[[#This Row],[author_es]],autorest[author_es],autorest[image])</f>
        <v>https://i.ibb.co/qLfpZm6h/china.png</v>
      </c>
      <c r="R1258">
        <f>_xlfn.XLOOKUP(frasest[[#This Row],[author_es]],autorest[author_es],autorest[image_atr])</f>
        <v>0</v>
      </c>
    </row>
    <row r="1259" spans="1:18">
      <c r="A1259">
        <v>1258</v>
      </c>
      <c r="B1259" t="s">
        <v>3891</v>
      </c>
      <c r="C1259" t="s">
        <v>3892</v>
      </c>
      <c r="D1259" s="1" t="s">
        <v>3893</v>
      </c>
      <c r="E1259" t="s">
        <v>36</v>
      </c>
      <c r="G1259" t="str">
        <f>_xlfn.XLOOKUP(frasest[[#This Row],[author_es]],autorest[author_es],autorest[author_la])</f>
        <v>Proverbium Sinense</v>
      </c>
      <c r="H1259" t="str">
        <f>_xlfn.XLOOKUP(frasest[[#This Row],[author_es]],autorest[author_es],autorest[bio_es])</f>
        <v>Conjunto de proverbios tradicionales de la cultura china que transmiten sabiduría popular, valores morales y enseñanzas prácticas transmitidas oralmente durante siglos.</v>
      </c>
      <c r="I1259" t="str">
        <f>_xlfn.XLOOKUP(frasest[[#This Row],[author_es]],autorest[author_es],autorest[bio_la])</f>
        <v>Collectio sententiarum Sinensium, magnopere in cultura tradita.</v>
      </c>
      <c r="J1259" t="str">
        <f>_xlfn.XLOOKUP(frasest[[#This Row],[author_es]],autorest[author_es],autorest[iso3691])</f>
        <v>zh</v>
      </c>
      <c r="K1259" t="str">
        <f>_xlfn.XLOOKUP(frasest[[#This Row],[author_es]],autorest[author_es],autorest[language_es])</f>
        <v>Chino</v>
      </c>
      <c r="L1259" t="str">
        <f>_xlfn.XLOOKUP(frasest[[#This Row],[author_es]],autorest[author_es],autorest[language_la])</f>
        <v>Lingua Sinica</v>
      </c>
      <c r="M1259" t="str">
        <f>_xlfn.XLOOKUP(frasest[[#This Row],[author_es]],autorest[author_es],autorest[nation_es])</f>
        <v>China</v>
      </c>
      <c r="N1259" t="str">
        <f>_xlfn.XLOOKUP(frasest[[#This Row],[author_es]],autorest[author_es],autorest[nation_la])</f>
        <v>Sinae</v>
      </c>
      <c r="O1259" t="str">
        <f>_xlfn.XLOOKUP(frasest[[#This Row],[author_es]],autorest[author_es],autorest[age_es])</f>
        <v>Epoca Desconocida</v>
      </c>
      <c r="P1259" t="str">
        <f>_xlfn.XLOOKUP(frasest[[#This Row],[author_es]],autorest[author_es],autorest[age_la])</f>
        <v>Epocha Ignota</v>
      </c>
      <c r="Q1259" t="str">
        <f>_xlfn.XLOOKUP(frasest[[#This Row],[author_es]],autorest[author_es],autorest[image])</f>
        <v>https://i.ibb.co/qLfpZm6h/china.png</v>
      </c>
      <c r="R1259">
        <f>_xlfn.XLOOKUP(frasest[[#This Row],[author_es]],autorest[author_es],autorest[image_atr])</f>
        <v>0</v>
      </c>
    </row>
    <row r="1260" spans="1:18">
      <c r="A1260">
        <v>1259</v>
      </c>
      <c r="B1260" t="s">
        <v>3894</v>
      </c>
      <c r="C1260" t="s">
        <v>3895</v>
      </c>
      <c r="D1260" s="1" t="s">
        <v>3896</v>
      </c>
      <c r="E1260" t="s">
        <v>36</v>
      </c>
      <c r="G1260" t="str">
        <f>_xlfn.XLOOKUP(frasest[[#This Row],[author_es]],autorest[author_es],autorest[author_la])</f>
        <v>Proverbium Sinense</v>
      </c>
      <c r="H1260" t="str">
        <f>_xlfn.XLOOKUP(frasest[[#This Row],[author_es]],autorest[author_es],autorest[bio_es])</f>
        <v>Conjunto de proverbios tradicionales de la cultura china que transmiten sabiduría popular, valores morales y enseñanzas prácticas transmitidas oralmente durante siglos.</v>
      </c>
      <c r="I1260" t="str">
        <f>_xlfn.XLOOKUP(frasest[[#This Row],[author_es]],autorest[author_es],autorest[bio_la])</f>
        <v>Collectio sententiarum Sinensium, magnopere in cultura tradita.</v>
      </c>
      <c r="J1260" t="str">
        <f>_xlfn.XLOOKUP(frasest[[#This Row],[author_es]],autorest[author_es],autorest[iso3691])</f>
        <v>zh</v>
      </c>
      <c r="K1260" t="str">
        <f>_xlfn.XLOOKUP(frasest[[#This Row],[author_es]],autorest[author_es],autorest[language_es])</f>
        <v>Chino</v>
      </c>
      <c r="L1260" t="str">
        <f>_xlfn.XLOOKUP(frasest[[#This Row],[author_es]],autorest[author_es],autorest[language_la])</f>
        <v>Lingua Sinica</v>
      </c>
      <c r="M1260" t="str">
        <f>_xlfn.XLOOKUP(frasest[[#This Row],[author_es]],autorest[author_es],autorest[nation_es])</f>
        <v>China</v>
      </c>
      <c r="N1260" t="str">
        <f>_xlfn.XLOOKUP(frasest[[#This Row],[author_es]],autorest[author_es],autorest[nation_la])</f>
        <v>Sinae</v>
      </c>
      <c r="O1260" t="str">
        <f>_xlfn.XLOOKUP(frasest[[#This Row],[author_es]],autorest[author_es],autorest[age_es])</f>
        <v>Epoca Desconocida</v>
      </c>
      <c r="P1260" t="str">
        <f>_xlfn.XLOOKUP(frasest[[#This Row],[author_es]],autorest[author_es],autorest[age_la])</f>
        <v>Epocha Ignota</v>
      </c>
      <c r="Q1260" t="str">
        <f>_xlfn.XLOOKUP(frasest[[#This Row],[author_es]],autorest[author_es],autorest[image])</f>
        <v>https://i.ibb.co/qLfpZm6h/china.png</v>
      </c>
      <c r="R1260">
        <f>_xlfn.XLOOKUP(frasest[[#This Row],[author_es]],autorest[author_es],autorest[image_atr])</f>
        <v>0</v>
      </c>
    </row>
    <row r="1261" spans="1:18">
      <c r="A1261">
        <v>1260</v>
      </c>
      <c r="B1261" t="s">
        <v>3897</v>
      </c>
      <c r="C1261" t="s">
        <v>3898</v>
      </c>
      <c r="D1261" s="1" t="s">
        <v>3899</v>
      </c>
      <c r="E1261" t="s">
        <v>36</v>
      </c>
      <c r="G1261" t="str">
        <f>_xlfn.XLOOKUP(frasest[[#This Row],[author_es]],autorest[author_es],autorest[author_la])</f>
        <v>Proverbium Sinense</v>
      </c>
      <c r="H1261" t="str">
        <f>_xlfn.XLOOKUP(frasest[[#This Row],[author_es]],autorest[author_es],autorest[bio_es])</f>
        <v>Conjunto de proverbios tradicionales de la cultura china que transmiten sabiduría popular, valores morales y enseñanzas prácticas transmitidas oralmente durante siglos.</v>
      </c>
      <c r="I1261" t="str">
        <f>_xlfn.XLOOKUP(frasest[[#This Row],[author_es]],autorest[author_es],autorest[bio_la])</f>
        <v>Collectio sententiarum Sinensium, magnopere in cultura tradita.</v>
      </c>
      <c r="J1261" t="str">
        <f>_xlfn.XLOOKUP(frasest[[#This Row],[author_es]],autorest[author_es],autorest[iso3691])</f>
        <v>zh</v>
      </c>
      <c r="K1261" t="str">
        <f>_xlfn.XLOOKUP(frasest[[#This Row],[author_es]],autorest[author_es],autorest[language_es])</f>
        <v>Chino</v>
      </c>
      <c r="L1261" t="str">
        <f>_xlfn.XLOOKUP(frasest[[#This Row],[author_es]],autorest[author_es],autorest[language_la])</f>
        <v>Lingua Sinica</v>
      </c>
      <c r="M1261" t="str">
        <f>_xlfn.XLOOKUP(frasest[[#This Row],[author_es]],autorest[author_es],autorest[nation_es])</f>
        <v>China</v>
      </c>
      <c r="N1261" t="str">
        <f>_xlfn.XLOOKUP(frasest[[#This Row],[author_es]],autorest[author_es],autorest[nation_la])</f>
        <v>Sinae</v>
      </c>
      <c r="O1261" t="str">
        <f>_xlfn.XLOOKUP(frasest[[#This Row],[author_es]],autorest[author_es],autorest[age_es])</f>
        <v>Epoca Desconocida</v>
      </c>
      <c r="P1261" t="str">
        <f>_xlfn.XLOOKUP(frasest[[#This Row],[author_es]],autorest[author_es],autorest[age_la])</f>
        <v>Epocha Ignota</v>
      </c>
      <c r="Q1261" t="str">
        <f>_xlfn.XLOOKUP(frasest[[#This Row],[author_es]],autorest[author_es],autorest[image])</f>
        <v>https://i.ibb.co/qLfpZm6h/china.png</v>
      </c>
      <c r="R1261">
        <f>_xlfn.XLOOKUP(frasest[[#This Row],[author_es]],autorest[author_es],autorest[image_atr])</f>
        <v>0</v>
      </c>
    </row>
    <row r="1262" spans="1:18">
      <c r="A1262">
        <v>1261</v>
      </c>
      <c r="B1262" t="s">
        <v>3900</v>
      </c>
      <c r="C1262" t="s">
        <v>3901</v>
      </c>
      <c r="D1262" s="1" t="s">
        <v>3902</v>
      </c>
      <c r="E1262" t="s">
        <v>36</v>
      </c>
      <c r="G1262" t="str">
        <f>_xlfn.XLOOKUP(frasest[[#This Row],[author_es]],autorest[author_es],autorest[author_la])</f>
        <v>Proverbium Sinense</v>
      </c>
      <c r="H1262" t="str">
        <f>_xlfn.XLOOKUP(frasest[[#This Row],[author_es]],autorest[author_es],autorest[bio_es])</f>
        <v>Conjunto de proverbios tradicionales de la cultura china que transmiten sabiduría popular, valores morales y enseñanzas prácticas transmitidas oralmente durante siglos.</v>
      </c>
      <c r="I1262" t="str">
        <f>_xlfn.XLOOKUP(frasest[[#This Row],[author_es]],autorest[author_es],autorest[bio_la])</f>
        <v>Collectio sententiarum Sinensium, magnopere in cultura tradita.</v>
      </c>
      <c r="J1262" t="str">
        <f>_xlfn.XLOOKUP(frasest[[#This Row],[author_es]],autorest[author_es],autorest[iso3691])</f>
        <v>zh</v>
      </c>
      <c r="K1262" t="str">
        <f>_xlfn.XLOOKUP(frasest[[#This Row],[author_es]],autorest[author_es],autorest[language_es])</f>
        <v>Chino</v>
      </c>
      <c r="L1262" t="str">
        <f>_xlfn.XLOOKUP(frasest[[#This Row],[author_es]],autorest[author_es],autorest[language_la])</f>
        <v>Lingua Sinica</v>
      </c>
      <c r="M1262" t="str">
        <f>_xlfn.XLOOKUP(frasest[[#This Row],[author_es]],autorest[author_es],autorest[nation_es])</f>
        <v>China</v>
      </c>
      <c r="N1262" t="str">
        <f>_xlfn.XLOOKUP(frasest[[#This Row],[author_es]],autorest[author_es],autorest[nation_la])</f>
        <v>Sinae</v>
      </c>
      <c r="O1262" t="str">
        <f>_xlfn.XLOOKUP(frasest[[#This Row],[author_es]],autorest[author_es],autorest[age_es])</f>
        <v>Epoca Desconocida</v>
      </c>
      <c r="P1262" t="str">
        <f>_xlfn.XLOOKUP(frasest[[#This Row],[author_es]],autorest[author_es],autorest[age_la])</f>
        <v>Epocha Ignota</v>
      </c>
      <c r="Q1262" t="str">
        <f>_xlfn.XLOOKUP(frasest[[#This Row],[author_es]],autorest[author_es],autorest[image])</f>
        <v>https://i.ibb.co/qLfpZm6h/china.png</v>
      </c>
      <c r="R1262">
        <f>_xlfn.XLOOKUP(frasest[[#This Row],[author_es]],autorest[author_es],autorest[image_atr])</f>
        <v>0</v>
      </c>
    </row>
    <row r="1263" spans="1:18">
      <c r="A1263">
        <v>1262</v>
      </c>
      <c r="B1263" t="s">
        <v>3903</v>
      </c>
      <c r="C1263" t="s">
        <v>3904</v>
      </c>
      <c r="D1263" s="1" t="s">
        <v>3905</v>
      </c>
      <c r="E1263" t="s">
        <v>36</v>
      </c>
      <c r="G1263" t="str">
        <f>_xlfn.XLOOKUP(frasest[[#This Row],[author_es]],autorest[author_es],autorest[author_la])</f>
        <v>Proverbium Sinense</v>
      </c>
      <c r="H1263" t="str">
        <f>_xlfn.XLOOKUP(frasest[[#This Row],[author_es]],autorest[author_es],autorest[bio_es])</f>
        <v>Conjunto de proverbios tradicionales de la cultura china que transmiten sabiduría popular, valores morales y enseñanzas prácticas transmitidas oralmente durante siglos.</v>
      </c>
      <c r="I1263" t="str">
        <f>_xlfn.XLOOKUP(frasest[[#This Row],[author_es]],autorest[author_es],autorest[bio_la])</f>
        <v>Collectio sententiarum Sinensium, magnopere in cultura tradita.</v>
      </c>
      <c r="J1263" t="str">
        <f>_xlfn.XLOOKUP(frasest[[#This Row],[author_es]],autorest[author_es],autorest[iso3691])</f>
        <v>zh</v>
      </c>
      <c r="K1263" t="str">
        <f>_xlfn.XLOOKUP(frasest[[#This Row],[author_es]],autorest[author_es],autorest[language_es])</f>
        <v>Chino</v>
      </c>
      <c r="L1263" t="str">
        <f>_xlfn.XLOOKUP(frasest[[#This Row],[author_es]],autorest[author_es],autorest[language_la])</f>
        <v>Lingua Sinica</v>
      </c>
      <c r="M1263" t="str">
        <f>_xlfn.XLOOKUP(frasest[[#This Row],[author_es]],autorest[author_es],autorest[nation_es])</f>
        <v>China</v>
      </c>
      <c r="N1263" t="str">
        <f>_xlfn.XLOOKUP(frasest[[#This Row],[author_es]],autorest[author_es],autorest[nation_la])</f>
        <v>Sinae</v>
      </c>
      <c r="O1263" t="str">
        <f>_xlfn.XLOOKUP(frasest[[#This Row],[author_es]],autorest[author_es],autorest[age_es])</f>
        <v>Epoca Desconocida</v>
      </c>
      <c r="P1263" t="str">
        <f>_xlfn.XLOOKUP(frasest[[#This Row],[author_es]],autorest[author_es],autorest[age_la])</f>
        <v>Epocha Ignota</v>
      </c>
      <c r="Q1263" t="str">
        <f>_xlfn.XLOOKUP(frasest[[#This Row],[author_es]],autorest[author_es],autorest[image])</f>
        <v>https://i.ibb.co/qLfpZm6h/china.png</v>
      </c>
      <c r="R1263">
        <f>_xlfn.XLOOKUP(frasest[[#This Row],[author_es]],autorest[author_es],autorest[image_atr])</f>
        <v>0</v>
      </c>
    </row>
    <row r="1264" spans="1:18">
      <c r="A1264">
        <v>1263</v>
      </c>
      <c r="B1264" t="s">
        <v>3906</v>
      </c>
      <c r="C1264" t="s">
        <v>3907</v>
      </c>
      <c r="D1264" s="1" t="s">
        <v>3908</v>
      </c>
      <c r="E1264" t="s">
        <v>36</v>
      </c>
      <c r="G1264" t="str">
        <f>_xlfn.XLOOKUP(frasest[[#This Row],[author_es]],autorest[author_es],autorest[author_la])</f>
        <v>Proverbium Sinense</v>
      </c>
      <c r="H1264" t="str">
        <f>_xlfn.XLOOKUP(frasest[[#This Row],[author_es]],autorest[author_es],autorest[bio_es])</f>
        <v>Conjunto de proverbios tradicionales de la cultura china que transmiten sabiduría popular, valores morales y enseñanzas prácticas transmitidas oralmente durante siglos.</v>
      </c>
      <c r="I1264" t="str">
        <f>_xlfn.XLOOKUP(frasest[[#This Row],[author_es]],autorest[author_es],autorest[bio_la])</f>
        <v>Collectio sententiarum Sinensium, magnopere in cultura tradita.</v>
      </c>
      <c r="J1264" t="str">
        <f>_xlfn.XLOOKUP(frasest[[#This Row],[author_es]],autorest[author_es],autorest[iso3691])</f>
        <v>zh</v>
      </c>
      <c r="K1264" t="str">
        <f>_xlfn.XLOOKUP(frasest[[#This Row],[author_es]],autorest[author_es],autorest[language_es])</f>
        <v>Chino</v>
      </c>
      <c r="L1264" t="str">
        <f>_xlfn.XLOOKUP(frasest[[#This Row],[author_es]],autorest[author_es],autorest[language_la])</f>
        <v>Lingua Sinica</v>
      </c>
      <c r="M1264" t="str">
        <f>_xlfn.XLOOKUP(frasest[[#This Row],[author_es]],autorest[author_es],autorest[nation_es])</f>
        <v>China</v>
      </c>
      <c r="N1264" t="str">
        <f>_xlfn.XLOOKUP(frasest[[#This Row],[author_es]],autorest[author_es],autorest[nation_la])</f>
        <v>Sinae</v>
      </c>
      <c r="O1264" t="str">
        <f>_xlfn.XLOOKUP(frasest[[#This Row],[author_es]],autorest[author_es],autorest[age_es])</f>
        <v>Epoca Desconocida</v>
      </c>
      <c r="P1264" t="str">
        <f>_xlfn.XLOOKUP(frasest[[#This Row],[author_es]],autorest[author_es],autorest[age_la])</f>
        <v>Epocha Ignota</v>
      </c>
      <c r="Q1264" t="str">
        <f>_xlfn.XLOOKUP(frasest[[#This Row],[author_es]],autorest[author_es],autorest[image])</f>
        <v>https://i.ibb.co/qLfpZm6h/china.png</v>
      </c>
      <c r="R1264">
        <f>_xlfn.XLOOKUP(frasest[[#This Row],[author_es]],autorest[author_es],autorest[image_atr])</f>
        <v>0</v>
      </c>
    </row>
    <row r="1265" spans="1:18">
      <c r="A1265">
        <v>1264</v>
      </c>
      <c r="B1265" t="s">
        <v>3909</v>
      </c>
      <c r="C1265" t="s">
        <v>3910</v>
      </c>
      <c r="D1265" s="1" t="s">
        <v>3911</v>
      </c>
      <c r="E1265" t="s">
        <v>36</v>
      </c>
      <c r="G1265" t="str">
        <f>_xlfn.XLOOKUP(frasest[[#This Row],[author_es]],autorest[author_es],autorest[author_la])</f>
        <v>Proverbium Sinense</v>
      </c>
      <c r="H1265" t="str">
        <f>_xlfn.XLOOKUP(frasest[[#This Row],[author_es]],autorest[author_es],autorest[bio_es])</f>
        <v>Conjunto de proverbios tradicionales de la cultura china que transmiten sabiduría popular, valores morales y enseñanzas prácticas transmitidas oralmente durante siglos.</v>
      </c>
      <c r="I1265" t="str">
        <f>_xlfn.XLOOKUP(frasest[[#This Row],[author_es]],autorest[author_es],autorest[bio_la])</f>
        <v>Collectio sententiarum Sinensium, magnopere in cultura tradita.</v>
      </c>
      <c r="J1265" t="str">
        <f>_xlfn.XLOOKUP(frasest[[#This Row],[author_es]],autorest[author_es],autorest[iso3691])</f>
        <v>zh</v>
      </c>
      <c r="K1265" t="str">
        <f>_xlfn.XLOOKUP(frasest[[#This Row],[author_es]],autorest[author_es],autorest[language_es])</f>
        <v>Chino</v>
      </c>
      <c r="L1265" t="str">
        <f>_xlfn.XLOOKUP(frasest[[#This Row],[author_es]],autorest[author_es],autorest[language_la])</f>
        <v>Lingua Sinica</v>
      </c>
      <c r="M1265" t="str">
        <f>_xlfn.XLOOKUP(frasest[[#This Row],[author_es]],autorest[author_es],autorest[nation_es])</f>
        <v>China</v>
      </c>
      <c r="N1265" t="str">
        <f>_xlfn.XLOOKUP(frasest[[#This Row],[author_es]],autorest[author_es],autorest[nation_la])</f>
        <v>Sinae</v>
      </c>
      <c r="O1265" t="str">
        <f>_xlfn.XLOOKUP(frasest[[#This Row],[author_es]],autorest[author_es],autorest[age_es])</f>
        <v>Epoca Desconocida</v>
      </c>
      <c r="P1265" t="str">
        <f>_xlfn.XLOOKUP(frasest[[#This Row],[author_es]],autorest[author_es],autorest[age_la])</f>
        <v>Epocha Ignota</v>
      </c>
      <c r="Q1265" t="str">
        <f>_xlfn.XLOOKUP(frasest[[#This Row],[author_es]],autorest[author_es],autorest[image])</f>
        <v>https://i.ibb.co/qLfpZm6h/china.png</v>
      </c>
      <c r="R1265">
        <f>_xlfn.XLOOKUP(frasest[[#This Row],[author_es]],autorest[author_es],autorest[image_atr])</f>
        <v>0</v>
      </c>
    </row>
    <row r="1266" spans="1:18">
      <c r="A1266">
        <v>1265</v>
      </c>
      <c r="B1266" t="s">
        <v>3912</v>
      </c>
      <c r="C1266" t="s">
        <v>3913</v>
      </c>
      <c r="D1266" s="1" t="s">
        <v>3914</v>
      </c>
      <c r="E1266" t="s">
        <v>36</v>
      </c>
      <c r="G1266" t="str">
        <f>_xlfn.XLOOKUP(frasest[[#This Row],[author_es]],autorest[author_es],autorest[author_la])</f>
        <v>Proverbium Sinense</v>
      </c>
      <c r="H1266" t="str">
        <f>_xlfn.XLOOKUP(frasest[[#This Row],[author_es]],autorest[author_es],autorest[bio_es])</f>
        <v>Conjunto de proverbios tradicionales de la cultura china que transmiten sabiduría popular, valores morales y enseñanzas prácticas transmitidas oralmente durante siglos.</v>
      </c>
      <c r="I1266" t="str">
        <f>_xlfn.XLOOKUP(frasest[[#This Row],[author_es]],autorest[author_es],autorest[bio_la])</f>
        <v>Collectio sententiarum Sinensium, magnopere in cultura tradita.</v>
      </c>
      <c r="J1266" t="str">
        <f>_xlfn.XLOOKUP(frasest[[#This Row],[author_es]],autorest[author_es],autorest[iso3691])</f>
        <v>zh</v>
      </c>
      <c r="K1266" t="str">
        <f>_xlfn.XLOOKUP(frasest[[#This Row],[author_es]],autorest[author_es],autorest[language_es])</f>
        <v>Chino</v>
      </c>
      <c r="L1266" t="str">
        <f>_xlfn.XLOOKUP(frasest[[#This Row],[author_es]],autorest[author_es],autorest[language_la])</f>
        <v>Lingua Sinica</v>
      </c>
      <c r="M1266" t="str">
        <f>_xlfn.XLOOKUP(frasest[[#This Row],[author_es]],autorest[author_es],autorest[nation_es])</f>
        <v>China</v>
      </c>
      <c r="N1266" t="str">
        <f>_xlfn.XLOOKUP(frasest[[#This Row],[author_es]],autorest[author_es],autorest[nation_la])</f>
        <v>Sinae</v>
      </c>
      <c r="O1266" t="str">
        <f>_xlfn.XLOOKUP(frasest[[#This Row],[author_es]],autorest[author_es],autorest[age_es])</f>
        <v>Epoca Desconocida</v>
      </c>
      <c r="P1266" t="str">
        <f>_xlfn.XLOOKUP(frasest[[#This Row],[author_es]],autorest[author_es],autorest[age_la])</f>
        <v>Epocha Ignota</v>
      </c>
      <c r="Q1266" t="str">
        <f>_xlfn.XLOOKUP(frasest[[#This Row],[author_es]],autorest[author_es],autorest[image])</f>
        <v>https://i.ibb.co/qLfpZm6h/china.png</v>
      </c>
      <c r="R1266">
        <f>_xlfn.XLOOKUP(frasest[[#This Row],[author_es]],autorest[author_es],autorest[image_atr])</f>
        <v>0</v>
      </c>
    </row>
    <row r="1267" spans="1:18">
      <c r="A1267">
        <v>1266</v>
      </c>
      <c r="B1267" t="s">
        <v>3915</v>
      </c>
      <c r="C1267" t="s">
        <v>3916</v>
      </c>
      <c r="D1267" s="1" t="s">
        <v>3917</v>
      </c>
      <c r="E1267" t="s">
        <v>36</v>
      </c>
      <c r="G1267" t="str">
        <f>_xlfn.XLOOKUP(frasest[[#This Row],[author_es]],autorest[author_es],autorest[author_la])</f>
        <v>Proverbium Sinense</v>
      </c>
      <c r="H1267" t="str">
        <f>_xlfn.XLOOKUP(frasest[[#This Row],[author_es]],autorest[author_es],autorest[bio_es])</f>
        <v>Conjunto de proverbios tradicionales de la cultura china que transmiten sabiduría popular, valores morales y enseñanzas prácticas transmitidas oralmente durante siglos.</v>
      </c>
      <c r="I1267" t="str">
        <f>_xlfn.XLOOKUP(frasest[[#This Row],[author_es]],autorest[author_es],autorest[bio_la])</f>
        <v>Collectio sententiarum Sinensium, magnopere in cultura tradita.</v>
      </c>
      <c r="J1267" t="str">
        <f>_xlfn.XLOOKUP(frasest[[#This Row],[author_es]],autorest[author_es],autorest[iso3691])</f>
        <v>zh</v>
      </c>
      <c r="K1267" t="str">
        <f>_xlfn.XLOOKUP(frasest[[#This Row],[author_es]],autorest[author_es],autorest[language_es])</f>
        <v>Chino</v>
      </c>
      <c r="L1267" t="str">
        <f>_xlfn.XLOOKUP(frasest[[#This Row],[author_es]],autorest[author_es],autorest[language_la])</f>
        <v>Lingua Sinica</v>
      </c>
      <c r="M1267" t="str">
        <f>_xlfn.XLOOKUP(frasest[[#This Row],[author_es]],autorest[author_es],autorest[nation_es])</f>
        <v>China</v>
      </c>
      <c r="N1267" t="str">
        <f>_xlfn.XLOOKUP(frasest[[#This Row],[author_es]],autorest[author_es],autorest[nation_la])</f>
        <v>Sinae</v>
      </c>
      <c r="O1267" t="str">
        <f>_xlfn.XLOOKUP(frasest[[#This Row],[author_es]],autorest[author_es],autorest[age_es])</f>
        <v>Epoca Desconocida</v>
      </c>
      <c r="P1267" t="str">
        <f>_xlfn.XLOOKUP(frasest[[#This Row],[author_es]],autorest[author_es],autorest[age_la])</f>
        <v>Epocha Ignota</v>
      </c>
      <c r="Q1267" t="str">
        <f>_xlfn.XLOOKUP(frasest[[#This Row],[author_es]],autorest[author_es],autorest[image])</f>
        <v>https://i.ibb.co/qLfpZm6h/china.png</v>
      </c>
      <c r="R1267">
        <f>_xlfn.XLOOKUP(frasest[[#This Row],[author_es]],autorest[author_es],autorest[image_atr])</f>
        <v>0</v>
      </c>
    </row>
    <row r="1268" spans="1:18">
      <c r="A1268">
        <v>1267</v>
      </c>
      <c r="B1268" t="s">
        <v>3918</v>
      </c>
      <c r="C1268" t="s">
        <v>3919</v>
      </c>
      <c r="D1268" s="1" t="s">
        <v>3920</v>
      </c>
      <c r="E1268" t="s">
        <v>36</v>
      </c>
      <c r="G1268" t="str">
        <f>_xlfn.XLOOKUP(frasest[[#This Row],[author_es]],autorest[author_es],autorest[author_la])</f>
        <v>Proverbium Sinense</v>
      </c>
      <c r="H1268" t="str">
        <f>_xlfn.XLOOKUP(frasest[[#This Row],[author_es]],autorest[author_es],autorest[bio_es])</f>
        <v>Conjunto de proverbios tradicionales de la cultura china que transmiten sabiduría popular, valores morales y enseñanzas prácticas transmitidas oralmente durante siglos.</v>
      </c>
      <c r="I1268" t="str">
        <f>_xlfn.XLOOKUP(frasest[[#This Row],[author_es]],autorest[author_es],autorest[bio_la])</f>
        <v>Collectio sententiarum Sinensium, magnopere in cultura tradita.</v>
      </c>
      <c r="J1268" t="str">
        <f>_xlfn.XLOOKUP(frasest[[#This Row],[author_es]],autorest[author_es],autorest[iso3691])</f>
        <v>zh</v>
      </c>
      <c r="K1268" t="str">
        <f>_xlfn.XLOOKUP(frasest[[#This Row],[author_es]],autorest[author_es],autorest[language_es])</f>
        <v>Chino</v>
      </c>
      <c r="L1268" t="str">
        <f>_xlfn.XLOOKUP(frasest[[#This Row],[author_es]],autorest[author_es],autorest[language_la])</f>
        <v>Lingua Sinica</v>
      </c>
      <c r="M1268" t="str">
        <f>_xlfn.XLOOKUP(frasest[[#This Row],[author_es]],autorest[author_es],autorest[nation_es])</f>
        <v>China</v>
      </c>
      <c r="N1268" t="str">
        <f>_xlfn.XLOOKUP(frasest[[#This Row],[author_es]],autorest[author_es],autorest[nation_la])</f>
        <v>Sinae</v>
      </c>
      <c r="O1268" t="str">
        <f>_xlfn.XLOOKUP(frasest[[#This Row],[author_es]],autorest[author_es],autorest[age_es])</f>
        <v>Epoca Desconocida</v>
      </c>
      <c r="P1268" t="str">
        <f>_xlfn.XLOOKUP(frasest[[#This Row],[author_es]],autorest[author_es],autorest[age_la])</f>
        <v>Epocha Ignota</v>
      </c>
      <c r="Q1268" t="str">
        <f>_xlfn.XLOOKUP(frasest[[#This Row],[author_es]],autorest[author_es],autorest[image])</f>
        <v>https://i.ibb.co/qLfpZm6h/china.png</v>
      </c>
      <c r="R1268">
        <f>_xlfn.XLOOKUP(frasest[[#This Row],[author_es]],autorest[author_es],autorest[image_atr])</f>
        <v>0</v>
      </c>
    </row>
    <row r="1269" spans="1:18">
      <c r="A1269">
        <v>1268</v>
      </c>
      <c r="B1269" t="s">
        <v>3921</v>
      </c>
      <c r="C1269" t="s">
        <v>3922</v>
      </c>
      <c r="D1269" s="1" t="s">
        <v>3923</v>
      </c>
      <c r="E1269" t="s">
        <v>36</v>
      </c>
      <c r="G1269" t="str">
        <f>_xlfn.XLOOKUP(frasest[[#This Row],[author_es]],autorest[author_es],autorest[author_la])</f>
        <v>Proverbium Sinense</v>
      </c>
      <c r="H1269" t="str">
        <f>_xlfn.XLOOKUP(frasest[[#This Row],[author_es]],autorest[author_es],autorest[bio_es])</f>
        <v>Conjunto de proverbios tradicionales de la cultura china que transmiten sabiduría popular, valores morales y enseñanzas prácticas transmitidas oralmente durante siglos.</v>
      </c>
      <c r="I1269" t="str">
        <f>_xlfn.XLOOKUP(frasest[[#This Row],[author_es]],autorest[author_es],autorest[bio_la])</f>
        <v>Collectio sententiarum Sinensium, magnopere in cultura tradita.</v>
      </c>
      <c r="J1269" t="str">
        <f>_xlfn.XLOOKUP(frasest[[#This Row],[author_es]],autorest[author_es],autorest[iso3691])</f>
        <v>zh</v>
      </c>
      <c r="K1269" t="str">
        <f>_xlfn.XLOOKUP(frasest[[#This Row],[author_es]],autorest[author_es],autorest[language_es])</f>
        <v>Chino</v>
      </c>
      <c r="L1269" t="str">
        <f>_xlfn.XLOOKUP(frasest[[#This Row],[author_es]],autorest[author_es],autorest[language_la])</f>
        <v>Lingua Sinica</v>
      </c>
      <c r="M1269" t="str">
        <f>_xlfn.XLOOKUP(frasest[[#This Row],[author_es]],autorest[author_es],autorest[nation_es])</f>
        <v>China</v>
      </c>
      <c r="N1269" t="str">
        <f>_xlfn.XLOOKUP(frasest[[#This Row],[author_es]],autorest[author_es],autorest[nation_la])</f>
        <v>Sinae</v>
      </c>
      <c r="O1269" t="str">
        <f>_xlfn.XLOOKUP(frasest[[#This Row],[author_es]],autorest[author_es],autorest[age_es])</f>
        <v>Epoca Desconocida</v>
      </c>
      <c r="P1269" t="str">
        <f>_xlfn.XLOOKUP(frasest[[#This Row],[author_es]],autorest[author_es],autorest[age_la])</f>
        <v>Epocha Ignota</v>
      </c>
      <c r="Q1269" t="str">
        <f>_xlfn.XLOOKUP(frasest[[#This Row],[author_es]],autorest[author_es],autorest[image])</f>
        <v>https://i.ibb.co/qLfpZm6h/china.png</v>
      </c>
      <c r="R1269">
        <f>_xlfn.XLOOKUP(frasest[[#This Row],[author_es]],autorest[author_es],autorest[image_atr])</f>
        <v>0</v>
      </c>
    </row>
    <row r="1270" spans="1:18">
      <c r="A1270">
        <v>1269</v>
      </c>
      <c r="B1270" t="s">
        <v>3924</v>
      </c>
      <c r="C1270" t="s">
        <v>3925</v>
      </c>
      <c r="D1270" s="1" t="s">
        <v>3926</v>
      </c>
      <c r="E1270" t="s">
        <v>36</v>
      </c>
      <c r="G1270" t="str">
        <f>_xlfn.XLOOKUP(frasest[[#This Row],[author_es]],autorest[author_es],autorest[author_la])</f>
        <v>Proverbium Sinense</v>
      </c>
      <c r="H1270" t="str">
        <f>_xlfn.XLOOKUP(frasest[[#This Row],[author_es]],autorest[author_es],autorest[bio_es])</f>
        <v>Conjunto de proverbios tradicionales de la cultura china que transmiten sabiduría popular, valores morales y enseñanzas prácticas transmitidas oralmente durante siglos.</v>
      </c>
      <c r="I1270" t="str">
        <f>_xlfn.XLOOKUP(frasest[[#This Row],[author_es]],autorest[author_es],autorest[bio_la])</f>
        <v>Collectio sententiarum Sinensium, magnopere in cultura tradita.</v>
      </c>
      <c r="J1270" t="str">
        <f>_xlfn.XLOOKUP(frasest[[#This Row],[author_es]],autorest[author_es],autorest[iso3691])</f>
        <v>zh</v>
      </c>
      <c r="K1270" t="str">
        <f>_xlfn.XLOOKUP(frasest[[#This Row],[author_es]],autorest[author_es],autorest[language_es])</f>
        <v>Chino</v>
      </c>
      <c r="L1270" t="str">
        <f>_xlfn.XLOOKUP(frasest[[#This Row],[author_es]],autorest[author_es],autorest[language_la])</f>
        <v>Lingua Sinica</v>
      </c>
      <c r="M1270" t="str">
        <f>_xlfn.XLOOKUP(frasest[[#This Row],[author_es]],autorest[author_es],autorest[nation_es])</f>
        <v>China</v>
      </c>
      <c r="N1270" t="str">
        <f>_xlfn.XLOOKUP(frasest[[#This Row],[author_es]],autorest[author_es],autorest[nation_la])</f>
        <v>Sinae</v>
      </c>
      <c r="O1270" t="str">
        <f>_xlfn.XLOOKUP(frasest[[#This Row],[author_es]],autorest[author_es],autorest[age_es])</f>
        <v>Epoca Desconocida</v>
      </c>
      <c r="P1270" t="str">
        <f>_xlfn.XLOOKUP(frasest[[#This Row],[author_es]],autorest[author_es],autorest[age_la])</f>
        <v>Epocha Ignota</v>
      </c>
      <c r="Q1270" t="str">
        <f>_xlfn.XLOOKUP(frasest[[#This Row],[author_es]],autorest[author_es],autorest[image])</f>
        <v>https://i.ibb.co/qLfpZm6h/china.png</v>
      </c>
      <c r="R1270">
        <f>_xlfn.XLOOKUP(frasest[[#This Row],[author_es]],autorest[author_es],autorest[image_atr])</f>
        <v>0</v>
      </c>
    </row>
    <row r="1271" spans="1:18">
      <c r="A1271">
        <v>1270</v>
      </c>
      <c r="B1271" t="s">
        <v>3927</v>
      </c>
      <c r="C1271" t="s">
        <v>3928</v>
      </c>
      <c r="D1271" s="1" t="s">
        <v>3929</v>
      </c>
      <c r="E1271" t="s">
        <v>36</v>
      </c>
      <c r="G1271" t="str">
        <f>_xlfn.XLOOKUP(frasest[[#This Row],[author_es]],autorest[author_es],autorest[author_la])</f>
        <v>Proverbium Sinense</v>
      </c>
      <c r="H1271" t="str">
        <f>_xlfn.XLOOKUP(frasest[[#This Row],[author_es]],autorest[author_es],autorest[bio_es])</f>
        <v>Conjunto de proverbios tradicionales de la cultura china que transmiten sabiduría popular, valores morales y enseñanzas prácticas transmitidas oralmente durante siglos.</v>
      </c>
      <c r="I1271" t="str">
        <f>_xlfn.XLOOKUP(frasest[[#This Row],[author_es]],autorest[author_es],autorest[bio_la])</f>
        <v>Collectio sententiarum Sinensium, magnopere in cultura tradita.</v>
      </c>
      <c r="J1271" t="str">
        <f>_xlfn.XLOOKUP(frasest[[#This Row],[author_es]],autorest[author_es],autorest[iso3691])</f>
        <v>zh</v>
      </c>
      <c r="K1271" t="str">
        <f>_xlfn.XLOOKUP(frasest[[#This Row],[author_es]],autorest[author_es],autorest[language_es])</f>
        <v>Chino</v>
      </c>
      <c r="L1271" t="str">
        <f>_xlfn.XLOOKUP(frasest[[#This Row],[author_es]],autorest[author_es],autorest[language_la])</f>
        <v>Lingua Sinica</v>
      </c>
      <c r="M1271" t="str">
        <f>_xlfn.XLOOKUP(frasest[[#This Row],[author_es]],autorest[author_es],autorest[nation_es])</f>
        <v>China</v>
      </c>
      <c r="N1271" t="str">
        <f>_xlfn.XLOOKUP(frasest[[#This Row],[author_es]],autorest[author_es],autorest[nation_la])</f>
        <v>Sinae</v>
      </c>
      <c r="O1271" t="str">
        <f>_xlfn.XLOOKUP(frasest[[#This Row],[author_es]],autorest[author_es],autorest[age_es])</f>
        <v>Epoca Desconocida</v>
      </c>
      <c r="P1271" t="str">
        <f>_xlfn.XLOOKUP(frasest[[#This Row],[author_es]],autorest[author_es],autorest[age_la])</f>
        <v>Epocha Ignota</v>
      </c>
      <c r="Q1271" t="str">
        <f>_xlfn.XLOOKUP(frasest[[#This Row],[author_es]],autorest[author_es],autorest[image])</f>
        <v>https://i.ibb.co/qLfpZm6h/china.png</v>
      </c>
      <c r="R1271">
        <f>_xlfn.XLOOKUP(frasest[[#This Row],[author_es]],autorest[author_es],autorest[image_atr])</f>
        <v>0</v>
      </c>
    </row>
    <row r="1272" spans="1:18">
      <c r="A1272">
        <v>1271</v>
      </c>
      <c r="B1272" t="s">
        <v>3930</v>
      </c>
      <c r="C1272" t="s">
        <v>3931</v>
      </c>
      <c r="D1272" s="1" t="s">
        <v>3490</v>
      </c>
      <c r="E1272" t="s">
        <v>36</v>
      </c>
      <c r="G1272" t="str">
        <f>_xlfn.XLOOKUP(frasest[[#This Row],[author_es]],autorest[author_es],autorest[author_la])</f>
        <v>Proverbium Sinense</v>
      </c>
      <c r="H1272" t="str">
        <f>_xlfn.XLOOKUP(frasest[[#This Row],[author_es]],autorest[author_es],autorest[bio_es])</f>
        <v>Conjunto de proverbios tradicionales de la cultura china que transmiten sabiduría popular, valores morales y enseñanzas prácticas transmitidas oralmente durante siglos.</v>
      </c>
      <c r="I1272" t="str">
        <f>_xlfn.XLOOKUP(frasest[[#This Row],[author_es]],autorest[author_es],autorest[bio_la])</f>
        <v>Collectio sententiarum Sinensium, magnopere in cultura tradita.</v>
      </c>
      <c r="J1272" t="str">
        <f>_xlfn.XLOOKUP(frasest[[#This Row],[author_es]],autorest[author_es],autorest[iso3691])</f>
        <v>zh</v>
      </c>
      <c r="K1272" t="str">
        <f>_xlfn.XLOOKUP(frasest[[#This Row],[author_es]],autorest[author_es],autorest[language_es])</f>
        <v>Chino</v>
      </c>
      <c r="L1272" t="str">
        <f>_xlfn.XLOOKUP(frasest[[#This Row],[author_es]],autorest[author_es],autorest[language_la])</f>
        <v>Lingua Sinica</v>
      </c>
      <c r="M1272" t="str">
        <f>_xlfn.XLOOKUP(frasest[[#This Row],[author_es]],autorest[author_es],autorest[nation_es])</f>
        <v>China</v>
      </c>
      <c r="N1272" t="str">
        <f>_xlfn.XLOOKUP(frasest[[#This Row],[author_es]],autorest[author_es],autorest[nation_la])</f>
        <v>Sinae</v>
      </c>
      <c r="O1272" t="str">
        <f>_xlfn.XLOOKUP(frasest[[#This Row],[author_es]],autorest[author_es],autorest[age_es])</f>
        <v>Epoca Desconocida</v>
      </c>
      <c r="P1272" t="str">
        <f>_xlfn.XLOOKUP(frasest[[#This Row],[author_es]],autorest[author_es],autorest[age_la])</f>
        <v>Epocha Ignota</v>
      </c>
      <c r="Q1272" t="str">
        <f>_xlfn.XLOOKUP(frasest[[#This Row],[author_es]],autorest[author_es],autorest[image])</f>
        <v>https://i.ibb.co/qLfpZm6h/china.png</v>
      </c>
      <c r="R1272">
        <f>_xlfn.XLOOKUP(frasest[[#This Row],[author_es]],autorest[author_es],autorest[image_atr])</f>
        <v>0</v>
      </c>
    </row>
    <row r="1273" spans="1:18">
      <c r="A1273">
        <v>1272</v>
      </c>
      <c r="B1273" t="s">
        <v>3932</v>
      </c>
      <c r="C1273" t="s">
        <v>3933</v>
      </c>
      <c r="D1273" s="1" t="s">
        <v>3934</v>
      </c>
      <c r="E1273" t="s">
        <v>36</v>
      </c>
      <c r="G1273" t="str">
        <f>_xlfn.XLOOKUP(frasest[[#This Row],[author_es]],autorest[author_es],autorest[author_la])</f>
        <v>Proverbium Sinense</v>
      </c>
      <c r="H1273" t="str">
        <f>_xlfn.XLOOKUP(frasest[[#This Row],[author_es]],autorest[author_es],autorest[bio_es])</f>
        <v>Conjunto de proverbios tradicionales de la cultura china que transmiten sabiduría popular, valores morales y enseñanzas prácticas transmitidas oralmente durante siglos.</v>
      </c>
      <c r="I1273" t="str">
        <f>_xlfn.XLOOKUP(frasest[[#This Row],[author_es]],autorest[author_es],autorest[bio_la])</f>
        <v>Collectio sententiarum Sinensium, magnopere in cultura tradita.</v>
      </c>
      <c r="J1273" t="str">
        <f>_xlfn.XLOOKUP(frasest[[#This Row],[author_es]],autorest[author_es],autorest[iso3691])</f>
        <v>zh</v>
      </c>
      <c r="K1273" t="str">
        <f>_xlfn.XLOOKUP(frasest[[#This Row],[author_es]],autorest[author_es],autorest[language_es])</f>
        <v>Chino</v>
      </c>
      <c r="L1273" t="str">
        <f>_xlfn.XLOOKUP(frasest[[#This Row],[author_es]],autorest[author_es],autorest[language_la])</f>
        <v>Lingua Sinica</v>
      </c>
      <c r="M1273" t="str">
        <f>_xlfn.XLOOKUP(frasest[[#This Row],[author_es]],autorest[author_es],autorest[nation_es])</f>
        <v>China</v>
      </c>
      <c r="N1273" t="str">
        <f>_xlfn.XLOOKUP(frasest[[#This Row],[author_es]],autorest[author_es],autorest[nation_la])</f>
        <v>Sinae</v>
      </c>
      <c r="O1273" t="str">
        <f>_xlfn.XLOOKUP(frasest[[#This Row],[author_es]],autorest[author_es],autorest[age_es])</f>
        <v>Epoca Desconocida</v>
      </c>
      <c r="P1273" t="str">
        <f>_xlfn.XLOOKUP(frasest[[#This Row],[author_es]],autorest[author_es],autorest[age_la])</f>
        <v>Epocha Ignota</v>
      </c>
      <c r="Q1273" t="str">
        <f>_xlfn.XLOOKUP(frasest[[#This Row],[author_es]],autorest[author_es],autorest[image])</f>
        <v>https://i.ibb.co/qLfpZm6h/china.png</v>
      </c>
      <c r="R1273">
        <f>_xlfn.XLOOKUP(frasest[[#This Row],[author_es]],autorest[author_es],autorest[image_atr])</f>
        <v>0</v>
      </c>
    </row>
    <row r="1274" spans="1:18">
      <c r="A1274">
        <v>1273</v>
      </c>
      <c r="B1274" t="s">
        <v>3935</v>
      </c>
      <c r="C1274" t="s">
        <v>3936</v>
      </c>
      <c r="D1274" s="1" t="s">
        <v>3937</v>
      </c>
      <c r="E1274" t="s">
        <v>36</v>
      </c>
      <c r="G1274" t="str">
        <f>_xlfn.XLOOKUP(frasest[[#This Row],[author_es]],autorest[author_es],autorest[author_la])</f>
        <v>Proverbium Sinense</v>
      </c>
      <c r="H1274" t="str">
        <f>_xlfn.XLOOKUP(frasest[[#This Row],[author_es]],autorest[author_es],autorest[bio_es])</f>
        <v>Conjunto de proverbios tradicionales de la cultura china que transmiten sabiduría popular, valores morales y enseñanzas prácticas transmitidas oralmente durante siglos.</v>
      </c>
      <c r="I1274" t="str">
        <f>_xlfn.XLOOKUP(frasest[[#This Row],[author_es]],autorest[author_es],autorest[bio_la])</f>
        <v>Collectio sententiarum Sinensium, magnopere in cultura tradita.</v>
      </c>
      <c r="J1274" t="str">
        <f>_xlfn.XLOOKUP(frasest[[#This Row],[author_es]],autorest[author_es],autorest[iso3691])</f>
        <v>zh</v>
      </c>
      <c r="K1274" t="str">
        <f>_xlfn.XLOOKUP(frasest[[#This Row],[author_es]],autorest[author_es],autorest[language_es])</f>
        <v>Chino</v>
      </c>
      <c r="L1274" t="str">
        <f>_xlfn.XLOOKUP(frasest[[#This Row],[author_es]],autorest[author_es],autorest[language_la])</f>
        <v>Lingua Sinica</v>
      </c>
      <c r="M1274" t="str">
        <f>_xlfn.XLOOKUP(frasest[[#This Row],[author_es]],autorest[author_es],autorest[nation_es])</f>
        <v>China</v>
      </c>
      <c r="N1274" t="str">
        <f>_xlfn.XLOOKUP(frasest[[#This Row],[author_es]],autorest[author_es],autorest[nation_la])</f>
        <v>Sinae</v>
      </c>
      <c r="O1274" t="str">
        <f>_xlfn.XLOOKUP(frasest[[#This Row],[author_es]],autorest[author_es],autorest[age_es])</f>
        <v>Epoca Desconocida</v>
      </c>
      <c r="P1274" t="str">
        <f>_xlfn.XLOOKUP(frasest[[#This Row],[author_es]],autorest[author_es],autorest[age_la])</f>
        <v>Epocha Ignota</v>
      </c>
      <c r="Q1274" t="str">
        <f>_xlfn.XLOOKUP(frasest[[#This Row],[author_es]],autorest[author_es],autorest[image])</f>
        <v>https://i.ibb.co/qLfpZm6h/china.png</v>
      </c>
      <c r="R1274">
        <f>_xlfn.XLOOKUP(frasest[[#This Row],[author_es]],autorest[author_es],autorest[image_atr])</f>
        <v>0</v>
      </c>
    </row>
    <row r="1275" spans="1:18">
      <c r="A1275">
        <v>1274</v>
      </c>
      <c r="B1275" t="s">
        <v>3938</v>
      </c>
      <c r="C1275" t="s">
        <v>3939</v>
      </c>
      <c r="D1275" s="1" t="s">
        <v>3940</v>
      </c>
      <c r="E1275" t="s">
        <v>36</v>
      </c>
      <c r="G1275" t="str">
        <f>_xlfn.XLOOKUP(frasest[[#This Row],[author_es]],autorest[author_es],autorest[author_la])</f>
        <v>Proverbium Sinense</v>
      </c>
      <c r="H1275" t="str">
        <f>_xlfn.XLOOKUP(frasest[[#This Row],[author_es]],autorest[author_es],autorest[bio_es])</f>
        <v>Conjunto de proverbios tradicionales de la cultura china que transmiten sabiduría popular, valores morales y enseñanzas prácticas transmitidas oralmente durante siglos.</v>
      </c>
      <c r="I1275" t="str">
        <f>_xlfn.XLOOKUP(frasest[[#This Row],[author_es]],autorest[author_es],autorest[bio_la])</f>
        <v>Collectio sententiarum Sinensium, magnopere in cultura tradita.</v>
      </c>
      <c r="J1275" t="str">
        <f>_xlfn.XLOOKUP(frasest[[#This Row],[author_es]],autorest[author_es],autorest[iso3691])</f>
        <v>zh</v>
      </c>
      <c r="K1275" t="str">
        <f>_xlfn.XLOOKUP(frasest[[#This Row],[author_es]],autorest[author_es],autorest[language_es])</f>
        <v>Chino</v>
      </c>
      <c r="L1275" t="str">
        <f>_xlfn.XLOOKUP(frasest[[#This Row],[author_es]],autorest[author_es],autorest[language_la])</f>
        <v>Lingua Sinica</v>
      </c>
      <c r="M1275" t="str">
        <f>_xlfn.XLOOKUP(frasest[[#This Row],[author_es]],autorest[author_es],autorest[nation_es])</f>
        <v>China</v>
      </c>
      <c r="N1275" t="str">
        <f>_xlfn.XLOOKUP(frasest[[#This Row],[author_es]],autorest[author_es],autorest[nation_la])</f>
        <v>Sinae</v>
      </c>
      <c r="O1275" t="str">
        <f>_xlfn.XLOOKUP(frasest[[#This Row],[author_es]],autorest[author_es],autorest[age_es])</f>
        <v>Epoca Desconocida</v>
      </c>
      <c r="P1275" t="str">
        <f>_xlfn.XLOOKUP(frasest[[#This Row],[author_es]],autorest[author_es],autorest[age_la])</f>
        <v>Epocha Ignota</v>
      </c>
      <c r="Q1275" t="str">
        <f>_xlfn.XLOOKUP(frasest[[#This Row],[author_es]],autorest[author_es],autorest[image])</f>
        <v>https://i.ibb.co/qLfpZm6h/china.png</v>
      </c>
      <c r="R1275">
        <f>_xlfn.XLOOKUP(frasest[[#This Row],[author_es]],autorest[author_es],autorest[image_atr])</f>
        <v>0</v>
      </c>
    </row>
    <row r="1276" spans="1:18">
      <c r="A1276">
        <v>1275</v>
      </c>
      <c r="B1276" t="s">
        <v>3941</v>
      </c>
      <c r="C1276" t="s">
        <v>3942</v>
      </c>
      <c r="D1276" s="1" t="s">
        <v>3943</v>
      </c>
      <c r="E1276" t="s">
        <v>36</v>
      </c>
      <c r="G1276" t="str">
        <f>_xlfn.XLOOKUP(frasest[[#This Row],[author_es]],autorest[author_es],autorest[author_la])</f>
        <v>Proverbium Sinense</v>
      </c>
      <c r="H1276" t="str">
        <f>_xlfn.XLOOKUP(frasest[[#This Row],[author_es]],autorest[author_es],autorest[bio_es])</f>
        <v>Conjunto de proverbios tradicionales de la cultura china que transmiten sabiduría popular, valores morales y enseñanzas prácticas transmitidas oralmente durante siglos.</v>
      </c>
      <c r="I1276" t="str">
        <f>_xlfn.XLOOKUP(frasest[[#This Row],[author_es]],autorest[author_es],autorest[bio_la])</f>
        <v>Collectio sententiarum Sinensium, magnopere in cultura tradita.</v>
      </c>
      <c r="J1276" t="str">
        <f>_xlfn.XLOOKUP(frasest[[#This Row],[author_es]],autorest[author_es],autorest[iso3691])</f>
        <v>zh</v>
      </c>
      <c r="K1276" t="str">
        <f>_xlfn.XLOOKUP(frasest[[#This Row],[author_es]],autorest[author_es],autorest[language_es])</f>
        <v>Chino</v>
      </c>
      <c r="L1276" t="str">
        <f>_xlfn.XLOOKUP(frasest[[#This Row],[author_es]],autorest[author_es],autorest[language_la])</f>
        <v>Lingua Sinica</v>
      </c>
      <c r="M1276" t="str">
        <f>_xlfn.XLOOKUP(frasest[[#This Row],[author_es]],autorest[author_es],autorest[nation_es])</f>
        <v>China</v>
      </c>
      <c r="N1276" t="str">
        <f>_xlfn.XLOOKUP(frasest[[#This Row],[author_es]],autorest[author_es],autorest[nation_la])</f>
        <v>Sinae</v>
      </c>
      <c r="O1276" t="str">
        <f>_xlfn.XLOOKUP(frasest[[#This Row],[author_es]],autorest[author_es],autorest[age_es])</f>
        <v>Epoca Desconocida</v>
      </c>
      <c r="P1276" t="str">
        <f>_xlfn.XLOOKUP(frasest[[#This Row],[author_es]],autorest[author_es],autorest[age_la])</f>
        <v>Epocha Ignota</v>
      </c>
      <c r="Q1276" t="str">
        <f>_xlfn.XLOOKUP(frasest[[#This Row],[author_es]],autorest[author_es],autorest[image])</f>
        <v>https://i.ibb.co/qLfpZm6h/china.png</v>
      </c>
      <c r="R1276">
        <f>_xlfn.XLOOKUP(frasest[[#This Row],[author_es]],autorest[author_es],autorest[image_atr])</f>
        <v>0</v>
      </c>
    </row>
    <row r="1277" spans="1:18">
      <c r="A1277">
        <v>1276</v>
      </c>
      <c r="B1277" t="s">
        <v>3944</v>
      </c>
      <c r="C1277" t="s">
        <v>3945</v>
      </c>
      <c r="D1277" s="1" t="s">
        <v>3946</v>
      </c>
      <c r="E1277" t="s">
        <v>36</v>
      </c>
      <c r="G1277" t="str">
        <f>_xlfn.XLOOKUP(frasest[[#This Row],[author_es]],autorest[author_es],autorest[author_la])</f>
        <v>Proverbium Sinense</v>
      </c>
      <c r="H1277" t="str">
        <f>_xlfn.XLOOKUP(frasest[[#This Row],[author_es]],autorest[author_es],autorest[bio_es])</f>
        <v>Conjunto de proverbios tradicionales de la cultura china que transmiten sabiduría popular, valores morales y enseñanzas prácticas transmitidas oralmente durante siglos.</v>
      </c>
      <c r="I1277" t="str">
        <f>_xlfn.XLOOKUP(frasest[[#This Row],[author_es]],autorest[author_es],autorest[bio_la])</f>
        <v>Collectio sententiarum Sinensium, magnopere in cultura tradita.</v>
      </c>
      <c r="J1277" t="str">
        <f>_xlfn.XLOOKUP(frasest[[#This Row],[author_es]],autorest[author_es],autorest[iso3691])</f>
        <v>zh</v>
      </c>
      <c r="K1277" t="str">
        <f>_xlfn.XLOOKUP(frasest[[#This Row],[author_es]],autorest[author_es],autorest[language_es])</f>
        <v>Chino</v>
      </c>
      <c r="L1277" t="str">
        <f>_xlfn.XLOOKUP(frasest[[#This Row],[author_es]],autorest[author_es],autorest[language_la])</f>
        <v>Lingua Sinica</v>
      </c>
      <c r="M1277" t="str">
        <f>_xlfn.XLOOKUP(frasest[[#This Row],[author_es]],autorest[author_es],autorest[nation_es])</f>
        <v>China</v>
      </c>
      <c r="N1277" t="str">
        <f>_xlfn.XLOOKUP(frasest[[#This Row],[author_es]],autorest[author_es],autorest[nation_la])</f>
        <v>Sinae</v>
      </c>
      <c r="O1277" t="str">
        <f>_xlfn.XLOOKUP(frasest[[#This Row],[author_es]],autorest[author_es],autorest[age_es])</f>
        <v>Epoca Desconocida</v>
      </c>
      <c r="P1277" t="str">
        <f>_xlfn.XLOOKUP(frasest[[#This Row],[author_es]],autorest[author_es],autorest[age_la])</f>
        <v>Epocha Ignota</v>
      </c>
      <c r="Q1277" t="str">
        <f>_xlfn.XLOOKUP(frasest[[#This Row],[author_es]],autorest[author_es],autorest[image])</f>
        <v>https://i.ibb.co/qLfpZm6h/china.png</v>
      </c>
      <c r="R1277">
        <f>_xlfn.XLOOKUP(frasest[[#This Row],[author_es]],autorest[author_es],autorest[image_atr])</f>
        <v>0</v>
      </c>
    </row>
    <row r="1278" spans="1:18">
      <c r="A1278">
        <v>1277</v>
      </c>
      <c r="B1278" t="s">
        <v>3947</v>
      </c>
      <c r="C1278" t="s">
        <v>3948</v>
      </c>
      <c r="D1278" s="1" t="s">
        <v>3949</v>
      </c>
      <c r="E1278" t="s">
        <v>36</v>
      </c>
      <c r="G1278" t="str">
        <f>_xlfn.XLOOKUP(frasest[[#This Row],[author_es]],autorest[author_es],autorest[author_la])</f>
        <v>Proverbium Sinense</v>
      </c>
      <c r="H1278" t="str">
        <f>_xlfn.XLOOKUP(frasest[[#This Row],[author_es]],autorest[author_es],autorest[bio_es])</f>
        <v>Conjunto de proverbios tradicionales de la cultura china que transmiten sabiduría popular, valores morales y enseñanzas prácticas transmitidas oralmente durante siglos.</v>
      </c>
      <c r="I1278" t="str">
        <f>_xlfn.XLOOKUP(frasest[[#This Row],[author_es]],autorest[author_es],autorest[bio_la])</f>
        <v>Collectio sententiarum Sinensium, magnopere in cultura tradita.</v>
      </c>
      <c r="J1278" t="str">
        <f>_xlfn.XLOOKUP(frasest[[#This Row],[author_es]],autorest[author_es],autorest[iso3691])</f>
        <v>zh</v>
      </c>
      <c r="K1278" t="str">
        <f>_xlfn.XLOOKUP(frasest[[#This Row],[author_es]],autorest[author_es],autorest[language_es])</f>
        <v>Chino</v>
      </c>
      <c r="L1278" t="str">
        <f>_xlfn.XLOOKUP(frasest[[#This Row],[author_es]],autorest[author_es],autorest[language_la])</f>
        <v>Lingua Sinica</v>
      </c>
      <c r="M1278" t="str">
        <f>_xlfn.XLOOKUP(frasest[[#This Row],[author_es]],autorest[author_es],autorest[nation_es])</f>
        <v>China</v>
      </c>
      <c r="N1278" t="str">
        <f>_xlfn.XLOOKUP(frasest[[#This Row],[author_es]],autorest[author_es],autorest[nation_la])</f>
        <v>Sinae</v>
      </c>
      <c r="O1278" t="str">
        <f>_xlfn.XLOOKUP(frasest[[#This Row],[author_es]],autorest[author_es],autorest[age_es])</f>
        <v>Epoca Desconocida</v>
      </c>
      <c r="P1278" t="str">
        <f>_xlfn.XLOOKUP(frasest[[#This Row],[author_es]],autorest[author_es],autorest[age_la])</f>
        <v>Epocha Ignota</v>
      </c>
      <c r="Q1278" t="str">
        <f>_xlfn.XLOOKUP(frasest[[#This Row],[author_es]],autorest[author_es],autorest[image])</f>
        <v>https://i.ibb.co/qLfpZm6h/china.png</v>
      </c>
      <c r="R1278">
        <f>_xlfn.XLOOKUP(frasest[[#This Row],[author_es]],autorest[author_es],autorest[image_atr])</f>
        <v>0</v>
      </c>
    </row>
    <row r="1279" spans="1:18">
      <c r="A1279">
        <v>1278</v>
      </c>
      <c r="B1279" t="s">
        <v>3950</v>
      </c>
      <c r="C1279" t="s">
        <v>3951</v>
      </c>
      <c r="D1279" s="1" t="s">
        <v>3952</v>
      </c>
      <c r="E1279" t="s">
        <v>36</v>
      </c>
      <c r="G1279" t="str">
        <f>_xlfn.XLOOKUP(frasest[[#This Row],[author_es]],autorest[author_es],autorest[author_la])</f>
        <v>Proverbium Sinense</v>
      </c>
      <c r="H1279" t="str">
        <f>_xlfn.XLOOKUP(frasest[[#This Row],[author_es]],autorest[author_es],autorest[bio_es])</f>
        <v>Conjunto de proverbios tradicionales de la cultura china que transmiten sabiduría popular, valores morales y enseñanzas prácticas transmitidas oralmente durante siglos.</v>
      </c>
      <c r="I1279" t="str">
        <f>_xlfn.XLOOKUP(frasest[[#This Row],[author_es]],autorest[author_es],autorest[bio_la])</f>
        <v>Collectio sententiarum Sinensium, magnopere in cultura tradita.</v>
      </c>
      <c r="J1279" t="str">
        <f>_xlfn.XLOOKUP(frasest[[#This Row],[author_es]],autorest[author_es],autorest[iso3691])</f>
        <v>zh</v>
      </c>
      <c r="K1279" t="str">
        <f>_xlfn.XLOOKUP(frasest[[#This Row],[author_es]],autorest[author_es],autorest[language_es])</f>
        <v>Chino</v>
      </c>
      <c r="L1279" t="str">
        <f>_xlfn.XLOOKUP(frasest[[#This Row],[author_es]],autorest[author_es],autorest[language_la])</f>
        <v>Lingua Sinica</v>
      </c>
      <c r="M1279" t="str">
        <f>_xlfn.XLOOKUP(frasest[[#This Row],[author_es]],autorest[author_es],autorest[nation_es])</f>
        <v>China</v>
      </c>
      <c r="N1279" t="str">
        <f>_xlfn.XLOOKUP(frasest[[#This Row],[author_es]],autorest[author_es],autorest[nation_la])</f>
        <v>Sinae</v>
      </c>
      <c r="O1279" t="str">
        <f>_xlfn.XLOOKUP(frasest[[#This Row],[author_es]],autorest[author_es],autorest[age_es])</f>
        <v>Epoca Desconocida</v>
      </c>
      <c r="P1279" t="str">
        <f>_xlfn.XLOOKUP(frasest[[#This Row],[author_es]],autorest[author_es],autorest[age_la])</f>
        <v>Epocha Ignota</v>
      </c>
      <c r="Q1279" t="str">
        <f>_xlfn.XLOOKUP(frasest[[#This Row],[author_es]],autorest[author_es],autorest[image])</f>
        <v>https://i.ibb.co/qLfpZm6h/china.png</v>
      </c>
      <c r="R1279">
        <f>_xlfn.XLOOKUP(frasest[[#This Row],[author_es]],autorest[author_es],autorest[image_atr])</f>
        <v>0</v>
      </c>
    </row>
    <row r="1280" spans="1:18">
      <c r="A1280">
        <v>1279</v>
      </c>
      <c r="B1280" t="s">
        <v>3953</v>
      </c>
      <c r="C1280" t="s">
        <v>3954</v>
      </c>
      <c r="D1280" s="1" t="s">
        <v>3955</v>
      </c>
      <c r="E1280" t="s">
        <v>36</v>
      </c>
      <c r="G1280" t="str">
        <f>_xlfn.XLOOKUP(frasest[[#This Row],[author_es]],autorest[author_es],autorest[author_la])</f>
        <v>Proverbium Sinense</v>
      </c>
      <c r="H1280" t="str">
        <f>_xlfn.XLOOKUP(frasest[[#This Row],[author_es]],autorest[author_es],autorest[bio_es])</f>
        <v>Conjunto de proverbios tradicionales de la cultura china que transmiten sabiduría popular, valores morales y enseñanzas prácticas transmitidas oralmente durante siglos.</v>
      </c>
      <c r="I1280" t="str">
        <f>_xlfn.XLOOKUP(frasest[[#This Row],[author_es]],autorest[author_es],autorest[bio_la])</f>
        <v>Collectio sententiarum Sinensium, magnopere in cultura tradita.</v>
      </c>
      <c r="J1280" t="str">
        <f>_xlfn.XLOOKUP(frasest[[#This Row],[author_es]],autorest[author_es],autorest[iso3691])</f>
        <v>zh</v>
      </c>
      <c r="K1280" t="str">
        <f>_xlfn.XLOOKUP(frasest[[#This Row],[author_es]],autorest[author_es],autorest[language_es])</f>
        <v>Chino</v>
      </c>
      <c r="L1280" t="str">
        <f>_xlfn.XLOOKUP(frasest[[#This Row],[author_es]],autorest[author_es],autorest[language_la])</f>
        <v>Lingua Sinica</v>
      </c>
      <c r="M1280" t="str">
        <f>_xlfn.XLOOKUP(frasest[[#This Row],[author_es]],autorest[author_es],autorest[nation_es])</f>
        <v>China</v>
      </c>
      <c r="N1280" t="str">
        <f>_xlfn.XLOOKUP(frasest[[#This Row],[author_es]],autorest[author_es],autorest[nation_la])</f>
        <v>Sinae</v>
      </c>
      <c r="O1280" t="str">
        <f>_xlfn.XLOOKUP(frasest[[#This Row],[author_es]],autorest[author_es],autorest[age_es])</f>
        <v>Epoca Desconocida</v>
      </c>
      <c r="P1280" t="str">
        <f>_xlfn.XLOOKUP(frasest[[#This Row],[author_es]],autorest[author_es],autorest[age_la])</f>
        <v>Epocha Ignota</v>
      </c>
      <c r="Q1280" t="str">
        <f>_xlfn.XLOOKUP(frasest[[#This Row],[author_es]],autorest[author_es],autorest[image])</f>
        <v>https://i.ibb.co/qLfpZm6h/china.png</v>
      </c>
      <c r="R1280">
        <f>_xlfn.XLOOKUP(frasest[[#This Row],[author_es]],autorest[author_es],autorest[image_atr])</f>
        <v>0</v>
      </c>
    </row>
    <row r="1281" spans="1:18">
      <c r="A1281">
        <v>1280</v>
      </c>
      <c r="B1281" t="s">
        <v>3956</v>
      </c>
      <c r="C1281" t="s">
        <v>3957</v>
      </c>
      <c r="D1281" s="1" t="s">
        <v>3958</v>
      </c>
      <c r="E1281" t="s">
        <v>36</v>
      </c>
      <c r="G1281" t="str">
        <f>_xlfn.XLOOKUP(frasest[[#This Row],[author_es]],autorest[author_es],autorest[author_la])</f>
        <v>Proverbium Sinense</v>
      </c>
      <c r="H1281" t="str">
        <f>_xlfn.XLOOKUP(frasest[[#This Row],[author_es]],autorest[author_es],autorest[bio_es])</f>
        <v>Conjunto de proverbios tradicionales de la cultura china que transmiten sabiduría popular, valores morales y enseñanzas prácticas transmitidas oralmente durante siglos.</v>
      </c>
      <c r="I1281" t="str">
        <f>_xlfn.XLOOKUP(frasest[[#This Row],[author_es]],autorest[author_es],autorest[bio_la])</f>
        <v>Collectio sententiarum Sinensium, magnopere in cultura tradita.</v>
      </c>
      <c r="J1281" t="str">
        <f>_xlfn.XLOOKUP(frasest[[#This Row],[author_es]],autorest[author_es],autorest[iso3691])</f>
        <v>zh</v>
      </c>
      <c r="K1281" t="str">
        <f>_xlfn.XLOOKUP(frasest[[#This Row],[author_es]],autorest[author_es],autorest[language_es])</f>
        <v>Chino</v>
      </c>
      <c r="L1281" t="str">
        <f>_xlfn.XLOOKUP(frasest[[#This Row],[author_es]],autorest[author_es],autorest[language_la])</f>
        <v>Lingua Sinica</v>
      </c>
      <c r="M1281" t="str">
        <f>_xlfn.XLOOKUP(frasest[[#This Row],[author_es]],autorest[author_es],autorest[nation_es])</f>
        <v>China</v>
      </c>
      <c r="N1281" t="str">
        <f>_xlfn.XLOOKUP(frasest[[#This Row],[author_es]],autorest[author_es],autorest[nation_la])</f>
        <v>Sinae</v>
      </c>
      <c r="O1281" t="str">
        <f>_xlfn.XLOOKUP(frasest[[#This Row],[author_es]],autorest[author_es],autorest[age_es])</f>
        <v>Epoca Desconocida</v>
      </c>
      <c r="P1281" t="str">
        <f>_xlfn.XLOOKUP(frasest[[#This Row],[author_es]],autorest[author_es],autorest[age_la])</f>
        <v>Epocha Ignota</v>
      </c>
      <c r="Q1281" t="str">
        <f>_xlfn.XLOOKUP(frasest[[#This Row],[author_es]],autorest[author_es],autorest[image])</f>
        <v>https://i.ibb.co/qLfpZm6h/china.png</v>
      </c>
      <c r="R1281">
        <f>_xlfn.XLOOKUP(frasest[[#This Row],[author_es]],autorest[author_es],autorest[image_atr])</f>
        <v>0</v>
      </c>
    </row>
    <row r="1282" spans="1:18">
      <c r="A1282">
        <v>1281</v>
      </c>
      <c r="B1282" t="s">
        <v>3959</v>
      </c>
      <c r="C1282" t="s">
        <v>3960</v>
      </c>
      <c r="D1282" s="1" t="s">
        <v>3961</v>
      </c>
      <c r="E1282" t="s">
        <v>36</v>
      </c>
      <c r="G1282" t="str">
        <f>_xlfn.XLOOKUP(frasest[[#This Row],[author_es]],autorest[author_es],autorest[author_la])</f>
        <v>Proverbium Sinense</v>
      </c>
      <c r="H1282" t="str">
        <f>_xlfn.XLOOKUP(frasest[[#This Row],[author_es]],autorest[author_es],autorest[bio_es])</f>
        <v>Conjunto de proverbios tradicionales de la cultura china que transmiten sabiduría popular, valores morales y enseñanzas prácticas transmitidas oralmente durante siglos.</v>
      </c>
      <c r="I1282" t="str">
        <f>_xlfn.XLOOKUP(frasest[[#This Row],[author_es]],autorest[author_es],autorest[bio_la])</f>
        <v>Collectio sententiarum Sinensium, magnopere in cultura tradita.</v>
      </c>
      <c r="J1282" t="str">
        <f>_xlfn.XLOOKUP(frasest[[#This Row],[author_es]],autorest[author_es],autorest[iso3691])</f>
        <v>zh</v>
      </c>
      <c r="K1282" t="str">
        <f>_xlfn.XLOOKUP(frasest[[#This Row],[author_es]],autorest[author_es],autorest[language_es])</f>
        <v>Chino</v>
      </c>
      <c r="L1282" t="str">
        <f>_xlfn.XLOOKUP(frasest[[#This Row],[author_es]],autorest[author_es],autorest[language_la])</f>
        <v>Lingua Sinica</v>
      </c>
      <c r="M1282" t="str">
        <f>_xlfn.XLOOKUP(frasest[[#This Row],[author_es]],autorest[author_es],autorest[nation_es])</f>
        <v>China</v>
      </c>
      <c r="N1282" t="str">
        <f>_xlfn.XLOOKUP(frasest[[#This Row],[author_es]],autorest[author_es],autorest[nation_la])</f>
        <v>Sinae</v>
      </c>
      <c r="O1282" t="str">
        <f>_xlfn.XLOOKUP(frasest[[#This Row],[author_es]],autorest[author_es],autorest[age_es])</f>
        <v>Epoca Desconocida</v>
      </c>
      <c r="P1282" t="str">
        <f>_xlfn.XLOOKUP(frasest[[#This Row],[author_es]],autorest[author_es],autorest[age_la])</f>
        <v>Epocha Ignota</v>
      </c>
      <c r="Q1282" t="str">
        <f>_xlfn.XLOOKUP(frasest[[#This Row],[author_es]],autorest[author_es],autorest[image])</f>
        <v>https://i.ibb.co/qLfpZm6h/china.png</v>
      </c>
      <c r="R1282">
        <f>_xlfn.XLOOKUP(frasest[[#This Row],[author_es]],autorest[author_es],autorest[image_atr])</f>
        <v>0</v>
      </c>
    </row>
    <row r="1283" spans="1:18">
      <c r="A1283">
        <v>1282</v>
      </c>
      <c r="B1283" t="s">
        <v>3962</v>
      </c>
      <c r="C1283" t="s">
        <v>3963</v>
      </c>
      <c r="D1283" s="1" t="s">
        <v>3964</v>
      </c>
      <c r="E1283" t="s">
        <v>36</v>
      </c>
      <c r="G1283" t="str">
        <f>_xlfn.XLOOKUP(frasest[[#This Row],[author_es]],autorest[author_es],autorest[author_la])</f>
        <v>Proverbium Sinense</v>
      </c>
      <c r="H1283" t="str">
        <f>_xlfn.XLOOKUP(frasest[[#This Row],[author_es]],autorest[author_es],autorest[bio_es])</f>
        <v>Conjunto de proverbios tradicionales de la cultura china que transmiten sabiduría popular, valores morales y enseñanzas prácticas transmitidas oralmente durante siglos.</v>
      </c>
      <c r="I1283" t="str">
        <f>_xlfn.XLOOKUP(frasest[[#This Row],[author_es]],autorest[author_es],autorest[bio_la])</f>
        <v>Collectio sententiarum Sinensium, magnopere in cultura tradita.</v>
      </c>
      <c r="J1283" t="str">
        <f>_xlfn.XLOOKUP(frasest[[#This Row],[author_es]],autorest[author_es],autorest[iso3691])</f>
        <v>zh</v>
      </c>
      <c r="K1283" t="str">
        <f>_xlfn.XLOOKUP(frasest[[#This Row],[author_es]],autorest[author_es],autorest[language_es])</f>
        <v>Chino</v>
      </c>
      <c r="L1283" t="str">
        <f>_xlfn.XLOOKUP(frasest[[#This Row],[author_es]],autorest[author_es],autorest[language_la])</f>
        <v>Lingua Sinica</v>
      </c>
      <c r="M1283" t="str">
        <f>_xlfn.XLOOKUP(frasest[[#This Row],[author_es]],autorest[author_es],autorest[nation_es])</f>
        <v>China</v>
      </c>
      <c r="N1283" t="str">
        <f>_xlfn.XLOOKUP(frasest[[#This Row],[author_es]],autorest[author_es],autorest[nation_la])</f>
        <v>Sinae</v>
      </c>
      <c r="O1283" t="str">
        <f>_xlfn.XLOOKUP(frasest[[#This Row],[author_es]],autorest[author_es],autorest[age_es])</f>
        <v>Epoca Desconocida</v>
      </c>
      <c r="P1283" t="str">
        <f>_xlfn.XLOOKUP(frasest[[#This Row],[author_es]],autorest[author_es],autorest[age_la])</f>
        <v>Epocha Ignota</v>
      </c>
      <c r="Q1283" t="str">
        <f>_xlfn.XLOOKUP(frasest[[#This Row],[author_es]],autorest[author_es],autorest[image])</f>
        <v>https://i.ibb.co/qLfpZm6h/china.png</v>
      </c>
      <c r="R1283">
        <f>_xlfn.XLOOKUP(frasest[[#This Row],[author_es]],autorest[author_es],autorest[image_atr])</f>
        <v>0</v>
      </c>
    </row>
    <row r="1284" spans="1:18">
      <c r="A1284">
        <v>1283</v>
      </c>
      <c r="B1284" t="s">
        <v>3965</v>
      </c>
      <c r="C1284" t="s">
        <v>3966</v>
      </c>
      <c r="D1284" s="1" t="s">
        <v>3967</v>
      </c>
      <c r="E1284" t="s">
        <v>36</v>
      </c>
      <c r="G1284" t="str">
        <f>_xlfn.XLOOKUP(frasest[[#This Row],[author_es]],autorest[author_es],autorest[author_la])</f>
        <v>Proverbium Sinense</v>
      </c>
      <c r="H1284" t="str">
        <f>_xlfn.XLOOKUP(frasest[[#This Row],[author_es]],autorest[author_es],autorest[bio_es])</f>
        <v>Conjunto de proverbios tradicionales de la cultura china que transmiten sabiduría popular, valores morales y enseñanzas prácticas transmitidas oralmente durante siglos.</v>
      </c>
      <c r="I1284" t="str">
        <f>_xlfn.XLOOKUP(frasest[[#This Row],[author_es]],autorest[author_es],autorest[bio_la])</f>
        <v>Collectio sententiarum Sinensium, magnopere in cultura tradita.</v>
      </c>
      <c r="J1284" t="str">
        <f>_xlfn.XLOOKUP(frasest[[#This Row],[author_es]],autorest[author_es],autorest[iso3691])</f>
        <v>zh</v>
      </c>
      <c r="K1284" t="str">
        <f>_xlfn.XLOOKUP(frasest[[#This Row],[author_es]],autorest[author_es],autorest[language_es])</f>
        <v>Chino</v>
      </c>
      <c r="L1284" t="str">
        <f>_xlfn.XLOOKUP(frasest[[#This Row],[author_es]],autorest[author_es],autorest[language_la])</f>
        <v>Lingua Sinica</v>
      </c>
      <c r="M1284" t="str">
        <f>_xlfn.XLOOKUP(frasest[[#This Row],[author_es]],autorest[author_es],autorest[nation_es])</f>
        <v>China</v>
      </c>
      <c r="N1284" t="str">
        <f>_xlfn.XLOOKUP(frasest[[#This Row],[author_es]],autorest[author_es],autorest[nation_la])</f>
        <v>Sinae</v>
      </c>
      <c r="O1284" t="str">
        <f>_xlfn.XLOOKUP(frasest[[#This Row],[author_es]],autorest[author_es],autorest[age_es])</f>
        <v>Epoca Desconocida</v>
      </c>
      <c r="P1284" t="str">
        <f>_xlfn.XLOOKUP(frasest[[#This Row],[author_es]],autorest[author_es],autorest[age_la])</f>
        <v>Epocha Ignota</v>
      </c>
      <c r="Q1284" t="str">
        <f>_xlfn.XLOOKUP(frasest[[#This Row],[author_es]],autorest[author_es],autorest[image])</f>
        <v>https://i.ibb.co/qLfpZm6h/china.png</v>
      </c>
      <c r="R1284">
        <f>_xlfn.XLOOKUP(frasest[[#This Row],[author_es]],autorest[author_es],autorest[image_atr])</f>
        <v>0</v>
      </c>
    </row>
    <row r="1285" spans="1:18">
      <c r="A1285">
        <v>1284</v>
      </c>
      <c r="B1285" t="s">
        <v>3968</v>
      </c>
      <c r="C1285" t="s">
        <v>3969</v>
      </c>
      <c r="D1285" s="1" t="s">
        <v>3970</v>
      </c>
      <c r="E1285" t="s">
        <v>36</v>
      </c>
      <c r="G1285" t="str">
        <f>_xlfn.XLOOKUP(frasest[[#This Row],[author_es]],autorest[author_es],autorest[author_la])</f>
        <v>Proverbium Sinense</v>
      </c>
      <c r="H1285" t="str">
        <f>_xlfn.XLOOKUP(frasest[[#This Row],[author_es]],autorest[author_es],autorest[bio_es])</f>
        <v>Conjunto de proverbios tradicionales de la cultura china que transmiten sabiduría popular, valores morales y enseñanzas prácticas transmitidas oralmente durante siglos.</v>
      </c>
      <c r="I1285" t="str">
        <f>_xlfn.XLOOKUP(frasest[[#This Row],[author_es]],autorest[author_es],autorest[bio_la])</f>
        <v>Collectio sententiarum Sinensium, magnopere in cultura tradita.</v>
      </c>
      <c r="J1285" t="str">
        <f>_xlfn.XLOOKUP(frasest[[#This Row],[author_es]],autorest[author_es],autorest[iso3691])</f>
        <v>zh</v>
      </c>
      <c r="K1285" t="str">
        <f>_xlfn.XLOOKUP(frasest[[#This Row],[author_es]],autorest[author_es],autorest[language_es])</f>
        <v>Chino</v>
      </c>
      <c r="L1285" t="str">
        <f>_xlfn.XLOOKUP(frasest[[#This Row],[author_es]],autorest[author_es],autorest[language_la])</f>
        <v>Lingua Sinica</v>
      </c>
      <c r="M1285" t="str">
        <f>_xlfn.XLOOKUP(frasest[[#This Row],[author_es]],autorest[author_es],autorest[nation_es])</f>
        <v>China</v>
      </c>
      <c r="N1285" t="str">
        <f>_xlfn.XLOOKUP(frasest[[#This Row],[author_es]],autorest[author_es],autorest[nation_la])</f>
        <v>Sinae</v>
      </c>
      <c r="O1285" t="str">
        <f>_xlfn.XLOOKUP(frasest[[#This Row],[author_es]],autorest[author_es],autorest[age_es])</f>
        <v>Epoca Desconocida</v>
      </c>
      <c r="P1285" t="str">
        <f>_xlfn.XLOOKUP(frasest[[#This Row],[author_es]],autorest[author_es],autorest[age_la])</f>
        <v>Epocha Ignota</v>
      </c>
      <c r="Q1285" t="str">
        <f>_xlfn.XLOOKUP(frasest[[#This Row],[author_es]],autorest[author_es],autorest[image])</f>
        <v>https://i.ibb.co/qLfpZm6h/china.png</v>
      </c>
      <c r="R1285">
        <f>_xlfn.XLOOKUP(frasest[[#This Row],[author_es]],autorest[author_es],autorest[image_atr])</f>
        <v>0</v>
      </c>
    </row>
    <row r="1286" spans="1:18">
      <c r="A1286">
        <v>1285</v>
      </c>
      <c r="B1286" t="s">
        <v>3971</v>
      </c>
      <c r="C1286" t="s">
        <v>3972</v>
      </c>
      <c r="D1286" s="1" t="s">
        <v>3391</v>
      </c>
      <c r="E1286" t="s">
        <v>36</v>
      </c>
      <c r="G1286" t="str">
        <f>_xlfn.XLOOKUP(frasest[[#This Row],[author_es]],autorest[author_es],autorest[author_la])</f>
        <v>Proverbium Sinense</v>
      </c>
      <c r="H1286" t="str">
        <f>_xlfn.XLOOKUP(frasest[[#This Row],[author_es]],autorest[author_es],autorest[bio_es])</f>
        <v>Conjunto de proverbios tradicionales de la cultura china que transmiten sabiduría popular, valores morales y enseñanzas prácticas transmitidas oralmente durante siglos.</v>
      </c>
      <c r="I1286" t="str">
        <f>_xlfn.XLOOKUP(frasest[[#This Row],[author_es]],autorest[author_es],autorest[bio_la])</f>
        <v>Collectio sententiarum Sinensium, magnopere in cultura tradita.</v>
      </c>
      <c r="J1286" t="str">
        <f>_xlfn.XLOOKUP(frasest[[#This Row],[author_es]],autorest[author_es],autorest[iso3691])</f>
        <v>zh</v>
      </c>
      <c r="K1286" t="str">
        <f>_xlfn.XLOOKUP(frasest[[#This Row],[author_es]],autorest[author_es],autorest[language_es])</f>
        <v>Chino</v>
      </c>
      <c r="L1286" t="str">
        <f>_xlfn.XLOOKUP(frasest[[#This Row],[author_es]],autorest[author_es],autorest[language_la])</f>
        <v>Lingua Sinica</v>
      </c>
      <c r="M1286" t="str">
        <f>_xlfn.XLOOKUP(frasest[[#This Row],[author_es]],autorest[author_es],autorest[nation_es])</f>
        <v>China</v>
      </c>
      <c r="N1286" t="str">
        <f>_xlfn.XLOOKUP(frasest[[#This Row],[author_es]],autorest[author_es],autorest[nation_la])</f>
        <v>Sinae</v>
      </c>
      <c r="O1286" t="str">
        <f>_xlfn.XLOOKUP(frasest[[#This Row],[author_es]],autorest[author_es],autorest[age_es])</f>
        <v>Epoca Desconocida</v>
      </c>
      <c r="P1286" t="str">
        <f>_xlfn.XLOOKUP(frasest[[#This Row],[author_es]],autorest[author_es],autorest[age_la])</f>
        <v>Epocha Ignota</v>
      </c>
      <c r="Q1286" t="str">
        <f>_xlfn.XLOOKUP(frasest[[#This Row],[author_es]],autorest[author_es],autorest[image])</f>
        <v>https://i.ibb.co/qLfpZm6h/china.png</v>
      </c>
      <c r="R1286">
        <f>_xlfn.XLOOKUP(frasest[[#This Row],[author_es]],autorest[author_es],autorest[image_atr])</f>
        <v>0</v>
      </c>
    </row>
    <row r="1287" spans="1:18">
      <c r="A1287">
        <v>1286</v>
      </c>
      <c r="B1287" t="s">
        <v>3973</v>
      </c>
      <c r="C1287" t="s">
        <v>3974</v>
      </c>
      <c r="D1287" s="1" t="s">
        <v>3975</v>
      </c>
      <c r="E1287" t="s">
        <v>36</v>
      </c>
      <c r="G1287" t="str">
        <f>_xlfn.XLOOKUP(frasest[[#This Row],[author_es]],autorest[author_es],autorest[author_la])</f>
        <v>Proverbium Sinense</v>
      </c>
      <c r="H1287" t="str">
        <f>_xlfn.XLOOKUP(frasest[[#This Row],[author_es]],autorest[author_es],autorest[bio_es])</f>
        <v>Conjunto de proverbios tradicionales de la cultura china que transmiten sabiduría popular, valores morales y enseñanzas prácticas transmitidas oralmente durante siglos.</v>
      </c>
      <c r="I1287" t="str">
        <f>_xlfn.XLOOKUP(frasest[[#This Row],[author_es]],autorest[author_es],autorest[bio_la])</f>
        <v>Collectio sententiarum Sinensium, magnopere in cultura tradita.</v>
      </c>
      <c r="J1287" t="str">
        <f>_xlfn.XLOOKUP(frasest[[#This Row],[author_es]],autorest[author_es],autorest[iso3691])</f>
        <v>zh</v>
      </c>
      <c r="K1287" t="str">
        <f>_xlfn.XLOOKUP(frasest[[#This Row],[author_es]],autorest[author_es],autorest[language_es])</f>
        <v>Chino</v>
      </c>
      <c r="L1287" t="str">
        <f>_xlfn.XLOOKUP(frasest[[#This Row],[author_es]],autorest[author_es],autorest[language_la])</f>
        <v>Lingua Sinica</v>
      </c>
      <c r="M1287" t="str">
        <f>_xlfn.XLOOKUP(frasest[[#This Row],[author_es]],autorest[author_es],autorest[nation_es])</f>
        <v>China</v>
      </c>
      <c r="N1287" t="str">
        <f>_xlfn.XLOOKUP(frasest[[#This Row],[author_es]],autorest[author_es],autorest[nation_la])</f>
        <v>Sinae</v>
      </c>
      <c r="O1287" t="str">
        <f>_xlfn.XLOOKUP(frasest[[#This Row],[author_es]],autorest[author_es],autorest[age_es])</f>
        <v>Epoca Desconocida</v>
      </c>
      <c r="P1287" t="str">
        <f>_xlfn.XLOOKUP(frasest[[#This Row],[author_es]],autorest[author_es],autorest[age_la])</f>
        <v>Epocha Ignota</v>
      </c>
      <c r="Q1287" t="str">
        <f>_xlfn.XLOOKUP(frasest[[#This Row],[author_es]],autorest[author_es],autorest[image])</f>
        <v>https://i.ibb.co/qLfpZm6h/china.png</v>
      </c>
      <c r="R1287">
        <f>_xlfn.XLOOKUP(frasest[[#This Row],[author_es]],autorest[author_es],autorest[image_atr])</f>
        <v>0</v>
      </c>
    </row>
    <row r="1288" spans="1:18">
      <c r="A1288">
        <v>1287</v>
      </c>
      <c r="B1288" t="s">
        <v>3976</v>
      </c>
      <c r="C1288" t="s">
        <v>3977</v>
      </c>
      <c r="D1288" s="1" t="s">
        <v>3978</v>
      </c>
      <c r="E1288" t="s">
        <v>36</v>
      </c>
      <c r="G1288" t="str">
        <f>_xlfn.XLOOKUP(frasest[[#This Row],[author_es]],autorest[author_es],autorest[author_la])</f>
        <v>Proverbium Sinense</v>
      </c>
      <c r="H1288" t="str">
        <f>_xlfn.XLOOKUP(frasest[[#This Row],[author_es]],autorest[author_es],autorest[bio_es])</f>
        <v>Conjunto de proverbios tradicionales de la cultura china que transmiten sabiduría popular, valores morales y enseñanzas prácticas transmitidas oralmente durante siglos.</v>
      </c>
      <c r="I1288" t="str">
        <f>_xlfn.XLOOKUP(frasest[[#This Row],[author_es]],autorest[author_es],autorest[bio_la])</f>
        <v>Collectio sententiarum Sinensium, magnopere in cultura tradita.</v>
      </c>
      <c r="J1288" t="str">
        <f>_xlfn.XLOOKUP(frasest[[#This Row],[author_es]],autorest[author_es],autorest[iso3691])</f>
        <v>zh</v>
      </c>
      <c r="K1288" t="str">
        <f>_xlfn.XLOOKUP(frasest[[#This Row],[author_es]],autorest[author_es],autorest[language_es])</f>
        <v>Chino</v>
      </c>
      <c r="L1288" t="str">
        <f>_xlfn.XLOOKUP(frasest[[#This Row],[author_es]],autorest[author_es],autorest[language_la])</f>
        <v>Lingua Sinica</v>
      </c>
      <c r="M1288" t="str">
        <f>_xlfn.XLOOKUP(frasest[[#This Row],[author_es]],autorest[author_es],autorest[nation_es])</f>
        <v>China</v>
      </c>
      <c r="N1288" t="str">
        <f>_xlfn.XLOOKUP(frasest[[#This Row],[author_es]],autorest[author_es],autorest[nation_la])</f>
        <v>Sinae</v>
      </c>
      <c r="O1288" t="str">
        <f>_xlfn.XLOOKUP(frasest[[#This Row],[author_es]],autorest[author_es],autorest[age_es])</f>
        <v>Epoca Desconocida</v>
      </c>
      <c r="P1288" t="str">
        <f>_xlfn.XLOOKUP(frasest[[#This Row],[author_es]],autorest[author_es],autorest[age_la])</f>
        <v>Epocha Ignota</v>
      </c>
      <c r="Q1288" t="str">
        <f>_xlfn.XLOOKUP(frasest[[#This Row],[author_es]],autorest[author_es],autorest[image])</f>
        <v>https://i.ibb.co/qLfpZm6h/china.png</v>
      </c>
      <c r="R1288">
        <f>_xlfn.XLOOKUP(frasest[[#This Row],[author_es]],autorest[author_es],autorest[image_atr])</f>
        <v>0</v>
      </c>
    </row>
    <row r="1289" spans="1:18">
      <c r="A1289">
        <v>1288</v>
      </c>
      <c r="B1289" t="s">
        <v>3979</v>
      </c>
      <c r="C1289" t="s">
        <v>3980</v>
      </c>
      <c r="D1289" s="1" t="s">
        <v>3367</v>
      </c>
      <c r="E1289" t="s">
        <v>36</v>
      </c>
      <c r="G1289" t="str">
        <f>_xlfn.XLOOKUP(frasest[[#This Row],[author_es]],autorest[author_es],autorest[author_la])</f>
        <v>Proverbium Sinense</v>
      </c>
      <c r="H1289" t="str">
        <f>_xlfn.XLOOKUP(frasest[[#This Row],[author_es]],autorest[author_es],autorest[bio_es])</f>
        <v>Conjunto de proverbios tradicionales de la cultura china que transmiten sabiduría popular, valores morales y enseñanzas prácticas transmitidas oralmente durante siglos.</v>
      </c>
      <c r="I1289" t="str">
        <f>_xlfn.XLOOKUP(frasest[[#This Row],[author_es]],autorest[author_es],autorest[bio_la])</f>
        <v>Collectio sententiarum Sinensium, magnopere in cultura tradita.</v>
      </c>
      <c r="J1289" t="str">
        <f>_xlfn.XLOOKUP(frasest[[#This Row],[author_es]],autorest[author_es],autorest[iso3691])</f>
        <v>zh</v>
      </c>
      <c r="K1289" t="str">
        <f>_xlfn.XLOOKUP(frasest[[#This Row],[author_es]],autorest[author_es],autorest[language_es])</f>
        <v>Chino</v>
      </c>
      <c r="L1289" t="str">
        <f>_xlfn.XLOOKUP(frasest[[#This Row],[author_es]],autorest[author_es],autorest[language_la])</f>
        <v>Lingua Sinica</v>
      </c>
      <c r="M1289" t="str">
        <f>_xlfn.XLOOKUP(frasest[[#This Row],[author_es]],autorest[author_es],autorest[nation_es])</f>
        <v>China</v>
      </c>
      <c r="N1289" t="str">
        <f>_xlfn.XLOOKUP(frasest[[#This Row],[author_es]],autorest[author_es],autorest[nation_la])</f>
        <v>Sinae</v>
      </c>
      <c r="O1289" t="str">
        <f>_xlfn.XLOOKUP(frasest[[#This Row],[author_es]],autorest[author_es],autorest[age_es])</f>
        <v>Epoca Desconocida</v>
      </c>
      <c r="P1289" t="str">
        <f>_xlfn.XLOOKUP(frasest[[#This Row],[author_es]],autorest[author_es],autorest[age_la])</f>
        <v>Epocha Ignota</v>
      </c>
      <c r="Q1289" t="str">
        <f>_xlfn.XLOOKUP(frasest[[#This Row],[author_es]],autorest[author_es],autorest[image])</f>
        <v>https://i.ibb.co/qLfpZm6h/china.png</v>
      </c>
      <c r="R1289">
        <f>_xlfn.XLOOKUP(frasest[[#This Row],[author_es]],autorest[author_es],autorest[image_atr])</f>
        <v>0</v>
      </c>
    </row>
    <row r="1290" spans="1:18">
      <c r="A1290">
        <v>1289</v>
      </c>
      <c r="B1290" t="s">
        <v>3981</v>
      </c>
      <c r="C1290" t="s">
        <v>3982</v>
      </c>
      <c r="D1290" s="1" t="s">
        <v>3983</v>
      </c>
      <c r="E1290" t="s">
        <v>36</v>
      </c>
      <c r="G1290" t="str">
        <f>_xlfn.XLOOKUP(frasest[[#This Row],[author_es]],autorest[author_es],autorest[author_la])</f>
        <v>Proverbium Sinense</v>
      </c>
      <c r="H1290" t="str">
        <f>_xlfn.XLOOKUP(frasest[[#This Row],[author_es]],autorest[author_es],autorest[bio_es])</f>
        <v>Conjunto de proverbios tradicionales de la cultura china que transmiten sabiduría popular, valores morales y enseñanzas prácticas transmitidas oralmente durante siglos.</v>
      </c>
      <c r="I1290" t="str">
        <f>_xlfn.XLOOKUP(frasest[[#This Row],[author_es]],autorest[author_es],autorest[bio_la])</f>
        <v>Collectio sententiarum Sinensium, magnopere in cultura tradita.</v>
      </c>
      <c r="J1290" t="str">
        <f>_xlfn.XLOOKUP(frasest[[#This Row],[author_es]],autorest[author_es],autorest[iso3691])</f>
        <v>zh</v>
      </c>
      <c r="K1290" t="str">
        <f>_xlfn.XLOOKUP(frasest[[#This Row],[author_es]],autorest[author_es],autorest[language_es])</f>
        <v>Chino</v>
      </c>
      <c r="L1290" t="str">
        <f>_xlfn.XLOOKUP(frasest[[#This Row],[author_es]],autorest[author_es],autorest[language_la])</f>
        <v>Lingua Sinica</v>
      </c>
      <c r="M1290" t="str">
        <f>_xlfn.XLOOKUP(frasest[[#This Row],[author_es]],autorest[author_es],autorest[nation_es])</f>
        <v>China</v>
      </c>
      <c r="N1290" t="str">
        <f>_xlfn.XLOOKUP(frasest[[#This Row],[author_es]],autorest[author_es],autorest[nation_la])</f>
        <v>Sinae</v>
      </c>
      <c r="O1290" t="str">
        <f>_xlfn.XLOOKUP(frasest[[#This Row],[author_es]],autorest[author_es],autorest[age_es])</f>
        <v>Epoca Desconocida</v>
      </c>
      <c r="P1290" t="str">
        <f>_xlfn.XLOOKUP(frasest[[#This Row],[author_es]],autorest[author_es],autorest[age_la])</f>
        <v>Epocha Ignota</v>
      </c>
      <c r="Q1290" t="str">
        <f>_xlfn.XLOOKUP(frasest[[#This Row],[author_es]],autorest[author_es],autorest[image])</f>
        <v>https://i.ibb.co/qLfpZm6h/china.png</v>
      </c>
      <c r="R1290">
        <f>_xlfn.XLOOKUP(frasest[[#This Row],[author_es]],autorest[author_es],autorest[image_atr])</f>
        <v>0</v>
      </c>
    </row>
    <row r="1291" spans="1:18">
      <c r="A1291">
        <v>1290</v>
      </c>
      <c r="B1291" t="s">
        <v>3984</v>
      </c>
      <c r="C1291" t="s">
        <v>3985</v>
      </c>
      <c r="D1291" s="1" t="s">
        <v>3986</v>
      </c>
      <c r="E1291" t="s">
        <v>36</v>
      </c>
      <c r="G1291" t="str">
        <f>_xlfn.XLOOKUP(frasest[[#This Row],[author_es]],autorest[author_es],autorest[author_la])</f>
        <v>Proverbium Sinense</v>
      </c>
      <c r="H1291" t="str">
        <f>_xlfn.XLOOKUP(frasest[[#This Row],[author_es]],autorest[author_es],autorest[bio_es])</f>
        <v>Conjunto de proverbios tradicionales de la cultura china que transmiten sabiduría popular, valores morales y enseñanzas prácticas transmitidas oralmente durante siglos.</v>
      </c>
      <c r="I1291" t="str">
        <f>_xlfn.XLOOKUP(frasest[[#This Row],[author_es]],autorest[author_es],autorest[bio_la])</f>
        <v>Collectio sententiarum Sinensium, magnopere in cultura tradita.</v>
      </c>
      <c r="J1291" t="str">
        <f>_xlfn.XLOOKUP(frasest[[#This Row],[author_es]],autorest[author_es],autorest[iso3691])</f>
        <v>zh</v>
      </c>
      <c r="K1291" t="str">
        <f>_xlfn.XLOOKUP(frasest[[#This Row],[author_es]],autorest[author_es],autorest[language_es])</f>
        <v>Chino</v>
      </c>
      <c r="L1291" t="str">
        <f>_xlfn.XLOOKUP(frasest[[#This Row],[author_es]],autorest[author_es],autorest[language_la])</f>
        <v>Lingua Sinica</v>
      </c>
      <c r="M1291" t="str">
        <f>_xlfn.XLOOKUP(frasest[[#This Row],[author_es]],autorest[author_es],autorest[nation_es])</f>
        <v>China</v>
      </c>
      <c r="N1291" t="str">
        <f>_xlfn.XLOOKUP(frasest[[#This Row],[author_es]],autorest[author_es],autorest[nation_la])</f>
        <v>Sinae</v>
      </c>
      <c r="O1291" t="str">
        <f>_xlfn.XLOOKUP(frasest[[#This Row],[author_es]],autorest[author_es],autorest[age_es])</f>
        <v>Epoca Desconocida</v>
      </c>
      <c r="P1291" t="str">
        <f>_xlfn.XLOOKUP(frasest[[#This Row],[author_es]],autorest[author_es],autorest[age_la])</f>
        <v>Epocha Ignota</v>
      </c>
      <c r="Q1291" t="str">
        <f>_xlfn.XLOOKUP(frasest[[#This Row],[author_es]],autorest[author_es],autorest[image])</f>
        <v>https://i.ibb.co/qLfpZm6h/china.png</v>
      </c>
      <c r="R1291">
        <f>_xlfn.XLOOKUP(frasest[[#This Row],[author_es]],autorest[author_es],autorest[image_atr])</f>
        <v>0</v>
      </c>
    </row>
    <row r="1292" spans="1:18">
      <c r="A1292">
        <v>1291</v>
      </c>
      <c r="B1292" t="s">
        <v>3987</v>
      </c>
      <c r="C1292" t="s">
        <v>3988</v>
      </c>
      <c r="D1292" s="1" t="s">
        <v>3989</v>
      </c>
      <c r="E1292" t="s">
        <v>36</v>
      </c>
      <c r="G1292" t="str">
        <f>_xlfn.XLOOKUP(frasest[[#This Row],[author_es]],autorest[author_es],autorest[author_la])</f>
        <v>Proverbium Sinense</v>
      </c>
      <c r="H1292" t="str">
        <f>_xlfn.XLOOKUP(frasest[[#This Row],[author_es]],autorest[author_es],autorest[bio_es])</f>
        <v>Conjunto de proverbios tradicionales de la cultura china que transmiten sabiduría popular, valores morales y enseñanzas prácticas transmitidas oralmente durante siglos.</v>
      </c>
      <c r="I1292" t="str">
        <f>_xlfn.XLOOKUP(frasest[[#This Row],[author_es]],autorest[author_es],autorest[bio_la])</f>
        <v>Collectio sententiarum Sinensium, magnopere in cultura tradita.</v>
      </c>
      <c r="J1292" t="str">
        <f>_xlfn.XLOOKUP(frasest[[#This Row],[author_es]],autorest[author_es],autorest[iso3691])</f>
        <v>zh</v>
      </c>
      <c r="K1292" t="str">
        <f>_xlfn.XLOOKUP(frasest[[#This Row],[author_es]],autorest[author_es],autorest[language_es])</f>
        <v>Chino</v>
      </c>
      <c r="L1292" t="str">
        <f>_xlfn.XLOOKUP(frasest[[#This Row],[author_es]],autorest[author_es],autorest[language_la])</f>
        <v>Lingua Sinica</v>
      </c>
      <c r="M1292" t="str">
        <f>_xlfn.XLOOKUP(frasest[[#This Row],[author_es]],autorest[author_es],autorest[nation_es])</f>
        <v>China</v>
      </c>
      <c r="N1292" t="str">
        <f>_xlfn.XLOOKUP(frasest[[#This Row],[author_es]],autorest[author_es],autorest[nation_la])</f>
        <v>Sinae</v>
      </c>
      <c r="O1292" t="str">
        <f>_xlfn.XLOOKUP(frasest[[#This Row],[author_es]],autorest[author_es],autorest[age_es])</f>
        <v>Epoca Desconocida</v>
      </c>
      <c r="P1292" t="str">
        <f>_xlfn.XLOOKUP(frasest[[#This Row],[author_es]],autorest[author_es],autorest[age_la])</f>
        <v>Epocha Ignota</v>
      </c>
      <c r="Q1292" t="str">
        <f>_xlfn.XLOOKUP(frasest[[#This Row],[author_es]],autorest[author_es],autorest[image])</f>
        <v>https://i.ibb.co/qLfpZm6h/china.png</v>
      </c>
      <c r="R1292">
        <f>_xlfn.XLOOKUP(frasest[[#This Row],[author_es]],autorest[author_es],autorest[image_atr])</f>
        <v>0</v>
      </c>
    </row>
    <row r="1293" spans="1:18">
      <c r="A1293">
        <v>1292</v>
      </c>
      <c r="B1293" t="s">
        <v>3990</v>
      </c>
      <c r="C1293" t="s">
        <v>3991</v>
      </c>
      <c r="D1293" s="1" t="s">
        <v>3992</v>
      </c>
      <c r="E1293" t="s">
        <v>36</v>
      </c>
      <c r="G1293" t="str">
        <f>_xlfn.XLOOKUP(frasest[[#This Row],[author_es]],autorest[author_es],autorest[author_la])</f>
        <v>Proverbium Sinense</v>
      </c>
      <c r="H1293" t="str">
        <f>_xlfn.XLOOKUP(frasest[[#This Row],[author_es]],autorest[author_es],autorest[bio_es])</f>
        <v>Conjunto de proverbios tradicionales de la cultura china que transmiten sabiduría popular, valores morales y enseñanzas prácticas transmitidas oralmente durante siglos.</v>
      </c>
      <c r="I1293" t="str">
        <f>_xlfn.XLOOKUP(frasest[[#This Row],[author_es]],autorest[author_es],autorest[bio_la])</f>
        <v>Collectio sententiarum Sinensium, magnopere in cultura tradita.</v>
      </c>
      <c r="J1293" t="str">
        <f>_xlfn.XLOOKUP(frasest[[#This Row],[author_es]],autorest[author_es],autorest[iso3691])</f>
        <v>zh</v>
      </c>
      <c r="K1293" t="str">
        <f>_xlfn.XLOOKUP(frasest[[#This Row],[author_es]],autorest[author_es],autorest[language_es])</f>
        <v>Chino</v>
      </c>
      <c r="L1293" t="str">
        <f>_xlfn.XLOOKUP(frasest[[#This Row],[author_es]],autorest[author_es],autorest[language_la])</f>
        <v>Lingua Sinica</v>
      </c>
      <c r="M1293" t="str">
        <f>_xlfn.XLOOKUP(frasest[[#This Row],[author_es]],autorest[author_es],autorest[nation_es])</f>
        <v>China</v>
      </c>
      <c r="N1293" t="str">
        <f>_xlfn.XLOOKUP(frasest[[#This Row],[author_es]],autorest[author_es],autorest[nation_la])</f>
        <v>Sinae</v>
      </c>
      <c r="O1293" t="str">
        <f>_xlfn.XLOOKUP(frasest[[#This Row],[author_es]],autorest[author_es],autorest[age_es])</f>
        <v>Epoca Desconocida</v>
      </c>
      <c r="P1293" t="str">
        <f>_xlfn.XLOOKUP(frasest[[#This Row],[author_es]],autorest[author_es],autorest[age_la])</f>
        <v>Epocha Ignota</v>
      </c>
      <c r="Q1293" t="str">
        <f>_xlfn.XLOOKUP(frasest[[#This Row],[author_es]],autorest[author_es],autorest[image])</f>
        <v>https://i.ibb.co/qLfpZm6h/china.png</v>
      </c>
      <c r="R1293">
        <f>_xlfn.XLOOKUP(frasest[[#This Row],[author_es]],autorest[author_es],autorest[image_atr])</f>
        <v>0</v>
      </c>
    </row>
    <row r="1294" spans="1:18">
      <c r="A1294">
        <v>1293</v>
      </c>
      <c r="B1294" t="s">
        <v>3993</v>
      </c>
      <c r="C1294" t="s">
        <v>3994</v>
      </c>
      <c r="D1294" s="1" t="s">
        <v>3995</v>
      </c>
      <c r="E1294" t="s">
        <v>36</v>
      </c>
      <c r="G1294" t="str">
        <f>_xlfn.XLOOKUP(frasest[[#This Row],[author_es]],autorest[author_es],autorest[author_la])</f>
        <v>Proverbium Sinense</v>
      </c>
      <c r="H1294" t="str">
        <f>_xlfn.XLOOKUP(frasest[[#This Row],[author_es]],autorest[author_es],autorest[bio_es])</f>
        <v>Conjunto de proverbios tradicionales de la cultura china que transmiten sabiduría popular, valores morales y enseñanzas prácticas transmitidas oralmente durante siglos.</v>
      </c>
      <c r="I1294" t="str">
        <f>_xlfn.XLOOKUP(frasest[[#This Row],[author_es]],autorest[author_es],autorest[bio_la])</f>
        <v>Collectio sententiarum Sinensium, magnopere in cultura tradita.</v>
      </c>
      <c r="J1294" t="str">
        <f>_xlfn.XLOOKUP(frasest[[#This Row],[author_es]],autorest[author_es],autorest[iso3691])</f>
        <v>zh</v>
      </c>
      <c r="K1294" t="str">
        <f>_xlfn.XLOOKUP(frasest[[#This Row],[author_es]],autorest[author_es],autorest[language_es])</f>
        <v>Chino</v>
      </c>
      <c r="L1294" t="str">
        <f>_xlfn.XLOOKUP(frasest[[#This Row],[author_es]],autorest[author_es],autorest[language_la])</f>
        <v>Lingua Sinica</v>
      </c>
      <c r="M1294" t="str">
        <f>_xlfn.XLOOKUP(frasest[[#This Row],[author_es]],autorest[author_es],autorest[nation_es])</f>
        <v>China</v>
      </c>
      <c r="N1294" t="str">
        <f>_xlfn.XLOOKUP(frasest[[#This Row],[author_es]],autorest[author_es],autorest[nation_la])</f>
        <v>Sinae</v>
      </c>
      <c r="O1294" t="str">
        <f>_xlfn.XLOOKUP(frasest[[#This Row],[author_es]],autorest[author_es],autorest[age_es])</f>
        <v>Epoca Desconocida</v>
      </c>
      <c r="P1294" t="str">
        <f>_xlfn.XLOOKUP(frasest[[#This Row],[author_es]],autorest[author_es],autorest[age_la])</f>
        <v>Epocha Ignota</v>
      </c>
      <c r="Q1294" t="str">
        <f>_xlfn.XLOOKUP(frasest[[#This Row],[author_es]],autorest[author_es],autorest[image])</f>
        <v>https://i.ibb.co/qLfpZm6h/china.png</v>
      </c>
      <c r="R1294">
        <f>_xlfn.XLOOKUP(frasest[[#This Row],[author_es]],autorest[author_es],autorest[image_atr])</f>
        <v>0</v>
      </c>
    </row>
    <row r="1295" spans="1:18">
      <c r="A1295">
        <v>1294</v>
      </c>
      <c r="B1295" t="s">
        <v>3996</v>
      </c>
      <c r="C1295" t="s">
        <v>3997</v>
      </c>
      <c r="D1295" s="1" t="s">
        <v>3998</v>
      </c>
      <c r="E1295" t="s">
        <v>36</v>
      </c>
      <c r="G1295" t="str">
        <f>_xlfn.XLOOKUP(frasest[[#This Row],[author_es]],autorest[author_es],autorest[author_la])</f>
        <v>Proverbium Sinense</v>
      </c>
      <c r="H1295" t="str">
        <f>_xlfn.XLOOKUP(frasest[[#This Row],[author_es]],autorest[author_es],autorest[bio_es])</f>
        <v>Conjunto de proverbios tradicionales de la cultura china que transmiten sabiduría popular, valores morales y enseñanzas prácticas transmitidas oralmente durante siglos.</v>
      </c>
      <c r="I1295" t="str">
        <f>_xlfn.XLOOKUP(frasest[[#This Row],[author_es]],autorest[author_es],autorest[bio_la])</f>
        <v>Collectio sententiarum Sinensium, magnopere in cultura tradita.</v>
      </c>
      <c r="J1295" t="str">
        <f>_xlfn.XLOOKUP(frasest[[#This Row],[author_es]],autorest[author_es],autorest[iso3691])</f>
        <v>zh</v>
      </c>
      <c r="K1295" t="str">
        <f>_xlfn.XLOOKUP(frasest[[#This Row],[author_es]],autorest[author_es],autorest[language_es])</f>
        <v>Chino</v>
      </c>
      <c r="L1295" t="str">
        <f>_xlfn.XLOOKUP(frasest[[#This Row],[author_es]],autorest[author_es],autorest[language_la])</f>
        <v>Lingua Sinica</v>
      </c>
      <c r="M1295" t="str">
        <f>_xlfn.XLOOKUP(frasest[[#This Row],[author_es]],autorest[author_es],autorest[nation_es])</f>
        <v>China</v>
      </c>
      <c r="N1295" t="str">
        <f>_xlfn.XLOOKUP(frasest[[#This Row],[author_es]],autorest[author_es],autorest[nation_la])</f>
        <v>Sinae</v>
      </c>
      <c r="O1295" t="str">
        <f>_xlfn.XLOOKUP(frasest[[#This Row],[author_es]],autorest[author_es],autorest[age_es])</f>
        <v>Epoca Desconocida</v>
      </c>
      <c r="P1295" t="str">
        <f>_xlfn.XLOOKUP(frasest[[#This Row],[author_es]],autorest[author_es],autorest[age_la])</f>
        <v>Epocha Ignota</v>
      </c>
      <c r="Q1295" t="str">
        <f>_xlfn.XLOOKUP(frasest[[#This Row],[author_es]],autorest[author_es],autorest[image])</f>
        <v>https://i.ibb.co/qLfpZm6h/china.png</v>
      </c>
      <c r="R1295">
        <f>_xlfn.XLOOKUP(frasest[[#This Row],[author_es]],autorest[author_es],autorest[image_atr])</f>
        <v>0</v>
      </c>
    </row>
    <row r="1296" spans="1:18">
      <c r="A1296">
        <v>1295</v>
      </c>
      <c r="B1296" t="s">
        <v>3999</v>
      </c>
      <c r="C1296" t="s">
        <v>4000</v>
      </c>
      <c r="D1296" s="1" t="s">
        <v>4001</v>
      </c>
      <c r="E1296" t="s">
        <v>36</v>
      </c>
      <c r="G1296" t="str">
        <f>_xlfn.XLOOKUP(frasest[[#This Row],[author_es]],autorest[author_es],autorest[author_la])</f>
        <v>Proverbium Sinense</v>
      </c>
      <c r="H1296" t="str">
        <f>_xlfn.XLOOKUP(frasest[[#This Row],[author_es]],autorest[author_es],autorest[bio_es])</f>
        <v>Conjunto de proverbios tradicionales de la cultura china que transmiten sabiduría popular, valores morales y enseñanzas prácticas transmitidas oralmente durante siglos.</v>
      </c>
      <c r="I1296" t="str">
        <f>_xlfn.XLOOKUP(frasest[[#This Row],[author_es]],autorest[author_es],autorest[bio_la])</f>
        <v>Collectio sententiarum Sinensium, magnopere in cultura tradita.</v>
      </c>
      <c r="J1296" t="str">
        <f>_xlfn.XLOOKUP(frasest[[#This Row],[author_es]],autorest[author_es],autorest[iso3691])</f>
        <v>zh</v>
      </c>
      <c r="K1296" t="str">
        <f>_xlfn.XLOOKUP(frasest[[#This Row],[author_es]],autorest[author_es],autorest[language_es])</f>
        <v>Chino</v>
      </c>
      <c r="L1296" t="str">
        <f>_xlfn.XLOOKUP(frasest[[#This Row],[author_es]],autorest[author_es],autorest[language_la])</f>
        <v>Lingua Sinica</v>
      </c>
      <c r="M1296" t="str">
        <f>_xlfn.XLOOKUP(frasest[[#This Row],[author_es]],autorest[author_es],autorest[nation_es])</f>
        <v>China</v>
      </c>
      <c r="N1296" t="str">
        <f>_xlfn.XLOOKUP(frasest[[#This Row],[author_es]],autorest[author_es],autorest[nation_la])</f>
        <v>Sinae</v>
      </c>
      <c r="O1296" t="str">
        <f>_xlfn.XLOOKUP(frasest[[#This Row],[author_es]],autorest[author_es],autorest[age_es])</f>
        <v>Epoca Desconocida</v>
      </c>
      <c r="P1296" t="str">
        <f>_xlfn.XLOOKUP(frasest[[#This Row],[author_es]],autorest[author_es],autorest[age_la])</f>
        <v>Epocha Ignota</v>
      </c>
      <c r="Q1296" t="str">
        <f>_xlfn.XLOOKUP(frasest[[#This Row],[author_es]],autorest[author_es],autorest[image])</f>
        <v>https://i.ibb.co/qLfpZm6h/china.png</v>
      </c>
      <c r="R1296">
        <f>_xlfn.XLOOKUP(frasest[[#This Row],[author_es]],autorest[author_es],autorest[image_atr])</f>
        <v>0</v>
      </c>
    </row>
    <row r="1297" spans="1:18">
      <c r="A1297">
        <v>1296</v>
      </c>
      <c r="B1297" t="s">
        <v>4002</v>
      </c>
      <c r="C1297" t="s">
        <v>4003</v>
      </c>
      <c r="D1297" s="1" t="s">
        <v>4004</v>
      </c>
      <c r="E1297" t="s">
        <v>36</v>
      </c>
      <c r="G1297" t="str">
        <f>_xlfn.XLOOKUP(frasest[[#This Row],[author_es]],autorest[author_es],autorest[author_la])</f>
        <v>Proverbium Sinense</v>
      </c>
      <c r="H1297" t="str">
        <f>_xlfn.XLOOKUP(frasest[[#This Row],[author_es]],autorest[author_es],autorest[bio_es])</f>
        <v>Conjunto de proverbios tradicionales de la cultura china que transmiten sabiduría popular, valores morales y enseñanzas prácticas transmitidas oralmente durante siglos.</v>
      </c>
      <c r="I1297" t="str">
        <f>_xlfn.XLOOKUP(frasest[[#This Row],[author_es]],autorest[author_es],autorest[bio_la])</f>
        <v>Collectio sententiarum Sinensium, magnopere in cultura tradita.</v>
      </c>
      <c r="J1297" t="str">
        <f>_xlfn.XLOOKUP(frasest[[#This Row],[author_es]],autorest[author_es],autorest[iso3691])</f>
        <v>zh</v>
      </c>
      <c r="K1297" t="str">
        <f>_xlfn.XLOOKUP(frasest[[#This Row],[author_es]],autorest[author_es],autorest[language_es])</f>
        <v>Chino</v>
      </c>
      <c r="L1297" t="str">
        <f>_xlfn.XLOOKUP(frasest[[#This Row],[author_es]],autorest[author_es],autorest[language_la])</f>
        <v>Lingua Sinica</v>
      </c>
      <c r="M1297" t="str">
        <f>_xlfn.XLOOKUP(frasest[[#This Row],[author_es]],autorest[author_es],autorest[nation_es])</f>
        <v>China</v>
      </c>
      <c r="N1297" t="str">
        <f>_xlfn.XLOOKUP(frasest[[#This Row],[author_es]],autorest[author_es],autorest[nation_la])</f>
        <v>Sinae</v>
      </c>
      <c r="O1297" t="str">
        <f>_xlfn.XLOOKUP(frasest[[#This Row],[author_es]],autorest[author_es],autorest[age_es])</f>
        <v>Epoca Desconocida</v>
      </c>
      <c r="P1297" t="str">
        <f>_xlfn.XLOOKUP(frasest[[#This Row],[author_es]],autorest[author_es],autorest[age_la])</f>
        <v>Epocha Ignota</v>
      </c>
      <c r="Q1297" t="str">
        <f>_xlfn.XLOOKUP(frasest[[#This Row],[author_es]],autorest[author_es],autorest[image])</f>
        <v>https://i.ibb.co/qLfpZm6h/china.png</v>
      </c>
      <c r="R1297">
        <f>_xlfn.XLOOKUP(frasest[[#This Row],[author_es]],autorest[author_es],autorest[image_atr])</f>
        <v>0</v>
      </c>
    </row>
    <row r="1298" spans="1:18">
      <c r="A1298">
        <v>1297</v>
      </c>
      <c r="B1298" t="s">
        <v>4005</v>
      </c>
      <c r="C1298" t="s">
        <v>4006</v>
      </c>
      <c r="D1298" s="1" t="s">
        <v>4007</v>
      </c>
      <c r="E1298" t="s">
        <v>36</v>
      </c>
      <c r="G1298" t="str">
        <f>_xlfn.XLOOKUP(frasest[[#This Row],[author_es]],autorest[author_es],autorest[author_la])</f>
        <v>Proverbium Sinense</v>
      </c>
      <c r="H1298" t="str">
        <f>_xlfn.XLOOKUP(frasest[[#This Row],[author_es]],autorest[author_es],autorest[bio_es])</f>
        <v>Conjunto de proverbios tradicionales de la cultura china que transmiten sabiduría popular, valores morales y enseñanzas prácticas transmitidas oralmente durante siglos.</v>
      </c>
      <c r="I1298" t="str">
        <f>_xlfn.XLOOKUP(frasest[[#This Row],[author_es]],autorest[author_es],autorest[bio_la])</f>
        <v>Collectio sententiarum Sinensium, magnopere in cultura tradita.</v>
      </c>
      <c r="J1298" t="str">
        <f>_xlfn.XLOOKUP(frasest[[#This Row],[author_es]],autorest[author_es],autorest[iso3691])</f>
        <v>zh</v>
      </c>
      <c r="K1298" t="str">
        <f>_xlfn.XLOOKUP(frasest[[#This Row],[author_es]],autorest[author_es],autorest[language_es])</f>
        <v>Chino</v>
      </c>
      <c r="L1298" t="str">
        <f>_xlfn.XLOOKUP(frasest[[#This Row],[author_es]],autorest[author_es],autorest[language_la])</f>
        <v>Lingua Sinica</v>
      </c>
      <c r="M1298" t="str">
        <f>_xlfn.XLOOKUP(frasest[[#This Row],[author_es]],autorest[author_es],autorest[nation_es])</f>
        <v>China</v>
      </c>
      <c r="N1298" t="str">
        <f>_xlfn.XLOOKUP(frasest[[#This Row],[author_es]],autorest[author_es],autorest[nation_la])</f>
        <v>Sinae</v>
      </c>
      <c r="O1298" t="str">
        <f>_xlfn.XLOOKUP(frasest[[#This Row],[author_es]],autorest[author_es],autorest[age_es])</f>
        <v>Epoca Desconocida</v>
      </c>
      <c r="P1298" t="str">
        <f>_xlfn.XLOOKUP(frasest[[#This Row],[author_es]],autorest[author_es],autorest[age_la])</f>
        <v>Epocha Ignota</v>
      </c>
      <c r="Q1298" t="str">
        <f>_xlfn.XLOOKUP(frasest[[#This Row],[author_es]],autorest[author_es],autorest[image])</f>
        <v>https://i.ibb.co/qLfpZm6h/china.png</v>
      </c>
      <c r="R1298">
        <f>_xlfn.XLOOKUP(frasest[[#This Row],[author_es]],autorest[author_es],autorest[image_atr])</f>
        <v>0</v>
      </c>
    </row>
    <row r="1299" spans="1:18">
      <c r="A1299">
        <v>1298</v>
      </c>
      <c r="B1299" t="s">
        <v>4008</v>
      </c>
      <c r="C1299" t="s">
        <v>4009</v>
      </c>
      <c r="D1299" s="1" t="s">
        <v>4010</v>
      </c>
      <c r="E1299" t="s">
        <v>36</v>
      </c>
      <c r="G1299" t="str">
        <f>_xlfn.XLOOKUP(frasest[[#This Row],[author_es]],autorest[author_es],autorest[author_la])</f>
        <v>Proverbium Sinense</v>
      </c>
      <c r="H1299" t="str">
        <f>_xlfn.XLOOKUP(frasest[[#This Row],[author_es]],autorest[author_es],autorest[bio_es])</f>
        <v>Conjunto de proverbios tradicionales de la cultura china que transmiten sabiduría popular, valores morales y enseñanzas prácticas transmitidas oralmente durante siglos.</v>
      </c>
      <c r="I1299" t="str">
        <f>_xlfn.XLOOKUP(frasest[[#This Row],[author_es]],autorest[author_es],autorest[bio_la])</f>
        <v>Collectio sententiarum Sinensium, magnopere in cultura tradita.</v>
      </c>
      <c r="J1299" t="str">
        <f>_xlfn.XLOOKUP(frasest[[#This Row],[author_es]],autorest[author_es],autorest[iso3691])</f>
        <v>zh</v>
      </c>
      <c r="K1299" t="str">
        <f>_xlfn.XLOOKUP(frasest[[#This Row],[author_es]],autorest[author_es],autorest[language_es])</f>
        <v>Chino</v>
      </c>
      <c r="L1299" t="str">
        <f>_xlfn.XLOOKUP(frasest[[#This Row],[author_es]],autorest[author_es],autorest[language_la])</f>
        <v>Lingua Sinica</v>
      </c>
      <c r="M1299" t="str">
        <f>_xlfn.XLOOKUP(frasest[[#This Row],[author_es]],autorest[author_es],autorest[nation_es])</f>
        <v>China</v>
      </c>
      <c r="N1299" t="str">
        <f>_xlfn.XLOOKUP(frasest[[#This Row],[author_es]],autorest[author_es],autorest[nation_la])</f>
        <v>Sinae</v>
      </c>
      <c r="O1299" t="str">
        <f>_xlfn.XLOOKUP(frasest[[#This Row],[author_es]],autorest[author_es],autorest[age_es])</f>
        <v>Epoca Desconocida</v>
      </c>
      <c r="P1299" t="str">
        <f>_xlfn.XLOOKUP(frasest[[#This Row],[author_es]],autorest[author_es],autorest[age_la])</f>
        <v>Epocha Ignota</v>
      </c>
      <c r="Q1299" t="str">
        <f>_xlfn.XLOOKUP(frasest[[#This Row],[author_es]],autorest[author_es],autorest[image])</f>
        <v>https://i.ibb.co/qLfpZm6h/china.png</v>
      </c>
      <c r="R1299">
        <f>_xlfn.XLOOKUP(frasest[[#This Row],[author_es]],autorest[author_es],autorest[image_atr])</f>
        <v>0</v>
      </c>
    </row>
    <row r="1300" spans="1:18">
      <c r="A1300">
        <v>1299</v>
      </c>
      <c r="B1300" t="s">
        <v>4011</v>
      </c>
      <c r="C1300" t="s">
        <v>4012</v>
      </c>
      <c r="D1300" s="1" t="s">
        <v>4013</v>
      </c>
      <c r="E1300" t="s">
        <v>36</v>
      </c>
      <c r="G1300" t="str">
        <f>_xlfn.XLOOKUP(frasest[[#This Row],[author_es]],autorest[author_es],autorest[author_la])</f>
        <v>Proverbium Sinense</v>
      </c>
      <c r="H1300" t="str">
        <f>_xlfn.XLOOKUP(frasest[[#This Row],[author_es]],autorest[author_es],autorest[bio_es])</f>
        <v>Conjunto de proverbios tradicionales de la cultura china que transmiten sabiduría popular, valores morales y enseñanzas prácticas transmitidas oralmente durante siglos.</v>
      </c>
      <c r="I1300" t="str">
        <f>_xlfn.XLOOKUP(frasest[[#This Row],[author_es]],autorest[author_es],autorest[bio_la])</f>
        <v>Collectio sententiarum Sinensium, magnopere in cultura tradita.</v>
      </c>
      <c r="J1300" t="str">
        <f>_xlfn.XLOOKUP(frasest[[#This Row],[author_es]],autorest[author_es],autorest[iso3691])</f>
        <v>zh</v>
      </c>
      <c r="K1300" t="str">
        <f>_xlfn.XLOOKUP(frasest[[#This Row],[author_es]],autorest[author_es],autorest[language_es])</f>
        <v>Chino</v>
      </c>
      <c r="L1300" t="str">
        <f>_xlfn.XLOOKUP(frasest[[#This Row],[author_es]],autorest[author_es],autorest[language_la])</f>
        <v>Lingua Sinica</v>
      </c>
      <c r="M1300" t="str">
        <f>_xlfn.XLOOKUP(frasest[[#This Row],[author_es]],autorest[author_es],autorest[nation_es])</f>
        <v>China</v>
      </c>
      <c r="N1300" t="str">
        <f>_xlfn.XLOOKUP(frasest[[#This Row],[author_es]],autorest[author_es],autorest[nation_la])</f>
        <v>Sinae</v>
      </c>
      <c r="O1300" t="str">
        <f>_xlfn.XLOOKUP(frasest[[#This Row],[author_es]],autorest[author_es],autorest[age_es])</f>
        <v>Epoca Desconocida</v>
      </c>
      <c r="P1300" t="str">
        <f>_xlfn.XLOOKUP(frasest[[#This Row],[author_es]],autorest[author_es],autorest[age_la])</f>
        <v>Epocha Ignota</v>
      </c>
      <c r="Q1300" t="str">
        <f>_xlfn.XLOOKUP(frasest[[#This Row],[author_es]],autorest[author_es],autorest[image])</f>
        <v>https://i.ibb.co/qLfpZm6h/china.png</v>
      </c>
      <c r="R1300">
        <f>_xlfn.XLOOKUP(frasest[[#This Row],[author_es]],autorest[author_es],autorest[image_atr])</f>
        <v>0</v>
      </c>
    </row>
    <row r="1301" spans="1:18">
      <c r="A1301">
        <v>1300</v>
      </c>
      <c r="B1301" t="s">
        <v>4014</v>
      </c>
      <c r="C1301" t="s">
        <v>4015</v>
      </c>
      <c r="D1301" s="1" t="s">
        <v>4016</v>
      </c>
      <c r="E1301" t="s">
        <v>36</v>
      </c>
      <c r="G1301" t="str">
        <f>_xlfn.XLOOKUP(frasest[[#This Row],[author_es]],autorest[author_es],autorest[author_la])</f>
        <v>Proverbium Sinense</v>
      </c>
      <c r="H1301" t="str">
        <f>_xlfn.XLOOKUP(frasest[[#This Row],[author_es]],autorest[author_es],autorest[bio_es])</f>
        <v>Conjunto de proverbios tradicionales de la cultura china que transmiten sabiduría popular, valores morales y enseñanzas prácticas transmitidas oralmente durante siglos.</v>
      </c>
      <c r="I1301" t="str">
        <f>_xlfn.XLOOKUP(frasest[[#This Row],[author_es]],autorest[author_es],autorest[bio_la])</f>
        <v>Collectio sententiarum Sinensium, magnopere in cultura tradita.</v>
      </c>
      <c r="J1301" t="str">
        <f>_xlfn.XLOOKUP(frasest[[#This Row],[author_es]],autorest[author_es],autorest[iso3691])</f>
        <v>zh</v>
      </c>
      <c r="K1301" t="str">
        <f>_xlfn.XLOOKUP(frasest[[#This Row],[author_es]],autorest[author_es],autorest[language_es])</f>
        <v>Chino</v>
      </c>
      <c r="L1301" t="str">
        <f>_xlfn.XLOOKUP(frasest[[#This Row],[author_es]],autorest[author_es],autorest[language_la])</f>
        <v>Lingua Sinica</v>
      </c>
      <c r="M1301" t="str">
        <f>_xlfn.XLOOKUP(frasest[[#This Row],[author_es]],autorest[author_es],autorest[nation_es])</f>
        <v>China</v>
      </c>
      <c r="N1301" t="str">
        <f>_xlfn.XLOOKUP(frasest[[#This Row],[author_es]],autorest[author_es],autorest[nation_la])</f>
        <v>Sinae</v>
      </c>
      <c r="O1301" t="str">
        <f>_xlfn.XLOOKUP(frasest[[#This Row],[author_es]],autorest[author_es],autorest[age_es])</f>
        <v>Epoca Desconocida</v>
      </c>
      <c r="P1301" t="str">
        <f>_xlfn.XLOOKUP(frasest[[#This Row],[author_es]],autorest[author_es],autorest[age_la])</f>
        <v>Epocha Ignota</v>
      </c>
      <c r="Q1301" t="str">
        <f>_xlfn.XLOOKUP(frasest[[#This Row],[author_es]],autorest[author_es],autorest[image])</f>
        <v>https://i.ibb.co/qLfpZm6h/china.png</v>
      </c>
      <c r="R1301">
        <f>_xlfn.XLOOKUP(frasest[[#This Row],[author_es]],autorest[author_es],autorest[image_atr])</f>
        <v>0</v>
      </c>
    </row>
    <row r="1302" spans="1:18">
      <c r="A1302">
        <v>1301</v>
      </c>
      <c r="B1302" t="s">
        <v>4017</v>
      </c>
      <c r="C1302" t="s">
        <v>4018</v>
      </c>
      <c r="D1302" s="1" t="s">
        <v>4019</v>
      </c>
      <c r="E1302" t="s">
        <v>36</v>
      </c>
      <c r="G1302" t="str">
        <f>_xlfn.XLOOKUP(frasest[[#This Row],[author_es]],autorest[author_es],autorest[author_la])</f>
        <v>Proverbium Sinense</v>
      </c>
      <c r="H1302" t="str">
        <f>_xlfn.XLOOKUP(frasest[[#This Row],[author_es]],autorest[author_es],autorest[bio_es])</f>
        <v>Conjunto de proverbios tradicionales de la cultura china que transmiten sabiduría popular, valores morales y enseñanzas prácticas transmitidas oralmente durante siglos.</v>
      </c>
      <c r="I1302" t="str">
        <f>_xlfn.XLOOKUP(frasest[[#This Row],[author_es]],autorest[author_es],autorest[bio_la])</f>
        <v>Collectio sententiarum Sinensium, magnopere in cultura tradita.</v>
      </c>
      <c r="J1302" t="str">
        <f>_xlfn.XLOOKUP(frasest[[#This Row],[author_es]],autorest[author_es],autorest[iso3691])</f>
        <v>zh</v>
      </c>
      <c r="K1302" t="str">
        <f>_xlfn.XLOOKUP(frasest[[#This Row],[author_es]],autorest[author_es],autorest[language_es])</f>
        <v>Chino</v>
      </c>
      <c r="L1302" t="str">
        <f>_xlfn.XLOOKUP(frasest[[#This Row],[author_es]],autorest[author_es],autorest[language_la])</f>
        <v>Lingua Sinica</v>
      </c>
      <c r="M1302" t="str">
        <f>_xlfn.XLOOKUP(frasest[[#This Row],[author_es]],autorest[author_es],autorest[nation_es])</f>
        <v>China</v>
      </c>
      <c r="N1302" t="str">
        <f>_xlfn.XLOOKUP(frasest[[#This Row],[author_es]],autorest[author_es],autorest[nation_la])</f>
        <v>Sinae</v>
      </c>
      <c r="O1302" t="str">
        <f>_xlfn.XLOOKUP(frasest[[#This Row],[author_es]],autorest[author_es],autorest[age_es])</f>
        <v>Epoca Desconocida</v>
      </c>
      <c r="P1302" t="str">
        <f>_xlfn.XLOOKUP(frasest[[#This Row],[author_es]],autorest[author_es],autorest[age_la])</f>
        <v>Epocha Ignota</v>
      </c>
      <c r="Q1302" t="str">
        <f>_xlfn.XLOOKUP(frasest[[#This Row],[author_es]],autorest[author_es],autorest[image])</f>
        <v>https://i.ibb.co/qLfpZm6h/china.png</v>
      </c>
      <c r="R1302">
        <f>_xlfn.XLOOKUP(frasest[[#This Row],[author_es]],autorest[author_es],autorest[image_atr])</f>
        <v>0</v>
      </c>
    </row>
    <row r="1303" spans="1:18">
      <c r="A1303">
        <v>1302</v>
      </c>
      <c r="B1303" t="s">
        <v>4020</v>
      </c>
      <c r="C1303" t="s">
        <v>4021</v>
      </c>
      <c r="D1303" s="1" t="s">
        <v>4022</v>
      </c>
      <c r="E1303" t="s">
        <v>36</v>
      </c>
      <c r="G1303" t="str">
        <f>_xlfn.XLOOKUP(frasest[[#This Row],[author_es]],autorest[author_es],autorest[author_la])</f>
        <v>Proverbium Sinense</v>
      </c>
      <c r="H1303" t="str">
        <f>_xlfn.XLOOKUP(frasest[[#This Row],[author_es]],autorest[author_es],autorest[bio_es])</f>
        <v>Conjunto de proverbios tradicionales de la cultura china que transmiten sabiduría popular, valores morales y enseñanzas prácticas transmitidas oralmente durante siglos.</v>
      </c>
      <c r="I1303" t="str">
        <f>_xlfn.XLOOKUP(frasest[[#This Row],[author_es]],autorest[author_es],autorest[bio_la])</f>
        <v>Collectio sententiarum Sinensium, magnopere in cultura tradita.</v>
      </c>
      <c r="J1303" t="str">
        <f>_xlfn.XLOOKUP(frasest[[#This Row],[author_es]],autorest[author_es],autorest[iso3691])</f>
        <v>zh</v>
      </c>
      <c r="K1303" t="str">
        <f>_xlfn.XLOOKUP(frasest[[#This Row],[author_es]],autorest[author_es],autorest[language_es])</f>
        <v>Chino</v>
      </c>
      <c r="L1303" t="str">
        <f>_xlfn.XLOOKUP(frasest[[#This Row],[author_es]],autorest[author_es],autorest[language_la])</f>
        <v>Lingua Sinica</v>
      </c>
      <c r="M1303" t="str">
        <f>_xlfn.XLOOKUP(frasest[[#This Row],[author_es]],autorest[author_es],autorest[nation_es])</f>
        <v>China</v>
      </c>
      <c r="N1303" t="str">
        <f>_xlfn.XLOOKUP(frasest[[#This Row],[author_es]],autorest[author_es],autorest[nation_la])</f>
        <v>Sinae</v>
      </c>
      <c r="O1303" t="str">
        <f>_xlfn.XLOOKUP(frasest[[#This Row],[author_es]],autorest[author_es],autorest[age_es])</f>
        <v>Epoca Desconocida</v>
      </c>
      <c r="P1303" t="str">
        <f>_xlfn.XLOOKUP(frasest[[#This Row],[author_es]],autorest[author_es],autorest[age_la])</f>
        <v>Epocha Ignota</v>
      </c>
      <c r="Q1303" t="str">
        <f>_xlfn.XLOOKUP(frasest[[#This Row],[author_es]],autorest[author_es],autorest[image])</f>
        <v>https://i.ibb.co/qLfpZm6h/china.png</v>
      </c>
      <c r="R1303">
        <f>_xlfn.XLOOKUP(frasest[[#This Row],[author_es]],autorest[author_es],autorest[image_atr])</f>
        <v>0</v>
      </c>
    </row>
    <row r="1304" spans="1:18">
      <c r="A1304">
        <v>1303</v>
      </c>
      <c r="B1304" t="s">
        <v>4023</v>
      </c>
      <c r="C1304" t="s">
        <v>4024</v>
      </c>
      <c r="D1304" s="1" t="s">
        <v>4025</v>
      </c>
      <c r="E1304" t="s">
        <v>36</v>
      </c>
      <c r="G1304" t="str">
        <f>_xlfn.XLOOKUP(frasest[[#This Row],[author_es]],autorest[author_es],autorest[author_la])</f>
        <v>Proverbium Sinense</v>
      </c>
      <c r="H1304" t="str">
        <f>_xlfn.XLOOKUP(frasest[[#This Row],[author_es]],autorest[author_es],autorest[bio_es])</f>
        <v>Conjunto de proverbios tradicionales de la cultura china que transmiten sabiduría popular, valores morales y enseñanzas prácticas transmitidas oralmente durante siglos.</v>
      </c>
      <c r="I1304" t="str">
        <f>_xlfn.XLOOKUP(frasest[[#This Row],[author_es]],autorest[author_es],autorest[bio_la])</f>
        <v>Collectio sententiarum Sinensium, magnopere in cultura tradita.</v>
      </c>
      <c r="J1304" t="str">
        <f>_xlfn.XLOOKUP(frasest[[#This Row],[author_es]],autorest[author_es],autorest[iso3691])</f>
        <v>zh</v>
      </c>
      <c r="K1304" t="str">
        <f>_xlfn.XLOOKUP(frasest[[#This Row],[author_es]],autorest[author_es],autorest[language_es])</f>
        <v>Chino</v>
      </c>
      <c r="L1304" t="str">
        <f>_xlfn.XLOOKUP(frasest[[#This Row],[author_es]],autorest[author_es],autorest[language_la])</f>
        <v>Lingua Sinica</v>
      </c>
      <c r="M1304" t="str">
        <f>_xlfn.XLOOKUP(frasest[[#This Row],[author_es]],autorest[author_es],autorest[nation_es])</f>
        <v>China</v>
      </c>
      <c r="N1304" t="str">
        <f>_xlfn.XLOOKUP(frasest[[#This Row],[author_es]],autorest[author_es],autorest[nation_la])</f>
        <v>Sinae</v>
      </c>
      <c r="O1304" t="str">
        <f>_xlfn.XLOOKUP(frasest[[#This Row],[author_es]],autorest[author_es],autorest[age_es])</f>
        <v>Epoca Desconocida</v>
      </c>
      <c r="P1304" t="str">
        <f>_xlfn.XLOOKUP(frasest[[#This Row],[author_es]],autorest[author_es],autorest[age_la])</f>
        <v>Epocha Ignota</v>
      </c>
      <c r="Q1304" t="str">
        <f>_xlfn.XLOOKUP(frasest[[#This Row],[author_es]],autorest[author_es],autorest[image])</f>
        <v>https://i.ibb.co/qLfpZm6h/china.png</v>
      </c>
      <c r="R1304">
        <f>_xlfn.XLOOKUP(frasest[[#This Row],[author_es]],autorest[author_es],autorest[image_atr])</f>
        <v>0</v>
      </c>
    </row>
    <row r="1305" spans="1:18">
      <c r="A1305">
        <v>1304</v>
      </c>
      <c r="B1305" t="s">
        <v>4026</v>
      </c>
      <c r="C1305" t="s">
        <v>4027</v>
      </c>
      <c r="D1305" s="1" t="s">
        <v>3555</v>
      </c>
      <c r="E1305" t="s">
        <v>36</v>
      </c>
      <c r="G1305" t="str">
        <f>_xlfn.XLOOKUP(frasest[[#This Row],[author_es]],autorest[author_es],autorest[author_la])</f>
        <v>Proverbium Sinense</v>
      </c>
      <c r="H1305" t="str">
        <f>_xlfn.XLOOKUP(frasest[[#This Row],[author_es]],autorest[author_es],autorest[bio_es])</f>
        <v>Conjunto de proverbios tradicionales de la cultura china que transmiten sabiduría popular, valores morales y enseñanzas prácticas transmitidas oralmente durante siglos.</v>
      </c>
      <c r="I1305" t="str">
        <f>_xlfn.XLOOKUP(frasest[[#This Row],[author_es]],autorest[author_es],autorest[bio_la])</f>
        <v>Collectio sententiarum Sinensium, magnopere in cultura tradita.</v>
      </c>
      <c r="J1305" t="str">
        <f>_xlfn.XLOOKUP(frasest[[#This Row],[author_es]],autorest[author_es],autorest[iso3691])</f>
        <v>zh</v>
      </c>
      <c r="K1305" t="str">
        <f>_xlfn.XLOOKUP(frasest[[#This Row],[author_es]],autorest[author_es],autorest[language_es])</f>
        <v>Chino</v>
      </c>
      <c r="L1305" t="str">
        <f>_xlfn.XLOOKUP(frasest[[#This Row],[author_es]],autorest[author_es],autorest[language_la])</f>
        <v>Lingua Sinica</v>
      </c>
      <c r="M1305" t="str">
        <f>_xlfn.XLOOKUP(frasest[[#This Row],[author_es]],autorest[author_es],autorest[nation_es])</f>
        <v>China</v>
      </c>
      <c r="N1305" t="str">
        <f>_xlfn.XLOOKUP(frasest[[#This Row],[author_es]],autorest[author_es],autorest[nation_la])</f>
        <v>Sinae</v>
      </c>
      <c r="O1305" t="str">
        <f>_xlfn.XLOOKUP(frasest[[#This Row],[author_es]],autorest[author_es],autorest[age_es])</f>
        <v>Epoca Desconocida</v>
      </c>
      <c r="P1305" t="str">
        <f>_xlfn.XLOOKUP(frasest[[#This Row],[author_es]],autorest[author_es],autorest[age_la])</f>
        <v>Epocha Ignota</v>
      </c>
      <c r="Q1305" t="str">
        <f>_xlfn.XLOOKUP(frasest[[#This Row],[author_es]],autorest[author_es],autorest[image])</f>
        <v>https://i.ibb.co/qLfpZm6h/china.png</v>
      </c>
      <c r="R1305">
        <f>_xlfn.XLOOKUP(frasest[[#This Row],[author_es]],autorest[author_es],autorest[image_atr])</f>
        <v>0</v>
      </c>
    </row>
    <row r="1306" spans="1:18">
      <c r="A1306">
        <v>1305</v>
      </c>
      <c r="B1306" t="s">
        <v>4028</v>
      </c>
      <c r="C1306" t="s">
        <v>4029</v>
      </c>
      <c r="D1306" s="1" t="s">
        <v>4030</v>
      </c>
      <c r="E1306" t="s">
        <v>36</v>
      </c>
      <c r="G1306" t="str">
        <f>_xlfn.XLOOKUP(frasest[[#This Row],[author_es]],autorest[author_es],autorest[author_la])</f>
        <v>Proverbium Sinense</v>
      </c>
      <c r="H1306" t="str">
        <f>_xlfn.XLOOKUP(frasest[[#This Row],[author_es]],autorest[author_es],autorest[bio_es])</f>
        <v>Conjunto de proverbios tradicionales de la cultura china que transmiten sabiduría popular, valores morales y enseñanzas prácticas transmitidas oralmente durante siglos.</v>
      </c>
      <c r="I1306" t="str">
        <f>_xlfn.XLOOKUP(frasest[[#This Row],[author_es]],autorest[author_es],autorest[bio_la])</f>
        <v>Collectio sententiarum Sinensium, magnopere in cultura tradita.</v>
      </c>
      <c r="J1306" t="str">
        <f>_xlfn.XLOOKUP(frasest[[#This Row],[author_es]],autorest[author_es],autorest[iso3691])</f>
        <v>zh</v>
      </c>
      <c r="K1306" t="str">
        <f>_xlfn.XLOOKUP(frasest[[#This Row],[author_es]],autorest[author_es],autorest[language_es])</f>
        <v>Chino</v>
      </c>
      <c r="L1306" t="str">
        <f>_xlfn.XLOOKUP(frasest[[#This Row],[author_es]],autorest[author_es],autorest[language_la])</f>
        <v>Lingua Sinica</v>
      </c>
      <c r="M1306" t="str">
        <f>_xlfn.XLOOKUP(frasest[[#This Row],[author_es]],autorest[author_es],autorest[nation_es])</f>
        <v>China</v>
      </c>
      <c r="N1306" t="str">
        <f>_xlfn.XLOOKUP(frasest[[#This Row],[author_es]],autorest[author_es],autorest[nation_la])</f>
        <v>Sinae</v>
      </c>
      <c r="O1306" t="str">
        <f>_xlfn.XLOOKUP(frasest[[#This Row],[author_es]],autorest[author_es],autorest[age_es])</f>
        <v>Epoca Desconocida</v>
      </c>
      <c r="P1306" t="str">
        <f>_xlfn.XLOOKUP(frasest[[#This Row],[author_es]],autorest[author_es],autorest[age_la])</f>
        <v>Epocha Ignota</v>
      </c>
      <c r="Q1306" t="str">
        <f>_xlfn.XLOOKUP(frasest[[#This Row],[author_es]],autorest[author_es],autorest[image])</f>
        <v>https://i.ibb.co/qLfpZm6h/china.png</v>
      </c>
      <c r="R1306">
        <f>_xlfn.XLOOKUP(frasest[[#This Row],[author_es]],autorest[author_es],autorest[image_atr])</f>
        <v>0</v>
      </c>
    </row>
    <row r="1307" spans="1:18">
      <c r="A1307">
        <v>1306</v>
      </c>
      <c r="B1307" t="s">
        <v>4031</v>
      </c>
      <c r="C1307" t="s">
        <v>4032</v>
      </c>
      <c r="D1307" s="1" t="s">
        <v>4033</v>
      </c>
      <c r="E1307" t="s">
        <v>36</v>
      </c>
      <c r="G1307" t="str">
        <f>_xlfn.XLOOKUP(frasest[[#This Row],[author_es]],autorest[author_es],autorest[author_la])</f>
        <v>Proverbium Sinense</v>
      </c>
      <c r="H1307" t="str">
        <f>_xlfn.XLOOKUP(frasest[[#This Row],[author_es]],autorest[author_es],autorest[bio_es])</f>
        <v>Conjunto de proverbios tradicionales de la cultura china que transmiten sabiduría popular, valores morales y enseñanzas prácticas transmitidas oralmente durante siglos.</v>
      </c>
      <c r="I1307" t="str">
        <f>_xlfn.XLOOKUP(frasest[[#This Row],[author_es]],autorest[author_es],autorest[bio_la])</f>
        <v>Collectio sententiarum Sinensium, magnopere in cultura tradita.</v>
      </c>
      <c r="J1307" t="str">
        <f>_xlfn.XLOOKUP(frasest[[#This Row],[author_es]],autorest[author_es],autorest[iso3691])</f>
        <v>zh</v>
      </c>
      <c r="K1307" t="str">
        <f>_xlfn.XLOOKUP(frasest[[#This Row],[author_es]],autorest[author_es],autorest[language_es])</f>
        <v>Chino</v>
      </c>
      <c r="L1307" t="str">
        <f>_xlfn.XLOOKUP(frasest[[#This Row],[author_es]],autorest[author_es],autorest[language_la])</f>
        <v>Lingua Sinica</v>
      </c>
      <c r="M1307" t="str">
        <f>_xlfn.XLOOKUP(frasest[[#This Row],[author_es]],autorest[author_es],autorest[nation_es])</f>
        <v>China</v>
      </c>
      <c r="N1307" t="str">
        <f>_xlfn.XLOOKUP(frasest[[#This Row],[author_es]],autorest[author_es],autorest[nation_la])</f>
        <v>Sinae</v>
      </c>
      <c r="O1307" t="str">
        <f>_xlfn.XLOOKUP(frasest[[#This Row],[author_es]],autorest[author_es],autorest[age_es])</f>
        <v>Epoca Desconocida</v>
      </c>
      <c r="P1307" t="str">
        <f>_xlfn.XLOOKUP(frasest[[#This Row],[author_es]],autorest[author_es],autorest[age_la])</f>
        <v>Epocha Ignota</v>
      </c>
      <c r="Q1307" t="str">
        <f>_xlfn.XLOOKUP(frasest[[#This Row],[author_es]],autorest[author_es],autorest[image])</f>
        <v>https://i.ibb.co/qLfpZm6h/china.png</v>
      </c>
      <c r="R1307">
        <f>_xlfn.XLOOKUP(frasest[[#This Row],[author_es]],autorest[author_es],autorest[image_atr])</f>
        <v>0</v>
      </c>
    </row>
    <row r="1308" spans="1:18">
      <c r="A1308">
        <v>1307</v>
      </c>
      <c r="B1308" t="s">
        <v>130</v>
      </c>
      <c r="C1308" t="s">
        <v>4034</v>
      </c>
      <c r="D1308" s="1" t="s">
        <v>4035</v>
      </c>
      <c r="E1308" t="s">
        <v>36</v>
      </c>
      <c r="G1308" t="str">
        <f>_xlfn.XLOOKUP(frasest[[#This Row],[author_es]],autorest[author_es],autorest[author_la])</f>
        <v>Proverbium Sinense</v>
      </c>
      <c r="H1308" t="str">
        <f>_xlfn.XLOOKUP(frasest[[#This Row],[author_es]],autorest[author_es],autorest[bio_es])</f>
        <v>Conjunto de proverbios tradicionales de la cultura china que transmiten sabiduría popular, valores morales y enseñanzas prácticas transmitidas oralmente durante siglos.</v>
      </c>
      <c r="I1308" t="str">
        <f>_xlfn.XLOOKUP(frasest[[#This Row],[author_es]],autorest[author_es],autorest[bio_la])</f>
        <v>Collectio sententiarum Sinensium, magnopere in cultura tradita.</v>
      </c>
      <c r="J1308" t="str">
        <f>_xlfn.XLOOKUP(frasest[[#This Row],[author_es]],autorest[author_es],autorest[iso3691])</f>
        <v>zh</v>
      </c>
      <c r="K1308" t="str">
        <f>_xlfn.XLOOKUP(frasest[[#This Row],[author_es]],autorest[author_es],autorest[language_es])</f>
        <v>Chino</v>
      </c>
      <c r="L1308" t="str">
        <f>_xlfn.XLOOKUP(frasest[[#This Row],[author_es]],autorest[author_es],autorest[language_la])</f>
        <v>Lingua Sinica</v>
      </c>
      <c r="M1308" t="str">
        <f>_xlfn.XLOOKUP(frasest[[#This Row],[author_es]],autorest[author_es],autorest[nation_es])</f>
        <v>China</v>
      </c>
      <c r="N1308" t="str">
        <f>_xlfn.XLOOKUP(frasest[[#This Row],[author_es]],autorest[author_es],autorest[nation_la])</f>
        <v>Sinae</v>
      </c>
      <c r="O1308" t="str">
        <f>_xlfn.XLOOKUP(frasest[[#This Row],[author_es]],autorest[author_es],autorest[age_es])</f>
        <v>Epoca Desconocida</v>
      </c>
      <c r="P1308" t="str">
        <f>_xlfn.XLOOKUP(frasest[[#This Row],[author_es]],autorest[author_es],autorest[age_la])</f>
        <v>Epocha Ignota</v>
      </c>
      <c r="Q1308" t="str">
        <f>_xlfn.XLOOKUP(frasest[[#This Row],[author_es]],autorest[author_es],autorest[image])</f>
        <v>https://i.ibb.co/qLfpZm6h/china.png</v>
      </c>
      <c r="R1308">
        <f>_xlfn.XLOOKUP(frasest[[#This Row],[author_es]],autorest[author_es],autorest[image_atr])</f>
        <v>0</v>
      </c>
    </row>
    <row r="1309" spans="1:18">
      <c r="A1309">
        <v>1308</v>
      </c>
      <c r="B1309" t="s">
        <v>4036</v>
      </c>
      <c r="C1309" t="s">
        <v>4037</v>
      </c>
      <c r="D1309" s="1" t="s">
        <v>3793</v>
      </c>
      <c r="E1309" t="s">
        <v>36</v>
      </c>
      <c r="G1309" t="str">
        <f>_xlfn.XLOOKUP(frasest[[#This Row],[author_es]],autorest[author_es],autorest[author_la])</f>
        <v>Proverbium Sinense</v>
      </c>
      <c r="H1309" t="str">
        <f>_xlfn.XLOOKUP(frasest[[#This Row],[author_es]],autorest[author_es],autorest[bio_es])</f>
        <v>Conjunto de proverbios tradicionales de la cultura china que transmiten sabiduría popular, valores morales y enseñanzas prácticas transmitidas oralmente durante siglos.</v>
      </c>
      <c r="I1309" t="str">
        <f>_xlfn.XLOOKUP(frasest[[#This Row],[author_es]],autorest[author_es],autorest[bio_la])</f>
        <v>Collectio sententiarum Sinensium, magnopere in cultura tradita.</v>
      </c>
      <c r="J1309" t="str">
        <f>_xlfn.XLOOKUP(frasest[[#This Row],[author_es]],autorest[author_es],autorest[iso3691])</f>
        <v>zh</v>
      </c>
      <c r="K1309" t="str">
        <f>_xlfn.XLOOKUP(frasest[[#This Row],[author_es]],autorest[author_es],autorest[language_es])</f>
        <v>Chino</v>
      </c>
      <c r="L1309" t="str">
        <f>_xlfn.XLOOKUP(frasest[[#This Row],[author_es]],autorest[author_es],autorest[language_la])</f>
        <v>Lingua Sinica</v>
      </c>
      <c r="M1309" t="str">
        <f>_xlfn.XLOOKUP(frasest[[#This Row],[author_es]],autorest[author_es],autorest[nation_es])</f>
        <v>China</v>
      </c>
      <c r="N1309" t="str">
        <f>_xlfn.XLOOKUP(frasest[[#This Row],[author_es]],autorest[author_es],autorest[nation_la])</f>
        <v>Sinae</v>
      </c>
      <c r="O1309" t="str">
        <f>_xlfn.XLOOKUP(frasest[[#This Row],[author_es]],autorest[author_es],autorest[age_es])</f>
        <v>Epoca Desconocida</v>
      </c>
      <c r="P1309" t="str">
        <f>_xlfn.XLOOKUP(frasest[[#This Row],[author_es]],autorest[author_es],autorest[age_la])</f>
        <v>Epocha Ignota</v>
      </c>
      <c r="Q1309" t="str">
        <f>_xlfn.XLOOKUP(frasest[[#This Row],[author_es]],autorest[author_es],autorest[image])</f>
        <v>https://i.ibb.co/qLfpZm6h/china.png</v>
      </c>
      <c r="R1309">
        <f>_xlfn.XLOOKUP(frasest[[#This Row],[author_es]],autorest[author_es],autorest[image_atr])</f>
        <v>0</v>
      </c>
    </row>
    <row r="1310" spans="1:18">
      <c r="A1310">
        <v>1309</v>
      </c>
      <c r="B1310" t="s">
        <v>4038</v>
      </c>
      <c r="C1310" t="s">
        <v>4039</v>
      </c>
      <c r="D1310" s="1" t="s">
        <v>4040</v>
      </c>
      <c r="E1310" t="s">
        <v>36</v>
      </c>
      <c r="G1310" t="str">
        <f>_xlfn.XLOOKUP(frasest[[#This Row],[author_es]],autorest[author_es],autorest[author_la])</f>
        <v>Proverbium Sinense</v>
      </c>
      <c r="H1310" t="str">
        <f>_xlfn.XLOOKUP(frasest[[#This Row],[author_es]],autorest[author_es],autorest[bio_es])</f>
        <v>Conjunto de proverbios tradicionales de la cultura china que transmiten sabiduría popular, valores morales y enseñanzas prácticas transmitidas oralmente durante siglos.</v>
      </c>
      <c r="I1310" t="str">
        <f>_xlfn.XLOOKUP(frasest[[#This Row],[author_es]],autorest[author_es],autorest[bio_la])</f>
        <v>Collectio sententiarum Sinensium, magnopere in cultura tradita.</v>
      </c>
      <c r="J1310" t="str">
        <f>_xlfn.XLOOKUP(frasest[[#This Row],[author_es]],autorest[author_es],autorest[iso3691])</f>
        <v>zh</v>
      </c>
      <c r="K1310" t="str">
        <f>_xlfn.XLOOKUP(frasest[[#This Row],[author_es]],autorest[author_es],autorest[language_es])</f>
        <v>Chino</v>
      </c>
      <c r="L1310" t="str">
        <f>_xlfn.XLOOKUP(frasest[[#This Row],[author_es]],autorest[author_es],autorest[language_la])</f>
        <v>Lingua Sinica</v>
      </c>
      <c r="M1310" t="str">
        <f>_xlfn.XLOOKUP(frasest[[#This Row],[author_es]],autorest[author_es],autorest[nation_es])</f>
        <v>China</v>
      </c>
      <c r="N1310" t="str">
        <f>_xlfn.XLOOKUP(frasest[[#This Row],[author_es]],autorest[author_es],autorest[nation_la])</f>
        <v>Sinae</v>
      </c>
      <c r="O1310" t="str">
        <f>_xlfn.XLOOKUP(frasest[[#This Row],[author_es]],autorest[author_es],autorest[age_es])</f>
        <v>Epoca Desconocida</v>
      </c>
      <c r="P1310" t="str">
        <f>_xlfn.XLOOKUP(frasest[[#This Row],[author_es]],autorest[author_es],autorest[age_la])</f>
        <v>Epocha Ignota</v>
      </c>
      <c r="Q1310" t="str">
        <f>_xlfn.XLOOKUP(frasest[[#This Row],[author_es]],autorest[author_es],autorest[image])</f>
        <v>https://i.ibb.co/qLfpZm6h/china.png</v>
      </c>
      <c r="R1310">
        <f>_xlfn.XLOOKUP(frasest[[#This Row],[author_es]],autorest[author_es],autorest[image_atr])</f>
        <v>0</v>
      </c>
    </row>
    <row r="1311" spans="1:18">
      <c r="A1311">
        <v>1310</v>
      </c>
      <c r="B1311" t="s">
        <v>4041</v>
      </c>
      <c r="C1311" t="s">
        <v>4042</v>
      </c>
      <c r="D1311" s="1" t="s">
        <v>4043</v>
      </c>
      <c r="E1311" t="s">
        <v>36</v>
      </c>
      <c r="G1311" t="str">
        <f>_xlfn.XLOOKUP(frasest[[#This Row],[author_es]],autorest[author_es],autorest[author_la])</f>
        <v>Proverbium Sinense</v>
      </c>
      <c r="H1311" t="str">
        <f>_xlfn.XLOOKUP(frasest[[#This Row],[author_es]],autorest[author_es],autorest[bio_es])</f>
        <v>Conjunto de proverbios tradicionales de la cultura china que transmiten sabiduría popular, valores morales y enseñanzas prácticas transmitidas oralmente durante siglos.</v>
      </c>
      <c r="I1311" t="str">
        <f>_xlfn.XLOOKUP(frasest[[#This Row],[author_es]],autorest[author_es],autorest[bio_la])</f>
        <v>Collectio sententiarum Sinensium, magnopere in cultura tradita.</v>
      </c>
      <c r="J1311" t="str">
        <f>_xlfn.XLOOKUP(frasest[[#This Row],[author_es]],autorest[author_es],autorest[iso3691])</f>
        <v>zh</v>
      </c>
      <c r="K1311" t="str">
        <f>_xlfn.XLOOKUP(frasest[[#This Row],[author_es]],autorest[author_es],autorest[language_es])</f>
        <v>Chino</v>
      </c>
      <c r="L1311" t="str">
        <f>_xlfn.XLOOKUP(frasest[[#This Row],[author_es]],autorest[author_es],autorest[language_la])</f>
        <v>Lingua Sinica</v>
      </c>
      <c r="M1311" t="str">
        <f>_xlfn.XLOOKUP(frasest[[#This Row],[author_es]],autorest[author_es],autorest[nation_es])</f>
        <v>China</v>
      </c>
      <c r="N1311" t="str">
        <f>_xlfn.XLOOKUP(frasest[[#This Row],[author_es]],autorest[author_es],autorest[nation_la])</f>
        <v>Sinae</v>
      </c>
      <c r="O1311" t="str">
        <f>_xlfn.XLOOKUP(frasest[[#This Row],[author_es]],autorest[author_es],autorest[age_es])</f>
        <v>Epoca Desconocida</v>
      </c>
      <c r="P1311" t="str">
        <f>_xlfn.XLOOKUP(frasest[[#This Row],[author_es]],autorest[author_es],autorest[age_la])</f>
        <v>Epocha Ignota</v>
      </c>
      <c r="Q1311" t="str">
        <f>_xlfn.XLOOKUP(frasest[[#This Row],[author_es]],autorest[author_es],autorest[image])</f>
        <v>https://i.ibb.co/qLfpZm6h/china.png</v>
      </c>
      <c r="R1311">
        <f>_xlfn.XLOOKUP(frasest[[#This Row],[author_es]],autorest[author_es],autorest[image_atr])</f>
        <v>0</v>
      </c>
    </row>
    <row r="1312" spans="1:18">
      <c r="A1312">
        <v>1311</v>
      </c>
      <c r="B1312" t="s">
        <v>4044</v>
      </c>
      <c r="C1312" t="s">
        <v>4045</v>
      </c>
      <c r="D1312" s="1" t="s">
        <v>3415</v>
      </c>
      <c r="E1312" t="s">
        <v>36</v>
      </c>
      <c r="G1312" t="str">
        <f>_xlfn.XLOOKUP(frasest[[#This Row],[author_es]],autorest[author_es],autorest[author_la])</f>
        <v>Proverbium Sinense</v>
      </c>
      <c r="H1312" t="str">
        <f>_xlfn.XLOOKUP(frasest[[#This Row],[author_es]],autorest[author_es],autorest[bio_es])</f>
        <v>Conjunto de proverbios tradicionales de la cultura china que transmiten sabiduría popular, valores morales y enseñanzas prácticas transmitidas oralmente durante siglos.</v>
      </c>
      <c r="I1312" t="str">
        <f>_xlfn.XLOOKUP(frasest[[#This Row],[author_es]],autorest[author_es],autorest[bio_la])</f>
        <v>Collectio sententiarum Sinensium, magnopere in cultura tradita.</v>
      </c>
      <c r="J1312" t="str">
        <f>_xlfn.XLOOKUP(frasest[[#This Row],[author_es]],autorest[author_es],autorest[iso3691])</f>
        <v>zh</v>
      </c>
      <c r="K1312" t="str">
        <f>_xlfn.XLOOKUP(frasest[[#This Row],[author_es]],autorest[author_es],autorest[language_es])</f>
        <v>Chino</v>
      </c>
      <c r="L1312" t="str">
        <f>_xlfn.XLOOKUP(frasest[[#This Row],[author_es]],autorest[author_es],autorest[language_la])</f>
        <v>Lingua Sinica</v>
      </c>
      <c r="M1312" t="str">
        <f>_xlfn.XLOOKUP(frasest[[#This Row],[author_es]],autorest[author_es],autorest[nation_es])</f>
        <v>China</v>
      </c>
      <c r="N1312" t="str">
        <f>_xlfn.XLOOKUP(frasest[[#This Row],[author_es]],autorest[author_es],autorest[nation_la])</f>
        <v>Sinae</v>
      </c>
      <c r="O1312" t="str">
        <f>_xlfn.XLOOKUP(frasest[[#This Row],[author_es]],autorest[author_es],autorest[age_es])</f>
        <v>Epoca Desconocida</v>
      </c>
      <c r="P1312" t="str">
        <f>_xlfn.XLOOKUP(frasest[[#This Row],[author_es]],autorest[author_es],autorest[age_la])</f>
        <v>Epocha Ignota</v>
      </c>
      <c r="Q1312" t="str">
        <f>_xlfn.XLOOKUP(frasest[[#This Row],[author_es]],autorest[author_es],autorest[image])</f>
        <v>https://i.ibb.co/qLfpZm6h/china.png</v>
      </c>
      <c r="R1312">
        <f>_xlfn.XLOOKUP(frasest[[#This Row],[author_es]],autorest[author_es],autorest[image_atr])</f>
        <v>0</v>
      </c>
    </row>
    <row r="1313" spans="1:18">
      <c r="A1313">
        <v>1312</v>
      </c>
      <c r="B1313" t="s">
        <v>4046</v>
      </c>
      <c r="C1313" t="s">
        <v>4047</v>
      </c>
      <c r="D1313" s="1" t="s">
        <v>4048</v>
      </c>
      <c r="E1313" t="s">
        <v>36</v>
      </c>
      <c r="G1313" t="str">
        <f>_xlfn.XLOOKUP(frasest[[#This Row],[author_es]],autorest[author_es],autorest[author_la])</f>
        <v>Proverbium Sinense</v>
      </c>
      <c r="H1313" t="str">
        <f>_xlfn.XLOOKUP(frasest[[#This Row],[author_es]],autorest[author_es],autorest[bio_es])</f>
        <v>Conjunto de proverbios tradicionales de la cultura china que transmiten sabiduría popular, valores morales y enseñanzas prácticas transmitidas oralmente durante siglos.</v>
      </c>
      <c r="I1313" t="str">
        <f>_xlfn.XLOOKUP(frasest[[#This Row],[author_es]],autorest[author_es],autorest[bio_la])</f>
        <v>Collectio sententiarum Sinensium, magnopere in cultura tradita.</v>
      </c>
      <c r="J1313" t="str">
        <f>_xlfn.XLOOKUP(frasest[[#This Row],[author_es]],autorest[author_es],autorest[iso3691])</f>
        <v>zh</v>
      </c>
      <c r="K1313" t="str">
        <f>_xlfn.XLOOKUP(frasest[[#This Row],[author_es]],autorest[author_es],autorest[language_es])</f>
        <v>Chino</v>
      </c>
      <c r="L1313" t="str">
        <f>_xlfn.XLOOKUP(frasest[[#This Row],[author_es]],autorest[author_es],autorest[language_la])</f>
        <v>Lingua Sinica</v>
      </c>
      <c r="M1313" t="str">
        <f>_xlfn.XLOOKUP(frasest[[#This Row],[author_es]],autorest[author_es],autorest[nation_es])</f>
        <v>China</v>
      </c>
      <c r="N1313" t="str">
        <f>_xlfn.XLOOKUP(frasest[[#This Row],[author_es]],autorest[author_es],autorest[nation_la])</f>
        <v>Sinae</v>
      </c>
      <c r="O1313" t="str">
        <f>_xlfn.XLOOKUP(frasest[[#This Row],[author_es]],autorest[author_es],autorest[age_es])</f>
        <v>Epoca Desconocida</v>
      </c>
      <c r="P1313" t="str">
        <f>_xlfn.XLOOKUP(frasest[[#This Row],[author_es]],autorest[author_es],autorest[age_la])</f>
        <v>Epocha Ignota</v>
      </c>
      <c r="Q1313" t="str">
        <f>_xlfn.XLOOKUP(frasest[[#This Row],[author_es]],autorest[author_es],autorest[image])</f>
        <v>https://i.ibb.co/qLfpZm6h/china.png</v>
      </c>
      <c r="R1313">
        <f>_xlfn.XLOOKUP(frasest[[#This Row],[author_es]],autorest[author_es],autorest[image_atr])</f>
        <v>0</v>
      </c>
    </row>
    <row r="1314" spans="1:18">
      <c r="A1314">
        <v>1313</v>
      </c>
      <c r="B1314" t="s">
        <v>4049</v>
      </c>
      <c r="C1314" t="s">
        <v>4050</v>
      </c>
      <c r="D1314" s="1" t="s">
        <v>4051</v>
      </c>
      <c r="E1314" t="s">
        <v>36</v>
      </c>
      <c r="G1314" t="str">
        <f>_xlfn.XLOOKUP(frasest[[#This Row],[author_es]],autorest[author_es],autorest[author_la])</f>
        <v>Proverbium Sinense</v>
      </c>
      <c r="H1314" t="str">
        <f>_xlfn.XLOOKUP(frasest[[#This Row],[author_es]],autorest[author_es],autorest[bio_es])</f>
        <v>Conjunto de proverbios tradicionales de la cultura china que transmiten sabiduría popular, valores morales y enseñanzas prácticas transmitidas oralmente durante siglos.</v>
      </c>
      <c r="I1314" t="str">
        <f>_xlfn.XLOOKUP(frasest[[#This Row],[author_es]],autorest[author_es],autorest[bio_la])</f>
        <v>Collectio sententiarum Sinensium, magnopere in cultura tradita.</v>
      </c>
      <c r="J1314" t="str">
        <f>_xlfn.XLOOKUP(frasest[[#This Row],[author_es]],autorest[author_es],autorest[iso3691])</f>
        <v>zh</v>
      </c>
      <c r="K1314" t="str">
        <f>_xlfn.XLOOKUP(frasest[[#This Row],[author_es]],autorest[author_es],autorest[language_es])</f>
        <v>Chino</v>
      </c>
      <c r="L1314" t="str">
        <f>_xlfn.XLOOKUP(frasest[[#This Row],[author_es]],autorest[author_es],autorest[language_la])</f>
        <v>Lingua Sinica</v>
      </c>
      <c r="M1314" t="str">
        <f>_xlfn.XLOOKUP(frasest[[#This Row],[author_es]],autorest[author_es],autorest[nation_es])</f>
        <v>China</v>
      </c>
      <c r="N1314" t="str">
        <f>_xlfn.XLOOKUP(frasest[[#This Row],[author_es]],autorest[author_es],autorest[nation_la])</f>
        <v>Sinae</v>
      </c>
      <c r="O1314" t="str">
        <f>_xlfn.XLOOKUP(frasest[[#This Row],[author_es]],autorest[author_es],autorest[age_es])</f>
        <v>Epoca Desconocida</v>
      </c>
      <c r="P1314" t="str">
        <f>_xlfn.XLOOKUP(frasest[[#This Row],[author_es]],autorest[author_es],autorest[age_la])</f>
        <v>Epocha Ignota</v>
      </c>
      <c r="Q1314" t="str">
        <f>_xlfn.XLOOKUP(frasest[[#This Row],[author_es]],autorest[author_es],autorest[image])</f>
        <v>https://i.ibb.co/qLfpZm6h/china.png</v>
      </c>
      <c r="R1314">
        <f>_xlfn.XLOOKUP(frasest[[#This Row],[author_es]],autorest[author_es],autorest[image_atr])</f>
        <v>0</v>
      </c>
    </row>
    <row r="1315" spans="1:18">
      <c r="A1315">
        <v>1314</v>
      </c>
      <c r="B1315" t="s">
        <v>4052</v>
      </c>
      <c r="C1315" t="s">
        <v>4053</v>
      </c>
      <c r="D1315" s="1" t="s">
        <v>4054</v>
      </c>
      <c r="E1315" t="s">
        <v>36</v>
      </c>
      <c r="G1315" t="str">
        <f>_xlfn.XLOOKUP(frasest[[#This Row],[author_es]],autorest[author_es],autorest[author_la])</f>
        <v>Proverbium Sinense</v>
      </c>
      <c r="H1315" t="str">
        <f>_xlfn.XLOOKUP(frasest[[#This Row],[author_es]],autorest[author_es],autorest[bio_es])</f>
        <v>Conjunto de proverbios tradicionales de la cultura china que transmiten sabiduría popular, valores morales y enseñanzas prácticas transmitidas oralmente durante siglos.</v>
      </c>
      <c r="I1315" t="str">
        <f>_xlfn.XLOOKUP(frasest[[#This Row],[author_es]],autorest[author_es],autorest[bio_la])</f>
        <v>Collectio sententiarum Sinensium, magnopere in cultura tradita.</v>
      </c>
      <c r="J1315" t="str">
        <f>_xlfn.XLOOKUP(frasest[[#This Row],[author_es]],autorest[author_es],autorest[iso3691])</f>
        <v>zh</v>
      </c>
      <c r="K1315" t="str">
        <f>_xlfn.XLOOKUP(frasest[[#This Row],[author_es]],autorest[author_es],autorest[language_es])</f>
        <v>Chino</v>
      </c>
      <c r="L1315" t="str">
        <f>_xlfn.XLOOKUP(frasest[[#This Row],[author_es]],autorest[author_es],autorest[language_la])</f>
        <v>Lingua Sinica</v>
      </c>
      <c r="M1315" t="str">
        <f>_xlfn.XLOOKUP(frasest[[#This Row],[author_es]],autorest[author_es],autorest[nation_es])</f>
        <v>China</v>
      </c>
      <c r="N1315" t="str">
        <f>_xlfn.XLOOKUP(frasest[[#This Row],[author_es]],autorest[author_es],autorest[nation_la])</f>
        <v>Sinae</v>
      </c>
      <c r="O1315" t="str">
        <f>_xlfn.XLOOKUP(frasest[[#This Row],[author_es]],autorest[author_es],autorest[age_es])</f>
        <v>Epoca Desconocida</v>
      </c>
      <c r="P1315" t="str">
        <f>_xlfn.XLOOKUP(frasest[[#This Row],[author_es]],autorest[author_es],autorest[age_la])</f>
        <v>Epocha Ignota</v>
      </c>
      <c r="Q1315" t="str">
        <f>_xlfn.XLOOKUP(frasest[[#This Row],[author_es]],autorest[author_es],autorest[image])</f>
        <v>https://i.ibb.co/qLfpZm6h/china.png</v>
      </c>
      <c r="R1315">
        <f>_xlfn.XLOOKUP(frasest[[#This Row],[author_es]],autorest[author_es],autorest[image_atr])</f>
        <v>0</v>
      </c>
    </row>
    <row r="1316" spans="1:18">
      <c r="A1316">
        <v>1315</v>
      </c>
      <c r="B1316" t="s">
        <v>4055</v>
      </c>
      <c r="C1316" t="s">
        <v>4056</v>
      </c>
      <c r="D1316" s="1" t="s">
        <v>4057</v>
      </c>
      <c r="E1316" t="s">
        <v>36</v>
      </c>
      <c r="G1316" t="str">
        <f>_xlfn.XLOOKUP(frasest[[#This Row],[author_es]],autorest[author_es],autorest[author_la])</f>
        <v>Proverbium Sinense</v>
      </c>
      <c r="H1316" t="str">
        <f>_xlfn.XLOOKUP(frasest[[#This Row],[author_es]],autorest[author_es],autorest[bio_es])</f>
        <v>Conjunto de proverbios tradicionales de la cultura china que transmiten sabiduría popular, valores morales y enseñanzas prácticas transmitidas oralmente durante siglos.</v>
      </c>
      <c r="I1316" t="str">
        <f>_xlfn.XLOOKUP(frasest[[#This Row],[author_es]],autorest[author_es],autorest[bio_la])</f>
        <v>Collectio sententiarum Sinensium, magnopere in cultura tradita.</v>
      </c>
      <c r="J1316" t="str">
        <f>_xlfn.XLOOKUP(frasest[[#This Row],[author_es]],autorest[author_es],autorest[iso3691])</f>
        <v>zh</v>
      </c>
      <c r="K1316" t="str">
        <f>_xlfn.XLOOKUP(frasest[[#This Row],[author_es]],autorest[author_es],autorest[language_es])</f>
        <v>Chino</v>
      </c>
      <c r="L1316" t="str">
        <f>_xlfn.XLOOKUP(frasest[[#This Row],[author_es]],autorest[author_es],autorest[language_la])</f>
        <v>Lingua Sinica</v>
      </c>
      <c r="M1316" t="str">
        <f>_xlfn.XLOOKUP(frasest[[#This Row],[author_es]],autorest[author_es],autorest[nation_es])</f>
        <v>China</v>
      </c>
      <c r="N1316" t="str">
        <f>_xlfn.XLOOKUP(frasest[[#This Row],[author_es]],autorest[author_es],autorest[nation_la])</f>
        <v>Sinae</v>
      </c>
      <c r="O1316" t="str">
        <f>_xlfn.XLOOKUP(frasest[[#This Row],[author_es]],autorest[author_es],autorest[age_es])</f>
        <v>Epoca Desconocida</v>
      </c>
      <c r="P1316" t="str">
        <f>_xlfn.XLOOKUP(frasest[[#This Row],[author_es]],autorest[author_es],autorest[age_la])</f>
        <v>Epocha Ignota</v>
      </c>
      <c r="Q1316" t="str">
        <f>_xlfn.XLOOKUP(frasest[[#This Row],[author_es]],autorest[author_es],autorest[image])</f>
        <v>https://i.ibb.co/qLfpZm6h/china.png</v>
      </c>
      <c r="R1316">
        <f>_xlfn.XLOOKUP(frasest[[#This Row],[author_es]],autorest[author_es],autorest[image_atr])</f>
        <v>0</v>
      </c>
    </row>
    <row r="1317" spans="1:18">
      <c r="A1317">
        <v>1316</v>
      </c>
      <c r="B1317" t="s">
        <v>4058</v>
      </c>
      <c r="C1317" t="s">
        <v>4059</v>
      </c>
      <c r="D1317" s="1" t="s">
        <v>4060</v>
      </c>
      <c r="E1317" t="s">
        <v>36</v>
      </c>
      <c r="G1317" t="str">
        <f>_xlfn.XLOOKUP(frasest[[#This Row],[author_es]],autorest[author_es],autorest[author_la])</f>
        <v>Proverbium Sinense</v>
      </c>
      <c r="H1317" t="str">
        <f>_xlfn.XLOOKUP(frasest[[#This Row],[author_es]],autorest[author_es],autorest[bio_es])</f>
        <v>Conjunto de proverbios tradicionales de la cultura china que transmiten sabiduría popular, valores morales y enseñanzas prácticas transmitidas oralmente durante siglos.</v>
      </c>
      <c r="I1317" t="str">
        <f>_xlfn.XLOOKUP(frasest[[#This Row],[author_es]],autorest[author_es],autorest[bio_la])</f>
        <v>Collectio sententiarum Sinensium, magnopere in cultura tradita.</v>
      </c>
      <c r="J1317" t="str">
        <f>_xlfn.XLOOKUP(frasest[[#This Row],[author_es]],autorest[author_es],autorest[iso3691])</f>
        <v>zh</v>
      </c>
      <c r="K1317" t="str">
        <f>_xlfn.XLOOKUP(frasest[[#This Row],[author_es]],autorest[author_es],autorest[language_es])</f>
        <v>Chino</v>
      </c>
      <c r="L1317" t="str">
        <f>_xlfn.XLOOKUP(frasest[[#This Row],[author_es]],autorest[author_es],autorest[language_la])</f>
        <v>Lingua Sinica</v>
      </c>
      <c r="M1317" t="str">
        <f>_xlfn.XLOOKUP(frasest[[#This Row],[author_es]],autorest[author_es],autorest[nation_es])</f>
        <v>China</v>
      </c>
      <c r="N1317" t="str">
        <f>_xlfn.XLOOKUP(frasest[[#This Row],[author_es]],autorest[author_es],autorest[nation_la])</f>
        <v>Sinae</v>
      </c>
      <c r="O1317" t="str">
        <f>_xlfn.XLOOKUP(frasest[[#This Row],[author_es]],autorest[author_es],autorest[age_es])</f>
        <v>Epoca Desconocida</v>
      </c>
      <c r="P1317" t="str">
        <f>_xlfn.XLOOKUP(frasest[[#This Row],[author_es]],autorest[author_es],autorest[age_la])</f>
        <v>Epocha Ignota</v>
      </c>
      <c r="Q1317" t="str">
        <f>_xlfn.XLOOKUP(frasest[[#This Row],[author_es]],autorest[author_es],autorest[image])</f>
        <v>https://i.ibb.co/qLfpZm6h/china.png</v>
      </c>
      <c r="R1317">
        <f>_xlfn.XLOOKUP(frasest[[#This Row],[author_es]],autorest[author_es],autorest[image_atr])</f>
        <v>0</v>
      </c>
    </row>
    <row r="1318" spans="1:18">
      <c r="A1318">
        <v>1317</v>
      </c>
      <c r="B1318" t="s">
        <v>4061</v>
      </c>
      <c r="C1318" t="s">
        <v>4062</v>
      </c>
      <c r="D1318" s="1" t="s">
        <v>4063</v>
      </c>
      <c r="E1318" t="s">
        <v>36</v>
      </c>
      <c r="G1318" t="str">
        <f>_xlfn.XLOOKUP(frasest[[#This Row],[author_es]],autorest[author_es],autorest[author_la])</f>
        <v>Proverbium Sinense</v>
      </c>
      <c r="H1318" t="str">
        <f>_xlfn.XLOOKUP(frasest[[#This Row],[author_es]],autorest[author_es],autorest[bio_es])</f>
        <v>Conjunto de proverbios tradicionales de la cultura china que transmiten sabiduría popular, valores morales y enseñanzas prácticas transmitidas oralmente durante siglos.</v>
      </c>
      <c r="I1318" t="str">
        <f>_xlfn.XLOOKUP(frasest[[#This Row],[author_es]],autorest[author_es],autorest[bio_la])</f>
        <v>Collectio sententiarum Sinensium, magnopere in cultura tradita.</v>
      </c>
      <c r="J1318" t="str">
        <f>_xlfn.XLOOKUP(frasest[[#This Row],[author_es]],autorest[author_es],autorest[iso3691])</f>
        <v>zh</v>
      </c>
      <c r="K1318" t="str">
        <f>_xlfn.XLOOKUP(frasest[[#This Row],[author_es]],autorest[author_es],autorest[language_es])</f>
        <v>Chino</v>
      </c>
      <c r="L1318" t="str">
        <f>_xlfn.XLOOKUP(frasest[[#This Row],[author_es]],autorest[author_es],autorest[language_la])</f>
        <v>Lingua Sinica</v>
      </c>
      <c r="M1318" t="str">
        <f>_xlfn.XLOOKUP(frasest[[#This Row],[author_es]],autorest[author_es],autorest[nation_es])</f>
        <v>China</v>
      </c>
      <c r="N1318" t="str">
        <f>_xlfn.XLOOKUP(frasest[[#This Row],[author_es]],autorest[author_es],autorest[nation_la])</f>
        <v>Sinae</v>
      </c>
      <c r="O1318" t="str">
        <f>_xlfn.XLOOKUP(frasest[[#This Row],[author_es]],autorest[author_es],autorest[age_es])</f>
        <v>Epoca Desconocida</v>
      </c>
      <c r="P1318" t="str">
        <f>_xlfn.XLOOKUP(frasest[[#This Row],[author_es]],autorest[author_es],autorest[age_la])</f>
        <v>Epocha Ignota</v>
      </c>
      <c r="Q1318" t="str">
        <f>_xlfn.XLOOKUP(frasest[[#This Row],[author_es]],autorest[author_es],autorest[image])</f>
        <v>https://i.ibb.co/qLfpZm6h/china.png</v>
      </c>
      <c r="R1318">
        <f>_xlfn.XLOOKUP(frasest[[#This Row],[author_es]],autorest[author_es],autorest[image_atr])</f>
        <v>0</v>
      </c>
    </row>
    <row r="1319" spans="1:18">
      <c r="A1319">
        <v>1318</v>
      </c>
      <c r="B1319" t="s">
        <v>4064</v>
      </c>
      <c r="C1319" t="s">
        <v>4065</v>
      </c>
      <c r="D1319" s="1" t="s">
        <v>4066</v>
      </c>
      <c r="E1319" t="s">
        <v>36</v>
      </c>
      <c r="G1319" t="str">
        <f>_xlfn.XLOOKUP(frasest[[#This Row],[author_es]],autorest[author_es],autorest[author_la])</f>
        <v>Proverbium Sinense</v>
      </c>
      <c r="H1319" t="str">
        <f>_xlfn.XLOOKUP(frasest[[#This Row],[author_es]],autorest[author_es],autorest[bio_es])</f>
        <v>Conjunto de proverbios tradicionales de la cultura china que transmiten sabiduría popular, valores morales y enseñanzas prácticas transmitidas oralmente durante siglos.</v>
      </c>
      <c r="I1319" t="str">
        <f>_xlfn.XLOOKUP(frasest[[#This Row],[author_es]],autorest[author_es],autorest[bio_la])</f>
        <v>Collectio sententiarum Sinensium, magnopere in cultura tradita.</v>
      </c>
      <c r="J1319" t="str">
        <f>_xlfn.XLOOKUP(frasest[[#This Row],[author_es]],autorest[author_es],autorest[iso3691])</f>
        <v>zh</v>
      </c>
      <c r="K1319" t="str">
        <f>_xlfn.XLOOKUP(frasest[[#This Row],[author_es]],autorest[author_es],autorest[language_es])</f>
        <v>Chino</v>
      </c>
      <c r="L1319" t="str">
        <f>_xlfn.XLOOKUP(frasest[[#This Row],[author_es]],autorest[author_es],autorest[language_la])</f>
        <v>Lingua Sinica</v>
      </c>
      <c r="M1319" t="str">
        <f>_xlfn.XLOOKUP(frasest[[#This Row],[author_es]],autorest[author_es],autorest[nation_es])</f>
        <v>China</v>
      </c>
      <c r="N1319" t="str">
        <f>_xlfn.XLOOKUP(frasest[[#This Row],[author_es]],autorest[author_es],autorest[nation_la])</f>
        <v>Sinae</v>
      </c>
      <c r="O1319" t="str">
        <f>_xlfn.XLOOKUP(frasest[[#This Row],[author_es]],autorest[author_es],autorest[age_es])</f>
        <v>Epoca Desconocida</v>
      </c>
      <c r="P1319" t="str">
        <f>_xlfn.XLOOKUP(frasest[[#This Row],[author_es]],autorest[author_es],autorest[age_la])</f>
        <v>Epocha Ignota</v>
      </c>
      <c r="Q1319" t="str">
        <f>_xlfn.XLOOKUP(frasest[[#This Row],[author_es]],autorest[author_es],autorest[image])</f>
        <v>https://i.ibb.co/qLfpZm6h/china.png</v>
      </c>
      <c r="R1319">
        <f>_xlfn.XLOOKUP(frasest[[#This Row],[author_es]],autorest[author_es],autorest[image_atr])</f>
        <v>0</v>
      </c>
    </row>
    <row r="1320" spans="1:18">
      <c r="A1320">
        <v>1319</v>
      </c>
      <c r="B1320" t="s">
        <v>4067</v>
      </c>
      <c r="C1320" t="s">
        <v>4068</v>
      </c>
      <c r="D1320" s="1" t="s">
        <v>4069</v>
      </c>
      <c r="E1320" t="s">
        <v>36</v>
      </c>
      <c r="G1320" t="str">
        <f>_xlfn.XLOOKUP(frasest[[#This Row],[author_es]],autorest[author_es],autorest[author_la])</f>
        <v>Proverbium Sinense</v>
      </c>
      <c r="H1320" t="str">
        <f>_xlfn.XLOOKUP(frasest[[#This Row],[author_es]],autorest[author_es],autorest[bio_es])</f>
        <v>Conjunto de proverbios tradicionales de la cultura china que transmiten sabiduría popular, valores morales y enseñanzas prácticas transmitidas oralmente durante siglos.</v>
      </c>
      <c r="I1320" t="str">
        <f>_xlfn.XLOOKUP(frasest[[#This Row],[author_es]],autorest[author_es],autorest[bio_la])</f>
        <v>Collectio sententiarum Sinensium, magnopere in cultura tradita.</v>
      </c>
      <c r="J1320" t="str">
        <f>_xlfn.XLOOKUP(frasest[[#This Row],[author_es]],autorest[author_es],autorest[iso3691])</f>
        <v>zh</v>
      </c>
      <c r="K1320" t="str">
        <f>_xlfn.XLOOKUP(frasest[[#This Row],[author_es]],autorest[author_es],autorest[language_es])</f>
        <v>Chino</v>
      </c>
      <c r="L1320" t="str">
        <f>_xlfn.XLOOKUP(frasest[[#This Row],[author_es]],autorest[author_es],autorest[language_la])</f>
        <v>Lingua Sinica</v>
      </c>
      <c r="M1320" t="str">
        <f>_xlfn.XLOOKUP(frasest[[#This Row],[author_es]],autorest[author_es],autorest[nation_es])</f>
        <v>China</v>
      </c>
      <c r="N1320" t="str">
        <f>_xlfn.XLOOKUP(frasest[[#This Row],[author_es]],autorest[author_es],autorest[nation_la])</f>
        <v>Sinae</v>
      </c>
      <c r="O1320" t="str">
        <f>_xlfn.XLOOKUP(frasest[[#This Row],[author_es]],autorest[author_es],autorest[age_es])</f>
        <v>Epoca Desconocida</v>
      </c>
      <c r="P1320" t="str">
        <f>_xlfn.XLOOKUP(frasest[[#This Row],[author_es]],autorest[author_es],autorest[age_la])</f>
        <v>Epocha Ignota</v>
      </c>
      <c r="Q1320" t="str">
        <f>_xlfn.XLOOKUP(frasest[[#This Row],[author_es]],autorest[author_es],autorest[image])</f>
        <v>https://i.ibb.co/qLfpZm6h/china.png</v>
      </c>
      <c r="R1320">
        <f>_xlfn.XLOOKUP(frasest[[#This Row],[author_es]],autorest[author_es],autorest[image_atr])</f>
        <v>0</v>
      </c>
    </row>
    <row r="1321" spans="1:18">
      <c r="A1321">
        <v>1320</v>
      </c>
      <c r="B1321" t="s">
        <v>4070</v>
      </c>
      <c r="C1321" t="s">
        <v>4071</v>
      </c>
      <c r="D1321" s="1" t="s">
        <v>4072</v>
      </c>
      <c r="E1321" t="s">
        <v>36</v>
      </c>
      <c r="G1321" t="str">
        <f>_xlfn.XLOOKUP(frasest[[#This Row],[author_es]],autorest[author_es],autorest[author_la])</f>
        <v>Proverbium Sinense</v>
      </c>
      <c r="H1321" t="str">
        <f>_xlfn.XLOOKUP(frasest[[#This Row],[author_es]],autorest[author_es],autorest[bio_es])</f>
        <v>Conjunto de proverbios tradicionales de la cultura china que transmiten sabiduría popular, valores morales y enseñanzas prácticas transmitidas oralmente durante siglos.</v>
      </c>
      <c r="I1321" t="str">
        <f>_xlfn.XLOOKUP(frasest[[#This Row],[author_es]],autorest[author_es],autorest[bio_la])</f>
        <v>Collectio sententiarum Sinensium, magnopere in cultura tradita.</v>
      </c>
      <c r="J1321" t="str">
        <f>_xlfn.XLOOKUP(frasest[[#This Row],[author_es]],autorest[author_es],autorest[iso3691])</f>
        <v>zh</v>
      </c>
      <c r="K1321" t="str">
        <f>_xlfn.XLOOKUP(frasest[[#This Row],[author_es]],autorest[author_es],autorest[language_es])</f>
        <v>Chino</v>
      </c>
      <c r="L1321" t="str">
        <f>_xlfn.XLOOKUP(frasest[[#This Row],[author_es]],autorest[author_es],autorest[language_la])</f>
        <v>Lingua Sinica</v>
      </c>
      <c r="M1321" t="str">
        <f>_xlfn.XLOOKUP(frasest[[#This Row],[author_es]],autorest[author_es],autorest[nation_es])</f>
        <v>China</v>
      </c>
      <c r="N1321" t="str">
        <f>_xlfn.XLOOKUP(frasest[[#This Row],[author_es]],autorest[author_es],autorest[nation_la])</f>
        <v>Sinae</v>
      </c>
      <c r="O1321" t="str">
        <f>_xlfn.XLOOKUP(frasest[[#This Row],[author_es]],autorest[author_es],autorest[age_es])</f>
        <v>Epoca Desconocida</v>
      </c>
      <c r="P1321" t="str">
        <f>_xlfn.XLOOKUP(frasest[[#This Row],[author_es]],autorest[author_es],autorest[age_la])</f>
        <v>Epocha Ignota</v>
      </c>
      <c r="Q1321" t="str">
        <f>_xlfn.XLOOKUP(frasest[[#This Row],[author_es]],autorest[author_es],autorest[image])</f>
        <v>https://i.ibb.co/qLfpZm6h/china.png</v>
      </c>
      <c r="R1321">
        <f>_xlfn.XLOOKUP(frasest[[#This Row],[author_es]],autorest[author_es],autorest[image_atr])</f>
        <v>0</v>
      </c>
    </row>
    <row r="1322" spans="1:18">
      <c r="A1322">
        <v>1321</v>
      </c>
      <c r="B1322" t="s">
        <v>4073</v>
      </c>
      <c r="C1322" t="s">
        <v>4074</v>
      </c>
      <c r="D1322" s="1" t="s">
        <v>4075</v>
      </c>
      <c r="E1322" t="s">
        <v>36</v>
      </c>
      <c r="G1322" t="str">
        <f>_xlfn.XLOOKUP(frasest[[#This Row],[author_es]],autorest[author_es],autorest[author_la])</f>
        <v>Proverbium Sinense</v>
      </c>
      <c r="H1322" t="str">
        <f>_xlfn.XLOOKUP(frasest[[#This Row],[author_es]],autorest[author_es],autorest[bio_es])</f>
        <v>Conjunto de proverbios tradicionales de la cultura china que transmiten sabiduría popular, valores morales y enseñanzas prácticas transmitidas oralmente durante siglos.</v>
      </c>
      <c r="I1322" t="str">
        <f>_xlfn.XLOOKUP(frasest[[#This Row],[author_es]],autorest[author_es],autorest[bio_la])</f>
        <v>Collectio sententiarum Sinensium, magnopere in cultura tradita.</v>
      </c>
      <c r="J1322" t="str">
        <f>_xlfn.XLOOKUP(frasest[[#This Row],[author_es]],autorest[author_es],autorest[iso3691])</f>
        <v>zh</v>
      </c>
      <c r="K1322" t="str">
        <f>_xlfn.XLOOKUP(frasest[[#This Row],[author_es]],autorest[author_es],autorest[language_es])</f>
        <v>Chino</v>
      </c>
      <c r="L1322" t="str">
        <f>_xlfn.XLOOKUP(frasest[[#This Row],[author_es]],autorest[author_es],autorest[language_la])</f>
        <v>Lingua Sinica</v>
      </c>
      <c r="M1322" t="str">
        <f>_xlfn.XLOOKUP(frasest[[#This Row],[author_es]],autorest[author_es],autorest[nation_es])</f>
        <v>China</v>
      </c>
      <c r="N1322" t="str">
        <f>_xlfn.XLOOKUP(frasest[[#This Row],[author_es]],autorest[author_es],autorest[nation_la])</f>
        <v>Sinae</v>
      </c>
      <c r="O1322" t="str">
        <f>_xlfn.XLOOKUP(frasest[[#This Row],[author_es]],autorest[author_es],autorest[age_es])</f>
        <v>Epoca Desconocida</v>
      </c>
      <c r="P1322" t="str">
        <f>_xlfn.XLOOKUP(frasest[[#This Row],[author_es]],autorest[author_es],autorest[age_la])</f>
        <v>Epocha Ignota</v>
      </c>
      <c r="Q1322" t="str">
        <f>_xlfn.XLOOKUP(frasest[[#This Row],[author_es]],autorest[author_es],autorest[image])</f>
        <v>https://i.ibb.co/qLfpZm6h/china.png</v>
      </c>
      <c r="R1322">
        <f>_xlfn.XLOOKUP(frasest[[#This Row],[author_es]],autorest[author_es],autorest[image_atr])</f>
        <v>0</v>
      </c>
    </row>
    <row r="1323" spans="1:18">
      <c r="A1323">
        <v>1322</v>
      </c>
      <c r="B1323" t="s">
        <v>4076</v>
      </c>
      <c r="C1323" t="s">
        <v>4077</v>
      </c>
      <c r="D1323" s="1" t="s">
        <v>4078</v>
      </c>
      <c r="E1323" t="s">
        <v>36</v>
      </c>
      <c r="G1323" t="str">
        <f>_xlfn.XLOOKUP(frasest[[#This Row],[author_es]],autorest[author_es],autorest[author_la])</f>
        <v>Proverbium Sinense</v>
      </c>
      <c r="H1323" t="str">
        <f>_xlfn.XLOOKUP(frasest[[#This Row],[author_es]],autorest[author_es],autorest[bio_es])</f>
        <v>Conjunto de proverbios tradicionales de la cultura china que transmiten sabiduría popular, valores morales y enseñanzas prácticas transmitidas oralmente durante siglos.</v>
      </c>
      <c r="I1323" t="str">
        <f>_xlfn.XLOOKUP(frasest[[#This Row],[author_es]],autorest[author_es],autorest[bio_la])</f>
        <v>Collectio sententiarum Sinensium, magnopere in cultura tradita.</v>
      </c>
      <c r="J1323" t="str">
        <f>_xlfn.XLOOKUP(frasest[[#This Row],[author_es]],autorest[author_es],autorest[iso3691])</f>
        <v>zh</v>
      </c>
      <c r="K1323" t="str">
        <f>_xlfn.XLOOKUP(frasest[[#This Row],[author_es]],autorest[author_es],autorest[language_es])</f>
        <v>Chino</v>
      </c>
      <c r="L1323" t="str">
        <f>_xlfn.XLOOKUP(frasest[[#This Row],[author_es]],autorest[author_es],autorest[language_la])</f>
        <v>Lingua Sinica</v>
      </c>
      <c r="M1323" t="str">
        <f>_xlfn.XLOOKUP(frasest[[#This Row],[author_es]],autorest[author_es],autorest[nation_es])</f>
        <v>China</v>
      </c>
      <c r="N1323" t="str">
        <f>_xlfn.XLOOKUP(frasest[[#This Row],[author_es]],autorest[author_es],autorest[nation_la])</f>
        <v>Sinae</v>
      </c>
      <c r="O1323" t="str">
        <f>_xlfn.XLOOKUP(frasest[[#This Row],[author_es]],autorest[author_es],autorest[age_es])</f>
        <v>Epoca Desconocida</v>
      </c>
      <c r="P1323" t="str">
        <f>_xlfn.XLOOKUP(frasest[[#This Row],[author_es]],autorest[author_es],autorest[age_la])</f>
        <v>Epocha Ignota</v>
      </c>
      <c r="Q1323" t="str">
        <f>_xlfn.XLOOKUP(frasest[[#This Row],[author_es]],autorest[author_es],autorest[image])</f>
        <v>https://i.ibb.co/qLfpZm6h/china.png</v>
      </c>
      <c r="R1323">
        <f>_xlfn.XLOOKUP(frasest[[#This Row],[author_es]],autorest[author_es],autorest[image_atr])</f>
        <v>0</v>
      </c>
    </row>
    <row r="1324" spans="1:18">
      <c r="A1324">
        <v>1323</v>
      </c>
      <c r="B1324" t="s">
        <v>4079</v>
      </c>
      <c r="C1324" t="s">
        <v>4080</v>
      </c>
      <c r="D1324" s="1" t="s">
        <v>4081</v>
      </c>
      <c r="E1324" t="s">
        <v>36</v>
      </c>
      <c r="G1324" t="str">
        <f>_xlfn.XLOOKUP(frasest[[#This Row],[author_es]],autorest[author_es],autorest[author_la])</f>
        <v>Proverbium Sinense</v>
      </c>
      <c r="H1324" t="str">
        <f>_xlfn.XLOOKUP(frasest[[#This Row],[author_es]],autorest[author_es],autorest[bio_es])</f>
        <v>Conjunto de proverbios tradicionales de la cultura china que transmiten sabiduría popular, valores morales y enseñanzas prácticas transmitidas oralmente durante siglos.</v>
      </c>
      <c r="I1324" t="str">
        <f>_xlfn.XLOOKUP(frasest[[#This Row],[author_es]],autorest[author_es],autorest[bio_la])</f>
        <v>Collectio sententiarum Sinensium, magnopere in cultura tradita.</v>
      </c>
      <c r="J1324" t="str">
        <f>_xlfn.XLOOKUP(frasest[[#This Row],[author_es]],autorest[author_es],autorest[iso3691])</f>
        <v>zh</v>
      </c>
      <c r="K1324" t="str">
        <f>_xlfn.XLOOKUP(frasest[[#This Row],[author_es]],autorest[author_es],autorest[language_es])</f>
        <v>Chino</v>
      </c>
      <c r="L1324" t="str">
        <f>_xlfn.XLOOKUP(frasest[[#This Row],[author_es]],autorest[author_es],autorest[language_la])</f>
        <v>Lingua Sinica</v>
      </c>
      <c r="M1324" t="str">
        <f>_xlfn.XLOOKUP(frasest[[#This Row],[author_es]],autorest[author_es],autorest[nation_es])</f>
        <v>China</v>
      </c>
      <c r="N1324" t="str">
        <f>_xlfn.XLOOKUP(frasest[[#This Row],[author_es]],autorest[author_es],autorest[nation_la])</f>
        <v>Sinae</v>
      </c>
      <c r="O1324" t="str">
        <f>_xlfn.XLOOKUP(frasest[[#This Row],[author_es]],autorest[author_es],autorest[age_es])</f>
        <v>Epoca Desconocida</v>
      </c>
      <c r="P1324" t="str">
        <f>_xlfn.XLOOKUP(frasest[[#This Row],[author_es]],autorest[author_es],autorest[age_la])</f>
        <v>Epocha Ignota</v>
      </c>
      <c r="Q1324" t="str">
        <f>_xlfn.XLOOKUP(frasest[[#This Row],[author_es]],autorest[author_es],autorest[image])</f>
        <v>https://i.ibb.co/qLfpZm6h/china.png</v>
      </c>
      <c r="R1324">
        <f>_xlfn.XLOOKUP(frasest[[#This Row],[author_es]],autorest[author_es],autorest[image_atr])</f>
        <v>0</v>
      </c>
    </row>
    <row r="1325" spans="1:18">
      <c r="A1325">
        <v>1324</v>
      </c>
      <c r="B1325" t="s">
        <v>4082</v>
      </c>
      <c r="C1325" t="s">
        <v>4083</v>
      </c>
      <c r="D1325" s="1" t="s">
        <v>4084</v>
      </c>
      <c r="E1325" t="s">
        <v>36</v>
      </c>
      <c r="G1325" t="str">
        <f>_xlfn.XLOOKUP(frasest[[#This Row],[author_es]],autorest[author_es],autorest[author_la])</f>
        <v>Proverbium Sinense</v>
      </c>
      <c r="H1325" t="str">
        <f>_xlfn.XLOOKUP(frasest[[#This Row],[author_es]],autorest[author_es],autorest[bio_es])</f>
        <v>Conjunto de proverbios tradicionales de la cultura china que transmiten sabiduría popular, valores morales y enseñanzas prácticas transmitidas oralmente durante siglos.</v>
      </c>
      <c r="I1325" t="str">
        <f>_xlfn.XLOOKUP(frasest[[#This Row],[author_es]],autorest[author_es],autorest[bio_la])</f>
        <v>Collectio sententiarum Sinensium, magnopere in cultura tradita.</v>
      </c>
      <c r="J1325" t="str">
        <f>_xlfn.XLOOKUP(frasest[[#This Row],[author_es]],autorest[author_es],autorest[iso3691])</f>
        <v>zh</v>
      </c>
      <c r="K1325" t="str">
        <f>_xlfn.XLOOKUP(frasest[[#This Row],[author_es]],autorest[author_es],autorest[language_es])</f>
        <v>Chino</v>
      </c>
      <c r="L1325" t="str">
        <f>_xlfn.XLOOKUP(frasest[[#This Row],[author_es]],autorest[author_es],autorest[language_la])</f>
        <v>Lingua Sinica</v>
      </c>
      <c r="M1325" t="str">
        <f>_xlfn.XLOOKUP(frasest[[#This Row],[author_es]],autorest[author_es],autorest[nation_es])</f>
        <v>China</v>
      </c>
      <c r="N1325" t="str">
        <f>_xlfn.XLOOKUP(frasest[[#This Row],[author_es]],autorest[author_es],autorest[nation_la])</f>
        <v>Sinae</v>
      </c>
      <c r="O1325" t="str">
        <f>_xlfn.XLOOKUP(frasest[[#This Row],[author_es]],autorest[author_es],autorest[age_es])</f>
        <v>Epoca Desconocida</v>
      </c>
      <c r="P1325" t="str">
        <f>_xlfn.XLOOKUP(frasest[[#This Row],[author_es]],autorest[author_es],autorest[age_la])</f>
        <v>Epocha Ignota</v>
      </c>
      <c r="Q1325" t="str">
        <f>_xlfn.XLOOKUP(frasest[[#This Row],[author_es]],autorest[author_es],autorest[image])</f>
        <v>https://i.ibb.co/qLfpZm6h/china.png</v>
      </c>
      <c r="R1325">
        <f>_xlfn.XLOOKUP(frasest[[#This Row],[author_es]],autorest[author_es],autorest[image_atr])</f>
        <v>0</v>
      </c>
    </row>
    <row r="1326" spans="1:18">
      <c r="A1326">
        <v>1325</v>
      </c>
      <c r="B1326" t="s">
        <v>4085</v>
      </c>
      <c r="C1326" t="s">
        <v>4086</v>
      </c>
      <c r="D1326" s="1" t="s">
        <v>4087</v>
      </c>
      <c r="E1326" t="s">
        <v>36</v>
      </c>
      <c r="G1326" t="str">
        <f>_xlfn.XLOOKUP(frasest[[#This Row],[author_es]],autorest[author_es],autorest[author_la])</f>
        <v>Proverbium Sinense</v>
      </c>
      <c r="H1326" t="str">
        <f>_xlfn.XLOOKUP(frasest[[#This Row],[author_es]],autorest[author_es],autorest[bio_es])</f>
        <v>Conjunto de proverbios tradicionales de la cultura china que transmiten sabiduría popular, valores morales y enseñanzas prácticas transmitidas oralmente durante siglos.</v>
      </c>
      <c r="I1326" t="str">
        <f>_xlfn.XLOOKUP(frasest[[#This Row],[author_es]],autorest[author_es],autorest[bio_la])</f>
        <v>Collectio sententiarum Sinensium, magnopere in cultura tradita.</v>
      </c>
      <c r="J1326" t="str">
        <f>_xlfn.XLOOKUP(frasest[[#This Row],[author_es]],autorest[author_es],autorest[iso3691])</f>
        <v>zh</v>
      </c>
      <c r="K1326" t="str">
        <f>_xlfn.XLOOKUP(frasest[[#This Row],[author_es]],autorest[author_es],autorest[language_es])</f>
        <v>Chino</v>
      </c>
      <c r="L1326" t="str">
        <f>_xlfn.XLOOKUP(frasest[[#This Row],[author_es]],autorest[author_es],autorest[language_la])</f>
        <v>Lingua Sinica</v>
      </c>
      <c r="M1326" t="str">
        <f>_xlfn.XLOOKUP(frasest[[#This Row],[author_es]],autorest[author_es],autorest[nation_es])</f>
        <v>China</v>
      </c>
      <c r="N1326" t="str">
        <f>_xlfn.XLOOKUP(frasest[[#This Row],[author_es]],autorest[author_es],autorest[nation_la])</f>
        <v>Sinae</v>
      </c>
      <c r="O1326" t="str">
        <f>_xlfn.XLOOKUP(frasest[[#This Row],[author_es]],autorest[author_es],autorest[age_es])</f>
        <v>Epoca Desconocida</v>
      </c>
      <c r="P1326" t="str">
        <f>_xlfn.XLOOKUP(frasest[[#This Row],[author_es]],autorest[author_es],autorest[age_la])</f>
        <v>Epocha Ignota</v>
      </c>
      <c r="Q1326" t="str">
        <f>_xlfn.XLOOKUP(frasest[[#This Row],[author_es]],autorest[author_es],autorest[image])</f>
        <v>https://i.ibb.co/qLfpZm6h/china.png</v>
      </c>
      <c r="R1326">
        <f>_xlfn.XLOOKUP(frasest[[#This Row],[author_es]],autorest[author_es],autorest[image_atr])</f>
        <v>0</v>
      </c>
    </row>
    <row r="1327" spans="1:18">
      <c r="A1327">
        <v>1326</v>
      </c>
      <c r="B1327" t="s">
        <v>4088</v>
      </c>
      <c r="C1327" t="s">
        <v>4089</v>
      </c>
      <c r="D1327" s="1" t="s">
        <v>3958</v>
      </c>
      <c r="E1327" t="s">
        <v>36</v>
      </c>
      <c r="G1327" t="str">
        <f>_xlfn.XLOOKUP(frasest[[#This Row],[author_es]],autorest[author_es],autorest[author_la])</f>
        <v>Proverbium Sinense</v>
      </c>
      <c r="H1327" t="str">
        <f>_xlfn.XLOOKUP(frasest[[#This Row],[author_es]],autorest[author_es],autorest[bio_es])</f>
        <v>Conjunto de proverbios tradicionales de la cultura china que transmiten sabiduría popular, valores morales y enseñanzas prácticas transmitidas oralmente durante siglos.</v>
      </c>
      <c r="I1327" t="str">
        <f>_xlfn.XLOOKUP(frasest[[#This Row],[author_es]],autorest[author_es],autorest[bio_la])</f>
        <v>Collectio sententiarum Sinensium, magnopere in cultura tradita.</v>
      </c>
      <c r="J1327" t="str">
        <f>_xlfn.XLOOKUP(frasest[[#This Row],[author_es]],autorest[author_es],autorest[iso3691])</f>
        <v>zh</v>
      </c>
      <c r="K1327" t="str">
        <f>_xlfn.XLOOKUP(frasest[[#This Row],[author_es]],autorest[author_es],autorest[language_es])</f>
        <v>Chino</v>
      </c>
      <c r="L1327" t="str">
        <f>_xlfn.XLOOKUP(frasest[[#This Row],[author_es]],autorest[author_es],autorest[language_la])</f>
        <v>Lingua Sinica</v>
      </c>
      <c r="M1327" t="str">
        <f>_xlfn.XLOOKUP(frasest[[#This Row],[author_es]],autorest[author_es],autorest[nation_es])</f>
        <v>China</v>
      </c>
      <c r="N1327" t="str">
        <f>_xlfn.XLOOKUP(frasest[[#This Row],[author_es]],autorest[author_es],autorest[nation_la])</f>
        <v>Sinae</v>
      </c>
      <c r="O1327" t="str">
        <f>_xlfn.XLOOKUP(frasest[[#This Row],[author_es]],autorest[author_es],autorest[age_es])</f>
        <v>Epoca Desconocida</v>
      </c>
      <c r="P1327" t="str">
        <f>_xlfn.XLOOKUP(frasest[[#This Row],[author_es]],autorest[author_es],autorest[age_la])</f>
        <v>Epocha Ignota</v>
      </c>
      <c r="Q1327" t="str">
        <f>_xlfn.XLOOKUP(frasest[[#This Row],[author_es]],autorest[author_es],autorest[image])</f>
        <v>https://i.ibb.co/qLfpZm6h/china.png</v>
      </c>
      <c r="R1327">
        <f>_xlfn.XLOOKUP(frasest[[#This Row],[author_es]],autorest[author_es],autorest[image_atr])</f>
        <v>0</v>
      </c>
    </row>
    <row r="1328" spans="1:18">
      <c r="A1328">
        <v>1327</v>
      </c>
      <c r="B1328" t="s">
        <v>4090</v>
      </c>
      <c r="C1328" t="s">
        <v>4091</v>
      </c>
      <c r="D1328" s="1" t="s">
        <v>4092</v>
      </c>
      <c r="E1328" t="s">
        <v>36</v>
      </c>
      <c r="G1328" t="str">
        <f>_xlfn.XLOOKUP(frasest[[#This Row],[author_es]],autorest[author_es],autorest[author_la])</f>
        <v>Proverbium Sinense</v>
      </c>
      <c r="H1328" t="str">
        <f>_xlfn.XLOOKUP(frasest[[#This Row],[author_es]],autorest[author_es],autorest[bio_es])</f>
        <v>Conjunto de proverbios tradicionales de la cultura china que transmiten sabiduría popular, valores morales y enseñanzas prácticas transmitidas oralmente durante siglos.</v>
      </c>
      <c r="I1328" t="str">
        <f>_xlfn.XLOOKUP(frasest[[#This Row],[author_es]],autorest[author_es],autorest[bio_la])</f>
        <v>Collectio sententiarum Sinensium, magnopere in cultura tradita.</v>
      </c>
      <c r="J1328" t="str">
        <f>_xlfn.XLOOKUP(frasest[[#This Row],[author_es]],autorest[author_es],autorest[iso3691])</f>
        <v>zh</v>
      </c>
      <c r="K1328" t="str">
        <f>_xlfn.XLOOKUP(frasest[[#This Row],[author_es]],autorest[author_es],autorest[language_es])</f>
        <v>Chino</v>
      </c>
      <c r="L1328" t="str">
        <f>_xlfn.XLOOKUP(frasest[[#This Row],[author_es]],autorest[author_es],autorest[language_la])</f>
        <v>Lingua Sinica</v>
      </c>
      <c r="M1328" t="str">
        <f>_xlfn.XLOOKUP(frasest[[#This Row],[author_es]],autorest[author_es],autorest[nation_es])</f>
        <v>China</v>
      </c>
      <c r="N1328" t="str">
        <f>_xlfn.XLOOKUP(frasest[[#This Row],[author_es]],autorest[author_es],autorest[nation_la])</f>
        <v>Sinae</v>
      </c>
      <c r="O1328" t="str">
        <f>_xlfn.XLOOKUP(frasest[[#This Row],[author_es]],autorest[author_es],autorest[age_es])</f>
        <v>Epoca Desconocida</v>
      </c>
      <c r="P1328" t="str">
        <f>_xlfn.XLOOKUP(frasest[[#This Row],[author_es]],autorest[author_es],autorest[age_la])</f>
        <v>Epocha Ignota</v>
      </c>
      <c r="Q1328" t="str">
        <f>_xlfn.XLOOKUP(frasest[[#This Row],[author_es]],autorest[author_es],autorest[image])</f>
        <v>https://i.ibb.co/qLfpZm6h/china.png</v>
      </c>
      <c r="R1328">
        <f>_xlfn.XLOOKUP(frasest[[#This Row],[author_es]],autorest[author_es],autorest[image_atr])</f>
        <v>0</v>
      </c>
    </row>
    <row r="1329" spans="1:18">
      <c r="A1329">
        <v>1328</v>
      </c>
      <c r="B1329" t="s">
        <v>4093</v>
      </c>
      <c r="C1329" t="s">
        <v>4094</v>
      </c>
      <c r="D1329" s="1" t="s">
        <v>4095</v>
      </c>
      <c r="E1329" t="s">
        <v>36</v>
      </c>
      <c r="G1329" t="str">
        <f>_xlfn.XLOOKUP(frasest[[#This Row],[author_es]],autorest[author_es],autorest[author_la])</f>
        <v>Proverbium Sinense</v>
      </c>
      <c r="H1329" t="str">
        <f>_xlfn.XLOOKUP(frasest[[#This Row],[author_es]],autorest[author_es],autorest[bio_es])</f>
        <v>Conjunto de proverbios tradicionales de la cultura china que transmiten sabiduría popular, valores morales y enseñanzas prácticas transmitidas oralmente durante siglos.</v>
      </c>
      <c r="I1329" t="str">
        <f>_xlfn.XLOOKUP(frasest[[#This Row],[author_es]],autorest[author_es],autorest[bio_la])</f>
        <v>Collectio sententiarum Sinensium, magnopere in cultura tradita.</v>
      </c>
      <c r="J1329" t="str">
        <f>_xlfn.XLOOKUP(frasest[[#This Row],[author_es]],autorest[author_es],autorest[iso3691])</f>
        <v>zh</v>
      </c>
      <c r="K1329" t="str">
        <f>_xlfn.XLOOKUP(frasest[[#This Row],[author_es]],autorest[author_es],autorest[language_es])</f>
        <v>Chino</v>
      </c>
      <c r="L1329" t="str">
        <f>_xlfn.XLOOKUP(frasest[[#This Row],[author_es]],autorest[author_es],autorest[language_la])</f>
        <v>Lingua Sinica</v>
      </c>
      <c r="M1329" t="str">
        <f>_xlfn.XLOOKUP(frasest[[#This Row],[author_es]],autorest[author_es],autorest[nation_es])</f>
        <v>China</v>
      </c>
      <c r="N1329" t="str">
        <f>_xlfn.XLOOKUP(frasest[[#This Row],[author_es]],autorest[author_es],autorest[nation_la])</f>
        <v>Sinae</v>
      </c>
      <c r="O1329" t="str">
        <f>_xlfn.XLOOKUP(frasest[[#This Row],[author_es]],autorest[author_es],autorest[age_es])</f>
        <v>Epoca Desconocida</v>
      </c>
      <c r="P1329" t="str">
        <f>_xlfn.XLOOKUP(frasest[[#This Row],[author_es]],autorest[author_es],autorest[age_la])</f>
        <v>Epocha Ignota</v>
      </c>
      <c r="Q1329" t="str">
        <f>_xlfn.XLOOKUP(frasest[[#This Row],[author_es]],autorest[author_es],autorest[image])</f>
        <v>https://i.ibb.co/qLfpZm6h/china.png</v>
      </c>
      <c r="R1329">
        <f>_xlfn.XLOOKUP(frasest[[#This Row],[author_es]],autorest[author_es],autorest[image_atr])</f>
        <v>0</v>
      </c>
    </row>
    <row r="1330" spans="1:18">
      <c r="A1330">
        <v>1329</v>
      </c>
      <c r="B1330" t="s">
        <v>4096</v>
      </c>
      <c r="C1330" t="s">
        <v>4097</v>
      </c>
      <c r="D1330" s="1" t="s">
        <v>4098</v>
      </c>
      <c r="E1330" t="s">
        <v>36</v>
      </c>
      <c r="G1330" t="str">
        <f>_xlfn.XLOOKUP(frasest[[#This Row],[author_es]],autorest[author_es],autorest[author_la])</f>
        <v>Proverbium Sinense</v>
      </c>
      <c r="H1330" t="str">
        <f>_xlfn.XLOOKUP(frasest[[#This Row],[author_es]],autorest[author_es],autorest[bio_es])</f>
        <v>Conjunto de proverbios tradicionales de la cultura china que transmiten sabiduría popular, valores morales y enseñanzas prácticas transmitidas oralmente durante siglos.</v>
      </c>
      <c r="I1330" t="str">
        <f>_xlfn.XLOOKUP(frasest[[#This Row],[author_es]],autorest[author_es],autorest[bio_la])</f>
        <v>Collectio sententiarum Sinensium, magnopere in cultura tradita.</v>
      </c>
      <c r="J1330" t="str">
        <f>_xlfn.XLOOKUP(frasest[[#This Row],[author_es]],autorest[author_es],autorest[iso3691])</f>
        <v>zh</v>
      </c>
      <c r="K1330" t="str">
        <f>_xlfn.XLOOKUP(frasest[[#This Row],[author_es]],autorest[author_es],autorest[language_es])</f>
        <v>Chino</v>
      </c>
      <c r="L1330" t="str">
        <f>_xlfn.XLOOKUP(frasest[[#This Row],[author_es]],autorest[author_es],autorest[language_la])</f>
        <v>Lingua Sinica</v>
      </c>
      <c r="M1330" t="str">
        <f>_xlfn.XLOOKUP(frasest[[#This Row],[author_es]],autorest[author_es],autorest[nation_es])</f>
        <v>China</v>
      </c>
      <c r="N1330" t="str">
        <f>_xlfn.XLOOKUP(frasest[[#This Row],[author_es]],autorest[author_es],autorest[nation_la])</f>
        <v>Sinae</v>
      </c>
      <c r="O1330" t="str">
        <f>_xlfn.XLOOKUP(frasest[[#This Row],[author_es]],autorest[author_es],autorest[age_es])</f>
        <v>Epoca Desconocida</v>
      </c>
      <c r="P1330" t="str">
        <f>_xlfn.XLOOKUP(frasest[[#This Row],[author_es]],autorest[author_es],autorest[age_la])</f>
        <v>Epocha Ignota</v>
      </c>
      <c r="Q1330" t="str">
        <f>_xlfn.XLOOKUP(frasest[[#This Row],[author_es]],autorest[author_es],autorest[image])</f>
        <v>https://i.ibb.co/qLfpZm6h/china.png</v>
      </c>
      <c r="R1330">
        <f>_xlfn.XLOOKUP(frasest[[#This Row],[author_es]],autorest[author_es],autorest[image_atr])</f>
        <v>0</v>
      </c>
    </row>
    <row r="1331" spans="1:18">
      <c r="A1331">
        <v>1330</v>
      </c>
      <c r="B1331" t="s">
        <v>4099</v>
      </c>
      <c r="C1331" t="s">
        <v>4100</v>
      </c>
      <c r="D1331" s="1" t="s">
        <v>4101</v>
      </c>
      <c r="E1331" t="s">
        <v>36</v>
      </c>
      <c r="G1331" t="str">
        <f>_xlfn.XLOOKUP(frasest[[#This Row],[author_es]],autorest[author_es],autorest[author_la])</f>
        <v>Proverbium Sinense</v>
      </c>
      <c r="H1331" t="str">
        <f>_xlfn.XLOOKUP(frasest[[#This Row],[author_es]],autorest[author_es],autorest[bio_es])</f>
        <v>Conjunto de proverbios tradicionales de la cultura china que transmiten sabiduría popular, valores morales y enseñanzas prácticas transmitidas oralmente durante siglos.</v>
      </c>
      <c r="I1331" t="str">
        <f>_xlfn.XLOOKUP(frasest[[#This Row],[author_es]],autorest[author_es],autorest[bio_la])</f>
        <v>Collectio sententiarum Sinensium, magnopere in cultura tradita.</v>
      </c>
      <c r="J1331" t="str">
        <f>_xlfn.XLOOKUP(frasest[[#This Row],[author_es]],autorest[author_es],autorest[iso3691])</f>
        <v>zh</v>
      </c>
      <c r="K1331" t="str">
        <f>_xlfn.XLOOKUP(frasest[[#This Row],[author_es]],autorest[author_es],autorest[language_es])</f>
        <v>Chino</v>
      </c>
      <c r="L1331" t="str">
        <f>_xlfn.XLOOKUP(frasest[[#This Row],[author_es]],autorest[author_es],autorest[language_la])</f>
        <v>Lingua Sinica</v>
      </c>
      <c r="M1331" t="str">
        <f>_xlfn.XLOOKUP(frasest[[#This Row],[author_es]],autorest[author_es],autorest[nation_es])</f>
        <v>China</v>
      </c>
      <c r="N1331" t="str">
        <f>_xlfn.XLOOKUP(frasest[[#This Row],[author_es]],autorest[author_es],autorest[nation_la])</f>
        <v>Sinae</v>
      </c>
      <c r="O1331" t="str">
        <f>_xlfn.XLOOKUP(frasest[[#This Row],[author_es]],autorest[author_es],autorest[age_es])</f>
        <v>Epoca Desconocida</v>
      </c>
      <c r="P1331" t="str">
        <f>_xlfn.XLOOKUP(frasest[[#This Row],[author_es]],autorest[author_es],autorest[age_la])</f>
        <v>Epocha Ignota</v>
      </c>
      <c r="Q1331" t="str">
        <f>_xlfn.XLOOKUP(frasest[[#This Row],[author_es]],autorest[author_es],autorest[image])</f>
        <v>https://i.ibb.co/qLfpZm6h/china.png</v>
      </c>
      <c r="R1331">
        <f>_xlfn.XLOOKUP(frasest[[#This Row],[author_es]],autorest[author_es],autorest[image_atr])</f>
        <v>0</v>
      </c>
    </row>
    <row r="1332" spans="1:18">
      <c r="A1332">
        <v>1331</v>
      </c>
      <c r="B1332" t="s">
        <v>4102</v>
      </c>
      <c r="C1332" t="s">
        <v>4103</v>
      </c>
      <c r="D1332" s="1" t="s">
        <v>4104</v>
      </c>
      <c r="E1332" t="s">
        <v>36</v>
      </c>
      <c r="G1332" t="str">
        <f>_xlfn.XLOOKUP(frasest[[#This Row],[author_es]],autorest[author_es],autorest[author_la])</f>
        <v>Proverbium Sinense</v>
      </c>
      <c r="H1332" t="str">
        <f>_xlfn.XLOOKUP(frasest[[#This Row],[author_es]],autorest[author_es],autorest[bio_es])</f>
        <v>Conjunto de proverbios tradicionales de la cultura china que transmiten sabiduría popular, valores morales y enseñanzas prácticas transmitidas oralmente durante siglos.</v>
      </c>
      <c r="I1332" t="str">
        <f>_xlfn.XLOOKUP(frasest[[#This Row],[author_es]],autorest[author_es],autorest[bio_la])</f>
        <v>Collectio sententiarum Sinensium, magnopere in cultura tradita.</v>
      </c>
      <c r="J1332" t="str">
        <f>_xlfn.XLOOKUP(frasest[[#This Row],[author_es]],autorest[author_es],autorest[iso3691])</f>
        <v>zh</v>
      </c>
      <c r="K1332" t="str">
        <f>_xlfn.XLOOKUP(frasest[[#This Row],[author_es]],autorest[author_es],autorest[language_es])</f>
        <v>Chino</v>
      </c>
      <c r="L1332" t="str">
        <f>_xlfn.XLOOKUP(frasest[[#This Row],[author_es]],autorest[author_es],autorest[language_la])</f>
        <v>Lingua Sinica</v>
      </c>
      <c r="M1332" t="str">
        <f>_xlfn.XLOOKUP(frasest[[#This Row],[author_es]],autorest[author_es],autorest[nation_es])</f>
        <v>China</v>
      </c>
      <c r="N1332" t="str">
        <f>_xlfn.XLOOKUP(frasest[[#This Row],[author_es]],autorest[author_es],autorest[nation_la])</f>
        <v>Sinae</v>
      </c>
      <c r="O1332" t="str">
        <f>_xlfn.XLOOKUP(frasest[[#This Row],[author_es]],autorest[author_es],autorest[age_es])</f>
        <v>Epoca Desconocida</v>
      </c>
      <c r="P1332" t="str">
        <f>_xlfn.XLOOKUP(frasest[[#This Row],[author_es]],autorest[author_es],autorest[age_la])</f>
        <v>Epocha Ignota</v>
      </c>
      <c r="Q1332" t="str">
        <f>_xlfn.XLOOKUP(frasest[[#This Row],[author_es]],autorest[author_es],autorest[image])</f>
        <v>https://i.ibb.co/qLfpZm6h/china.png</v>
      </c>
      <c r="R1332">
        <f>_xlfn.XLOOKUP(frasest[[#This Row],[author_es]],autorest[author_es],autorest[image_atr])</f>
        <v>0</v>
      </c>
    </row>
    <row r="1333" spans="1:18">
      <c r="A1333">
        <v>1332</v>
      </c>
      <c r="B1333" t="s">
        <v>4105</v>
      </c>
      <c r="C1333" t="s">
        <v>4106</v>
      </c>
      <c r="D1333" s="1" t="s">
        <v>3234</v>
      </c>
      <c r="E1333" t="s">
        <v>36</v>
      </c>
      <c r="G1333" t="str">
        <f>_xlfn.XLOOKUP(frasest[[#This Row],[author_es]],autorest[author_es],autorest[author_la])</f>
        <v>Proverbium Sinense</v>
      </c>
      <c r="H1333" t="str">
        <f>_xlfn.XLOOKUP(frasest[[#This Row],[author_es]],autorest[author_es],autorest[bio_es])</f>
        <v>Conjunto de proverbios tradicionales de la cultura china que transmiten sabiduría popular, valores morales y enseñanzas prácticas transmitidas oralmente durante siglos.</v>
      </c>
      <c r="I1333" t="str">
        <f>_xlfn.XLOOKUP(frasest[[#This Row],[author_es]],autorest[author_es],autorest[bio_la])</f>
        <v>Collectio sententiarum Sinensium, magnopere in cultura tradita.</v>
      </c>
      <c r="J1333" t="str">
        <f>_xlfn.XLOOKUP(frasest[[#This Row],[author_es]],autorest[author_es],autorest[iso3691])</f>
        <v>zh</v>
      </c>
      <c r="K1333" t="str">
        <f>_xlfn.XLOOKUP(frasest[[#This Row],[author_es]],autorest[author_es],autorest[language_es])</f>
        <v>Chino</v>
      </c>
      <c r="L1333" t="str">
        <f>_xlfn.XLOOKUP(frasest[[#This Row],[author_es]],autorest[author_es],autorest[language_la])</f>
        <v>Lingua Sinica</v>
      </c>
      <c r="M1333" t="str">
        <f>_xlfn.XLOOKUP(frasest[[#This Row],[author_es]],autorest[author_es],autorest[nation_es])</f>
        <v>China</v>
      </c>
      <c r="N1333" t="str">
        <f>_xlfn.XLOOKUP(frasest[[#This Row],[author_es]],autorest[author_es],autorest[nation_la])</f>
        <v>Sinae</v>
      </c>
      <c r="O1333" t="str">
        <f>_xlfn.XLOOKUP(frasest[[#This Row],[author_es]],autorest[author_es],autorest[age_es])</f>
        <v>Epoca Desconocida</v>
      </c>
      <c r="P1333" t="str">
        <f>_xlfn.XLOOKUP(frasest[[#This Row],[author_es]],autorest[author_es],autorest[age_la])</f>
        <v>Epocha Ignota</v>
      </c>
      <c r="Q1333" t="str">
        <f>_xlfn.XLOOKUP(frasest[[#This Row],[author_es]],autorest[author_es],autorest[image])</f>
        <v>https://i.ibb.co/qLfpZm6h/china.png</v>
      </c>
      <c r="R1333">
        <f>_xlfn.XLOOKUP(frasest[[#This Row],[author_es]],autorest[author_es],autorest[image_atr])</f>
        <v>0</v>
      </c>
    </row>
    <row r="1334" spans="1:18">
      <c r="A1334">
        <v>1333</v>
      </c>
      <c r="B1334" t="s">
        <v>4107</v>
      </c>
      <c r="C1334" t="s">
        <v>4108</v>
      </c>
      <c r="D1334" s="1" t="s">
        <v>4109</v>
      </c>
      <c r="E1334" t="s">
        <v>36</v>
      </c>
      <c r="G1334" t="str">
        <f>_xlfn.XLOOKUP(frasest[[#This Row],[author_es]],autorest[author_es],autorest[author_la])</f>
        <v>Proverbium Sinense</v>
      </c>
      <c r="H1334" t="str">
        <f>_xlfn.XLOOKUP(frasest[[#This Row],[author_es]],autorest[author_es],autorest[bio_es])</f>
        <v>Conjunto de proverbios tradicionales de la cultura china que transmiten sabiduría popular, valores morales y enseñanzas prácticas transmitidas oralmente durante siglos.</v>
      </c>
      <c r="I1334" t="str">
        <f>_xlfn.XLOOKUP(frasest[[#This Row],[author_es]],autorest[author_es],autorest[bio_la])</f>
        <v>Collectio sententiarum Sinensium, magnopere in cultura tradita.</v>
      </c>
      <c r="J1334" t="str">
        <f>_xlfn.XLOOKUP(frasest[[#This Row],[author_es]],autorest[author_es],autorest[iso3691])</f>
        <v>zh</v>
      </c>
      <c r="K1334" t="str">
        <f>_xlfn.XLOOKUP(frasest[[#This Row],[author_es]],autorest[author_es],autorest[language_es])</f>
        <v>Chino</v>
      </c>
      <c r="L1334" t="str">
        <f>_xlfn.XLOOKUP(frasest[[#This Row],[author_es]],autorest[author_es],autorest[language_la])</f>
        <v>Lingua Sinica</v>
      </c>
      <c r="M1334" t="str">
        <f>_xlfn.XLOOKUP(frasest[[#This Row],[author_es]],autorest[author_es],autorest[nation_es])</f>
        <v>China</v>
      </c>
      <c r="N1334" t="str">
        <f>_xlfn.XLOOKUP(frasest[[#This Row],[author_es]],autorest[author_es],autorest[nation_la])</f>
        <v>Sinae</v>
      </c>
      <c r="O1334" t="str">
        <f>_xlfn.XLOOKUP(frasest[[#This Row],[author_es]],autorest[author_es],autorest[age_es])</f>
        <v>Epoca Desconocida</v>
      </c>
      <c r="P1334" t="str">
        <f>_xlfn.XLOOKUP(frasest[[#This Row],[author_es]],autorest[author_es],autorest[age_la])</f>
        <v>Epocha Ignota</v>
      </c>
      <c r="Q1334" t="str">
        <f>_xlfn.XLOOKUP(frasest[[#This Row],[author_es]],autorest[author_es],autorest[image])</f>
        <v>https://i.ibb.co/qLfpZm6h/china.png</v>
      </c>
      <c r="R1334">
        <f>_xlfn.XLOOKUP(frasest[[#This Row],[author_es]],autorest[author_es],autorest[image_atr])</f>
        <v>0</v>
      </c>
    </row>
    <row r="1335" spans="1:18">
      <c r="A1335">
        <v>1334</v>
      </c>
      <c r="B1335" t="s">
        <v>4110</v>
      </c>
      <c r="C1335" t="s">
        <v>4111</v>
      </c>
      <c r="D1335" s="1" t="s">
        <v>4112</v>
      </c>
      <c r="E1335" t="s">
        <v>36</v>
      </c>
      <c r="G1335" t="str">
        <f>_xlfn.XLOOKUP(frasest[[#This Row],[author_es]],autorest[author_es],autorest[author_la])</f>
        <v>Proverbium Sinense</v>
      </c>
      <c r="H1335" t="str">
        <f>_xlfn.XLOOKUP(frasest[[#This Row],[author_es]],autorest[author_es],autorest[bio_es])</f>
        <v>Conjunto de proverbios tradicionales de la cultura china que transmiten sabiduría popular, valores morales y enseñanzas prácticas transmitidas oralmente durante siglos.</v>
      </c>
      <c r="I1335" t="str">
        <f>_xlfn.XLOOKUP(frasest[[#This Row],[author_es]],autorest[author_es],autorest[bio_la])</f>
        <v>Collectio sententiarum Sinensium, magnopere in cultura tradita.</v>
      </c>
      <c r="J1335" t="str">
        <f>_xlfn.XLOOKUP(frasest[[#This Row],[author_es]],autorest[author_es],autorest[iso3691])</f>
        <v>zh</v>
      </c>
      <c r="K1335" t="str">
        <f>_xlfn.XLOOKUP(frasest[[#This Row],[author_es]],autorest[author_es],autorest[language_es])</f>
        <v>Chino</v>
      </c>
      <c r="L1335" t="str">
        <f>_xlfn.XLOOKUP(frasest[[#This Row],[author_es]],autorest[author_es],autorest[language_la])</f>
        <v>Lingua Sinica</v>
      </c>
      <c r="M1335" t="str">
        <f>_xlfn.XLOOKUP(frasest[[#This Row],[author_es]],autorest[author_es],autorest[nation_es])</f>
        <v>China</v>
      </c>
      <c r="N1335" t="str">
        <f>_xlfn.XLOOKUP(frasest[[#This Row],[author_es]],autorest[author_es],autorest[nation_la])</f>
        <v>Sinae</v>
      </c>
      <c r="O1335" t="str">
        <f>_xlfn.XLOOKUP(frasest[[#This Row],[author_es]],autorest[author_es],autorest[age_es])</f>
        <v>Epoca Desconocida</v>
      </c>
      <c r="P1335" t="str">
        <f>_xlfn.XLOOKUP(frasest[[#This Row],[author_es]],autorest[author_es],autorest[age_la])</f>
        <v>Epocha Ignota</v>
      </c>
      <c r="Q1335" t="str">
        <f>_xlfn.XLOOKUP(frasest[[#This Row],[author_es]],autorest[author_es],autorest[image])</f>
        <v>https://i.ibb.co/qLfpZm6h/china.png</v>
      </c>
      <c r="R1335">
        <f>_xlfn.XLOOKUP(frasest[[#This Row],[author_es]],autorest[author_es],autorest[image_atr])</f>
        <v>0</v>
      </c>
    </row>
    <row r="1336" spans="1:18">
      <c r="A1336">
        <v>1335</v>
      </c>
      <c r="B1336" t="s">
        <v>4113</v>
      </c>
      <c r="C1336" t="s">
        <v>4114</v>
      </c>
      <c r="D1336" s="1" t="s">
        <v>4115</v>
      </c>
      <c r="E1336" t="s">
        <v>36</v>
      </c>
      <c r="G1336" t="str">
        <f>_xlfn.XLOOKUP(frasest[[#This Row],[author_es]],autorest[author_es],autorest[author_la])</f>
        <v>Proverbium Sinense</v>
      </c>
      <c r="H1336" t="str">
        <f>_xlfn.XLOOKUP(frasest[[#This Row],[author_es]],autorest[author_es],autorest[bio_es])</f>
        <v>Conjunto de proverbios tradicionales de la cultura china que transmiten sabiduría popular, valores morales y enseñanzas prácticas transmitidas oralmente durante siglos.</v>
      </c>
      <c r="I1336" t="str">
        <f>_xlfn.XLOOKUP(frasest[[#This Row],[author_es]],autorest[author_es],autorest[bio_la])</f>
        <v>Collectio sententiarum Sinensium, magnopere in cultura tradita.</v>
      </c>
      <c r="J1336" t="str">
        <f>_xlfn.XLOOKUP(frasest[[#This Row],[author_es]],autorest[author_es],autorest[iso3691])</f>
        <v>zh</v>
      </c>
      <c r="K1336" t="str">
        <f>_xlfn.XLOOKUP(frasest[[#This Row],[author_es]],autorest[author_es],autorest[language_es])</f>
        <v>Chino</v>
      </c>
      <c r="L1336" t="str">
        <f>_xlfn.XLOOKUP(frasest[[#This Row],[author_es]],autorest[author_es],autorest[language_la])</f>
        <v>Lingua Sinica</v>
      </c>
      <c r="M1336" t="str">
        <f>_xlfn.XLOOKUP(frasest[[#This Row],[author_es]],autorest[author_es],autorest[nation_es])</f>
        <v>China</v>
      </c>
      <c r="N1336" t="str">
        <f>_xlfn.XLOOKUP(frasest[[#This Row],[author_es]],autorest[author_es],autorest[nation_la])</f>
        <v>Sinae</v>
      </c>
      <c r="O1336" t="str">
        <f>_xlfn.XLOOKUP(frasest[[#This Row],[author_es]],autorest[author_es],autorest[age_es])</f>
        <v>Epoca Desconocida</v>
      </c>
      <c r="P1336" t="str">
        <f>_xlfn.XLOOKUP(frasest[[#This Row],[author_es]],autorest[author_es],autorest[age_la])</f>
        <v>Epocha Ignota</v>
      </c>
      <c r="Q1336" t="str">
        <f>_xlfn.XLOOKUP(frasest[[#This Row],[author_es]],autorest[author_es],autorest[image])</f>
        <v>https://i.ibb.co/qLfpZm6h/china.png</v>
      </c>
      <c r="R1336">
        <f>_xlfn.XLOOKUP(frasest[[#This Row],[author_es]],autorest[author_es],autorest[image_atr])</f>
        <v>0</v>
      </c>
    </row>
    <row r="1337" spans="1:18">
      <c r="A1337">
        <v>1336</v>
      </c>
      <c r="B1337" t="s">
        <v>4116</v>
      </c>
      <c r="C1337" t="s">
        <v>4117</v>
      </c>
      <c r="D1337" s="1" t="s">
        <v>4118</v>
      </c>
      <c r="E1337" t="s">
        <v>36</v>
      </c>
      <c r="G1337" t="str">
        <f>_xlfn.XLOOKUP(frasest[[#This Row],[author_es]],autorest[author_es],autorest[author_la])</f>
        <v>Proverbium Sinense</v>
      </c>
      <c r="H1337" t="str">
        <f>_xlfn.XLOOKUP(frasest[[#This Row],[author_es]],autorest[author_es],autorest[bio_es])</f>
        <v>Conjunto de proverbios tradicionales de la cultura china que transmiten sabiduría popular, valores morales y enseñanzas prácticas transmitidas oralmente durante siglos.</v>
      </c>
      <c r="I1337" t="str">
        <f>_xlfn.XLOOKUP(frasest[[#This Row],[author_es]],autorest[author_es],autorest[bio_la])</f>
        <v>Collectio sententiarum Sinensium, magnopere in cultura tradita.</v>
      </c>
      <c r="J1337" t="str">
        <f>_xlfn.XLOOKUP(frasest[[#This Row],[author_es]],autorest[author_es],autorest[iso3691])</f>
        <v>zh</v>
      </c>
      <c r="K1337" t="str">
        <f>_xlfn.XLOOKUP(frasest[[#This Row],[author_es]],autorest[author_es],autorest[language_es])</f>
        <v>Chino</v>
      </c>
      <c r="L1337" t="str">
        <f>_xlfn.XLOOKUP(frasest[[#This Row],[author_es]],autorest[author_es],autorest[language_la])</f>
        <v>Lingua Sinica</v>
      </c>
      <c r="M1337" t="str">
        <f>_xlfn.XLOOKUP(frasest[[#This Row],[author_es]],autorest[author_es],autorest[nation_es])</f>
        <v>China</v>
      </c>
      <c r="N1337" t="str">
        <f>_xlfn.XLOOKUP(frasest[[#This Row],[author_es]],autorest[author_es],autorest[nation_la])</f>
        <v>Sinae</v>
      </c>
      <c r="O1337" t="str">
        <f>_xlfn.XLOOKUP(frasest[[#This Row],[author_es]],autorest[author_es],autorest[age_es])</f>
        <v>Epoca Desconocida</v>
      </c>
      <c r="P1337" t="str">
        <f>_xlfn.XLOOKUP(frasest[[#This Row],[author_es]],autorest[author_es],autorest[age_la])</f>
        <v>Epocha Ignota</v>
      </c>
      <c r="Q1337" t="str">
        <f>_xlfn.XLOOKUP(frasest[[#This Row],[author_es]],autorest[author_es],autorest[image])</f>
        <v>https://i.ibb.co/qLfpZm6h/china.png</v>
      </c>
      <c r="R1337">
        <f>_xlfn.XLOOKUP(frasest[[#This Row],[author_es]],autorest[author_es],autorest[image_atr])</f>
        <v>0</v>
      </c>
    </row>
    <row r="1338" spans="1:18">
      <c r="A1338">
        <v>1337</v>
      </c>
      <c r="B1338" t="s">
        <v>4119</v>
      </c>
      <c r="C1338" t="s">
        <v>4120</v>
      </c>
      <c r="D1338" s="1" t="s">
        <v>4121</v>
      </c>
      <c r="E1338" t="s">
        <v>36</v>
      </c>
      <c r="G1338" t="str">
        <f>_xlfn.XLOOKUP(frasest[[#This Row],[author_es]],autorest[author_es],autorest[author_la])</f>
        <v>Proverbium Sinense</v>
      </c>
      <c r="H1338" t="str">
        <f>_xlfn.XLOOKUP(frasest[[#This Row],[author_es]],autorest[author_es],autorest[bio_es])</f>
        <v>Conjunto de proverbios tradicionales de la cultura china que transmiten sabiduría popular, valores morales y enseñanzas prácticas transmitidas oralmente durante siglos.</v>
      </c>
      <c r="I1338" t="str">
        <f>_xlfn.XLOOKUP(frasest[[#This Row],[author_es]],autorest[author_es],autorest[bio_la])</f>
        <v>Collectio sententiarum Sinensium, magnopere in cultura tradita.</v>
      </c>
      <c r="J1338" t="str">
        <f>_xlfn.XLOOKUP(frasest[[#This Row],[author_es]],autorest[author_es],autorest[iso3691])</f>
        <v>zh</v>
      </c>
      <c r="K1338" t="str">
        <f>_xlfn.XLOOKUP(frasest[[#This Row],[author_es]],autorest[author_es],autorest[language_es])</f>
        <v>Chino</v>
      </c>
      <c r="L1338" t="str">
        <f>_xlfn.XLOOKUP(frasest[[#This Row],[author_es]],autorest[author_es],autorest[language_la])</f>
        <v>Lingua Sinica</v>
      </c>
      <c r="M1338" t="str">
        <f>_xlfn.XLOOKUP(frasest[[#This Row],[author_es]],autorest[author_es],autorest[nation_es])</f>
        <v>China</v>
      </c>
      <c r="N1338" t="str">
        <f>_xlfn.XLOOKUP(frasest[[#This Row],[author_es]],autorest[author_es],autorest[nation_la])</f>
        <v>Sinae</v>
      </c>
      <c r="O1338" t="str">
        <f>_xlfn.XLOOKUP(frasest[[#This Row],[author_es]],autorest[author_es],autorest[age_es])</f>
        <v>Epoca Desconocida</v>
      </c>
      <c r="P1338" t="str">
        <f>_xlfn.XLOOKUP(frasest[[#This Row],[author_es]],autorest[author_es],autorest[age_la])</f>
        <v>Epocha Ignota</v>
      </c>
      <c r="Q1338" t="str">
        <f>_xlfn.XLOOKUP(frasest[[#This Row],[author_es]],autorest[author_es],autorest[image])</f>
        <v>https://i.ibb.co/qLfpZm6h/china.png</v>
      </c>
      <c r="R1338">
        <f>_xlfn.XLOOKUP(frasest[[#This Row],[author_es]],autorest[author_es],autorest[image_atr])</f>
        <v>0</v>
      </c>
    </row>
    <row r="1339" spans="1:18">
      <c r="A1339">
        <v>1338</v>
      </c>
      <c r="B1339" t="s">
        <v>4122</v>
      </c>
      <c r="C1339" t="s">
        <v>4123</v>
      </c>
      <c r="D1339" s="1" t="s">
        <v>4124</v>
      </c>
      <c r="E1339" t="s">
        <v>36</v>
      </c>
      <c r="G1339" t="str">
        <f>_xlfn.XLOOKUP(frasest[[#This Row],[author_es]],autorest[author_es],autorest[author_la])</f>
        <v>Proverbium Sinense</v>
      </c>
      <c r="H1339" t="str">
        <f>_xlfn.XLOOKUP(frasest[[#This Row],[author_es]],autorest[author_es],autorest[bio_es])</f>
        <v>Conjunto de proverbios tradicionales de la cultura china que transmiten sabiduría popular, valores morales y enseñanzas prácticas transmitidas oralmente durante siglos.</v>
      </c>
      <c r="I1339" t="str">
        <f>_xlfn.XLOOKUP(frasest[[#This Row],[author_es]],autorest[author_es],autorest[bio_la])</f>
        <v>Collectio sententiarum Sinensium, magnopere in cultura tradita.</v>
      </c>
      <c r="J1339" t="str">
        <f>_xlfn.XLOOKUP(frasest[[#This Row],[author_es]],autorest[author_es],autorest[iso3691])</f>
        <v>zh</v>
      </c>
      <c r="K1339" t="str">
        <f>_xlfn.XLOOKUP(frasest[[#This Row],[author_es]],autorest[author_es],autorest[language_es])</f>
        <v>Chino</v>
      </c>
      <c r="L1339" t="str">
        <f>_xlfn.XLOOKUP(frasest[[#This Row],[author_es]],autorest[author_es],autorest[language_la])</f>
        <v>Lingua Sinica</v>
      </c>
      <c r="M1339" t="str">
        <f>_xlfn.XLOOKUP(frasest[[#This Row],[author_es]],autorest[author_es],autorest[nation_es])</f>
        <v>China</v>
      </c>
      <c r="N1339" t="str">
        <f>_xlfn.XLOOKUP(frasest[[#This Row],[author_es]],autorest[author_es],autorest[nation_la])</f>
        <v>Sinae</v>
      </c>
      <c r="O1339" t="str">
        <f>_xlfn.XLOOKUP(frasest[[#This Row],[author_es]],autorest[author_es],autorest[age_es])</f>
        <v>Epoca Desconocida</v>
      </c>
      <c r="P1339" t="str">
        <f>_xlfn.XLOOKUP(frasest[[#This Row],[author_es]],autorest[author_es],autorest[age_la])</f>
        <v>Epocha Ignota</v>
      </c>
      <c r="Q1339" t="str">
        <f>_xlfn.XLOOKUP(frasest[[#This Row],[author_es]],autorest[author_es],autorest[image])</f>
        <v>https://i.ibb.co/qLfpZm6h/china.png</v>
      </c>
      <c r="R1339">
        <f>_xlfn.XLOOKUP(frasest[[#This Row],[author_es]],autorest[author_es],autorest[image_atr])</f>
        <v>0</v>
      </c>
    </row>
    <row r="1340" spans="1:18">
      <c r="A1340">
        <v>1339</v>
      </c>
      <c r="B1340" t="s">
        <v>4125</v>
      </c>
      <c r="C1340" t="s">
        <v>4126</v>
      </c>
      <c r="D1340" s="1" t="s">
        <v>4127</v>
      </c>
      <c r="E1340" t="s">
        <v>36</v>
      </c>
      <c r="G1340" t="str">
        <f>_xlfn.XLOOKUP(frasest[[#This Row],[author_es]],autorest[author_es],autorest[author_la])</f>
        <v>Proverbium Sinense</v>
      </c>
      <c r="H1340" t="str">
        <f>_xlfn.XLOOKUP(frasest[[#This Row],[author_es]],autorest[author_es],autorest[bio_es])</f>
        <v>Conjunto de proverbios tradicionales de la cultura china que transmiten sabiduría popular, valores morales y enseñanzas prácticas transmitidas oralmente durante siglos.</v>
      </c>
      <c r="I1340" t="str">
        <f>_xlfn.XLOOKUP(frasest[[#This Row],[author_es]],autorest[author_es],autorest[bio_la])</f>
        <v>Collectio sententiarum Sinensium, magnopere in cultura tradita.</v>
      </c>
      <c r="J1340" t="str">
        <f>_xlfn.XLOOKUP(frasest[[#This Row],[author_es]],autorest[author_es],autorest[iso3691])</f>
        <v>zh</v>
      </c>
      <c r="K1340" t="str">
        <f>_xlfn.XLOOKUP(frasest[[#This Row],[author_es]],autorest[author_es],autorest[language_es])</f>
        <v>Chino</v>
      </c>
      <c r="L1340" t="str">
        <f>_xlfn.XLOOKUP(frasest[[#This Row],[author_es]],autorest[author_es],autorest[language_la])</f>
        <v>Lingua Sinica</v>
      </c>
      <c r="M1340" t="str">
        <f>_xlfn.XLOOKUP(frasest[[#This Row],[author_es]],autorest[author_es],autorest[nation_es])</f>
        <v>China</v>
      </c>
      <c r="N1340" t="str">
        <f>_xlfn.XLOOKUP(frasest[[#This Row],[author_es]],autorest[author_es],autorest[nation_la])</f>
        <v>Sinae</v>
      </c>
      <c r="O1340" t="str">
        <f>_xlfn.XLOOKUP(frasest[[#This Row],[author_es]],autorest[author_es],autorest[age_es])</f>
        <v>Epoca Desconocida</v>
      </c>
      <c r="P1340" t="str">
        <f>_xlfn.XLOOKUP(frasest[[#This Row],[author_es]],autorest[author_es],autorest[age_la])</f>
        <v>Epocha Ignota</v>
      </c>
      <c r="Q1340" t="str">
        <f>_xlfn.XLOOKUP(frasest[[#This Row],[author_es]],autorest[author_es],autorest[image])</f>
        <v>https://i.ibb.co/qLfpZm6h/china.png</v>
      </c>
      <c r="R1340">
        <f>_xlfn.XLOOKUP(frasest[[#This Row],[author_es]],autorest[author_es],autorest[image_atr])</f>
        <v>0</v>
      </c>
    </row>
    <row r="1341" spans="1:18">
      <c r="A1341">
        <v>1340</v>
      </c>
      <c r="B1341" t="s">
        <v>4128</v>
      </c>
      <c r="C1341" t="s">
        <v>4129</v>
      </c>
      <c r="D1341" s="1" t="s">
        <v>4130</v>
      </c>
      <c r="E1341" t="s">
        <v>36</v>
      </c>
      <c r="G1341" t="str">
        <f>_xlfn.XLOOKUP(frasest[[#This Row],[author_es]],autorest[author_es],autorest[author_la])</f>
        <v>Proverbium Sinense</v>
      </c>
      <c r="H1341" t="str">
        <f>_xlfn.XLOOKUP(frasest[[#This Row],[author_es]],autorest[author_es],autorest[bio_es])</f>
        <v>Conjunto de proverbios tradicionales de la cultura china que transmiten sabiduría popular, valores morales y enseñanzas prácticas transmitidas oralmente durante siglos.</v>
      </c>
      <c r="I1341" t="str">
        <f>_xlfn.XLOOKUP(frasest[[#This Row],[author_es]],autorest[author_es],autorest[bio_la])</f>
        <v>Collectio sententiarum Sinensium, magnopere in cultura tradita.</v>
      </c>
      <c r="J1341" t="str">
        <f>_xlfn.XLOOKUP(frasest[[#This Row],[author_es]],autorest[author_es],autorest[iso3691])</f>
        <v>zh</v>
      </c>
      <c r="K1341" t="str">
        <f>_xlfn.XLOOKUP(frasest[[#This Row],[author_es]],autorest[author_es],autorest[language_es])</f>
        <v>Chino</v>
      </c>
      <c r="L1341" t="str">
        <f>_xlfn.XLOOKUP(frasest[[#This Row],[author_es]],autorest[author_es],autorest[language_la])</f>
        <v>Lingua Sinica</v>
      </c>
      <c r="M1341" t="str">
        <f>_xlfn.XLOOKUP(frasest[[#This Row],[author_es]],autorest[author_es],autorest[nation_es])</f>
        <v>China</v>
      </c>
      <c r="N1341" t="str">
        <f>_xlfn.XLOOKUP(frasest[[#This Row],[author_es]],autorest[author_es],autorest[nation_la])</f>
        <v>Sinae</v>
      </c>
      <c r="O1341" t="str">
        <f>_xlfn.XLOOKUP(frasest[[#This Row],[author_es]],autorest[author_es],autorest[age_es])</f>
        <v>Epoca Desconocida</v>
      </c>
      <c r="P1341" t="str">
        <f>_xlfn.XLOOKUP(frasest[[#This Row],[author_es]],autorest[author_es],autorest[age_la])</f>
        <v>Epocha Ignota</v>
      </c>
      <c r="Q1341" t="str">
        <f>_xlfn.XLOOKUP(frasest[[#This Row],[author_es]],autorest[author_es],autorest[image])</f>
        <v>https://i.ibb.co/qLfpZm6h/china.png</v>
      </c>
      <c r="R1341">
        <f>_xlfn.XLOOKUP(frasest[[#This Row],[author_es]],autorest[author_es],autorest[image_atr])</f>
        <v>0</v>
      </c>
    </row>
    <row r="1342" spans="1:18">
      <c r="A1342">
        <v>1341</v>
      </c>
      <c r="B1342" t="s">
        <v>4131</v>
      </c>
      <c r="C1342" t="s">
        <v>4132</v>
      </c>
      <c r="D1342" s="1" t="s">
        <v>4133</v>
      </c>
      <c r="E1342" t="s">
        <v>36</v>
      </c>
      <c r="G1342" t="str">
        <f>_xlfn.XLOOKUP(frasest[[#This Row],[author_es]],autorest[author_es],autorest[author_la])</f>
        <v>Proverbium Sinense</v>
      </c>
      <c r="H1342" t="str">
        <f>_xlfn.XLOOKUP(frasest[[#This Row],[author_es]],autorest[author_es],autorest[bio_es])</f>
        <v>Conjunto de proverbios tradicionales de la cultura china que transmiten sabiduría popular, valores morales y enseñanzas prácticas transmitidas oralmente durante siglos.</v>
      </c>
      <c r="I1342" t="str">
        <f>_xlfn.XLOOKUP(frasest[[#This Row],[author_es]],autorest[author_es],autorest[bio_la])</f>
        <v>Collectio sententiarum Sinensium, magnopere in cultura tradita.</v>
      </c>
      <c r="J1342" t="str">
        <f>_xlfn.XLOOKUP(frasest[[#This Row],[author_es]],autorest[author_es],autorest[iso3691])</f>
        <v>zh</v>
      </c>
      <c r="K1342" t="str">
        <f>_xlfn.XLOOKUP(frasest[[#This Row],[author_es]],autorest[author_es],autorest[language_es])</f>
        <v>Chino</v>
      </c>
      <c r="L1342" t="str">
        <f>_xlfn.XLOOKUP(frasest[[#This Row],[author_es]],autorest[author_es],autorest[language_la])</f>
        <v>Lingua Sinica</v>
      </c>
      <c r="M1342" t="str">
        <f>_xlfn.XLOOKUP(frasest[[#This Row],[author_es]],autorest[author_es],autorest[nation_es])</f>
        <v>China</v>
      </c>
      <c r="N1342" t="str">
        <f>_xlfn.XLOOKUP(frasest[[#This Row],[author_es]],autorest[author_es],autorest[nation_la])</f>
        <v>Sinae</v>
      </c>
      <c r="O1342" t="str">
        <f>_xlfn.XLOOKUP(frasest[[#This Row],[author_es]],autorest[author_es],autorest[age_es])</f>
        <v>Epoca Desconocida</v>
      </c>
      <c r="P1342" t="str">
        <f>_xlfn.XLOOKUP(frasest[[#This Row],[author_es]],autorest[author_es],autorest[age_la])</f>
        <v>Epocha Ignota</v>
      </c>
      <c r="Q1342" t="str">
        <f>_xlfn.XLOOKUP(frasest[[#This Row],[author_es]],autorest[author_es],autorest[image])</f>
        <v>https://i.ibb.co/qLfpZm6h/china.png</v>
      </c>
      <c r="R1342">
        <f>_xlfn.XLOOKUP(frasest[[#This Row],[author_es]],autorest[author_es],autorest[image_atr])</f>
        <v>0</v>
      </c>
    </row>
    <row r="1343" spans="1:18">
      <c r="A1343">
        <v>1342</v>
      </c>
      <c r="B1343" t="s">
        <v>4134</v>
      </c>
      <c r="C1343" t="s">
        <v>4135</v>
      </c>
      <c r="D1343" s="1" t="s">
        <v>4136</v>
      </c>
      <c r="E1343" t="s">
        <v>36</v>
      </c>
      <c r="G1343" t="str">
        <f>_xlfn.XLOOKUP(frasest[[#This Row],[author_es]],autorest[author_es],autorest[author_la])</f>
        <v>Proverbium Sinense</v>
      </c>
      <c r="H1343" t="str">
        <f>_xlfn.XLOOKUP(frasest[[#This Row],[author_es]],autorest[author_es],autorest[bio_es])</f>
        <v>Conjunto de proverbios tradicionales de la cultura china que transmiten sabiduría popular, valores morales y enseñanzas prácticas transmitidas oralmente durante siglos.</v>
      </c>
      <c r="I1343" t="str">
        <f>_xlfn.XLOOKUP(frasest[[#This Row],[author_es]],autorest[author_es],autorest[bio_la])</f>
        <v>Collectio sententiarum Sinensium, magnopere in cultura tradita.</v>
      </c>
      <c r="J1343" t="str">
        <f>_xlfn.XLOOKUP(frasest[[#This Row],[author_es]],autorest[author_es],autorest[iso3691])</f>
        <v>zh</v>
      </c>
      <c r="K1343" t="str">
        <f>_xlfn.XLOOKUP(frasest[[#This Row],[author_es]],autorest[author_es],autorest[language_es])</f>
        <v>Chino</v>
      </c>
      <c r="L1343" t="str">
        <f>_xlfn.XLOOKUP(frasest[[#This Row],[author_es]],autorest[author_es],autorest[language_la])</f>
        <v>Lingua Sinica</v>
      </c>
      <c r="M1343" t="str">
        <f>_xlfn.XLOOKUP(frasest[[#This Row],[author_es]],autorest[author_es],autorest[nation_es])</f>
        <v>China</v>
      </c>
      <c r="N1343" t="str">
        <f>_xlfn.XLOOKUP(frasest[[#This Row],[author_es]],autorest[author_es],autorest[nation_la])</f>
        <v>Sinae</v>
      </c>
      <c r="O1343" t="str">
        <f>_xlfn.XLOOKUP(frasest[[#This Row],[author_es]],autorest[author_es],autorest[age_es])</f>
        <v>Epoca Desconocida</v>
      </c>
      <c r="P1343" t="str">
        <f>_xlfn.XLOOKUP(frasest[[#This Row],[author_es]],autorest[author_es],autorest[age_la])</f>
        <v>Epocha Ignota</v>
      </c>
      <c r="Q1343" t="str">
        <f>_xlfn.XLOOKUP(frasest[[#This Row],[author_es]],autorest[author_es],autorest[image])</f>
        <v>https://i.ibb.co/qLfpZm6h/china.png</v>
      </c>
      <c r="R1343">
        <f>_xlfn.XLOOKUP(frasest[[#This Row],[author_es]],autorest[author_es],autorest[image_atr])</f>
        <v>0</v>
      </c>
    </row>
    <row r="1344" spans="1:18">
      <c r="A1344">
        <v>1343</v>
      </c>
      <c r="B1344" t="s">
        <v>4137</v>
      </c>
      <c r="C1344" t="s">
        <v>4138</v>
      </c>
      <c r="D1344" s="1" t="s">
        <v>4139</v>
      </c>
      <c r="E1344" t="s">
        <v>36</v>
      </c>
      <c r="G1344" t="str">
        <f>_xlfn.XLOOKUP(frasest[[#This Row],[author_es]],autorest[author_es],autorest[author_la])</f>
        <v>Proverbium Sinense</v>
      </c>
      <c r="H1344" t="str">
        <f>_xlfn.XLOOKUP(frasest[[#This Row],[author_es]],autorest[author_es],autorest[bio_es])</f>
        <v>Conjunto de proverbios tradicionales de la cultura china que transmiten sabiduría popular, valores morales y enseñanzas prácticas transmitidas oralmente durante siglos.</v>
      </c>
      <c r="I1344" t="str">
        <f>_xlfn.XLOOKUP(frasest[[#This Row],[author_es]],autorest[author_es],autorest[bio_la])</f>
        <v>Collectio sententiarum Sinensium, magnopere in cultura tradita.</v>
      </c>
      <c r="J1344" t="str">
        <f>_xlfn.XLOOKUP(frasest[[#This Row],[author_es]],autorest[author_es],autorest[iso3691])</f>
        <v>zh</v>
      </c>
      <c r="K1344" t="str">
        <f>_xlfn.XLOOKUP(frasest[[#This Row],[author_es]],autorest[author_es],autorest[language_es])</f>
        <v>Chino</v>
      </c>
      <c r="L1344" t="str">
        <f>_xlfn.XLOOKUP(frasest[[#This Row],[author_es]],autorest[author_es],autorest[language_la])</f>
        <v>Lingua Sinica</v>
      </c>
      <c r="M1344" t="str">
        <f>_xlfn.XLOOKUP(frasest[[#This Row],[author_es]],autorest[author_es],autorest[nation_es])</f>
        <v>China</v>
      </c>
      <c r="N1344" t="str">
        <f>_xlfn.XLOOKUP(frasest[[#This Row],[author_es]],autorest[author_es],autorest[nation_la])</f>
        <v>Sinae</v>
      </c>
      <c r="O1344" t="str">
        <f>_xlfn.XLOOKUP(frasest[[#This Row],[author_es]],autorest[author_es],autorest[age_es])</f>
        <v>Epoca Desconocida</v>
      </c>
      <c r="P1344" t="str">
        <f>_xlfn.XLOOKUP(frasest[[#This Row],[author_es]],autorest[author_es],autorest[age_la])</f>
        <v>Epocha Ignota</v>
      </c>
      <c r="Q1344" t="str">
        <f>_xlfn.XLOOKUP(frasest[[#This Row],[author_es]],autorest[author_es],autorest[image])</f>
        <v>https://i.ibb.co/qLfpZm6h/china.png</v>
      </c>
      <c r="R1344">
        <f>_xlfn.XLOOKUP(frasest[[#This Row],[author_es]],autorest[author_es],autorest[image_atr])</f>
        <v>0</v>
      </c>
    </row>
    <row r="1345" spans="1:18">
      <c r="A1345">
        <v>1344</v>
      </c>
      <c r="B1345" t="s">
        <v>4140</v>
      </c>
      <c r="C1345" t="s">
        <v>4141</v>
      </c>
      <c r="D1345" s="1" t="s">
        <v>4142</v>
      </c>
      <c r="E1345" t="s">
        <v>36</v>
      </c>
      <c r="G1345" t="str">
        <f>_xlfn.XLOOKUP(frasest[[#This Row],[author_es]],autorest[author_es],autorest[author_la])</f>
        <v>Proverbium Sinense</v>
      </c>
      <c r="H1345" t="str">
        <f>_xlfn.XLOOKUP(frasest[[#This Row],[author_es]],autorest[author_es],autorest[bio_es])</f>
        <v>Conjunto de proverbios tradicionales de la cultura china que transmiten sabiduría popular, valores morales y enseñanzas prácticas transmitidas oralmente durante siglos.</v>
      </c>
      <c r="I1345" t="str">
        <f>_xlfn.XLOOKUP(frasest[[#This Row],[author_es]],autorest[author_es],autorest[bio_la])</f>
        <v>Collectio sententiarum Sinensium, magnopere in cultura tradita.</v>
      </c>
      <c r="J1345" t="str">
        <f>_xlfn.XLOOKUP(frasest[[#This Row],[author_es]],autorest[author_es],autorest[iso3691])</f>
        <v>zh</v>
      </c>
      <c r="K1345" t="str">
        <f>_xlfn.XLOOKUP(frasest[[#This Row],[author_es]],autorest[author_es],autorest[language_es])</f>
        <v>Chino</v>
      </c>
      <c r="L1345" t="str">
        <f>_xlfn.XLOOKUP(frasest[[#This Row],[author_es]],autorest[author_es],autorest[language_la])</f>
        <v>Lingua Sinica</v>
      </c>
      <c r="M1345" t="str">
        <f>_xlfn.XLOOKUP(frasest[[#This Row],[author_es]],autorest[author_es],autorest[nation_es])</f>
        <v>China</v>
      </c>
      <c r="N1345" t="str">
        <f>_xlfn.XLOOKUP(frasest[[#This Row],[author_es]],autorest[author_es],autorest[nation_la])</f>
        <v>Sinae</v>
      </c>
      <c r="O1345" t="str">
        <f>_xlfn.XLOOKUP(frasest[[#This Row],[author_es]],autorest[author_es],autorest[age_es])</f>
        <v>Epoca Desconocida</v>
      </c>
      <c r="P1345" t="str">
        <f>_xlfn.XLOOKUP(frasest[[#This Row],[author_es]],autorest[author_es],autorest[age_la])</f>
        <v>Epocha Ignota</v>
      </c>
      <c r="Q1345" t="str">
        <f>_xlfn.XLOOKUP(frasest[[#This Row],[author_es]],autorest[author_es],autorest[image])</f>
        <v>https://i.ibb.co/qLfpZm6h/china.png</v>
      </c>
      <c r="R1345">
        <f>_xlfn.XLOOKUP(frasest[[#This Row],[author_es]],autorest[author_es],autorest[image_atr])</f>
        <v>0</v>
      </c>
    </row>
    <row r="1346" spans="1:18">
      <c r="A1346">
        <v>1345</v>
      </c>
      <c r="B1346" t="s">
        <v>4143</v>
      </c>
      <c r="C1346" t="s">
        <v>4144</v>
      </c>
      <c r="D1346" s="1" t="s">
        <v>4145</v>
      </c>
      <c r="E1346" t="s">
        <v>36</v>
      </c>
      <c r="G1346" t="str">
        <f>_xlfn.XLOOKUP(frasest[[#This Row],[author_es]],autorest[author_es],autorest[author_la])</f>
        <v>Proverbium Sinense</v>
      </c>
      <c r="H1346" t="str">
        <f>_xlfn.XLOOKUP(frasest[[#This Row],[author_es]],autorest[author_es],autorest[bio_es])</f>
        <v>Conjunto de proverbios tradicionales de la cultura china que transmiten sabiduría popular, valores morales y enseñanzas prácticas transmitidas oralmente durante siglos.</v>
      </c>
      <c r="I1346" t="str">
        <f>_xlfn.XLOOKUP(frasest[[#This Row],[author_es]],autorest[author_es],autorest[bio_la])</f>
        <v>Collectio sententiarum Sinensium, magnopere in cultura tradita.</v>
      </c>
      <c r="J1346" t="str">
        <f>_xlfn.XLOOKUP(frasest[[#This Row],[author_es]],autorest[author_es],autorest[iso3691])</f>
        <v>zh</v>
      </c>
      <c r="K1346" t="str">
        <f>_xlfn.XLOOKUP(frasest[[#This Row],[author_es]],autorest[author_es],autorest[language_es])</f>
        <v>Chino</v>
      </c>
      <c r="L1346" t="str">
        <f>_xlfn.XLOOKUP(frasest[[#This Row],[author_es]],autorest[author_es],autorest[language_la])</f>
        <v>Lingua Sinica</v>
      </c>
      <c r="M1346" t="str">
        <f>_xlfn.XLOOKUP(frasest[[#This Row],[author_es]],autorest[author_es],autorest[nation_es])</f>
        <v>China</v>
      </c>
      <c r="N1346" t="str">
        <f>_xlfn.XLOOKUP(frasest[[#This Row],[author_es]],autorest[author_es],autorest[nation_la])</f>
        <v>Sinae</v>
      </c>
      <c r="O1346" t="str">
        <f>_xlfn.XLOOKUP(frasest[[#This Row],[author_es]],autorest[author_es],autorest[age_es])</f>
        <v>Epoca Desconocida</v>
      </c>
      <c r="P1346" t="str">
        <f>_xlfn.XLOOKUP(frasest[[#This Row],[author_es]],autorest[author_es],autorest[age_la])</f>
        <v>Epocha Ignota</v>
      </c>
      <c r="Q1346" t="str">
        <f>_xlfn.XLOOKUP(frasest[[#This Row],[author_es]],autorest[author_es],autorest[image])</f>
        <v>https://i.ibb.co/qLfpZm6h/china.png</v>
      </c>
      <c r="R1346">
        <f>_xlfn.XLOOKUP(frasest[[#This Row],[author_es]],autorest[author_es],autorest[image_atr])</f>
        <v>0</v>
      </c>
    </row>
    <row r="1347" spans="1:18">
      <c r="A1347">
        <v>1346</v>
      </c>
      <c r="B1347" t="s">
        <v>4146</v>
      </c>
      <c r="C1347" t="s">
        <v>4147</v>
      </c>
      <c r="D1347" s="1" t="s">
        <v>4148</v>
      </c>
      <c r="E1347" t="s">
        <v>36</v>
      </c>
      <c r="G1347" t="str">
        <f>_xlfn.XLOOKUP(frasest[[#This Row],[author_es]],autorest[author_es],autorest[author_la])</f>
        <v>Proverbium Sinense</v>
      </c>
      <c r="H1347" t="str">
        <f>_xlfn.XLOOKUP(frasest[[#This Row],[author_es]],autorest[author_es],autorest[bio_es])</f>
        <v>Conjunto de proverbios tradicionales de la cultura china que transmiten sabiduría popular, valores morales y enseñanzas prácticas transmitidas oralmente durante siglos.</v>
      </c>
      <c r="I1347" t="str">
        <f>_xlfn.XLOOKUP(frasest[[#This Row],[author_es]],autorest[author_es],autorest[bio_la])</f>
        <v>Collectio sententiarum Sinensium, magnopere in cultura tradita.</v>
      </c>
      <c r="J1347" t="str">
        <f>_xlfn.XLOOKUP(frasest[[#This Row],[author_es]],autorest[author_es],autorest[iso3691])</f>
        <v>zh</v>
      </c>
      <c r="K1347" t="str">
        <f>_xlfn.XLOOKUP(frasest[[#This Row],[author_es]],autorest[author_es],autorest[language_es])</f>
        <v>Chino</v>
      </c>
      <c r="L1347" t="str">
        <f>_xlfn.XLOOKUP(frasest[[#This Row],[author_es]],autorest[author_es],autorest[language_la])</f>
        <v>Lingua Sinica</v>
      </c>
      <c r="M1347" t="str">
        <f>_xlfn.XLOOKUP(frasest[[#This Row],[author_es]],autorest[author_es],autorest[nation_es])</f>
        <v>China</v>
      </c>
      <c r="N1347" t="str">
        <f>_xlfn.XLOOKUP(frasest[[#This Row],[author_es]],autorest[author_es],autorest[nation_la])</f>
        <v>Sinae</v>
      </c>
      <c r="O1347" t="str">
        <f>_xlfn.XLOOKUP(frasest[[#This Row],[author_es]],autorest[author_es],autorest[age_es])</f>
        <v>Epoca Desconocida</v>
      </c>
      <c r="P1347" t="str">
        <f>_xlfn.XLOOKUP(frasest[[#This Row],[author_es]],autorest[author_es],autorest[age_la])</f>
        <v>Epocha Ignota</v>
      </c>
      <c r="Q1347" t="str">
        <f>_xlfn.XLOOKUP(frasest[[#This Row],[author_es]],autorest[author_es],autorest[image])</f>
        <v>https://i.ibb.co/qLfpZm6h/china.png</v>
      </c>
      <c r="R1347">
        <f>_xlfn.XLOOKUP(frasest[[#This Row],[author_es]],autorest[author_es],autorest[image_atr])</f>
        <v>0</v>
      </c>
    </row>
    <row r="1348" spans="1:18">
      <c r="A1348">
        <v>1347</v>
      </c>
      <c r="B1348" t="s">
        <v>4149</v>
      </c>
      <c r="C1348" t="s">
        <v>3957</v>
      </c>
      <c r="D1348" s="1" t="s">
        <v>4150</v>
      </c>
      <c r="E1348" t="s">
        <v>36</v>
      </c>
      <c r="G1348" t="str">
        <f>_xlfn.XLOOKUP(frasest[[#This Row],[author_es]],autorest[author_es],autorest[author_la])</f>
        <v>Proverbium Sinense</v>
      </c>
      <c r="H1348" t="str">
        <f>_xlfn.XLOOKUP(frasest[[#This Row],[author_es]],autorest[author_es],autorest[bio_es])</f>
        <v>Conjunto de proverbios tradicionales de la cultura china que transmiten sabiduría popular, valores morales y enseñanzas prácticas transmitidas oralmente durante siglos.</v>
      </c>
      <c r="I1348" t="str">
        <f>_xlfn.XLOOKUP(frasest[[#This Row],[author_es]],autorest[author_es],autorest[bio_la])</f>
        <v>Collectio sententiarum Sinensium, magnopere in cultura tradita.</v>
      </c>
      <c r="J1348" t="str">
        <f>_xlfn.XLOOKUP(frasest[[#This Row],[author_es]],autorest[author_es],autorest[iso3691])</f>
        <v>zh</v>
      </c>
      <c r="K1348" t="str">
        <f>_xlfn.XLOOKUP(frasest[[#This Row],[author_es]],autorest[author_es],autorest[language_es])</f>
        <v>Chino</v>
      </c>
      <c r="L1348" t="str">
        <f>_xlfn.XLOOKUP(frasest[[#This Row],[author_es]],autorest[author_es],autorest[language_la])</f>
        <v>Lingua Sinica</v>
      </c>
      <c r="M1348" t="str">
        <f>_xlfn.XLOOKUP(frasest[[#This Row],[author_es]],autorest[author_es],autorest[nation_es])</f>
        <v>China</v>
      </c>
      <c r="N1348" t="str">
        <f>_xlfn.XLOOKUP(frasest[[#This Row],[author_es]],autorest[author_es],autorest[nation_la])</f>
        <v>Sinae</v>
      </c>
      <c r="O1348" t="str">
        <f>_xlfn.XLOOKUP(frasest[[#This Row],[author_es]],autorest[author_es],autorest[age_es])</f>
        <v>Epoca Desconocida</v>
      </c>
      <c r="P1348" t="str">
        <f>_xlfn.XLOOKUP(frasest[[#This Row],[author_es]],autorest[author_es],autorest[age_la])</f>
        <v>Epocha Ignota</v>
      </c>
      <c r="Q1348" t="str">
        <f>_xlfn.XLOOKUP(frasest[[#This Row],[author_es]],autorest[author_es],autorest[image])</f>
        <v>https://i.ibb.co/qLfpZm6h/china.png</v>
      </c>
      <c r="R1348">
        <f>_xlfn.XLOOKUP(frasest[[#This Row],[author_es]],autorest[author_es],autorest[image_atr])</f>
        <v>0</v>
      </c>
    </row>
    <row r="1349" spans="1:18">
      <c r="A1349">
        <v>1348</v>
      </c>
      <c r="B1349" t="s">
        <v>4151</v>
      </c>
      <c r="C1349" t="s">
        <v>4152</v>
      </c>
      <c r="D1349" s="1" t="s">
        <v>4153</v>
      </c>
      <c r="E1349" t="s">
        <v>36</v>
      </c>
      <c r="G1349" t="str">
        <f>_xlfn.XLOOKUP(frasest[[#This Row],[author_es]],autorest[author_es],autorest[author_la])</f>
        <v>Proverbium Sinense</v>
      </c>
      <c r="H1349" t="str">
        <f>_xlfn.XLOOKUP(frasest[[#This Row],[author_es]],autorest[author_es],autorest[bio_es])</f>
        <v>Conjunto de proverbios tradicionales de la cultura china que transmiten sabiduría popular, valores morales y enseñanzas prácticas transmitidas oralmente durante siglos.</v>
      </c>
      <c r="I1349" t="str">
        <f>_xlfn.XLOOKUP(frasest[[#This Row],[author_es]],autorest[author_es],autorest[bio_la])</f>
        <v>Collectio sententiarum Sinensium, magnopere in cultura tradita.</v>
      </c>
      <c r="J1349" t="str">
        <f>_xlfn.XLOOKUP(frasest[[#This Row],[author_es]],autorest[author_es],autorest[iso3691])</f>
        <v>zh</v>
      </c>
      <c r="K1349" t="str">
        <f>_xlfn.XLOOKUP(frasest[[#This Row],[author_es]],autorest[author_es],autorest[language_es])</f>
        <v>Chino</v>
      </c>
      <c r="L1349" t="str">
        <f>_xlfn.XLOOKUP(frasest[[#This Row],[author_es]],autorest[author_es],autorest[language_la])</f>
        <v>Lingua Sinica</v>
      </c>
      <c r="M1349" t="str">
        <f>_xlfn.XLOOKUP(frasest[[#This Row],[author_es]],autorest[author_es],autorest[nation_es])</f>
        <v>China</v>
      </c>
      <c r="N1349" t="str">
        <f>_xlfn.XLOOKUP(frasest[[#This Row],[author_es]],autorest[author_es],autorest[nation_la])</f>
        <v>Sinae</v>
      </c>
      <c r="O1349" t="str">
        <f>_xlfn.XLOOKUP(frasest[[#This Row],[author_es]],autorest[author_es],autorest[age_es])</f>
        <v>Epoca Desconocida</v>
      </c>
      <c r="P1349" t="str">
        <f>_xlfn.XLOOKUP(frasest[[#This Row],[author_es]],autorest[author_es],autorest[age_la])</f>
        <v>Epocha Ignota</v>
      </c>
      <c r="Q1349" t="str">
        <f>_xlfn.XLOOKUP(frasest[[#This Row],[author_es]],autorest[author_es],autorest[image])</f>
        <v>https://i.ibb.co/qLfpZm6h/china.png</v>
      </c>
      <c r="R1349">
        <f>_xlfn.XLOOKUP(frasest[[#This Row],[author_es]],autorest[author_es],autorest[image_atr])</f>
        <v>0</v>
      </c>
    </row>
    <row r="1350" spans="1:18">
      <c r="A1350">
        <v>1349</v>
      </c>
      <c r="B1350" t="s">
        <v>4154</v>
      </c>
      <c r="C1350" t="s">
        <v>4155</v>
      </c>
      <c r="D1350" t="s">
        <v>4156</v>
      </c>
      <c r="E1350" t="s">
        <v>4157</v>
      </c>
      <c r="F1350" t="s">
        <v>4158</v>
      </c>
      <c r="G1350" t="str">
        <f>_xlfn.XLOOKUP(frasest[[#This Row],[author_es]],autorest[author_es],autorest[author_la])</f>
        <v>Xenophon</v>
      </c>
      <c r="H1350" t="str">
        <f>_xlfn.XLOOKUP(frasest[[#This Row],[author_es]],autorest[author_es],autorest[bio_es])</f>
        <v>Historiador militar y filósofo griego discípulo de Sócrates que narró la vida del maestro desde una perspectiva práctica y ética centrada en el ciudadano virtuoso y el liderazgo</v>
      </c>
      <c r="I1350" t="str">
        <f>_xlfn.XLOOKUP(frasest[[#This Row],[author_es]],autorest[author_es],autorest[bio_la])</f>
        <v>Historicus miles et philosophus Graecus discipulus Socratis qui vitam magistri ex perspectiva practica et ethica de cive virtuoso et ducatu narravit</v>
      </c>
      <c r="J1350" t="str">
        <f>_xlfn.XLOOKUP(frasest[[#This Row],[author_es]],autorest[author_es],autorest[iso3691])</f>
        <v>el</v>
      </c>
      <c r="K1350" t="str">
        <f>_xlfn.XLOOKUP(frasest[[#This Row],[author_es]],autorest[author_es],autorest[language_es])</f>
        <v>Griego</v>
      </c>
      <c r="L1350" t="str">
        <f>_xlfn.XLOOKUP(frasest[[#This Row],[author_es]],autorest[author_es],autorest[language_la])</f>
        <v>Lingua Graeca</v>
      </c>
      <c r="M1350" t="str">
        <f>_xlfn.XLOOKUP(frasest[[#This Row],[author_es]],autorest[author_es],autorest[nation_es])</f>
        <v>Grecia</v>
      </c>
      <c r="N1350" t="str">
        <f>_xlfn.XLOOKUP(frasest[[#This Row],[author_es]],autorest[author_es],autorest[nation_la])</f>
        <v>Graecia</v>
      </c>
      <c r="O1350" t="str">
        <f>_xlfn.XLOOKUP(frasest[[#This Row],[author_es]],autorest[author_es],autorest[age_es])</f>
        <v>Edad Antigua</v>
      </c>
      <c r="P1350" t="str">
        <f>_xlfn.XLOOKUP(frasest[[#This Row],[author_es]],autorest[author_es],autorest[age_la])</f>
        <v>Antiquitas</v>
      </c>
      <c r="Q1350" t="str">
        <f>_xlfn.XLOOKUP(frasest[[#This Row],[author_es]],autorest[author_es],autorest[image])</f>
        <v>https://i.ibb.co/jPPtTZtx/jenofonte.png</v>
      </c>
      <c r="R1350">
        <f>_xlfn.XLOOKUP(frasest[[#This Row],[author_es]],autorest[author_es],autorest[image_atr])</f>
        <v>0</v>
      </c>
    </row>
    <row r="1351" spans="1:18">
      <c r="A1351">
        <v>1350</v>
      </c>
      <c r="B1351" t="s">
        <v>4159</v>
      </c>
      <c r="C1351" t="s">
        <v>4160</v>
      </c>
      <c r="D1351" t="s">
        <v>4161</v>
      </c>
      <c r="E1351" t="s">
        <v>4157</v>
      </c>
      <c r="F1351" t="s">
        <v>4162</v>
      </c>
      <c r="G1351" t="str">
        <f>_xlfn.XLOOKUP(frasest[[#This Row],[author_es]],autorest[author_es],autorest[author_la])</f>
        <v>Xenophon</v>
      </c>
      <c r="H1351" t="str">
        <f>_xlfn.XLOOKUP(frasest[[#This Row],[author_es]],autorest[author_es],autorest[bio_es])</f>
        <v>Historiador militar y filósofo griego discípulo de Sócrates que narró la vida del maestro desde una perspectiva práctica y ética centrada en el ciudadano virtuoso y el liderazgo</v>
      </c>
      <c r="I1351" t="str">
        <f>_xlfn.XLOOKUP(frasest[[#This Row],[author_es]],autorest[author_es],autorest[bio_la])</f>
        <v>Historicus miles et philosophus Graecus discipulus Socratis qui vitam magistri ex perspectiva practica et ethica de cive virtuoso et ducatu narravit</v>
      </c>
      <c r="J1351" t="str">
        <f>_xlfn.XLOOKUP(frasest[[#This Row],[author_es]],autorest[author_es],autorest[iso3691])</f>
        <v>el</v>
      </c>
      <c r="K1351" t="str">
        <f>_xlfn.XLOOKUP(frasest[[#This Row],[author_es]],autorest[author_es],autorest[language_es])</f>
        <v>Griego</v>
      </c>
      <c r="L1351" t="str">
        <f>_xlfn.XLOOKUP(frasest[[#This Row],[author_es]],autorest[author_es],autorest[language_la])</f>
        <v>Lingua Graeca</v>
      </c>
      <c r="M1351" t="str">
        <f>_xlfn.XLOOKUP(frasest[[#This Row],[author_es]],autorest[author_es],autorest[nation_es])</f>
        <v>Grecia</v>
      </c>
      <c r="N1351" t="str">
        <f>_xlfn.XLOOKUP(frasest[[#This Row],[author_es]],autorest[author_es],autorest[nation_la])</f>
        <v>Graecia</v>
      </c>
      <c r="O1351" t="str">
        <f>_xlfn.XLOOKUP(frasest[[#This Row],[author_es]],autorest[author_es],autorest[age_es])</f>
        <v>Edad Antigua</v>
      </c>
      <c r="P1351" t="str">
        <f>_xlfn.XLOOKUP(frasest[[#This Row],[author_es]],autorest[author_es],autorest[age_la])</f>
        <v>Antiquitas</v>
      </c>
      <c r="Q1351" t="str">
        <f>_xlfn.XLOOKUP(frasest[[#This Row],[author_es]],autorest[author_es],autorest[image])</f>
        <v>https://i.ibb.co/jPPtTZtx/jenofonte.png</v>
      </c>
      <c r="R1351">
        <f>_xlfn.XLOOKUP(frasest[[#This Row],[author_es]],autorest[author_es],autorest[image_atr])</f>
        <v>0</v>
      </c>
    </row>
    <row r="1352" spans="1:18">
      <c r="A1352">
        <v>1351</v>
      </c>
      <c r="B1352" t="s">
        <v>4163</v>
      </c>
      <c r="C1352" t="s">
        <v>4164</v>
      </c>
      <c r="D1352" t="s">
        <v>4165</v>
      </c>
      <c r="E1352" t="s">
        <v>4157</v>
      </c>
      <c r="F1352" t="s">
        <v>4166</v>
      </c>
      <c r="G1352" t="str">
        <f>_xlfn.XLOOKUP(frasest[[#This Row],[author_es]],autorest[author_es],autorest[author_la])</f>
        <v>Xenophon</v>
      </c>
      <c r="H1352" t="str">
        <f>_xlfn.XLOOKUP(frasest[[#This Row],[author_es]],autorest[author_es],autorest[bio_es])</f>
        <v>Historiador militar y filósofo griego discípulo de Sócrates que narró la vida del maestro desde una perspectiva práctica y ética centrada en el ciudadano virtuoso y el liderazgo</v>
      </c>
      <c r="I1352" t="str">
        <f>_xlfn.XLOOKUP(frasest[[#This Row],[author_es]],autorest[author_es],autorest[bio_la])</f>
        <v>Historicus miles et philosophus Graecus discipulus Socratis qui vitam magistri ex perspectiva practica et ethica de cive virtuoso et ducatu narravit</v>
      </c>
      <c r="J1352" t="str">
        <f>_xlfn.XLOOKUP(frasest[[#This Row],[author_es]],autorest[author_es],autorest[iso3691])</f>
        <v>el</v>
      </c>
      <c r="K1352" t="str">
        <f>_xlfn.XLOOKUP(frasest[[#This Row],[author_es]],autorest[author_es],autorest[language_es])</f>
        <v>Griego</v>
      </c>
      <c r="L1352" t="str">
        <f>_xlfn.XLOOKUP(frasest[[#This Row],[author_es]],autorest[author_es],autorest[language_la])</f>
        <v>Lingua Graeca</v>
      </c>
      <c r="M1352" t="str">
        <f>_xlfn.XLOOKUP(frasest[[#This Row],[author_es]],autorest[author_es],autorest[nation_es])</f>
        <v>Grecia</v>
      </c>
      <c r="N1352" t="str">
        <f>_xlfn.XLOOKUP(frasest[[#This Row],[author_es]],autorest[author_es],autorest[nation_la])</f>
        <v>Graecia</v>
      </c>
      <c r="O1352" t="str">
        <f>_xlfn.XLOOKUP(frasest[[#This Row],[author_es]],autorest[author_es],autorest[age_es])</f>
        <v>Edad Antigua</v>
      </c>
      <c r="P1352" t="str">
        <f>_xlfn.XLOOKUP(frasest[[#This Row],[author_es]],autorest[author_es],autorest[age_la])</f>
        <v>Antiquitas</v>
      </c>
      <c r="Q1352" t="str">
        <f>_xlfn.XLOOKUP(frasest[[#This Row],[author_es]],autorest[author_es],autorest[image])</f>
        <v>https://i.ibb.co/jPPtTZtx/jenofonte.png</v>
      </c>
      <c r="R1352">
        <f>_xlfn.XLOOKUP(frasest[[#This Row],[author_es]],autorest[author_es],autorest[image_atr])</f>
        <v>0</v>
      </c>
    </row>
    <row r="1353" spans="1:18">
      <c r="A1353">
        <v>1352</v>
      </c>
      <c r="B1353" t="s">
        <v>4167</v>
      </c>
      <c r="C1353" t="s">
        <v>4168</v>
      </c>
      <c r="D1353" t="s">
        <v>4169</v>
      </c>
      <c r="E1353" t="s">
        <v>4157</v>
      </c>
      <c r="F1353" t="s">
        <v>4170</v>
      </c>
      <c r="G1353" t="str">
        <f>_xlfn.XLOOKUP(frasest[[#This Row],[author_es]],autorest[author_es],autorest[author_la])</f>
        <v>Xenophon</v>
      </c>
      <c r="H1353" t="str">
        <f>_xlfn.XLOOKUP(frasest[[#This Row],[author_es]],autorest[author_es],autorest[bio_es])</f>
        <v>Historiador militar y filósofo griego discípulo de Sócrates que narró la vida del maestro desde una perspectiva práctica y ética centrada en el ciudadano virtuoso y el liderazgo</v>
      </c>
      <c r="I1353" t="str">
        <f>_xlfn.XLOOKUP(frasest[[#This Row],[author_es]],autorest[author_es],autorest[bio_la])</f>
        <v>Historicus miles et philosophus Graecus discipulus Socratis qui vitam magistri ex perspectiva practica et ethica de cive virtuoso et ducatu narravit</v>
      </c>
      <c r="J1353" t="str">
        <f>_xlfn.XLOOKUP(frasest[[#This Row],[author_es]],autorest[author_es],autorest[iso3691])</f>
        <v>el</v>
      </c>
      <c r="K1353" t="str">
        <f>_xlfn.XLOOKUP(frasest[[#This Row],[author_es]],autorest[author_es],autorest[language_es])</f>
        <v>Griego</v>
      </c>
      <c r="L1353" t="str">
        <f>_xlfn.XLOOKUP(frasest[[#This Row],[author_es]],autorest[author_es],autorest[language_la])</f>
        <v>Lingua Graeca</v>
      </c>
      <c r="M1353" t="str">
        <f>_xlfn.XLOOKUP(frasest[[#This Row],[author_es]],autorest[author_es],autorest[nation_es])</f>
        <v>Grecia</v>
      </c>
      <c r="N1353" t="str">
        <f>_xlfn.XLOOKUP(frasest[[#This Row],[author_es]],autorest[author_es],autorest[nation_la])</f>
        <v>Graecia</v>
      </c>
      <c r="O1353" t="str">
        <f>_xlfn.XLOOKUP(frasest[[#This Row],[author_es]],autorest[author_es],autorest[age_es])</f>
        <v>Edad Antigua</v>
      </c>
      <c r="P1353" t="str">
        <f>_xlfn.XLOOKUP(frasest[[#This Row],[author_es]],autorest[author_es],autorest[age_la])</f>
        <v>Antiquitas</v>
      </c>
      <c r="Q1353" t="str">
        <f>_xlfn.XLOOKUP(frasest[[#This Row],[author_es]],autorest[author_es],autorest[image])</f>
        <v>https://i.ibb.co/jPPtTZtx/jenofonte.png</v>
      </c>
      <c r="R1353">
        <f>_xlfn.XLOOKUP(frasest[[#This Row],[author_es]],autorest[author_es],autorest[image_atr])</f>
        <v>0</v>
      </c>
    </row>
    <row r="1354" spans="1:18">
      <c r="A1354">
        <v>1353</v>
      </c>
      <c r="B1354" t="s">
        <v>4171</v>
      </c>
      <c r="C1354" t="s">
        <v>4172</v>
      </c>
      <c r="D1354" t="s">
        <v>4173</v>
      </c>
      <c r="E1354" t="s">
        <v>4157</v>
      </c>
      <c r="F1354" t="s">
        <v>4174</v>
      </c>
      <c r="G1354" t="str">
        <f>_xlfn.XLOOKUP(frasest[[#This Row],[author_es]],autorest[author_es],autorest[author_la])</f>
        <v>Xenophon</v>
      </c>
      <c r="H1354" t="str">
        <f>_xlfn.XLOOKUP(frasest[[#This Row],[author_es]],autorest[author_es],autorest[bio_es])</f>
        <v>Historiador militar y filósofo griego discípulo de Sócrates que narró la vida del maestro desde una perspectiva práctica y ética centrada en el ciudadano virtuoso y el liderazgo</v>
      </c>
      <c r="I1354" t="str">
        <f>_xlfn.XLOOKUP(frasest[[#This Row],[author_es]],autorest[author_es],autorest[bio_la])</f>
        <v>Historicus miles et philosophus Graecus discipulus Socratis qui vitam magistri ex perspectiva practica et ethica de cive virtuoso et ducatu narravit</v>
      </c>
      <c r="J1354" t="str">
        <f>_xlfn.XLOOKUP(frasest[[#This Row],[author_es]],autorest[author_es],autorest[iso3691])</f>
        <v>el</v>
      </c>
      <c r="K1354" t="str">
        <f>_xlfn.XLOOKUP(frasest[[#This Row],[author_es]],autorest[author_es],autorest[language_es])</f>
        <v>Griego</v>
      </c>
      <c r="L1354" t="str">
        <f>_xlfn.XLOOKUP(frasest[[#This Row],[author_es]],autorest[author_es],autorest[language_la])</f>
        <v>Lingua Graeca</v>
      </c>
      <c r="M1354" t="str">
        <f>_xlfn.XLOOKUP(frasest[[#This Row],[author_es]],autorest[author_es],autorest[nation_es])</f>
        <v>Grecia</v>
      </c>
      <c r="N1354" t="str">
        <f>_xlfn.XLOOKUP(frasest[[#This Row],[author_es]],autorest[author_es],autorest[nation_la])</f>
        <v>Graecia</v>
      </c>
      <c r="O1354" t="str">
        <f>_xlfn.XLOOKUP(frasest[[#This Row],[author_es]],autorest[author_es],autorest[age_es])</f>
        <v>Edad Antigua</v>
      </c>
      <c r="P1354" t="str">
        <f>_xlfn.XLOOKUP(frasest[[#This Row],[author_es]],autorest[author_es],autorest[age_la])</f>
        <v>Antiquitas</v>
      </c>
      <c r="Q1354" t="str">
        <f>_xlfn.XLOOKUP(frasest[[#This Row],[author_es]],autorest[author_es],autorest[image])</f>
        <v>https://i.ibb.co/jPPtTZtx/jenofonte.png</v>
      </c>
      <c r="R1354">
        <f>_xlfn.XLOOKUP(frasest[[#This Row],[author_es]],autorest[author_es],autorest[image_atr])</f>
        <v>0</v>
      </c>
    </row>
    <row r="1355" spans="1:18">
      <c r="A1355">
        <v>1354</v>
      </c>
      <c r="B1355" t="s">
        <v>4175</v>
      </c>
      <c r="C1355" t="s">
        <v>4176</v>
      </c>
      <c r="D1355" t="s">
        <v>4177</v>
      </c>
      <c r="E1355" t="s">
        <v>4157</v>
      </c>
      <c r="F1355" t="s">
        <v>4178</v>
      </c>
      <c r="G1355" t="str">
        <f>_xlfn.XLOOKUP(frasest[[#This Row],[author_es]],autorest[author_es],autorest[author_la])</f>
        <v>Xenophon</v>
      </c>
      <c r="H1355" t="str">
        <f>_xlfn.XLOOKUP(frasest[[#This Row],[author_es]],autorest[author_es],autorest[bio_es])</f>
        <v>Historiador militar y filósofo griego discípulo de Sócrates que narró la vida del maestro desde una perspectiva práctica y ética centrada en el ciudadano virtuoso y el liderazgo</v>
      </c>
      <c r="I1355" t="str">
        <f>_xlfn.XLOOKUP(frasest[[#This Row],[author_es]],autorest[author_es],autorest[bio_la])</f>
        <v>Historicus miles et philosophus Graecus discipulus Socratis qui vitam magistri ex perspectiva practica et ethica de cive virtuoso et ducatu narravit</v>
      </c>
      <c r="J1355" t="str">
        <f>_xlfn.XLOOKUP(frasest[[#This Row],[author_es]],autorest[author_es],autorest[iso3691])</f>
        <v>el</v>
      </c>
      <c r="K1355" t="str">
        <f>_xlfn.XLOOKUP(frasest[[#This Row],[author_es]],autorest[author_es],autorest[language_es])</f>
        <v>Griego</v>
      </c>
      <c r="L1355" t="str">
        <f>_xlfn.XLOOKUP(frasest[[#This Row],[author_es]],autorest[author_es],autorest[language_la])</f>
        <v>Lingua Graeca</v>
      </c>
      <c r="M1355" t="str">
        <f>_xlfn.XLOOKUP(frasest[[#This Row],[author_es]],autorest[author_es],autorest[nation_es])</f>
        <v>Grecia</v>
      </c>
      <c r="N1355" t="str">
        <f>_xlfn.XLOOKUP(frasest[[#This Row],[author_es]],autorest[author_es],autorest[nation_la])</f>
        <v>Graecia</v>
      </c>
      <c r="O1355" t="str">
        <f>_xlfn.XLOOKUP(frasest[[#This Row],[author_es]],autorest[author_es],autorest[age_es])</f>
        <v>Edad Antigua</v>
      </c>
      <c r="P1355" t="str">
        <f>_xlfn.XLOOKUP(frasest[[#This Row],[author_es]],autorest[author_es],autorest[age_la])</f>
        <v>Antiquitas</v>
      </c>
      <c r="Q1355" t="str">
        <f>_xlfn.XLOOKUP(frasest[[#This Row],[author_es]],autorest[author_es],autorest[image])</f>
        <v>https://i.ibb.co/jPPtTZtx/jenofonte.png</v>
      </c>
      <c r="R1355">
        <f>_xlfn.XLOOKUP(frasest[[#This Row],[author_es]],autorest[author_es],autorest[image_atr])</f>
        <v>0</v>
      </c>
    </row>
    <row r="1356" spans="1:18">
      <c r="A1356">
        <v>1355</v>
      </c>
      <c r="B1356" t="s">
        <v>4179</v>
      </c>
      <c r="C1356" t="s">
        <v>4180</v>
      </c>
      <c r="D1356" t="s">
        <v>4181</v>
      </c>
      <c r="E1356" t="s">
        <v>4157</v>
      </c>
      <c r="F1356" t="s">
        <v>4182</v>
      </c>
      <c r="G1356" t="str">
        <f>_xlfn.XLOOKUP(frasest[[#This Row],[author_es]],autorest[author_es],autorest[author_la])</f>
        <v>Xenophon</v>
      </c>
      <c r="H1356" t="str">
        <f>_xlfn.XLOOKUP(frasest[[#This Row],[author_es]],autorest[author_es],autorest[bio_es])</f>
        <v>Historiador militar y filósofo griego discípulo de Sócrates que narró la vida del maestro desde una perspectiva práctica y ética centrada en el ciudadano virtuoso y el liderazgo</v>
      </c>
      <c r="I1356" t="str">
        <f>_xlfn.XLOOKUP(frasest[[#This Row],[author_es]],autorest[author_es],autorest[bio_la])</f>
        <v>Historicus miles et philosophus Graecus discipulus Socratis qui vitam magistri ex perspectiva practica et ethica de cive virtuoso et ducatu narravit</v>
      </c>
      <c r="J1356" t="str">
        <f>_xlfn.XLOOKUP(frasest[[#This Row],[author_es]],autorest[author_es],autorest[iso3691])</f>
        <v>el</v>
      </c>
      <c r="K1356" t="str">
        <f>_xlfn.XLOOKUP(frasest[[#This Row],[author_es]],autorest[author_es],autorest[language_es])</f>
        <v>Griego</v>
      </c>
      <c r="L1356" t="str">
        <f>_xlfn.XLOOKUP(frasest[[#This Row],[author_es]],autorest[author_es],autorest[language_la])</f>
        <v>Lingua Graeca</v>
      </c>
      <c r="M1356" t="str">
        <f>_xlfn.XLOOKUP(frasest[[#This Row],[author_es]],autorest[author_es],autorest[nation_es])</f>
        <v>Grecia</v>
      </c>
      <c r="N1356" t="str">
        <f>_xlfn.XLOOKUP(frasest[[#This Row],[author_es]],autorest[author_es],autorest[nation_la])</f>
        <v>Graecia</v>
      </c>
      <c r="O1356" t="str">
        <f>_xlfn.XLOOKUP(frasest[[#This Row],[author_es]],autorest[author_es],autorest[age_es])</f>
        <v>Edad Antigua</v>
      </c>
      <c r="P1356" t="str">
        <f>_xlfn.XLOOKUP(frasest[[#This Row],[author_es]],autorest[author_es],autorest[age_la])</f>
        <v>Antiquitas</v>
      </c>
      <c r="Q1356" t="str">
        <f>_xlfn.XLOOKUP(frasest[[#This Row],[author_es]],autorest[author_es],autorest[image])</f>
        <v>https://i.ibb.co/jPPtTZtx/jenofonte.png</v>
      </c>
      <c r="R1356">
        <f>_xlfn.XLOOKUP(frasest[[#This Row],[author_es]],autorest[author_es],autorest[image_atr])</f>
        <v>0</v>
      </c>
    </row>
    <row r="1357" spans="1:18">
      <c r="A1357">
        <v>1356</v>
      </c>
      <c r="B1357" t="s">
        <v>4183</v>
      </c>
      <c r="C1357" t="s">
        <v>4184</v>
      </c>
      <c r="D1357" t="s">
        <v>4185</v>
      </c>
      <c r="E1357" t="s">
        <v>4157</v>
      </c>
      <c r="F1357" t="s">
        <v>4186</v>
      </c>
      <c r="G1357" t="str">
        <f>_xlfn.XLOOKUP(frasest[[#This Row],[author_es]],autorest[author_es],autorest[author_la])</f>
        <v>Xenophon</v>
      </c>
      <c r="H1357" t="str">
        <f>_xlfn.XLOOKUP(frasest[[#This Row],[author_es]],autorest[author_es],autorest[bio_es])</f>
        <v>Historiador militar y filósofo griego discípulo de Sócrates que narró la vida del maestro desde una perspectiva práctica y ética centrada en el ciudadano virtuoso y el liderazgo</v>
      </c>
      <c r="I1357" t="str">
        <f>_xlfn.XLOOKUP(frasest[[#This Row],[author_es]],autorest[author_es],autorest[bio_la])</f>
        <v>Historicus miles et philosophus Graecus discipulus Socratis qui vitam magistri ex perspectiva practica et ethica de cive virtuoso et ducatu narravit</v>
      </c>
      <c r="J1357" t="str">
        <f>_xlfn.XLOOKUP(frasest[[#This Row],[author_es]],autorest[author_es],autorest[iso3691])</f>
        <v>el</v>
      </c>
      <c r="K1357" t="str">
        <f>_xlfn.XLOOKUP(frasest[[#This Row],[author_es]],autorest[author_es],autorest[language_es])</f>
        <v>Griego</v>
      </c>
      <c r="L1357" t="str">
        <f>_xlfn.XLOOKUP(frasest[[#This Row],[author_es]],autorest[author_es],autorest[language_la])</f>
        <v>Lingua Graeca</v>
      </c>
      <c r="M1357" t="str">
        <f>_xlfn.XLOOKUP(frasest[[#This Row],[author_es]],autorest[author_es],autorest[nation_es])</f>
        <v>Grecia</v>
      </c>
      <c r="N1357" t="str">
        <f>_xlfn.XLOOKUP(frasest[[#This Row],[author_es]],autorest[author_es],autorest[nation_la])</f>
        <v>Graecia</v>
      </c>
      <c r="O1357" t="str">
        <f>_xlfn.XLOOKUP(frasest[[#This Row],[author_es]],autorest[author_es],autorest[age_es])</f>
        <v>Edad Antigua</v>
      </c>
      <c r="P1357" t="str">
        <f>_xlfn.XLOOKUP(frasest[[#This Row],[author_es]],autorest[author_es],autorest[age_la])</f>
        <v>Antiquitas</v>
      </c>
      <c r="Q1357" t="str">
        <f>_xlfn.XLOOKUP(frasest[[#This Row],[author_es]],autorest[author_es],autorest[image])</f>
        <v>https://i.ibb.co/jPPtTZtx/jenofonte.png</v>
      </c>
      <c r="R1357">
        <f>_xlfn.XLOOKUP(frasest[[#This Row],[author_es]],autorest[author_es],autorest[image_atr])</f>
        <v>0</v>
      </c>
    </row>
    <row r="1358" spans="1:18">
      <c r="A1358">
        <v>1357</v>
      </c>
      <c r="B1358" t="s">
        <v>4187</v>
      </c>
      <c r="C1358" t="s">
        <v>4188</v>
      </c>
      <c r="D1358" t="s">
        <v>4189</v>
      </c>
      <c r="E1358" t="s">
        <v>4157</v>
      </c>
      <c r="F1358" t="s">
        <v>4190</v>
      </c>
      <c r="G1358" t="str">
        <f>_xlfn.XLOOKUP(frasest[[#This Row],[author_es]],autorest[author_es],autorest[author_la])</f>
        <v>Xenophon</v>
      </c>
      <c r="H1358" t="str">
        <f>_xlfn.XLOOKUP(frasest[[#This Row],[author_es]],autorest[author_es],autorest[bio_es])</f>
        <v>Historiador militar y filósofo griego discípulo de Sócrates que narró la vida del maestro desde una perspectiva práctica y ética centrada en el ciudadano virtuoso y el liderazgo</v>
      </c>
      <c r="I1358" t="str">
        <f>_xlfn.XLOOKUP(frasest[[#This Row],[author_es]],autorest[author_es],autorest[bio_la])</f>
        <v>Historicus miles et philosophus Graecus discipulus Socratis qui vitam magistri ex perspectiva practica et ethica de cive virtuoso et ducatu narravit</v>
      </c>
      <c r="J1358" t="str">
        <f>_xlfn.XLOOKUP(frasest[[#This Row],[author_es]],autorest[author_es],autorest[iso3691])</f>
        <v>el</v>
      </c>
      <c r="K1358" t="str">
        <f>_xlfn.XLOOKUP(frasest[[#This Row],[author_es]],autorest[author_es],autorest[language_es])</f>
        <v>Griego</v>
      </c>
      <c r="L1358" t="str">
        <f>_xlfn.XLOOKUP(frasest[[#This Row],[author_es]],autorest[author_es],autorest[language_la])</f>
        <v>Lingua Graeca</v>
      </c>
      <c r="M1358" t="str">
        <f>_xlfn.XLOOKUP(frasest[[#This Row],[author_es]],autorest[author_es],autorest[nation_es])</f>
        <v>Grecia</v>
      </c>
      <c r="N1358" t="str">
        <f>_xlfn.XLOOKUP(frasest[[#This Row],[author_es]],autorest[author_es],autorest[nation_la])</f>
        <v>Graecia</v>
      </c>
      <c r="O1358" t="str">
        <f>_xlfn.XLOOKUP(frasest[[#This Row],[author_es]],autorest[author_es],autorest[age_es])</f>
        <v>Edad Antigua</v>
      </c>
      <c r="P1358" t="str">
        <f>_xlfn.XLOOKUP(frasest[[#This Row],[author_es]],autorest[author_es],autorest[age_la])</f>
        <v>Antiquitas</v>
      </c>
      <c r="Q1358" t="str">
        <f>_xlfn.XLOOKUP(frasest[[#This Row],[author_es]],autorest[author_es],autorest[image])</f>
        <v>https://i.ibb.co/jPPtTZtx/jenofonte.png</v>
      </c>
      <c r="R1358">
        <f>_xlfn.XLOOKUP(frasest[[#This Row],[author_es]],autorest[author_es],autorest[image_atr])</f>
        <v>0</v>
      </c>
    </row>
    <row r="1359" spans="1:18">
      <c r="A1359">
        <v>1358</v>
      </c>
      <c r="B1359" t="s">
        <v>4191</v>
      </c>
      <c r="C1359" t="s">
        <v>4192</v>
      </c>
      <c r="D1359" t="s">
        <v>4193</v>
      </c>
      <c r="E1359" t="s">
        <v>4157</v>
      </c>
      <c r="F1359" t="s">
        <v>4194</v>
      </c>
      <c r="G1359" t="str">
        <f>_xlfn.XLOOKUP(frasest[[#This Row],[author_es]],autorest[author_es],autorest[author_la])</f>
        <v>Xenophon</v>
      </c>
      <c r="H1359" t="str">
        <f>_xlfn.XLOOKUP(frasest[[#This Row],[author_es]],autorest[author_es],autorest[bio_es])</f>
        <v>Historiador militar y filósofo griego discípulo de Sócrates que narró la vida del maestro desde una perspectiva práctica y ética centrada en el ciudadano virtuoso y el liderazgo</v>
      </c>
      <c r="I1359" t="str">
        <f>_xlfn.XLOOKUP(frasest[[#This Row],[author_es]],autorest[author_es],autorest[bio_la])</f>
        <v>Historicus miles et philosophus Graecus discipulus Socratis qui vitam magistri ex perspectiva practica et ethica de cive virtuoso et ducatu narravit</v>
      </c>
      <c r="J1359" t="str">
        <f>_xlfn.XLOOKUP(frasest[[#This Row],[author_es]],autorest[author_es],autorest[iso3691])</f>
        <v>el</v>
      </c>
      <c r="K1359" t="str">
        <f>_xlfn.XLOOKUP(frasest[[#This Row],[author_es]],autorest[author_es],autorest[language_es])</f>
        <v>Griego</v>
      </c>
      <c r="L1359" t="str">
        <f>_xlfn.XLOOKUP(frasest[[#This Row],[author_es]],autorest[author_es],autorest[language_la])</f>
        <v>Lingua Graeca</v>
      </c>
      <c r="M1359" t="str">
        <f>_xlfn.XLOOKUP(frasest[[#This Row],[author_es]],autorest[author_es],autorest[nation_es])</f>
        <v>Grecia</v>
      </c>
      <c r="N1359" t="str">
        <f>_xlfn.XLOOKUP(frasest[[#This Row],[author_es]],autorest[author_es],autorest[nation_la])</f>
        <v>Graecia</v>
      </c>
      <c r="O1359" t="str">
        <f>_xlfn.XLOOKUP(frasest[[#This Row],[author_es]],autorest[author_es],autorest[age_es])</f>
        <v>Edad Antigua</v>
      </c>
      <c r="P1359" t="str">
        <f>_xlfn.XLOOKUP(frasest[[#This Row],[author_es]],autorest[author_es],autorest[age_la])</f>
        <v>Antiquitas</v>
      </c>
      <c r="Q1359" t="str">
        <f>_xlfn.XLOOKUP(frasest[[#This Row],[author_es]],autorest[author_es],autorest[image])</f>
        <v>https://i.ibb.co/jPPtTZtx/jenofonte.png</v>
      </c>
      <c r="R1359">
        <f>_xlfn.XLOOKUP(frasest[[#This Row],[author_es]],autorest[author_es],autorest[image_atr])</f>
        <v>0</v>
      </c>
    </row>
    <row r="1360" spans="1:18">
      <c r="A1360">
        <v>1359</v>
      </c>
      <c r="B1360" t="s">
        <v>4195</v>
      </c>
      <c r="C1360" t="s">
        <v>4196</v>
      </c>
      <c r="D1360" t="s">
        <v>4197</v>
      </c>
      <c r="E1360" t="s">
        <v>4198</v>
      </c>
      <c r="F1360" t="s">
        <v>4199</v>
      </c>
      <c r="G1360" t="str">
        <f>_xlfn.XLOOKUP(frasest[[#This Row],[author_es]],autorest[author_es],autorest[author_la])</f>
        <v>Antisthenes</v>
      </c>
      <c r="H1360" t="str">
        <f>_xlfn.XLOOKUP(frasest[[#This Row],[author_es]],autorest[author_es],autorest[bio_es])</f>
        <v>Filósofo griego discípulo directo de Sócrates y fundador de la escuela cínica que defendía la virtud la autosuficiencia y el desprecio por las riquezas materiales</v>
      </c>
      <c r="I1360" t="str">
        <f>_xlfn.XLOOKUP(frasest[[#This Row],[author_es]],autorest[author_es],autorest[bio_la])</f>
        <v>Philosophus Graecus discipulus directus Socratis et fundator scholae Cynicae qui virtutem autosufficientia et contemptum divitiarum materialium defendebat</v>
      </c>
      <c r="J1360" t="str">
        <f>_xlfn.XLOOKUP(frasest[[#This Row],[author_es]],autorest[author_es],autorest[iso3691])</f>
        <v>el</v>
      </c>
      <c r="K1360" t="str">
        <f>_xlfn.XLOOKUP(frasest[[#This Row],[author_es]],autorest[author_es],autorest[language_es])</f>
        <v>Griego</v>
      </c>
      <c r="L1360" t="str">
        <f>_xlfn.XLOOKUP(frasest[[#This Row],[author_es]],autorest[author_es],autorest[language_la])</f>
        <v>Lingua Graeca</v>
      </c>
      <c r="M1360" t="str">
        <f>_xlfn.XLOOKUP(frasest[[#This Row],[author_es]],autorest[author_es],autorest[nation_es])</f>
        <v>Grecia</v>
      </c>
      <c r="N1360" t="str">
        <f>_xlfn.XLOOKUP(frasest[[#This Row],[author_es]],autorest[author_es],autorest[nation_la])</f>
        <v>Graecia</v>
      </c>
      <c r="O1360" t="str">
        <f>_xlfn.XLOOKUP(frasest[[#This Row],[author_es]],autorest[author_es],autorest[age_es])</f>
        <v>Edad Antigua</v>
      </c>
      <c r="P1360" t="str">
        <f>_xlfn.XLOOKUP(frasest[[#This Row],[author_es]],autorest[author_es],autorest[age_la])</f>
        <v>Antiquitas</v>
      </c>
      <c r="Q1360" t="str">
        <f>_xlfn.XLOOKUP(frasest[[#This Row],[author_es]],autorest[author_es],autorest[image])</f>
        <v>https://i.ibb.co/Xr7qMRcm/antistenes.png</v>
      </c>
      <c r="R1360">
        <f>_xlfn.XLOOKUP(frasest[[#This Row],[author_es]],autorest[author_es],autorest[image_atr])</f>
        <v>0</v>
      </c>
    </row>
    <row r="1361" spans="1:18">
      <c r="A1361">
        <v>1360</v>
      </c>
      <c r="B1361" t="s">
        <v>4200</v>
      </c>
      <c r="C1361" t="s">
        <v>4201</v>
      </c>
      <c r="D1361" t="s">
        <v>4202</v>
      </c>
      <c r="E1361" t="s">
        <v>4198</v>
      </c>
      <c r="F1361" t="s">
        <v>4203</v>
      </c>
      <c r="G1361" t="str">
        <f>_xlfn.XLOOKUP(frasest[[#This Row],[author_es]],autorest[author_es],autorest[author_la])</f>
        <v>Antisthenes</v>
      </c>
      <c r="H1361" t="str">
        <f>_xlfn.XLOOKUP(frasest[[#This Row],[author_es]],autorest[author_es],autorest[bio_es])</f>
        <v>Filósofo griego discípulo directo de Sócrates y fundador de la escuela cínica que defendía la virtud la autosuficiencia y el desprecio por las riquezas materiales</v>
      </c>
      <c r="I1361" t="str">
        <f>_xlfn.XLOOKUP(frasest[[#This Row],[author_es]],autorest[author_es],autorest[bio_la])</f>
        <v>Philosophus Graecus discipulus directus Socratis et fundator scholae Cynicae qui virtutem autosufficientia et contemptum divitiarum materialium defendebat</v>
      </c>
      <c r="J1361" t="str">
        <f>_xlfn.XLOOKUP(frasest[[#This Row],[author_es]],autorest[author_es],autorest[iso3691])</f>
        <v>el</v>
      </c>
      <c r="K1361" t="str">
        <f>_xlfn.XLOOKUP(frasest[[#This Row],[author_es]],autorest[author_es],autorest[language_es])</f>
        <v>Griego</v>
      </c>
      <c r="L1361" t="str">
        <f>_xlfn.XLOOKUP(frasest[[#This Row],[author_es]],autorest[author_es],autorest[language_la])</f>
        <v>Lingua Graeca</v>
      </c>
      <c r="M1361" t="str">
        <f>_xlfn.XLOOKUP(frasest[[#This Row],[author_es]],autorest[author_es],autorest[nation_es])</f>
        <v>Grecia</v>
      </c>
      <c r="N1361" t="str">
        <f>_xlfn.XLOOKUP(frasest[[#This Row],[author_es]],autorest[author_es],autorest[nation_la])</f>
        <v>Graecia</v>
      </c>
      <c r="O1361" t="str">
        <f>_xlfn.XLOOKUP(frasest[[#This Row],[author_es]],autorest[author_es],autorest[age_es])</f>
        <v>Edad Antigua</v>
      </c>
      <c r="P1361" t="str">
        <f>_xlfn.XLOOKUP(frasest[[#This Row],[author_es]],autorest[author_es],autorest[age_la])</f>
        <v>Antiquitas</v>
      </c>
      <c r="Q1361" t="str">
        <f>_xlfn.XLOOKUP(frasest[[#This Row],[author_es]],autorest[author_es],autorest[image])</f>
        <v>https://i.ibb.co/Xr7qMRcm/antistenes.png</v>
      </c>
      <c r="R1361">
        <f>_xlfn.XLOOKUP(frasest[[#This Row],[author_es]],autorest[author_es],autorest[image_atr])</f>
        <v>0</v>
      </c>
    </row>
    <row r="1362" spans="1:18">
      <c r="A1362">
        <v>1361</v>
      </c>
      <c r="B1362" t="s">
        <v>4204</v>
      </c>
      <c r="C1362" t="s">
        <v>4205</v>
      </c>
      <c r="D1362" t="s">
        <v>4206</v>
      </c>
      <c r="E1362" t="s">
        <v>4198</v>
      </c>
      <c r="F1362" t="s">
        <v>4207</v>
      </c>
      <c r="G1362" t="str">
        <f>_xlfn.XLOOKUP(frasest[[#This Row],[author_es]],autorest[author_es],autorest[author_la])</f>
        <v>Antisthenes</v>
      </c>
      <c r="H1362" t="str">
        <f>_xlfn.XLOOKUP(frasest[[#This Row],[author_es]],autorest[author_es],autorest[bio_es])</f>
        <v>Filósofo griego discípulo directo de Sócrates y fundador de la escuela cínica que defendía la virtud la autosuficiencia y el desprecio por las riquezas materiales</v>
      </c>
      <c r="I1362" t="str">
        <f>_xlfn.XLOOKUP(frasest[[#This Row],[author_es]],autorest[author_es],autorest[bio_la])</f>
        <v>Philosophus Graecus discipulus directus Socratis et fundator scholae Cynicae qui virtutem autosufficientia et contemptum divitiarum materialium defendebat</v>
      </c>
      <c r="J1362" t="str">
        <f>_xlfn.XLOOKUP(frasest[[#This Row],[author_es]],autorest[author_es],autorest[iso3691])</f>
        <v>el</v>
      </c>
      <c r="K1362" t="str">
        <f>_xlfn.XLOOKUP(frasest[[#This Row],[author_es]],autorest[author_es],autorest[language_es])</f>
        <v>Griego</v>
      </c>
      <c r="L1362" t="str">
        <f>_xlfn.XLOOKUP(frasest[[#This Row],[author_es]],autorest[author_es],autorest[language_la])</f>
        <v>Lingua Graeca</v>
      </c>
      <c r="M1362" t="str">
        <f>_xlfn.XLOOKUP(frasest[[#This Row],[author_es]],autorest[author_es],autorest[nation_es])</f>
        <v>Grecia</v>
      </c>
      <c r="N1362" t="str">
        <f>_xlfn.XLOOKUP(frasest[[#This Row],[author_es]],autorest[author_es],autorest[nation_la])</f>
        <v>Graecia</v>
      </c>
      <c r="O1362" t="str">
        <f>_xlfn.XLOOKUP(frasest[[#This Row],[author_es]],autorest[author_es],autorest[age_es])</f>
        <v>Edad Antigua</v>
      </c>
      <c r="P1362" t="str">
        <f>_xlfn.XLOOKUP(frasest[[#This Row],[author_es]],autorest[author_es],autorest[age_la])</f>
        <v>Antiquitas</v>
      </c>
      <c r="Q1362" t="str">
        <f>_xlfn.XLOOKUP(frasest[[#This Row],[author_es]],autorest[author_es],autorest[image])</f>
        <v>https://i.ibb.co/Xr7qMRcm/antistenes.png</v>
      </c>
      <c r="R1362">
        <f>_xlfn.XLOOKUP(frasest[[#This Row],[author_es]],autorest[author_es],autorest[image_atr])</f>
        <v>0</v>
      </c>
    </row>
    <row r="1363" spans="1:18">
      <c r="A1363">
        <v>1362</v>
      </c>
      <c r="B1363" t="s">
        <v>4208</v>
      </c>
      <c r="C1363" t="s">
        <v>4209</v>
      </c>
      <c r="D1363" t="s">
        <v>4210</v>
      </c>
      <c r="E1363" t="s">
        <v>4198</v>
      </c>
      <c r="F1363" t="s">
        <v>4211</v>
      </c>
      <c r="G1363" t="str">
        <f>_xlfn.XLOOKUP(frasest[[#This Row],[author_es]],autorest[author_es],autorest[author_la])</f>
        <v>Antisthenes</v>
      </c>
      <c r="H1363" t="str">
        <f>_xlfn.XLOOKUP(frasest[[#This Row],[author_es]],autorest[author_es],autorest[bio_es])</f>
        <v>Filósofo griego discípulo directo de Sócrates y fundador de la escuela cínica que defendía la virtud la autosuficiencia y el desprecio por las riquezas materiales</v>
      </c>
      <c r="I1363" t="str">
        <f>_xlfn.XLOOKUP(frasest[[#This Row],[author_es]],autorest[author_es],autorest[bio_la])</f>
        <v>Philosophus Graecus discipulus directus Socratis et fundator scholae Cynicae qui virtutem autosufficientia et contemptum divitiarum materialium defendebat</v>
      </c>
      <c r="J1363" t="str">
        <f>_xlfn.XLOOKUP(frasest[[#This Row],[author_es]],autorest[author_es],autorest[iso3691])</f>
        <v>el</v>
      </c>
      <c r="K1363" t="str">
        <f>_xlfn.XLOOKUP(frasest[[#This Row],[author_es]],autorest[author_es],autorest[language_es])</f>
        <v>Griego</v>
      </c>
      <c r="L1363" t="str">
        <f>_xlfn.XLOOKUP(frasest[[#This Row],[author_es]],autorest[author_es],autorest[language_la])</f>
        <v>Lingua Graeca</v>
      </c>
      <c r="M1363" t="str">
        <f>_xlfn.XLOOKUP(frasest[[#This Row],[author_es]],autorest[author_es],autorest[nation_es])</f>
        <v>Grecia</v>
      </c>
      <c r="N1363" t="str">
        <f>_xlfn.XLOOKUP(frasest[[#This Row],[author_es]],autorest[author_es],autorest[nation_la])</f>
        <v>Graecia</v>
      </c>
      <c r="O1363" t="str">
        <f>_xlfn.XLOOKUP(frasest[[#This Row],[author_es]],autorest[author_es],autorest[age_es])</f>
        <v>Edad Antigua</v>
      </c>
      <c r="P1363" t="str">
        <f>_xlfn.XLOOKUP(frasest[[#This Row],[author_es]],autorest[author_es],autorest[age_la])</f>
        <v>Antiquitas</v>
      </c>
      <c r="Q1363" t="str">
        <f>_xlfn.XLOOKUP(frasest[[#This Row],[author_es]],autorest[author_es],autorest[image])</f>
        <v>https://i.ibb.co/Xr7qMRcm/antistenes.png</v>
      </c>
      <c r="R1363">
        <f>_xlfn.XLOOKUP(frasest[[#This Row],[author_es]],autorest[author_es],autorest[image_atr])</f>
        <v>0</v>
      </c>
    </row>
    <row r="1364" spans="1:18">
      <c r="A1364">
        <v>1363</v>
      </c>
      <c r="B1364" t="s">
        <v>4212</v>
      </c>
      <c r="C1364" t="s">
        <v>4213</v>
      </c>
      <c r="D1364" t="s">
        <v>4214</v>
      </c>
      <c r="E1364" t="s">
        <v>4198</v>
      </c>
      <c r="F1364" t="s">
        <v>4215</v>
      </c>
      <c r="G1364" t="str">
        <f>_xlfn.XLOOKUP(frasest[[#This Row],[author_es]],autorest[author_es],autorest[author_la])</f>
        <v>Antisthenes</v>
      </c>
      <c r="H1364" t="str">
        <f>_xlfn.XLOOKUP(frasest[[#This Row],[author_es]],autorest[author_es],autorest[bio_es])</f>
        <v>Filósofo griego discípulo directo de Sócrates y fundador de la escuela cínica que defendía la virtud la autosuficiencia y el desprecio por las riquezas materiales</v>
      </c>
      <c r="I1364" t="str">
        <f>_xlfn.XLOOKUP(frasest[[#This Row],[author_es]],autorest[author_es],autorest[bio_la])</f>
        <v>Philosophus Graecus discipulus directus Socratis et fundator scholae Cynicae qui virtutem autosufficientia et contemptum divitiarum materialium defendebat</v>
      </c>
      <c r="J1364" t="str">
        <f>_xlfn.XLOOKUP(frasest[[#This Row],[author_es]],autorest[author_es],autorest[iso3691])</f>
        <v>el</v>
      </c>
      <c r="K1364" t="str">
        <f>_xlfn.XLOOKUP(frasest[[#This Row],[author_es]],autorest[author_es],autorest[language_es])</f>
        <v>Griego</v>
      </c>
      <c r="L1364" t="str">
        <f>_xlfn.XLOOKUP(frasest[[#This Row],[author_es]],autorest[author_es],autorest[language_la])</f>
        <v>Lingua Graeca</v>
      </c>
      <c r="M1364" t="str">
        <f>_xlfn.XLOOKUP(frasest[[#This Row],[author_es]],autorest[author_es],autorest[nation_es])</f>
        <v>Grecia</v>
      </c>
      <c r="N1364" t="str">
        <f>_xlfn.XLOOKUP(frasest[[#This Row],[author_es]],autorest[author_es],autorest[nation_la])</f>
        <v>Graecia</v>
      </c>
      <c r="O1364" t="str">
        <f>_xlfn.XLOOKUP(frasest[[#This Row],[author_es]],autorest[author_es],autorest[age_es])</f>
        <v>Edad Antigua</v>
      </c>
      <c r="P1364" t="str">
        <f>_xlfn.XLOOKUP(frasest[[#This Row],[author_es]],autorest[author_es],autorest[age_la])</f>
        <v>Antiquitas</v>
      </c>
      <c r="Q1364" t="str">
        <f>_xlfn.XLOOKUP(frasest[[#This Row],[author_es]],autorest[author_es],autorest[image])</f>
        <v>https://i.ibb.co/Xr7qMRcm/antistenes.png</v>
      </c>
      <c r="R1364">
        <f>_xlfn.XLOOKUP(frasest[[#This Row],[author_es]],autorest[author_es],autorest[image_atr])</f>
        <v>0</v>
      </c>
    </row>
    <row r="1365" spans="1:18">
      <c r="A1365">
        <v>1364</v>
      </c>
      <c r="B1365" t="s">
        <v>4216</v>
      </c>
      <c r="C1365" t="s">
        <v>4217</v>
      </c>
      <c r="D1365" t="s">
        <v>4218</v>
      </c>
      <c r="E1365" t="s">
        <v>4198</v>
      </c>
      <c r="F1365" t="s">
        <v>4219</v>
      </c>
      <c r="G1365" t="str">
        <f>_xlfn.XLOOKUP(frasest[[#This Row],[author_es]],autorest[author_es],autorest[author_la])</f>
        <v>Antisthenes</v>
      </c>
      <c r="H1365" t="str">
        <f>_xlfn.XLOOKUP(frasest[[#This Row],[author_es]],autorest[author_es],autorest[bio_es])</f>
        <v>Filósofo griego discípulo directo de Sócrates y fundador de la escuela cínica que defendía la virtud la autosuficiencia y el desprecio por las riquezas materiales</v>
      </c>
      <c r="I1365" t="str">
        <f>_xlfn.XLOOKUP(frasest[[#This Row],[author_es]],autorest[author_es],autorest[bio_la])</f>
        <v>Philosophus Graecus discipulus directus Socratis et fundator scholae Cynicae qui virtutem autosufficientia et contemptum divitiarum materialium defendebat</v>
      </c>
      <c r="J1365" t="str">
        <f>_xlfn.XLOOKUP(frasest[[#This Row],[author_es]],autorest[author_es],autorest[iso3691])</f>
        <v>el</v>
      </c>
      <c r="K1365" t="str">
        <f>_xlfn.XLOOKUP(frasest[[#This Row],[author_es]],autorest[author_es],autorest[language_es])</f>
        <v>Griego</v>
      </c>
      <c r="L1365" t="str">
        <f>_xlfn.XLOOKUP(frasest[[#This Row],[author_es]],autorest[author_es],autorest[language_la])</f>
        <v>Lingua Graeca</v>
      </c>
      <c r="M1365" t="str">
        <f>_xlfn.XLOOKUP(frasest[[#This Row],[author_es]],autorest[author_es],autorest[nation_es])</f>
        <v>Grecia</v>
      </c>
      <c r="N1365" t="str">
        <f>_xlfn.XLOOKUP(frasest[[#This Row],[author_es]],autorest[author_es],autorest[nation_la])</f>
        <v>Graecia</v>
      </c>
      <c r="O1365" t="str">
        <f>_xlfn.XLOOKUP(frasest[[#This Row],[author_es]],autorest[author_es],autorest[age_es])</f>
        <v>Edad Antigua</v>
      </c>
      <c r="P1365" t="str">
        <f>_xlfn.XLOOKUP(frasest[[#This Row],[author_es]],autorest[author_es],autorest[age_la])</f>
        <v>Antiquitas</v>
      </c>
      <c r="Q1365" t="str">
        <f>_xlfn.XLOOKUP(frasest[[#This Row],[author_es]],autorest[author_es],autorest[image])</f>
        <v>https://i.ibb.co/Xr7qMRcm/antistenes.png</v>
      </c>
      <c r="R1365">
        <f>_xlfn.XLOOKUP(frasest[[#This Row],[author_es]],autorest[author_es],autorest[image_atr])</f>
        <v>0</v>
      </c>
    </row>
    <row r="1366" spans="1:18">
      <c r="A1366">
        <v>1365</v>
      </c>
      <c r="B1366" t="s">
        <v>4220</v>
      </c>
      <c r="C1366" t="s">
        <v>4221</v>
      </c>
      <c r="D1366" t="s">
        <v>4222</v>
      </c>
      <c r="E1366" t="s">
        <v>4198</v>
      </c>
      <c r="F1366" t="s">
        <v>4223</v>
      </c>
      <c r="G1366" t="str">
        <f>_xlfn.XLOOKUP(frasest[[#This Row],[author_es]],autorest[author_es],autorest[author_la])</f>
        <v>Antisthenes</v>
      </c>
      <c r="H1366" t="str">
        <f>_xlfn.XLOOKUP(frasest[[#This Row],[author_es]],autorest[author_es],autorest[bio_es])</f>
        <v>Filósofo griego discípulo directo de Sócrates y fundador de la escuela cínica que defendía la virtud la autosuficiencia y el desprecio por las riquezas materiales</v>
      </c>
      <c r="I1366" t="str">
        <f>_xlfn.XLOOKUP(frasest[[#This Row],[author_es]],autorest[author_es],autorest[bio_la])</f>
        <v>Philosophus Graecus discipulus directus Socratis et fundator scholae Cynicae qui virtutem autosufficientia et contemptum divitiarum materialium defendebat</v>
      </c>
      <c r="J1366" t="str">
        <f>_xlfn.XLOOKUP(frasest[[#This Row],[author_es]],autorest[author_es],autorest[iso3691])</f>
        <v>el</v>
      </c>
      <c r="K1366" t="str">
        <f>_xlfn.XLOOKUP(frasest[[#This Row],[author_es]],autorest[author_es],autorest[language_es])</f>
        <v>Griego</v>
      </c>
      <c r="L1366" t="str">
        <f>_xlfn.XLOOKUP(frasest[[#This Row],[author_es]],autorest[author_es],autorest[language_la])</f>
        <v>Lingua Graeca</v>
      </c>
      <c r="M1366" t="str">
        <f>_xlfn.XLOOKUP(frasest[[#This Row],[author_es]],autorest[author_es],autorest[nation_es])</f>
        <v>Grecia</v>
      </c>
      <c r="N1366" t="str">
        <f>_xlfn.XLOOKUP(frasest[[#This Row],[author_es]],autorest[author_es],autorest[nation_la])</f>
        <v>Graecia</v>
      </c>
      <c r="O1366" t="str">
        <f>_xlfn.XLOOKUP(frasest[[#This Row],[author_es]],autorest[author_es],autorest[age_es])</f>
        <v>Edad Antigua</v>
      </c>
      <c r="P1366" t="str">
        <f>_xlfn.XLOOKUP(frasest[[#This Row],[author_es]],autorest[author_es],autorest[age_la])</f>
        <v>Antiquitas</v>
      </c>
      <c r="Q1366" t="str">
        <f>_xlfn.XLOOKUP(frasest[[#This Row],[author_es]],autorest[author_es],autorest[image])</f>
        <v>https://i.ibb.co/Xr7qMRcm/antistenes.png</v>
      </c>
      <c r="R1366">
        <f>_xlfn.XLOOKUP(frasest[[#This Row],[author_es]],autorest[author_es],autorest[image_atr])</f>
        <v>0</v>
      </c>
    </row>
    <row r="1367" spans="1:18">
      <c r="A1367">
        <v>1366</v>
      </c>
      <c r="B1367" t="s">
        <v>4224</v>
      </c>
      <c r="C1367" t="s">
        <v>4225</v>
      </c>
      <c r="D1367" t="s">
        <v>4226</v>
      </c>
      <c r="E1367" t="s">
        <v>4198</v>
      </c>
      <c r="F1367" t="s">
        <v>4227</v>
      </c>
      <c r="G1367" t="str">
        <f>_xlfn.XLOOKUP(frasest[[#This Row],[author_es]],autorest[author_es],autorest[author_la])</f>
        <v>Antisthenes</v>
      </c>
      <c r="H1367" t="str">
        <f>_xlfn.XLOOKUP(frasest[[#This Row],[author_es]],autorest[author_es],autorest[bio_es])</f>
        <v>Filósofo griego discípulo directo de Sócrates y fundador de la escuela cínica que defendía la virtud la autosuficiencia y el desprecio por las riquezas materiales</v>
      </c>
      <c r="I1367" t="str">
        <f>_xlfn.XLOOKUP(frasest[[#This Row],[author_es]],autorest[author_es],autorest[bio_la])</f>
        <v>Philosophus Graecus discipulus directus Socratis et fundator scholae Cynicae qui virtutem autosufficientia et contemptum divitiarum materialium defendebat</v>
      </c>
      <c r="J1367" t="str">
        <f>_xlfn.XLOOKUP(frasest[[#This Row],[author_es]],autorest[author_es],autorest[iso3691])</f>
        <v>el</v>
      </c>
      <c r="K1367" t="str">
        <f>_xlfn.XLOOKUP(frasest[[#This Row],[author_es]],autorest[author_es],autorest[language_es])</f>
        <v>Griego</v>
      </c>
      <c r="L1367" t="str">
        <f>_xlfn.XLOOKUP(frasest[[#This Row],[author_es]],autorest[author_es],autorest[language_la])</f>
        <v>Lingua Graeca</v>
      </c>
      <c r="M1367" t="str">
        <f>_xlfn.XLOOKUP(frasest[[#This Row],[author_es]],autorest[author_es],autorest[nation_es])</f>
        <v>Grecia</v>
      </c>
      <c r="N1367" t="str">
        <f>_xlfn.XLOOKUP(frasest[[#This Row],[author_es]],autorest[author_es],autorest[nation_la])</f>
        <v>Graecia</v>
      </c>
      <c r="O1367" t="str">
        <f>_xlfn.XLOOKUP(frasest[[#This Row],[author_es]],autorest[author_es],autorest[age_es])</f>
        <v>Edad Antigua</v>
      </c>
      <c r="P1367" t="str">
        <f>_xlfn.XLOOKUP(frasest[[#This Row],[author_es]],autorest[author_es],autorest[age_la])</f>
        <v>Antiquitas</v>
      </c>
      <c r="Q1367" t="str">
        <f>_xlfn.XLOOKUP(frasest[[#This Row],[author_es]],autorest[author_es],autorest[image])</f>
        <v>https://i.ibb.co/Xr7qMRcm/antistenes.png</v>
      </c>
      <c r="R1367">
        <f>_xlfn.XLOOKUP(frasest[[#This Row],[author_es]],autorest[author_es],autorest[image_atr])</f>
        <v>0</v>
      </c>
    </row>
    <row r="1368" spans="1:18">
      <c r="A1368">
        <v>1367</v>
      </c>
      <c r="B1368" t="s">
        <v>4228</v>
      </c>
      <c r="C1368" t="s">
        <v>4229</v>
      </c>
      <c r="D1368" t="s">
        <v>4230</v>
      </c>
      <c r="E1368" t="s">
        <v>4198</v>
      </c>
      <c r="F1368" t="s">
        <v>4231</v>
      </c>
      <c r="G1368" t="str">
        <f>_xlfn.XLOOKUP(frasest[[#This Row],[author_es]],autorest[author_es],autorest[author_la])</f>
        <v>Antisthenes</v>
      </c>
      <c r="H1368" t="str">
        <f>_xlfn.XLOOKUP(frasest[[#This Row],[author_es]],autorest[author_es],autorest[bio_es])</f>
        <v>Filósofo griego discípulo directo de Sócrates y fundador de la escuela cínica que defendía la virtud la autosuficiencia y el desprecio por las riquezas materiales</v>
      </c>
      <c r="I1368" t="str">
        <f>_xlfn.XLOOKUP(frasest[[#This Row],[author_es]],autorest[author_es],autorest[bio_la])</f>
        <v>Philosophus Graecus discipulus directus Socratis et fundator scholae Cynicae qui virtutem autosufficientia et contemptum divitiarum materialium defendebat</v>
      </c>
      <c r="J1368" t="str">
        <f>_xlfn.XLOOKUP(frasest[[#This Row],[author_es]],autorest[author_es],autorest[iso3691])</f>
        <v>el</v>
      </c>
      <c r="K1368" t="str">
        <f>_xlfn.XLOOKUP(frasest[[#This Row],[author_es]],autorest[author_es],autorest[language_es])</f>
        <v>Griego</v>
      </c>
      <c r="L1368" t="str">
        <f>_xlfn.XLOOKUP(frasest[[#This Row],[author_es]],autorest[author_es],autorest[language_la])</f>
        <v>Lingua Graeca</v>
      </c>
      <c r="M1368" t="str">
        <f>_xlfn.XLOOKUP(frasest[[#This Row],[author_es]],autorest[author_es],autorest[nation_es])</f>
        <v>Grecia</v>
      </c>
      <c r="N1368" t="str">
        <f>_xlfn.XLOOKUP(frasest[[#This Row],[author_es]],autorest[author_es],autorest[nation_la])</f>
        <v>Graecia</v>
      </c>
      <c r="O1368" t="str">
        <f>_xlfn.XLOOKUP(frasest[[#This Row],[author_es]],autorest[author_es],autorest[age_es])</f>
        <v>Edad Antigua</v>
      </c>
      <c r="P1368" t="str">
        <f>_xlfn.XLOOKUP(frasest[[#This Row],[author_es]],autorest[author_es],autorest[age_la])</f>
        <v>Antiquitas</v>
      </c>
      <c r="Q1368" t="str">
        <f>_xlfn.XLOOKUP(frasest[[#This Row],[author_es]],autorest[author_es],autorest[image])</f>
        <v>https://i.ibb.co/Xr7qMRcm/antistenes.png</v>
      </c>
      <c r="R1368">
        <f>_xlfn.XLOOKUP(frasest[[#This Row],[author_es]],autorest[author_es],autorest[image_atr])</f>
        <v>0</v>
      </c>
    </row>
    <row r="1369" spans="1:18">
      <c r="A1369">
        <v>1368</v>
      </c>
      <c r="B1369" t="s">
        <v>4232</v>
      </c>
      <c r="C1369" t="s">
        <v>4233</v>
      </c>
      <c r="D1369" t="s">
        <v>4234</v>
      </c>
      <c r="E1369" t="s">
        <v>4198</v>
      </c>
      <c r="F1369" t="s">
        <v>4235</v>
      </c>
      <c r="G1369" t="str">
        <f>_xlfn.XLOOKUP(frasest[[#This Row],[author_es]],autorest[author_es],autorest[author_la])</f>
        <v>Antisthenes</v>
      </c>
      <c r="H1369" t="str">
        <f>_xlfn.XLOOKUP(frasest[[#This Row],[author_es]],autorest[author_es],autorest[bio_es])</f>
        <v>Filósofo griego discípulo directo de Sócrates y fundador de la escuela cínica que defendía la virtud la autosuficiencia y el desprecio por las riquezas materiales</v>
      </c>
      <c r="I1369" t="str">
        <f>_xlfn.XLOOKUP(frasest[[#This Row],[author_es]],autorest[author_es],autorest[bio_la])</f>
        <v>Philosophus Graecus discipulus directus Socratis et fundator scholae Cynicae qui virtutem autosufficientia et contemptum divitiarum materialium defendebat</v>
      </c>
      <c r="J1369" t="str">
        <f>_xlfn.XLOOKUP(frasest[[#This Row],[author_es]],autorest[author_es],autorest[iso3691])</f>
        <v>el</v>
      </c>
      <c r="K1369" t="str">
        <f>_xlfn.XLOOKUP(frasest[[#This Row],[author_es]],autorest[author_es],autorest[language_es])</f>
        <v>Griego</v>
      </c>
      <c r="L1369" t="str">
        <f>_xlfn.XLOOKUP(frasest[[#This Row],[author_es]],autorest[author_es],autorest[language_la])</f>
        <v>Lingua Graeca</v>
      </c>
      <c r="M1369" t="str">
        <f>_xlfn.XLOOKUP(frasest[[#This Row],[author_es]],autorest[author_es],autorest[nation_es])</f>
        <v>Grecia</v>
      </c>
      <c r="N1369" t="str">
        <f>_xlfn.XLOOKUP(frasest[[#This Row],[author_es]],autorest[author_es],autorest[nation_la])</f>
        <v>Graecia</v>
      </c>
      <c r="O1369" t="str">
        <f>_xlfn.XLOOKUP(frasest[[#This Row],[author_es]],autorest[author_es],autorest[age_es])</f>
        <v>Edad Antigua</v>
      </c>
      <c r="P1369" t="str">
        <f>_xlfn.XLOOKUP(frasest[[#This Row],[author_es]],autorest[author_es],autorest[age_la])</f>
        <v>Antiquitas</v>
      </c>
      <c r="Q1369" t="str">
        <f>_xlfn.XLOOKUP(frasest[[#This Row],[author_es]],autorest[author_es],autorest[image])</f>
        <v>https://i.ibb.co/Xr7qMRcm/antistenes.png</v>
      </c>
      <c r="R1369">
        <f>_xlfn.XLOOKUP(frasest[[#This Row],[author_es]],autorest[author_es],autorest[image_atr])</f>
        <v>0</v>
      </c>
    </row>
    <row r="1370" spans="1:18">
      <c r="A1370">
        <v>1369</v>
      </c>
      <c r="B1370" t="s">
        <v>4236</v>
      </c>
      <c r="C1370" t="s">
        <v>4237</v>
      </c>
      <c r="D1370" t="s">
        <v>4238</v>
      </c>
      <c r="E1370" t="s">
        <v>4239</v>
      </c>
      <c r="F1370" t="s">
        <v>4240</v>
      </c>
      <c r="G1370" t="str">
        <f>_xlfn.XLOOKUP(frasest[[#This Row],[author_es]],autorest[author_es],autorest[author_la])</f>
        <v>Plotinus</v>
      </c>
      <c r="H1370"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0" t="str">
        <f>_xlfn.XLOOKUP(frasest[[#This Row],[author_es]],autorest[author_es],autorest[bio_la])</f>
        <v>Philosophus Neoplatonicus fundator scholae Neoplatonicae qui pontem inter philosophiam Graecam classicam et mysticam Christianam medievalem constituit cum doctrina de Uno et emanatione animae</v>
      </c>
      <c r="J1370" t="str">
        <f>_xlfn.XLOOKUP(frasest[[#This Row],[author_es]],autorest[author_es],autorest[iso3691])</f>
        <v>el</v>
      </c>
      <c r="K1370" t="str">
        <f>_xlfn.XLOOKUP(frasest[[#This Row],[author_es]],autorest[author_es],autorest[language_es])</f>
        <v>Griego</v>
      </c>
      <c r="L1370" t="str">
        <f>_xlfn.XLOOKUP(frasest[[#This Row],[author_es]],autorest[author_es],autorest[language_la])</f>
        <v>Lingua Graeca</v>
      </c>
      <c r="M1370" t="str">
        <f>_xlfn.XLOOKUP(frasest[[#This Row],[author_es]],autorest[author_es],autorest[nation_es])</f>
        <v>Roma</v>
      </c>
      <c r="N1370" t="str">
        <f>_xlfn.XLOOKUP(frasest[[#This Row],[author_es]],autorest[author_es],autorest[nation_la])</f>
        <v>Roma</v>
      </c>
      <c r="O1370" t="str">
        <f>_xlfn.XLOOKUP(frasest[[#This Row],[author_es]],autorest[author_es],autorest[age_es])</f>
        <v>Edad Antigua</v>
      </c>
      <c r="P1370" t="str">
        <f>_xlfn.XLOOKUP(frasest[[#This Row],[author_es]],autorest[author_es],autorest[age_la])</f>
        <v>Antiquitas</v>
      </c>
      <c r="Q1370" t="str">
        <f>_xlfn.XLOOKUP(frasest[[#This Row],[author_es]],autorest[author_es],autorest[image])</f>
        <v>https://i.ibb.co/wFKwzxC5/plotino.png</v>
      </c>
      <c r="R1370">
        <f>_xlfn.XLOOKUP(frasest[[#This Row],[author_es]],autorest[author_es],autorest[image_atr])</f>
        <v>0</v>
      </c>
    </row>
    <row r="1371" spans="1:18">
      <c r="A1371">
        <v>1370</v>
      </c>
      <c r="B1371" t="s">
        <v>4241</v>
      </c>
      <c r="C1371" t="s">
        <v>4242</v>
      </c>
      <c r="D1371" t="s">
        <v>4243</v>
      </c>
      <c r="E1371" t="s">
        <v>4239</v>
      </c>
      <c r="F1371" t="s">
        <v>4244</v>
      </c>
      <c r="G1371" t="str">
        <f>_xlfn.XLOOKUP(frasest[[#This Row],[author_es]],autorest[author_es],autorest[author_la])</f>
        <v>Plotinus</v>
      </c>
      <c r="H1371"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1" t="str">
        <f>_xlfn.XLOOKUP(frasest[[#This Row],[author_es]],autorest[author_es],autorest[bio_la])</f>
        <v>Philosophus Neoplatonicus fundator scholae Neoplatonicae qui pontem inter philosophiam Graecam classicam et mysticam Christianam medievalem constituit cum doctrina de Uno et emanatione animae</v>
      </c>
      <c r="J1371" t="str">
        <f>_xlfn.XLOOKUP(frasest[[#This Row],[author_es]],autorest[author_es],autorest[iso3691])</f>
        <v>el</v>
      </c>
      <c r="K1371" t="str">
        <f>_xlfn.XLOOKUP(frasest[[#This Row],[author_es]],autorest[author_es],autorest[language_es])</f>
        <v>Griego</v>
      </c>
      <c r="L1371" t="str">
        <f>_xlfn.XLOOKUP(frasest[[#This Row],[author_es]],autorest[author_es],autorest[language_la])</f>
        <v>Lingua Graeca</v>
      </c>
      <c r="M1371" t="str">
        <f>_xlfn.XLOOKUP(frasest[[#This Row],[author_es]],autorest[author_es],autorest[nation_es])</f>
        <v>Roma</v>
      </c>
      <c r="N1371" t="str">
        <f>_xlfn.XLOOKUP(frasest[[#This Row],[author_es]],autorest[author_es],autorest[nation_la])</f>
        <v>Roma</v>
      </c>
      <c r="O1371" t="str">
        <f>_xlfn.XLOOKUP(frasest[[#This Row],[author_es]],autorest[author_es],autorest[age_es])</f>
        <v>Edad Antigua</v>
      </c>
      <c r="P1371" t="str">
        <f>_xlfn.XLOOKUP(frasest[[#This Row],[author_es]],autorest[author_es],autorest[age_la])</f>
        <v>Antiquitas</v>
      </c>
      <c r="Q1371" t="str">
        <f>_xlfn.XLOOKUP(frasest[[#This Row],[author_es]],autorest[author_es],autorest[image])</f>
        <v>https://i.ibb.co/wFKwzxC5/plotino.png</v>
      </c>
      <c r="R1371">
        <f>_xlfn.XLOOKUP(frasest[[#This Row],[author_es]],autorest[author_es],autorest[image_atr])</f>
        <v>0</v>
      </c>
    </row>
    <row r="1372" spans="1:18">
      <c r="A1372">
        <v>1371</v>
      </c>
      <c r="B1372" t="s">
        <v>4245</v>
      </c>
      <c r="C1372" t="s">
        <v>4246</v>
      </c>
      <c r="D1372" t="s">
        <v>4247</v>
      </c>
      <c r="E1372" t="s">
        <v>4239</v>
      </c>
      <c r="F1372" t="s">
        <v>4248</v>
      </c>
      <c r="G1372" t="str">
        <f>_xlfn.XLOOKUP(frasest[[#This Row],[author_es]],autorest[author_es],autorest[author_la])</f>
        <v>Plotinus</v>
      </c>
      <c r="H1372"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2" t="str">
        <f>_xlfn.XLOOKUP(frasest[[#This Row],[author_es]],autorest[author_es],autorest[bio_la])</f>
        <v>Philosophus Neoplatonicus fundator scholae Neoplatonicae qui pontem inter philosophiam Graecam classicam et mysticam Christianam medievalem constituit cum doctrina de Uno et emanatione animae</v>
      </c>
      <c r="J1372" t="str">
        <f>_xlfn.XLOOKUP(frasest[[#This Row],[author_es]],autorest[author_es],autorest[iso3691])</f>
        <v>el</v>
      </c>
      <c r="K1372" t="str">
        <f>_xlfn.XLOOKUP(frasest[[#This Row],[author_es]],autorest[author_es],autorest[language_es])</f>
        <v>Griego</v>
      </c>
      <c r="L1372" t="str">
        <f>_xlfn.XLOOKUP(frasest[[#This Row],[author_es]],autorest[author_es],autorest[language_la])</f>
        <v>Lingua Graeca</v>
      </c>
      <c r="M1372" t="str">
        <f>_xlfn.XLOOKUP(frasest[[#This Row],[author_es]],autorest[author_es],autorest[nation_es])</f>
        <v>Roma</v>
      </c>
      <c r="N1372" t="str">
        <f>_xlfn.XLOOKUP(frasest[[#This Row],[author_es]],autorest[author_es],autorest[nation_la])</f>
        <v>Roma</v>
      </c>
      <c r="O1372" t="str">
        <f>_xlfn.XLOOKUP(frasest[[#This Row],[author_es]],autorest[author_es],autorest[age_es])</f>
        <v>Edad Antigua</v>
      </c>
      <c r="P1372" t="str">
        <f>_xlfn.XLOOKUP(frasest[[#This Row],[author_es]],autorest[author_es],autorest[age_la])</f>
        <v>Antiquitas</v>
      </c>
      <c r="Q1372" t="str">
        <f>_xlfn.XLOOKUP(frasest[[#This Row],[author_es]],autorest[author_es],autorest[image])</f>
        <v>https://i.ibb.co/wFKwzxC5/plotino.png</v>
      </c>
      <c r="R1372">
        <f>_xlfn.XLOOKUP(frasest[[#This Row],[author_es]],autorest[author_es],autorest[image_atr])</f>
        <v>0</v>
      </c>
    </row>
    <row r="1373" spans="1:18">
      <c r="A1373">
        <v>1372</v>
      </c>
      <c r="B1373" t="s">
        <v>4249</v>
      </c>
      <c r="C1373" t="s">
        <v>4250</v>
      </c>
      <c r="D1373" t="s">
        <v>4251</v>
      </c>
      <c r="E1373" t="s">
        <v>4239</v>
      </c>
      <c r="F1373" t="s">
        <v>4252</v>
      </c>
      <c r="G1373" t="str">
        <f>_xlfn.XLOOKUP(frasest[[#This Row],[author_es]],autorest[author_es],autorest[author_la])</f>
        <v>Plotinus</v>
      </c>
      <c r="H1373"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3" t="str">
        <f>_xlfn.XLOOKUP(frasest[[#This Row],[author_es]],autorest[author_es],autorest[bio_la])</f>
        <v>Philosophus Neoplatonicus fundator scholae Neoplatonicae qui pontem inter philosophiam Graecam classicam et mysticam Christianam medievalem constituit cum doctrina de Uno et emanatione animae</v>
      </c>
      <c r="J1373" t="str">
        <f>_xlfn.XLOOKUP(frasest[[#This Row],[author_es]],autorest[author_es],autorest[iso3691])</f>
        <v>el</v>
      </c>
      <c r="K1373" t="str">
        <f>_xlfn.XLOOKUP(frasest[[#This Row],[author_es]],autorest[author_es],autorest[language_es])</f>
        <v>Griego</v>
      </c>
      <c r="L1373" t="str">
        <f>_xlfn.XLOOKUP(frasest[[#This Row],[author_es]],autorest[author_es],autorest[language_la])</f>
        <v>Lingua Graeca</v>
      </c>
      <c r="M1373" t="str">
        <f>_xlfn.XLOOKUP(frasest[[#This Row],[author_es]],autorest[author_es],autorest[nation_es])</f>
        <v>Roma</v>
      </c>
      <c r="N1373" t="str">
        <f>_xlfn.XLOOKUP(frasest[[#This Row],[author_es]],autorest[author_es],autorest[nation_la])</f>
        <v>Roma</v>
      </c>
      <c r="O1373" t="str">
        <f>_xlfn.XLOOKUP(frasest[[#This Row],[author_es]],autorest[author_es],autorest[age_es])</f>
        <v>Edad Antigua</v>
      </c>
      <c r="P1373" t="str">
        <f>_xlfn.XLOOKUP(frasest[[#This Row],[author_es]],autorest[author_es],autorest[age_la])</f>
        <v>Antiquitas</v>
      </c>
      <c r="Q1373" t="str">
        <f>_xlfn.XLOOKUP(frasest[[#This Row],[author_es]],autorest[author_es],autorest[image])</f>
        <v>https://i.ibb.co/wFKwzxC5/plotino.png</v>
      </c>
      <c r="R1373">
        <f>_xlfn.XLOOKUP(frasest[[#This Row],[author_es]],autorest[author_es],autorest[image_atr])</f>
        <v>0</v>
      </c>
    </row>
    <row r="1374" spans="1:18">
      <c r="A1374">
        <v>1373</v>
      </c>
      <c r="B1374" t="s">
        <v>4253</v>
      </c>
      <c r="C1374" t="s">
        <v>4254</v>
      </c>
      <c r="D1374" t="s">
        <v>4255</v>
      </c>
      <c r="E1374" t="s">
        <v>4239</v>
      </c>
      <c r="F1374" t="s">
        <v>4256</v>
      </c>
      <c r="G1374" t="str">
        <f>_xlfn.XLOOKUP(frasest[[#This Row],[author_es]],autorest[author_es],autorest[author_la])</f>
        <v>Plotinus</v>
      </c>
      <c r="H1374"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4" t="str">
        <f>_xlfn.XLOOKUP(frasest[[#This Row],[author_es]],autorest[author_es],autorest[bio_la])</f>
        <v>Philosophus Neoplatonicus fundator scholae Neoplatonicae qui pontem inter philosophiam Graecam classicam et mysticam Christianam medievalem constituit cum doctrina de Uno et emanatione animae</v>
      </c>
      <c r="J1374" t="str">
        <f>_xlfn.XLOOKUP(frasest[[#This Row],[author_es]],autorest[author_es],autorest[iso3691])</f>
        <v>el</v>
      </c>
      <c r="K1374" t="str">
        <f>_xlfn.XLOOKUP(frasest[[#This Row],[author_es]],autorest[author_es],autorest[language_es])</f>
        <v>Griego</v>
      </c>
      <c r="L1374" t="str">
        <f>_xlfn.XLOOKUP(frasest[[#This Row],[author_es]],autorest[author_es],autorest[language_la])</f>
        <v>Lingua Graeca</v>
      </c>
      <c r="M1374" t="str">
        <f>_xlfn.XLOOKUP(frasest[[#This Row],[author_es]],autorest[author_es],autorest[nation_es])</f>
        <v>Roma</v>
      </c>
      <c r="N1374" t="str">
        <f>_xlfn.XLOOKUP(frasest[[#This Row],[author_es]],autorest[author_es],autorest[nation_la])</f>
        <v>Roma</v>
      </c>
      <c r="O1374" t="str">
        <f>_xlfn.XLOOKUP(frasest[[#This Row],[author_es]],autorest[author_es],autorest[age_es])</f>
        <v>Edad Antigua</v>
      </c>
      <c r="P1374" t="str">
        <f>_xlfn.XLOOKUP(frasest[[#This Row],[author_es]],autorest[author_es],autorest[age_la])</f>
        <v>Antiquitas</v>
      </c>
      <c r="Q1374" t="str">
        <f>_xlfn.XLOOKUP(frasest[[#This Row],[author_es]],autorest[author_es],autorest[image])</f>
        <v>https://i.ibb.co/wFKwzxC5/plotino.png</v>
      </c>
      <c r="R1374">
        <f>_xlfn.XLOOKUP(frasest[[#This Row],[author_es]],autorest[author_es],autorest[image_atr])</f>
        <v>0</v>
      </c>
    </row>
    <row r="1375" spans="1:18">
      <c r="A1375">
        <v>1374</v>
      </c>
      <c r="B1375" t="s">
        <v>4257</v>
      </c>
      <c r="C1375" t="s">
        <v>4258</v>
      </c>
      <c r="D1375" t="s">
        <v>4259</v>
      </c>
      <c r="E1375" t="s">
        <v>4239</v>
      </c>
      <c r="F1375" t="s">
        <v>4260</v>
      </c>
      <c r="G1375" t="str">
        <f>_xlfn.XLOOKUP(frasest[[#This Row],[author_es]],autorest[author_es],autorest[author_la])</f>
        <v>Plotinus</v>
      </c>
      <c r="H1375"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5" t="str">
        <f>_xlfn.XLOOKUP(frasest[[#This Row],[author_es]],autorest[author_es],autorest[bio_la])</f>
        <v>Philosophus Neoplatonicus fundator scholae Neoplatonicae qui pontem inter philosophiam Graecam classicam et mysticam Christianam medievalem constituit cum doctrina de Uno et emanatione animae</v>
      </c>
      <c r="J1375" t="str">
        <f>_xlfn.XLOOKUP(frasest[[#This Row],[author_es]],autorest[author_es],autorest[iso3691])</f>
        <v>el</v>
      </c>
      <c r="K1375" t="str">
        <f>_xlfn.XLOOKUP(frasest[[#This Row],[author_es]],autorest[author_es],autorest[language_es])</f>
        <v>Griego</v>
      </c>
      <c r="L1375" t="str">
        <f>_xlfn.XLOOKUP(frasest[[#This Row],[author_es]],autorest[author_es],autorest[language_la])</f>
        <v>Lingua Graeca</v>
      </c>
      <c r="M1375" t="str">
        <f>_xlfn.XLOOKUP(frasest[[#This Row],[author_es]],autorest[author_es],autorest[nation_es])</f>
        <v>Roma</v>
      </c>
      <c r="N1375" t="str">
        <f>_xlfn.XLOOKUP(frasest[[#This Row],[author_es]],autorest[author_es],autorest[nation_la])</f>
        <v>Roma</v>
      </c>
      <c r="O1375" t="str">
        <f>_xlfn.XLOOKUP(frasest[[#This Row],[author_es]],autorest[author_es],autorest[age_es])</f>
        <v>Edad Antigua</v>
      </c>
      <c r="P1375" t="str">
        <f>_xlfn.XLOOKUP(frasest[[#This Row],[author_es]],autorest[author_es],autorest[age_la])</f>
        <v>Antiquitas</v>
      </c>
      <c r="Q1375" t="str">
        <f>_xlfn.XLOOKUP(frasest[[#This Row],[author_es]],autorest[author_es],autorest[image])</f>
        <v>https://i.ibb.co/wFKwzxC5/plotino.png</v>
      </c>
      <c r="R1375">
        <f>_xlfn.XLOOKUP(frasest[[#This Row],[author_es]],autorest[author_es],autorest[image_atr])</f>
        <v>0</v>
      </c>
    </row>
    <row r="1376" spans="1:18">
      <c r="A1376">
        <v>1375</v>
      </c>
      <c r="B1376" t="s">
        <v>4261</v>
      </c>
      <c r="C1376" t="s">
        <v>4262</v>
      </c>
      <c r="D1376" t="s">
        <v>4263</v>
      </c>
      <c r="E1376" t="s">
        <v>4239</v>
      </c>
      <c r="F1376" t="s">
        <v>4264</v>
      </c>
      <c r="G1376" t="str">
        <f>_xlfn.XLOOKUP(frasest[[#This Row],[author_es]],autorest[author_es],autorest[author_la])</f>
        <v>Plotinus</v>
      </c>
      <c r="H1376"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6" t="str">
        <f>_xlfn.XLOOKUP(frasest[[#This Row],[author_es]],autorest[author_es],autorest[bio_la])</f>
        <v>Philosophus Neoplatonicus fundator scholae Neoplatonicae qui pontem inter philosophiam Graecam classicam et mysticam Christianam medievalem constituit cum doctrina de Uno et emanatione animae</v>
      </c>
      <c r="J1376" t="str">
        <f>_xlfn.XLOOKUP(frasest[[#This Row],[author_es]],autorest[author_es],autorest[iso3691])</f>
        <v>el</v>
      </c>
      <c r="K1376" t="str">
        <f>_xlfn.XLOOKUP(frasest[[#This Row],[author_es]],autorest[author_es],autorest[language_es])</f>
        <v>Griego</v>
      </c>
      <c r="L1376" t="str">
        <f>_xlfn.XLOOKUP(frasest[[#This Row],[author_es]],autorest[author_es],autorest[language_la])</f>
        <v>Lingua Graeca</v>
      </c>
      <c r="M1376" t="str">
        <f>_xlfn.XLOOKUP(frasest[[#This Row],[author_es]],autorest[author_es],autorest[nation_es])</f>
        <v>Roma</v>
      </c>
      <c r="N1376" t="str">
        <f>_xlfn.XLOOKUP(frasest[[#This Row],[author_es]],autorest[author_es],autorest[nation_la])</f>
        <v>Roma</v>
      </c>
      <c r="O1376" t="str">
        <f>_xlfn.XLOOKUP(frasest[[#This Row],[author_es]],autorest[author_es],autorest[age_es])</f>
        <v>Edad Antigua</v>
      </c>
      <c r="P1376" t="str">
        <f>_xlfn.XLOOKUP(frasest[[#This Row],[author_es]],autorest[author_es],autorest[age_la])</f>
        <v>Antiquitas</v>
      </c>
      <c r="Q1376" t="str">
        <f>_xlfn.XLOOKUP(frasest[[#This Row],[author_es]],autorest[author_es],autorest[image])</f>
        <v>https://i.ibb.co/wFKwzxC5/plotino.png</v>
      </c>
      <c r="R1376">
        <f>_xlfn.XLOOKUP(frasest[[#This Row],[author_es]],autorest[author_es],autorest[image_atr])</f>
        <v>0</v>
      </c>
    </row>
    <row r="1377" spans="1:18">
      <c r="A1377">
        <v>1376</v>
      </c>
      <c r="B1377" t="s">
        <v>4265</v>
      </c>
      <c r="C1377" t="s">
        <v>4266</v>
      </c>
      <c r="D1377" t="s">
        <v>4267</v>
      </c>
      <c r="E1377" t="s">
        <v>4239</v>
      </c>
      <c r="F1377" t="s">
        <v>4268</v>
      </c>
      <c r="G1377" t="str">
        <f>_xlfn.XLOOKUP(frasest[[#This Row],[author_es]],autorest[author_es],autorest[author_la])</f>
        <v>Plotinus</v>
      </c>
      <c r="H1377"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7" t="str">
        <f>_xlfn.XLOOKUP(frasest[[#This Row],[author_es]],autorest[author_es],autorest[bio_la])</f>
        <v>Philosophus Neoplatonicus fundator scholae Neoplatonicae qui pontem inter philosophiam Graecam classicam et mysticam Christianam medievalem constituit cum doctrina de Uno et emanatione animae</v>
      </c>
      <c r="J1377" t="str">
        <f>_xlfn.XLOOKUP(frasest[[#This Row],[author_es]],autorest[author_es],autorest[iso3691])</f>
        <v>el</v>
      </c>
      <c r="K1377" t="str">
        <f>_xlfn.XLOOKUP(frasest[[#This Row],[author_es]],autorest[author_es],autorest[language_es])</f>
        <v>Griego</v>
      </c>
      <c r="L1377" t="str">
        <f>_xlfn.XLOOKUP(frasest[[#This Row],[author_es]],autorest[author_es],autorest[language_la])</f>
        <v>Lingua Graeca</v>
      </c>
      <c r="M1377" t="str">
        <f>_xlfn.XLOOKUP(frasest[[#This Row],[author_es]],autorest[author_es],autorest[nation_es])</f>
        <v>Roma</v>
      </c>
      <c r="N1377" t="str">
        <f>_xlfn.XLOOKUP(frasest[[#This Row],[author_es]],autorest[author_es],autorest[nation_la])</f>
        <v>Roma</v>
      </c>
      <c r="O1377" t="str">
        <f>_xlfn.XLOOKUP(frasest[[#This Row],[author_es]],autorest[author_es],autorest[age_es])</f>
        <v>Edad Antigua</v>
      </c>
      <c r="P1377" t="str">
        <f>_xlfn.XLOOKUP(frasest[[#This Row],[author_es]],autorest[author_es],autorest[age_la])</f>
        <v>Antiquitas</v>
      </c>
      <c r="Q1377" t="str">
        <f>_xlfn.XLOOKUP(frasest[[#This Row],[author_es]],autorest[author_es],autorest[image])</f>
        <v>https://i.ibb.co/wFKwzxC5/plotino.png</v>
      </c>
      <c r="R1377">
        <f>_xlfn.XLOOKUP(frasest[[#This Row],[author_es]],autorest[author_es],autorest[image_atr])</f>
        <v>0</v>
      </c>
    </row>
    <row r="1378" spans="1:18">
      <c r="A1378">
        <v>1377</v>
      </c>
      <c r="B1378" t="s">
        <v>4269</v>
      </c>
      <c r="C1378" t="s">
        <v>4270</v>
      </c>
      <c r="D1378" t="s">
        <v>4271</v>
      </c>
      <c r="E1378" t="s">
        <v>4239</v>
      </c>
      <c r="F1378" t="s">
        <v>4272</v>
      </c>
      <c r="G1378" t="str">
        <f>_xlfn.XLOOKUP(frasest[[#This Row],[author_es]],autorest[author_es],autorest[author_la])</f>
        <v>Plotinus</v>
      </c>
      <c r="H1378"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8" t="str">
        <f>_xlfn.XLOOKUP(frasest[[#This Row],[author_es]],autorest[author_es],autorest[bio_la])</f>
        <v>Philosophus Neoplatonicus fundator scholae Neoplatonicae qui pontem inter philosophiam Graecam classicam et mysticam Christianam medievalem constituit cum doctrina de Uno et emanatione animae</v>
      </c>
      <c r="J1378" t="str">
        <f>_xlfn.XLOOKUP(frasest[[#This Row],[author_es]],autorest[author_es],autorest[iso3691])</f>
        <v>el</v>
      </c>
      <c r="K1378" t="str">
        <f>_xlfn.XLOOKUP(frasest[[#This Row],[author_es]],autorest[author_es],autorest[language_es])</f>
        <v>Griego</v>
      </c>
      <c r="L1378" t="str">
        <f>_xlfn.XLOOKUP(frasest[[#This Row],[author_es]],autorest[author_es],autorest[language_la])</f>
        <v>Lingua Graeca</v>
      </c>
      <c r="M1378" t="str">
        <f>_xlfn.XLOOKUP(frasest[[#This Row],[author_es]],autorest[author_es],autorest[nation_es])</f>
        <v>Roma</v>
      </c>
      <c r="N1378" t="str">
        <f>_xlfn.XLOOKUP(frasest[[#This Row],[author_es]],autorest[author_es],autorest[nation_la])</f>
        <v>Roma</v>
      </c>
      <c r="O1378" t="str">
        <f>_xlfn.XLOOKUP(frasest[[#This Row],[author_es]],autorest[author_es],autorest[age_es])</f>
        <v>Edad Antigua</v>
      </c>
      <c r="P1378" t="str">
        <f>_xlfn.XLOOKUP(frasest[[#This Row],[author_es]],autorest[author_es],autorest[age_la])</f>
        <v>Antiquitas</v>
      </c>
      <c r="Q1378" t="str">
        <f>_xlfn.XLOOKUP(frasest[[#This Row],[author_es]],autorest[author_es],autorest[image])</f>
        <v>https://i.ibb.co/wFKwzxC5/plotino.png</v>
      </c>
      <c r="R1378">
        <f>_xlfn.XLOOKUP(frasest[[#This Row],[author_es]],autorest[author_es],autorest[image_atr])</f>
        <v>0</v>
      </c>
    </row>
    <row r="1379" spans="1:18">
      <c r="A1379">
        <v>1378</v>
      </c>
      <c r="B1379" t="s">
        <v>4273</v>
      </c>
      <c r="C1379" t="s">
        <v>4274</v>
      </c>
      <c r="D1379" t="s">
        <v>4275</v>
      </c>
      <c r="E1379" t="s">
        <v>4239</v>
      </c>
      <c r="F1379" t="s">
        <v>4276</v>
      </c>
      <c r="G1379" t="str">
        <f>_xlfn.XLOOKUP(frasest[[#This Row],[author_es]],autorest[author_es],autorest[author_la])</f>
        <v>Plotinus</v>
      </c>
      <c r="H1379"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79" t="str">
        <f>_xlfn.XLOOKUP(frasest[[#This Row],[author_es]],autorest[author_es],autorest[bio_la])</f>
        <v>Philosophus Neoplatonicus fundator scholae Neoplatonicae qui pontem inter philosophiam Graecam classicam et mysticam Christianam medievalem constituit cum doctrina de Uno et emanatione animae</v>
      </c>
      <c r="J1379" t="str">
        <f>_xlfn.XLOOKUP(frasest[[#This Row],[author_es]],autorest[author_es],autorest[iso3691])</f>
        <v>el</v>
      </c>
      <c r="K1379" t="str">
        <f>_xlfn.XLOOKUP(frasest[[#This Row],[author_es]],autorest[author_es],autorest[language_es])</f>
        <v>Griego</v>
      </c>
      <c r="L1379" t="str">
        <f>_xlfn.XLOOKUP(frasest[[#This Row],[author_es]],autorest[author_es],autorest[language_la])</f>
        <v>Lingua Graeca</v>
      </c>
      <c r="M1379" t="str">
        <f>_xlfn.XLOOKUP(frasest[[#This Row],[author_es]],autorest[author_es],autorest[nation_es])</f>
        <v>Roma</v>
      </c>
      <c r="N1379" t="str">
        <f>_xlfn.XLOOKUP(frasest[[#This Row],[author_es]],autorest[author_es],autorest[nation_la])</f>
        <v>Roma</v>
      </c>
      <c r="O1379" t="str">
        <f>_xlfn.XLOOKUP(frasest[[#This Row],[author_es]],autorest[author_es],autorest[age_es])</f>
        <v>Edad Antigua</v>
      </c>
      <c r="P1379" t="str">
        <f>_xlfn.XLOOKUP(frasest[[#This Row],[author_es]],autorest[author_es],autorest[age_la])</f>
        <v>Antiquitas</v>
      </c>
      <c r="Q1379" t="str">
        <f>_xlfn.XLOOKUP(frasest[[#This Row],[author_es]],autorest[author_es],autorest[image])</f>
        <v>https://i.ibb.co/wFKwzxC5/plotino.png</v>
      </c>
      <c r="R1379">
        <f>_xlfn.XLOOKUP(frasest[[#This Row],[author_es]],autorest[author_es],autorest[image_atr])</f>
        <v>0</v>
      </c>
    </row>
    <row r="1380" spans="1:18">
      <c r="A1380">
        <v>1379</v>
      </c>
      <c r="B1380" t="s">
        <v>4277</v>
      </c>
      <c r="C1380" t="s">
        <v>4278</v>
      </c>
      <c r="D1380" t="s">
        <v>4279</v>
      </c>
      <c r="E1380" t="s">
        <v>4239</v>
      </c>
      <c r="F1380" t="s">
        <v>4280</v>
      </c>
      <c r="G1380" t="str">
        <f>_xlfn.XLOOKUP(frasest[[#This Row],[author_es]],autorest[author_es],autorest[author_la])</f>
        <v>Plotinus</v>
      </c>
      <c r="H1380"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0" t="str">
        <f>_xlfn.XLOOKUP(frasest[[#This Row],[author_es]],autorest[author_es],autorest[bio_la])</f>
        <v>Philosophus Neoplatonicus fundator scholae Neoplatonicae qui pontem inter philosophiam Graecam classicam et mysticam Christianam medievalem constituit cum doctrina de Uno et emanatione animae</v>
      </c>
      <c r="J1380" t="str">
        <f>_xlfn.XLOOKUP(frasest[[#This Row],[author_es]],autorest[author_es],autorest[iso3691])</f>
        <v>el</v>
      </c>
      <c r="K1380" t="str">
        <f>_xlfn.XLOOKUP(frasest[[#This Row],[author_es]],autorest[author_es],autorest[language_es])</f>
        <v>Griego</v>
      </c>
      <c r="L1380" t="str">
        <f>_xlfn.XLOOKUP(frasest[[#This Row],[author_es]],autorest[author_es],autorest[language_la])</f>
        <v>Lingua Graeca</v>
      </c>
      <c r="M1380" t="str">
        <f>_xlfn.XLOOKUP(frasest[[#This Row],[author_es]],autorest[author_es],autorest[nation_es])</f>
        <v>Roma</v>
      </c>
      <c r="N1380" t="str">
        <f>_xlfn.XLOOKUP(frasest[[#This Row],[author_es]],autorest[author_es],autorest[nation_la])</f>
        <v>Roma</v>
      </c>
      <c r="O1380" t="str">
        <f>_xlfn.XLOOKUP(frasest[[#This Row],[author_es]],autorest[author_es],autorest[age_es])</f>
        <v>Edad Antigua</v>
      </c>
      <c r="P1380" t="str">
        <f>_xlfn.XLOOKUP(frasest[[#This Row],[author_es]],autorest[author_es],autorest[age_la])</f>
        <v>Antiquitas</v>
      </c>
      <c r="Q1380" t="str">
        <f>_xlfn.XLOOKUP(frasest[[#This Row],[author_es]],autorest[author_es],autorest[image])</f>
        <v>https://i.ibb.co/wFKwzxC5/plotino.png</v>
      </c>
      <c r="R1380">
        <f>_xlfn.XLOOKUP(frasest[[#This Row],[author_es]],autorest[author_es],autorest[image_atr])</f>
        <v>0</v>
      </c>
    </row>
    <row r="1381" spans="1:18">
      <c r="A1381">
        <v>1380</v>
      </c>
      <c r="B1381" t="s">
        <v>4281</v>
      </c>
      <c r="C1381" t="s">
        <v>4282</v>
      </c>
      <c r="D1381" t="s">
        <v>4283</v>
      </c>
      <c r="E1381" t="s">
        <v>4239</v>
      </c>
      <c r="F1381" t="s">
        <v>4284</v>
      </c>
      <c r="G1381" t="str">
        <f>_xlfn.XLOOKUP(frasest[[#This Row],[author_es]],autorest[author_es],autorest[author_la])</f>
        <v>Plotinus</v>
      </c>
      <c r="H1381"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1" t="str">
        <f>_xlfn.XLOOKUP(frasest[[#This Row],[author_es]],autorest[author_es],autorest[bio_la])</f>
        <v>Philosophus Neoplatonicus fundator scholae Neoplatonicae qui pontem inter philosophiam Graecam classicam et mysticam Christianam medievalem constituit cum doctrina de Uno et emanatione animae</v>
      </c>
      <c r="J1381" t="str">
        <f>_xlfn.XLOOKUP(frasest[[#This Row],[author_es]],autorest[author_es],autorest[iso3691])</f>
        <v>el</v>
      </c>
      <c r="K1381" t="str">
        <f>_xlfn.XLOOKUP(frasest[[#This Row],[author_es]],autorest[author_es],autorest[language_es])</f>
        <v>Griego</v>
      </c>
      <c r="L1381" t="str">
        <f>_xlfn.XLOOKUP(frasest[[#This Row],[author_es]],autorest[author_es],autorest[language_la])</f>
        <v>Lingua Graeca</v>
      </c>
      <c r="M1381" t="str">
        <f>_xlfn.XLOOKUP(frasest[[#This Row],[author_es]],autorest[author_es],autorest[nation_es])</f>
        <v>Roma</v>
      </c>
      <c r="N1381" t="str">
        <f>_xlfn.XLOOKUP(frasest[[#This Row],[author_es]],autorest[author_es],autorest[nation_la])</f>
        <v>Roma</v>
      </c>
      <c r="O1381" t="str">
        <f>_xlfn.XLOOKUP(frasest[[#This Row],[author_es]],autorest[author_es],autorest[age_es])</f>
        <v>Edad Antigua</v>
      </c>
      <c r="P1381" t="str">
        <f>_xlfn.XLOOKUP(frasest[[#This Row],[author_es]],autorest[author_es],autorest[age_la])</f>
        <v>Antiquitas</v>
      </c>
      <c r="Q1381" t="str">
        <f>_xlfn.XLOOKUP(frasest[[#This Row],[author_es]],autorest[author_es],autorest[image])</f>
        <v>https://i.ibb.co/wFKwzxC5/plotino.png</v>
      </c>
      <c r="R1381">
        <f>_xlfn.XLOOKUP(frasest[[#This Row],[author_es]],autorest[author_es],autorest[image_atr])</f>
        <v>0</v>
      </c>
    </row>
    <row r="1382" spans="1:18">
      <c r="A1382">
        <v>1381</v>
      </c>
      <c r="B1382" t="s">
        <v>4285</v>
      </c>
      <c r="C1382" t="s">
        <v>4286</v>
      </c>
      <c r="D1382" t="s">
        <v>4287</v>
      </c>
      <c r="E1382" t="s">
        <v>4239</v>
      </c>
      <c r="F1382" t="s">
        <v>4288</v>
      </c>
      <c r="G1382" t="str">
        <f>_xlfn.XLOOKUP(frasest[[#This Row],[author_es]],autorest[author_es],autorest[author_la])</f>
        <v>Plotinus</v>
      </c>
      <c r="H1382"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2" t="str">
        <f>_xlfn.XLOOKUP(frasest[[#This Row],[author_es]],autorest[author_es],autorest[bio_la])</f>
        <v>Philosophus Neoplatonicus fundator scholae Neoplatonicae qui pontem inter philosophiam Graecam classicam et mysticam Christianam medievalem constituit cum doctrina de Uno et emanatione animae</v>
      </c>
      <c r="J1382" t="str">
        <f>_xlfn.XLOOKUP(frasest[[#This Row],[author_es]],autorest[author_es],autorest[iso3691])</f>
        <v>el</v>
      </c>
      <c r="K1382" t="str">
        <f>_xlfn.XLOOKUP(frasest[[#This Row],[author_es]],autorest[author_es],autorest[language_es])</f>
        <v>Griego</v>
      </c>
      <c r="L1382" t="str">
        <f>_xlfn.XLOOKUP(frasest[[#This Row],[author_es]],autorest[author_es],autorest[language_la])</f>
        <v>Lingua Graeca</v>
      </c>
      <c r="M1382" t="str">
        <f>_xlfn.XLOOKUP(frasest[[#This Row],[author_es]],autorest[author_es],autorest[nation_es])</f>
        <v>Roma</v>
      </c>
      <c r="N1382" t="str">
        <f>_xlfn.XLOOKUP(frasest[[#This Row],[author_es]],autorest[author_es],autorest[nation_la])</f>
        <v>Roma</v>
      </c>
      <c r="O1382" t="str">
        <f>_xlfn.XLOOKUP(frasest[[#This Row],[author_es]],autorest[author_es],autorest[age_es])</f>
        <v>Edad Antigua</v>
      </c>
      <c r="P1382" t="str">
        <f>_xlfn.XLOOKUP(frasest[[#This Row],[author_es]],autorest[author_es],autorest[age_la])</f>
        <v>Antiquitas</v>
      </c>
      <c r="Q1382" t="str">
        <f>_xlfn.XLOOKUP(frasest[[#This Row],[author_es]],autorest[author_es],autorest[image])</f>
        <v>https://i.ibb.co/wFKwzxC5/plotino.png</v>
      </c>
      <c r="R1382">
        <f>_xlfn.XLOOKUP(frasest[[#This Row],[author_es]],autorest[author_es],autorest[image_atr])</f>
        <v>0</v>
      </c>
    </row>
    <row r="1383" spans="1:18">
      <c r="A1383">
        <v>1382</v>
      </c>
      <c r="B1383" t="s">
        <v>4289</v>
      </c>
      <c r="C1383" t="s">
        <v>4290</v>
      </c>
      <c r="D1383" t="s">
        <v>4291</v>
      </c>
      <c r="E1383" t="s">
        <v>4239</v>
      </c>
      <c r="F1383" t="s">
        <v>4292</v>
      </c>
      <c r="G1383" t="str">
        <f>_xlfn.XLOOKUP(frasest[[#This Row],[author_es]],autorest[author_es],autorest[author_la])</f>
        <v>Plotinus</v>
      </c>
      <c r="H1383"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3" t="str">
        <f>_xlfn.XLOOKUP(frasest[[#This Row],[author_es]],autorest[author_es],autorest[bio_la])</f>
        <v>Philosophus Neoplatonicus fundator scholae Neoplatonicae qui pontem inter philosophiam Graecam classicam et mysticam Christianam medievalem constituit cum doctrina de Uno et emanatione animae</v>
      </c>
      <c r="J1383" t="str">
        <f>_xlfn.XLOOKUP(frasest[[#This Row],[author_es]],autorest[author_es],autorest[iso3691])</f>
        <v>el</v>
      </c>
      <c r="K1383" t="str">
        <f>_xlfn.XLOOKUP(frasest[[#This Row],[author_es]],autorest[author_es],autorest[language_es])</f>
        <v>Griego</v>
      </c>
      <c r="L1383" t="str">
        <f>_xlfn.XLOOKUP(frasest[[#This Row],[author_es]],autorest[author_es],autorest[language_la])</f>
        <v>Lingua Graeca</v>
      </c>
      <c r="M1383" t="str">
        <f>_xlfn.XLOOKUP(frasest[[#This Row],[author_es]],autorest[author_es],autorest[nation_es])</f>
        <v>Roma</v>
      </c>
      <c r="N1383" t="str">
        <f>_xlfn.XLOOKUP(frasest[[#This Row],[author_es]],autorest[author_es],autorest[nation_la])</f>
        <v>Roma</v>
      </c>
      <c r="O1383" t="str">
        <f>_xlfn.XLOOKUP(frasest[[#This Row],[author_es]],autorest[author_es],autorest[age_es])</f>
        <v>Edad Antigua</v>
      </c>
      <c r="P1383" t="str">
        <f>_xlfn.XLOOKUP(frasest[[#This Row],[author_es]],autorest[author_es],autorest[age_la])</f>
        <v>Antiquitas</v>
      </c>
      <c r="Q1383" t="str">
        <f>_xlfn.XLOOKUP(frasest[[#This Row],[author_es]],autorest[author_es],autorest[image])</f>
        <v>https://i.ibb.co/wFKwzxC5/plotino.png</v>
      </c>
      <c r="R1383">
        <f>_xlfn.XLOOKUP(frasest[[#This Row],[author_es]],autorest[author_es],autorest[image_atr])</f>
        <v>0</v>
      </c>
    </row>
    <row r="1384" spans="1:18">
      <c r="A1384">
        <v>1383</v>
      </c>
      <c r="B1384" t="s">
        <v>4293</v>
      </c>
      <c r="C1384" t="s">
        <v>4294</v>
      </c>
      <c r="D1384" t="s">
        <v>4295</v>
      </c>
      <c r="E1384" t="s">
        <v>4239</v>
      </c>
      <c r="F1384" t="s">
        <v>4296</v>
      </c>
      <c r="G1384" t="str">
        <f>_xlfn.XLOOKUP(frasest[[#This Row],[author_es]],autorest[author_es],autorest[author_la])</f>
        <v>Plotinus</v>
      </c>
      <c r="H1384"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4" t="str">
        <f>_xlfn.XLOOKUP(frasest[[#This Row],[author_es]],autorest[author_es],autorest[bio_la])</f>
        <v>Philosophus Neoplatonicus fundator scholae Neoplatonicae qui pontem inter philosophiam Graecam classicam et mysticam Christianam medievalem constituit cum doctrina de Uno et emanatione animae</v>
      </c>
      <c r="J1384" t="str">
        <f>_xlfn.XLOOKUP(frasest[[#This Row],[author_es]],autorest[author_es],autorest[iso3691])</f>
        <v>el</v>
      </c>
      <c r="K1384" t="str">
        <f>_xlfn.XLOOKUP(frasest[[#This Row],[author_es]],autorest[author_es],autorest[language_es])</f>
        <v>Griego</v>
      </c>
      <c r="L1384" t="str">
        <f>_xlfn.XLOOKUP(frasest[[#This Row],[author_es]],autorest[author_es],autorest[language_la])</f>
        <v>Lingua Graeca</v>
      </c>
      <c r="M1384" t="str">
        <f>_xlfn.XLOOKUP(frasest[[#This Row],[author_es]],autorest[author_es],autorest[nation_es])</f>
        <v>Roma</v>
      </c>
      <c r="N1384" t="str">
        <f>_xlfn.XLOOKUP(frasest[[#This Row],[author_es]],autorest[author_es],autorest[nation_la])</f>
        <v>Roma</v>
      </c>
      <c r="O1384" t="str">
        <f>_xlfn.XLOOKUP(frasest[[#This Row],[author_es]],autorest[author_es],autorest[age_es])</f>
        <v>Edad Antigua</v>
      </c>
      <c r="P1384" t="str">
        <f>_xlfn.XLOOKUP(frasest[[#This Row],[author_es]],autorest[author_es],autorest[age_la])</f>
        <v>Antiquitas</v>
      </c>
      <c r="Q1384" t="str">
        <f>_xlfn.XLOOKUP(frasest[[#This Row],[author_es]],autorest[author_es],autorest[image])</f>
        <v>https://i.ibb.co/wFKwzxC5/plotino.png</v>
      </c>
      <c r="R1384">
        <f>_xlfn.XLOOKUP(frasest[[#This Row],[author_es]],autorest[author_es],autorest[image_atr])</f>
        <v>0</v>
      </c>
    </row>
    <row r="1385" spans="1:18">
      <c r="A1385">
        <v>1384</v>
      </c>
      <c r="B1385" t="s">
        <v>4297</v>
      </c>
      <c r="C1385" t="s">
        <v>4298</v>
      </c>
      <c r="D1385" t="s">
        <v>4299</v>
      </c>
      <c r="E1385" t="s">
        <v>4239</v>
      </c>
      <c r="F1385" t="s">
        <v>4300</v>
      </c>
      <c r="G1385" t="str">
        <f>_xlfn.XLOOKUP(frasest[[#This Row],[author_es]],autorest[author_es],autorest[author_la])</f>
        <v>Plotinus</v>
      </c>
      <c r="H1385"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5" t="str">
        <f>_xlfn.XLOOKUP(frasest[[#This Row],[author_es]],autorest[author_es],autorest[bio_la])</f>
        <v>Philosophus Neoplatonicus fundator scholae Neoplatonicae qui pontem inter philosophiam Graecam classicam et mysticam Christianam medievalem constituit cum doctrina de Uno et emanatione animae</v>
      </c>
      <c r="J1385" t="str">
        <f>_xlfn.XLOOKUP(frasest[[#This Row],[author_es]],autorest[author_es],autorest[iso3691])</f>
        <v>el</v>
      </c>
      <c r="K1385" t="str">
        <f>_xlfn.XLOOKUP(frasest[[#This Row],[author_es]],autorest[author_es],autorest[language_es])</f>
        <v>Griego</v>
      </c>
      <c r="L1385" t="str">
        <f>_xlfn.XLOOKUP(frasest[[#This Row],[author_es]],autorest[author_es],autorest[language_la])</f>
        <v>Lingua Graeca</v>
      </c>
      <c r="M1385" t="str">
        <f>_xlfn.XLOOKUP(frasest[[#This Row],[author_es]],autorest[author_es],autorest[nation_es])</f>
        <v>Roma</v>
      </c>
      <c r="N1385" t="str">
        <f>_xlfn.XLOOKUP(frasest[[#This Row],[author_es]],autorest[author_es],autorest[nation_la])</f>
        <v>Roma</v>
      </c>
      <c r="O1385" t="str">
        <f>_xlfn.XLOOKUP(frasest[[#This Row],[author_es]],autorest[author_es],autorest[age_es])</f>
        <v>Edad Antigua</v>
      </c>
      <c r="P1385" t="str">
        <f>_xlfn.XLOOKUP(frasest[[#This Row],[author_es]],autorest[author_es],autorest[age_la])</f>
        <v>Antiquitas</v>
      </c>
      <c r="Q1385" t="str">
        <f>_xlfn.XLOOKUP(frasest[[#This Row],[author_es]],autorest[author_es],autorest[image])</f>
        <v>https://i.ibb.co/wFKwzxC5/plotino.png</v>
      </c>
      <c r="R1385">
        <f>_xlfn.XLOOKUP(frasest[[#This Row],[author_es]],autorest[author_es],autorest[image_atr])</f>
        <v>0</v>
      </c>
    </row>
    <row r="1386" spans="1:18">
      <c r="A1386">
        <v>1385</v>
      </c>
      <c r="B1386" t="s">
        <v>4301</v>
      </c>
      <c r="C1386" t="s">
        <v>4302</v>
      </c>
      <c r="D1386" t="s">
        <v>4303</v>
      </c>
      <c r="E1386" t="s">
        <v>4239</v>
      </c>
      <c r="F1386" t="s">
        <v>4256</v>
      </c>
      <c r="G1386" t="str">
        <f>_xlfn.XLOOKUP(frasest[[#This Row],[author_es]],autorest[author_es],autorest[author_la])</f>
        <v>Plotinus</v>
      </c>
      <c r="H1386"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6" t="str">
        <f>_xlfn.XLOOKUP(frasest[[#This Row],[author_es]],autorest[author_es],autorest[bio_la])</f>
        <v>Philosophus Neoplatonicus fundator scholae Neoplatonicae qui pontem inter philosophiam Graecam classicam et mysticam Christianam medievalem constituit cum doctrina de Uno et emanatione animae</v>
      </c>
      <c r="J1386" t="str">
        <f>_xlfn.XLOOKUP(frasest[[#This Row],[author_es]],autorest[author_es],autorest[iso3691])</f>
        <v>el</v>
      </c>
      <c r="K1386" t="str">
        <f>_xlfn.XLOOKUP(frasest[[#This Row],[author_es]],autorest[author_es],autorest[language_es])</f>
        <v>Griego</v>
      </c>
      <c r="L1386" t="str">
        <f>_xlfn.XLOOKUP(frasest[[#This Row],[author_es]],autorest[author_es],autorest[language_la])</f>
        <v>Lingua Graeca</v>
      </c>
      <c r="M1386" t="str">
        <f>_xlfn.XLOOKUP(frasest[[#This Row],[author_es]],autorest[author_es],autorest[nation_es])</f>
        <v>Roma</v>
      </c>
      <c r="N1386" t="str">
        <f>_xlfn.XLOOKUP(frasest[[#This Row],[author_es]],autorest[author_es],autorest[nation_la])</f>
        <v>Roma</v>
      </c>
      <c r="O1386" t="str">
        <f>_xlfn.XLOOKUP(frasest[[#This Row],[author_es]],autorest[author_es],autorest[age_es])</f>
        <v>Edad Antigua</v>
      </c>
      <c r="P1386" t="str">
        <f>_xlfn.XLOOKUP(frasest[[#This Row],[author_es]],autorest[author_es],autorest[age_la])</f>
        <v>Antiquitas</v>
      </c>
      <c r="Q1386" t="str">
        <f>_xlfn.XLOOKUP(frasest[[#This Row],[author_es]],autorest[author_es],autorest[image])</f>
        <v>https://i.ibb.co/wFKwzxC5/plotino.png</v>
      </c>
      <c r="R1386">
        <f>_xlfn.XLOOKUP(frasest[[#This Row],[author_es]],autorest[author_es],autorest[image_atr])</f>
        <v>0</v>
      </c>
    </row>
    <row r="1387" spans="1:18">
      <c r="A1387">
        <v>1386</v>
      </c>
      <c r="B1387" t="s">
        <v>4304</v>
      </c>
      <c r="C1387" t="s">
        <v>4305</v>
      </c>
      <c r="D1387" t="s">
        <v>4306</v>
      </c>
      <c r="E1387" t="s">
        <v>4239</v>
      </c>
      <c r="F1387" t="s">
        <v>4307</v>
      </c>
      <c r="G1387" t="str">
        <f>_xlfn.XLOOKUP(frasest[[#This Row],[author_es]],autorest[author_es],autorest[author_la])</f>
        <v>Plotinus</v>
      </c>
      <c r="H1387"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7" t="str">
        <f>_xlfn.XLOOKUP(frasest[[#This Row],[author_es]],autorest[author_es],autorest[bio_la])</f>
        <v>Philosophus Neoplatonicus fundator scholae Neoplatonicae qui pontem inter philosophiam Graecam classicam et mysticam Christianam medievalem constituit cum doctrina de Uno et emanatione animae</v>
      </c>
      <c r="J1387" t="str">
        <f>_xlfn.XLOOKUP(frasest[[#This Row],[author_es]],autorest[author_es],autorest[iso3691])</f>
        <v>el</v>
      </c>
      <c r="K1387" t="str">
        <f>_xlfn.XLOOKUP(frasest[[#This Row],[author_es]],autorest[author_es],autorest[language_es])</f>
        <v>Griego</v>
      </c>
      <c r="L1387" t="str">
        <f>_xlfn.XLOOKUP(frasest[[#This Row],[author_es]],autorest[author_es],autorest[language_la])</f>
        <v>Lingua Graeca</v>
      </c>
      <c r="M1387" t="str">
        <f>_xlfn.XLOOKUP(frasest[[#This Row],[author_es]],autorest[author_es],autorest[nation_es])</f>
        <v>Roma</v>
      </c>
      <c r="N1387" t="str">
        <f>_xlfn.XLOOKUP(frasest[[#This Row],[author_es]],autorest[author_es],autorest[nation_la])</f>
        <v>Roma</v>
      </c>
      <c r="O1387" t="str">
        <f>_xlfn.XLOOKUP(frasest[[#This Row],[author_es]],autorest[author_es],autorest[age_es])</f>
        <v>Edad Antigua</v>
      </c>
      <c r="P1387" t="str">
        <f>_xlfn.XLOOKUP(frasest[[#This Row],[author_es]],autorest[author_es],autorest[age_la])</f>
        <v>Antiquitas</v>
      </c>
      <c r="Q1387" t="str">
        <f>_xlfn.XLOOKUP(frasest[[#This Row],[author_es]],autorest[author_es],autorest[image])</f>
        <v>https://i.ibb.co/wFKwzxC5/plotino.png</v>
      </c>
      <c r="R1387">
        <f>_xlfn.XLOOKUP(frasest[[#This Row],[author_es]],autorest[author_es],autorest[image_atr])</f>
        <v>0</v>
      </c>
    </row>
    <row r="1388" spans="1:18">
      <c r="A1388">
        <v>1387</v>
      </c>
      <c r="B1388" t="s">
        <v>4308</v>
      </c>
      <c r="C1388" t="s">
        <v>4309</v>
      </c>
      <c r="D1388" t="s">
        <v>4310</v>
      </c>
      <c r="E1388" t="s">
        <v>4239</v>
      </c>
      <c r="F1388" t="s">
        <v>4311</v>
      </c>
      <c r="G1388" t="str">
        <f>_xlfn.XLOOKUP(frasest[[#This Row],[author_es]],autorest[author_es],autorest[author_la])</f>
        <v>Plotinus</v>
      </c>
      <c r="H1388" t="str">
        <f>_xlfn.XLOOKUP(frasest[[#This Row],[author_es]],autorest[author_es],autorest[bio_es])</f>
        <v>Filósofo neoplatónico fundador de la escuela neoplatónica que estableció el puente entre la filosofía griega clásica y la mística cristiana medieval con su doctrina sobre el Uno y la emanación del alma</v>
      </c>
      <c r="I1388" t="str">
        <f>_xlfn.XLOOKUP(frasest[[#This Row],[author_es]],autorest[author_es],autorest[bio_la])</f>
        <v>Philosophus Neoplatonicus fundator scholae Neoplatonicae qui pontem inter philosophiam Graecam classicam et mysticam Christianam medievalem constituit cum doctrina de Uno et emanatione animae</v>
      </c>
      <c r="J1388" t="str">
        <f>_xlfn.XLOOKUP(frasest[[#This Row],[author_es]],autorest[author_es],autorest[iso3691])</f>
        <v>el</v>
      </c>
      <c r="K1388" t="str">
        <f>_xlfn.XLOOKUP(frasest[[#This Row],[author_es]],autorest[author_es],autorest[language_es])</f>
        <v>Griego</v>
      </c>
      <c r="L1388" t="str">
        <f>_xlfn.XLOOKUP(frasest[[#This Row],[author_es]],autorest[author_es],autorest[language_la])</f>
        <v>Lingua Graeca</v>
      </c>
      <c r="M1388" t="str">
        <f>_xlfn.XLOOKUP(frasest[[#This Row],[author_es]],autorest[author_es],autorest[nation_es])</f>
        <v>Roma</v>
      </c>
      <c r="N1388" t="str">
        <f>_xlfn.XLOOKUP(frasest[[#This Row],[author_es]],autorest[author_es],autorest[nation_la])</f>
        <v>Roma</v>
      </c>
      <c r="O1388" t="str">
        <f>_xlfn.XLOOKUP(frasest[[#This Row],[author_es]],autorest[author_es],autorest[age_es])</f>
        <v>Edad Antigua</v>
      </c>
      <c r="P1388" t="str">
        <f>_xlfn.XLOOKUP(frasest[[#This Row],[author_es]],autorest[author_es],autorest[age_la])</f>
        <v>Antiquitas</v>
      </c>
      <c r="Q1388" t="str">
        <f>_xlfn.XLOOKUP(frasest[[#This Row],[author_es]],autorest[author_es],autorest[image])</f>
        <v>https://i.ibb.co/wFKwzxC5/plotino.png</v>
      </c>
      <c r="R1388">
        <f>_xlfn.XLOOKUP(frasest[[#This Row],[author_es]],autorest[author_es],autorest[image_atr])</f>
        <v>0</v>
      </c>
    </row>
    <row r="1389" spans="1:18">
      <c r="A1389">
        <v>1388</v>
      </c>
      <c r="B1389" t="s">
        <v>4312</v>
      </c>
      <c r="C1389" t="s">
        <v>4313</v>
      </c>
      <c r="D1389" t="s">
        <v>4314</v>
      </c>
      <c r="E1389" t="s">
        <v>4315</v>
      </c>
      <c r="F1389" t="s">
        <v>4316</v>
      </c>
      <c r="G1389" t="str">
        <f>_xlfn.XLOOKUP(frasest[[#This Row],[author_es]],autorest[author_es],autorest[author_la])</f>
        <v>Boethius</v>
      </c>
      <c r="H1389"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89" t="str">
        <f>_xlfn.XLOOKUP(frasest[[#This Row],[author_es]],autorest[author_es],autorest[bio_la])</f>
        <v>Philosophus poeta et politicus Romanus ultimus philosophiae classicae et primus medievalis auctor De consolatione philosophiae qui pons inter mundum antiquum et Christianum medievalem fuit</v>
      </c>
      <c r="J1389" t="str">
        <f>_xlfn.XLOOKUP(frasest[[#This Row],[author_es]],autorest[author_es],autorest[iso3691])</f>
        <v>la</v>
      </c>
      <c r="K1389" t="str">
        <f>_xlfn.XLOOKUP(frasest[[#This Row],[author_es]],autorest[author_es],autorest[language_es])</f>
        <v>Latín</v>
      </c>
      <c r="L1389" t="str">
        <f>_xlfn.XLOOKUP(frasest[[#This Row],[author_es]],autorest[author_es],autorest[language_la])</f>
        <v>Lingua Latina</v>
      </c>
      <c r="M1389" t="str">
        <f>_xlfn.XLOOKUP(frasest[[#This Row],[author_es]],autorest[author_es],autorest[nation_es])</f>
        <v>Roma</v>
      </c>
      <c r="N1389" t="str">
        <f>_xlfn.XLOOKUP(frasest[[#This Row],[author_es]],autorest[author_es],autorest[nation_la])</f>
        <v>Roma</v>
      </c>
      <c r="O1389" t="str">
        <f>_xlfn.XLOOKUP(frasest[[#This Row],[author_es]],autorest[author_es],autorest[age_es])</f>
        <v>Edad Media</v>
      </c>
      <c r="P1389" t="str">
        <f>_xlfn.XLOOKUP(frasest[[#This Row],[author_es]],autorest[author_es],autorest[age_la])</f>
        <v>Medium Aevum</v>
      </c>
      <c r="Q1389" t="str">
        <f>_xlfn.XLOOKUP(frasest[[#This Row],[author_es]],autorest[author_es],autorest[image])</f>
        <v>https://i.ibb.co/XfRSKJzS/boecio.png</v>
      </c>
      <c r="R1389">
        <f>_xlfn.XLOOKUP(frasest[[#This Row],[author_es]],autorest[author_es],autorest[image_atr])</f>
        <v>0</v>
      </c>
    </row>
    <row r="1390" spans="1:18">
      <c r="A1390">
        <v>1389</v>
      </c>
      <c r="B1390" t="s">
        <v>4317</v>
      </c>
      <c r="C1390" t="s">
        <v>4318</v>
      </c>
      <c r="D1390" t="s">
        <v>4319</v>
      </c>
      <c r="E1390" t="s">
        <v>4315</v>
      </c>
      <c r="F1390" t="s">
        <v>4316</v>
      </c>
      <c r="G1390" t="str">
        <f>_xlfn.XLOOKUP(frasest[[#This Row],[author_es]],autorest[author_es],autorest[author_la])</f>
        <v>Boethius</v>
      </c>
      <c r="H1390"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0" t="str">
        <f>_xlfn.XLOOKUP(frasest[[#This Row],[author_es]],autorest[author_es],autorest[bio_la])</f>
        <v>Philosophus poeta et politicus Romanus ultimus philosophiae classicae et primus medievalis auctor De consolatione philosophiae qui pons inter mundum antiquum et Christianum medievalem fuit</v>
      </c>
      <c r="J1390" t="str">
        <f>_xlfn.XLOOKUP(frasest[[#This Row],[author_es]],autorest[author_es],autorest[iso3691])</f>
        <v>la</v>
      </c>
      <c r="K1390" t="str">
        <f>_xlfn.XLOOKUP(frasest[[#This Row],[author_es]],autorest[author_es],autorest[language_es])</f>
        <v>Latín</v>
      </c>
      <c r="L1390" t="str">
        <f>_xlfn.XLOOKUP(frasest[[#This Row],[author_es]],autorest[author_es],autorest[language_la])</f>
        <v>Lingua Latina</v>
      </c>
      <c r="M1390" t="str">
        <f>_xlfn.XLOOKUP(frasest[[#This Row],[author_es]],autorest[author_es],autorest[nation_es])</f>
        <v>Roma</v>
      </c>
      <c r="N1390" t="str">
        <f>_xlfn.XLOOKUP(frasest[[#This Row],[author_es]],autorest[author_es],autorest[nation_la])</f>
        <v>Roma</v>
      </c>
      <c r="O1390" t="str">
        <f>_xlfn.XLOOKUP(frasest[[#This Row],[author_es]],autorest[author_es],autorest[age_es])</f>
        <v>Edad Media</v>
      </c>
      <c r="P1390" t="str">
        <f>_xlfn.XLOOKUP(frasest[[#This Row],[author_es]],autorest[author_es],autorest[age_la])</f>
        <v>Medium Aevum</v>
      </c>
      <c r="Q1390" t="str">
        <f>_xlfn.XLOOKUP(frasest[[#This Row],[author_es]],autorest[author_es],autorest[image])</f>
        <v>https://i.ibb.co/XfRSKJzS/boecio.png</v>
      </c>
      <c r="R1390">
        <f>_xlfn.XLOOKUP(frasest[[#This Row],[author_es]],autorest[author_es],autorest[image_atr])</f>
        <v>0</v>
      </c>
    </row>
    <row r="1391" spans="1:18">
      <c r="A1391">
        <v>1390</v>
      </c>
      <c r="B1391" t="s">
        <v>4320</v>
      </c>
      <c r="C1391" t="s">
        <v>4321</v>
      </c>
      <c r="D1391" t="s">
        <v>4322</v>
      </c>
      <c r="E1391" t="s">
        <v>4315</v>
      </c>
      <c r="F1391" t="s">
        <v>4316</v>
      </c>
      <c r="G1391" t="str">
        <f>_xlfn.XLOOKUP(frasest[[#This Row],[author_es]],autorest[author_es],autorest[author_la])</f>
        <v>Boethius</v>
      </c>
      <c r="H1391"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1" t="str">
        <f>_xlfn.XLOOKUP(frasest[[#This Row],[author_es]],autorest[author_es],autorest[bio_la])</f>
        <v>Philosophus poeta et politicus Romanus ultimus philosophiae classicae et primus medievalis auctor De consolatione philosophiae qui pons inter mundum antiquum et Christianum medievalem fuit</v>
      </c>
      <c r="J1391" t="str">
        <f>_xlfn.XLOOKUP(frasest[[#This Row],[author_es]],autorest[author_es],autorest[iso3691])</f>
        <v>la</v>
      </c>
      <c r="K1391" t="str">
        <f>_xlfn.XLOOKUP(frasest[[#This Row],[author_es]],autorest[author_es],autorest[language_es])</f>
        <v>Latín</v>
      </c>
      <c r="L1391" t="str">
        <f>_xlfn.XLOOKUP(frasest[[#This Row],[author_es]],autorest[author_es],autorest[language_la])</f>
        <v>Lingua Latina</v>
      </c>
      <c r="M1391" t="str">
        <f>_xlfn.XLOOKUP(frasest[[#This Row],[author_es]],autorest[author_es],autorest[nation_es])</f>
        <v>Roma</v>
      </c>
      <c r="N1391" t="str">
        <f>_xlfn.XLOOKUP(frasest[[#This Row],[author_es]],autorest[author_es],autorest[nation_la])</f>
        <v>Roma</v>
      </c>
      <c r="O1391" t="str">
        <f>_xlfn.XLOOKUP(frasest[[#This Row],[author_es]],autorest[author_es],autorest[age_es])</f>
        <v>Edad Media</v>
      </c>
      <c r="P1391" t="str">
        <f>_xlfn.XLOOKUP(frasest[[#This Row],[author_es]],autorest[author_es],autorest[age_la])</f>
        <v>Medium Aevum</v>
      </c>
      <c r="Q1391" t="str">
        <f>_xlfn.XLOOKUP(frasest[[#This Row],[author_es]],autorest[author_es],autorest[image])</f>
        <v>https://i.ibb.co/XfRSKJzS/boecio.png</v>
      </c>
      <c r="R1391">
        <f>_xlfn.XLOOKUP(frasest[[#This Row],[author_es]],autorest[author_es],autorest[image_atr])</f>
        <v>0</v>
      </c>
    </row>
    <row r="1392" spans="1:18">
      <c r="A1392">
        <v>1391</v>
      </c>
      <c r="B1392" t="s">
        <v>4323</v>
      </c>
      <c r="C1392" t="s">
        <v>4324</v>
      </c>
      <c r="D1392" t="s">
        <v>4325</v>
      </c>
      <c r="E1392" t="s">
        <v>4315</v>
      </c>
      <c r="F1392" t="s">
        <v>4316</v>
      </c>
      <c r="G1392" t="str">
        <f>_xlfn.XLOOKUP(frasest[[#This Row],[author_es]],autorest[author_es],autorest[author_la])</f>
        <v>Boethius</v>
      </c>
      <c r="H1392"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2" t="str">
        <f>_xlfn.XLOOKUP(frasest[[#This Row],[author_es]],autorest[author_es],autorest[bio_la])</f>
        <v>Philosophus poeta et politicus Romanus ultimus philosophiae classicae et primus medievalis auctor De consolatione philosophiae qui pons inter mundum antiquum et Christianum medievalem fuit</v>
      </c>
      <c r="J1392" t="str">
        <f>_xlfn.XLOOKUP(frasest[[#This Row],[author_es]],autorest[author_es],autorest[iso3691])</f>
        <v>la</v>
      </c>
      <c r="K1392" t="str">
        <f>_xlfn.XLOOKUP(frasest[[#This Row],[author_es]],autorest[author_es],autorest[language_es])</f>
        <v>Latín</v>
      </c>
      <c r="L1392" t="str">
        <f>_xlfn.XLOOKUP(frasest[[#This Row],[author_es]],autorest[author_es],autorest[language_la])</f>
        <v>Lingua Latina</v>
      </c>
      <c r="M1392" t="str">
        <f>_xlfn.XLOOKUP(frasest[[#This Row],[author_es]],autorest[author_es],autorest[nation_es])</f>
        <v>Roma</v>
      </c>
      <c r="N1392" t="str">
        <f>_xlfn.XLOOKUP(frasest[[#This Row],[author_es]],autorest[author_es],autorest[nation_la])</f>
        <v>Roma</v>
      </c>
      <c r="O1392" t="str">
        <f>_xlfn.XLOOKUP(frasest[[#This Row],[author_es]],autorest[author_es],autorest[age_es])</f>
        <v>Edad Media</v>
      </c>
      <c r="P1392" t="str">
        <f>_xlfn.XLOOKUP(frasest[[#This Row],[author_es]],autorest[author_es],autorest[age_la])</f>
        <v>Medium Aevum</v>
      </c>
      <c r="Q1392" t="str">
        <f>_xlfn.XLOOKUP(frasest[[#This Row],[author_es]],autorest[author_es],autorest[image])</f>
        <v>https://i.ibb.co/XfRSKJzS/boecio.png</v>
      </c>
      <c r="R1392">
        <f>_xlfn.XLOOKUP(frasest[[#This Row],[author_es]],autorest[author_es],autorest[image_atr])</f>
        <v>0</v>
      </c>
    </row>
    <row r="1393" spans="1:18">
      <c r="A1393">
        <v>1392</v>
      </c>
      <c r="B1393" t="s">
        <v>4326</v>
      </c>
      <c r="C1393" t="s">
        <v>4327</v>
      </c>
      <c r="D1393" t="s">
        <v>4328</v>
      </c>
      <c r="E1393" t="s">
        <v>4315</v>
      </c>
      <c r="F1393" t="s">
        <v>4316</v>
      </c>
      <c r="G1393" t="str">
        <f>_xlfn.XLOOKUP(frasest[[#This Row],[author_es]],autorest[author_es],autorest[author_la])</f>
        <v>Boethius</v>
      </c>
      <c r="H1393"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3" t="str">
        <f>_xlfn.XLOOKUP(frasest[[#This Row],[author_es]],autorest[author_es],autorest[bio_la])</f>
        <v>Philosophus poeta et politicus Romanus ultimus philosophiae classicae et primus medievalis auctor De consolatione philosophiae qui pons inter mundum antiquum et Christianum medievalem fuit</v>
      </c>
      <c r="J1393" t="str">
        <f>_xlfn.XLOOKUP(frasest[[#This Row],[author_es]],autorest[author_es],autorest[iso3691])</f>
        <v>la</v>
      </c>
      <c r="K1393" t="str">
        <f>_xlfn.XLOOKUP(frasest[[#This Row],[author_es]],autorest[author_es],autorest[language_es])</f>
        <v>Latín</v>
      </c>
      <c r="L1393" t="str">
        <f>_xlfn.XLOOKUP(frasest[[#This Row],[author_es]],autorest[author_es],autorest[language_la])</f>
        <v>Lingua Latina</v>
      </c>
      <c r="M1393" t="str">
        <f>_xlfn.XLOOKUP(frasest[[#This Row],[author_es]],autorest[author_es],autorest[nation_es])</f>
        <v>Roma</v>
      </c>
      <c r="N1393" t="str">
        <f>_xlfn.XLOOKUP(frasest[[#This Row],[author_es]],autorest[author_es],autorest[nation_la])</f>
        <v>Roma</v>
      </c>
      <c r="O1393" t="str">
        <f>_xlfn.XLOOKUP(frasest[[#This Row],[author_es]],autorest[author_es],autorest[age_es])</f>
        <v>Edad Media</v>
      </c>
      <c r="P1393" t="str">
        <f>_xlfn.XLOOKUP(frasest[[#This Row],[author_es]],autorest[author_es],autorest[age_la])</f>
        <v>Medium Aevum</v>
      </c>
      <c r="Q1393" t="str">
        <f>_xlfn.XLOOKUP(frasest[[#This Row],[author_es]],autorest[author_es],autorest[image])</f>
        <v>https://i.ibb.co/XfRSKJzS/boecio.png</v>
      </c>
      <c r="R1393">
        <f>_xlfn.XLOOKUP(frasest[[#This Row],[author_es]],autorest[author_es],autorest[image_atr])</f>
        <v>0</v>
      </c>
    </row>
    <row r="1394" spans="1:18">
      <c r="A1394">
        <v>1393</v>
      </c>
      <c r="B1394" t="s">
        <v>4329</v>
      </c>
      <c r="C1394" t="s">
        <v>4330</v>
      </c>
      <c r="D1394" t="s">
        <v>4331</v>
      </c>
      <c r="E1394" t="s">
        <v>4315</v>
      </c>
      <c r="F1394" t="s">
        <v>4316</v>
      </c>
      <c r="G1394" t="str">
        <f>_xlfn.XLOOKUP(frasest[[#This Row],[author_es]],autorest[author_es],autorest[author_la])</f>
        <v>Boethius</v>
      </c>
      <c r="H1394"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4" t="str">
        <f>_xlfn.XLOOKUP(frasest[[#This Row],[author_es]],autorest[author_es],autorest[bio_la])</f>
        <v>Philosophus poeta et politicus Romanus ultimus philosophiae classicae et primus medievalis auctor De consolatione philosophiae qui pons inter mundum antiquum et Christianum medievalem fuit</v>
      </c>
      <c r="J1394" t="str">
        <f>_xlfn.XLOOKUP(frasest[[#This Row],[author_es]],autorest[author_es],autorest[iso3691])</f>
        <v>la</v>
      </c>
      <c r="K1394" t="str">
        <f>_xlfn.XLOOKUP(frasest[[#This Row],[author_es]],autorest[author_es],autorest[language_es])</f>
        <v>Latín</v>
      </c>
      <c r="L1394" t="str">
        <f>_xlfn.XLOOKUP(frasest[[#This Row],[author_es]],autorest[author_es],autorest[language_la])</f>
        <v>Lingua Latina</v>
      </c>
      <c r="M1394" t="str">
        <f>_xlfn.XLOOKUP(frasest[[#This Row],[author_es]],autorest[author_es],autorest[nation_es])</f>
        <v>Roma</v>
      </c>
      <c r="N1394" t="str">
        <f>_xlfn.XLOOKUP(frasest[[#This Row],[author_es]],autorest[author_es],autorest[nation_la])</f>
        <v>Roma</v>
      </c>
      <c r="O1394" t="str">
        <f>_xlfn.XLOOKUP(frasest[[#This Row],[author_es]],autorest[author_es],autorest[age_es])</f>
        <v>Edad Media</v>
      </c>
      <c r="P1394" t="str">
        <f>_xlfn.XLOOKUP(frasest[[#This Row],[author_es]],autorest[author_es],autorest[age_la])</f>
        <v>Medium Aevum</v>
      </c>
      <c r="Q1394" t="str">
        <f>_xlfn.XLOOKUP(frasest[[#This Row],[author_es]],autorest[author_es],autorest[image])</f>
        <v>https://i.ibb.co/XfRSKJzS/boecio.png</v>
      </c>
      <c r="R1394">
        <f>_xlfn.XLOOKUP(frasest[[#This Row],[author_es]],autorest[author_es],autorest[image_atr])</f>
        <v>0</v>
      </c>
    </row>
    <row r="1395" spans="1:18">
      <c r="A1395">
        <v>1394</v>
      </c>
      <c r="B1395" t="s">
        <v>4332</v>
      </c>
      <c r="C1395" t="s">
        <v>4333</v>
      </c>
      <c r="D1395" t="s">
        <v>4334</v>
      </c>
      <c r="E1395" t="s">
        <v>4315</v>
      </c>
      <c r="F1395" t="s">
        <v>4316</v>
      </c>
      <c r="G1395" t="str">
        <f>_xlfn.XLOOKUP(frasest[[#This Row],[author_es]],autorest[author_es],autorest[author_la])</f>
        <v>Boethius</v>
      </c>
      <c r="H1395"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5" t="str">
        <f>_xlfn.XLOOKUP(frasest[[#This Row],[author_es]],autorest[author_es],autorest[bio_la])</f>
        <v>Philosophus poeta et politicus Romanus ultimus philosophiae classicae et primus medievalis auctor De consolatione philosophiae qui pons inter mundum antiquum et Christianum medievalem fuit</v>
      </c>
      <c r="J1395" t="str">
        <f>_xlfn.XLOOKUP(frasest[[#This Row],[author_es]],autorest[author_es],autorest[iso3691])</f>
        <v>la</v>
      </c>
      <c r="K1395" t="str">
        <f>_xlfn.XLOOKUP(frasest[[#This Row],[author_es]],autorest[author_es],autorest[language_es])</f>
        <v>Latín</v>
      </c>
      <c r="L1395" t="str">
        <f>_xlfn.XLOOKUP(frasest[[#This Row],[author_es]],autorest[author_es],autorest[language_la])</f>
        <v>Lingua Latina</v>
      </c>
      <c r="M1395" t="str">
        <f>_xlfn.XLOOKUP(frasest[[#This Row],[author_es]],autorest[author_es],autorest[nation_es])</f>
        <v>Roma</v>
      </c>
      <c r="N1395" t="str">
        <f>_xlfn.XLOOKUP(frasest[[#This Row],[author_es]],autorest[author_es],autorest[nation_la])</f>
        <v>Roma</v>
      </c>
      <c r="O1395" t="str">
        <f>_xlfn.XLOOKUP(frasest[[#This Row],[author_es]],autorest[author_es],autorest[age_es])</f>
        <v>Edad Media</v>
      </c>
      <c r="P1395" t="str">
        <f>_xlfn.XLOOKUP(frasest[[#This Row],[author_es]],autorest[author_es],autorest[age_la])</f>
        <v>Medium Aevum</v>
      </c>
      <c r="Q1395" t="str">
        <f>_xlfn.XLOOKUP(frasest[[#This Row],[author_es]],autorest[author_es],autorest[image])</f>
        <v>https://i.ibb.co/XfRSKJzS/boecio.png</v>
      </c>
      <c r="R1395">
        <f>_xlfn.XLOOKUP(frasest[[#This Row],[author_es]],autorest[author_es],autorest[image_atr])</f>
        <v>0</v>
      </c>
    </row>
    <row r="1396" spans="1:18">
      <c r="A1396">
        <v>1395</v>
      </c>
      <c r="B1396" t="s">
        <v>4335</v>
      </c>
      <c r="C1396" t="s">
        <v>4336</v>
      </c>
      <c r="D1396" t="s">
        <v>4337</v>
      </c>
      <c r="E1396" t="s">
        <v>4315</v>
      </c>
      <c r="F1396" t="s">
        <v>4316</v>
      </c>
      <c r="G1396" t="str">
        <f>_xlfn.XLOOKUP(frasest[[#This Row],[author_es]],autorest[author_es],autorest[author_la])</f>
        <v>Boethius</v>
      </c>
      <c r="H1396"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6" t="str">
        <f>_xlfn.XLOOKUP(frasest[[#This Row],[author_es]],autorest[author_es],autorest[bio_la])</f>
        <v>Philosophus poeta et politicus Romanus ultimus philosophiae classicae et primus medievalis auctor De consolatione philosophiae qui pons inter mundum antiquum et Christianum medievalem fuit</v>
      </c>
      <c r="J1396" t="str">
        <f>_xlfn.XLOOKUP(frasest[[#This Row],[author_es]],autorest[author_es],autorest[iso3691])</f>
        <v>la</v>
      </c>
      <c r="K1396" t="str">
        <f>_xlfn.XLOOKUP(frasest[[#This Row],[author_es]],autorest[author_es],autorest[language_es])</f>
        <v>Latín</v>
      </c>
      <c r="L1396" t="str">
        <f>_xlfn.XLOOKUP(frasest[[#This Row],[author_es]],autorest[author_es],autorest[language_la])</f>
        <v>Lingua Latina</v>
      </c>
      <c r="M1396" t="str">
        <f>_xlfn.XLOOKUP(frasest[[#This Row],[author_es]],autorest[author_es],autorest[nation_es])</f>
        <v>Roma</v>
      </c>
      <c r="N1396" t="str">
        <f>_xlfn.XLOOKUP(frasest[[#This Row],[author_es]],autorest[author_es],autorest[nation_la])</f>
        <v>Roma</v>
      </c>
      <c r="O1396" t="str">
        <f>_xlfn.XLOOKUP(frasest[[#This Row],[author_es]],autorest[author_es],autorest[age_es])</f>
        <v>Edad Media</v>
      </c>
      <c r="P1396" t="str">
        <f>_xlfn.XLOOKUP(frasest[[#This Row],[author_es]],autorest[author_es],autorest[age_la])</f>
        <v>Medium Aevum</v>
      </c>
      <c r="Q1396" t="str">
        <f>_xlfn.XLOOKUP(frasest[[#This Row],[author_es]],autorest[author_es],autorest[image])</f>
        <v>https://i.ibb.co/XfRSKJzS/boecio.png</v>
      </c>
      <c r="R1396">
        <f>_xlfn.XLOOKUP(frasest[[#This Row],[author_es]],autorest[author_es],autorest[image_atr])</f>
        <v>0</v>
      </c>
    </row>
    <row r="1397" spans="1:18">
      <c r="A1397">
        <v>1396</v>
      </c>
      <c r="B1397" t="s">
        <v>4338</v>
      </c>
      <c r="C1397" t="s">
        <v>4339</v>
      </c>
      <c r="D1397" t="s">
        <v>4340</v>
      </c>
      <c r="E1397" t="s">
        <v>4315</v>
      </c>
      <c r="F1397" t="s">
        <v>4316</v>
      </c>
      <c r="G1397" t="str">
        <f>_xlfn.XLOOKUP(frasest[[#This Row],[author_es]],autorest[author_es],autorest[author_la])</f>
        <v>Boethius</v>
      </c>
      <c r="H1397"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7" t="str">
        <f>_xlfn.XLOOKUP(frasest[[#This Row],[author_es]],autorest[author_es],autorest[bio_la])</f>
        <v>Philosophus poeta et politicus Romanus ultimus philosophiae classicae et primus medievalis auctor De consolatione philosophiae qui pons inter mundum antiquum et Christianum medievalem fuit</v>
      </c>
      <c r="J1397" t="str">
        <f>_xlfn.XLOOKUP(frasest[[#This Row],[author_es]],autorest[author_es],autorest[iso3691])</f>
        <v>la</v>
      </c>
      <c r="K1397" t="str">
        <f>_xlfn.XLOOKUP(frasest[[#This Row],[author_es]],autorest[author_es],autorest[language_es])</f>
        <v>Latín</v>
      </c>
      <c r="L1397" t="str">
        <f>_xlfn.XLOOKUP(frasest[[#This Row],[author_es]],autorest[author_es],autorest[language_la])</f>
        <v>Lingua Latina</v>
      </c>
      <c r="M1397" t="str">
        <f>_xlfn.XLOOKUP(frasest[[#This Row],[author_es]],autorest[author_es],autorest[nation_es])</f>
        <v>Roma</v>
      </c>
      <c r="N1397" t="str">
        <f>_xlfn.XLOOKUP(frasest[[#This Row],[author_es]],autorest[author_es],autorest[nation_la])</f>
        <v>Roma</v>
      </c>
      <c r="O1397" t="str">
        <f>_xlfn.XLOOKUP(frasest[[#This Row],[author_es]],autorest[author_es],autorest[age_es])</f>
        <v>Edad Media</v>
      </c>
      <c r="P1397" t="str">
        <f>_xlfn.XLOOKUP(frasest[[#This Row],[author_es]],autorest[author_es],autorest[age_la])</f>
        <v>Medium Aevum</v>
      </c>
      <c r="Q1397" t="str">
        <f>_xlfn.XLOOKUP(frasest[[#This Row],[author_es]],autorest[author_es],autorest[image])</f>
        <v>https://i.ibb.co/XfRSKJzS/boecio.png</v>
      </c>
      <c r="R1397">
        <f>_xlfn.XLOOKUP(frasest[[#This Row],[author_es]],autorest[author_es],autorest[image_atr])</f>
        <v>0</v>
      </c>
    </row>
    <row r="1398" spans="1:18">
      <c r="A1398">
        <v>1397</v>
      </c>
      <c r="B1398" t="s">
        <v>4341</v>
      </c>
      <c r="C1398" t="s">
        <v>4342</v>
      </c>
      <c r="D1398" t="s">
        <v>4343</v>
      </c>
      <c r="E1398" t="s">
        <v>4315</v>
      </c>
      <c r="F1398" t="s">
        <v>4316</v>
      </c>
      <c r="G1398" t="str">
        <f>_xlfn.XLOOKUP(frasest[[#This Row],[author_es]],autorest[author_es],autorest[author_la])</f>
        <v>Boethius</v>
      </c>
      <c r="H1398"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8" t="str">
        <f>_xlfn.XLOOKUP(frasest[[#This Row],[author_es]],autorest[author_es],autorest[bio_la])</f>
        <v>Philosophus poeta et politicus Romanus ultimus philosophiae classicae et primus medievalis auctor De consolatione philosophiae qui pons inter mundum antiquum et Christianum medievalem fuit</v>
      </c>
      <c r="J1398" t="str">
        <f>_xlfn.XLOOKUP(frasest[[#This Row],[author_es]],autorest[author_es],autorest[iso3691])</f>
        <v>la</v>
      </c>
      <c r="K1398" t="str">
        <f>_xlfn.XLOOKUP(frasest[[#This Row],[author_es]],autorest[author_es],autorest[language_es])</f>
        <v>Latín</v>
      </c>
      <c r="L1398" t="str">
        <f>_xlfn.XLOOKUP(frasest[[#This Row],[author_es]],autorest[author_es],autorest[language_la])</f>
        <v>Lingua Latina</v>
      </c>
      <c r="M1398" t="str">
        <f>_xlfn.XLOOKUP(frasest[[#This Row],[author_es]],autorest[author_es],autorest[nation_es])</f>
        <v>Roma</v>
      </c>
      <c r="N1398" t="str">
        <f>_xlfn.XLOOKUP(frasest[[#This Row],[author_es]],autorest[author_es],autorest[nation_la])</f>
        <v>Roma</v>
      </c>
      <c r="O1398" t="str">
        <f>_xlfn.XLOOKUP(frasest[[#This Row],[author_es]],autorest[author_es],autorest[age_es])</f>
        <v>Edad Media</v>
      </c>
      <c r="P1398" t="str">
        <f>_xlfn.XLOOKUP(frasest[[#This Row],[author_es]],autorest[author_es],autorest[age_la])</f>
        <v>Medium Aevum</v>
      </c>
      <c r="Q1398" t="str">
        <f>_xlfn.XLOOKUP(frasest[[#This Row],[author_es]],autorest[author_es],autorest[image])</f>
        <v>https://i.ibb.co/XfRSKJzS/boecio.png</v>
      </c>
      <c r="R1398">
        <f>_xlfn.XLOOKUP(frasest[[#This Row],[author_es]],autorest[author_es],autorest[image_atr])</f>
        <v>0</v>
      </c>
    </row>
    <row r="1399" spans="1:18">
      <c r="A1399">
        <v>1398</v>
      </c>
      <c r="B1399" t="s">
        <v>4344</v>
      </c>
      <c r="C1399" t="s">
        <v>4345</v>
      </c>
      <c r="D1399" t="s">
        <v>4346</v>
      </c>
      <c r="E1399" t="s">
        <v>4315</v>
      </c>
      <c r="F1399" t="s">
        <v>4316</v>
      </c>
      <c r="G1399" t="str">
        <f>_xlfn.XLOOKUP(frasest[[#This Row],[author_es]],autorest[author_es],autorest[author_la])</f>
        <v>Boethius</v>
      </c>
      <c r="H1399"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399" t="str">
        <f>_xlfn.XLOOKUP(frasest[[#This Row],[author_es]],autorest[author_es],autorest[bio_la])</f>
        <v>Philosophus poeta et politicus Romanus ultimus philosophiae classicae et primus medievalis auctor De consolatione philosophiae qui pons inter mundum antiquum et Christianum medievalem fuit</v>
      </c>
      <c r="J1399" t="str">
        <f>_xlfn.XLOOKUP(frasest[[#This Row],[author_es]],autorest[author_es],autorest[iso3691])</f>
        <v>la</v>
      </c>
      <c r="K1399" t="str">
        <f>_xlfn.XLOOKUP(frasest[[#This Row],[author_es]],autorest[author_es],autorest[language_es])</f>
        <v>Latín</v>
      </c>
      <c r="L1399" t="str">
        <f>_xlfn.XLOOKUP(frasest[[#This Row],[author_es]],autorest[author_es],autorest[language_la])</f>
        <v>Lingua Latina</v>
      </c>
      <c r="M1399" t="str">
        <f>_xlfn.XLOOKUP(frasest[[#This Row],[author_es]],autorest[author_es],autorest[nation_es])</f>
        <v>Roma</v>
      </c>
      <c r="N1399" t="str">
        <f>_xlfn.XLOOKUP(frasest[[#This Row],[author_es]],autorest[author_es],autorest[nation_la])</f>
        <v>Roma</v>
      </c>
      <c r="O1399" t="str">
        <f>_xlfn.XLOOKUP(frasest[[#This Row],[author_es]],autorest[author_es],autorest[age_es])</f>
        <v>Edad Media</v>
      </c>
      <c r="P1399" t="str">
        <f>_xlfn.XLOOKUP(frasest[[#This Row],[author_es]],autorest[author_es],autorest[age_la])</f>
        <v>Medium Aevum</v>
      </c>
      <c r="Q1399" t="str">
        <f>_xlfn.XLOOKUP(frasest[[#This Row],[author_es]],autorest[author_es],autorest[image])</f>
        <v>https://i.ibb.co/XfRSKJzS/boecio.png</v>
      </c>
      <c r="R1399">
        <f>_xlfn.XLOOKUP(frasest[[#This Row],[author_es]],autorest[author_es],autorest[image_atr])</f>
        <v>0</v>
      </c>
    </row>
    <row r="1400" spans="1:18">
      <c r="A1400">
        <v>1399</v>
      </c>
      <c r="B1400" t="s">
        <v>4347</v>
      </c>
      <c r="C1400" t="s">
        <v>4348</v>
      </c>
      <c r="D1400" t="s">
        <v>4349</v>
      </c>
      <c r="E1400" t="s">
        <v>4315</v>
      </c>
      <c r="F1400" t="s">
        <v>4316</v>
      </c>
      <c r="G1400" t="str">
        <f>_xlfn.XLOOKUP(frasest[[#This Row],[author_es]],autorest[author_es],autorest[author_la])</f>
        <v>Boethius</v>
      </c>
      <c r="H1400"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0" t="str">
        <f>_xlfn.XLOOKUP(frasest[[#This Row],[author_es]],autorest[author_es],autorest[bio_la])</f>
        <v>Philosophus poeta et politicus Romanus ultimus philosophiae classicae et primus medievalis auctor De consolatione philosophiae qui pons inter mundum antiquum et Christianum medievalem fuit</v>
      </c>
      <c r="J1400" t="str">
        <f>_xlfn.XLOOKUP(frasest[[#This Row],[author_es]],autorest[author_es],autorest[iso3691])</f>
        <v>la</v>
      </c>
      <c r="K1400" t="str">
        <f>_xlfn.XLOOKUP(frasest[[#This Row],[author_es]],autorest[author_es],autorest[language_es])</f>
        <v>Latín</v>
      </c>
      <c r="L1400" t="str">
        <f>_xlfn.XLOOKUP(frasest[[#This Row],[author_es]],autorest[author_es],autorest[language_la])</f>
        <v>Lingua Latina</v>
      </c>
      <c r="M1400" t="str">
        <f>_xlfn.XLOOKUP(frasest[[#This Row],[author_es]],autorest[author_es],autorest[nation_es])</f>
        <v>Roma</v>
      </c>
      <c r="N1400" t="str">
        <f>_xlfn.XLOOKUP(frasest[[#This Row],[author_es]],autorest[author_es],autorest[nation_la])</f>
        <v>Roma</v>
      </c>
      <c r="O1400" t="str">
        <f>_xlfn.XLOOKUP(frasest[[#This Row],[author_es]],autorest[author_es],autorest[age_es])</f>
        <v>Edad Media</v>
      </c>
      <c r="P1400" t="str">
        <f>_xlfn.XLOOKUP(frasest[[#This Row],[author_es]],autorest[author_es],autorest[age_la])</f>
        <v>Medium Aevum</v>
      </c>
      <c r="Q1400" t="str">
        <f>_xlfn.XLOOKUP(frasest[[#This Row],[author_es]],autorest[author_es],autorest[image])</f>
        <v>https://i.ibb.co/XfRSKJzS/boecio.png</v>
      </c>
      <c r="R1400">
        <f>_xlfn.XLOOKUP(frasest[[#This Row],[author_es]],autorest[author_es],autorest[image_atr])</f>
        <v>0</v>
      </c>
    </row>
    <row r="1401" spans="1:18">
      <c r="A1401">
        <v>1400</v>
      </c>
      <c r="B1401" t="s">
        <v>4350</v>
      </c>
      <c r="C1401" t="s">
        <v>4351</v>
      </c>
      <c r="D1401" t="s">
        <v>4352</v>
      </c>
      <c r="E1401" t="s">
        <v>4315</v>
      </c>
      <c r="F1401" t="s">
        <v>4316</v>
      </c>
      <c r="G1401" t="str">
        <f>_xlfn.XLOOKUP(frasest[[#This Row],[author_es]],autorest[author_es],autorest[author_la])</f>
        <v>Boethius</v>
      </c>
      <c r="H1401"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1" t="str">
        <f>_xlfn.XLOOKUP(frasest[[#This Row],[author_es]],autorest[author_es],autorest[bio_la])</f>
        <v>Philosophus poeta et politicus Romanus ultimus philosophiae classicae et primus medievalis auctor De consolatione philosophiae qui pons inter mundum antiquum et Christianum medievalem fuit</v>
      </c>
      <c r="J1401" t="str">
        <f>_xlfn.XLOOKUP(frasest[[#This Row],[author_es]],autorest[author_es],autorest[iso3691])</f>
        <v>la</v>
      </c>
      <c r="K1401" t="str">
        <f>_xlfn.XLOOKUP(frasest[[#This Row],[author_es]],autorest[author_es],autorest[language_es])</f>
        <v>Latín</v>
      </c>
      <c r="L1401" t="str">
        <f>_xlfn.XLOOKUP(frasest[[#This Row],[author_es]],autorest[author_es],autorest[language_la])</f>
        <v>Lingua Latina</v>
      </c>
      <c r="M1401" t="str">
        <f>_xlfn.XLOOKUP(frasest[[#This Row],[author_es]],autorest[author_es],autorest[nation_es])</f>
        <v>Roma</v>
      </c>
      <c r="N1401" t="str">
        <f>_xlfn.XLOOKUP(frasest[[#This Row],[author_es]],autorest[author_es],autorest[nation_la])</f>
        <v>Roma</v>
      </c>
      <c r="O1401" t="str">
        <f>_xlfn.XLOOKUP(frasest[[#This Row],[author_es]],autorest[author_es],autorest[age_es])</f>
        <v>Edad Media</v>
      </c>
      <c r="P1401" t="str">
        <f>_xlfn.XLOOKUP(frasest[[#This Row],[author_es]],autorest[author_es],autorest[age_la])</f>
        <v>Medium Aevum</v>
      </c>
      <c r="Q1401" t="str">
        <f>_xlfn.XLOOKUP(frasest[[#This Row],[author_es]],autorest[author_es],autorest[image])</f>
        <v>https://i.ibb.co/XfRSKJzS/boecio.png</v>
      </c>
      <c r="R1401">
        <f>_xlfn.XLOOKUP(frasest[[#This Row],[author_es]],autorest[author_es],autorest[image_atr])</f>
        <v>0</v>
      </c>
    </row>
    <row r="1402" spans="1:18">
      <c r="A1402">
        <v>1401</v>
      </c>
      <c r="B1402" t="s">
        <v>4353</v>
      </c>
      <c r="C1402" t="s">
        <v>4354</v>
      </c>
      <c r="D1402" t="s">
        <v>4355</v>
      </c>
      <c r="E1402" t="s">
        <v>4315</v>
      </c>
      <c r="F1402" t="s">
        <v>4316</v>
      </c>
      <c r="G1402" t="str">
        <f>_xlfn.XLOOKUP(frasest[[#This Row],[author_es]],autorest[author_es],autorest[author_la])</f>
        <v>Boethius</v>
      </c>
      <c r="H1402"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2" t="str">
        <f>_xlfn.XLOOKUP(frasest[[#This Row],[author_es]],autorest[author_es],autorest[bio_la])</f>
        <v>Philosophus poeta et politicus Romanus ultimus philosophiae classicae et primus medievalis auctor De consolatione philosophiae qui pons inter mundum antiquum et Christianum medievalem fuit</v>
      </c>
      <c r="J1402" t="str">
        <f>_xlfn.XLOOKUP(frasest[[#This Row],[author_es]],autorest[author_es],autorest[iso3691])</f>
        <v>la</v>
      </c>
      <c r="K1402" t="str">
        <f>_xlfn.XLOOKUP(frasest[[#This Row],[author_es]],autorest[author_es],autorest[language_es])</f>
        <v>Latín</v>
      </c>
      <c r="L1402" t="str">
        <f>_xlfn.XLOOKUP(frasest[[#This Row],[author_es]],autorest[author_es],autorest[language_la])</f>
        <v>Lingua Latina</v>
      </c>
      <c r="M1402" t="str">
        <f>_xlfn.XLOOKUP(frasest[[#This Row],[author_es]],autorest[author_es],autorest[nation_es])</f>
        <v>Roma</v>
      </c>
      <c r="N1402" t="str">
        <f>_xlfn.XLOOKUP(frasest[[#This Row],[author_es]],autorest[author_es],autorest[nation_la])</f>
        <v>Roma</v>
      </c>
      <c r="O1402" t="str">
        <f>_xlfn.XLOOKUP(frasest[[#This Row],[author_es]],autorest[author_es],autorest[age_es])</f>
        <v>Edad Media</v>
      </c>
      <c r="P1402" t="str">
        <f>_xlfn.XLOOKUP(frasest[[#This Row],[author_es]],autorest[author_es],autorest[age_la])</f>
        <v>Medium Aevum</v>
      </c>
      <c r="Q1402" t="str">
        <f>_xlfn.XLOOKUP(frasest[[#This Row],[author_es]],autorest[author_es],autorest[image])</f>
        <v>https://i.ibb.co/XfRSKJzS/boecio.png</v>
      </c>
      <c r="R1402">
        <f>_xlfn.XLOOKUP(frasest[[#This Row],[author_es]],autorest[author_es],autorest[image_atr])</f>
        <v>0</v>
      </c>
    </row>
    <row r="1403" spans="1:18">
      <c r="A1403">
        <v>1402</v>
      </c>
      <c r="B1403" t="s">
        <v>4356</v>
      </c>
      <c r="C1403" t="s">
        <v>4357</v>
      </c>
      <c r="D1403" t="s">
        <v>4358</v>
      </c>
      <c r="E1403" t="s">
        <v>4315</v>
      </c>
      <c r="F1403" t="s">
        <v>4316</v>
      </c>
      <c r="G1403" t="str">
        <f>_xlfn.XLOOKUP(frasest[[#This Row],[author_es]],autorest[author_es],autorest[author_la])</f>
        <v>Boethius</v>
      </c>
      <c r="H1403"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3" t="str">
        <f>_xlfn.XLOOKUP(frasest[[#This Row],[author_es]],autorest[author_es],autorest[bio_la])</f>
        <v>Philosophus poeta et politicus Romanus ultimus philosophiae classicae et primus medievalis auctor De consolatione philosophiae qui pons inter mundum antiquum et Christianum medievalem fuit</v>
      </c>
      <c r="J1403" t="str">
        <f>_xlfn.XLOOKUP(frasest[[#This Row],[author_es]],autorest[author_es],autorest[iso3691])</f>
        <v>la</v>
      </c>
      <c r="K1403" t="str">
        <f>_xlfn.XLOOKUP(frasest[[#This Row],[author_es]],autorest[author_es],autorest[language_es])</f>
        <v>Latín</v>
      </c>
      <c r="L1403" t="str">
        <f>_xlfn.XLOOKUP(frasest[[#This Row],[author_es]],autorest[author_es],autorest[language_la])</f>
        <v>Lingua Latina</v>
      </c>
      <c r="M1403" t="str">
        <f>_xlfn.XLOOKUP(frasest[[#This Row],[author_es]],autorest[author_es],autorest[nation_es])</f>
        <v>Roma</v>
      </c>
      <c r="N1403" t="str">
        <f>_xlfn.XLOOKUP(frasest[[#This Row],[author_es]],autorest[author_es],autorest[nation_la])</f>
        <v>Roma</v>
      </c>
      <c r="O1403" t="str">
        <f>_xlfn.XLOOKUP(frasest[[#This Row],[author_es]],autorest[author_es],autorest[age_es])</f>
        <v>Edad Media</v>
      </c>
      <c r="P1403" t="str">
        <f>_xlfn.XLOOKUP(frasest[[#This Row],[author_es]],autorest[author_es],autorest[age_la])</f>
        <v>Medium Aevum</v>
      </c>
      <c r="Q1403" t="str">
        <f>_xlfn.XLOOKUP(frasest[[#This Row],[author_es]],autorest[author_es],autorest[image])</f>
        <v>https://i.ibb.co/XfRSKJzS/boecio.png</v>
      </c>
      <c r="R1403">
        <f>_xlfn.XLOOKUP(frasest[[#This Row],[author_es]],autorest[author_es],autorest[image_atr])</f>
        <v>0</v>
      </c>
    </row>
    <row r="1404" spans="1:18">
      <c r="A1404">
        <v>1403</v>
      </c>
      <c r="B1404" t="s">
        <v>4359</v>
      </c>
      <c r="C1404" t="s">
        <v>4360</v>
      </c>
      <c r="D1404" t="s">
        <v>4361</v>
      </c>
      <c r="E1404" t="s">
        <v>4315</v>
      </c>
      <c r="F1404" t="s">
        <v>4316</v>
      </c>
      <c r="G1404" t="str">
        <f>_xlfn.XLOOKUP(frasest[[#This Row],[author_es]],autorest[author_es],autorest[author_la])</f>
        <v>Boethius</v>
      </c>
      <c r="H1404"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4" t="str">
        <f>_xlfn.XLOOKUP(frasest[[#This Row],[author_es]],autorest[author_es],autorest[bio_la])</f>
        <v>Philosophus poeta et politicus Romanus ultimus philosophiae classicae et primus medievalis auctor De consolatione philosophiae qui pons inter mundum antiquum et Christianum medievalem fuit</v>
      </c>
      <c r="J1404" t="str">
        <f>_xlfn.XLOOKUP(frasest[[#This Row],[author_es]],autorest[author_es],autorest[iso3691])</f>
        <v>la</v>
      </c>
      <c r="K1404" t="str">
        <f>_xlfn.XLOOKUP(frasest[[#This Row],[author_es]],autorest[author_es],autorest[language_es])</f>
        <v>Latín</v>
      </c>
      <c r="L1404" t="str">
        <f>_xlfn.XLOOKUP(frasest[[#This Row],[author_es]],autorest[author_es],autorest[language_la])</f>
        <v>Lingua Latina</v>
      </c>
      <c r="M1404" t="str">
        <f>_xlfn.XLOOKUP(frasest[[#This Row],[author_es]],autorest[author_es],autorest[nation_es])</f>
        <v>Roma</v>
      </c>
      <c r="N1404" t="str">
        <f>_xlfn.XLOOKUP(frasest[[#This Row],[author_es]],autorest[author_es],autorest[nation_la])</f>
        <v>Roma</v>
      </c>
      <c r="O1404" t="str">
        <f>_xlfn.XLOOKUP(frasest[[#This Row],[author_es]],autorest[author_es],autorest[age_es])</f>
        <v>Edad Media</v>
      </c>
      <c r="P1404" t="str">
        <f>_xlfn.XLOOKUP(frasest[[#This Row],[author_es]],autorest[author_es],autorest[age_la])</f>
        <v>Medium Aevum</v>
      </c>
      <c r="Q1404" t="str">
        <f>_xlfn.XLOOKUP(frasest[[#This Row],[author_es]],autorest[author_es],autorest[image])</f>
        <v>https://i.ibb.co/XfRSKJzS/boecio.png</v>
      </c>
      <c r="R1404">
        <f>_xlfn.XLOOKUP(frasest[[#This Row],[author_es]],autorest[author_es],autorest[image_atr])</f>
        <v>0</v>
      </c>
    </row>
    <row r="1405" spans="1:18">
      <c r="A1405">
        <v>1404</v>
      </c>
      <c r="B1405" t="s">
        <v>4362</v>
      </c>
      <c r="C1405" t="s">
        <v>4363</v>
      </c>
      <c r="D1405" t="s">
        <v>4364</v>
      </c>
      <c r="E1405" t="s">
        <v>4315</v>
      </c>
      <c r="F1405" t="s">
        <v>4316</v>
      </c>
      <c r="G1405" t="str">
        <f>_xlfn.XLOOKUP(frasest[[#This Row],[author_es]],autorest[author_es],autorest[author_la])</f>
        <v>Boethius</v>
      </c>
      <c r="H1405"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5" t="str">
        <f>_xlfn.XLOOKUP(frasest[[#This Row],[author_es]],autorest[author_es],autorest[bio_la])</f>
        <v>Philosophus poeta et politicus Romanus ultimus philosophiae classicae et primus medievalis auctor De consolatione philosophiae qui pons inter mundum antiquum et Christianum medievalem fuit</v>
      </c>
      <c r="J1405" t="str">
        <f>_xlfn.XLOOKUP(frasest[[#This Row],[author_es]],autorest[author_es],autorest[iso3691])</f>
        <v>la</v>
      </c>
      <c r="K1405" t="str">
        <f>_xlfn.XLOOKUP(frasest[[#This Row],[author_es]],autorest[author_es],autorest[language_es])</f>
        <v>Latín</v>
      </c>
      <c r="L1405" t="str">
        <f>_xlfn.XLOOKUP(frasest[[#This Row],[author_es]],autorest[author_es],autorest[language_la])</f>
        <v>Lingua Latina</v>
      </c>
      <c r="M1405" t="str">
        <f>_xlfn.XLOOKUP(frasest[[#This Row],[author_es]],autorest[author_es],autorest[nation_es])</f>
        <v>Roma</v>
      </c>
      <c r="N1405" t="str">
        <f>_xlfn.XLOOKUP(frasest[[#This Row],[author_es]],autorest[author_es],autorest[nation_la])</f>
        <v>Roma</v>
      </c>
      <c r="O1405" t="str">
        <f>_xlfn.XLOOKUP(frasest[[#This Row],[author_es]],autorest[author_es],autorest[age_es])</f>
        <v>Edad Media</v>
      </c>
      <c r="P1405" t="str">
        <f>_xlfn.XLOOKUP(frasest[[#This Row],[author_es]],autorest[author_es],autorest[age_la])</f>
        <v>Medium Aevum</v>
      </c>
      <c r="Q1405" t="str">
        <f>_xlfn.XLOOKUP(frasest[[#This Row],[author_es]],autorest[author_es],autorest[image])</f>
        <v>https://i.ibb.co/XfRSKJzS/boecio.png</v>
      </c>
      <c r="R1405">
        <f>_xlfn.XLOOKUP(frasest[[#This Row],[author_es]],autorest[author_es],autorest[image_atr])</f>
        <v>0</v>
      </c>
    </row>
    <row r="1406" spans="1:18">
      <c r="A1406">
        <v>1405</v>
      </c>
      <c r="B1406" t="s">
        <v>4365</v>
      </c>
      <c r="C1406" t="s">
        <v>4366</v>
      </c>
      <c r="D1406" t="s">
        <v>4367</v>
      </c>
      <c r="E1406" t="s">
        <v>4315</v>
      </c>
      <c r="F1406" t="s">
        <v>4316</v>
      </c>
      <c r="G1406" t="str">
        <f>_xlfn.XLOOKUP(frasest[[#This Row],[author_es]],autorest[author_es],autorest[author_la])</f>
        <v>Boethius</v>
      </c>
      <c r="H1406"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6" t="str">
        <f>_xlfn.XLOOKUP(frasest[[#This Row],[author_es]],autorest[author_es],autorest[bio_la])</f>
        <v>Philosophus poeta et politicus Romanus ultimus philosophiae classicae et primus medievalis auctor De consolatione philosophiae qui pons inter mundum antiquum et Christianum medievalem fuit</v>
      </c>
      <c r="J1406" t="str">
        <f>_xlfn.XLOOKUP(frasest[[#This Row],[author_es]],autorest[author_es],autorest[iso3691])</f>
        <v>la</v>
      </c>
      <c r="K1406" t="str">
        <f>_xlfn.XLOOKUP(frasest[[#This Row],[author_es]],autorest[author_es],autorest[language_es])</f>
        <v>Latín</v>
      </c>
      <c r="L1406" t="str">
        <f>_xlfn.XLOOKUP(frasest[[#This Row],[author_es]],autorest[author_es],autorest[language_la])</f>
        <v>Lingua Latina</v>
      </c>
      <c r="M1406" t="str">
        <f>_xlfn.XLOOKUP(frasest[[#This Row],[author_es]],autorest[author_es],autorest[nation_es])</f>
        <v>Roma</v>
      </c>
      <c r="N1406" t="str">
        <f>_xlfn.XLOOKUP(frasest[[#This Row],[author_es]],autorest[author_es],autorest[nation_la])</f>
        <v>Roma</v>
      </c>
      <c r="O1406" t="str">
        <f>_xlfn.XLOOKUP(frasest[[#This Row],[author_es]],autorest[author_es],autorest[age_es])</f>
        <v>Edad Media</v>
      </c>
      <c r="P1406" t="str">
        <f>_xlfn.XLOOKUP(frasest[[#This Row],[author_es]],autorest[author_es],autorest[age_la])</f>
        <v>Medium Aevum</v>
      </c>
      <c r="Q1406" t="str">
        <f>_xlfn.XLOOKUP(frasest[[#This Row],[author_es]],autorest[author_es],autorest[image])</f>
        <v>https://i.ibb.co/XfRSKJzS/boecio.png</v>
      </c>
      <c r="R1406">
        <f>_xlfn.XLOOKUP(frasest[[#This Row],[author_es]],autorest[author_es],autorest[image_atr])</f>
        <v>0</v>
      </c>
    </row>
    <row r="1407" spans="1:18">
      <c r="A1407">
        <v>1406</v>
      </c>
      <c r="B1407" t="s">
        <v>4368</v>
      </c>
      <c r="C1407" t="s">
        <v>4369</v>
      </c>
      <c r="D1407" t="s">
        <v>4370</v>
      </c>
      <c r="E1407" t="s">
        <v>4315</v>
      </c>
      <c r="F1407" t="s">
        <v>4316</v>
      </c>
      <c r="G1407" t="str">
        <f>_xlfn.XLOOKUP(frasest[[#This Row],[author_es]],autorest[author_es],autorest[author_la])</f>
        <v>Boethius</v>
      </c>
      <c r="H1407"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7" t="str">
        <f>_xlfn.XLOOKUP(frasest[[#This Row],[author_es]],autorest[author_es],autorest[bio_la])</f>
        <v>Philosophus poeta et politicus Romanus ultimus philosophiae classicae et primus medievalis auctor De consolatione philosophiae qui pons inter mundum antiquum et Christianum medievalem fuit</v>
      </c>
      <c r="J1407" t="str">
        <f>_xlfn.XLOOKUP(frasest[[#This Row],[author_es]],autorest[author_es],autorest[iso3691])</f>
        <v>la</v>
      </c>
      <c r="K1407" t="str">
        <f>_xlfn.XLOOKUP(frasest[[#This Row],[author_es]],autorest[author_es],autorest[language_es])</f>
        <v>Latín</v>
      </c>
      <c r="L1407" t="str">
        <f>_xlfn.XLOOKUP(frasest[[#This Row],[author_es]],autorest[author_es],autorest[language_la])</f>
        <v>Lingua Latina</v>
      </c>
      <c r="M1407" t="str">
        <f>_xlfn.XLOOKUP(frasest[[#This Row],[author_es]],autorest[author_es],autorest[nation_es])</f>
        <v>Roma</v>
      </c>
      <c r="N1407" t="str">
        <f>_xlfn.XLOOKUP(frasest[[#This Row],[author_es]],autorest[author_es],autorest[nation_la])</f>
        <v>Roma</v>
      </c>
      <c r="O1407" t="str">
        <f>_xlfn.XLOOKUP(frasest[[#This Row],[author_es]],autorest[author_es],autorest[age_es])</f>
        <v>Edad Media</v>
      </c>
      <c r="P1407" t="str">
        <f>_xlfn.XLOOKUP(frasest[[#This Row],[author_es]],autorest[author_es],autorest[age_la])</f>
        <v>Medium Aevum</v>
      </c>
      <c r="Q1407" t="str">
        <f>_xlfn.XLOOKUP(frasest[[#This Row],[author_es]],autorest[author_es],autorest[image])</f>
        <v>https://i.ibb.co/XfRSKJzS/boecio.png</v>
      </c>
      <c r="R1407">
        <f>_xlfn.XLOOKUP(frasest[[#This Row],[author_es]],autorest[author_es],autorest[image_atr])</f>
        <v>0</v>
      </c>
    </row>
    <row r="1408" spans="1:18">
      <c r="A1408">
        <v>1407</v>
      </c>
      <c r="B1408" t="s">
        <v>4371</v>
      </c>
      <c r="C1408" t="s">
        <v>4372</v>
      </c>
      <c r="D1408" t="s">
        <v>4373</v>
      </c>
      <c r="E1408" t="s">
        <v>4315</v>
      </c>
      <c r="F1408" t="s">
        <v>4316</v>
      </c>
      <c r="G1408" t="str">
        <f>_xlfn.XLOOKUP(frasest[[#This Row],[author_es]],autorest[author_es],autorest[author_la])</f>
        <v>Boethius</v>
      </c>
      <c r="H1408" t="str">
        <f>_xlfn.XLOOKUP(frasest[[#This Row],[author_es]],autorest[author_es],autorest[bio_es])</f>
        <v>Filósofo poeta y político romano último representante de la filosofía clásica y primer medieval autor de La consolación de la filosofía que sirvió de puente entre el mundo antiguo y el cristiano medieval</v>
      </c>
      <c r="I1408" t="str">
        <f>_xlfn.XLOOKUP(frasest[[#This Row],[author_es]],autorest[author_es],autorest[bio_la])</f>
        <v>Philosophus poeta et politicus Romanus ultimus philosophiae classicae et primus medievalis auctor De consolatione philosophiae qui pons inter mundum antiquum et Christianum medievalem fuit</v>
      </c>
      <c r="J1408" t="str">
        <f>_xlfn.XLOOKUP(frasest[[#This Row],[author_es]],autorest[author_es],autorest[iso3691])</f>
        <v>la</v>
      </c>
      <c r="K1408" t="str">
        <f>_xlfn.XLOOKUP(frasest[[#This Row],[author_es]],autorest[author_es],autorest[language_es])</f>
        <v>Latín</v>
      </c>
      <c r="L1408" t="str">
        <f>_xlfn.XLOOKUP(frasest[[#This Row],[author_es]],autorest[author_es],autorest[language_la])</f>
        <v>Lingua Latina</v>
      </c>
      <c r="M1408" t="str">
        <f>_xlfn.XLOOKUP(frasest[[#This Row],[author_es]],autorest[author_es],autorest[nation_es])</f>
        <v>Roma</v>
      </c>
      <c r="N1408" t="str">
        <f>_xlfn.XLOOKUP(frasest[[#This Row],[author_es]],autorest[author_es],autorest[nation_la])</f>
        <v>Roma</v>
      </c>
      <c r="O1408" t="str">
        <f>_xlfn.XLOOKUP(frasest[[#This Row],[author_es]],autorest[author_es],autorest[age_es])</f>
        <v>Edad Media</v>
      </c>
      <c r="P1408" t="str">
        <f>_xlfn.XLOOKUP(frasest[[#This Row],[author_es]],autorest[author_es],autorest[age_la])</f>
        <v>Medium Aevum</v>
      </c>
      <c r="Q1408" t="str">
        <f>_xlfn.XLOOKUP(frasest[[#This Row],[author_es]],autorest[author_es],autorest[image])</f>
        <v>https://i.ibb.co/XfRSKJzS/boecio.png</v>
      </c>
      <c r="R1408">
        <f>_xlfn.XLOOKUP(frasest[[#This Row],[author_es]],autorest[author_es],autorest[image_atr])</f>
        <v>0</v>
      </c>
    </row>
    <row r="1409" spans="1:18">
      <c r="A1409">
        <v>1408</v>
      </c>
      <c r="B1409" t="s">
        <v>4374</v>
      </c>
      <c r="C1409" t="s">
        <v>4375</v>
      </c>
      <c r="D1409" t="s">
        <v>4376</v>
      </c>
      <c r="E1409" t="s">
        <v>4377</v>
      </c>
      <c r="F1409" t="s">
        <v>4378</v>
      </c>
      <c r="G1409" t="str">
        <f>_xlfn.XLOOKUP(frasest[[#This Row],[author_es]],autorest[author_es],autorest[author_la])</f>
        <v>Ioannes Duns Scotus</v>
      </c>
      <c r="H1409"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09"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09" t="str">
        <f>_xlfn.XLOOKUP(frasest[[#This Row],[author_es]],autorest[author_es],autorest[iso3691])</f>
        <v>la</v>
      </c>
      <c r="K1409" t="str">
        <f>_xlfn.XLOOKUP(frasest[[#This Row],[author_es]],autorest[author_es],autorest[language_es])</f>
        <v>Latín</v>
      </c>
      <c r="L1409" t="str">
        <f>_xlfn.XLOOKUP(frasest[[#This Row],[author_es]],autorest[author_es],autorest[language_la])</f>
        <v>Lingua Latina</v>
      </c>
      <c r="M1409" t="str">
        <f>_xlfn.XLOOKUP(frasest[[#This Row],[author_es]],autorest[author_es],autorest[nation_es])</f>
        <v>Reino Unido</v>
      </c>
      <c r="N1409" t="str">
        <f>_xlfn.XLOOKUP(frasest[[#This Row],[author_es]],autorest[author_es],autorest[nation_la])</f>
        <v>Regnum Unitum</v>
      </c>
      <c r="O1409" t="str">
        <f>_xlfn.XLOOKUP(frasest[[#This Row],[author_es]],autorest[author_es],autorest[age_es])</f>
        <v>Edad Media</v>
      </c>
      <c r="P1409" t="str">
        <f>_xlfn.XLOOKUP(frasest[[#This Row],[author_es]],autorest[author_es],autorest[age_la])</f>
        <v>Medium Aevum</v>
      </c>
      <c r="Q1409" t="str">
        <f>_xlfn.XLOOKUP(frasest[[#This Row],[author_es]],autorest[author_es],autorest[image])</f>
        <v>https://i.ibb.co/KkCQxPT/juanduns.png</v>
      </c>
      <c r="R1409">
        <f>_xlfn.XLOOKUP(frasest[[#This Row],[author_es]],autorest[author_es],autorest[image_atr])</f>
        <v>0</v>
      </c>
    </row>
    <row r="1410" spans="1:18">
      <c r="A1410">
        <v>1409</v>
      </c>
      <c r="B1410" t="s">
        <v>4379</v>
      </c>
      <c r="C1410" t="s">
        <v>4380</v>
      </c>
      <c r="D1410" t="s">
        <v>4381</v>
      </c>
      <c r="E1410" t="s">
        <v>4377</v>
      </c>
      <c r="F1410" t="s">
        <v>4378</v>
      </c>
      <c r="G1410" t="str">
        <f>_xlfn.XLOOKUP(frasest[[#This Row],[author_es]],autorest[author_es],autorest[author_la])</f>
        <v>Ioannes Duns Scotus</v>
      </c>
      <c r="H1410"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0"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0" t="str">
        <f>_xlfn.XLOOKUP(frasest[[#This Row],[author_es]],autorest[author_es],autorest[iso3691])</f>
        <v>la</v>
      </c>
      <c r="K1410" t="str">
        <f>_xlfn.XLOOKUP(frasest[[#This Row],[author_es]],autorest[author_es],autorest[language_es])</f>
        <v>Latín</v>
      </c>
      <c r="L1410" t="str">
        <f>_xlfn.XLOOKUP(frasest[[#This Row],[author_es]],autorest[author_es],autorest[language_la])</f>
        <v>Lingua Latina</v>
      </c>
      <c r="M1410" t="str">
        <f>_xlfn.XLOOKUP(frasest[[#This Row],[author_es]],autorest[author_es],autorest[nation_es])</f>
        <v>Reino Unido</v>
      </c>
      <c r="N1410" t="str">
        <f>_xlfn.XLOOKUP(frasest[[#This Row],[author_es]],autorest[author_es],autorest[nation_la])</f>
        <v>Regnum Unitum</v>
      </c>
      <c r="O1410" t="str">
        <f>_xlfn.XLOOKUP(frasest[[#This Row],[author_es]],autorest[author_es],autorest[age_es])</f>
        <v>Edad Media</v>
      </c>
      <c r="P1410" t="str">
        <f>_xlfn.XLOOKUP(frasest[[#This Row],[author_es]],autorest[author_es],autorest[age_la])</f>
        <v>Medium Aevum</v>
      </c>
      <c r="Q1410" t="str">
        <f>_xlfn.XLOOKUP(frasest[[#This Row],[author_es]],autorest[author_es],autorest[image])</f>
        <v>https://i.ibb.co/KkCQxPT/juanduns.png</v>
      </c>
      <c r="R1410">
        <f>_xlfn.XLOOKUP(frasest[[#This Row],[author_es]],autorest[author_es],autorest[image_atr])</f>
        <v>0</v>
      </c>
    </row>
    <row r="1411" spans="1:18">
      <c r="A1411">
        <v>1410</v>
      </c>
      <c r="B1411" t="s">
        <v>4382</v>
      </c>
      <c r="C1411" t="s">
        <v>4383</v>
      </c>
      <c r="D1411" t="s">
        <v>4384</v>
      </c>
      <c r="E1411" t="s">
        <v>4377</v>
      </c>
      <c r="F1411" t="s">
        <v>4378</v>
      </c>
      <c r="G1411" t="str">
        <f>_xlfn.XLOOKUP(frasest[[#This Row],[author_es]],autorest[author_es],autorest[author_la])</f>
        <v>Ioannes Duns Scotus</v>
      </c>
      <c r="H1411"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1"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1" t="str">
        <f>_xlfn.XLOOKUP(frasest[[#This Row],[author_es]],autorest[author_es],autorest[iso3691])</f>
        <v>la</v>
      </c>
      <c r="K1411" t="str">
        <f>_xlfn.XLOOKUP(frasest[[#This Row],[author_es]],autorest[author_es],autorest[language_es])</f>
        <v>Latín</v>
      </c>
      <c r="L1411" t="str">
        <f>_xlfn.XLOOKUP(frasest[[#This Row],[author_es]],autorest[author_es],autorest[language_la])</f>
        <v>Lingua Latina</v>
      </c>
      <c r="M1411" t="str">
        <f>_xlfn.XLOOKUP(frasest[[#This Row],[author_es]],autorest[author_es],autorest[nation_es])</f>
        <v>Reino Unido</v>
      </c>
      <c r="N1411" t="str">
        <f>_xlfn.XLOOKUP(frasest[[#This Row],[author_es]],autorest[author_es],autorest[nation_la])</f>
        <v>Regnum Unitum</v>
      </c>
      <c r="O1411" t="str">
        <f>_xlfn.XLOOKUP(frasest[[#This Row],[author_es]],autorest[author_es],autorest[age_es])</f>
        <v>Edad Media</v>
      </c>
      <c r="P1411" t="str">
        <f>_xlfn.XLOOKUP(frasest[[#This Row],[author_es]],autorest[author_es],autorest[age_la])</f>
        <v>Medium Aevum</v>
      </c>
      <c r="Q1411" t="str">
        <f>_xlfn.XLOOKUP(frasest[[#This Row],[author_es]],autorest[author_es],autorest[image])</f>
        <v>https://i.ibb.co/KkCQxPT/juanduns.png</v>
      </c>
      <c r="R1411">
        <f>_xlfn.XLOOKUP(frasest[[#This Row],[author_es]],autorest[author_es],autorest[image_atr])</f>
        <v>0</v>
      </c>
    </row>
    <row r="1412" spans="1:18">
      <c r="A1412">
        <v>1411</v>
      </c>
      <c r="B1412" t="s">
        <v>4385</v>
      </c>
      <c r="C1412" t="s">
        <v>4386</v>
      </c>
      <c r="D1412" t="s">
        <v>4387</v>
      </c>
      <c r="E1412" t="s">
        <v>4377</v>
      </c>
      <c r="F1412" t="s">
        <v>4378</v>
      </c>
      <c r="G1412" t="str">
        <f>_xlfn.XLOOKUP(frasest[[#This Row],[author_es]],autorest[author_es],autorest[author_la])</f>
        <v>Ioannes Duns Scotus</v>
      </c>
      <c r="H1412"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2"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2" t="str">
        <f>_xlfn.XLOOKUP(frasest[[#This Row],[author_es]],autorest[author_es],autorest[iso3691])</f>
        <v>la</v>
      </c>
      <c r="K1412" t="str">
        <f>_xlfn.XLOOKUP(frasest[[#This Row],[author_es]],autorest[author_es],autorest[language_es])</f>
        <v>Latín</v>
      </c>
      <c r="L1412" t="str">
        <f>_xlfn.XLOOKUP(frasest[[#This Row],[author_es]],autorest[author_es],autorest[language_la])</f>
        <v>Lingua Latina</v>
      </c>
      <c r="M1412" t="str">
        <f>_xlfn.XLOOKUP(frasest[[#This Row],[author_es]],autorest[author_es],autorest[nation_es])</f>
        <v>Reino Unido</v>
      </c>
      <c r="N1412" t="str">
        <f>_xlfn.XLOOKUP(frasest[[#This Row],[author_es]],autorest[author_es],autorest[nation_la])</f>
        <v>Regnum Unitum</v>
      </c>
      <c r="O1412" t="str">
        <f>_xlfn.XLOOKUP(frasest[[#This Row],[author_es]],autorest[author_es],autorest[age_es])</f>
        <v>Edad Media</v>
      </c>
      <c r="P1412" t="str">
        <f>_xlfn.XLOOKUP(frasest[[#This Row],[author_es]],autorest[author_es],autorest[age_la])</f>
        <v>Medium Aevum</v>
      </c>
      <c r="Q1412" t="str">
        <f>_xlfn.XLOOKUP(frasest[[#This Row],[author_es]],autorest[author_es],autorest[image])</f>
        <v>https://i.ibb.co/KkCQxPT/juanduns.png</v>
      </c>
      <c r="R1412">
        <f>_xlfn.XLOOKUP(frasest[[#This Row],[author_es]],autorest[author_es],autorest[image_atr])</f>
        <v>0</v>
      </c>
    </row>
    <row r="1413" spans="1:18">
      <c r="A1413">
        <v>1412</v>
      </c>
      <c r="B1413" t="s">
        <v>4388</v>
      </c>
      <c r="C1413" t="s">
        <v>4389</v>
      </c>
      <c r="D1413" t="s">
        <v>4390</v>
      </c>
      <c r="E1413" t="s">
        <v>4377</v>
      </c>
      <c r="F1413" t="s">
        <v>4378</v>
      </c>
      <c r="G1413" t="str">
        <f>_xlfn.XLOOKUP(frasest[[#This Row],[author_es]],autorest[author_es],autorest[author_la])</f>
        <v>Ioannes Duns Scotus</v>
      </c>
      <c r="H1413"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3"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3" t="str">
        <f>_xlfn.XLOOKUP(frasest[[#This Row],[author_es]],autorest[author_es],autorest[iso3691])</f>
        <v>la</v>
      </c>
      <c r="K1413" t="str">
        <f>_xlfn.XLOOKUP(frasest[[#This Row],[author_es]],autorest[author_es],autorest[language_es])</f>
        <v>Latín</v>
      </c>
      <c r="L1413" t="str">
        <f>_xlfn.XLOOKUP(frasest[[#This Row],[author_es]],autorest[author_es],autorest[language_la])</f>
        <v>Lingua Latina</v>
      </c>
      <c r="M1413" t="str">
        <f>_xlfn.XLOOKUP(frasest[[#This Row],[author_es]],autorest[author_es],autorest[nation_es])</f>
        <v>Reino Unido</v>
      </c>
      <c r="N1413" t="str">
        <f>_xlfn.XLOOKUP(frasest[[#This Row],[author_es]],autorest[author_es],autorest[nation_la])</f>
        <v>Regnum Unitum</v>
      </c>
      <c r="O1413" t="str">
        <f>_xlfn.XLOOKUP(frasest[[#This Row],[author_es]],autorest[author_es],autorest[age_es])</f>
        <v>Edad Media</v>
      </c>
      <c r="P1413" t="str">
        <f>_xlfn.XLOOKUP(frasest[[#This Row],[author_es]],autorest[author_es],autorest[age_la])</f>
        <v>Medium Aevum</v>
      </c>
      <c r="Q1413" t="str">
        <f>_xlfn.XLOOKUP(frasest[[#This Row],[author_es]],autorest[author_es],autorest[image])</f>
        <v>https://i.ibb.co/KkCQxPT/juanduns.png</v>
      </c>
      <c r="R1413">
        <f>_xlfn.XLOOKUP(frasest[[#This Row],[author_es]],autorest[author_es],autorest[image_atr])</f>
        <v>0</v>
      </c>
    </row>
    <row r="1414" spans="1:18">
      <c r="A1414">
        <v>1413</v>
      </c>
      <c r="B1414" t="s">
        <v>4391</v>
      </c>
      <c r="C1414" t="s">
        <v>4392</v>
      </c>
      <c r="D1414" t="s">
        <v>4393</v>
      </c>
      <c r="E1414" t="s">
        <v>4377</v>
      </c>
      <c r="F1414" t="s">
        <v>4378</v>
      </c>
      <c r="G1414" t="str">
        <f>_xlfn.XLOOKUP(frasest[[#This Row],[author_es]],autorest[author_es],autorest[author_la])</f>
        <v>Ioannes Duns Scotus</v>
      </c>
      <c r="H1414"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4"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4" t="str">
        <f>_xlfn.XLOOKUP(frasest[[#This Row],[author_es]],autorest[author_es],autorest[iso3691])</f>
        <v>la</v>
      </c>
      <c r="K1414" t="str">
        <f>_xlfn.XLOOKUP(frasest[[#This Row],[author_es]],autorest[author_es],autorest[language_es])</f>
        <v>Latín</v>
      </c>
      <c r="L1414" t="str">
        <f>_xlfn.XLOOKUP(frasest[[#This Row],[author_es]],autorest[author_es],autorest[language_la])</f>
        <v>Lingua Latina</v>
      </c>
      <c r="M1414" t="str">
        <f>_xlfn.XLOOKUP(frasest[[#This Row],[author_es]],autorest[author_es],autorest[nation_es])</f>
        <v>Reino Unido</v>
      </c>
      <c r="N1414" t="str">
        <f>_xlfn.XLOOKUP(frasest[[#This Row],[author_es]],autorest[author_es],autorest[nation_la])</f>
        <v>Regnum Unitum</v>
      </c>
      <c r="O1414" t="str">
        <f>_xlfn.XLOOKUP(frasest[[#This Row],[author_es]],autorest[author_es],autorest[age_es])</f>
        <v>Edad Media</v>
      </c>
      <c r="P1414" t="str">
        <f>_xlfn.XLOOKUP(frasest[[#This Row],[author_es]],autorest[author_es],autorest[age_la])</f>
        <v>Medium Aevum</v>
      </c>
      <c r="Q1414" t="str">
        <f>_xlfn.XLOOKUP(frasest[[#This Row],[author_es]],autorest[author_es],autorest[image])</f>
        <v>https://i.ibb.co/KkCQxPT/juanduns.png</v>
      </c>
      <c r="R1414">
        <f>_xlfn.XLOOKUP(frasest[[#This Row],[author_es]],autorest[author_es],autorest[image_atr])</f>
        <v>0</v>
      </c>
    </row>
    <row r="1415" spans="1:18">
      <c r="A1415">
        <v>1414</v>
      </c>
      <c r="B1415" t="s">
        <v>4394</v>
      </c>
      <c r="C1415" t="s">
        <v>4395</v>
      </c>
      <c r="D1415" t="s">
        <v>4396</v>
      </c>
      <c r="E1415" t="s">
        <v>4377</v>
      </c>
      <c r="F1415" t="s">
        <v>4378</v>
      </c>
      <c r="G1415" t="str">
        <f>_xlfn.XLOOKUP(frasest[[#This Row],[author_es]],autorest[author_es],autorest[author_la])</f>
        <v>Ioannes Duns Scotus</v>
      </c>
      <c r="H1415"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5"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5" t="str">
        <f>_xlfn.XLOOKUP(frasest[[#This Row],[author_es]],autorest[author_es],autorest[iso3691])</f>
        <v>la</v>
      </c>
      <c r="K1415" t="str">
        <f>_xlfn.XLOOKUP(frasest[[#This Row],[author_es]],autorest[author_es],autorest[language_es])</f>
        <v>Latín</v>
      </c>
      <c r="L1415" t="str">
        <f>_xlfn.XLOOKUP(frasest[[#This Row],[author_es]],autorest[author_es],autorest[language_la])</f>
        <v>Lingua Latina</v>
      </c>
      <c r="M1415" t="str">
        <f>_xlfn.XLOOKUP(frasest[[#This Row],[author_es]],autorest[author_es],autorest[nation_es])</f>
        <v>Reino Unido</v>
      </c>
      <c r="N1415" t="str">
        <f>_xlfn.XLOOKUP(frasest[[#This Row],[author_es]],autorest[author_es],autorest[nation_la])</f>
        <v>Regnum Unitum</v>
      </c>
      <c r="O1415" t="str">
        <f>_xlfn.XLOOKUP(frasest[[#This Row],[author_es]],autorest[author_es],autorest[age_es])</f>
        <v>Edad Media</v>
      </c>
      <c r="P1415" t="str">
        <f>_xlfn.XLOOKUP(frasest[[#This Row],[author_es]],autorest[author_es],autorest[age_la])</f>
        <v>Medium Aevum</v>
      </c>
      <c r="Q1415" t="str">
        <f>_xlfn.XLOOKUP(frasest[[#This Row],[author_es]],autorest[author_es],autorest[image])</f>
        <v>https://i.ibb.co/KkCQxPT/juanduns.png</v>
      </c>
      <c r="R1415">
        <f>_xlfn.XLOOKUP(frasest[[#This Row],[author_es]],autorest[author_es],autorest[image_atr])</f>
        <v>0</v>
      </c>
    </row>
    <row r="1416" spans="1:18">
      <c r="A1416">
        <v>1415</v>
      </c>
      <c r="B1416" t="s">
        <v>4397</v>
      </c>
      <c r="C1416" t="s">
        <v>4398</v>
      </c>
      <c r="D1416" t="s">
        <v>4399</v>
      </c>
      <c r="E1416" t="s">
        <v>4377</v>
      </c>
      <c r="F1416" t="s">
        <v>4378</v>
      </c>
      <c r="G1416" t="str">
        <f>_xlfn.XLOOKUP(frasest[[#This Row],[author_es]],autorest[author_es],autorest[author_la])</f>
        <v>Ioannes Duns Scotus</v>
      </c>
      <c r="H1416"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6"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6" t="str">
        <f>_xlfn.XLOOKUP(frasest[[#This Row],[author_es]],autorest[author_es],autorest[iso3691])</f>
        <v>la</v>
      </c>
      <c r="K1416" t="str">
        <f>_xlfn.XLOOKUP(frasest[[#This Row],[author_es]],autorest[author_es],autorest[language_es])</f>
        <v>Latín</v>
      </c>
      <c r="L1416" t="str">
        <f>_xlfn.XLOOKUP(frasest[[#This Row],[author_es]],autorest[author_es],autorest[language_la])</f>
        <v>Lingua Latina</v>
      </c>
      <c r="M1416" t="str">
        <f>_xlfn.XLOOKUP(frasest[[#This Row],[author_es]],autorest[author_es],autorest[nation_es])</f>
        <v>Reino Unido</v>
      </c>
      <c r="N1416" t="str">
        <f>_xlfn.XLOOKUP(frasest[[#This Row],[author_es]],autorest[author_es],autorest[nation_la])</f>
        <v>Regnum Unitum</v>
      </c>
      <c r="O1416" t="str">
        <f>_xlfn.XLOOKUP(frasest[[#This Row],[author_es]],autorest[author_es],autorest[age_es])</f>
        <v>Edad Media</v>
      </c>
      <c r="P1416" t="str">
        <f>_xlfn.XLOOKUP(frasest[[#This Row],[author_es]],autorest[author_es],autorest[age_la])</f>
        <v>Medium Aevum</v>
      </c>
      <c r="Q1416" t="str">
        <f>_xlfn.XLOOKUP(frasest[[#This Row],[author_es]],autorest[author_es],autorest[image])</f>
        <v>https://i.ibb.co/KkCQxPT/juanduns.png</v>
      </c>
      <c r="R1416">
        <f>_xlfn.XLOOKUP(frasest[[#This Row],[author_es]],autorest[author_es],autorest[image_atr])</f>
        <v>0</v>
      </c>
    </row>
    <row r="1417" spans="1:18">
      <c r="A1417">
        <v>1416</v>
      </c>
      <c r="B1417" t="s">
        <v>4400</v>
      </c>
      <c r="C1417" t="s">
        <v>4401</v>
      </c>
      <c r="D1417" t="s">
        <v>4402</v>
      </c>
      <c r="E1417" t="s">
        <v>4377</v>
      </c>
      <c r="F1417" t="s">
        <v>4378</v>
      </c>
      <c r="G1417" t="str">
        <f>_xlfn.XLOOKUP(frasest[[#This Row],[author_es]],autorest[author_es],autorest[author_la])</f>
        <v>Ioannes Duns Scotus</v>
      </c>
      <c r="H1417"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7"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7" t="str">
        <f>_xlfn.XLOOKUP(frasest[[#This Row],[author_es]],autorest[author_es],autorest[iso3691])</f>
        <v>la</v>
      </c>
      <c r="K1417" t="str">
        <f>_xlfn.XLOOKUP(frasest[[#This Row],[author_es]],autorest[author_es],autorest[language_es])</f>
        <v>Latín</v>
      </c>
      <c r="L1417" t="str">
        <f>_xlfn.XLOOKUP(frasest[[#This Row],[author_es]],autorest[author_es],autorest[language_la])</f>
        <v>Lingua Latina</v>
      </c>
      <c r="M1417" t="str">
        <f>_xlfn.XLOOKUP(frasest[[#This Row],[author_es]],autorest[author_es],autorest[nation_es])</f>
        <v>Reino Unido</v>
      </c>
      <c r="N1417" t="str">
        <f>_xlfn.XLOOKUP(frasest[[#This Row],[author_es]],autorest[author_es],autorest[nation_la])</f>
        <v>Regnum Unitum</v>
      </c>
      <c r="O1417" t="str">
        <f>_xlfn.XLOOKUP(frasest[[#This Row],[author_es]],autorest[author_es],autorest[age_es])</f>
        <v>Edad Media</v>
      </c>
      <c r="P1417" t="str">
        <f>_xlfn.XLOOKUP(frasest[[#This Row],[author_es]],autorest[author_es],autorest[age_la])</f>
        <v>Medium Aevum</v>
      </c>
      <c r="Q1417" t="str">
        <f>_xlfn.XLOOKUP(frasest[[#This Row],[author_es]],autorest[author_es],autorest[image])</f>
        <v>https://i.ibb.co/KkCQxPT/juanduns.png</v>
      </c>
      <c r="R1417">
        <f>_xlfn.XLOOKUP(frasest[[#This Row],[author_es]],autorest[author_es],autorest[image_atr])</f>
        <v>0</v>
      </c>
    </row>
    <row r="1418" spans="1:18">
      <c r="A1418">
        <v>1417</v>
      </c>
      <c r="B1418" t="s">
        <v>4403</v>
      </c>
      <c r="C1418" t="s">
        <v>4404</v>
      </c>
      <c r="D1418" t="s">
        <v>4405</v>
      </c>
      <c r="E1418" t="s">
        <v>4377</v>
      </c>
      <c r="F1418" t="s">
        <v>4378</v>
      </c>
      <c r="G1418" t="str">
        <f>_xlfn.XLOOKUP(frasest[[#This Row],[author_es]],autorest[author_es],autorest[author_la])</f>
        <v>Ioannes Duns Scotus</v>
      </c>
      <c r="H1418"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8"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8" t="str">
        <f>_xlfn.XLOOKUP(frasest[[#This Row],[author_es]],autorest[author_es],autorest[iso3691])</f>
        <v>la</v>
      </c>
      <c r="K1418" t="str">
        <f>_xlfn.XLOOKUP(frasest[[#This Row],[author_es]],autorest[author_es],autorest[language_es])</f>
        <v>Latín</v>
      </c>
      <c r="L1418" t="str">
        <f>_xlfn.XLOOKUP(frasest[[#This Row],[author_es]],autorest[author_es],autorest[language_la])</f>
        <v>Lingua Latina</v>
      </c>
      <c r="M1418" t="str">
        <f>_xlfn.XLOOKUP(frasest[[#This Row],[author_es]],autorest[author_es],autorest[nation_es])</f>
        <v>Reino Unido</v>
      </c>
      <c r="N1418" t="str">
        <f>_xlfn.XLOOKUP(frasest[[#This Row],[author_es]],autorest[author_es],autorest[nation_la])</f>
        <v>Regnum Unitum</v>
      </c>
      <c r="O1418" t="str">
        <f>_xlfn.XLOOKUP(frasest[[#This Row],[author_es]],autorest[author_es],autorest[age_es])</f>
        <v>Edad Media</v>
      </c>
      <c r="P1418" t="str">
        <f>_xlfn.XLOOKUP(frasest[[#This Row],[author_es]],autorest[author_es],autorest[age_la])</f>
        <v>Medium Aevum</v>
      </c>
      <c r="Q1418" t="str">
        <f>_xlfn.XLOOKUP(frasest[[#This Row],[author_es]],autorest[author_es],autorest[image])</f>
        <v>https://i.ibb.co/KkCQxPT/juanduns.png</v>
      </c>
      <c r="R1418">
        <f>_xlfn.XLOOKUP(frasest[[#This Row],[author_es]],autorest[author_es],autorest[image_atr])</f>
        <v>0</v>
      </c>
    </row>
    <row r="1419" spans="1:18">
      <c r="A1419">
        <v>1418</v>
      </c>
      <c r="B1419" t="s">
        <v>4406</v>
      </c>
      <c r="C1419" t="s">
        <v>4407</v>
      </c>
      <c r="D1419" t="s">
        <v>4408</v>
      </c>
      <c r="E1419" t="s">
        <v>4377</v>
      </c>
      <c r="F1419" t="s">
        <v>4378</v>
      </c>
      <c r="G1419" t="str">
        <f>_xlfn.XLOOKUP(frasest[[#This Row],[author_es]],autorest[author_es],autorest[author_la])</f>
        <v>Ioannes Duns Scotus</v>
      </c>
      <c r="H1419"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19"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19" t="str">
        <f>_xlfn.XLOOKUP(frasest[[#This Row],[author_es]],autorest[author_es],autorest[iso3691])</f>
        <v>la</v>
      </c>
      <c r="K1419" t="str">
        <f>_xlfn.XLOOKUP(frasest[[#This Row],[author_es]],autorest[author_es],autorest[language_es])</f>
        <v>Latín</v>
      </c>
      <c r="L1419" t="str">
        <f>_xlfn.XLOOKUP(frasest[[#This Row],[author_es]],autorest[author_es],autorest[language_la])</f>
        <v>Lingua Latina</v>
      </c>
      <c r="M1419" t="str">
        <f>_xlfn.XLOOKUP(frasest[[#This Row],[author_es]],autorest[author_es],autorest[nation_es])</f>
        <v>Reino Unido</v>
      </c>
      <c r="N1419" t="str">
        <f>_xlfn.XLOOKUP(frasest[[#This Row],[author_es]],autorest[author_es],autorest[nation_la])</f>
        <v>Regnum Unitum</v>
      </c>
      <c r="O1419" t="str">
        <f>_xlfn.XLOOKUP(frasest[[#This Row],[author_es]],autorest[author_es],autorest[age_es])</f>
        <v>Edad Media</v>
      </c>
      <c r="P1419" t="str">
        <f>_xlfn.XLOOKUP(frasest[[#This Row],[author_es]],autorest[author_es],autorest[age_la])</f>
        <v>Medium Aevum</v>
      </c>
      <c r="Q1419" t="str">
        <f>_xlfn.XLOOKUP(frasest[[#This Row],[author_es]],autorest[author_es],autorest[image])</f>
        <v>https://i.ibb.co/KkCQxPT/juanduns.png</v>
      </c>
      <c r="R1419">
        <f>_xlfn.XLOOKUP(frasest[[#This Row],[author_es]],autorest[author_es],autorest[image_atr])</f>
        <v>0</v>
      </c>
    </row>
    <row r="1420" spans="1:18">
      <c r="A1420">
        <v>1419</v>
      </c>
      <c r="B1420" t="s">
        <v>4409</v>
      </c>
      <c r="C1420" t="s">
        <v>4410</v>
      </c>
      <c r="D1420" t="s">
        <v>4411</v>
      </c>
      <c r="E1420" t="s">
        <v>4377</v>
      </c>
      <c r="F1420" t="s">
        <v>4378</v>
      </c>
      <c r="G1420" t="str">
        <f>_xlfn.XLOOKUP(frasest[[#This Row],[author_es]],autorest[author_es],autorest[author_la])</f>
        <v>Ioannes Duns Scotus</v>
      </c>
      <c r="H1420"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20"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20" t="str">
        <f>_xlfn.XLOOKUP(frasest[[#This Row],[author_es]],autorest[author_es],autorest[iso3691])</f>
        <v>la</v>
      </c>
      <c r="K1420" t="str">
        <f>_xlfn.XLOOKUP(frasest[[#This Row],[author_es]],autorest[author_es],autorest[language_es])</f>
        <v>Latín</v>
      </c>
      <c r="L1420" t="str">
        <f>_xlfn.XLOOKUP(frasest[[#This Row],[author_es]],autorest[author_es],autorest[language_la])</f>
        <v>Lingua Latina</v>
      </c>
      <c r="M1420" t="str">
        <f>_xlfn.XLOOKUP(frasest[[#This Row],[author_es]],autorest[author_es],autorest[nation_es])</f>
        <v>Reino Unido</v>
      </c>
      <c r="N1420" t="str">
        <f>_xlfn.XLOOKUP(frasest[[#This Row],[author_es]],autorest[author_es],autorest[nation_la])</f>
        <v>Regnum Unitum</v>
      </c>
      <c r="O1420" t="str">
        <f>_xlfn.XLOOKUP(frasest[[#This Row],[author_es]],autorest[author_es],autorest[age_es])</f>
        <v>Edad Media</v>
      </c>
      <c r="P1420" t="str">
        <f>_xlfn.XLOOKUP(frasest[[#This Row],[author_es]],autorest[author_es],autorest[age_la])</f>
        <v>Medium Aevum</v>
      </c>
      <c r="Q1420" t="str">
        <f>_xlfn.XLOOKUP(frasest[[#This Row],[author_es]],autorest[author_es],autorest[image])</f>
        <v>https://i.ibb.co/KkCQxPT/juanduns.png</v>
      </c>
      <c r="R1420">
        <f>_xlfn.XLOOKUP(frasest[[#This Row],[author_es]],autorest[author_es],autorest[image_atr])</f>
        <v>0</v>
      </c>
    </row>
    <row r="1421" spans="1:18">
      <c r="A1421">
        <v>1420</v>
      </c>
      <c r="B1421" t="s">
        <v>4412</v>
      </c>
      <c r="C1421" t="s">
        <v>4413</v>
      </c>
      <c r="D1421" t="s">
        <v>4414</v>
      </c>
      <c r="E1421" t="s">
        <v>4377</v>
      </c>
      <c r="F1421" t="s">
        <v>4378</v>
      </c>
      <c r="G1421" t="str">
        <f>_xlfn.XLOOKUP(frasest[[#This Row],[author_es]],autorest[author_es],autorest[author_la])</f>
        <v>Ioannes Duns Scotus</v>
      </c>
      <c r="H1421" t="str">
        <f>_xlfn.XLOOKUP(frasest[[#This Row],[author_es]],autorest[author_es],autorest[bio_es])</f>
        <v>Teólogo franciscano escocés Doctor Sutil conocido por su defensa de la Inmaculada Concepción su voluntarismo y su oposición intelectual a Santo Tomás de Aquino siendo fundamental para la filosofía católica sobre la libertad y la voluntad</v>
      </c>
      <c r="I1421" t="str">
        <f>_xlfn.XLOOKUP(frasest[[#This Row],[author_es]],autorest[author_es],autorest[bio_la])</f>
        <v>Theologus Franciscanus Scoticus Doctor Subtilis notus pro defensione Immaculatae Conceptionis voluntarismo et oppositione intellectuali ad Thomam Aquinatem fundamentalis pro philosophia catholica de libertate et voluntate</v>
      </c>
      <c r="J1421" t="str">
        <f>_xlfn.XLOOKUP(frasest[[#This Row],[author_es]],autorest[author_es],autorest[iso3691])</f>
        <v>la</v>
      </c>
      <c r="K1421" t="str">
        <f>_xlfn.XLOOKUP(frasest[[#This Row],[author_es]],autorest[author_es],autorest[language_es])</f>
        <v>Latín</v>
      </c>
      <c r="L1421" t="str">
        <f>_xlfn.XLOOKUP(frasest[[#This Row],[author_es]],autorest[author_es],autorest[language_la])</f>
        <v>Lingua Latina</v>
      </c>
      <c r="M1421" t="str">
        <f>_xlfn.XLOOKUP(frasest[[#This Row],[author_es]],autorest[author_es],autorest[nation_es])</f>
        <v>Reino Unido</v>
      </c>
      <c r="N1421" t="str">
        <f>_xlfn.XLOOKUP(frasest[[#This Row],[author_es]],autorest[author_es],autorest[nation_la])</f>
        <v>Regnum Unitum</v>
      </c>
      <c r="O1421" t="str">
        <f>_xlfn.XLOOKUP(frasest[[#This Row],[author_es]],autorest[author_es],autorest[age_es])</f>
        <v>Edad Media</v>
      </c>
      <c r="P1421" t="str">
        <f>_xlfn.XLOOKUP(frasest[[#This Row],[author_es]],autorest[author_es],autorest[age_la])</f>
        <v>Medium Aevum</v>
      </c>
      <c r="Q1421" t="str">
        <f>_xlfn.XLOOKUP(frasest[[#This Row],[author_es]],autorest[author_es],autorest[image])</f>
        <v>https://i.ibb.co/KkCQxPT/juanduns.png</v>
      </c>
      <c r="R1421">
        <f>_xlfn.XLOOKUP(frasest[[#This Row],[author_es]],autorest[author_es],autorest[image_atr])</f>
        <v>0</v>
      </c>
    </row>
    <row r="1422" spans="1:18">
      <c r="A1422">
        <v>1421</v>
      </c>
      <c r="B1422" t="s">
        <v>4415</v>
      </c>
      <c r="C1422" t="s">
        <v>4416</v>
      </c>
      <c r="D1422" t="s">
        <v>4416</v>
      </c>
      <c r="E1422" t="s">
        <v>4417</v>
      </c>
      <c r="F1422" t="s">
        <v>4418</v>
      </c>
      <c r="G1422" t="str">
        <f>_xlfn.XLOOKUP(frasest[[#This Row],[author_es]],autorest[author_es],autorest[author_la])</f>
        <v>Hildegardis Bingensis</v>
      </c>
      <c r="H1422"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2"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2" t="str">
        <f>_xlfn.XLOOKUP(frasest[[#This Row],[author_es]],autorest[author_es],autorest[iso3691])</f>
        <v>la</v>
      </c>
      <c r="K1422" t="str">
        <f>_xlfn.XLOOKUP(frasest[[#This Row],[author_es]],autorest[author_es],autorest[language_es])</f>
        <v>Latín</v>
      </c>
      <c r="L1422" t="str">
        <f>_xlfn.XLOOKUP(frasest[[#This Row],[author_es]],autorest[author_es],autorest[language_la])</f>
        <v>Lingua Latina</v>
      </c>
      <c r="M1422" t="str">
        <f>_xlfn.XLOOKUP(frasest[[#This Row],[author_es]],autorest[author_es],autorest[nation_es])</f>
        <v>Alemania</v>
      </c>
      <c r="N1422" t="str">
        <f>_xlfn.XLOOKUP(frasest[[#This Row],[author_es]],autorest[author_es],autorest[nation_la])</f>
        <v>Germania</v>
      </c>
      <c r="O1422" t="str">
        <f>_xlfn.XLOOKUP(frasest[[#This Row],[author_es]],autorest[author_es],autorest[age_es])</f>
        <v>Edad Media</v>
      </c>
      <c r="P1422" t="str">
        <f>_xlfn.XLOOKUP(frasest[[#This Row],[author_es]],autorest[author_es],autorest[age_la])</f>
        <v>Medium Aevum</v>
      </c>
      <c r="Q1422" t="str">
        <f>_xlfn.XLOOKUP(frasest[[#This Row],[author_es]],autorest[author_es],autorest[image])</f>
        <v>https://i.ibb.co/6RxfDv6N/hildegarda.png</v>
      </c>
      <c r="R1422">
        <f>_xlfn.XLOOKUP(frasest[[#This Row],[author_es]],autorest[author_es],autorest[image_atr])</f>
        <v>0</v>
      </c>
    </row>
    <row r="1423" spans="1:18">
      <c r="A1423">
        <v>1422</v>
      </c>
      <c r="B1423" t="s">
        <v>4419</v>
      </c>
      <c r="C1423" t="s">
        <v>4420</v>
      </c>
      <c r="D1423" t="s">
        <v>4420</v>
      </c>
      <c r="E1423" t="s">
        <v>4417</v>
      </c>
      <c r="F1423" t="s">
        <v>4418</v>
      </c>
      <c r="G1423" t="str">
        <f>_xlfn.XLOOKUP(frasest[[#This Row],[author_es]],autorest[author_es],autorest[author_la])</f>
        <v>Hildegardis Bingensis</v>
      </c>
      <c r="H1423"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3"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3" t="str">
        <f>_xlfn.XLOOKUP(frasest[[#This Row],[author_es]],autorest[author_es],autorest[iso3691])</f>
        <v>la</v>
      </c>
      <c r="K1423" t="str">
        <f>_xlfn.XLOOKUP(frasest[[#This Row],[author_es]],autorest[author_es],autorest[language_es])</f>
        <v>Latín</v>
      </c>
      <c r="L1423" t="str">
        <f>_xlfn.XLOOKUP(frasest[[#This Row],[author_es]],autorest[author_es],autorest[language_la])</f>
        <v>Lingua Latina</v>
      </c>
      <c r="M1423" t="str">
        <f>_xlfn.XLOOKUP(frasest[[#This Row],[author_es]],autorest[author_es],autorest[nation_es])</f>
        <v>Alemania</v>
      </c>
      <c r="N1423" t="str">
        <f>_xlfn.XLOOKUP(frasest[[#This Row],[author_es]],autorest[author_es],autorest[nation_la])</f>
        <v>Germania</v>
      </c>
      <c r="O1423" t="str">
        <f>_xlfn.XLOOKUP(frasest[[#This Row],[author_es]],autorest[author_es],autorest[age_es])</f>
        <v>Edad Media</v>
      </c>
      <c r="P1423" t="str">
        <f>_xlfn.XLOOKUP(frasest[[#This Row],[author_es]],autorest[author_es],autorest[age_la])</f>
        <v>Medium Aevum</v>
      </c>
      <c r="Q1423" t="str">
        <f>_xlfn.XLOOKUP(frasest[[#This Row],[author_es]],autorest[author_es],autorest[image])</f>
        <v>https://i.ibb.co/6RxfDv6N/hildegarda.png</v>
      </c>
      <c r="R1423">
        <f>_xlfn.XLOOKUP(frasest[[#This Row],[author_es]],autorest[author_es],autorest[image_atr])</f>
        <v>0</v>
      </c>
    </row>
    <row r="1424" spans="1:18">
      <c r="A1424">
        <v>1423</v>
      </c>
      <c r="B1424" t="s">
        <v>4421</v>
      </c>
      <c r="C1424" t="s">
        <v>4422</v>
      </c>
      <c r="D1424" t="s">
        <v>4422</v>
      </c>
      <c r="E1424" t="s">
        <v>4417</v>
      </c>
      <c r="F1424" t="s">
        <v>4418</v>
      </c>
      <c r="G1424" t="str">
        <f>_xlfn.XLOOKUP(frasest[[#This Row],[author_es]],autorest[author_es],autorest[author_la])</f>
        <v>Hildegardis Bingensis</v>
      </c>
      <c r="H1424"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4"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4" t="str">
        <f>_xlfn.XLOOKUP(frasest[[#This Row],[author_es]],autorest[author_es],autorest[iso3691])</f>
        <v>la</v>
      </c>
      <c r="K1424" t="str">
        <f>_xlfn.XLOOKUP(frasest[[#This Row],[author_es]],autorest[author_es],autorest[language_es])</f>
        <v>Latín</v>
      </c>
      <c r="L1424" t="str">
        <f>_xlfn.XLOOKUP(frasest[[#This Row],[author_es]],autorest[author_es],autorest[language_la])</f>
        <v>Lingua Latina</v>
      </c>
      <c r="M1424" t="str">
        <f>_xlfn.XLOOKUP(frasest[[#This Row],[author_es]],autorest[author_es],autorest[nation_es])</f>
        <v>Alemania</v>
      </c>
      <c r="N1424" t="str">
        <f>_xlfn.XLOOKUP(frasest[[#This Row],[author_es]],autorest[author_es],autorest[nation_la])</f>
        <v>Germania</v>
      </c>
      <c r="O1424" t="str">
        <f>_xlfn.XLOOKUP(frasest[[#This Row],[author_es]],autorest[author_es],autorest[age_es])</f>
        <v>Edad Media</v>
      </c>
      <c r="P1424" t="str">
        <f>_xlfn.XLOOKUP(frasest[[#This Row],[author_es]],autorest[author_es],autorest[age_la])</f>
        <v>Medium Aevum</v>
      </c>
      <c r="Q1424" t="str">
        <f>_xlfn.XLOOKUP(frasest[[#This Row],[author_es]],autorest[author_es],autorest[image])</f>
        <v>https://i.ibb.co/6RxfDv6N/hildegarda.png</v>
      </c>
      <c r="R1424">
        <f>_xlfn.XLOOKUP(frasest[[#This Row],[author_es]],autorest[author_es],autorest[image_atr])</f>
        <v>0</v>
      </c>
    </row>
    <row r="1425" spans="1:18">
      <c r="A1425">
        <v>1424</v>
      </c>
      <c r="B1425" t="s">
        <v>4423</v>
      </c>
      <c r="C1425" t="s">
        <v>4424</v>
      </c>
      <c r="D1425" t="s">
        <v>4424</v>
      </c>
      <c r="E1425" t="s">
        <v>4417</v>
      </c>
      <c r="F1425" t="s">
        <v>4418</v>
      </c>
      <c r="G1425" t="str">
        <f>_xlfn.XLOOKUP(frasest[[#This Row],[author_es]],autorest[author_es],autorest[author_la])</f>
        <v>Hildegardis Bingensis</v>
      </c>
      <c r="H1425"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5"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5" t="str">
        <f>_xlfn.XLOOKUP(frasest[[#This Row],[author_es]],autorest[author_es],autorest[iso3691])</f>
        <v>la</v>
      </c>
      <c r="K1425" t="str">
        <f>_xlfn.XLOOKUP(frasest[[#This Row],[author_es]],autorest[author_es],autorest[language_es])</f>
        <v>Latín</v>
      </c>
      <c r="L1425" t="str">
        <f>_xlfn.XLOOKUP(frasest[[#This Row],[author_es]],autorest[author_es],autorest[language_la])</f>
        <v>Lingua Latina</v>
      </c>
      <c r="M1425" t="str">
        <f>_xlfn.XLOOKUP(frasest[[#This Row],[author_es]],autorest[author_es],autorest[nation_es])</f>
        <v>Alemania</v>
      </c>
      <c r="N1425" t="str">
        <f>_xlfn.XLOOKUP(frasest[[#This Row],[author_es]],autorest[author_es],autorest[nation_la])</f>
        <v>Germania</v>
      </c>
      <c r="O1425" t="str">
        <f>_xlfn.XLOOKUP(frasest[[#This Row],[author_es]],autorest[author_es],autorest[age_es])</f>
        <v>Edad Media</v>
      </c>
      <c r="P1425" t="str">
        <f>_xlfn.XLOOKUP(frasest[[#This Row],[author_es]],autorest[author_es],autorest[age_la])</f>
        <v>Medium Aevum</v>
      </c>
      <c r="Q1425" t="str">
        <f>_xlfn.XLOOKUP(frasest[[#This Row],[author_es]],autorest[author_es],autorest[image])</f>
        <v>https://i.ibb.co/6RxfDv6N/hildegarda.png</v>
      </c>
      <c r="R1425">
        <f>_xlfn.XLOOKUP(frasest[[#This Row],[author_es]],autorest[author_es],autorest[image_atr])</f>
        <v>0</v>
      </c>
    </row>
    <row r="1426" spans="1:18">
      <c r="A1426">
        <v>1425</v>
      </c>
      <c r="B1426" t="s">
        <v>4425</v>
      </c>
      <c r="C1426" t="s">
        <v>4426</v>
      </c>
      <c r="D1426" t="s">
        <v>4426</v>
      </c>
      <c r="E1426" t="s">
        <v>4417</v>
      </c>
      <c r="F1426" t="s">
        <v>4418</v>
      </c>
      <c r="G1426" t="str">
        <f>_xlfn.XLOOKUP(frasest[[#This Row],[author_es]],autorest[author_es],autorest[author_la])</f>
        <v>Hildegardis Bingensis</v>
      </c>
      <c r="H1426"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6"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6" t="str">
        <f>_xlfn.XLOOKUP(frasest[[#This Row],[author_es]],autorest[author_es],autorest[iso3691])</f>
        <v>la</v>
      </c>
      <c r="K1426" t="str">
        <f>_xlfn.XLOOKUP(frasest[[#This Row],[author_es]],autorest[author_es],autorest[language_es])</f>
        <v>Latín</v>
      </c>
      <c r="L1426" t="str">
        <f>_xlfn.XLOOKUP(frasest[[#This Row],[author_es]],autorest[author_es],autorest[language_la])</f>
        <v>Lingua Latina</v>
      </c>
      <c r="M1426" t="str">
        <f>_xlfn.XLOOKUP(frasest[[#This Row],[author_es]],autorest[author_es],autorest[nation_es])</f>
        <v>Alemania</v>
      </c>
      <c r="N1426" t="str">
        <f>_xlfn.XLOOKUP(frasest[[#This Row],[author_es]],autorest[author_es],autorest[nation_la])</f>
        <v>Germania</v>
      </c>
      <c r="O1426" t="str">
        <f>_xlfn.XLOOKUP(frasest[[#This Row],[author_es]],autorest[author_es],autorest[age_es])</f>
        <v>Edad Media</v>
      </c>
      <c r="P1426" t="str">
        <f>_xlfn.XLOOKUP(frasest[[#This Row],[author_es]],autorest[author_es],autorest[age_la])</f>
        <v>Medium Aevum</v>
      </c>
      <c r="Q1426" t="str">
        <f>_xlfn.XLOOKUP(frasest[[#This Row],[author_es]],autorest[author_es],autorest[image])</f>
        <v>https://i.ibb.co/6RxfDv6N/hildegarda.png</v>
      </c>
      <c r="R1426">
        <f>_xlfn.XLOOKUP(frasest[[#This Row],[author_es]],autorest[author_es],autorest[image_atr])</f>
        <v>0</v>
      </c>
    </row>
    <row r="1427" spans="1:18">
      <c r="A1427">
        <v>1426</v>
      </c>
      <c r="B1427" t="s">
        <v>4427</v>
      </c>
      <c r="C1427" t="s">
        <v>4428</v>
      </c>
      <c r="D1427" t="s">
        <v>4428</v>
      </c>
      <c r="E1427" t="s">
        <v>4417</v>
      </c>
      <c r="F1427" t="s">
        <v>4418</v>
      </c>
      <c r="G1427" t="str">
        <f>_xlfn.XLOOKUP(frasest[[#This Row],[author_es]],autorest[author_es],autorest[author_la])</f>
        <v>Hildegardis Bingensis</v>
      </c>
      <c r="H1427"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7"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7" t="str">
        <f>_xlfn.XLOOKUP(frasest[[#This Row],[author_es]],autorest[author_es],autorest[iso3691])</f>
        <v>la</v>
      </c>
      <c r="K1427" t="str">
        <f>_xlfn.XLOOKUP(frasest[[#This Row],[author_es]],autorest[author_es],autorest[language_es])</f>
        <v>Latín</v>
      </c>
      <c r="L1427" t="str">
        <f>_xlfn.XLOOKUP(frasest[[#This Row],[author_es]],autorest[author_es],autorest[language_la])</f>
        <v>Lingua Latina</v>
      </c>
      <c r="M1427" t="str">
        <f>_xlfn.XLOOKUP(frasest[[#This Row],[author_es]],autorest[author_es],autorest[nation_es])</f>
        <v>Alemania</v>
      </c>
      <c r="N1427" t="str">
        <f>_xlfn.XLOOKUP(frasest[[#This Row],[author_es]],autorest[author_es],autorest[nation_la])</f>
        <v>Germania</v>
      </c>
      <c r="O1427" t="str">
        <f>_xlfn.XLOOKUP(frasest[[#This Row],[author_es]],autorest[author_es],autorest[age_es])</f>
        <v>Edad Media</v>
      </c>
      <c r="P1427" t="str">
        <f>_xlfn.XLOOKUP(frasest[[#This Row],[author_es]],autorest[author_es],autorest[age_la])</f>
        <v>Medium Aevum</v>
      </c>
      <c r="Q1427" t="str">
        <f>_xlfn.XLOOKUP(frasest[[#This Row],[author_es]],autorest[author_es],autorest[image])</f>
        <v>https://i.ibb.co/6RxfDv6N/hildegarda.png</v>
      </c>
      <c r="R1427">
        <f>_xlfn.XLOOKUP(frasest[[#This Row],[author_es]],autorest[author_es],autorest[image_atr])</f>
        <v>0</v>
      </c>
    </row>
    <row r="1428" spans="1:18">
      <c r="A1428">
        <v>1427</v>
      </c>
      <c r="B1428" t="s">
        <v>4429</v>
      </c>
      <c r="C1428" t="s">
        <v>4430</v>
      </c>
      <c r="D1428" t="s">
        <v>4430</v>
      </c>
      <c r="E1428" t="s">
        <v>4417</v>
      </c>
      <c r="F1428" t="s">
        <v>4418</v>
      </c>
      <c r="G1428" t="str">
        <f>_xlfn.XLOOKUP(frasest[[#This Row],[author_es]],autorest[author_es],autorest[author_la])</f>
        <v>Hildegardis Bingensis</v>
      </c>
      <c r="H1428"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8"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8" t="str">
        <f>_xlfn.XLOOKUP(frasest[[#This Row],[author_es]],autorest[author_es],autorest[iso3691])</f>
        <v>la</v>
      </c>
      <c r="K1428" t="str">
        <f>_xlfn.XLOOKUP(frasest[[#This Row],[author_es]],autorest[author_es],autorest[language_es])</f>
        <v>Latín</v>
      </c>
      <c r="L1428" t="str">
        <f>_xlfn.XLOOKUP(frasest[[#This Row],[author_es]],autorest[author_es],autorest[language_la])</f>
        <v>Lingua Latina</v>
      </c>
      <c r="M1428" t="str">
        <f>_xlfn.XLOOKUP(frasest[[#This Row],[author_es]],autorest[author_es],autorest[nation_es])</f>
        <v>Alemania</v>
      </c>
      <c r="N1428" t="str">
        <f>_xlfn.XLOOKUP(frasest[[#This Row],[author_es]],autorest[author_es],autorest[nation_la])</f>
        <v>Germania</v>
      </c>
      <c r="O1428" t="str">
        <f>_xlfn.XLOOKUP(frasest[[#This Row],[author_es]],autorest[author_es],autorest[age_es])</f>
        <v>Edad Media</v>
      </c>
      <c r="P1428" t="str">
        <f>_xlfn.XLOOKUP(frasest[[#This Row],[author_es]],autorest[author_es],autorest[age_la])</f>
        <v>Medium Aevum</v>
      </c>
      <c r="Q1428" t="str">
        <f>_xlfn.XLOOKUP(frasest[[#This Row],[author_es]],autorest[author_es],autorest[image])</f>
        <v>https://i.ibb.co/6RxfDv6N/hildegarda.png</v>
      </c>
      <c r="R1428">
        <f>_xlfn.XLOOKUP(frasest[[#This Row],[author_es]],autorest[author_es],autorest[image_atr])</f>
        <v>0</v>
      </c>
    </row>
    <row r="1429" spans="1:18">
      <c r="A1429">
        <v>1428</v>
      </c>
      <c r="B1429" t="s">
        <v>4431</v>
      </c>
      <c r="C1429" t="s">
        <v>4432</v>
      </c>
      <c r="D1429" t="s">
        <v>4432</v>
      </c>
      <c r="E1429" t="s">
        <v>4417</v>
      </c>
      <c r="F1429" t="s">
        <v>4418</v>
      </c>
      <c r="G1429" t="str">
        <f>_xlfn.XLOOKUP(frasest[[#This Row],[author_es]],autorest[author_es],autorest[author_la])</f>
        <v>Hildegardis Bingensis</v>
      </c>
      <c r="H1429"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29"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29" t="str">
        <f>_xlfn.XLOOKUP(frasest[[#This Row],[author_es]],autorest[author_es],autorest[iso3691])</f>
        <v>la</v>
      </c>
      <c r="K1429" t="str">
        <f>_xlfn.XLOOKUP(frasest[[#This Row],[author_es]],autorest[author_es],autorest[language_es])</f>
        <v>Latín</v>
      </c>
      <c r="L1429" t="str">
        <f>_xlfn.XLOOKUP(frasest[[#This Row],[author_es]],autorest[author_es],autorest[language_la])</f>
        <v>Lingua Latina</v>
      </c>
      <c r="M1429" t="str">
        <f>_xlfn.XLOOKUP(frasest[[#This Row],[author_es]],autorest[author_es],autorest[nation_es])</f>
        <v>Alemania</v>
      </c>
      <c r="N1429" t="str">
        <f>_xlfn.XLOOKUP(frasest[[#This Row],[author_es]],autorest[author_es],autorest[nation_la])</f>
        <v>Germania</v>
      </c>
      <c r="O1429" t="str">
        <f>_xlfn.XLOOKUP(frasest[[#This Row],[author_es]],autorest[author_es],autorest[age_es])</f>
        <v>Edad Media</v>
      </c>
      <c r="P1429" t="str">
        <f>_xlfn.XLOOKUP(frasest[[#This Row],[author_es]],autorest[author_es],autorest[age_la])</f>
        <v>Medium Aevum</v>
      </c>
      <c r="Q1429" t="str">
        <f>_xlfn.XLOOKUP(frasest[[#This Row],[author_es]],autorest[author_es],autorest[image])</f>
        <v>https://i.ibb.co/6RxfDv6N/hildegarda.png</v>
      </c>
      <c r="R1429">
        <f>_xlfn.XLOOKUP(frasest[[#This Row],[author_es]],autorest[author_es],autorest[image_atr])</f>
        <v>0</v>
      </c>
    </row>
    <row r="1430" spans="1:18">
      <c r="A1430">
        <v>1429</v>
      </c>
      <c r="B1430" t="s">
        <v>4433</v>
      </c>
      <c r="C1430" t="s">
        <v>4434</v>
      </c>
      <c r="D1430" t="s">
        <v>4434</v>
      </c>
      <c r="E1430" t="s">
        <v>4417</v>
      </c>
      <c r="F1430" t="s">
        <v>4418</v>
      </c>
      <c r="G1430" t="str">
        <f>_xlfn.XLOOKUP(frasest[[#This Row],[author_es]],autorest[author_es],autorest[author_la])</f>
        <v>Hildegardis Bingensis</v>
      </c>
      <c r="H1430"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0"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0" t="str">
        <f>_xlfn.XLOOKUP(frasest[[#This Row],[author_es]],autorest[author_es],autorest[iso3691])</f>
        <v>la</v>
      </c>
      <c r="K1430" t="str">
        <f>_xlfn.XLOOKUP(frasest[[#This Row],[author_es]],autorest[author_es],autorest[language_es])</f>
        <v>Latín</v>
      </c>
      <c r="L1430" t="str">
        <f>_xlfn.XLOOKUP(frasest[[#This Row],[author_es]],autorest[author_es],autorest[language_la])</f>
        <v>Lingua Latina</v>
      </c>
      <c r="M1430" t="str">
        <f>_xlfn.XLOOKUP(frasest[[#This Row],[author_es]],autorest[author_es],autorest[nation_es])</f>
        <v>Alemania</v>
      </c>
      <c r="N1430" t="str">
        <f>_xlfn.XLOOKUP(frasest[[#This Row],[author_es]],autorest[author_es],autorest[nation_la])</f>
        <v>Germania</v>
      </c>
      <c r="O1430" t="str">
        <f>_xlfn.XLOOKUP(frasest[[#This Row],[author_es]],autorest[author_es],autorest[age_es])</f>
        <v>Edad Media</v>
      </c>
      <c r="P1430" t="str">
        <f>_xlfn.XLOOKUP(frasest[[#This Row],[author_es]],autorest[author_es],autorest[age_la])</f>
        <v>Medium Aevum</v>
      </c>
      <c r="Q1430" t="str">
        <f>_xlfn.XLOOKUP(frasest[[#This Row],[author_es]],autorest[author_es],autorest[image])</f>
        <v>https://i.ibb.co/6RxfDv6N/hildegarda.png</v>
      </c>
      <c r="R1430">
        <f>_xlfn.XLOOKUP(frasest[[#This Row],[author_es]],autorest[author_es],autorest[image_atr])</f>
        <v>0</v>
      </c>
    </row>
    <row r="1431" spans="1:18">
      <c r="A1431">
        <v>1430</v>
      </c>
      <c r="B1431" t="s">
        <v>4435</v>
      </c>
      <c r="C1431" t="s">
        <v>4436</v>
      </c>
      <c r="D1431" t="s">
        <v>4436</v>
      </c>
      <c r="E1431" t="s">
        <v>4417</v>
      </c>
      <c r="F1431" t="s">
        <v>4418</v>
      </c>
      <c r="G1431" t="str">
        <f>_xlfn.XLOOKUP(frasest[[#This Row],[author_es]],autorest[author_es],autorest[author_la])</f>
        <v>Hildegardis Bingensis</v>
      </c>
      <c r="H1431"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1"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1" t="str">
        <f>_xlfn.XLOOKUP(frasest[[#This Row],[author_es]],autorest[author_es],autorest[iso3691])</f>
        <v>la</v>
      </c>
      <c r="K1431" t="str">
        <f>_xlfn.XLOOKUP(frasest[[#This Row],[author_es]],autorest[author_es],autorest[language_es])</f>
        <v>Latín</v>
      </c>
      <c r="L1431" t="str">
        <f>_xlfn.XLOOKUP(frasest[[#This Row],[author_es]],autorest[author_es],autorest[language_la])</f>
        <v>Lingua Latina</v>
      </c>
      <c r="M1431" t="str">
        <f>_xlfn.XLOOKUP(frasest[[#This Row],[author_es]],autorest[author_es],autorest[nation_es])</f>
        <v>Alemania</v>
      </c>
      <c r="N1431" t="str">
        <f>_xlfn.XLOOKUP(frasest[[#This Row],[author_es]],autorest[author_es],autorest[nation_la])</f>
        <v>Germania</v>
      </c>
      <c r="O1431" t="str">
        <f>_xlfn.XLOOKUP(frasest[[#This Row],[author_es]],autorest[author_es],autorest[age_es])</f>
        <v>Edad Media</v>
      </c>
      <c r="P1431" t="str">
        <f>_xlfn.XLOOKUP(frasest[[#This Row],[author_es]],autorest[author_es],autorest[age_la])</f>
        <v>Medium Aevum</v>
      </c>
      <c r="Q1431" t="str">
        <f>_xlfn.XLOOKUP(frasest[[#This Row],[author_es]],autorest[author_es],autorest[image])</f>
        <v>https://i.ibb.co/6RxfDv6N/hildegarda.png</v>
      </c>
      <c r="R1431">
        <f>_xlfn.XLOOKUP(frasest[[#This Row],[author_es]],autorest[author_es],autorest[image_atr])</f>
        <v>0</v>
      </c>
    </row>
    <row r="1432" spans="1:18">
      <c r="A1432">
        <v>1431</v>
      </c>
      <c r="B1432" t="s">
        <v>4437</v>
      </c>
      <c r="C1432" t="s">
        <v>4438</v>
      </c>
      <c r="D1432" t="s">
        <v>4438</v>
      </c>
      <c r="E1432" t="s">
        <v>4417</v>
      </c>
      <c r="F1432" t="s">
        <v>4418</v>
      </c>
      <c r="G1432" t="str">
        <f>_xlfn.XLOOKUP(frasest[[#This Row],[author_es]],autorest[author_es],autorest[author_la])</f>
        <v>Hildegardis Bingensis</v>
      </c>
      <c r="H1432"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2"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2" t="str">
        <f>_xlfn.XLOOKUP(frasest[[#This Row],[author_es]],autorest[author_es],autorest[iso3691])</f>
        <v>la</v>
      </c>
      <c r="K1432" t="str">
        <f>_xlfn.XLOOKUP(frasest[[#This Row],[author_es]],autorest[author_es],autorest[language_es])</f>
        <v>Latín</v>
      </c>
      <c r="L1432" t="str">
        <f>_xlfn.XLOOKUP(frasest[[#This Row],[author_es]],autorest[author_es],autorest[language_la])</f>
        <v>Lingua Latina</v>
      </c>
      <c r="M1432" t="str">
        <f>_xlfn.XLOOKUP(frasest[[#This Row],[author_es]],autorest[author_es],autorest[nation_es])</f>
        <v>Alemania</v>
      </c>
      <c r="N1432" t="str">
        <f>_xlfn.XLOOKUP(frasest[[#This Row],[author_es]],autorest[author_es],autorest[nation_la])</f>
        <v>Germania</v>
      </c>
      <c r="O1432" t="str">
        <f>_xlfn.XLOOKUP(frasest[[#This Row],[author_es]],autorest[author_es],autorest[age_es])</f>
        <v>Edad Media</v>
      </c>
      <c r="P1432" t="str">
        <f>_xlfn.XLOOKUP(frasest[[#This Row],[author_es]],autorest[author_es],autorest[age_la])</f>
        <v>Medium Aevum</v>
      </c>
      <c r="Q1432" t="str">
        <f>_xlfn.XLOOKUP(frasest[[#This Row],[author_es]],autorest[author_es],autorest[image])</f>
        <v>https://i.ibb.co/6RxfDv6N/hildegarda.png</v>
      </c>
      <c r="R1432">
        <f>_xlfn.XLOOKUP(frasest[[#This Row],[author_es]],autorest[author_es],autorest[image_atr])</f>
        <v>0</v>
      </c>
    </row>
    <row r="1433" spans="1:18">
      <c r="A1433">
        <v>1432</v>
      </c>
      <c r="B1433" t="s">
        <v>4439</v>
      </c>
      <c r="C1433" t="s">
        <v>4440</v>
      </c>
      <c r="D1433" t="s">
        <v>4440</v>
      </c>
      <c r="E1433" t="s">
        <v>4417</v>
      </c>
      <c r="F1433" t="s">
        <v>4418</v>
      </c>
      <c r="G1433" t="str">
        <f>_xlfn.XLOOKUP(frasest[[#This Row],[author_es]],autorest[author_es],autorest[author_la])</f>
        <v>Hildegardis Bingensis</v>
      </c>
      <c r="H1433" t="str">
        <f>_xlfn.XLOOKUP(frasest[[#This Row],[author_es]],autorest[author_es],autorest[bio_es])</f>
        <v>Abadesa benedictina alemana mística visionaria compositora escritora médica y naturalista conocida como la Sibila del Rin que escribió sobre teología medicina botánica y la conexión espiritual entre el hombre y el cosmos</v>
      </c>
      <c r="I1433" t="str">
        <f>_xlfn.XLOOKUP(frasest[[#This Row],[author_es]],autorest[author_es],autorest[bio_la])</f>
        <v>Abbatissa Benedictina Germanica mystica visionaria compositrix scriptrix medica et naturalista cognita ut Sibylla Rheni quae de theologia medicina botanica et connexione spirituali inter hominem et cosmum scripsit</v>
      </c>
      <c r="J1433" t="str">
        <f>_xlfn.XLOOKUP(frasest[[#This Row],[author_es]],autorest[author_es],autorest[iso3691])</f>
        <v>la</v>
      </c>
      <c r="K1433" t="str">
        <f>_xlfn.XLOOKUP(frasest[[#This Row],[author_es]],autorest[author_es],autorest[language_es])</f>
        <v>Latín</v>
      </c>
      <c r="L1433" t="str">
        <f>_xlfn.XLOOKUP(frasest[[#This Row],[author_es]],autorest[author_es],autorest[language_la])</f>
        <v>Lingua Latina</v>
      </c>
      <c r="M1433" t="str">
        <f>_xlfn.XLOOKUP(frasest[[#This Row],[author_es]],autorest[author_es],autorest[nation_es])</f>
        <v>Alemania</v>
      </c>
      <c r="N1433" t="str">
        <f>_xlfn.XLOOKUP(frasest[[#This Row],[author_es]],autorest[author_es],autorest[nation_la])</f>
        <v>Germania</v>
      </c>
      <c r="O1433" t="str">
        <f>_xlfn.XLOOKUP(frasest[[#This Row],[author_es]],autorest[author_es],autorest[age_es])</f>
        <v>Edad Media</v>
      </c>
      <c r="P1433" t="str">
        <f>_xlfn.XLOOKUP(frasest[[#This Row],[author_es]],autorest[author_es],autorest[age_la])</f>
        <v>Medium Aevum</v>
      </c>
      <c r="Q1433" t="str">
        <f>_xlfn.XLOOKUP(frasest[[#This Row],[author_es]],autorest[author_es],autorest[image])</f>
        <v>https://i.ibb.co/6RxfDv6N/hildegarda.png</v>
      </c>
      <c r="R1433">
        <f>_xlfn.XLOOKUP(frasest[[#This Row],[author_es]],autorest[author_es],autorest[image_atr])</f>
        <v>0</v>
      </c>
    </row>
    <row r="1434" spans="1:18">
      <c r="A1434">
        <v>1433</v>
      </c>
      <c r="B1434" t="s">
        <v>4441</v>
      </c>
      <c r="C1434" t="s">
        <v>4442</v>
      </c>
      <c r="D1434" t="s">
        <v>4442</v>
      </c>
      <c r="E1434" t="s">
        <v>4443</v>
      </c>
      <c r="F1434" t="s">
        <v>4444</v>
      </c>
      <c r="G1434" t="str">
        <f>_xlfn.XLOOKUP(frasest[[#This Row],[author_es]],autorest[author_es],autorest[author_la])</f>
        <v>Magister Eckhart</v>
      </c>
      <c r="H1434"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4" t="str">
        <f>_xlfn.XLOOKUP(frasest[[#This Row],[author_es]],autorest[author_es],autorest[bio_la])</f>
        <v>Theologus et mysticus Dominicanus Germanicus fundator mysticae Rhenanae notus pro sermonibus paradoxis de detractione unione cum Deo et praesentia divina in anima magister theologiae Parisiis</v>
      </c>
      <c r="J1434" t="str">
        <f>_xlfn.XLOOKUP(frasest[[#This Row],[author_es]],autorest[author_es],autorest[iso3691])</f>
        <v>la</v>
      </c>
      <c r="K1434" t="str">
        <f>_xlfn.XLOOKUP(frasest[[#This Row],[author_es]],autorest[author_es],autorest[language_es])</f>
        <v>Latín</v>
      </c>
      <c r="L1434" t="str">
        <f>_xlfn.XLOOKUP(frasest[[#This Row],[author_es]],autorest[author_es],autorest[language_la])</f>
        <v>Lingua Latina</v>
      </c>
      <c r="M1434" t="str">
        <f>_xlfn.XLOOKUP(frasest[[#This Row],[author_es]],autorest[author_es],autorest[nation_es])</f>
        <v>Alemania</v>
      </c>
      <c r="N1434" t="str">
        <f>_xlfn.XLOOKUP(frasest[[#This Row],[author_es]],autorest[author_es],autorest[nation_la])</f>
        <v>Germania</v>
      </c>
      <c r="O1434" t="str">
        <f>_xlfn.XLOOKUP(frasest[[#This Row],[author_es]],autorest[author_es],autorest[age_es])</f>
        <v>Edad Media</v>
      </c>
      <c r="P1434" t="str">
        <f>_xlfn.XLOOKUP(frasest[[#This Row],[author_es]],autorest[author_es],autorest[age_la])</f>
        <v>Medium Aevum</v>
      </c>
      <c r="Q1434" t="str">
        <f>_xlfn.XLOOKUP(frasest[[#This Row],[author_es]],autorest[author_es],autorest[image])</f>
        <v>https://i.ibb.co/WCsSjKp/eckhart.png</v>
      </c>
      <c r="R1434">
        <f>_xlfn.XLOOKUP(frasest[[#This Row],[author_es]],autorest[author_es],autorest[image_atr])</f>
        <v>0</v>
      </c>
    </row>
    <row r="1435" spans="1:18">
      <c r="A1435">
        <v>1434</v>
      </c>
      <c r="B1435" t="s">
        <v>4445</v>
      </c>
      <c r="C1435" t="s">
        <v>4446</v>
      </c>
      <c r="D1435" t="s">
        <v>4446</v>
      </c>
      <c r="E1435" t="s">
        <v>4443</v>
      </c>
      <c r="F1435" t="s">
        <v>4444</v>
      </c>
      <c r="G1435" t="str">
        <f>_xlfn.XLOOKUP(frasest[[#This Row],[author_es]],autorest[author_es],autorest[author_la])</f>
        <v>Magister Eckhart</v>
      </c>
      <c r="H1435"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5" t="str">
        <f>_xlfn.XLOOKUP(frasest[[#This Row],[author_es]],autorest[author_es],autorest[bio_la])</f>
        <v>Theologus et mysticus Dominicanus Germanicus fundator mysticae Rhenanae notus pro sermonibus paradoxis de detractione unione cum Deo et praesentia divina in anima magister theologiae Parisiis</v>
      </c>
      <c r="J1435" t="str">
        <f>_xlfn.XLOOKUP(frasest[[#This Row],[author_es]],autorest[author_es],autorest[iso3691])</f>
        <v>la</v>
      </c>
      <c r="K1435" t="str">
        <f>_xlfn.XLOOKUP(frasest[[#This Row],[author_es]],autorest[author_es],autorest[language_es])</f>
        <v>Latín</v>
      </c>
      <c r="L1435" t="str">
        <f>_xlfn.XLOOKUP(frasest[[#This Row],[author_es]],autorest[author_es],autorest[language_la])</f>
        <v>Lingua Latina</v>
      </c>
      <c r="M1435" t="str">
        <f>_xlfn.XLOOKUP(frasest[[#This Row],[author_es]],autorest[author_es],autorest[nation_es])</f>
        <v>Alemania</v>
      </c>
      <c r="N1435" t="str">
        <f>_xlfn.XLOOKUP(frasest[[#This Row],[author_es]],autorest[author_es],autorest[nation_la])</f>
        <v>Germania</v>
      </c>
      <c r="O1435" t="str">
        <f>_xlfn.XLOOKUP(frasest[[#This Row],[author_es]],autorest[author_es],autorest[age_es])</f>
        <v>Edad Media</v>
      </c>
      <c r="P1435" t="str">
        <f>_xlfn.XLOOKUP(frasest[[#This Row],[author_es]],autorest[author_es],autorest[age_la])</f>
        <v>Medium Aevum</v>
      </c>
      <c r="Q1435" t="str">
        <f>_xlfn.XLOOKUP(frasest[[#This Row],[author_es]],autorest[author_es],autorest[image])</f>
        <v>https://i.ibb.co/WCsSjKp/eckhart.png</v>
      </c>
      <c r="R1435">
        <f>_xlfn.XLOOKUP(frasest[[#This Row],[author_es]],autorest[author_es],autorest[image_atr])</f>
        <v>0</v>
      </c>
    </row>
    <row r="1436" spans="1:18">
      <c r="A1436">
        <v>1435</v>
      </c>
      <c r="B1436" t="s">
        <v>4447</v>
      </c>
      <c r="C1436" t="s">
        <v>4448</v>
      </c>
      <c r="D1436" t="s">
        <v>4448</v>
      </c>
      <c r="E1436" t="s">
        <v>4443</v>
      </c>
      <c r="F1436" t="s">
        <v>4444</v>
      </c>
      <c r="G1436" t="str">
        <f>_xlfn.XLOOKUP(frasest[[#This Row],[author_es]],autorest[author_es],autorest[author_la])</f>
        <v>Magister Eckhart</v>
      </c>
      <c r="H1436"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6" t="str">
        <f>_xlfn.XLOOKUP(frasest[[#This Row],[author_es]],autorest[author_es],autorest[bio_la])</f>
        <v>Theologus et mysticus Dominicanus Germanicus fundator mysticae Rhenanae notus pro sermonibus paradoxis de detractione unione cum Deo et praesentia divina in anima magister theologiae Parisiis</v>
      </c>
      <c r="J1436" t="str">
        <f>_xlfn.XLOOKUP(frasest[[#This Row],[author_es]],autorest[author_es],autorest[iso3691])</f>
        <v>la</v>
      </c>
      <c r="K1436" t="str">
        <f>_xlfn.XLOOKUP(frasest[[#This Row],[author_es]],autorest[author_es],autorest[language_es])</f>
        <v>Latín</v>
      </c>
      <c r="L1436" t="str">
        <f>_xlfn.XLOOKUP(frasest[[#This Row],[author_es]],autorest[author_es],autorest[language_la])</f>
        <v>Lingua Latina</v>
      </c>
      <c r="M1436" t="str">
        <f>_xlfn.XLOOKUP(frasest[[#This Row],[author_es]],autorest[author_es],autorest[nation_es])</f>
        <v>Alemania</v>
      </c>
      <c r="N1436" t="str">
        <f>_xlfn.XLOOKUP(frasest[[#This Row],[author_es]],autorest[author_es],autorest[nation_la])</f>
        <v>Germania</v>
      </c>
      <c r="O1436" t="str">
        <f>_xlfn.XLOOKUP(frasest[[#This Row],[author_es]],autorest[author_es],autorest[age_es])</f>
        <v>Edad Media</v>
      </c>
      <c r="P1436" t="str">
        <f>_xlfn.XLOOKUP(frasest[[#This Row],[author_es]],autorest[author_es],autorest[age_la])</f>
        <v>Medium Aevum</v>
      </c>
      <c r="Q1436" t="str">
        <f>_xlfn.XLOOKUP(frasest[[#This Row],[author_es]],autorest[author_es],autorest[image])</f>
        <v>https://i.ibb.co/WCsSjKp/eckhart.png</v>
      </c>
      <c r="R1436">
        <f>_xlfn.XLOOKUP(frasest[[#This Row],[author_es]],autorest[author_es],autorest[image_atr])</f>
        <v>0</v>
      </c>
    </row>
    <row r="1437" spans="1:18">
      <c r="A1437">
        <v>1436</v>
      </c>
      <c r="B1437" t="s">
        <v>4449</v>
      </c>
      <c r="C1437" t="s">
        <v>4450</v>
      </c>
      <c r="D1437" t="s">
        <v>4450</v>
      </c>
      <c r="E1437" t="s">
        <v>4443</v>
      </c>
      <c r="F1437" t="s">
        <v>4444</v>
      </c>
      <c r="G1437" t="str">
        <f>_xlfn.XLOOKUP(frasest[[#This Row],[author_es]],autorest[author_es],autorest[author_la])</f>
        <v>Magister Eckhart</v>
      </c>
      <c r="H1437"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7" t="str">
        <f>_xlfn.XLOOKUP(frasest[[#This Row],[author_es]],autorest[author_es],autorest[bio_la])</f>
        <v>Theologus et mysticus Dominicanus Germanicus fundator mysticae Rhenanae notus pro sermonibus paradoxis de detractione unione cum Deo et praesentia divina in anima magister theologiae Parisiis</v>
      </c>
      <c r="J1437" t="str">
        <f>_xlfn.XLOOKUP(frasest[[#This Row],[author_es]],autorest[author_es],autorest[iso3691])</f>
        <v>la</v>
      </c>
      <c r="K1437" t="str">
        <f>_xlfn.XLOOKUP(frasest[[#This Row],[author_es]],autorest[author_es],autorest[language_es])</f>
        <v>Latín</v>
      </c>
      <c r="L1437" t="str">
        <f>_xlfn.XLOOKUP(frasest[[#This Row],[author_es]],autorest[author_es],autorest[language_la])</f>
        <v>Lingua Latina</v>
      </c>
      <c r="M1437" t="str">
        <f>_xlfn.XLOOKUP(frasest[[#This Row],[author_es]],autorest[author_es],autorest[nation_es])</f>
        <v>Alemania</v>
      </c>
      <c r="N1437" t="str">
        <f>_xlfn.XLOOKUP(frasest[[#This Row],[author_es]],autorest[author_es],autorest[nation_la])</f>
        <v>Germania</v>
      </c>
      <c r="O1437" t="str">
        <f>_xlfn.XLOOKUP(frasest[[#This Row],[author_es]],autorest[author_es],autorest[age_es])</f>
        <v>Edad Media</v>
      </c>
      <c r="P1437" t="str">
        <f>_xlfn.XLOOKUP(frasest[[#This Row],[author_es]],autorest[author_es],autorest[age_la])</f>
        <v>Medium Aevum</v>
      </c>
      <c r="Q1437" t="str">
        <f>_xlfn.XLOOKUP(frasest[[#This Row],[author_es]],autorest[author_es],autorest[image])</f>
        <v>https://i.ibb.co/WCsSjKp/eckhart.png</v>
      </c>
      <c r="R1437">
        <f>_xlfn.XLOOKUP(frasest[[#This Row],[author_es]],autorest[author_es],autorest[image_atr])</f>
        <v>0</v>
      </c>
    </row>
    <row r="1438" spans="1:18">
      <c r="A1438">
        <v>1437</v>
      </c>
      <c r="B1438" t="s">
        <v>4451</v>
      </c>
      <c r="C1438" t="s">
        <v>4452</v>
      </c>
      <c r="D1438" t="s">
        <v>4452</v>
      </c>
      <c r="E1438" t="s">
        <v>4443</v>
      </c>
      <c r="F1438" t="s">
        <v>4444</v>
      </c>
      <c r="G1438" t="str">
        <f>_xlfn.XLOOKUP(frasest[[#This Row],[author_es]],autorest[author_es],autorest[author_la])</f>
        <v>Magister Eckhart</v>
      </c>
      <c r="H1438"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8" t="str">
        <f>_xlfn.XLOOKUP(frasest[[#This Row],[author_es]],autorest[author_es],autorest[bio_la])</f>
        <v>Theologus et mysticus Dominicanus Germanicus fundator mysticae Rhenanae notus pro sermonibus paradoxis de detractione unione cum Deo et praesentia divina in anima magister theologiae Parisiis</v>
      </c>
      <c r="J1438" t="str">
        <f>_xlfn.XLOOKUP(frasest[[#This Row],[author_es]],autorest[author_es],autorest[iso3691])</f>
        <v>la</v>
      </c>
      <c r="K1438" t="str">
        <f>_xlfn.XLOOKUP(frasest[[#This Row],[author_es]],autorest[author_es],autorest[language_es])</f>
        <v>Latín</v>
      </c>
      <c r="L1438" t="str">
        <f>_xlfn.XLOOKUP(frasest[[#This Row],[author_es]],autorest[author_es],autorest[language_la])</f>
        <v>Lingua Latina</v>
      </c>
      <c r="M1438" t="str">
        <f>_xlfn.XLOOKUP(frasest[[#This Row],[author_es]],autorest[author_es],autorest[nation_es])</f>
        <v>Alemania</v>
      </c>
      <c r="N1438" t="str">
        <f>_xlfn.XLOOKUP(frasest[[#This Row],[author_es]],autorest[author_es],autorest[nation_la])</f>
        <v>Germania</v>
      </c>
      <c r="O1438" t="str">
        <f>_xlfn.XLOOKUP(frasest[[#This Row],[author_es]],autorest[author_es],autorest[age_es])</f>
        <v>Edad Media</v>
      </c>
      <c r="P1438" t="str">
        <f>_xlfn.XLOOKUP(frasest[[#This Row],[author_es]],autorest[author_es],autorest[age_la])</f>
        <v>Medium Aevum</v>
      </c>
      <c r="Q1438" t="str">
        <f>_xlfn.XLOOKUP(frasest[[#This Row],[author_es]],autorest[author_es],autorest[image])</f>
        <v>https://i.ibb.co/WCsSjKp/eckhart.png</v>
      </c>
      <c r="R1438">
        <f>_xlfn.XLOOKUP(frasest[[#This Row],[author_es]],autorest[author_es],autorest[image_atr])</f>
        <v>0</v>
      </c>
    </row>
    <row r="1439" spans="1:18">
      <c r="A1439">
        <v>1438</v>
      </c>
      <c r="B1439" t="s">
        <v>4453</v>
      </c>
      <c r="C1439" t="s">
        <v>4454</v>
      </c>
      <c r="D1439" t="s">
        <v>4454</v>
      </c>
      <c r="E1439" t="s">
        <v>4443</v>
      </c>
      <c r="F1439" t="s">
        <v>4444</v>
      </c>
      <c r="G1439" t="str">
        <f>_xlfn.XLOOKUP(frasest[[#This Row],[author_es]],autorest[author_es],autorest[author_la])</f>
        <v>Magister Eckhart</v>
      </c>
      <c r="H1439"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39" t="str">
        <f>_xlfn.XLOOKUP(frasest[[#This Row],[author_es]],autorest[author_es],autorest[bio_la])</f>
        <v>Theologus et mysticus Dominicanus Germanicus fundator mysticae Rhenanae notus pro sermonibus paradoxis de detractione unione cum Deo et praesentia divina in anima magister theologiae Parisiis</v>
      </c>
      <c r="J1439" t="str">
        <f>_xlfn.XLOOKUP(frasest[[#This Row],[author_es]],autorest[author_es],autorest[iso3691])</f>
        <v>la</v>
      </c>
      <c r="K1439" t="str">
        <f>_xlfn.XLOOKUP(frasest[[#This Row],[author_es]],autorest[author_es],autorest[language_es])</f>
        <v>Latín</v>
      </c>
      <c r="L1439" t="str">
        <f>_xlfn.XLOOKUP(frasest[[#This Row],[author_es]],autorest[author_es],autorest[language_la])</f>
        <v>Lingua Latina</v>
      </c>
      <c r="M1439" t="str">
        <f>_xlfn.XLOOKUP(frasest[[#This Row],[author_es]],autorest[author_es],autorest[nation_es])</f>
        <v>Alemania</v>
      </c>
      <c r="N1439" t="str">
        <f>_xlfn.XLOOKUP(frasest[[#This Row],[author_es]],autorest[author_es],autorest[nation_la])</f>
        <v>Germania</v>
      </c>
      <c r="O1439" t="str">
        <f>_xlfn.XLOOKUP(frasest[[#This Row],[author_es]],autorest[author_es],autorest[age_es])</f>
        <v>Edad Media</v>
      </c>
      <c r="P1439" t="str">
        <f>_xlfn.XLOOKUP(frasest[[#This Row],[author_es]],autorest[author_es],autorest[age_la])</f>
        <v>Medium Aevum</v>
      </c>
      <c r="Q1439" t="str">
        <f>_xlfn.XLOOKUP(frasest[[#This Row],[author_es]],autorest[author_es],autorest[image])</f>
        <v>https://i.ibb.co/WCsSjKp/eckhart.png</v>
      </c>
      <c r="R1439">
        <f>_xlfn.XLOOKUP(frasest[[#This Row],[author_es]],autorest[author_es],autorest[image_atr])</f>
        <v>0</v>
      </c>
    </row>
    <row r="1440" spans="1:18">
      <c r="A1440">
        <v>1439</v>
      </c>
      <c r="B1440" t="s">
        <v>4455</v>
      </c>
      <c r="C1440" t="s">
        <v>4456</v>
      </c>
      <c r="D1440" t="s">
        <v>4456</v>
      </c>
      <c r="E1440" t="s">
        <v>4443</v>
      </c>
      <c r="F1440" t="s">
        <v>4444</v>
      </c>
      <c r="G1440" t="str">
        <f>_xlfn.XLOOKUP(frasest[[#This Row],[author_es]],autorest[author_es],autorest[author_la])</f>
        <v>Magister Eckhart</v>
      </c>
      <c r="H1440"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0" t="str">
        <f>_xlfn.XLOOKUP(frasest[[#This Row],[author_es]],autorest[author_es],autorest[bio_la])</f>
        <v>Theologus et mysticus Dominicanus Germanicus fundator mysticae Rhenanae notus pro sermonibus paradoxis de detractione unione cum Deo et praesentia divina in anima magister theologiae Parisiis</v>
      </c>
      <c r="J1440" t="str">
        <f>_xlfn.XLOOKUP(frasest[[#This Row],[author_es]],autorest[author_es],autorest[iso3691])</f>
        <v>la</v>
      </c>
      <c r="K1440" t="str">
        <f>_xlfn.XLOOKUP(frasest[[#This Row],[author_es]],autorest[author_es],autorest[language_es])</f>
        <v>Latín</v>
      </c>
      <c r="L1440" t="str">
        <f>_xlfn.XLOOKUP(frasest[[#This Row],[author_es]],autorest[author_es],autorest[language_la])</f>
        <v>Lingua Latina</v>
      </c>
      <c r="M1440" t="str">
        <f>_xlfn.XLOOKUP(frasest[[#This Row],[author_es]],autorest[author_es],autorest[nation_es])</f>
        <v>Alemania</v>
      </c>
      <c r="N1440" t="str">
        <f>_xlfn.XLOOKUP(frasest[[#This Row],[author_es]],autorest[author_es],autorest[nation_la])</f>
        <v>Germania</v>
      </c>
      <c r="O1440" t="str">
        <f>_xlfn.XLOOKUP(frasest[[#This Row],[author_es]],autorest[author_es],autorest[age_es])</f>
        <v>Edad Media</v>
      </c>
      <c r="P1440" t="str">
        <f>_xlfn.XLOOKUP(frasest[[#This Row],[author_es]],autorest[author_es],autorest[age_la])</f>
        <v>Medium Aevum</v>
      </c>
      <c r="Q1440" t="str">
        <f>_xlfn.XLOOKUP(frasest[[#This Row],[author_es]],autorest[author_es],autorest[image])</f>
        <v>https://i.ibb.co/WCsSjKp/eckhart.png</v>
      </c>
      <c r="R1440">
        <f>_xlfn.XLOOKUP(frasest[[#This Row],[author_es]],autorest[author_es],autorest[image_atr])</f>
        <v>0</v>
      </c>
    </row>
    <row r="1441" spans="1:18">
      <c r="A1441">
        <v>1440</v>
      </c>
      <c r="B1441" t="s">
        <v>4457</v>
      </c>
      <c r="C1441" t="s">
        <v>4458</v>
      </c>
      <c r="D1441" t="s">
        <v>4458</v>
      </c>
      <c r="E1441" t="s">
        <v>4443</v>
      </c>
      <c r="F1441" t="s">
        <v>4444</v>
      </c>
      <c r="G1441" t="str">
        <f>_xlfn.XLOOKUP(frasest[[#This Row],[author_es]],autorest[author_es],autorest[author_la])</f>
        <v>Magister Eckhart</v>
      </c>
      <c r="H1441"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1" t="str">
        <f>_xlfn.XLOOKUP(frasest[[#This Row],[author_es]],autorest[author_es],autorest[bio_la])</f>
        <v>Theologus et mysticus Dominicanus Germanicus fundator mysticae Rhenanae notus pro sermonibus paradoxis de detractione unione cum Deo et praesentia divina in anima magister theologiae Parisiis</v>
      </c>
      <c r="J1441" t="str">
        <f>_xlfn.XLOOKUP(frasest[[#This Row],[author_es]],autorest[author_es],autorest[iso3691])</f>
        <v>la</v>
      </c>
      <c r="K1441" t="str">
        <f>_xlfn.XLOOKUP(frasest[[#This Row],[author_es]],autorest[author_es],autorest[language_es])</f>
        <v>Latín</v>
      </c>
      <c r="L1441" t="str">
        <f>_xlfn.XLOOKUP(frasest[[#This Row],[author_es]],autorest[author_es],autorest[language_la])</f>
        <v>Lingua Latina</v>
      </c>
      <c r="M1441" t="str">
        <f>_xlfn.XLOOKUP(frasest[[#This Row],[author_es]],autorest[author_es],autorest[nation_es])</f>
        <v>Alemania</v>
      </c>
      <c r="N1441" t="str">
        <f>_xlfn.XLOOKUP(frasest[[#This Row],[author_es]],autorest[author_es],autorest[nation_la])</f>
        <v>Germania</v>
      </c>
      <c r="O1441" t="str">
        <f>_xlfn.XLOOKUP(frasest[[#This Row],[author_es]],autorest[author_es],autorest[age_es])</f>
        <v>Edad Media</v>
      </c>
      <c r="P1441" t="str">
        <f>_xlfn.XLOOKUP(frasest[[#This Row],[author_es]],autorest[author_es],autorest[age_la])</f>
        <v>Medium Aevum</v>
      </c>
      <c r="Q1441" t="str">
        <f>_xlfn.XLOOKUP(frasest[[#This Row],[author_es]],autorest[author_es],autorest[image])</f>
        <v>https://i.ibb.co/WCsSjKp/eckhart.png</v>
      </c>
      <c r="R1441">
        <f>_xlfn.XLOOKUP(frasest[[#This Row],[author_es]],autorest[author_es],autorest[image_atr])</f>
        <v>0</v>
      </c>
    </row>
    <row r="1442" spans="1:18">
      <c r="A1442">
        <v>1441</v>
      </c>
      <c r="B1442" t="s">
        <v>4459</v>
      </c>
      <c r="C1442" t="s">
        <v>4460</v>
      </c>
      <c r="D1442" t="s">
        <v>4460</v>
      </c>
      <c r="E1442" t="s">
        <v>4443</v>
      </c>
      <c r="F1442" t="s">
        <v>4444</v>
      </c>
      <c r="G1442" t="str">
        <f>_xlfn.XLOOKUP(frasest[[#This Row],[author_es]],autorest[author_es],autorest[author_la])</f>
        <v>Magister Eckhart</v>
      </c>
      <c r="H1442"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2" t="str">
        <f>_xlfn.XLOOKUP(frasest[[#This Row],[author_es]],autorest[author_es],autorest[bio_la])</f>
        <v>Theologus et mysticus Dominicanus Germanicus fundator mysticae Rhenanae notus pro sermonibus paradoxis de detractione unione cum Deo et praesentia divina in anima magister theologiae Parisiis</v>
      </c>
      <c r="J1442" t="str">
        <f>_xlfn.XLOOKUP(frasest[[#This Row],[author_es]],autorest[author_es],autorest[iso3691])</f>
        <v>la</v>
      </c>
      <c r="K1442" t="str">
        <f>_xlfn.XLOOKUP(frasest[[#This Row],[author_es]],autorest[author_es],autorest[language_es])</f>
        <v>Latín</v>
      </c>
      <c r="L1442" t="str">
        <f>_xlfn.XLOOKUP(frasest[[#This Row],[author_es]],autorest[author_es],autorest[language_la])</f>
        <v>Lingua Latina</v>
      </c>
      <c r="M1442" t="str">
        <f>_xlfn.XLOOKUP(frasest[[#This Row],[author_es]],autorest[author_es],autorest[nation_es])</f>
        <v>Alemania</v>
      </c>
      <c r="N1442" t="str">
        <f>_xlfn.XLOOKUP(frasest[[#This Row],[author_es]],autorest[author_es],autorest[nation_la])</f>
        <v>Germania</v>
      </c>
      <c r="O1442" t="str">
        <f>_xlfn.XLOOKUP(frasest[[#This Row],[author_es]],autorest[author_es],autorest[age_es])</f>
        <v>Edad Media</v>
      </c>
      <c r="P1442" t="str">
        <f>_xlfn.XLOOKUP(frasest[[#This Row],[author_es]],autorest[author_es],autorest[age_la])</f>
        <v>Medium Aevum</v>
      </c>
      <c r="Q1442" t="str">
        <f>_xlfn.XLOOKUP(frasest[[#This Row],[author_es]],autorest[author_es],autorest[image])</f>
        <v>https://i.ibb.co/WCsSjKp/eckhart.png</v>
      </c>
      <c r="R1442">
        <f>_xlfn.XLOOKUP(frasest[[#This Row],[author_es]],autorest[author_es],autorest[image_atr])</f>
        <v>0</v>
      </c>
    </row>
    <row r="1443" spans="1:18">
      <c r="A1443">
        <v>1442</v>
      </c>
      <c r="B1443" t="s">
        <v>4461</v>
      </c>
      <c r="C1443" t="s">
        <v>4462</v>
      </c>
      <c r="D1443" t="s">
        <v>4462</v>
      </c>
      <c r="E1443" t="s">
        <v>4443</v>
      </c>
      <c r="F1443" t="s">
        <v>4444</v>
      </c>
      <c r="G1443" t="str">
        <f>_xlfn.XLOOKUP(frasest[[#This Row],[author_es]],autorest[author_es],autorest[author_la])</f>
        <v>Magister Eckhart</v>
      </c>
      <c r="H1443"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3" t="str">
        <f>_xlfn.XLOOKUP(frasest[[#This Row],[author_es]],autorest[author_es],autorest[bio_la])</f>
        <v>Theologus et mysticus Dominicanus Germanicus fundator mysticae Rhenanae notus pro sermonibus paradoxis de detractione unione cum Deo et praesentia divina in anima magister theologiae Parisiis</v>
      </c>
      <c r="J1443" t="str">
        <f>_xlfn.XLOOKUP(frasest[[#This Row],[author_es]],autorest[author_es],autorest[iso3691])</f>
        <v>la</v>
      </c>
      <c r="K1443" t="str">
        <f>_xlfn.XLOOKUP(frasest[[#This Row],[author_es]],autorest[author_es],autorest[language_es])</f>
        <v>Latín</v>
      </c>
      <c r="L1443" t="str">
        <f>_xlfn.XLOOKUP(frasest[[#This Row],[author_es]],autorest[author_es],autorest[language_la])</f>
        <v>Lingua Latina</v>
      </c>
      <c r="M1443" t="str">
        <f>_xlfn.XLOOKUP(frasest[[#This Row],[author_es]],autorest[author_es],autorest[nation_es])</f>
        <v>Alemania</v>
      </c>
      <c r="N1443" t="str">
        <f>_xlfn.XLOOKUP(frasest[[#This Row],[author_es]],autorest[author_es],autorest[nation_la])</f>
        <v>Germania</v>
      </c>
      <c r="O1443" t="str">
        <f>_xlfn.XLOOKUP(frasest[[#This Row],[author_es]],autorest[author_es],autorest[age_es])</f>
        <v>Edad Media</v>
      </c>
      <c r="P1443" t="str">
        <f>_xlfn.XLOOKUP(frasest[[#This Row],[author_es]],autorest[author_es],autorest[age_la])</f>
        <v>Medium Aevum</v>
      </c>
      <c r="Q1443" t="str">
        <f>_xlfn.XLOOKUP(frasest[[#This Row],[author_es]],autorest[author_es],autorest[image])</f>
        <v>https://i.ibb.co/WCsSjKp/eckhart.png</v>
      </c>
      <c r="R1443">
        <f>_xlfn.XLOOKUP(frasest[[#This Row],[author_es]],autorest[author_es],autorest[image_atr])</f>
        <v>0</v>
      </c>
    </row>
    <row r="1444" spans="1:18">
      <c r="A1444">
        <v>1443</v>
      </c>
      <c r="B1444" t="s">
        <v>4463</v>
      </c>
      <c r="C1444" t="s">
        <v>4464</v>
      </c>
      <c r="D1444" t="s">
        <v>4464</v>
      </c>
      <c r="E1444" t="s">
        <v>4443</v>
      </c>
      <c r="F1444" t="s">
        <v>4444</v>
      </c>
      <c r="G1444" t="str">
        <f>_xlfn.XLOOKUP(frasest[[#This Row],[author_es]],autorest[author_es],autorest[author_la])</f>
        <v>Magister Eckhart</v>
      </c>
      <c r="H1444"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4" t="str">
        <f>_xlfn.XLOOKUP(frasest[[#This Row],[author_es]],autorest[author_es],autorest[bio_la])</f>
        <v>Theologus et mysticus Dominicanus Germanicus fundator mysticae Rhenanae notus pro sermonibus paradoxis de detractione unione cum Deo et praesentia divina in anima magister theologiae Parisiis</v>
      </c>
      <c r="J1444" t="str">
        <f>_xlfn.XLOOKUP(frasest[[#This Row],[author_es]],autorest[author_es],autorest[iso3691])</f>
        <v>la</v>
      </c>
      <c r="K1444" t="str">
        <f>_xlfn.XLOOKUP(frasest[[#This Row],[author_es]],autorest[author_es],autorest[language_es])</f>
        <v>Latín</v>
      </c>
      <c r="L1444" t="str">
        <f>_xlfn.XLOOKUP(frasest[[#This Row],[author_es]],autorest[author_es],autorest[language_la])</f>
        <v>Lingua Latina</v>
      </c>
      <c r="M1444" t="str">
        <f>_xlfn.XLOOKUP(frasest[[#This Row],[author_es]],autorest[author_es],autorest[nation_es])</f>
        <v>Alemania</v>
      </c>
      <c r="N1444" t="str">
        <f>_xlfn.XLOOKUP(frasest[[#This Row],[author_es]],autorest[author_es],autorest[nation_la])</f>
        <v>Germania</v>
      </c>
      <c r="O1444" t="str">
        <f>_xlfn.XLOOKUP(frasest[[#This Row],[author_es]],autorest[author_es],autorest[age_es])</f>
        <v>Edad Media</v>
      </c>
      <c r="P1444" t="str">
        <f>_xlfn.XLOOKUP(frasest[[#This Row],[author_es]],autorest[author_es],autorest[age_la])</f>
        <v>Medium Aevum</v>
      </c>
      <c r="Q1444" t="str">
        <f>_xlfn.XLOOKUP(frasest[[#This Row],[author_es]],autorest[author_es],autorest[image])</f>
        <v>https://i.ibb.co/WCsSjKp/eckhart.png</v>
      </c>
      <c r="R1444">
        <f>_xlfn.XLOOKUP(frasest[[#This Row],[author_es]],autorest[author_es],autorest[image_atr])</f>
        <v>0</v>
      </c>
    </row>
    <row r="1445" spans="1:18">
      <c r="A1445">
        <v>1444</v>
      </c>
      <c r="B1445" t="s">
        <v>4465</v>
      </c>
      <c r="C1445" t="s">
        <v>4466</v>
      </c>
      <c r="D1445" t="s">
        <v>4466</v>
      </c>
      <c r="E1445" t="s">
        <v>4443</v>
      </c>
      <c r="F1445" t="s">
        <v>4444</v>
      </c>
      <c r="G1445" t="str">
        <f>_xlfn.XLOOKUP(frasest[[#This Row],[author_es]],autorest[author_es],autorest[author_la])</f>
        <v>Magister Eckhart</v>
      </c>
      <c r="H1445"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5" t="str">
        <f>_xlfn.XLOOKUP(frasest[[#This Row],[author_es]],autorest[author_es],autorest[bio_la])</f>
        <v>Theologus et mysticus Dominicanus Germanicus fundator mysticae Rhenanae notus pro sermonibus paradoxis de detractione unione cum Deo et praesentia divina in anima magister theologiae Parisiis</v>
      </c>
      <c r="J1445" t="str">
        <f>_xlfn.XLOOKUP(frasest[[#This Row],[author_es]],autorest[author_es],autorest[iso3691])</f>
        <v>la</v>
      </c>
      <c r="K1445" t="str">
        <f>_xlfn.XLOOKUP(frasest[[#This Row],[author_es]],autorest[author_es],autorest[language_es])</f>
        <v>Latín</v>
      </c>
      <c r="L1445" t="str">
        <f>_xlfn.XLOOKUP(frasest[[#This Row],[author_es]],autorest[author_es],autorest[language_la])</f>
        <v>Lingua Latina</v>
      </c>
      <c r="M1445" t="str">
        <f>_xlfn.XLOOKUP(frasest[[#This Row],[author_es]],autorest[author_es],autorest[nation_es])</f>
        <v>Alemania</v>
      </c>
      <c r="N1445" t="str">
        <f>_xlfn.XLOOKUP(frasest[[#This Row],[author_es]],autorest[author_es],autorest[nation_la])</f>
        <v>Germania</v>
      </c>
      <c r="O1445" t="str">
        <f>_xlfn.XLOOKUP(frasest[[#This Row],[author_es]],autorest[author_es],autorest[age_es])</f>
        <v>Edad Media</v>
      </c>
      <c r="P1445" t="str">
        <f>_xlfn.XLOOKUP(frasest[[#This Row],[author_es]],autorest[author_es],autorest[age_la])</f>
        <v>Medium Aevum</v>
      </c>
      <c r="Q1445" t="str">
        <f>_xlfn.XLOOKUP(frasest[[#This Row],[author_es]],autorest[author_es],autorest[image])</f>
        <v>https://i.ibb.co/WCsSjKp/eckhart.png</v>
      </c>
      <c r="R1445">
        <f>_xlfn.XLOOKUP(frasest[[#This Row],[author_es]],autorest[author_es],autorest[image_atr])</f>
        <v>0</v>
      </c>
    </row>
    <row r="1446" spans="1:18">
      <c r="A1446">
        <v>1445</v>
      </c>
      <c r="B1446" t="s">
        <v>4467</v>
      </c>
      <c r="C1446" t="s">
        <v>4468</v>
      </c>
      <c r="D1446" t="s">
        <v>4468</v>
      </c>
      <c r="E1446" t="s">
        <v>4443</v>
      </c>
      <c r="F1446" t="s">
        <v>4444</v>
      </c>
      <c r="G1446" t="str">
        <f>_xlfn.XLOOKUP(frasest[[#This Row],[author_es]],autorest[author_es],autorest[author_la])</f>
        <v>Magister Eckhart</v>
      </c>
      <c r="H1446"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6" t="str">
        <f>_xlfn.XLOOKUP(frasest[[#This Row],[author_es]],autorest[author_es],autorest[bio_la])</f>
        <v>Theologus et mysticus Dominicanus Germanicus fundator mysticae Rhenanae notus pro sermonibus paradoxis de detractione unione cum Deo et praesentia divina in anima magister theologiae Parisiis</v>
      </c>
      <c r="J1446" t="str">
        <f>_xlfn.XLOOKUP(frasest[[#This Row],[author_es]],autorest[author_es],autorest[iso3691])</f>
        <v>la</v>
      </c>
      <c r="K1446" t="str">
        <f>_xlfn.XLOOKUP(frasest[[#This Row],[author_es]],autorest[author_es],autorest[language_es])</f>
        <v>Latín</v>
      </c>
      <c r="L1446" t="str">
        <f>_xlfn.XLOOKUP(frasest[[#This Row],[author_es]],autorest[author_es],autorest[language_la])</f>
        <v>Lingua Latina</v>
      </c>
      <c r="M1446" t="str">
        <f>_xlfn.XLOOKUP(frasest[[#This Row],[author_es]],autorest[author_es],autorest[nation_es])</f>
        <v>Alemania</v>
      </c>
      <c r="N1446" t="str">
        <f>_xlfn.XLOOKUP(frasest[[#This Row],[author_es]],autorest[author_es],autorest[nation_la])</f>
        <v>Germania</v>
      </c>
      <c r="O1446" t="str">
        <f>_xlfn.XLOOKUP(frasest[[#This Row],[author_es]],autorest[author_es],autorest[age_es])</f>
        <v>Edad Media</v>
      </c>
      <c r="P1446" t="str">
        <f>_xlfn.XLOOKUP(frasest[[#This Row],[author_es]],autorest[author_es],autorest[age_la])</f>
        <v>Medium Aevum</v>
      </c>
      <c r="Q1446" t="str">
        <f>_xlfn.XLOOKUP(frasest[[#This Row],[author_es]],autorest[author_es],autorest[image])</f>
        <v>https://i.ibb.co/WCsSjKp/eckhart.png</v>
      </c>
      <c r="R1446">
        <f>_xlfn.XLOOKUP(frasest[[#This Row],[author_es]],autorest[author_es],autorest[image_atr])</f>
        <v>0</v>
      </c>
    </row>
    <row r="1447" spans="1:18">
      <c r="A1447">
        <v>1446</v>
      </c>
      <c r="B1447" t="s">
        <v>4469</v>
      </c>
      <c r="C1447" t="s">
        <v>4470</v>
      </c>
      <c r="D1447" t="s">
        <v>4470</v>
      </c>
      <c r="E1447" t="s">
        <v>4443</v>
      </c>
      <c r="F1447" t="s">
        <v>4444</v>
      </c>
      <c r="G1447" t="str">
        <f>_xlfn.XLOOKUP(frasest[[#This Row],[author_es]],autorest[author_es],autorest[author_la])</f>
        <v>Magister Eckhart</v>
      </c>
      <c r="H1447"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7" t="str">
        <f>_xlfn.XLOOKUP(frasest[[#This Row],[author_es]],autorest[author_es],autorest[bio_la])</f>
        <v>Theologus et mysticus Dominicanus Germanicus fundator mysticae Rhenanae notus pro sermonibus paradoxis de detractione unione cum Deo et praesentia divina in anima magister theologiae Parisiis</v>
      </c>
      <c r="J1447" t="str">
        <f>_xlfn.XLOOKUP(frasest[[#This Row],[author_es]],autorest[author_es],autorest[iso3691])</f>
        <v>la</v>
      </c>
      <c r="K1447" t="str">
        <f>_xlfn.XLOOKUP(frasest[[#This Row],[author_es]],autorest[author_es],autorest[language_es])</f>
        <v>Latín</v>
      </c>
      <c r="L1447" t="str">
        <f>_xlfn.XLOOKUP(frasest[[#This Row],[author_es]],autorest[author_es],autorest[language_la])</f>
        <v>Lingua Latina</v>
      </c>
      <c r="M1447" t="str">
        <f>_xlfn.XLOOKUP(frasest[[#This Row],[author_es]],autorest[author_es],autorest[nation_es])</f>
        <v>Alemania</v>
      </c>
      <c r="N1447" t="str">
        <f>_xlfn.XLOOKUP(frasest[[#This Row],[author_es]],autorest[author_es],autorest[nation_la])</f>
        <v>Germania</v>
      </c>
      <c r="O1447" t="str">
        <f>_xlfn.XLOOKUP(frasest[[#This Row],[author_es]],autorest[author_es],autorest[age_es])</f>
        <v>Edad Media</v>
      </c>
      <c r="P1447" t="str">
        <f>_xlfn.XLOOKUP(frasest[[#This Row],[author_es]],autorest[author_es],autorest[age_la])</f>
        <v>Medium Aevum</v>
      </c>
      <c r="Q1447" t="str">
        <f>_xlfn.XLOOKUP(frasest[[#This Row],[author_es]],autorest[author_es],autorest[image])</f>
        <v>https://i.ibb.co/WCsSjKp/eckhart.png</v>
      </c>
      <c r="R1447">
        <f>_xlfn.XLOOKUP(frasest[[#This Row],[author_es]],autorest[author_es],autorest[image_atr])</f>
        <v>0</v>
      </c>
    </row>
    <row r="1448" spans="1:18">
      <c r="A1448">
        <v>1447</v>
      </c>
      <c r="B1448" t="s">
        <v>4471</v>
      </c>
      <c r="C1448" t="s">
        <v>4472</v>
      </c>
      <c r="D1448" t="s">
        <v>4472</v>
      </c>
      <c r="E1448" t="s">
        <v>4443</v>
      </c>
      <c r="F1448" t="s">
        <v>4444</v>
      </c>
      <c r="G1448" t="str">
        <f>_xlfn.XLOOKUP(frasest[[#This Row],[author_es]],autorest[author_es],autorest[author_la])</f>
        <v>Magister Eckhart</v>
      </c>
      <c r="H1448"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8" t="str">
        <f>_xlfn.XLOOKUP(frasest[[#This Row],[author_es]],autorest[author_es],autorest[bio_la])</f>
        <v>Theologus et mysticus Dominicanus Germanicus fundator mysticae Rhenanae notus pro sermonibus paradoxis de detractione unione cum Deo et praesentia divina in anima magister theologiae Parisiis</v>
      </c>
      <c r="J1448" t="str">
        <f>_xlfn.XLOOKUP(frasest[[#This Row],[author_es]],autorest[author_es],autorest[iso3691])</f>
        <v>la</v>
      </c>
      <c r="K1448" t="str">
        <f>_xlfn.XLOOKUP(frasest[[#This Row],[author_es]],autorest[author_es],autorest[language_es])</f>
        <v>Latín</v>
      </c>
      <c r="L1448" t="str">
        <f>_xlfn.XLOOKUP(frasest[[#This Row],[author_es]],autorest[author_es],autorest[language_la])</f>
        <v>Lingua Latina</v>
      </c>
      <c r="M1448" t="str">
        <f>_xlfn.XLOOKUP(frasest[[#This Row],[author_es]],autorest[author_es],autorest[nation_es])</f>
        <v>Alemania</v>
      </c>
      <c r="N1448" t="str">
        <f>_xlfn.XLOOKUP(frasest[[#This Row],[author_es]],autorest[author_es],autorest[nation_la])</f>
        <v>Germania</v>
      </c>
      <c r="O1448" t="str">
        <f>_xlfn.XLOOKUP(frasest[[#This Row],[author_es]],autorest[author_es],autorest[age_es])</f>
        <v>Edad Media</v>
      </c>
      <c r="P1448" t="str">
        <f>_xlfn.XLOOKUP(frasest[[#This Row],[author_es]],autorest[author_es],autorest[age_la])</f>
        <v>Medium Aevum</v>
      </c>
      <c r="Q1448" t="str">
        <f>_xlfn.XLOOKUP(frasest[[#This Row],[author_es]],autorest[author_es],autorest[image])</f>
        <v>https://i.ibb.co/WCsSjKp/eckhart.png</v>
      </c>
      <c r="R1448">
        <f>_xlfn.XLOOKUP(frasest[[#This Row],[author_es]],autorest[author_es],autorest[image_atr])</f>
        <v>0</v>
      </c>
    </row>
    <row r="1449" spans="1:18">
      <c r="A1449">
        <v>1448</v>
      </c>
      <c r="B1449" t="s">
        <v>4473</v>
      </c>
      <c r="C1449" t="s">
        <v>4474</v>
      </c>
      <c r="D1449" t="s">
        <v>4474</v>
      </c>
      <c r="E1449" t="s">
        <v>4443</v>
      </c>
      <c r="F1449" t="s">
        <v>4444</v>
      </c>
      <c r="G1449" t="str">
        <f>_xlfn.XLOOKUP(frasest[[#This Row],[author_es]],autorest[author_es],autorest[author_la])</f>
        <v>Magister Eckhart</v>
      </c>
      <c r="H1449" t="str">
        <f>_xlfn.XLOOKUP(frasest[[#This Row],[author_es]],autorest[author_es],autorest[bio_es])</f>
        <v>Teólogo y místico dominico alemán fundador de la mística renana conocido por sus sermones paradójicos sobre el desapego la unión con Dios y la presencia divina en el alma siendo maestro de teología en París</v>
      </c>
      <c r="I1449" t="str">
        <f>_xlfn.XLOOKUP(frasest[[#This Row],[author_es]],autorest[author_es],autorest[bio_la])</f>
        <v>Theologus et mysticus Dominicanus Germanicus fundator mysticae Rhenanae notus pro sermonibus paradoxis de detractione unione cum Deo et praesentia divina in anima magister theologiae Parisiis</v>
      </c>
      <c r="J1449" t="str">
        <f>_xlfn.XLOOKUP(frasest[[#This Row],[author_es]],autorest[author_es],autorest[iso3691])</f>
        <v>la</v>
      </c>
      <c r="K1449" t="str">
        <f>_xlfn.XLOOKUP(frasest[[#This Row],[author_es]],autorest[author_es],autorest[language_es])</f>
        <v>Latín</v>
      </c>
      <c r="L1449" t="str">
        <f>_xlfn.XLOOKUP(frasest[[#This Row],[author_es]],autorest[author_es],autorest[language_la])</f>
        <v>Lingua Latina</v>
      </c>
      <c r="M1449" t="str">
        <f>_xlfn.XLOOKUP(frasest[[#This Row],[author_es]],autorest[author_es],autorest[nation_es])</f>
        <v>Alemania</v>
      </c>
      <c r="N1449" t="str">
        <f>_xlfn.XLOOKUP(frasest[[#This Row],[author_es]],autorest[author_es],autorest[nation_la])</f>
        <v>Germania</v>
      </c>
      <c r="O1449" t="str">
        <f>_xlfn.XLOOKUP(frasest[[#This Row],[author_es]],autorest[author_es],autorest[age_es])</f>
        <v>Edad Media</v>
      </c>
      <c r="P1449" t="str">
        <f>_xlfn.XLOOKUP(frasest[[#This Row],[author_es]],autorest[author_es],autorest[age_la])</f>
        <v>Medium Aevum</v>
      </c>
      <c r="Q1449" t="str">
        <f>_xlfn.XLOOKUP(frasest[[#This Row],[author_es]],autorest[author_es],autorest[image])</f>
        <v>https://i.ibb.co/WCsSjKp/eckhart.png</v>
      </c>
      <c r="R1449">
        <f>_xlfn.XLOOKUP(frasest[[#This Row],[author_es]],autorest[author_es],autorest[image_atr])</f>
        <v>0</v>
      </c>
    </row>
    <row r="1450" spans="1:18">
      <c r="A1450">
        <v>1449</v>
      </c>
      <c r="B1450" t="s">
        <v>4475</v>
      </c>
      <c r="C1450" t="s">
        <v>4476</v>
      </c>
      <c r="D1450" t="s">
        <v>4476</v>
      </c>
      <c r="E1450" t="s">
        <v>4477</v>
      </c>
      <c r="F1450" t="s">
        <v>4478</v>
      </c>
      <c r="G1450" t="str">
        <f>_xlfn.XLOOKUP(frasest[[#This Row],[author_es]],autorest[author_es],autorest[author_la])</f>
        <v>Sanctus Franciscus Xaverius</v>
      </c>
      <c r="H1450"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0"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0" t="str">
        <f>_xlfn.XLOOKUP(frasest[[#This Row],[author_es]],autorest[author_es],autorest[iso3691])</f>
        <v>es</v>
      </c>
      <c r="K1450" t="str">
        <f>_xlfn.XLOOKUP(frasest[[#This Row],[author_es]],autorest[author_es],autorest[language_es])</f>
        <v>Español</v>
      </c>
      <c r="L1450" t="str">
        <f>_xlfn.XLOOKUP(frasest[[#This Row],[author_es]],autorest[author_es],autorest[language_la])</f>
        <v>Lingua Hispanica</v>
      </c>
      <c r="M1450" t="str">
        <f>_xlfn.XLOOKUP(frasest[[#This Row],[author_es]],autorest[author_es],autorest[nation_es])</f>
        <v>España</v>
      </c>
      <c r="N1450" t="str">
        <f>_xlfn.XLOOKUP(frasest[[#This Row],[author_es]],autorest[author_es],autorest[nation_la])</f>
        <v>Hispania</v>
      </c>
      <c r="O1450" t="str">
        <f>_xlfn.XLOOKUP(frasest[[#This Row],[author_es]],autorest[author_es],autorest[age_es])</f>
        <v>Edad Moderna</v>
      </c>
      <c r="P1450" t="str">
        <f>_xlfn.XLOOKUP(frasest[[#This Row],[author_es]],autorest[author_es],autorest[age_la])</f>
        <v>Nova Aetas</v>
      </c>
      <c r="Q1450" t="str">
        <f>_xlfn.XLOOKUP(frasest[[#This Row],[author_es]],autorest[author_es],autorest[image])</f>
        <v>https://i.ibb.co/0jY6Nmcb/franciscojavier.png</v>
      </c>
      <c r="R1450">
        <f>_xlfn.XLOOKUP(frasest[[#This Row],[author_es]],autorest[author_es],autorest[image_atr])</f>
        <v>0</v>
      </c>
    </row>
    <row r="1451" spans="1:18">
      <c r="A1451">
        <v>1450</v>
      </c>
      <c r="B1451" t="s">
        <v>4479</v>
      </c>
      <c r="C1451" t="s">
        <v>4480</v>
      </c>
      <c r="D1451" t="s">
        <v>4480</v>
      </c>
      <c r="E1451" t="s">
        <v>4477</v>
      </c>
      <c r="F1451" t="s">
        <v>4478</v>
      </c>
      <c r="G1451" t="str">
        <f>_xlfn.XLOOKUP(frasest[[#This Row],[author_es]],autorest[author_es],autorest[author_la])</f>
        <v>Sanctus Franciscus Xaverius</v>
      </c>
      <c r="H1451"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1"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1" t="str">
        <f>_xlfn.XLOOKUP(frasest[[#This Row],[author_es]],autorest[author_es],autorest[iso3691])</f>
        <v>es</v>
      </c>
      <c r="K1451" t="str">
        <f>_xlfn.XLOOKUP(frasest[[#This Row],[author_es]],autorest[author_es],autorest[language_es])</f>
        <v>Español</v>
      </c>
      <c r="L1451" t="str">
        <f>_xlfn.XLOOKUP(frasest[[#This Row],[author_es]],autorest[author_es],autorest[language_la])</f>
        <v>Lingua Hispanica</v>
      </c>
      <c r="M1451" t="str">
        <f>_xlfn.XLOOKUP(frasest[[#This Row],[author_es]],autorest[author_es],autorest[nation_es])</f>
        <v>España</v>
      </c>
      <c r="N1451" t="str">
        <f>_xlfn.XLOOKUP(frasest[[#This Row],[author_es]],autorest[author_es],autorest[nation_la])</f>
        <v>Hispania</v>
      </c>
      <c r="O1451" t="str">
        <f>_xlfn.XLOOKUP(frasest[[#This Row],[author_es]],autorest[author_es],autorest[age_es])</f>
        <v>Edad Moderna</v>
      </c>
      <c r="P1451" t="str">
        <f>_xlfn.XLOOKUP(frasest[[#This Row],[author_es]],autorest[author_es],autorest[age_la])</f>
        <v>Nova Aetas</v>
      </c>
      <c r="Q1451" t="str">
        <f>_xlfn.XLOOKUP(frasest[[#This Row],[author_es]],autorest[author_es],autorest[image])</f>
        <v>https://i.ibb.co/0jY6Nmcb/franciscojavier.png</v>
      </c>
      <c r="R1451">
        <f>_xlfn.XLOOKUP(frasest[[#This Row],[author_es]],autorest[author_es],autorest[image_atr])</f>
        <v>0</v>
      </c>
    </row>
    <row r="1452" spans="1:18">
      <c r="A1452">
        <v>1451</v>
      </c>
      <c r="B1452" t="s">
        <v>4481</v>
      </c>
      <c r="C1452" t="s">
        <v>4482</v>
      </c>
      <c r="D1452" t="s">
        <v>4482</v>
      </c>
      <c r="E1452" t="s">
        <v>4477</v>
      </c>
      <c r="F1452" t="s">
        <v>4478</v>
      </c>
      <c r="G1452" t="str">
        <f>_xlfn.XLOOKUP(frasest[[#This Row],[author_es]],autorest[author_es],autorest[author_la])</f>
        <v>Sanctus Franciscus Xaverius</v>
      </c>
      <c r="H1452"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2"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2" t="str">
        <f>_xlfn.XLOOKUP(frasest[[#This Row],[author_es]],autorest[author_es],autorest[iso3691])</f>
        <v>es</v>
      </c>
      <c r="K1452" t="str">
        <f>_xlfn.XLOOKUP(frasest[[#This Row],[author_es]],autorest[author_es],autorest[language_es])</f>
        <v>Español</v>
      </c>
      <c r="L1452" t="str">
        <f>_xlfn.XLOOKUP(frasest[[#This Row],[author_es]],autorest[author_es],autorest[language_la])</f>
        <v>Lingua Hispanica</v>
      </c>
      <c r="M1452" t="str">
        <f>_xlfn.XLOOKUP(frasest[[#This Row],[author_es]],autorest[author_es],autorest[nation_es])</f>
        <v>España</v>
      </c>
      <c r="N1452" t="str">
        <f>_xlfn.XLOOKUP(frasest[[#This Row],[author_es]],autorest[author_es],autorest[nation_la])</f>
        <v>Hispania</v>
      </c>
      <c r="O1452" t="str">
        <f>_xlfn.XLOOKUP(frasest[[#This Row],[author_es]],autorest[author_es],autorest[age_es])</f>
        <v>Edad Moderna</v>
      </c>
      <c r="P1452" t="str">
        <f>_xlfn.XLOOKUP(frasest[[#This Row],[author_es]],autorest[author_es],autorest[age_la])</f>
        <v>Nova Aetas</v>
      </c>
      <c r="Q1452" t="str">
        <f>_xlfn.XLOOKUP(frasest[[#This Row],[author_es]],autorest[author_es],autorest[image])</f>
        <v>https://i.ibb.co/0jY6Nmcb/franciscojavier.png</v>
      </c>
      <c r="R1452">
        <f>_xlfn.XLOOKUP(frasest[[#This Row],[author_es]],autorest[author_es],autorest[image_atr])</f>
        <v>0</v>
      </c>
    </row>
    <row r="1453" spans="1:18">
      <c r="A1453">
        <v>1452</v>
      </c>
      <c r="B1453" t="s">
        <v>4483</v>
      </c>
      <c r="C1453" t="s">
        <v>4484</v>
      </c>
      <c r="D1453" t="s">
        <v>4484</v>
      </c>
      <c r="E1453" t="s">
        <v>4477</v>
      </c>
      <c r="F1453" t="s">
        <v>4478</v>
      </c>
      <c r="G1453" t="str">
        <f>_xlfn.XLOOKUP(frasest[[#This Row],[author_es]],autorest[author_es],autorest[author_la])</f>
        <v>Sanctus Franciscus Xaverius</v>
      </c>
      <c r="H1453" t="str">
        <f>_xlfn.XLOOKUP(frasest[[#This Row],[author_es]],autorest[author_es],autorest[bio_es])</f>
        <v>Sacerdote jesuita navarro cofundador de la Compañía de Jesús junto a Ignacio de Loyola misionero apostólico en India y Japón patrono de las misiones que evangelizó Asia con gran fervor bautizando miles de personas</v>
      </c>
      <c r="I1453" t="str">
        <f>_xlfn.XLOOKUP(frasest[[#This Row],[author_es]],autorest[author_es],autorest[bio_la])</f>
        <v>Sacerdos Iesuita Navarrensis cofundator Societatis Iesu cum Ignatio de Loyola missionarius apostolicus in India et Iaponia patronus missionum qui Asiam magno fervore evangelizavit millia personarum baptizans</v>
      </c>
      <c r="J1453" t="str">
        <f>_xlfn.XLOOKUP(frasest[[#This Row],[author_es]],autorest[author_es],autorest[iso3691])</f>
        <v>es</v>
      </c>
      <c r="K1453" t="str">
        <f>_xlfn.XLOOKUP(frasest[[#This Row],[author_es]],autorest[author_es],autorest[language_es])</f>
        <v>Español</v>
      </c>
      <c r="L1453" t="str">
        <f>_xlfn.XLOOKUP(frasest[[#This Row],[author_es]],autorest[author_es],autorest[language_la])</f>
        <v>Lingua Hispanica</v>
      </c>
      <c r="M1453" t="str">
        <f>_xlfn.XLOOKUP(frasest[[#This Row],[author_es]],autorest[author_es],autorest[nation_es])</f>
        <v>España</v>
      </c>
      <c r="N1453" t="str">
        <f>_xlfn.XLOOKUP(frasest[[#This Row],[author_es]],autorest[author_es],autorest[nation_la])</f>
        <v>Hispania</v>
      </c>
      <c r="O1453" t="str">
        <f>_xlfn.XLOOKUP(frasest[[#This Row],[author_es]],autorest[author_es],autorest[age_es])</f>
        <v>Edad Moderna</v>
      </c>
      <c r="P1453" t="str">
        <f>_xlfn.XLOOKUP(frasest[[#This Row],[author_es]],autorest[author_es],autorest[age_la])</f>
        <v>Nova Aetas</v>
      </c>
      <c r="Q1453" t="str">
        <f>_xlfn.XLOOKUP(frasest[[#This Row],[author_es]],autorest[author_es],autorest[image])</f>
        <v>https://i.ibb.co/0jY6Nmcb/franciscojavier.png</v>
      </c>
      <c r="R1453">
        <f>_xlfn.XLOOKUP(frasest[[#This Row],[author_es]],autorest[author_es],autorest[image_atr])</f>
        <v>0</v>
      </c>
    </row>
    <row r="1454" spans="1:18">
      <c r="A1454">
        <v>1453</v>
      </c>
      <c r="B1454" t="s">
        <v>4485</v>
      </c>
      <c r="C1454" t="s">
        <v>4486</v>
      </c>
      <c r="D1454" t="s">
        <v>4486</v>
      </c>
      <c r="E1454" t="s">
        <v>4487</v>
      </c>
      <c r="F1454" t="s">
        <v>4488</v>
      </c>
      <c r="G1454" t="str">
        <f>_xlfn.XLOOKUP(frasest[[#This Row],[author_es]],autorest[author_es],autorest[author_la])</f>
        <v>Sanctus Ignatius de Loyola</v>
      </c>
      <c r="H1454"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4"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4" t="str">
        <f>_xlfn.XLOOKUP(frasest[[#This Row],[author_es]],autorest[author_es],autorest[iso3691])</f>
        <v>es</v>
      </c>
      <c r="K1454" t="str">
        <f>_xlfn.XLOOKUP(frasest[[#This Row],[author_es]],autorest[author_es],autorest[language_es])</f>
        <v>Español</v>
      </c>
      <c r="L1454" t="str">
        <f>_xlfn.XLOOKUP(frasest[[#This Row],[author_es]],autorest[author_es],autorest[language_la])</f>
        <v>Lingua Hispanica</v>
      </c>
      <c r="M1454" t="str">
        <f>_xlfn.XLOOKUP(frasest[[#This Row],[author_es]],autorest[author_es],autorest[nation_es])</f>
        <v>España</v>
      </c>
      <c r="N1454" t="str">
        <f>_xlfn.XLOOKUP(frasest[[#This Row],[author_es]],autorest[author_es],autorest[nation_la])</f>
        <v>Hispania</v>
      </c>
      <c r="O1454" t="str">
        <f>_xlfn.XLOOKUP(frasest[[#This Row],[author_es]],autorest[author_es],autorest[age_es])</f>
        <v>Edad Media</v>
      </c>
      <c r="P1454" t="str">
        <f>_xlfn.XLOOKUP(frasest[[#This Row],[author_es]],autorest[author_es],autorest[age_la])</f>
        <v>Medium Aevum</v>
      </c>
      <c r="Q1454" t="str">
        <f>_xlfn.XLOOKUP(frasest[[#This Row],[author_es]],autorest[author_es],autorest[image])</f>
        <v>https://i.ibb.co/DD8cx8tb/ignacioloiola.png</v>
      </c>
      <c r="R1454">
        <f>_xlfn.XLOOKUP(frasest[[#This Row],[author_es]],autorest[author_es],autorest[image_atr])</f>
        <v>0</v>
      </c>
    </row>
    <row r="1455" spans="1:18">
      <c r="A1455">
        <v>1454</v>
      </c>
      <c r="B1455" t="s">
        <v>4489</v>
      </c>
      <c r="C1455" t="s">
        <v>4490</v>
      </c>
      <c r="D1455" t="s">
        <v>4490</v>
      </c>
      <c r="E1455" t="s">
        <v>4487</v>
      </c>
      <c r="F1455" t="s">
        <v>4488</v>
      </c>
      <c r="G1455" t="str">
        <f>_xlfn.XLOOKUP(frasest[[#This Row],[author_es]],autorest[author_es],autorest[author_la])</f>
        <v>Sanctus Ignatius de Loyola</v>
      </c>
      <c r="H1455"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5"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5" t="str">
        <f>_xlfn.XLOOKUP(frasest[[#This Row],[author_es]],autorest[author_es],autorest[iso3691])</f>
        <v>es</v>
      </c>
      <c r="K1455" t="str">
        <f>_xlfn.XLOOKUP(frasest[[#This Row],[author_es]],autorest[author_es],autorest[language_es])</f>
        <v>Español</v>
      </c>
      <c r="L1455" t="str">
        <f>_xlfn.XLOOKUP(frasest[[#This Row],[author_es]],autorest[author_es],autorest[language_la])</f>
        <v>Lingua Hispanica</v>
      </c>
      <c r="M1455" t="str">
        <f>_xlfn.XLOOKUP(frasest[[#This Row],[author_es]],autorest[author_es],autorest[nation_es])</f>
        <v>España</v>
      </c>
      <c r="N1455" t="str">
        <f>_xlfn.XLOOKUP(frasest[[#This Row],[author_es]],autorest[author_es],autorest[nation_la])</f>
        <v>Hispania</v>
      </c>
      <c r="O1455" t="str">
        <f>_xlfn.XLOOKUP(frasest[[#This Row],[author_es]],autorest[author_es],autorest[age_es])</f>
        <v>Edad Media</v>
      </c>
      <c r="P1455" t="str">
        <f>_xlfn.XLOOKUP(frasest[[#This Row],[author_es]],autorest[author_es],autorest[age_la])</f>
        <v>Medium Aevum</v>
      </c>
      <c r="Q1455" t="str">
        <f>_xlfn.XLOOKUP(frasest[[#This Row],[author_es]],autorest[author_es],autorest[image])</f>
        <v>https://i.ibb.co/DD8cx8tb/ignacioloiola.png</v>
      </c>
      <c r="R1455">
        <f>_xlfn.XLOOKUP(frasest[[#This Row],[author_es]],autorest[author_es],autorest[image_atr])</f>
        <v>0</v>
      </c>
    </row>
    <row r="1456" spans="1:18">
      <c r="A1456">
        <v>1455</v>
      </c>
      <c r="B1456" t="s">
        <v>4491</v>
      </c>
      <c r="C1456" t="s">
        <v>4492</v>
      </c>
      <c r="D1456" t="s">
        <v>4492</v>
      </c>
      <c r="E1456" t="s">
        <v>4487</v>
      </c>
      <c r="F1456" t="s">
        <v>4488</v>
      </c>
      <c r="G1456" t="str">
        <f>_xlfn.XLOOKUP(frasest[[#This Row],[author_es]],autorest[author_es],autorest[author_la])</f>
        <v>Sanctus Ignatius de Loyola</v>
      </c>
      <c r="H1456"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6"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6" t="str">
        <f>_xlfn.XLOOKUP(frasest[[#This Row],[author_es]],autorest[author_es],autorest[iso3691])</f>
        <v>es</v>
      </c>
      <c r="K1456" t="str">
        <f>_xlfn.XLOOKUP(frasest[[#This Row],[author_es]],autorest[author_es],autorest[language_es])</f>
        <v>Español</v>
      </c>
      <c r="L1456" t="str">
        <f>_xlfn.XLOOKUP(frasest[[#This Row],[author_es]],autorest[author_es],autorest[language_la])</f>
        <v>Lingua Hispanica</v>
      </c>
      <c r="M1456" t="str">
        <f>_xlfn.XLOOKUP(frasest[[#This Row],[author_es]],autorest[author_es],autorest[nation_es])</f>
        <v>España</v>
      </c>
      <c r="N1456" t="str">
        <f>_xlfn.XLOOKUP(frasest[[#This Row],[author_es]],autorest[author_es],autorest[nation_la])</f>
        <v>Hispania</v>
      </c>
      <c r="O1456" t="str">
        <f>_xlfn.XLOOKUP(frasest[[#This Row],[author_es]],autorest[author_es],autorest[age_es])</f>
        <v>Edad Media</v>
      </c>
      <c r="P1456" t="str">
        <f>_xlfn.XLOOKUP(frasest[[#This Row],[author_es]],autorest[author_es],autorest[age_la])</f>
        <v>Medium Aevum</v>
      </c>
      <c r="Q1456" t="str">
        <f>_xlfn.XLOOKUP(frasest[[#This Row],[author_es]],autorest[author_es],autorest[image])</f>
        <v>https://i.ibb.co/DD8cx8tb/ignacioloiola.png</v>
      </c>
      <c r="R1456">
        <f>_xlfn.XLOOKUP(frasest[[#This Row],[author_es]],autorest[author_es],autorest[image_atr])</f>
        <v>0</v>
      </c>
    </row>
    <row r="1457" spans="1:18">
      <c r="A1457">
        <v>1456</v>
      </c>
      <c r="B1457" t="s">
        <v>4493</v>
      </c>
      <c r="C1457" t="s">
        <v>4494</v>
      </c>
      <c r="D1457" t="s">
        <v>4494</v>
      </c>
      <c r="E1457" t="s">
        <v>4487</v>
      </c>
      <c r="F1457" t="s">
        <v>4488</v>
      </c>
      <c r="G1457" t="str">
        <f>_xlfn.XLOOKUP(frasest[[#This Row],[author_es]],autorest[author_es],autorest[author_la])</f>
        <v>Sanctus Ignatius de Loyola</v>
      </c>
      <c r="H1457"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7"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7" t="str">
        <f>_xlfn.XLOOKUP(frasest[[#This Row],[author_es]],autorest[author_es],autorest[iso3691])</f>
        <v>es</v>
      </c>
      <c r="K1457" t="str">
        <f>_xlfn.XLOOKUP(frasest[[#This Row],[author_es]],autorest[author_es],autorest[language_es])</f>
        <v>Español</v>
      </c>
      <c r="L1457" t="str">
        <f>_xlfn.XLOOKUP(frasest[[#This Row],[author_es]],autorest[author_es],autorest[language_la])</f>
        <v>Lingua Hispanica</v>
      </c>
      <c r="M1457" t="str">
        <f>_xlfn.XLOOKUP(frasest[[#This Row],[author_es]],autorest[author_es],autorest[nation_es])</f>
        <v>España</v>
      </c>
      <c r="N1457" t="str">
        <f>_xlfn.XLOOKUP(frasest[[#This Row],[author_es]],autorest[author_es],autorest[nation_la])</f>
        <v>Hispania</v>
      </c>
      <c r="O1457" t="str">
        <f>_xlfn.XLOOKUP(frasest[[#This Row],[author_es]],autorest[author_es],autorest[age_es])</f>
        <v>Edad Media</v>
      </c>
      <c r="P1457" t="str">
        <f>_xlfn.XLOOKUP(frasest[[#This Row],[author_es]],autorest[author_es],autorest[age_la])</f>
        <v>Medium Aevum</v>
      </c>
      <c r="Q1457" t="str">
        <f>_xlfn.XLOOKUP(frasest[[#This Row],[author_es]],autorest[author_es],autorest[image])</f>
        <v>https://i.ibb.co/DD8cx8tb/ignacioloiola.png</v>
      </c>
      <c r="R1457">
        <f>_xlfn.XLOOKUP(frasest[[#This Row],[author_es]],autorest[author_es],autorest[image_atr])</f>
        <v>0</v>
      </c>
    </row>
    <row r="1458" spans="1:18">
      <c r="A1458">
        <v>1457</v>
      </c>
      <c r="B1458" t="s">
        <v>4495</v>
      </c>
      <c r="C1458" t="s">
        <v>4496</v>
      </c>
      <c r="D1458" t="s">
        <v>4496</v>
      </c>
      <c r="E1458" t="s">
        <v>4487</v>
      </c>
      <c r="F1458" t="s">
        <v>4488</v>
      </c>
      <c r="G1458" t="str">
        <f>_xlfn.XLOOKUP(frasest[[#This Row],[author_es]],autorest[author_es],autorest[author_la])</f>
        <v>Sanctus Ignatius de Loyola</v>
      </c>
      <c r="H1458"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8"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8" t="str">
        <f>_xlfn.XLOOKUP(frasest[[#This Row],[author_es]],autorest[author_es],autorest[iso3691])</f>
        <v>es</v>
      </c>
      <c r="K1458" t="str">
        <f>_xlfn.XLOOKUP(frasest[[#This Row],[author_es]],autorest[author_es],autorest[language_es])</f>
        <v>Español</v>
      </c>
      <c r="L1458" t="str">
        <f>_xlfn.XLOOKUP(frasest[[#This Row],[author_es]],autorest[author_es],autorest[language_la])</f>
        <v>Lingua Hispanica</v>
      </c>
      <c r="M1458" t="str">
        <f>_xlfn.XLOOKUP(frasest[[#This Row],[author_es]],autorest[author_es],autorest[nation_es])</f>
        <v>España</v>
      </c>
      <c r="N1458" t="str">
        <f>_xlfn.XLOOKUP(frasest[[#This Row],[author_es]],autorest[author_es],autorest[nation_la])</f>
        <v>Hispania</v>
      </c>
      <c r="O1458" t="str">
        <f>_xlfn.XLOOKUP(frasest[[#This Row],[author_es]],autorest[author_es],autorest[age_es])</f>
        <v>Edad Media</v>
      </c>
      <c r="P1458" t="str">
        <f>_xlfn.XLOOKUP(frasest[[#This Row],[author_es]],autorest[author_es],autorest[age_la])</f>
        <v>Medium Aevum</v>
      </c>
      <c r="Q1458" t="str">
        <f>_xlfn.XLOOKUP(frasest[[#This Row],[author_es]],autorest[author_es],autorest[image])</f>
        <v>https://i.ibb.co/DD8cx8tb/ignacioloiola.png</v>
      </c>
      <c r="R1458">
        <f>_xlfn.XLOOKUP(frasest[[#This Row],[author_es]],autorest[author_es],autorest[image_atr])</f>
        <v>0</v>
      </c>
    </row>
    <row r="1459" spans="1:18">
      <c r="A1459">
        <v>1458</v>
      </c>
      <c r="B1459" t="s">
        <v>4497</v>
      </c>
      <c r="C1459" t="s">
        <v>4498</v>
      </c>
      <c r="D1459" t="s">
        <v>4498</v>
      </c>
      <c r="E1459" t="s">
        <v>4487</v>
      </c>
      <c r="F1459" t="s">
        <v>4488</v>
      </c>
      <c r="G1459" t="str">
        <f>_xlfn.XLOOKUP(frasest[[#This Row],[author_es]],autorest[author_es],autorest[author_la])</f>
        <v>Sanctus Ignatius de Loyola</v>
      </c>
      <c r="H1459"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59"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59" t="str">
        <f>_xlfn.XLOOKUP(frasest[[#This Row],[author_es]],autorest[author_es],autorest[iso3691])</f>
        <v>es</v>
      </c>
      <c r="K1459" t="str">
        <f>_xlfn.XLOOKUP(frasest[[#This Row],[author_es]],autorest[author_es],autorest[language_es])</f>
        <v>Español</v>
      </c>
      <c r="L1459" t="str">
        <f>_xlfn.XLOOKUP(frasest[[#This Row],[author_es]],autorest[author_es],autorest[language_la])</f>
        <v>Lingua Hispanica</v>
      </c>
      <c r="M1459" t="str">
        <f>_xlfn.XLOOKUP(frasest[[#This Row],[author_es]],autorest[author_es],autorest[nation_es])</f>
        <v>España</v>
      </c>
      <c r="N1459" t="str">
        <f>_xlfn.XLOOKUP(frasest[[#This Row],[author_es]],autorest[author_es],autorest[nation_la])</f>
        <v>Hispania</v>
      </c>
      <c r="O1459" t="str">
        <f>_xlfn.XLOOKUP(frasest[[#This Row],[author_es]],autorest[author_es],autorest[age_es])</f>
        <v>Edad Media</v>
      </c>
      <c r="P1459" t="str">
        <f>_xlfn.XLOOKUP(frasest[[#This Row],[author_es]],autorest[author_es],autorest[age_la])</f>
        <v>Medium Aevum</v>
      </c>
      <c r="Q1459" t="str">
        <f>_xlfn.XLOOKUP(frasest[[#This Row],[author_es]],autorest[author_es],autorest[image])</f>
        <v>https://i.ibb.co/DD8cx8tb/ignacioloiola.png</v>
      </c>
      <c r="R1459">
        <f>_xlfn.XLOOKUP(frasest[[#This Row],[author_es]],autorest[author_es],autorest[image_atr])</f>
        <v>0</v>
      </c>
    </row>
    <row r="1460" spans="1:18">
      <c r="A1460">
        <v>1459</v>
      </c>
      <c r="B1460" t="s">
        <v>4499</v>
      </c>
      <c r="C1460" t="s">
        <v>4500</v>
      </c>
      <c r="D1460" t="s">
        <v>4500</v>
      </c>
      <c r="E1460" t="s">
        <v>4487</v>
      </c>
      <c r="F1460" t="s">
        <v>4488</v>
      </c>
      <c r="G1460" t="str">
        <f>_xlfn.XLOOKUP(frasest[[#This Row],[author_es]],autorest[author_es],autorest[author_la])</f>
        <v>Sanctus Ignatius de Loyola</v>
      </c>
      <c r="H1460"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0"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0" t="str">
        <f>_xlfn.XLOOKUP(frasest[[#This Row],[author_es]],autorest[author_es],autorest[iso3691])</f>
        <v>es</v>
      </c>
      <c r="K1460" t="str">
        <f>_xlfn.XLOOKUP(frasest[[#This Row],[author_es]],autorest[author_es],autorest[language_es])</f>
        <v>Español</v>
      </c>
      <c r="L1460" t="str">
        <f>_xlfn.XLOOKUP(frasest[[#This Row],[author_es]],autorest[author_es],autorest[language_la])</f>
        <v>Lingua Hispanica</v>
      </c>
      <c r="M1460" t="str">
        <f>_xlfn.XLOOKUP(frasest[[#This Row],[author_es]],autorest[author_es],autorest[nation_es])</f>
        <v>España</v>
      </c>
      <c r="N1460" t="str">
        <f>_xlfn.XLOOKUP(frasest[[#This Row],[author_es]],autorest[author_es],autorest[nation_la])</f>
        <v>Hispania</v>
      </c>
      <c r="O1460" t="str">
        <f>_xlfn.XLOOKUP(frasest[[#This Row],[author_es]],autorest[author_es],autorest[age_es])</f>
        <v>Edad Media</v>
      </c>
      <c r="P1460" t="str">
        <f>_xlfn.XLOOKUP(frasest[[#This Row],[author_es]],autorest[author_es],autorest[age_la])</f>
        <v>Medium Aevum</v>
      </c>
      <c r="Q1460" t="str">
        <f>_xlfn.XLOOKUP(frasest[[#This Row],[author_es]],autorest[author_es],autorest[image])</f>
        <v>https://i.ibb.co/DD8cx8tb/ignacioloiola.png</v>
      </c>
      <c r="R1460">
        <f>_xlfn.XLOOKUP(frasest[[#This Row],[author_es]],autorest[author_es],autorest[image_atr])</f>
        <v>0</v>
      </c>
    </row>
    <row r="1461" spans="1:18">
      <c r="A1461">
        <v>1460</v>
      </c>
      <c r="B1461" t="s">
        <v>4501</v>
      </c>
      <c r="C1461" t="s">
        <v>4502</v>
      </c>
      <c r="D1461" t="s">
        <v>4502</v>
      </c>
      <c r="E1461" t="s">
        <v>4487</v>
      </c>
      <c r="F1461" t="s">
        <v>4488</v>
      </c>
      <c r="G1461" t="str">
        <f>_xlfn.XLOOKUP(frasest[[#This Row],[author_es]],autorest[author_es],autorest[author_la])</f>
        <v>Sanctus Ignatius de Loyola</v>
      </c>
      <c r="H1461"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1"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1" t="str">
        <f>_xlfn.XLOOKUP(frasest[[#This Row],[author_es]],autorest[author_es],autorest[iso3691])</f>
        <v>es</v>
      </c>
      <c r="K1461" t="str">
        <f>_xlfn.XLOOKUP(frasest[[#This Row],[author_es]],autorest[author_es],autorest[language_es])</f>
        <v>Español</v>
      </c>
      <c r="L1461" t="str">
        <f>_xlfn.XLOOKUP(frasest[[#This Row],[author_es]],autorest[author_es],autorest[language_la])</f>
        <v>Lingua Hispanica</v>
      </c>
      <c r="M1461" t="str">
        <f>_xlfn.XLOOKUP(frasest[[#This Row],[author_es]],autorest[author_es],autorest[nation_es])</f>
        <v>España</v>
      </c>
      <c r="N1461" t="str">
        <f>_xlfn.XLOOKUP(frasest[[#This Row],[author_es]],autorest[author_es],autorest[nation_la])</f>
        <v>Hispania</v>
      </c>
      <c r="O1461" t="str">
        <f>_xlfn.XLOOKUP(frasest[[#This Row],[author_es]],autorest[author_es],autorest[age_es])</f>
        <v>Edad Media</v>
      </c>
      <c r="P1461" t="str">
        <f>_xlfn.XLOOKUP(frasest[[#This Row],[author_es]],autorest[author_es],autorest[age_la])</f>
        <v>Medium Aevum</v>
      </c>
      <c r="Q1461" t="str">
        <f>_xlfn.XLOOKUP(frasest[[#This Row],[author_es]],autorest[author_es],autorest[image])</f>
        <v>https://i.ibb.co/DD8cx8tb/ignacioloiola.png</v>
      </c>
      <c r="R1461">
        <f>_xlfn.XLOOKUP(frasest[[#This Row],[author_es]],autorest[author_es],autorest[image_atr])</f>
        <v>0</v>
      </c>
    </row>
    <row r="1462" spans="1:18">
      <c r="A1462">
        <v>1461</v>
      </c>
      <c r="B1462" t="s">
        <v>4503</v>
      </c>
      <c r="C1462" t="s">
        <v>4504</v>
      </c>
      <c r="D1462" t="s">
        <v>4504</v>
      </c>
      <c r="E1462" t="s">
        <v>4487</v>
      </c>
      <c r="F1462" t="s">
        <v>4488</v>
      </c>
      <c r="G1462" t="str">
        <f>_xlfn.XLOOKUP(frasest[[#This Row],[author_es]],autorest[author_es],autorest[author_la])</f>
        <v>Sanctus Ignatius de Loyola</v>
      </c>
      <c r="H1462"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2"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2" t="str">
        <f>_xlfn.XLOOKUP(frasest[[#This Row],[author_es]],autorest[author_es],autorest[iso3691])</f>
        <v>es</v>
      </c>
      <c r="K1462" t="str">
        <f>_xlfn.XLOOKUP(frasest[[#This Row],[author_es]],autorest[author_es],autorest[language_es])</f>
        <v>Español</v>
      </c>
      <c r="L1462" t="str">
        <f>_xlfn.XLOOKUP(frasest[[#This Row],[author_es]],autorest[author_es],autorest[language_la])</f>
        <v>Lingua Hispanica</v>
      </c>
      <c r="M1462" t="str">
        <f>_xlfn.XLOOKUP(frasest[[#This Row],[author_es]],autorest[author_es],autorest[nation_es])</f>
        <v>España</v>
      </c>
      <c r="N1462" t="str">
        <f>_xlfn.XLOOKUP(frasest[[#This Row],[author_es]],autorest[author_es],autorest[nation_la])</f>
        <v>Hispania</v>
      </c>
      <c r="O1462" t="str">
        <f>_xlfn.XLOOKUP(frasest[[#This Row],[author_es]],autorest[author_es],autorest[age_es])</f>
        <v>Edad Media</v>
      </c>
      <c r="P1462" t="str">
        <f>_xlfn.XLOOKUP(frasest[[#This Row],[author_es]],autorest[author_es],autorest[age_la])</f>
        <v>Medium Aevum</v>
      </c>
      <c r="Q1462" t="str">
        <f>_xlfn.XLOOKUP(frasest[[#This Row],[author_es]],autorest[author_es],autorest[image])</f>
        <v>https://i.ibb.co/DD8cx8tb/ignacioloiola.png</v>
      </c>
      <c r="R1462">
        <f>_xlfn.XLOOKUP(frasest[[#This Row],[author_es]],autorest[author_es],autorest[image_atr])</f>
        <v>0</v>
      </c>
    </row>
    <row r="1463" spans="1:18">
      <c r="A1463">
        <v>1462</v>
      </c>
      <c r="B1463" t="s">
        <v>4505</v>
      </c>
      <c r="C1463" t="s">
        <v>4506</v>
      </c>
      <c r="D1463" t="s">
        <v>4506</v>
      </c>
      <c r="E1463" t="s">
        <v>4487</v>
      </c>
      <c r="F1463" t="s">
        <v>4488</v>
      </c>
      <c r="G1463" t="str">
        <f>_xlfn.XLOOKUP(frasest[[#This Row],[author_es]],autorest[author_es],autorest[author_la])</f>
        <v>Sanctus Ignatius de Loyola</v>
      </c>
      <c r="H1463"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3"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3" t="str">
        <f>_xlfn.XLOOKUP(frasest[[#This Row],[author_es]],autorest[author_es],autorest[iso3691])</f>
        <v>es</v>
      </c>
      <c r="K1463" t="str">
        <f>_xlfn.XLOOKUP(frasest[[#This Row],[author_es]],autorest[author_es],autorest[language_es])</f>
        <v>Español</v>
      </c>
      <c r="L1463" t="str">
        <f>_xlfn.XLOOKUP(frasest[[#This Row],[author_es]],autorest[author_es],autorest[language_la])</f>
        <v>Lingua Hispanica</v>
      </c>
      <c r="M1463" t="str">
        <f>_xlfn.XLOOKUP(frasest[[#This Row],[author_es]],autorest[author_es],autorest[nation_es])</f>
        <v>España</v>
      </c>
      <c r="N1463" t="str">
        <f>_xlfn.XLOOKUP(frasest[[#This Row],[author_es]],autorest[author_es],autorest[nation_la])</f>
        <v>Hispania</v>
      </c>
      <c r="O1463" t="str">
        <f>_xlfn.XLOOKUP(frasest[[#This Row],[author_es]],autorest[author_es],autorest[age_es])</f>
        <v>Edad Media</v>
      </c>
      <c r="P1463" t="str">
        <f>_xlfn.XLOOKUP(frasest[[#This Row],[author_es]],autorest[author_es],autorest[age_la])</f>
        <v>Medium Aevum</v>
      </c>
      <c r="Q1463" t="str">
        <f>_xlfn.XLOOKUP(frasest[[#This Row],[author_es]],autorest[author_es],autorest[image])</f>
        <v>https://i.ibb.co/DD8cx8tb/ignacioloiola.png</v>
      </c>
      <c r="R1463">
        <f>_xlfn.XLOOKUP(frasest[[#This Row],[author_es]],autorest[author_es],autorest[image_atr])</f>
        <v>0</v>
      </c>
    </row>
    <row r="1464" spans="1:18">
      <c r="A1464">
        <v>1463</v>
      </c>
      <c r="B1464" t="s">
        <v>4507</v>
      </c>
      <c r="C1464" t="s">
        <v>4508</v>
      </c>
      <c r="D1464" t="s">
        <v>4508</v>
      </c>
      <c r="E1464" t="s">
        <v>4487</v>
      </c>
      <c r="F1464" t="s">
        <v>4488</v>
      </c>
      <c r="G1464" t="str">
        <f>_xlfn.XLOOKUP(frasest[[#This Row],[author_es]],autorest[author_es],autorest[author_la])</f>
        <v>Sanctus Ignatius de Loyola</v>
      </c>
      <c r="H1464"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4"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4" t="str">
        <f>_xlfn.XLOOKUP(frasest[[#This Row],[author_es]],autorest[author_es],autorest[iso3691])</f>
        <v>es</v>
      </c>
      <c r="K1464" t="str">
        <f>_xlfn.XLOOKUP(frasest[[#This Row],[author_es]],autorest[author_es],autorest[language_es])</f>
        <v>Español</v>
      </c>
      <c r="L1464" t="str">
        <f>_xlfn.XLOOKUP(frasest[[#This Row],[author_es]],autorest[author_es],autorest[language_la])</f>
        <v>Lingua Hispanica</v>
      </c>
      <c r="M1464" t="str">
        <f>_xlfn.XLOOKUP(frasest[[#This Row],[author_es]],autorest[author_es],autorest[nation_es])</f>
        <v>España</v>
      </c>
      <c r="N1464" t="str">
        <f>_xlfn.XLOOKUP(frasest[[#This Row],[author_es]],autorest[author_es],autorest[nation_la])</f>
        <v>Hispania</v>
      </c>
      <c r="O1464" t="str">
        <f>_xlfn.XLOOKUP(frasest[[#This Row],[author_es]],autorest[author_es],autorest[age_es])</f>
        <v>Edad Media</v>
      </c>
      <c r="P1464" t="str">
        <f>_xlfn.XLOOKUP(frasest[[#This Row],[author_es]],autorest[author_es],autorest[age_la])</f>
        <v>Medium Aevum</v>
      </c>
      <c r="Q1464" t="str">
        <f>_xlfn.XLOOKUP(frasest[[#This Row],[author_es]],autorest[author_es],autorest[image])</f>
        <v>https://i.ibb.co/DD8cx8tb/ignacioloiola.png</v>
      </c>
      <c r="R1464">
        <f>_xlfn.XLOOKUP(frasest[[#This Row],[author_es]],autorest[author_es],autorest[image_atr])</f>
        <v>0</v>
      </c>
    </row>
    <row r="1465" spans="1:18">
      <c r="A1465">
        <v>1464</v>
      </c>
      <c r="B1465" t="s">
        <v>4509</v>
      </c>
      <c r="C1465" t="s">
        <v>4510</v>
      </c>
      <c r="D1465" t="s">
        <v>4510</v>
      </c>
      <c r="E1465" t="s">
        <v>4487</v>
      </c>
      <c r="F1465" t="s">
        <v>4488</v>
      </c>
      <c r="G1465" t="str">
        <f>_xlfn.XLOOKUP(frasest[[#This Row],[author_es]],autorest[author_es],autorest[author_la])</f>
        <v>Sanctus Ignatius de Loyola</v>
      </c>
      <c r="H1465"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5"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5" t="str">
        <f>_xlfn.XLOOKUP(frasest[[#This Row],[author_es]],autorest[author_es],autorest[iso3691])</f>
        <v>es</v>
      </c>
      <c r="K1465" t="str">
        <f>_xlfn.XLOOKUP(frasest[[#This Row],[author_es]],autorest[author_es],autorest[language_es])</f>
        <v>Español</v>
      </c>
      <c r="L1465" t="str">
        <f>_xlfn.XLOOKUP(frasest[[#This Row],[author_es]],autorest[author_es],autorest[language_la])</f>
        <v>Lingua Hispanica</v>
      </c>
      <c r="M1465" t="str">
        <f>_xlfn.XLOOKUP(frasest[[#This Row],[author_es]],autorest[author_es],autorest[nation_es])</f>
        <v>España</v>
      </c>
      <c r="N1465" t="str">
        <f>_xlfn.XLOOKUP(frasest[[#This Row],[author_es]],autorest[author_es],autorest[nation_la])</f>
        <v>Hispania</v>
      </c>
      <c r="O1465" t="str">
        <f>_xlfn.XLOOKUP(frasest[[#This Row],[author_es]],autorest[author_es],autorest[age_es])</f>
        <v>Edad Media</v>
      </c>
      <c r="P1465" t="str">
        <f>_xlfn.XLOOKUP(frasest[[#This Row],[author_es]],autorest[author_es],autorest[age_la])</f>
        <v>Medium Aevum</v>
      </c>
      <c r="Q1465" t="str">
        <f>_xlfn.XLOOKUP(frasest[[#This Row],[author_es]],autorest[author_es],autorest[image])</f>
        <v>https://i.ibb.co/DD8cx8tb/ignacioloiola.png</v>
      </c>
      <c r="R1465">
        <f>_xlfn.XLOOKUP(frasest[[#This Row],[author_es]],autorest[author_es],autorest[image_atr])</f>
        <v>0</v>
      </c>
    </row>
    <row r="1466" spans="1:18">
      <c r="A1466">
        <v>1465</v>
      </c>
      <c r="B1466" t="s">
        <v>4511</v>
      </c>
      <c r="C1466" t="s">
        <v>4512</v>
      </c>
      <c r="D1466" t="s">
        <v>4512</v>
      </c>
      <c r="E1466" t="s">
        <v>4487</v>
      </c>
      <c r="F1466" t="s">
        <v>4488</v>
      </c>
      <c r="G1466" t="str">
        <f>_xlfn.XLOOKUP(frasest[[#This Row],[author_es]],autorest[author_es],autorest[author_la])</f>
        <v>Sanctus Ignatius de Loyola</v>
      </c>
      <c r="H1466"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6"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6" t="str">
        <f>_xlfn.XLOOKUP(frasest[[#This Row],[author_es]],autorest[author_es],autorest[iso3691])</f>
        <v>es</v>
      </c>
      <c r="K1466" t="str">
        <f>_xlfn.XLOOKUP(frasest[[#This Row],[author_es]],autorest[author_es],autorest[language_es])</f>
        <v>Español</v>
      </c>
      <c r="L1466" t="str">
        <f>_xlfn.XLOOKUP(frasest[[#This Row],[author_es]],autorest[author_es],autorest[language_la])</f>
        <v>Lingua Hispanica</v>
      </c>
      <c r="M1466" t="str">
        <f>_xlfn.XLOOKUP(frasest[[#This Row],[author_es]],autorest[author_es],autorest[nation_es])</f>
        <v>España</v>
      </c>
      <c r="N1466" t="str">
        <f>_xlfn.XLOOKUP(frasest[[#This Row],[author_es]],autorest[author_es],autorest[nation_la])</f>
        <v>Hispania</v>
      </c>
      <c r="O1466" t="str">
        <f>_xlfn.XLOOKUP(frasest[[#This Row],[author_es]],autorest[author_es],autorest[age_es])</f>
        <v>Edad Media</v>
      </c>
      <c r="P1466" t="str">
        <f>_xlfn.XLOOKUP(frasest[[#This Row],[author_es]],autorest[author_es],autorest[age_la])</f>
        <v>Medium Aevum</v>
      </c>
      <c r="Q1466" t="str">
        <f>_xlfn.XLOOKUP(frasest[[#This Row],[author_es]],autorest[author_es],autorest[image])</f>
        <v>https://i.ibb.co/DD8cx8tb/ignacioloiola.png</v>
      </c>
      <c r="R1466">
        <f>_xlfn.XLOOKUP(frasest[[#This Row],[author_es]],autorest[author_es],autorest[image_atr])</f>
        <v>0</v>
      </c>
    </row>
    <row r="1467" spans="1:18">
      <c r="A1467">
        <v>1466</v>
      </c>
      <c r="B1467" t="s">
        <v>4513</v>
      </c>
      <c r="C1467" t="s">
        <v>4514</v>
      </c>
      <c r="D1467" t="s">
        <v>4514</v>
      </c>
      <c r="E1467" t="s">
        <v>4487</v>
      </c>
      <c r="F1467" t="s">
        <v>4488</v>
      </c>
      <c r="G1467" t="str">
        <f>_xlfn.XLOOKUP(frasest[[#This Row],[author_es]],autorest[author_es],autorest[author_la])</f>
        <v>Sanctus Ignatius de Loyola</v>
      </c>
      <c r="H1467" t="str">
        <f>_xlfn.XLOOKUP(frasest[[#This Row],[author_es]],autorest[author_es],autorest[bio_es])</f>
        <v>Militar y sacerdote vasco fundador y primer general de la Compañía de Jesús autor de los Ejercicios Espirituales figura clave de la Contrarreforma que estableció una orden religiosa basada en la obediencia al papa y el discernimiento espiritual</v>
      </c>
      <c r="I1467" t="str">
        <f>_xlfn.XLOOKUP(frasest[[#This Row],[author_es]],autorest[author_es],autorest[bio_la])</f>
        <v>Miles et sacerdos Vascus fundator et primus generalis Societatis Iesu auctor Exercitiorum Spiritualium figura principalis Contrareformationis qui ordinem religiosum in oboedientia ad papam et discretione spirituali fundavit</v>
      </c>
      <c r="J1467" t="str">
        <f>_xlfn.XLOOKUP(frasest[[#This Row],[author_es]],autorest[author_es],autorest[iso3691])</f>
        <v>es</v>
      </c>
      <c r="K1467" t="str">
        <f>_xlfn.XLOOKUP(frasest[[#This Row],[author_es]],autorest[author_es],autorest[language_es])</f>
        <v>Español</v>
      </c>
      <c r="L1467" t="str">
        <f>_xlfn.XLOOKUP(frasest[[#This Row],[author_es]],autorest[author_es],autorest[language_la])</f>
        <v>Lingua Hispanica</v>
      </c>
      <c r="M1467" t="str">
        <f>_xlfn.XLOOKUP(frasest[[#This Row],[author_es]],autorest[author_es],autorest[nation_es])</f>
        <v>España</v>
      </c>
      <c r="N1467" t="str">
        <f>_xlfn.XLOOKUP(frasest[[#This Row],[author_es]],autorest[author_es],autorest[nation_la])</f>
        <v>Hispania</v>
      </c>
      <c r="O1467" t="str">
        <f>_xlfn.XLOOKUP(frasest[[#This Row],[author_es]],autorest[author_es],autorest[age_es])</f>
        <v>Edad Media</v>
      </c>
      <c r="P1467" t="str">
        <f>_xlfn.XLOOKUP(frasest[[#This Row],[author_es]],autorest[author_es],autorest[age_la])</f>
        <v>Medium Aevum</v>
      </c>
      <c r="Q1467" t="str">
        <f>_xlfn.XLOOKUP(frasest[[#This Row],[author_es]],autorest[author_es],autorest[image])</f>
        <v>https://i.ibb.co/DD8cx8tb/ignacioloiola.png</v>
      </c>
      <c r="R1467">
        <f>_xlfn.XLOOKUP(frasest[[#This Row],[author_es]],autorest[author_es],autorest[image_atr])</f>
        <v>0</v>
      </c>
    </row>
    <row r="1468" spans="1:18">
      <c r="A1468">
        <v>1467</v>
      </c>
      <c r="B1468" t="s">
        <v>4515</v>
      </c>
      <c r="C1468" t="s">
        <v>4516</v>
      </c>
      <c r="D1468" t="s">
        <v>4517</v>
      </c>
      <c r="E1468" t="s">
        <v>4518</v>
      </c>
      <c r="F1468" t="s">
        <v>4519</v>
      </c>
      <c r="G1468" t="str">
        <f>_xlfn.XLOOKUP(frasest[[#This Row],[author_es]],autorest[author_es],autorest[author_la])</f>
        <v>Homerus</v>
      </c>
      <c r="H1468" t="str">
        <f>_xlfn.XLOOKUP(frasest[[#This Row],[author_es]],autorest[author_es],autorest[bio_es])</f>
        <v>Poeta épico griego autor de la Ilíada y la Odisea, las dos obras fundamentales de la literatura griega antigua y occidental.</v>
      </c>
      <c r="I1468" t="str">
        <f>_xlfn.XLOOKUP(frasest[[#This Row],[author_es]],autorest[author_es],autorest[bio_la])</f>
        <v>Poeta epicus Graecus auctor Iliadis et Odysseae, duo opera fundamentalia litteraturae Graecae antiquae et occidentalis.</v>
      </c>
      <c r="J1468" t="str">
        <f>_xlfn.XLOOKUP(frasest[[#This Row],[author_es]],autorest[author_es],autorest[iso3691])</f>
        <v>el</v>
      </c>
      <c r="K1468" t="str">
        <f>_xlfn.XLOOKUP(frasest[[#This Row],[author_es]],autorest[author_es],autorest[language_es])</f>
        <v>Griego</v>
      </c>
      <c r="L1468" t="str">
        <f>_xlfn.XLOOKUP(frasest[[#This Row],[author_es]],autorest[author_es],autorest[language_la])</f>
        <v>Lingua Graeca</v>
      </c>
      <c r="M1468" t="str">
        <f>_xlfn.XLOOKUP(frasest[[#This Row],[author_es]],autorest[author_es],autorest[nation_es])</f>
        <v>Grecia</v>
      </c>
      <c r="N1468" t="str">
        <f>_xlfn.XLOOKUP(frasest[[#This Row],[author_es]],autorest[author_es],autorest[nation_la])</f>
        <v>Graecia</v>
      </c>
      <c r="O1468" t="str">
        <f>_xlfn.XLOOKUP(frasest[[#This Row],[author_es]],autorest[author_es],autorest[age_es])</f>
        <v>Edad Antigua</v>
      </c>
      <c r="P1468" t="str">
        <f>_xlfn.XLOOKUP(frasest[[#This Row],[author_es]],autorest[author_es],autorest[age_la])</f>
        <v>Antiquitas</v>
      </c>
      <c r="Q1468" t="str">
        <f>_xlfn.XLOOKUP(frasest[[#This Row],[author_es]],autorest[author_es],autorest[image])</f>
        <v>https://i.ibb.co/7Nb8gNJ3/homero.png</v>
      </c>
      <c r="R1468">
        <f>_xlfn.XLOOKUP(frasest[[#This Row],[author_es]],autorest[author_es],autorest[image_atr])</f>
        <v>0</v>
      </c>
    </row>
    <row r="1469" spans="1:18">
      <c r="A1469">
        <v>1468</v>
      </c>
      <c r="B1469" t="s">
        <v>4520</v>
      </c>
      <c r="C1469" t="s">
        <v>4521</v>
      </c>
      <c r="D1469" t="s">
        <v>4522</v>
      </c>
      <c r="E1469" t="s">
        <v>4518</v>
      </c>
      <c r="F1469" t="s">
        <v>4523</v>
      </c>
      <c r="G1469" t="str">
        <f>_xlfn.XLOOKUP(frasest[[#This Row],[author_es]],autorest[author_es],autorest[author_la])</f>
        <v>Homerus</v>
      </c>
      <c r="H1469" t="str">
        <f>_xlfn.XLOOKUP(frasest[[#This Row],[author_es]],autorest[author_es],autorest[bio_es])</f>
        <v>Poeta épico griego autor de la Ilíada y la Odisea, las dos obras fundamentales de la literatura griega antigua y occidental.</v>
      </c>
      <c r="I1469" t="str">
        <f>_xlfn.XLOOKUP(frasest[[#This Row],[author_es]],autorest[author_es],autorest[bio_la])</f>
        <v>Poeta epicus Graecus auctor Iliadis et Odysseae, duo opera fundamentalia litteraturae Graecae antiquae et occidentalis.</v>
      </c>
      <c r="J1469" t="str">
        <f>_xlfn.XLOOKUP(frasest[[#This Row],[author_es]],autorest[author_es],autorest[iso3691])</f>
        <v>el</v>
      </c>
      <c r="K1469" t="str">
        <f>_xlfn.XLOOKUP(frasest[[#This Row],[author_es]],autorest[author_es],autorest[language_es])</f>
        <v>Griego</v>
      </c>
      <c r="L1469" t="str">
        <f>_xlfn.XLOOKUP(frasest[[#This Row],[author_es]],autorest[author_es],autorest[language_la])</f>
        <v>Lingua Graeca</v>
      </c>
      <c r="M1469" t="str">
        <f>_xlfn.XLOOKUP(frasest[[#This Row],[author_es]],autorest[author_es],autorest[nation_es])</f>
        <v>Grecia</v>
      </c>
      <c r="N1469" t="str">
        <f>_xlfn.XLOOKUP(frasest[[#This Row],[author_es]],autorest[author_es],autorest[nation_la])</f>
        <v>Graecia</v>
      </c>
      <c r="O1469" t="str">
        <f>_xlfn.XLOOKUP(frasest[[#This Row],[author_es]],autorest[author_es],autorest[age_es])</f>
        <v>Edad Antigua</v>
      </c>
      <c r="P1469" t="str">
        <f>_xlfn.XLOOKUP(frasest[[#This Row],[author_es]],autorest[author_es],autorest[age_la])</f>
        <v>Antiquitas</v>
      </c>
      <c r="Q1469" t="str">
        <f>_xlfn.XLOOKUP(frasest[[#This Row],[author_es]],autorest[author_es],autorest[image])</f>
        <v>https://i.ibb.co/7Nb8gNJ3/homero.png</v>
      </c>
      <c r="R1469">
        <f>_xlfn.XLOOKUP(frasest[[#This Row],[author_es]],autorest[author_es],autorest[image_atr])</f>
        <v>0</v>
      </c>
    </row>
    <row r="1470" spans="1:18">
      <c r="A1470">
        <v>1469</v>
      </c>
      <c r="B1470" t="s">
        <v>4524</v>
      </c>
      <c r="C1470" t="s">
        <v>4525</v>
      </c>
      <c r="D1470" t="s">
        <v>4526</v>
      </c>
      <c r="E1470" t="s">
        <v>4518</v>
      </c>
      <c r="F1470" t="s">
        <v>4519</v>
      </c>
      <c r="G1470" t="str">
        <f>_xlfn.XLOOKUP(frasest[[#This Row],[author_es]],autorest[author_es],autorest[author_la])</f>
        <v>Homerus</v>
      </c>
      <c r="H1470" t="str">
        <f>_xlfn.XLOOKUP(frasest[[#This Row],[author_es]],autorest[author_es],autorest[bio_es])</f>
        <v>Poeta épico griego autor de la Ilíada y la Odisea, las dos obras fundamentales de la literatura griega antigua y occidental.</v>
      </c>
      <c r="I1470" t="str">
        <f>_xlfn.XLOOKUP(frasest[[#This Row],[author_es]],autorest[author_es],autorest[bio_la])</f>
        <v>Poeta epicus Graecus auctor Iliadis et Odysseae, duo opera fundamentalia litteraturae Graecae antiquae et occidentalis.</v>
      </c>
      <c r="J1470" t="str">
        <f>_xlfn.XLOOKUP(frasest[[#This Row],[author_es]],autorest[author_es],autorest[iso3691])</f>
        <v>el</v>
      </c>
      <c r="K1470" t="str">
        <f>_xlfn.XLOOKUP(frasest[[#This Row],[author_es]],autorest[author_es],autorest[language_es])</f>
        <v>Griego</v>
      </c>
      <c r="L1470" t="str">
        <f>_xlfn.XLOOKUP(frasest[[#This Row],[author_es]],autorest[author_es],autorest[language_la])</f>
        <v>Lingua Graeca</v>
      </c>
      <c r="M1470" t="str">
        <f>_xlfn.XLOOKUP(frasest[[#This Row],[author_es]],autorest[author_es],autorest[nation_es])</f>
        <v>Grecia</v>
      </c>
      <c r="N1470" t="str">
        <f>_xlfn.XLOOKUP(frasest[[#This Row],[author_es]],autorest[author_es],autorest[nation_la])</f>
        <v>Graecia</v>
      </c>
      <c r="O1470" t="str">
        <f>_xlfn.XLOOKUP(frasest[[#This Row],[author_es]],autorest[author_es],autorest[age_es])</f>
        <v>Edad Antigua</v>
      </c>
      <c r="P1470" t="str">
        <f>_xlfn.XLOOKUP(frasest[[#This Row],[author_es]],autorest[author_es],autorest[age_la])</f>
        <v>Antiquitas</v>
      </c>
      <c r="Q1470" t="str">
        <f>_xlfn.XLOOKUP(frasest[[#This Row],[author_es]],autorest[author_es],autorest[image])</f>
        <v>https://i.ibb.co/7Nb8gNJ3/homero.png</v>
      </c>
      <c r="R1470">
        <f>_xlfn.XLOOKUP(frasest[[#This Row],[author_es]],autorest[author_es],autorest[image_atr])</f>
        <v>0</v>
      </c>
    </row>
    <row r="1471" spans="1:18">
      <c r="A1471">
        <v>1470</v>
      </c>
      <c r="B1471" t="s">
        <v>4527</v>
      </c>
      <c r="C1471" t="s">
        <v>4528</v>
      </c>
      <c r="D1471" t="s">
        <v>4529</v>
      </c>
      <c r="E1471" t="s">
        <v>4518</v>
      </c>
      <c r="F1471" t="s">
        <v>4530</v>
      </c>
      <c r="G1471" t="str">
        <f>_xlfn.XLOOKUP(frasest[[#This Row],[author_es]],autorest[author_es],autorest[author_la])</f>
        <v>Homerus</v>
      </c>
      <c r="H1471" t="str">
        <f>_xlfn.XLOOKUP(frasest[[#This Row],[author_es]],autorest[author_es],autorest[bio_es])</f>
        <v>Poeta épico griego autor de la Ilíada y la Odisea, las dos obras fundamentales de la literatura griega antigua y occidental.</v>
      </c>
      <c r="I1471" t="str">
        <f>_xlfn.XLOOKUP(frasest[[#This Row],[author_es]],autorest[author_es],autorest[bio_la])</f>
        <v>Poeta epicus Graecus auctor Iliadis et Odysseae, duo opera fundamentalia litteraturae Graecae antiquae et occidentalis.</v>
      </c>
      <c r="J1471" t="str">
        <f>_xlfn.XLOOKUP(frasest[[#This Row],[author_es]],autorest[author_es],autorest[iso3691])</f>
        <v>el</v>
      </c>
      <c r="K1471" t="str">
        <f>_xlfn.XLOOKUP(frasest[[#This Row],[author_es]],autorest[author_es],autorest[language_es])</f>
        <v>Griego</v>
      </c>
      <c r="L1471" t="str">
        <f>_xlfn.XLOOKUP(frasest[[#This Row],[author_es]],autorest[author_es],autorest[language_la])</f>
        <v>Lingua Graeca</v>
      </c>
      <c r="M1471" t="str">
        <f>_xlfn.XLOOKUP(frasest[[#This Row],[author_es]],autorest[author_es],autorest[nation_es])</f>
        <v>Grecia</v>
      </c>
      <c r="N1471" t="str">
        <f>_xlfn.XLOOKUP(frasest[[#This Row],[author_es]],autorest[author_es],autorest[nation_la])</f>
        <v>Graecia</v>
      </c>
      <c r="O1471" t="str">
        <f>_xlfn.XLOOKUP(frasest[[#This Row],[author_es]],autorest[author_es],autorest[age_es])</f>
        <v>Edad Antigua</v>
      </c>
      <c r="P1471" t="str">
        <f>_xlfn.XLOOKUP(frasest[[#This Row],[author_es]],autorest[author_es],autorest[age_la])</f>
        <v>Antiquitas</v>
      </c>
      <c r="Q1471" t="str">
        <f>_xlfn.XLOOKUP(frasest[[#This Row],[author_es]],autorest[author_es],autorest[image])</f>
        <v>https://i.ibb.co/7Nb8gNJ3/homero.png</v>
      </c>
      <c r="R1471">
        <f>_xlfn.XLOOKUP(frasest[[#This Row],[author_es]],autorest[author_es],autorest[image_atr])</f>
        <v>0</v>
      </c>
    </row>
    <row r="1472" spans="1:18">
      <c r="A1472">
        <v>1471</v>
      </c>
      <c r="B1472" t="s">
        <v>4531</v>
      </c>
      <c r="C1472" t="s">
        <v>4532</v>
      </c>
      <c r="D1472" t="s">
        <v>4533</v>
      </c>
      <c r="E1472" t="s">
        <v>4518</v>
      </c>
      <c r="F1472" t="s">
        <v>4534</v>
      </c>
      <c r="G1472" t="str">
        <f>_xlfn.XLOOKUP(frasest[[#This Row],[author_es]],autorest[author_es],autorest[author_la])</f>
        <v>Homerus</v>
      </c>
      <c r="H1472" t="str">
        <f>_xlfn.XLOOKUP(frasest[[#This Row],[author_es]],autorest[author_es],autorest[bio_es])</f>
        <v>Poeta épico griego autor de la Ilíada y la Odisea, las dos obras fundamentales de la literatura griega antigua y occidental.</v>
      </c>
      <c r="I1472" t="str">
        <f>_xlfn.XLOOKUP(frasest[[#This Row],[author_es]],autorest[author_es],autorest[bio_la])</f>
        <v>Poeta epicus Graecus auctor Iliadis et Odysseae, duo opera fundamentalia litteraturae Graecae antiquae et occidentalis.</v>
      </c>
      <c r="J1472" t="str">
        <f>_xlfn.XLOOKUP(frasest[[#This Row],[author_es]],autorest[author_es],autorest[iso3691])</f>
        <v>el</v>
      </c>
      <c r="K1472" t="str">
        <f>_xlfn.XLOOKUP(frasest[[#This Row],[author_es]],autorest[author_es],autorest[language_es])</f>
        <v>Griego</v>
      </c>
      <c r="L1472" t="str">
        <f>_xlfn.XLOOKUP(frasest[[#This Row],[author_es]],autorest[author_es],autorest[language_la])</f>
        <v>Lingua Graeca</v>
      </c>
      <c r="M1472" t="str">
        <f>_xlfn.XLOOKUP(frasest[[#This Row],[author_es]],autorest[author_es],autorest[nation_es])</f>
        <v>Grecia</v>
      </c>
      <c r="N1472" t="str">
        <f>_xlfn.XLOOKUP(frasest[[#This Row],[author_es]],autorest[author_es],autorest[nation_la])</f>
        <v>Graecia</v>
      </c>
      <c r="O1472" t="str">
        <f>_xlfn.XLOOKUP(frasest[[#This Row],[author_es]],autorest[author_es],autorest[age_es])</f>
        <v>Edad Antigua</v>
      </c>
      <c r="P1472" t="str">
        <f>_xlfn.XLOOKUP(frasest[[#This Row],[author_es]],autorest[author_es],autorest[age_la])</f>
        <v>Antiquitas</v>
      </c>
      <c r="Q1472" t="str">
        <f>_xlfn.XLOOKUP(frasest[[#This Row],[author_es]],autorest[author_es],autorest[image])</f>
        <v>https://i.ibb.co/7Nb8gNJ3/homero.png</v>
      </c>
      <c r="R1472">
        <f>_xlfn.XLOOKUP(frasest[[#This Row],[author_es]],autorest[author_es],autorest[image_atr])</f>
        <v>0</v>
      </c>
    </row>
    <row r="1473" spans="1:18">
      <c r="A1473">
        <v>1472</v>
      </c>
      <c r="B1473" t="s">
        <v>4535</v>
      </c>
      <c r="C1473" t="s">
        <v>4536</v>
      </c>
      <c r="D1473" t="s">
        <v>4537</v>
      </c>
      <c r="E1473" t="s">
        <v>4518</v>
      </c>
      <c r="F1473" t="s">
        <v>4538</v>
      </c>
      <c r="G1473" t="str">
        <f>_xlfn.XLOOKUP(frasest[[#This Row],[author_es]],autorest[author_es],autorest[author_la])</f>
        <v>Homerus</v>
      </c>
      <c r="H1473" t="str">
        <f>_xlfn.XLOOKUP(frasest[[#This Row],[author_es]],autorest[author_es],autorest[bio_es])</f>
        <v>Poeta épico griego autor de la Ilíada y la Odisea, las dos obras fundamentales de la literatura griega antigua y occidental.</v>
      </c>
      <c r="I1473" t="str">
        <f>_xlfn.XLOOKUP(frasest[[#This Row],[author_es]],autorest[author_es],autorest[bio_la])</f>
        <v>Poeta epicus Graecus auctor Iliadis et Odysseae, duo opera fundamentalia litteraturae Graecae antiquae et occidentalis.</v>
      </c>
      <c r="J1473" t="str">
        <f>_xlfn.XLOOKUP(frasest[[#This Row],[author_es]],autorest[author_es],autorest[iso3691])</f>
        <v>el</v>
      </c>
      <c r="K1473" t="str">
        <f>_xlfn.XLOOKUP(frasest[[#This Row],[author_es]],autorest[author_es],autorest[language_es])</f>
        <v>Griego</v>
      </c>
      <c r="L1473" t="str">
        <f>_xlfn.XLOOKUP(frasest[[#This Row],[author_es]],autorest[author_es],autorest[language_la])</f>
        <v>Lingua Graeca</v>
      </c>
      <c r="M1473" t="str">
        <f>_xlfn.XLOOKUP(frasest[[#This Row],[author_es]],autorest[author_es],autorest[nation_es])</f>
        <v>Grecia</v>
      </c>
      <c r="N1473" t="str">
        <f>_xlfn.XLOOKUP(frasest[[#This Row],[author_es]],autorest[author_es],autorest[nation_la])</f>
        <v>Graecia</v>
      </c>
      <c r="O1473" t="str">
        <f>_xlfn.XLOOKUP(frasest[[#This Row],[author_es]],autorest[author_es],autorest[age_es])</f>
        <v>Edad Antigua</v>
      </c>
      <c r="P1473" t="str">
        <f>_xlfn.XLOOKUP(frasest[[#This Row],[author_es]],autorest[author_es],autorest[age_la])</f>
        <v>Antiquitas</v>
      </c>
      <c r="Q1473" t="str">
        <f>_xlfn.XLOOKUP(frasest[[#This Row],[author_es]],autorest[author_es],autorest[image])</f>
        <v>https://i.ibb.co/7Nb8gNJ3/homero.png</v>
      </c>
      <c r="R1473">
        <f>_xlfn.XLOOKUP(frasest[[#This Row],[author_es]],autorest[author_es],autorest[image_atr])</f>
        <v>0</v>
      </c>
    </row>
    <row r="1474" spans="1:18">
      <c r="A1474">
        <v>1473</v>
      </c>
      <c r="B1474" t="s">
        <v>4539</v>
      </c>
      <c r="C1474" t="s">
        <v>4540</v>
      </c>
      <c r="D1474" t="s">
        <v>4540</v>
      </c>
      <c r="E1474" t="s">
        <v>4541</v>
      </c>
      <c r="F1474" t="s">
        <v>4542</v>
      </c>
      <c r="G1474" t="str">
        <f>_xlfn.XLOOKUP(frasest[[#This Row],[author_es]],autorest[author_es],autorest[author_la])</f>
        <v>Sanctus Bonaventura</v>
      </c>
      <c r="H1474"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4"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4" t="str">
        <f>_xlfn.XLOOKUP(frasest[[#This Row],[author_es]],autorest[author_es],autorest[iso3691])</f>
        <v>la</v>
      </c>
      <c r="K1474" t="str">
        <f>_xlfn.XLOOKUP(frasest[[#This Row],[author_es]],autorest[author_es],autorest[language_es])</f>
        <v>Latín</v>
      </c>
      <c r="L1474" t="str">
        <f>_xlfn.XLOOKUP(frasest[[#This Row],[author_es]],autorest[author_es],autorest[language_la])</f>
        <v>Lingua Latina</v>
      </c>
      <c r="M1474" t="str">
        <f>_xlfn.XLOOKUP(frasest[[#This Row],[author_es]],autorest[author_es],autorest[nation_es])</f>
        <v>Italia</v>
      </c>
      <c r="N1474" t="str">
        <f>_xlfn.XLOOKUP(frasest[[#This Row],[author_es]],autorest[author_es],autorest[nation_la])</f>
        <v>Italia</v>
      </c>
      <c r="O1474" t="str">
        <f>_xlfn.XLOOKUP(frasest[[#This Row],[author_es]],autorest[author_es],autorest[age_es])</f>
        <v>Edad Media</v>
      </c>
      <c r="P1474" t="str">
        <f>_xlfn.XLOOKUP(frasest[[#This Row],[author_es]],autorest[author_es],autorest[age_la])</f>
        <v>Medium Aevum</v>
      </c>
      <c r="Q1474" t="str">
        <f>_xlfn.XLOOKUP(frasest[[#This Row],[author_es]],autorest[author_es],autorest[image])</f>
        <v>https://i.ibb.co/Z129mSh3/buenaventura.png</v>
      </c>
      <c r="R1474">
        <f>_xlfn.XLOOKUP(frasest[[#This Row],[author_es]],autorest[author_es],autorest[image_atr])</f>
        <v>0</v>
      </c>
    </row>
    <row r="1475" spans="1:18">
      <c r="A1475">
        <v>1474</v>
      </c>
      <c r="B1475" t="s">
        <v>4543</v>
      </c>
      <c r="C1475" t="s">
        <v>4544</v>
      </c>
      <c r="D1475" t="s">
        <v>4544</v>
      </c>
      <c r="E1475" t="s">
        <v>4541</v>
      </c>
      <c r="F1475" t="s">
        <v>4545</v>
      </c>
      <c r="G1475" t="str">
        <f>_xlfn.XLOOKUP(frasest[[#This Row],[author_es]],autorest[author_es],autorest[author_la])</f>
        <v>Sanctus Bonaventura</v>
      </c>
      <c r="H1475"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5"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5" t="str">
        <f>_xlfn.XLOOKUP(frasest[[#This Row],[author_es]],autorest[author_es],autorest[iso3691])</f>
        <v>la</v>
      </c>
      <c r="K1475" t="str">
        <f>_xlfn.XLOOKUP(frasest[[#This Row],[author_es]],autorest[author_es],autorest[language_es])</f>
        <v>Latín</v>
      </c>
      <c r="L1475" t="str">
        <f>_xlfn.XLOOKUP(frasest[[#This Row],[author_es]],autorest[author_es],autorest[language_la])</f>
        <v>Lingua Latina</v>
      </c>
      <c r="M1475" t="str">
        <f>_xlfn.XLOOKUP(frasest[[#This Row],[author_es]],autorest[author_es],autorest[nation_es])</f>
        <v>Italia</v>
      </c>
      <c r="N1475" t="str">
        <f>_xlfn.XLOOKUP(frasest[[#This Row],[author_es]],autorest[author_es],autorest[nation_la])</f>
        <v>Italia</v>
      </c>
      <c r="O1475" t="str">
        <f>_xlfn.XLOOKUP(frasest[[#This Row],[author_es]],autorest[author_es],autorest[age_es])</f>
        <v>Edad Media</v>
      </c>
      <c r="P1475" t="str">
        <f>_xlfn.XLOOKUP(frasest[[#This Row],[author_es]],autorest[author_es],autorest[age_la])</f>
        <v>Medium Aevum</v>
      </c>
      <c r="Q1475" t="str">
        <f>_xlfn.XLOOKUP(frasest[[#This Row],[author_es]],autorest[author_es],autorest[image])</f>
        <v>https://i.ibb.co/Z129mSh3/buenaventura.png</v>
      </c>
      <c r="R1475">
        <f>_xlfn.XLOOKUP(frasest[[#This Row],[author_es]],autorest[author_es],autorest[image_atr])</f>
        <v>0</v>
      </c>
    </row>
    <row r="1476" spans="1:18">
      <c r="A1476">
        <v>1475</v>
      </c>
      <c r="B1476" t="s">
        <v>4546</v>
      </c>
      <c r="C1476" t="s">
        <v>4547</v>
      </c>
      <c r="D1476" t="s">
        <v>4547</v>
      </c>
      <c r="E1476" t="s">
        <v>4541</v>
      </c>
      <c r="F1476" t="s">
        <v>4548</v>
      </c>
      <c r="G1476" t="str">
        <f>_xlfn.XLOOKUP(frasest[[#This Row],[author_es]],autorest[author_es],autorest[author_la])</f>
        <v>Sanctus Bonaventura</v>
      </c>
      <c r="H1476"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6"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6" t="str">
        <f>_xlfn.XLOOKUP(frasest[[#This Row],[author_es]],autorest[author_es],autorest[iso3691])</f>
        <v>la</v>
      </c>
      <c r="K1476" t="str">
        <f>_xlfn.XLOOKUP(frasest[[#This Row],[author_es]],autorest[author_es],autorest[language_es])</f>
        <v>Latín</v>
      </c>
      <c r="L1476" t="str">
        <f>_xlfn.XLOOKUP(frasest[[#This Row],[author_es]],autorest[author_es],autorest[language_la])</f>
        <v>Lingua Latina</v>
      </c>
      <c r="M1476" t="str">
        <f>_xlfn.XLOOKUP(frasest[[#This Row],[author_es]],autorest[author_es],autorest[nation_es])</f>
        <v>Italia</v>
      </c>
      <c r="N1476" t="str">
        <f>_xlfn.XLOOKUP(frasest[[#This Row],[author_es]],autorest[author_es],autorest[nation_la])</f>
        <v>Italia</v>
      </c>
      <c r="O1476" t="str">
        <f>_xlfn.XLOOKUP(frasest[[#This Row],[author_es]],autorest[author_es],autorest[age_es])</f>
        <v>Edad Media</v>
      </c>
      <c r="P1476" t="str">
        <f>_xlfn.XLOOKUP(frasest[[#This Row],[author_es]],autorest[author_es],autorest[age_la])</f>
        <v>Medium Aevum</v>
      </c>
      <c r="Q1476" t="str">
        <f>_xlfn.XLOOKUP(frasest[[#This Row],[author_es]],autorest[author_es],autorest[image])</f>
        <v>https://i.ibb.co/Z129mSh3/buenaventura.png</v>
      </c>
      <c r="R1476">
        <f>_xlfn.XLOOKUP(frasest[[#This Row],[author_es]],autorest[author_es],autorest[image_atr])</f>
        <v>0</v>
      </c>
    </row>
    <row r="1477" spans="1:18">
      <c r="A1477">
        <v>1476</v>
      </c>
      <c r="B1477" t="s">
        <v>4549</v>
      </c>
      <c r="C1477" t="s">
        <v>4550</v>
      </c>
      <c r="D1477" t="s">
        <v>4550</v>
      </c>
      <c r="E1477" t="s">
        <v>4541</v>
      </c>
      <c r="F1477" t="s">
        <v>4551</v>
      </c>
      <c r="G1477" t="str">
        <f>_xlfn.XLOOKUP(frasest[[#This Row],[author_es]],autorest[author_es],autorest[author_la])</f>
        <v>Sanctus Bonaventura</v>
      </c>
      <c r="H1477" t="str">
        <f>_xlfn.XLOOKUP(frasest[[#This Row],[author_es]],autorest[author_es],autorest[bio_es])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I1477" t="str">
        <f>_xlfn.XLOOKUP(frasest[[#This Row],[author_es]],autorest[author_es],autorest[bio_la])</f>
        <v>Theologus Franciscanus Italicus Doctor Seraphicus discipulus Alexandri de Hales et minister generalis Ordinis Franciscani qui philosophiam mysticam de itinerario animae ad Deum elaboravit Thomae Aquinatis contrapunctum mysticum</v>
      </c>
      <c r="J1477" t="str">
        <f>_xlfn.XLOOKUP(frasest[[#This Row],[author_es]],autorest[author_es],autorest[iso3691])</f>
        <v>la</v>
      </c>
      <c r="K1477" t="str">
        <f>_xlfn.XLOOKUP(frasest[[#This Row],[author_es]],autorest[author_es],autorest[language_es])</f>
        <v>Latín</v>
      </c>
      <c r="L1477" t="str">
        <f>_xlfn.XLOOKUP(frasest[[#This Row],[author_es]],autorest[author_es],autorest[language_la])</f>
        <v>Lingua Latina</v>
      </c>
      <c r="M1477" t="str">
        <f>_xlfn.XLOOKUP(frasest[[#This Row],[author_es]],autorest[author_es],autorest[nation_es])</f>
        <v>Italia</v>
      </c>
      <c r="N1477" t="str">
        <f>_xlfn.XLOOKUP(frasest[[#This Row],[author_es]],autorest[author_es],autorest[nation_la])</f>
        <v>Italia</v>
      </c>
      <c r="O1477" t="str">
        <f>_xlfn.XLOOKUP(frasest[[#This Row],[author_es]],autorest[author_es],autorest[age_es])</f>
        <v>Edad Media</v>
      </c>
      <c r="P1477" t="str">
        <f>_xlfn.XLOOKUP(frasest[[#This Row],[author_es]],autorest[author_es],autorest[age_la])</f>
        <v>Medium Aevum</v>
      </c>
      <c r="Q1477" t="str">
        <f>_xlfn.XLOOKUP(frasest[[#This Row],[author_es]],autorest[author_es],autorest[image])</f>
        <v>https://i.ibb.co/Z129mSh3/buenaventura.png</v>
      </c>
      <c r="R1477">
        <f>_xlfn.XLOOKUP(frasest[[#This Row],[author_es]],autorest[author_es],autorest[image_atr])</f>
        <v>0</v>
      </c>
    </row>
    <row r="1478" spans="1:18">
      <c r="A1478">
        <v>1477</v>
      </c>
      <c r="B1478" t="s">
        <v>4552</v>
      </c>
      <c r="C1478" t="s">
        <v>4553</v>
      </c>
      <c r="D1478" t="s">
        <v>4553</v>
      </c>
      <c r="E1478" t="s">
        <v>4554</v>
      </c>
      <c r="F1478" t="s">
        <v>4555</v>
      </c>
      <c r="G1478" t="str">
        <f>_xlfn.XLOOKUP(frasest[[#This Row],[author_es]],autorest[author_es],autorest[author_la])</f>
        <v>Petrus Abaelardus</v>
      </c>
      <c r="H1478" t="str">
        <f>_xlfn.XLOOKUP(frasest[[#This Row],[author_es]],autorest[author_es],autorest[bio_es])</f>
        <v>Filósofo y teólogo francés iniciador de la lógica medieval célebre por su método de la duda como camino a la verdad y por su trágico amor con Eloísa siendo perseguido por sus ideas heterodoxas</v>
      </c>
      <c r="I1478" t="str">
        <f>_xlfn.XLOOKUP(frasest[[#This Row],[author_es]],autorest[author_es],autorest[bio_la])</f>
        <v>Philosophus et theologus Francicus initiator logicae medievalis celebris pro methodo dubitationis ut via ad veritatem et pro amore tragico cum Heloisa propter ideas heterodoxas persecutus</v>
      </c>
      <c r="J1478" t="str">
        <f>_xlfn.XLOOKUP(frasest[[#This Row],[author_es]],autorest[author_es],autorest[iso3691])</f>
        <v>la</v>
      </c>
      <c r="K1478" t="str">
        <f>_xlfn.XLOOKUP(frasest[[#This Row],[author_es]],autorest[author_es],autorest[language_es])</f>
        <v>Latín</v>
      </c>
      <c r="L1478" t="str">
        <f>_xlfn.XLOOKUP(frasest[[#This Row],[author_es]],autorest[author_es],autorest[language_la])</f>
        <v>Lingua Latina</v>
      </c>
      <c r="M1478" t="str">
        <f>_xlfn.XLOOKUP(frasest[[#This Row],[author_es]],autorest[author_es],autorest[nation_es])</f>
        <v>Francia</v>
      </c>
      <c r="N1478" t="str">
        <f>_xlfn.XLOOKUP(frasest[[#This Row],[author_es]],autorest[author_es],autorest[nation_la])</f>
        <v>Francia</v>
      </c>
      <c r="O1478" t="str">
        <f>_xlfn.XLOOKUP(frasest[[#This Row],[author_es]],autorest[author_es],autorest[age_es])</f>
        <v>Edad Media</v>
      </c>
      <c r="P1478" t="str">
        <f>_xlfn.XLOOKUP(frasest[[#This Row],[author_es]],autorest[author_es],autorest[age_la])</f>
        <v>Medium Aevum</v>
      </c>
      <c r="Q1478" t="str">
        <f>_xlfn.XLOOKUP(frasest[[#This Row],[author_es]],autorest[author_es],autorest[image])</f>
        <v>https://i.ibb.co/YFt2jzrQ/pedroabelardo.png</v>
      </c>
      <c r="R1478">
        <f>_xlfn.XLOOKUP(frasest[[#This Row],[author_es]],autorest[author_es],autorest[image_atr])</f>
        <v>0</v>
      </c>
    </row>
    <row r="1479" spans="1:18">
      <c r="A1479">
        <v>1478</v>
      </c>
      <c r="B1479" t="s">
        <v>4556</v>
      </c>
      <c r="C1479" t="s">
        <v>4557</v>
      </c>
      <c r="D1479" t="s">
        <v>4557</v>
      </c>
      <c r="E1479" t="s">
        <v>4554</v>
      </c>
      <c r="F1479" t="s">
        <v>4558</v>
      </c>
      <c r="G1479" t="str">
        <f>_xlfn.XLOOKUP(frasest[[#This Row],[author_es]],autorest[author_es],autorest[author_la])</f>
        <v>Petrus Abaelardus</v>
      </c>
      <c r="H1479" t="str">
        <f>_xlfn.XLOOKUP(frasest[[#This Row],[author_es]],autorest[author_es],autorest[bio_es])</f>
        <v>Filósofo y teólogo francés iniciador de la lógica medieval célebre por su método de la duda como camino a la verdad y por su trágico amor con Eloísa siendo perseguido por sus ideas heterodoxas</v>
      </c>
      <c r="I1479" t="str">
        <f>_xlfn.XLOOKUP(frasest[[#This Row],[author_es]],autorest[author_es],autorest[bio_la])</f>
        <v>Philosophus et theologus Francicus initiator logicae medievalis celebris pro methodo dubitationis ut via ad veritatem et pro amore tragico cum Heloisa propter ideas heterodoxas persecutus</v>
      </c>
      <c r="J1479" t="str">
        <f>_xlfn.XLOOKUP(frasest[[#This Row],[author_es]],autorest[author_es],autorest[iso3691])</f>
        <v>la</v>
      </c>
      <c r="K1479" t="str">
        <f>_xlfn.XLOOKUP(frasest[[#This Row],[author_es]],autorest[author_es],autorest[language_es])</f>
        <v>Latín</v>
      </c>
      <c r="L1479" t="str">
        <f>_xlfn.XLOOKUP(frasest[[#This Row],[author_es]],autorest[author_es],autorest[language_la])</f>
        <v>Lingua Latina</v>
      </c>
      <c r="M1479" t="str">
        <f>_xlfn.XLOOKUP(frasest[[#This Row],[author_es]],autorest[author_es],autorest[nation_es])</f>
        <v>Francia</v>
      </c>
      <c r="N1479" t="str">
        <f>_xlfn.XLOOKUP(frasest[[#This Row],[author_es]],autorest[author_es],autorest[nation_la])</f>
        <v>Francia</v>
      </c>
      <c r="O1479" t="str">
        <f>_xlfn.XLOOKUP(frasest[[#This Row],[author_es]],autorest[author_es],autorest[age_es])</f>
        <v>Edad Media</v>
      </c>
      <c r="P1479" t="str">
        <f>_xlfn.XLOOKUP(frasest[[#This Row],[author_es]],autorest[author_es],autorest[age_la])</f>
        <v>Medium Aevum</v>
      </c>
      <c r="Q1479" t="str">
        <f>_xlfn.XLOOKUP(frasest[[#This Row],[author_es]],autorest[author_es],autorest[image])</f>
        <v>https://i.ibb.co/YFt2jzrQ/pedroabelardo.png</v>
      </c>
      <c r="R1479">
        <f>_xlfn.XLOOKUP(frasest[[#This Row],[author_es]],autorest[author_es],autorest[image_atr])</f>
        <v>0</v>
      </c>
    </row>
    <row r="1480" spans="1:18">
      <c r="A1480">
        <v>1479</v>
      </c>
      <c r="B1480" s="5" t="s">
        <v>4559</v>
      </c>
      <c r="C1480" s="5" t="s">
        <v>4560</v>
      </c>
      <c r="D1480" s="5" t="s">
        <v>4561</v>
      </c>
      <c r="E1480" s="5" t="s">
        <v>4562</v>
      </c>
      <c r="F1480" s="5" t="s">
        <v>4563</v>
      </c>
      <c r="G1480" t="str">
        <f>_xlfn.XLOOKUP(frasest[[#This Row],[author_es]],autorest[author_es],autorest[author_la])</f>
        <v>Voltarius</v>
      </c>
      <c r="H1480" t="str">
        <f>_xlfn.XLOOKUP(frasest[[#This Row],[author_es]],autorest[author_es],autorest[bio_es])</f>
        <v>Escritor y filósofo francés, figura clave de la Ilustración y defensor de la libertad de expresión.</v>
      </c>
      <c r="I1480" t="str">
        <f>_xlfn.XLOOKUP(frasest[[#This Row],[author_es]],autorest[author_es],autorest[bio_la])</f>
        <v>Scriptor et philosophus Gallicus, clarissimus aetate Illuminationis et libertatis dicendi defensor.</v>
      </c>
      <c r="J1480" t="str">
        <f>_xlfn.XLOOKUP(frasest[[#This Row],[author_es]],autorest[author_es],autorest[iso3691])</f>
        <v>fr</v>
      </c>
      <c r="K1480" t="str">
        <f>_xlfn.XLOOKUP(frasest[[#This Row],[author_es]],autorest[author_es],autorest[language_es])</f>
        <v>Francés</v>
      </c>
      <c r="L1480" t="str">
        <f>_xlfn.XLOOKUP(frasest[[#This Row],[author_es]],autorest[author_es],autorest[language_la])</f>
        <v>Lingua Gallica</v>
      </c>
      <c r="M1480" t="str">
        <f>_xlfn.XLOOKUP(frasest[[#This Row],[author_es]],autorest[author_es],autorest[nation_es])</f>
        <v>Francia</v>
      </c>
      <c r="N1480" t="str">
        <f>_xlfn.XLOOKUP(frasest[[#This Row],[author_es]],autorest[author_es],autorest[nation_la])</f>
        <v>Francia</v>
      </c>
      <c r="O1480" t="str">
        <f>_xlfn.XLOOKUP(frasest[[#This Row],[author_es]],autorest[author_es],autorest[age_es])</f>
        <v>Edad Moderna</v>
      </c>
      <c r="P1480" t="str">
        <f>_xlfn.XLOOKUP(frasest[[#This Row],[author_es]],autorest[author_es],autorest[age_la])</f>
        <v>Nova Aetas</v>
      </c>
      <c r="Q1480" t="str">
        <f>_xlfn.XLOOKUP(frasest[[#This Row],[author_es]],autorest[author_es],autorest[image])</f>
        <v>https://i.ibb.co/n8Mbf5tF/voltaire-alpha.png</v>
      </c>
      <c r="R1480">
        <f>_xlfn.XLOOKUP(frasest[[#This Row],[author_es]],autorest[author_es],autorest[image_atr])</f>
        <v>0</v>
      </c>
    </row>
    <row r="1481" spans="1:18">
      <c r="A1481">
        <v>1480</v>
      </c>
      <c r="B1481" s="5" t="s">
        <v>4564</v>
      </c>
      <c r="C1481" s="5" t="s">
        <v>4565</v>
      </c>
      <c r="D1481" s="5" t="s">
        <v>4566</v>
      </c>
      <c r="E1481" s="5" t="s">
        <v>4562</v>
      </c>
      <c r="F1481" s="5" t="s">
        <v>4567</v>
      </c>
      <c r="G1481" t="str">
        <f>_xlfn.XLOOKUP(frasest[[#This Row],[author_es]],autorest[author_es],autorest[author_la])</f>
        <v>Voltarius</v>
      </c>
      <c r="H1481" t="str">
        <f>_xlfn.XLOOKUP(frasest[[#This Row],[author_es]],autorest[author_es],autorest[bio_es])</f>
        <v>Escritor y filósofo francés, figura clave de la Ilustración y defensor de la libertad de expresión.</v>
      </c>
      <c r="I1481" t="str">
        <f>_xlfn.XLOOKUP(frasest[[#This Row],[author_es]],autorest[author_es],autorest[bio_la])</f>
        <v>Scriptor et philosophus Gallicus, clarissimus aetate Illuminationis et libertatis dicendi defensor.</v>
      </c>
      <c r="J1481" t="str">
        <f>_xlfn.XLOOKUP(frasest[[#This Row],[author_es]],autorest[author_es],autorest[iso3691])</f>
        <v>fr</v>
      </c>
      <c r="K1481" t="str">
        <f>_xlfn.XLOOKUP(frasest[[#This Row],[author_es]],autorest[author_es],autorest[language_es])</f>
        <v>Francés</v>
      </c>
      <c r="L1481" t="str">
        <f>_xlfn.XLOOKUP(frasest[[#This Row],[author_es]],autorest[author_es],autorest[language_la])</f>
        <v>Lingua Gallica</v>
      </c>
      <c r="M1481" t="str">
        <f>_xlfn.XLOOKUP(frasest[[#This Row],[author_es]],autorest[author_es],autorest[nation_es])</f>
        <v>Francia</v>
      </c>
      <c r="N1481" t="str">
        <f>_xlfn.XLOOKUP(frasest[[#This Row],[author_es]],autorest[author_es],autorest[nation_la])</f>
        <v>Francia</v>
      </c>
      <c r="O1481" t="str">
        <f>_xlfn.XLOOKUP(frasest[[#This Row],[author_es]],autorest[author_es],autorest[age_es])</f>
        <v>Edad Moderna</v>
      </c>
      <c r="P1481" t="str">
        <f>_xlfn.XLOOKUP(frasest[[#This Row],[author_es]],autorest[author_es],autorest[age_la])</f>
        <v>Nova Aetas</v>
      </c>
      <c r="Q1481" t="str">
        <f>_xlfn.XLOOKUP(frasest[[#This Row],[author_es]],autorest[author_es],autorest[image])</f>
        <v>https://i.ibb.co/n8Mbf5tF/voltaire-alpha.png</v>
      </c>
      <c r="R1481">
        <f>_xlfn.XLOOKUP(frasest[[#This Row],[author_es]],autorest[author_es],autorest[image_atr])</f>
        <v>0</v>
      </c>
    </row>
    <row r="1482" spans="1:18">
      <c r="A1482">
        <v>1481</v>
      </c>
      <c r="B1482" s="5" t="s">
        <v>4568</v>
      </c>
      <c r="C1482" s="5" t="s">
        <v>4569</v>
      </c>
      <c r="D1482" s="5" t="s">
        <v>4570</v>
      </c>
      <c r="E1482" s="5" t="s">
        <v>4562</v>
      </c>
      <c r="F1482" s="5" t="s">
        <v>4571</v>
      </c>
      <c r="G1482" t="str">
        <f>_xlfn.XLOOKUP(frasest[[#This Row],[author_es]],autorest[author_es],autorest[author_la])</f>
        <v>Voltarius</v>
      </c>
      <c r="H1482" t="str">
        <f>_xlfn.XLOOKUP(frasest[[#This Row],[author_es]],autorest[author_es],autorest[bio_es])</f>
        <v>Escritor y filósofo francés, figura clave de la Ilustración y defensor de la libertad de expresión.</v>
      </c>
      <c r="I1482" t="str">
        <f>_xlfn.XLOOKUP(frasest[[#This Row],[author_es]],autorest[author_es],autorest[bio_la])</f>
        <v>Scriptor et philosophus Gallicus, clarissimus aetate Illuminationis et libertatis dicendi defensor.</v>
      </c>
      <c r="J1482" t="str">
        <f>_xlfn.XLOOKUP(frasest[[#This Row],[author_es]],autorest[author_es],autorest[iso3691])</f>
        <v>fr</v>
      </c>
      <c r="K1482" t="str">
        <f>_xlfn.XLOOKUP(frasest[[#This Row],[author_es]],autorest[author_es],autorest[language_es])</f>
        <v>Francés</v>
      </c>
      <c r="L1482" t="str">
        <f>_xlfn.XLOOKUP(frasest[[#This Row],[author_es]],autorest[author_es],autorest[language_la])</f>
        <v>Lingua Gallica</v>
      </c>
      <c r="M1482" t="str">
        <f>_xlfn.XLOOKUP(frasest[[#This Row],[author_es]],autorest[author_es],autorest[nation_es])</f>
        <v>Francia</v>
      </c>
      <c r="N1482" t="str">
        <f>_xlfn.XLOOKUP(frasest[[#This Row],[author_es]],autorest[author_es],autorest[nation_la])</f>
        <v>Francia</v>
      </c>
      <c r="O1482" t="str">
        <f>_xlfn.XLOOKUP(frasest[[#This Row],[author_es]],autorest[author_es],autorest[age_es])</f>
        <v>Edad Moderna</v>
      </c>
      <c r="P1482" t="str">
        <f>_xlfn.XLOOKUP(frasest[[#This Row],[author_es]],autorest[author_es],autorest[age_la])</f>
        <v>Nova Aetas</v>
      </c>
      <c r="Q1482" t="str">
        <f>_xlfn.XLOOKUP(frasest[[#This Row],[author_es]],autorest[author_es],autorest[image])</f>
        <v>https://i.ibb.co/n8Mbf5tF/voltaire-alpha.png</v>
      </c>
      <c r="R1482">
        <f>_xlfn.XLOOKUP(frasest[[#This Row],[author_es]],autorest[author_es],autorest[image_atr])</f>
        <v>0</v>
      </c>
    </row>
    <row r="1483" spans="1:18">
      <c r="A1483">
        <v>1482</v>
      </c>
      <c r="B1483" s="5" t="s">
        <v>4572</v>
      </c>
      <c r="C1483" s="5" t="s">
        <v>4573</v>
      </c>
      <c r="D1483" s="5" t="s">
        <v>4574</v>
      </c>
      <c r="E1483" s="5" t="s">
        <v>4562</v>
      </c>
      <c r="F1483" s="5" t="s">
        <v>4575</v>
      </c>
      <c r="G1483" t="str">
        <f>_xlfn.XLOOKUP(frasest[[#This Row],[author_es]],autorest[author_es],autorest[author_la])</f>
        <v>Voltarius</v>
      </c>
      <c r="H1483" t="str">
        <f>_xlfn.XLOOKUP(frasest[[#This Row],[author_es]],autorest[author_es],autorest[bio_es])</f>
        <v>Escritor y filósofo francés, figura clave de la Ilustración y defensor de la libertad de expresión.</v>
      </c>
      <c r="I1483" t="str">
        <f>_xlfn.XLOOKUP(frasest[[#This Row],[author_es]],autorest[author_es],autorest[bio_la])</f>
        <v>Scriptor et philosophus Gallicus, clarissimus aetate Illuminationis et libertatis dicendi defensor.</v>
      </c>
      <c r="J1483" t="str">
        <f>_xlfn.XLOOKUP(frasest[[#This Row],[author_es]],autorest[author_es],autorest[iso3691])</f>
        <v>fr</v>
      </c>
      <c r="K1483" t="str">
        <f>_xlfn.XLOOKUP(frasest[[#This Row],[author_es]],autorest[author_es],autorest[language_es])</f>
        <v>Francés</v>
      </c>
      <c r="L1483" t="str">
        <f>_xlfn.XLOOKUP(frasest[[#This Row],[author_es]],autorest[author_es],autorest[language_la])</f>
        <v>Lingua Gallica</v>
      </c>
      <c r="M1483" t="str">
        <f>_xlfn.XLOOKUP(frasest[[#This Row],[author_es]],autorest[author_es],autorest[nation_es])</f>
        <v>Francia</v>
      </c>
      <c r="N1483" t="str">
        <f>_xlfn.XLOOKUP(frasest[[#This Row],[author_es]],autorest[author_es],autorest[nation_la])</f>
        <v>Francia</v>
      </c>
      <c r="O1483" t="str">
        <f>_xlfn.XLOOKUP(frasest[[#This Row],[author_es]],autorest[author_es],autorest[age_es])</f>
        <v>Edad Moderna</v>
      </c>
      <c r="P1483" t="str">
        <f>_xlfn.XLOOKUP(frasest[[#This Row],[author_es]],autorest[author_es],autorest[age_la])</f>
        <v>Nova Aetas</v>
      </c>
      <c r="Q1483" t="str">
        <f>_xlfn.XLOOKUP(frasest[[#This Row],[author_es]],autorest[author_es],autorest[image])</f>
        <v>https://i.ibb.co/n8Mbf5tF/voltaire-alpha.png</v>
      </c>
      <c r="R1483">
        <f>_xlfn.XLOOKUP(frasest[[#This Row],[author_es]],autorest[author_es],autorest[image_atr])</f>
        <v>0</v>
      </c>
    </row>
    <row r="1484" spans="1:18">
      <c r="A1484">
        <v>1483</v>
      </c>
      <c r="B1484" s="5" t="s">
        <v>4576</v>
      </c>
      <c r="C1484" s="5" t="s">
        <v>4577</v>
      </c>
      <c r="D1484" s="5" t="s">
        <v>4578</v>
      </c>
      <c r="E1484" s="5" t="s">
        <v>4562</v>
      </c>
      <c r="F1484" s="5" t="s">
        <v>4579</v>
      </c>
      <c r="G1484" t="str">
        <f>_xlfn.XLOOKUP(frasest[[#This Row],[author_es]],autorest[author_es],autorest[author_la])</f>
        <v>Voltarius</v>
      </c>
      <c r="H1484" t="str">
        <f>_xlfn.XLOOKUP(frasest[[#This Row],[author_es]],autorest[author_es],autorest[bio_es])</f>
        <v>Escritor y filósofo francés, figura clave de la Ilustración y defensor de la libertad de expresión.</v>
      </c>
      <c r="I1484" t="str">
        <f>_xlfn.XLOOKUP(frasest[[#This Row],[author_es]],autorest[author_es],autorest[bio_la])</f>
        <v>Scriptor et philosophus Gallicus, clarissimus aetate Illuminationis et libertatis dicendi defensor.</v>
      </c>
      <c r="J1484" t="str">
        <f>_xlfn.XLOOKUP(frasest[[#This Row],[author_es]],autorest[author_es],autorest[iso3691])</f>
        <v>fr</v>
      </c>
      <c r="K1484" t="str">
        <f>_xlfn.XLOOKUP(frasest[[#This Row],[author_es]],autorest[author_es],autorest[language_es])</f>
        <v>Francés</v>
      </c>
      <c r="L1484" t="str">
        <f>_xlfn.XLOOKUP(frasest[[#This Row],[author_es]],autorest[author_es],autorest[language_la])</f>
        <v>Lingua Gallica</v>
      </c>
      <c r="M1484" t="str">
        <f>_xlfn.XLOOKUP(frasest[[#This Row],[author_es]],autorest[author_es],autorest[nation_es])</f>
        <v>Francia</v>
      </c>
      <c r="N1484" t="str">
        <f>_xlfn.XLOOKUP(frasest[[#This Row],[author_es]],autorest[author_es],autorest[nation_la])</f>
        <v>Francia</v>
      </c>
      <c r="O1484" t="str">
        <f>_xlfn.XLOOKUP(frasest[[#This Row],[author_es]],autorest[author_es],autorest[age_es])</f>
        <v>Edad Moderna</v>
      </c>
      <c r="P1484" t="str">
        <f>_xlfn.XLOOKUP(frasest[[#This Row],[author_es]],autorest[author_es],autorest[age_la])</f>
        <v>Nova Aetas</v>
      </c>
      <c r="Q1484" t="str">
        <f>_xlfn.XLOOKUP(frasest[[#This Row],[author_es]],autorest[author_es],autorest[image])</f>
        <v>https://i.ibb.co/n8Mbf5tF/voltaire-alpha.png</v>
      </c>
      <c r="R1484">
        <f>_xlfn.XLOOKUP(frasest[[#This Row],[author_es]],autorest[author_es],autorest[image_atr])</f>
        <v>0</v>
      </c>
    </row>
    <row r="1485" spans="1:18">
      <c r="A1485">
        <v>1484</v>
      </c>
      <c r="B1485" s="5" t="s">
        <v>4580</v>
      </c>
      <c r="C1485" s="5" t="s">
        <v>4581</v>
      </c>
      <c r="D1485" s="5" t="s">
        <v>4582</v>
      </c>
      <c r="E1485" s="5" t="s">
        <v>4562</v>
      </c>
      <c r="F1485" s="5" t="s">
        <v>4583</v>
      </c>
      <c r="G1485" t="str">
        <f>_xlfn.XLOOKUP(frasest[[#This Row],[author_es]],autorest[author_es],autorest[author_la])</f>
        <v>Voltarius</v>
      </c>
      <c r="H1485" t="str">
        <f>_xlfn.XLOOKUP(frasest[[#This Row],[author_es]],autorest[author_es],autorest[bio_es])</f>
        <v>Escritor y filósofo francés, figura clave de la Ilustración y defensor de la libertad de expresión.</v>
      </c>
      <c r="I1485" t="str">
        <f>_xlfn.XLOOKUP(frasest[[#This Row],[author_es]],autorest[author_es],autorest[bio_la])</f>
        <v>Scriptor et philosophus Gallicus, clarissimus aetate Illuminationis et libertatis dicendi defensor.</v>
      </c>
      <c r="J1485" t="str">
        <f>_xlfn.XLOOKUP(frasest[[#This Row],[author_es]],autorest[author_es],autorest[iso3691])</f>
        <v>fr</v>
      </c>
      <c r="K1485" t="str">
        <f>_xlfn.XLOOKUP(frasest[[#This Row],[author_es]],autorest[author_es],autorest[language_es])</f>
        <v>Francés</v>
      </c>
      <c r="L1485" t="str">
        <f>_xlfn.XLOOKUP(frasest[[#This Row],[author_es]],autorest[author_es],autorest[language_la])</f>
        <v>Lingua Gallica</v>
      </c>
      <c r="M1485" t="str">
        <f>_xlfn.XLOOKUP(frasest[[#This Row],[author_es]],autorest[author_es],autorest[nation_es])</f>
        <v>Francia</v>
      </c>
      <c r="N1485" t="str">
        <f>_xlfn.XLOOKUP(frasest[[#This Row],[author_es]],autorest[author_es],autorest[nation_la])</f>
        <v>Francia</v>
      </c>
      <c r="O1485" t="str">
        <f>_xlfn.XLOOKUP(frasest[[#This Row],[author_es]],autorest[author_es],autorest[age_es])</f>
        <v>Edad Moderna</v>
      </c>
      <c r="P1485" t="str">
        <f>_xlfn.XLOOKUP(frasest[[#This Row],[author_es]],autorest[author_es],autorest[age_la])</f>
        <v>Nova Aetas</v>
      </c>
      <c r="Q1485" t="str">
        <f>_xlfn.XLOOKUP(frasest[[#This Row],[author_es]],autorest[author_es],autorest[image])</f>
        <v>https://i.ibb.co/n8Mbf5tF/voltaire-alpha.png</v>
      </c>
      <c r="R1485">
        <f>_xlfn.XLOOKUP(frasest[[#This Row],[author_es]],autorest[author_es],autorest[image_atr])</f>
        <v>0</v>
      </c>
    </row>
    <row r="1486" spans="1:18">
      <c r="A1486">
        <v>1485</v>
      </c>
      <c r="B1486" s="5" t="s">
        <v>4584</v>
      </c>
      <c r="C1486" s="5" t="s">
        <v>4585</v>
      </c>
      <c r="D1486" s="5" t="s">
        <v>4586</v>
      </c>
      <c r="E1486" s="5" t="s">
        <v>4562</v>
      </c>
      <c r="F1486" s="5" t="s">
        <v>4587</v>
      </c>
      <c r="G1486" t="str">
        <f>_xlfn.XLOOKUP(frasest[[#This Row],[author_es]],autorest[author_es],autorest[author_la])</f>
        <v>Voltarius</v>
      </c>
      <c r="H1486" t="str">
        <f>_xlfn.XLOOKUP(frasest[[#This Row],[author_es]],autorest[author_es],autorest[bio_es])</f>
        <v>Escritor y filósofo francés, figura clave de la Ilustración y defensor de la libertad de expresión.</v>
      </c>
      <c r="I1486" t="str">
        <f>_xlfn.XLOOKUP(frasest[[#This Row],[author_es]],autorest[author_es],autorest[bio_la])</f>
        <v>Scriptor et philosophus Gallicus, clarissimus aetate Illuminationis et libertatis dicendi defensor.</v>
      </c>
      <c r="J1486" t="str">
        <f>_xlfn.XLOOKUP(frasest[[#This Row],[author_es]],autorest[author_es],autorest[iso3691])</f>
        <v>fr</v>
      </c>
      <c r="K1486" t="str">
        <f>_xlfn.XLOOKUP(frasest[[#This Row],[author_es]],autorest[author_es],autorest[language_es])</f>
        <v>Francés</v>
      </c>
      <c r="L1486" t="str">
        <f>_xlfn.XLOOKUP(frasest[[#This Row],[author_es]],autorest[author_es],autorest[language_la])</f>
        <v>Lingua Gallica</v>
      </c>
      <c r="M1486" t="str">
        <f>_xlfn.XLOOKUP(frasest[[#This Row],[author_es]],autorest[author_es],autorest[nation_es])</f>
        <v>Francia</v>
      </c>
      <c r="N1486" t="str">
        <f>_xlfn.XLOOKUP(frasest[[#This Row],[author_es]],autorest[author_es],autorest[nation_la])</f>
        <v>Francia</v>
      </c>
      <c r="O1486" t="str">
        <f>_xlfn.XLOOKUP(frasest[[#This Row],[author_es]],autorest[author_es],autorest[age_es])</f>
        <v>Edad Moderna</v>
      </c>
      <c r="P1486" t="str">
        <f>_xlfn.XLOOKUP(frasest[[#This Row],[author_es]],autorest[author_es],autorest[age_la])</f>
        <v>Nova Aetas</v>
      </c>
      <c r="Q1486" t="str">
        <f>_xlfn.XLOOKUP(frasest[[#This Row],[author_es]],autorest[author_es],autorest[image])</f>
        <v>https://i.ibb.co/n8Mbf5tF/voltaire-alpha.png</v>
      </c>
      <c r="R1486">
        <f>_xlfn.XLOOKUP(frasest[[#This Row],[author_es]],autorest[author_es],autorest[image_atr])</f>
        <v>0</v>
      </c>
    </row>
    <row r="1487" spans="1:18">
      <c r="A1487">
        <v>1486</v>
      </c>
      <c r="B1487" s="5" t="s">
        <v>4588</v>
      </c>
      <c r="C1487" s="5" t="s">
        <v>4589</v>
      </c>
      <c r="D1487" s="5" t="s">
        <v>4590</v>
      </c>
      <c r="E1487" s="5" t="s">
        <v>4562</v>
      </c>
      <c r="F1487" s="5" t="s">
        <v>4591</v>
      </c>
      <c r="G1487" t="str">
        <f>_xlfn.XLOOKUP(frasest[[#This Row],[author_es]],autorest[author_es],autorest[author_la])</f>
        <v>Voltarius</v>
      </c>
      <c r="H1487" t="str">
        <f>_xlfn.XLOOKUP(frasest[[#This Row],[author_es]],autorest[author_es],autorest[bio_es])</f>
        <v>Escritor y filósofo francés, figura clave de la Ilustración y defensor de la libertad de expresión.</v>
      </c>
      <c r="I1487" t="str">
        <f>_xlfn.XLOOKUP(frasest[[#This Row],[author_es]],autorest[author_es],autorest[bio_la])</f>
        <v>Scriptor et philosophus Gallicus, clarissimus aetate Illuminationis et libertatis dicendi defensor.</v>
      </c>
      <c r="J1487" t="str">
        <f>_xlfn.XLOOKUP(frasest[[#This Row],[author_es]],autorest[author_es],autorest[iso3691])</f>
        <v>fr</v>
      </c>
      <c r="K1487" t="str">
        <f>_xlfn.XLOOKUP(frasest[[#This Row],[author_es]],autorest[author_es],autorest[language_es])</f>
        <v>Francés</v>
      </c>
      <c r="L1487" t="str">
        <f>_xlfn.XLOOKUP(frasest[[#This Row],[author_es]],autorest[author_es],autorest[language_la])</f>
        <v>Lingua Gallica</v>
      </c>
      <c r="M1487" t="str">
        <f>_xlfn.XLOOKUP(frasest[[#This Row],[author_es]],autorest[author_es],autorest[nation_es])</f>
        <v>Francia</v>
      </c>
      <c r="N1487" t="str">
        <f>_xlfn.XLOOKUP(frasest[[#This Row],[author_es]],autorest[author_es],autorest[nation_la])</f>
        <v>Francia</v>
      </c>
      <c r="O1487" t="str">
        <f>_xlfn.XLOOKUP(frasest[[#This Row],[author_es]],autorest[author_es],autorest[age_es])</f>
        <v>Edad Moderna</v>
      </c>
      <c r="P1487" t="str">
        <f>_xlfn.XLOOKUP(frasest[[#This Row],[author_es]],autorest[author_es],autorest[age_la])</f>
        <v>Nova Aetas</v>
      </c>
      <c r="Q1487" t="str">
        <f>_xlfn.XLOOKUP(frasest[[#This Row],[author_es]],autorest[author_es],autorest[image])</f>
        <v>https://i.ibb.co/n8Mbf5tF/voltaire-alpha.png</v>
      </c>
      <c r="R1487">
        <f>_xlfn.XLOOKUP(frasest[[#This Row],[author_es]],autorest[author_es],autorest[image_atr])</f>
        <v>0</v>
      </c>
    </row>
    <row r="1488" spans="1:18">
      <c r="A1488">
        <v>1487</v>
      </c>
      <c r="B1488" s="5" t="s">
        <v>4592</v>
      </c>
      <c r="C1488" s="5" t="s">
        <v>4593</v>
      </c>
      <c r="D1488" s="5" t="s">
        <v>4592</v>
      </c>
      <c r="E1488" s="5" t="s">
        <v>4594</v>
      </c>
      <c r="F1488" s="5" t="s">
        <v>4595</v>
      </c>
      <c r="G1488" t="str">
        <f>_xlfn.XLOOKUP(frasest[[#This Row],[author_es]],autorest[author_es],autorest[author_la])</f>
        <v>Daniel Innerarity</v>
      </c>
      <c r="H1488" t="str">
        <f>_xlfn.XLOOKUP(frasest[[#This Row],[author_es]],autorest[author_es],autorest[bio_es])</f>
        <v>Filósofo y ensayista español, especialista en la filosofía política y la gobernanza de sociedades complejas.</v>
      </c>
      <c r="I1488" t="str">
        <f>_xlfn.XLOOKUP(frasest[[#This Row],[author_es]],autorest[author_es],autorest[bio_la])</f>
        <v>Philosophus et scriptor Hispanicus, peritus philosophiae politicae et moderationis societatum complexarum.</v>
      </c>
      <c r="J1488" t="str">
        <f>_xlfn.XLOOKUP(frasest[[#This Row],[author_es]],autorest[author_es],autorest[iso3691])</f>
        <v>es</v>
      </c>
      <c r="K1488" t="str">
        <f>_xlfn.XLOOKUP(frasest[[#This Row],[author_es]],autorest[author_es],autorest[language_es])</f>
        <v>Español</v>
      </c>
      <c r="L1488" t="str">
        <f>_xlfn.XLOOKUP(frasest[[#This Row],[author_es]],autorest[author_es],autorest[language_la])</f>
        <v>Lingua Hispanica</v>
      </c>
      <c r="M1488" t="str">
        <f>_xlfn.XLOOKUP(frasest[[#This Row],[author_es]],autorest[author_es],autorest[nation_es])</f>
        <v>España</v>
      </c>
      <c r="N1488" t="str">
        <f>_xlfn.XLOOKUP(frasest[[#This Row],[author_es]],autorest[author_es],autorest[nation_la])</f>
        <v>Hispania</v>
      </c>
      <c r="O1488" t="str">
        <f>_xlfn.XLOOKUP(frasest[[#This Row],[author_es]],autorest[author_es],autorest[age_es])</f>
        <v>Edad Contemporánea</v>
      </c>
      <c r="P1488" t="str">
        <f>_xlfn.XLOOKUP(frasest[[#This Row],[author_es]],autorest[author_es],autorest[age_la])</f>
        <v>Aetas Contemporanea</v>
      </c>
      <c r="Q1488" t="str">
        <f>_xlfn.XLOOKUP(frasest[[#This Row],[author_es]],autorest[author_es],autorest[image])</f>
        <v>https://i.ibb.co/ZzF5yhkV/innerarity-alpha.png</v>
      </c>
      <c r="R1488">
        <f>_xlfn.XLOOKUP(frasest[[#This Row],[author_es]],autorest[author_es],autorest[image_atr])</f>
        <v>0</v>
      </c>
    </row>
    <row r="1489" spans="1:18">
      <c r="A1489">
        <v>1488</v>
      </c>
      <c r="B1489" t="s">
        <v>4596</v>
      </c>
      <c r="C1489" t="s">
        <v>4597</v>
      </c>
      <c r="D1489" t="s">
        <v>4597</v>
      </c>
      <c r="E1489" t="s">
        <v>68</v>
      </c>
      <c r="F1489" t="s">
        <v>4598</v>
      </c>
      <c r="G1489" t="str">
        <f>_xlfn.XLOOKUP(frasest[[#This Row],[author_es]],autorest[author_es],autorest[author_la])</f>
        <v>Quintus Horatius Flaccus</v>
      </c>
      <c r="H1489" t="str">
        <f>_xlfn.XLOOKUP(frasest[[#This Row],[author_es]],autorest[author_es],autorest[bio_es])</f>
        <v>Poeta lírico romano, autor de "Carpe diem".</v>
      </c>
      <c r="I1489" t="str">
        <f>_xlfn.XLOOKUP(frasest[[#This Row],[author_es]],autorest[author_es],autorest[bio_la])</f>
        <v>Poeta lyricus Romanus, auctor "Carpe diem".</v>
      </c>
      <c r="J1489" t="str">
        <f>_xlfn.XLOOKUP(frasest[[#This Row],[author_es]],autorest[author_es],autorest[iso3691])</f>
        <v>la</v>
      </c>
      <c r="K1489" t="str">
        <f>_xlfn.XLOOKUP(frasest[[#This Row],[author_es]],autorest[author_es],autorest[language_es])</f>
        <v>Latín</v>
      </c>
      <c r="L1489" t="str">
        <f>_xlfn.XLOOKUP(frasest[[#This Row],[author_es]],autorest[author_es],autorest[language_la])</f>
        <v>Lingua Latina</v>
      </c>
      <c r="M1489" t="str">
        <f>_xlfn.XLOOKUP(frasest[[#This Row],[author_es]],autorest[author_es],autorest[nation_es])</f>
        <v>Roma</v>
      </c>
      <c r="N1489" t="str">
        <f>_xlfn.XLOOKUP(frasest[[#This Row],[author_es]],autorest[author_es],autorest[nation_la])</f>
        <v>Roma</v>
      </c>
      <c r="O1489" t="str">
        <f>_xlfn.XLOOKUP(frasest[[#This Row],[author_es]],autorest[author_es],autorest[age_es])</f>
        <v>Edad Antigua</v>
      </c>
      <c r="P1489" t="str">
        <f>_xlfn.XLOOKUP(frasest[[#This Row],[author_es]],autorest[author_es],autorest[age_la])</f>
        <v>Antiquitas</v>
      </c>
      <c r="Q1489" t="str">
        <f>_xlfn.XLOOKUP(frasest[[#This Row],[author_es]],autorest[author_es],autorest[image])</f>
        <v>https://i.ibb.co/KjBfHkQ2/horacio.png</v>
      </c>
      <c r="R1489">
        <f>_xlfn.XLOOKUP(frasest[[#This Row],[author_es]],autorest[author_es],autorest[image_atr])</f>
        <v>0</v>
      </c>
    </row>
    <row r="1490" spans="1:18">
      <c r="A1490">
        <v>1489</v>
      </c>
      <c r="B1490" t="s">
        <v>4599</v>
      </c>
      <c r="C1490" t="s">
        <v>4600</v>
      </c>
      <c r="D1490" t="s">
        <v>4600</v>
      </c>
      <c r="E1490" t="s">
        <v>68</v>
      </c>
      <c r="F1490" t="s">
        <v>4601</v>
      </c>
      <c r="G1490" t="str">
        <f>_xlfn.XLOOKUP(frasest[[#This Row],[author_es]],autorest[author_es],autorest[author_la])</f>
        <v>Quintus Horatius Flaccus</v>
      </c>
      <c r="H1490" t="str">
        <f>_xlfn.XLOOKUP(frasest[[#This Row],[author_es]],autorest[author_es],autorest[bio_es])</f>
        <v>Poeta lírico romano, autor de "Carpe diem".</v>
      </c>
      <c r="I1490" t="str">
        <f>_xlfn.XLOOKUP(frasest[[#This Row],[author_es]],autorest[author_es],autorest[bio_la])</f>
        <v>Poeta lyricus Romanus, auctor "Carpe diem".</v>
      </c>
      <c r="J1490" t="str">
        <f>_xlfn.XLOOKUP(frasest[[#This Row],[author_es]],autorest[author_es],autorest[iso3691])</f>
        <v>la</v>
      </c>
      <c r="K1490" t="str">
        <f>_xlfn.XLOOKUP(frasest[[#This Row],[author_es]],autorest[author_es],autorest[language_es])</f>
        <v>Latín</v>
      </c>
      <c r="L1490" t="str">
        <f>_xlfn.XLOOKUP(frasest[[#This Row],[author_es]],autorest[author_es],autorest[language_la])</f>
        <v>Lingua Latina</v>
      </c>
      <c r="M1490" t="str">
        <f>_xlfn.XLOOKUP(frasest[[#This Row],[author_es]],autorest[author_es],autorest[nation_es])</f>
        <v>Roma</v>
      </c>
      <c r="N1490" t="str">
        <f>_xlfn.XLOOKUP(frasest[[#This Row],[author_es]],autorest[author_es],autorest[nation_la])</f>
        <v>Roma</v>
      </c>
      <c r="O1490" t="str">
        <f>_xlfn.XLOOKUP(frasest[[#This Row],[author_es]],autorest[author_es],autorest[age_es])</f>
        <v>Edad Antigua</v>
      </c>
      <c r="P1490" t="str">
        <f>_xlfn.XLOOKUP(frasest[[#This Row],[author_es]],autorest[author_es],autorest[age_la])</f>
        <v>Antiquitas</v>
      </c>
      <c r="Q1490" t="str">
        <f>_xlfn.XLOOKUP(frasest[[#This Row],[author_es]],autorest[author_es],autorest[image])</f>
        <v>https://i.ibb.co/KjBfHkQ2/horacio.png</v>
      </c>
      <c r="R1490">
        <f>_xlfn.XLOOKUP(frasest[[#This Row],[author_es]],autorest[author_es],autorest[image_atr])</f>
        <v>0</v>
      </c>
    </row>
    <row r="1491" spans="1:18">
      <c r="A1491">
        <v>1490</v>
      </c>
      <c r="B1491" t="s">
        <v>4602</v>
      </c>
      <c r="C1491" t="s">
        <v>4603</v>
      </c>
      <c r="D1491" t="s">
        <v>4603</v>
      </c>
      <c r="E1491" t="s">
        <v>68</v>
      </c>
      <c r="F1491" t="s">
        <v>4604</v>
      </c>
      <c r="G1491" t="str">
        <f>_xlfn.XLOOKUP(frasest[[#This Row],[author_es]],autorest[author_es],autorest[author_la])</f>
        <v>Quintus Horatius Flaccus</v>
      </c>
      <c r="H1491" t="str">
        <f>_xlfn.XLOOKUP(frasest[[#This Row],[author_es]],autorest[author_es],autorest[bio_es])</f>
        <v>Poeta lírico romano, autor de "Carpe diem".</v>
      </c>
      <c r="I1491" t="str">
        <f>_xlfn.XLOOKUP(frasest[[#This Row],[author_es]],autorest[author_es],autorest[bio_la])</f>
        <v>Poeta lyricus Romanus, auctor "Carpe diem".</v>
      </c>
      <c r="J1491" t="str">
        <f>_xlfn.XLOOKUP(frasest[[#This Row],[author_es]],autorest[author_es],autorest[iso3691])</f>
        <v>la</v>
      </c>
      <c r="K1491" t="str">
        <f>_xlfn.XLOOKUP(frasest[[#This Row],[author_es]],autorest[author_es],autorest[language_es])</f>
        <v>Latín</v>
      </c>
      <c r="L1491" t="str">
        <f>_xlfn.XLOOKUP(frasest[[#This Row],[author_es]],autorest[author_es],autorest[language_la])</f>
        <v>Lingua Latina</v>
      </c>
      <c r="M1491" t="str">
        <f>_xlfn.XLOOKUP(frasest[[#This Row],[author_es]],autorest[author_es],autorest[nation_es])</f>
        <v>Roma</v>
      </c>
      <c r="N1491" t="str">
        <f>_xlfn.XLOOKUP(frasest[[#This Row],[author_es]],autorest[author_es],autorest[nation_la])</f>
        <v>Roma</v>
      </c>
      <c r="O1491" t="str">
        <f>_xlfn.XLOOKUP(frasest[[#This Row],[author_es]],autorest[author_es],autorest[age_es])</f>
        <v>Edad Antigua</v>
      </c>
      <c r="P1491" t="str">
        <f>_xlfn.XLOOKUP(frasest[[#This Row],[author_es]],autorest[author_es],autorest[age_la])</f>
        <v>Antiquitas</v>
      </c>
      <c r="Q1491" t="str">
        <f>_xlfn.XLOOKUP(frasest[[#This Row],[author_es]],autorest[author_es],autorest[image])</f>
        <v>https://i.ibb.co/KjBfHkQ2/horacio.png</v>
      </c>
      <c r="R1491">
        <f>_xlfn.XLOOKUP(frasest[[#This Row],[author_es]],autorest[author_es],autorest[image_atr])</f>
        <v>0</v>
      </c>
    </row>
    <row r="1492" spans="1:18">
      <c r="A1492">
        <v>1491</v>
      </c>
      <c r="B1492" t="s">
        <v>4605</v>
      </c>
      <c r="C1492" t="s">
        <v>4606</v>
      </c>
      <c r="D1492" t="s">
        <v>4606</v>
      </c>
      <c r="E1492" t="s">
        <v>68</v>
      </c>
      <c r="F1492" t="s">
        <v>4607</v>
      </c>
      <c r="G1492" t="str">
        <f>_xlfn.XLOOKUP(frasest[[#This Row],[author_es]],autorest[author_es],autorest[author_la])</f>
        <v>Quintus Horatius Flaccus</v>
      </c>
      <c r="H1492" t="str">
        <f>_xlfn.XLOOKUP(frasest[[#This Row],[author_es]],autorest[author_es],autorest[bio_es])</f>
        <v>Poeta lírico romano, autor de "Carpe diem".</v>
      </c>
      <c r="I1492" t="str">
        <f>_xlfn.XLOOKUP(frasest[[#This Row],[author_es]],autorest[author_es],autorest[bio_la])</f>
        <v>Poeta lyricus Romanus, auctor "Carpe diem".</v>
      </c>
      <c r="J1492" t="str">
        <f>_xlfn.XLOOKUP(frasest[[#This Row],[author_es]],autorest[author_es],autorest[iso3691])</f>
        <v>la</v>
      </c>
      <c r="K1492" t="str">
        <f>_xlfn.XLOOKUP(frasest[[#This Row],[author_es]],autorest[author_es],autorest[language_es])</f>
        <v>Latín</v>
      </c>
      <c r="L1492" t="str">
        <f>_xlfn.XLOOKUP(frasest[[#This Row],[author_es]],autorest[author_es],autorest[language_la])</f>
        <v>Lingua Latina</v>
      </c>
      <c r="M1492" t="str">
        <f>_xlfn.XLOOKUP(frasest[[#This Row],[author_es]],autorest[author_es],autorest[nation_es])</f>
        <v>Roma</v>
      </c>
      <c r="N1492" t="str">
        <f>_xlfn.XLOOKUP(frasest[[#This Row],[author_es]],autorest[author_es],autorest[nation_la])</f>
        <v>Roma</v>
      </c>
      <c r="O1492" t="str">
        <f>_xlfn.XLOOKUP(frasest[[#This Row],[author_es]],autorest[author_es],autorest[age_es])</f>
        <v>Edad Antigua</v>
      </c>
      <c r="P1492" t="str">
        <f>_xlfn.XLOOKUP(frasest[[#This Row],[author_es]],autorest[author_es],autorest[age_la])</f>
        <v>Antiquitas</v>
      </c>
      <c r="Q1492" t="str">
        <f>_xlfn.XLOOKUP(frasest[[#This Row],[author_es]],autorest[author_es],autorest[image])</f>
        <v>https://i.ibb.co/KjBfHkQ2/horacio.png</v>
      </c>
      <c r="R1492">
        <f>_xlfn.XLOOKUP(frasest[[#This Row],[author_es]],autorest[author_es],autorest[image_atr])</f>
        <v>0</v>
      </c>
    </row>
    <row r="1493" spans="1:18">
      <c r="A1493">
        <v>1492</v>
      </c>
      <c r="B1493" t="s">
        <v>4608</v>
      </c>
      <c r="C1493" t="s">
        <v>4609</v>
      </c>
      <c r="D1493" t="s">
        <v>4609</v>
      </c>
      <c r="E1493" t="s">
        <v>68</v>
      </c>
      <c r="F1493" t="s">
        <v>4610</v>
      </c>
      <c r="G1493" t="str">
        <f>_xlfn.XLOOKUP(frasest[[#This Row],[author_es]],autorest[author_es],autorest[author_la])</f>
        <v>Quintus Horatius Flaccus</v>
      </c>
      <c r="H1493" t="str">
        <f>_xlfn.XLOOKUP(frasest[[#This Row],[author_es]],autorest[author_es],autorest[bio_es])</f>
        <v>Poeta lírico romano, autor de "Carpe diem".</v>
      </c>
      <c r="I1493" t="str">
        <f>_xlfn.XLOOKUP(frasest[[#This Row],[author_es]],autorest[author_es],autorest[bio_la])</f>
        <v>Poeta lyricus Romanus, auctor "Carpe diem".</v>
      </c>
      <c r="J1493" t="str">
        <f>_xlfn.XLOOKUP(frasest[[#This Row],[author_es]],autorest[author_es],autorest[iso3691])</f>
        <v>la</v>
      </c>
      <c r="K1493" t="str">
        <f>_xlfn.XLOOKUP(frasest[[#This Row],[author_es]],autorest[author_es],autorest[language_es])</f>
        <v>Latín</v>
      </c>
      <c r="L1493" t="str">
        <f>_xlfn.XLOOKUP(frasest[[#This Row],[author_es]],autorest[author_es],autorest[language_la])</f>
        <v>Lingua Latina</v>
      </c>
      <c r="M1493" t="str">
        <f>_xlfn.XLOOKUP(frasest[[#This Row],[author_es]],autorest[author_es],autorest[nation_es])</f>
        <v>Roma</v>
      </c>
      <c r="N1493" t="str">
        <f>_xlfn.XLOOKUP(frasest[[#This Row],[author_es]],autorest[author_es],autorest[nation_la])</f>
        <v>Roma</v>
      </c>
      <c r="O1493" t="str">
        <f>_xlfn.XLOOKUP(frasest[[#This Row],[author_es]],autorest[author_es],autorest[age_es])</f>
        <v>Edad Antigua</v>
      </c>
      <c r="P1493" t="str">
        <f>_xlfn.XLOOKUP(frasest[[#This Row],[author_es]],autorest[author_es],autorest[age_la])</f>
        <v>Antiquitas</v>
      </c>
      <c r="Q1493" t="str">
        <f>_xlfn.XLOOKUP(frasest[[#This Row],[author_es]],autorest[author_es],autorest[image])</f>
        <v>https://i.ibb.co/KjBfHkQ2/horacio.png</v>
      </c>
      <c r="R1493">
        <f>_xlfn.XLOOKUP(frasest[[#This Row],[author_es]],autorest[author_es],autorest[image_atr])</f>
        <v>0</v>
      </c>
    </row>
    <row r="1494" spans="1:18">
      <c r="A1494">
        <v>1493</v>
      </c>
      <c r="B1494" t="s">
        <v>4611</v>
      </c>
      <c r="C1494" t="s">
        <v>4612</v>
      </c>
      <c r="D1494" t="s">
        <v>4612</v>
      </c>
      <c r="E1494" t="s">
        <v>68</v>
      </c>
      <c r="F1494" t="s">
        <v>4613</v>
      </c>
      <c r="G1494" t="str">
        <f>_xlfn.XLOOKUP(frasest[[#This Row],[author_es]],autorest[author_es],autorest[author_la])</f>
        <v>Quintus Horatius Flaccus</v>
      </c>
      <c r="H1494" t="str">
        <f>_xlfn.XLOOKUP(frasest[[#This Row],[author_es]],autorest[author_es],autorest[bio_es])</f>
        <v>Poeta lírico romano, autor de "Carpe diem".</v>
      </c>
      <c r="I1494" t="str">
        <f>_xlfn.XLOOKUP(frasest[[#This Row],[author_es]],autorest[author_es],autorest[bio_la])</f>
        <v>Poeta lyricus Romanus, auctor "Carpe diem".</v>
      </c>
      <c r="J1494" t="str">
        <f>_xlfn.XLOOKUP(frasest[[#This Row],[author_es]],autorest[author_es],autorest[iso3691])</f>
        <v>la</v>
      </c>
      <c r="K1494" t="str">
        <f>_xlfn.XLOOKUP(frasest[[#This Row],[author_es]],autorest[author_es],autorest[language_es])</f>
        <v>Latín</v>
      </c>
      <c r="L1494" t="str">
        <f>_xlfn.XLOOKUP(frasest[[#This Row],[author_es]],autorest[author_es],autorest[language_la])</f>
        <v>Lingua Latina</v>
      </c>
      <c r="M1494" t="str">
        <f>_xlfn.XLOOKUP(frasest[[#This Row],[author_es]],autorest[author_es],autorest[nation_es])</f>
        <v>Roma</v>
      </c>
      <c r="N1494" t="str">
        <f>_xlfn.XLOOKUP(frasest[[#This Row],[author_es]],autorest[author_es],autorest[nation_la])</f>
        <v>Roma</v>
      </c>
      <c r="O1494" t="str">
        <f>_xlfn.XLOOKUP(frasest[[#This Row],[author_es]],autorest[author_es],autorest[age_es])</f>
        <v>Edad Antigua</v>
      </c>
      <c r="P1494" t="str">
        <f>_xlfn.XLOOKUP(frasest[[#This Row],[author_es]],autorest[author_es],autorest[age_la])</f>
        <v>Antiquitas</v>
      </c>
      <c r="Q1494" t="str">
        <f>_xlfn.XLOOKUP(frasest[[#This Row],[author_es]],autorest[author_es],autorest[image])</f>
        <v>https://i.ibb.co/KjBfHkQ2/horacio.png</v>
      </c>
      <c r="R1494">
        <f>_xlfn.XLOOKUP(frasest[[#This Row],[author_es]],autorest[author_es],autorest[image_atr])</f>
        <v>0</v>
      </c>
    </row>
    <row r="1495" spans="1:18">
      <c r="A1495">
        <v>1494</v>
      </c>
      <c r="B1495" t="s">
        <v>4614</v>
      </c>
      <c r="C1495" t="s">
        <v>4615</v>
      </c>
      <c r="D1495" t="s">
        <v>4615</v>
      </c>
      <c r="E1495" t="s">
        <v>68</v>
      </c>
      <c r="F1495" t="s">
        <v>4616</v>
      </c>
      <c r="G1495" t="str">
        <f>_xlfn.XLOOKUP(frasest[[#This Row],[author_es]],autorest[author_es],autorest[author_la])</f>
        <v>Quintus Horatius Flaccus</v>
      </c>
      <c r="H1495" t="str">
        <f>_xlfn.XLOOKUP(frasest[[#This Row],[author_es]],autorest[author_es],autorest[bio_es])</f>
        <v>Poeta lírico romano, autor de "Carpe diem".</v>
      </c>
      <c r="I1495" t="str">
        <f>_xlfn.XLOOKUP(frasest[[#This Row],[author_es]],autorest[author_es],autorest[bio_la])</f>
        <v>Poeta lyricus Romanus, auctor "Carpe diem".</v>
      </c>
      <c r="J1495" t="str">
        <f>_xlfn.XLOOKUP(frasest[[#This Row],[author_es]],autorest[author_es],autorest[iso3691])</f>
        <v>la</v>
      </c>
      <c r="K1495" t="str">
        <f>_xlfn.XLOOKUP(frasest[[#This Row],[author_es]],autorest[author_es],autorest[language_es])</f>
        <v>Latín</v>
      </c>
      <c r="L1495" t="str">
        <f>_xlfn.XLOOKUP(frasest[[#This Row],[author_es]],autorest[author_es],autorest[language_la])</f>
        <v>Lingua Latina</v>
      </c>
      <c r="M1495" t="str">
        <f>_xlfn.XLOOKUP(frasest[[#This Row],[author_es]],autorest[author_es],autorest[nation_es])</f>
        <v>Roma</v>
      </c>
      <c r="N1495" t="str">
        <f>_xlfn.XLOOKUP(frasest[[#This Row],[author_es]],autorest[author_es],autorest[nation_la])</f>
        <v>Roma</v>
      </c>
      <c r="O1495" t="str">
        <f>_xlfn.XLOOKUP(frasest[[#This Row],[author_es]],autorest[author_es],autorest[age_es])</f>
        <v>Edad Antigua</v>
      </c>
      <c r="P1495" t="str">
        <f>_xlfn.XLOOKUP(frasest[[#This Row],[author_es]],autorest[author_es],autorest[age_la])</f>
        <v>Antiquitas</v>
      </c>
      <c r="Q1495" t="str">
        <f>_xlfn.XLOOKUP(frasest[[#This Row],[author_es]],autorest[author_es],autorest[image])</f>
        <v>https://i.ibb.co/KjBfHkQ2/horacio.png</v>
      </c>
      <c r="R1495">
        <f>_xlfn.XLOOKUP(frasest[[#This Row],[author_es]],autorest[author_es],autorest[image_atr])</f>
        <v>0</v>
      </c>
    </row>
    <row r="1496" spans="1:18">
      <c r="A1496">
        <v>1495</v>
      </c>
      <c r="B1496" t="s">
        <v>4617</v>
      </c>
      <c r="C1496" t="s">
        <v>4618</v>
      </c>
      <c r="D1496" t="s">
        <v>4617</v>
      </c>
      <c r="E1496" t="s">
        <v>4619</v>
      </c>
      <c r="F1496" t="s">
        <v>4620</v>
      </c>
      <c r="G1496" t="str">
        <f>_xlfn.XLOOKUP(frasest[[#This Row],[author_es]],autorest[author_es],autorest[author_la])</f>
        <v>Antonius Maria Claret</v>
      </c>
      <c r="H1496"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6"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6" t="str">
        <f>_xlfn.XLOOKUP(frasest[[#This Row],[author_es]],autorest[author_es],autorest[iso3691])</f>
        <v>es</v>
      </c>
      <c r="K1496" t="str">
        <f>_xlfn.XLOOKUP(frasest[[#This Row],[author_es]],autorest[author_es],autorest[language_es])</f>
        <v>Español</v>
      </c>
      <c r="L1496" t="str">
        <f>_xlfn.XLOOKUP(frasest[[#This Row],[author_es]],autorest[author_es],autorest[language_la])</f>
        <v>Lingua Hispanica</v>
      </c>
      <c r="M1496" t="str">
        <f>_xlfn.XLOOKUP(frasest[[#This Row],[author_es]],autorest[author_es],autorest[nation_es])</f>
        <v>España</v>
      </c>
      <c r="N1496" t="str">
        <f>_xlfn.XLOOKUP(frasest[[#This Row],[author_es]],autorest[author_es],autorest[nation_la])</f>
        <v>Hispania</v>
      </c>
      <c r="O1496" t="str">
        <f>_xlfn.XLOOKUP(frasest[[#This Row],[author_es]],autorest[author_es],autorest[age_es])</f>
        <v>Edad Contemporánea</v>
      </c>
      <c r="P1496" t="str">
        <f>_xlfn.XLOOKUP(frasest[[#This Row],[author_es]],autorest[author_es],autorest[age_la])</f>
        <v>Aetas Contemporanea</v>
      </c>
      <c r="Q1496" t="str">
        <f>_xlfn.XLOOKUP(frasest[[#This Row],[author_es]],autorest[author_es],autorest[image])</f>
        <v>https://i.ibb.co/pBJsk0pS/claret-alpha.png</v>
      </c>
      <c r="R1496">
        <f>_xlfn.XLOOKUP(frasest[[#This Row],[author_es]],autorest[author_es],autorest[image_atr])</f>
        <v>0</v>
      </c>
    </row>
    <row r="1497" spans="1:18">
      <c r="A1497">
        <v>1496</v>
      </c>
      <c r="B1497" t="s">
        <v>4621</v>
      </c>
      <c r="C1497" t="s">
        <v>4622</v>
      </c>
      <c r="D1497" t="s">
        <v>4622</v>
      </c>
      <c r="E1497" t="s">
        <v>4619</v>
      </c>
      <c r="F1497" t="s">
        <v>4623</v>
      </c>
      <c r="G1497" t="str">
        <f>_xlfn.XLOOKUP(frasest[[#This Row],[author_es]],autorest[author_es],autorest[author_la])</f>
        <v>Antonius Maria Claret</v>
      </c>
      <c r="H1497"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7"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7" t="str">
        <f>_xlfn.XLOOKUP(frasest[[#This Row],[author_es]],autorest[author_es],autorest[iso3691])</f>
        <v>es</v>
      </c>
      <c r="K1497" t="str">
        <f>_xlfn.XLOOKUP(frasest[[#This Row],[author_es]],autorest[author_es],autorest[language_es])</f>
        <v>Español</v>
      </c>
      <c r="L1497" t="str">
        <f>_xlfn.XLOOKUP(frasest[[#This Row],[author_es]],autorest[author_es],autorest[language_la])</f>
        <v>Lingua Hispanica</v>
      </c>
      <c r="M1497" t="str">
        <f>_xlfn.XLOOKUP(frasest[[#This Row],[author_es]],autorest[author_es],autorest[nation_es])</f>
        <v>España</v>
      </c>
      <c r="N1497" t="str">
        <f>_xlfn.XLOOKUP(frasest[[#This Row],[author_es]],autorest[author_es],autorest[nation_la])</f>
        <v>Hispania</v>
      </c>
      <c r="O1497" t="str">
        <f>_xlfn.XLOOKUP(frasest[[#This Row],[author_es]],autorest[author_es],autorest[age_es])</f>
        <v>Edad Contemporánea</v>
      </c>
      <c r="P1497" t="str">
        <f>_xlfn.XLOOKUP(frasest[[#This Row],[author_es]],autorest[author_es],autorest[age_la])</f>
        <v>Aetas Contemporanea</v>
      </c>
      <c r="Q1497" t="str">
        <f>_xlfn.XLOOKUP(frasest[[#This Row],[author_es]],autorest[author_es],autorest[image])</f>
        <v>https://i.ibb.co/pBJsk0pS/claret-alpha.png</v>
      </c>
      <c r="R1497">
        <f>_xlfn.XLOOKUP(frasest[[#This Row],[author_es]],autorest[author_es],autorest[image_atr])</f>
        <v>0</v>
      </c>
    </row>
    <row r="1498" spans="1:18">
      <c r="A1498">
        <v>1497</v>
      </c>
      <c r="B1498" t="s">
        <v>4624</v>
      </c>
      <c r="C1498" t="s">
        <v>4625</v>
      </c>
      <c r="D1498" t="s">
        <v>4625</v>
      </c>
      <c r="E1498" t="s">
        <v>4619</v>
      </c>
      <c r="F1498" t="s">
        <v>4626</v>
      </c>
      <c r="G1498" t="str">
        <f>_xlfn.XLOOKUP(frasest[[#This Row],[author_es]],autorest[author_es],autorest[author_la])</f>
        <v>Antonius Maria Claret</v>
      </c>
      <c r="H1498"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8"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8" t="str">
        <f>_xlfn.XLOOKUP(frasest[[#This Row],[author_es]],autorest[author_es],autorest[iso3691])</f>
        <v>es</v>
      </c>
      <c r="K1498" t="str">
        <f>_xlfn.XLOOKUP(frasest[[#This Row],[author_es]],autorest[author_es],autorest[language_es])</f>
        <v>Español</v>
      </c>
      <c r="L1498" t="str">
        <f>_xlfn.XLOOKUP(frasest[[#This Row],[author_es]],autorest[author_es],autorest[language_la])</f>
        <v>Lingua Hispanica</v>
      </c>
      <c r="M1498" t="str">
        <f>_xlfn.XLOOKUP(frasest[[#This Row],[author_es]],autorest[author_es],autorest[nation_es])</f>
        <v>España</v>
      </c>
      <c r="N1498" t="str">
        <f>_xlfn.XLOOKUP(frasest[[#This Row],[author_es]],autorest[author_es],autorest[nation_la])</f>
        <v>Hispania</v>
      </c>
      <c r="O1498" t="str">
        <f>_xlfn.XLOOKUP(frasest[[#This Row],[author_es]],autorest[author_es],autorest[age_es])</f>
        <v>Edad Contemporánea</v>
      </c>
      <c r="P1498" t="str">
        <f>_xlfn.XLOOKUP(frasest[[#This Row],[author_es]],autorest[author_es],autorest[age_la])</f>
        <v>Aetas Contemporanea</v>
      </c>
      <c r="Q1498" t="str">
        <f>_xlfn.XLOOKUP(frasest[[#This Row],[author_es]],autorest[author_es],autorest[image])</f>
        <v>https://i.ibb.co/pBJsk0pS/claret-alpha.png</v>
      </c>
      <c r="R1498">
        <f>_xlfn.XLOOKUP(frasest[[#This Row],[author_es]],autorest[author_es],autorest[image_atr])</f>
        <v>0</v>
      </c>
    </row>
    <row r="1499" spans="1:18">
      <c r="A1499">
        <v>1498</v>
      </c>
      <c r="B1499" t="s">
        <v>4627</v>
      </c>
      <c r="C1499" t="s">
        <v>4628</v>
      </c>
      <c r="D1499" t="s">
        <v>4627</v>
      </c>
      <c r="E1499" t="s">
        <v>4619</v>
      </c>
      <c r="F1499" t="s">
        <v>4629</v>
      </c>
      <c r="G1499" t="str">
        <f>_xlfn.XLOOKUP(frasest[[#This Row],[author_es]],autorest[author_es],autorest[author_la])</f>
        <v>Antonius Maria Claret</v>
      </c>
      <c r="H1499"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499"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499" t="str">
        <f>_xlfn.XLOOKUP(frasest[[#This Row],[author_es]],autorest[author_es],autorest[iso3691])</f>
        <v>es</v>
      </c>
      <c r="K1499" t="str">
        <f>_xlfn.XLOOKUP(frasest[[#This Row],[author_es]],autorest[author_es],autorest[language_es])</f>
        <v>Español</v>
      </c>
      <c r="L1499" t="str">
        <f>_xlfn.XLOOKUP(frasest[[#This Row],[author_es]],autorest[author_es],autorest[language_la])</f>
        <v>Lingua Hispanica</v>
      </c>
      <c r="M1499" t="str">
        <f>_xlfn.XLOOKUP(frasest[[#This Row],[author_es]],autorest[author_es],autorest[nation_es])</f>
        <v>España</v>
      </c>
      <c r="N1499" t="str">
        <f>_xlfn.XLOOKUP(frasest[[#This Row],[author_es]],autorest[author_es],autorest[nation_la])</f>
        <v>Hispania</v>
      </c>
      <c r="O1499" t="str">
        <f>_xlfn.XLOOKUP(frasest[[#This Row],[author_es]],autorest[author_es],autorest[age_es])</f>
        <v>Edad Contemporánea</v>
      </c>
      <c r="P1499" t="str">
        <f>_xlfn.XLOOKUP(frasest[[#This Row],[author_es]],autorest[author_es],autorest[age_la])</f>
        <v>Aetas Contemporanea</v>
      </c>
      <c r="Q1499" t="str">
        <f>_xlfn.XLOOKUP(frasest[[#This Row],[author_es]],autorest[author_es],autorest[image])</f>
        <v>https://i.ibb.co/pBJsk0pS/claret-alpha.png</v>
      </c>
      <c r="R1499">
        <f>_xlfn.XLOOKUP(frasest[[#This Row],[author_es]],autorest[author_es],autorest[image_atr])</f>
        <v>0</v>
      </c>
    </row>
    <row r="1500" spans="1:18">
      <c r="A1500">
        <v>1499</v>
      </c>
      <c r="B1500" t="s">
        <v>4630</v>
      </c>
      <c r="C1500" t="s">
        <v>4631</v>
      </c>
      <c r="D1500" t="s">
        <v>4630</v>
      </c>
      <c r="E1500" t="s">
        <v>4619</v>
      </c>
      <c r="F1500" t="s">
        <v>4632</v>
      </c>
      <c r="G1500" t="str">
        <f>_xlfn.XLOOKUP(frasest[[#This Row],[author_es]],autorest[author_es],autorest[author_la])</f>
        <v>Antonius Maria Claret</v>
      </c>
      <c r="H1500" t="str">
        <f>_xlfn.XLOOKUP(frasest[[#This Row],[author_es]],autorest[author_es],autorest[bio_es])</f>
        <v>Arzobispo español, misionero apostólico y fundador de los Misioneros Claretianos. Fue confesor de la Reina Isabel II y un prolífico escritor y editor, destacando por su celo evangelizador y su labor social en Cuba y España.</v>
      </c>
      <c r="I1500" t="str">
        <f>_xlfn.XLOOKUP(frasest[[#This Row],[author_es]],autorest[author_es],autorest[bio_la])</f>
        <v>Archiepiscopus Hispanicus, missionarius apostolicus et fundator Missionariorum Claretianorum. Fuit confessarius Reginae Isabellae II et scriptor fecundus, zelo evangelizandi et caritate erga pauperes in Cuba et Hispania clarus.</v>
      </c>
      <c r="J1500" t="str">
        <f>_xlfn.XLOOKUP(frasest[[#This Row],[author_es]],autorest[author_es],autorest[iso3691])</f>
        <v>es</v>
      </c>
      <c r="K1500" t="str">
        <f>_xlfn.XLOOKUP(frasest[[#This Row],[author_es]],autorest[author_es],autorest[language_es])</f>
        <v>Español</v>
      </c>
      <c r="L1500" t="str">
        <f>_xlfn.XLOOKUP(frasest[[#This Row],[author_es]],autorest[author_es],autorest[language_la])</f>
        <v>Lingua Hispanica</v>
      </c>
      <c r="M1500" t="str">
        <f>_xlfn.XLOOKUP(frasest[[#This Row],[author_es]],autorest[author_es],autorest[nation_es])</f>
        <v>España</v>
      </c>
      <c r="N1500" t="str">
        <f>_xlfn.XLOOKUP(frasest[[#This Row],[author_es]],autorest[author_es],autorest[nation_la])</f>
        <v>Hispania</v>
      </c>
      <c r="O1500" t="str">
        <f>_xlfn.XLOOKUP(frasest[[#This Row],[author_es]],autorest[author_es],autorest[age_es])</f>
        <v>Edad Contemporánea</v>
      </c>
      <c r="P1500" t="str">
        <f>_xlfn.XLOOKUP(frasest[[#This Row],[author_es]],autorest[author_es],autorest[age_la])</f>
        <v>Aetas Contemporanea</v>
      </c>
      <c r="Q1500" t="str">
        <f>_xlfn.XLOOKUP(frasest[[#This Row],[author_es]],autorest[author_es],autorest[image])</f>
        <v>https://i.ibb.co/pBJsk0pS/claret-alpha.png</v>
      </c>
      <c r="R1500">
        <f>_xlfn.XLOOKUP(frasest[[#This Row],[author_es]],autorest[author_es],autorest[image_atr])</f>
        <v>0</v>
      </c>
    </row>
    <row r="1501" spans="1:18">
      <c r="A1501">
        <v>1500</v>
      </c>
      <c r="B1501" t="s">
        <v>5385</v>
      </c>
      <c r="C1501" t="s">
        <v>5386</v>
      </c>
      <c r="D1501" t="s">
        <v>5387</v>
      </c>
      <c r="E1501" t="s">
        <v>5381</v>
      </c>
      <c r="F1501" t="s">
        <v>5388</v>
      </c>
      <c r="G1501" t="str">
        <f>_xlfn.XLOOKUP(frasest[[#This Row],[author_es]],autorest[author_es],autorest[author_la])</f>
        <v>Stephanus Wozniak</v>
      </c>
      <c r="H1501" t="str">
        <f>_xlfn.XLOOKUP(frasest[[#This Row],[author_es]],autorest[author_es],autorest[bio_es])</f>
        <v>Ingeniero electrónico y cofundador de Apple, creador de la Apple I y II y defensor de la ingeniería creativa.</v>
      </c>
      <c r="I1501" t="str">
        <f>_xlfn.XLOOKUP(frasest[[#This Row],[author_es]],autorest[author_es],autorest[bio_la])</f>
        <v>Machinator electronicus et Apple co-conditor, creator Apple I et II et defensor machinationis creativae.</v>
      </c>
      <c r="J1501" t="str">
        <f>_xlfn.XLOOKUP(frasest[[#This Row],[author_es]],autorest[author_es],autorest[iso3691])</f>
        <v>en</v>
      </c>
      <c r="K1501" t="str">
        <f>_xlfn.XLOOKUP(frasest[[#This Row],[author_es]],autorest[author_es],autorest[language_es])</f>
        <v>Inglés</v>
      </c>
      <c r="L1501" t="str">
        <f>_xlfn.XLOOKUP(frasest[[#This Row],[author_es]],autorest[author_es],autorest[language_la])</f>
        <v>Lingua Anglica</v>
      </c>
      <c r="M1501" t="str">
        <f>_xlfn.XLOOKUP(frasest[[#This Row],[author_es]],autorest[author_es],autorest[nation_es])</f>
        <v>Estados Unidos</v>
      </c>
      <c r="N1501" t="str">
        <f>_xlfn.XLOOKUP(frasest[[#This Row],[author_es]],autorest[author_es],autorest[nation_la])</f>
        <v>Civitates Foederatae Americae</v>
      </c>
      <c r="O1501" t="str">
        <f>_xlfn.XLOOKUP(frasest[[#This Row],[author_es]],autorest[author_es],autorest[age_es])</f>
        <v>Edad Contemporánea</v>
      </c>
      <c r="P1501" t="str">
        <f>_xlfn.XLOOKUP(frasest[[#This Row],[author_es]],autorest[author_es],autorest[age_la])</f>
        <v>Aetas Contemporanea</v>
      </c>
      <c r="Q1501">
        <f>_xlfn.XLOOKUP(frasest[[#This Row],[author_es]],autorest[author_es],autorest[image])</f>
        <v>0</v>
      </c>
      <c r="R1501">
        <f>_xlfn.XLOOKUP(frasest[[#This Row],[author_es]],autorest[author_es],autorest[image_atr])</f>
        <v>0</v>
      </c>
    </row>
    <row r="1502" spans="1:18">
      <c r="A1502">
        <v>1501</v>
      </c>
      <c r="B1502" s="9" t="s">
        <v>5389</v>
      </c>
      <c r="C1502" t="s">
        <v>5390</v>
      </c>
      <c r="D1502" t="s">
        <v>5391</v>
      </c>
      <c r="E1502" t="s">
        <v>582</v>
      </c>
      <c r="F1502" t="s">
        <v>5392</v>
      </c>
      <c r="G1502" t="str">
        <f>_xlfn.XLOOKUP(frasest[[#This Row],[author_es]],autorest[author_es],autorest[author_la])</f>
        <v>Aristoteles</v>
      </c>
      <c r="H1502" t="str">
        <f>_xlfn.XLOOKUP(frasest[[#This Row],[author_es]],autorest[author_es],autorest[bio_es])</f>
        <v>Filósofo griego de la Edad Antigua, discípulo de Platón y maestro de Alejandro Magno, figura central del pensamiento lógico, ético y metafísico.</v>
      </c>
      <c r="I1502" t="str">
        <f>_xlfn.XLOOKUP(frasest[[#This Row],[author_es]],autorest[author_es],autorest[bio_la])</f>
        <v>Philosophus Graecus Antiquitatis, discipulus Platonis et magister Alexandri Magni, pars maxima in logica, ethica et metaphysica.</v>
      </c>
      <c r="J1502" t="str">
        <f>_xlfn.XLOOKUP(frasest[[#This Row],[author_es]],autorest[author_es],autorest[iso3691])</f>
        <v>el</v>
      </c>
      <c r="K1502" t="str">
        <f>_xlfn.XLOOKUP(frasest[[#This Row],[author_es]],autorest[author_es],autorest[language_es])</f>
        <v>Griego</v>
      </c>
      <c r="L1502" t="str">
        <f>_xlfn.XLOOKUP(frasest[[#This Row],[author_es]],autorest[author_es],autorest[language_la])</f>
        <v>Lingua Graeca</v>
      </c>
      <c r="M1502" t="str">
        <f>_xlfn.XLOOKUP(frasest[[#This Row],[author_es]],autorest[author_es],autorest[nation_es])</f>
        <v>Grecia</v>
      </c>
      <c r="N1502" t="str">
        <f>_xlfn.XLOOKUP(frasest[[#This Row],[author_es]],autorest[author_es],autorest[nation_la])</f>
        <v>Graecia</v>
      </c>
      <c r="O1502" t="str">
        <f>_xlfn.XLOOKUP(frasest[[#This Row],[author_es]],autorest[author_es],autorest[age_es])</f>
        <v>Edad Antigua</v>
      </c>
      <c r="P1502" t="str">
        <f>_xlfn.XLOOKUP(frasest[[#This Row],[author_es]],autorest[author_es],autorest[age_la])</f>
        <v>Antiquitas</v>
      </c>
      <c r="Q1502" t="str">
        <f>_xlfn.XLOOKUP(frasest[[#This Row],[author_es]],autorest[author_es],autorest[image])</f>
        <v>https://i.ibb.co/gZpf6w2B/aristoteles.png</v>
      </c>
      <c r="R1502">
        <f>_xlfn.XLOOKUP(frasest[[#This Row],[author_es]],autorest[author_es],autorest[image_atr])</f>
        <v>0</v>
      </c>
    </row>
  </sheetData>
  <dataValidations disablePrompts="1" count="2">
    <dataValidation allowBlank="1" showInputMessage="1" showErrorMessage="1" sqref="F1:F107 F109:F1479 F1489:F2500" xr:uid="{00000000-0002-0000-0000-000000000000}">
      <formula1>0</formula1>
      <formula2>0</formula2>
    </dataValidation>
    <dataValidation type="list" allowBlank="1" showInputMessage="1" showErrorMessage="1" sqref="E2:E1502" xr:uid="{00000000-0002-0000-0000-000001000000}">
      <formula1>INDIRECT("'autores'!autorest[autor_es]")</formula1>
      <formula2>0</formula2>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5"/>
  <sheetViews>
    <sheetView topLeftCell="A110" zoomScaleNormal="100" workbookViewId="0">
      <selection activeCell="B126" sqref="B126"/>
    </sheetView>
  </sheetViews>
  <sheetFormatPr baseColWidth="10" defaultColWidth="8.83203125" defaultRowHeight="13"/>
  <cols>
    <col min="1" max="1" width="10.6640625" customWidth="1"/>
    <col min="2" max="2" width="26.5" customWidth="1"/>
    <col min="3" max="3" width="32.6640625" customWidth="1"/>
    <col min="4" max="4" width="19.33203125" customWidth="1"/>
    <col min="5" max="5" width="21" customWidth="1"/>
    <col min="6" max="7" width="30.6640625" customWidth="1"/>
    <col min="8" max="9" width="15.5" customWidth="1"/>
    <col min="10" max="10" width="16.5" customWidth="1"/>
    <col min="11" max="11" width="42" customWidth="1"/>
    <col min="12" max="12" width="40" customWidth="1"/>
    <col min="13" max="13" width="12.1640625" customWidth="1"/>
    <col min="14" max="14" width="18.5" customWidth="1"/>
    <col min="15" max="15" width="23.33203125" customWidth="1"/>
    <col min="16" max="16" width="20" customWidth="1"/>
  </cols>
  <sheetData>
    <row r="1" spans="1:16">
      <c r="A1" t="s">
        <v>4633</v>
      </c>
      <c r="B1" t="s">
        <v>4</v>
      </c>
      <c r="C1" t="s">
        <v>6</v>
      </c>
      <c r="D1" t="s">
        <v>4634</v>
      </c>
      <c r="E1" t="s">
        <v>4635</v>
      </c>
      <c r="F1" t="s">
        <v>7</v>
      </c>
      <c r="G1" t="s">
        <v>8</v>
      </c>
      <c r="H1" t="s">
        <v>10</v>
      </c>
      <c r="I1" t="s">
        <v>12</v>
      </c>
      <c r="J1" t="s">
        <v>11</v>
      </c>
      <c r="K1" t="s">
        <v>16</v>
      </c>
      <c r="L1" t="s">
        <v>17</v>
      </c>
      <c r="M1" t="s">
        <v>9</v>
      </c>
      <c r="N1" t="s">
        <v>13</v>
      </c>
      <c r="O1" t="s">
        <v>14</v>
      </c>
      <c r="P1" t="s">
        <v>15</v>
      </c>
    </row>
    <row r="2" spans="1:16" ht="14">
      <c r="A2">
        <v>1</v>
      </c>
      <c r="B2" t="s">
        <v>68</v>
      </c>
      <c r="C2" t="s">
        <v>4636</v>
      </c>
      <c r="D2">
        <v>-65</v>
      </c>
      <c r="E2">
        <v>-8</v>
      </c>
      <c r="F2" t="s">
        <v>4637</v>
      </c>
      <c r="G2" t="s">
        <v>4638</v>
      </c>
      <c r="H2" t="s">
        <v>4639</v>
      </c>
      <c r="I2" t="s">
        <v>4640</v>
      </c>
      <c r="J2" t="str">
        <f>_xlfn.XLOOKUP(autorest[[#This Row],[language_es]],idiomast[language_es],idiomast[language_la])</f>
        <v>Lingua Latina</v>
      </c>
      <c r="K2" s="6" t="s">
        <v>4641</v>
      </c>
      <c r="M2" t="str">
        <f>_xlfn.XLOOKUP(autorest[[#This Row],[language_es]],idiomast[language_es],idiomast[iso3691])</f>
        <v>la</v>
      </c>
      <c r="N2" t="str">
        <f>_xlfn.XLOOKUP(autorest[[#This Row],[nation_es]],nacionest[nation_es],nacionest[nation_la])</f>
        <v>Roma</v>
      </c>
      <c r="O2" s="7" t="str">
        <f t="array" ref="O2">IF(ISBLANK(autorest[[#This Row],[year_birth]]),"Epoca Desconocida",IFERROR(INDEX(epocast[age_es],MATCH(1,(autorest[[#This Row],[year_birth]]&gt;=epocast[year_start])*(autorest[[#This Row],[year_birth]]&lt;=epocast[year_end]),0)),"Epoca Desconocida"))</f>
        <v>Edad Antigua</v>
      </c>
      <c r="P2" t="str">
        <f>_xlfn.XLOOKUP(autorest[[#This Row],[age_es]],epocast[age_es],epocast[age_la])</f>
        <v>Antiquitas</v>
      </c>
    </row>
    <row r="3" spans="1:16" ht="14">
      <c r="A3">
        <v>2</v>
      </c>
      <c r="B3" t="s">
        <v>49</v>
      </c>
      <c r="C3" t="s">
        <v>4642</v>
      </c>
      <c r="D3">
        <v>1596</v>
      </c>
      <c r="E3">
        <v>1650</v>
      </c>
      <c r="F3" t="s">
        <v>4643</v>
      </c>
      <c r="G3" t="s">
        <v>4644</v>
      </c>
      <c r="H3" t="s">
        <v>4639</v>
      </c>
      <c r="I3" t="s">
        <v>4645</v>
      </c>
      <c r="J3" t="str">
        <f>_xlfn.XLOOKUP(autorest[[#This Row],[language_es]],idiomast[language_es],idiomast[language_la])</f>
        <v>Lingua Latina</v>
      </c>
      <c r="K3" s="6" t="s">
        <v>4646</v>
      </c>
      <c r="M3" t="str">
        <f>_xlfn.XLOOKUP(autorest[[#This Row],[language_es]],idiomast[language_es],idiomast[iso3691])</f>
        <v>la</v>
      </c>
      <c r="N3" t="str">
        <f>_xlfn.XLOOKUP(autorest[[#This Row],[nation_es]],nacionest[nation_es],nacionest[nation_la])</f>
        <v>Francia</v>
      </c>
      <c r="O3" s="7" t="str">
        <f t="array" ref="O3">IF(ISBLANK(autorest[[#This Row],[year_birth]]),"Epoca Desconocida",IFERROR(INDEX(epocast[age_es],MATCH(1,(autorest[[#This Row],[year_birth]]&gt;=epocast[year_start])*(autorest[[#This Row],[year_birth]]&lt;=epocast[year_end]),0)),"Epoca Desconocida"))</f>
        <v>Edad Moderna</v>
      </c>
      <c r="P3" t="str">
        <f>_xlfn.XLOOKUP(autorest[[#This Row],[age_es]],epocast[age_es],epocast[age_la])</f>
        <v>Nova Aetas</v>
      </c>
    </row>
    <row r="4" spans="1:16" ht="14">
      <c r="A4">
        <v>3</v>
      </c>
      <c r="B4" t="s">
        <v>53</v>
      </c>
      <c r="C4" t="s">
        <v>4647</v>
      </c>
      <c r="D4">
        <v>1561</v>
      </c>
      <c r="E4">
        <v>1626</v>
      </c>
      <c r="F4" t="s">
        <v>4648</v>
      </c>
      <c r="G4" t="s">
        <v>4649</v>
      </c>
      <c r="H4" t="s">
        <v>4650</v>
      </c>
      <c r="I4" t="s">
        <v>4651</v>
      </c>
      <c r="J4" t="str">
        <f>_xlfn.XLOOKUP(autorest[[#This Row],[language_es]],idiomast[language_es],idiomast[language_la])</f>
        <v>Lingua Anglica</v>
      </c>
      <c r="K4" s="6" t="s">
        <v>4652</v>
      </c>
      <c r="M4" t="str">
        <f>_xlfn.XLOOKUP(autorest[[#This Row],[language_es]],idiomast[language_es],idiomast[iso3691])</f>
        <v>en</v>
      </c>
      <c r="N4" t="str">
        <f>_xlfn.XLOOKUP(autorest[[#This Row],[nation_es]],nacionest[nation_es],nacionest[nation_la])</f>
        <v>Regnum Unitum</v>
      </c>
      <c r="O4" s="7" t="str">
        <f t="array" ref="O4">IF(ISBLANK(autorest[[#This Row],[year_birth]]),"Epoca Desconocida",IFERROR(INDEX(epocast[age_es],MATCH(1,(autorest[[#This Row],[year_birth]]&gt;=epocast[year_start])*(autorest[[#This Row],[year_birth]]&lt;=epocast[year_end]),0)),"Epoca Desconocida"))</f>
        <v>Edad Moderna</v>
      </c>
      <c r="P4" t="str">
        <f>_xlfn.XLOOKUP(autorest[[#This Row],[age_es]],epocast[age_es],epocast[age_la])</f>
        <v>Nova Aetas</v>
      </c>
    </row>
    <row r="5" spans="1:16" ht="14">
      <c r="A5">
        <v>4</v>
      </c>
      <c r="B5" t="s">
        <v>57</v>
      </c>
      <c r="C5" t="s">
        <v>4653</v>
      </c>
      <c r="D5">
        <v>354</v>
      </c>
      <c r="E5">
        <v>430</v>
      </c>
      <c r="F5" t="s">
        <v>4654</v>
      </c>
      <c r="G5" t="s">
        <v>4655</v>
      </c>
      <c r="H5" t="s">
        <v>4639</v>
      </c>
      <c r="I5" t="s">
        <v>4640</v>
      </c>
      <c r="J5" t="str">
        <f>_xlfn.XLOOKUP(autorest[[#This Row],[language_es]],idiomast[language_es],idiomast[language_la])</f>
        <v>Lingua Latina</v>
      </c>
      <c r="K5" s="6" t="s">
        <v>4656</v>
      </c>
      <c r="M5" t="str">
        <f>_xlfn.XLOOKUP(autorest[[#This Row],[language_es]],idiomast[language_es],idiomast[iso3691])</f>
        <v>la</v>
      </c>
      <c r="N5" t="str">
        <f>_xlfn.XLOOKUP(autorest[[#This Row],[nation_es]],nacionest[nation_es],nacionest[nation_la])</f>
        <v>Roma</v>
      </c>
      <c r="O5" s="7" t="str">
        <f t="array" ref="O5">IF(ISBLANK(autorest[[#This Row],[year_birth]]),"Epoca Desconocida",IFERROR(INDEX(epocast[age_es],MATCH(1,(autorest[[#This Row],[year_birth]]&gt;=epocast[year_start])*(autorest[[#This Row],[year_birth]]&lt;=epocast[year_end]),0)),"Epoca Desconocida"))</f>
        <v>Edad Antigua</v>
      </c>
      <c r="P5" t="str">
        <f>_xlfn.XLOOKUP(autorest[[#This Row],[age_es]],epocast[age_es],epocast[age_la])</f>
        <v>Antiquitas</v>
      </c>
    </row>
    <row r="6" spans="1:16" ht="14">
      <c r="A6">
        <v>5</v>
      </c>
      <c r="B6" t="s">
        <v>73</v>
      </c>
      <c r="C6" t="s">
        <v>4657</v>
      </c>
      <c r="D6">
        <v>1564</v>
      </c>
      <c r="E6">
        <v>1616</v>
      </c>
      <c r="F6" t="s">
        <v>4658</v>
      </c>
      <c r="G6" t="s">
        <v>4659</v>
      </c>
      <c r="H6" t="s">
        <v>4650</v>
      </c>
      <c r="I6" t="s">
        <v>4651</v>
      </c>
      <c r="J6" t="str">
        <f>_xlfn.XLOOKUP(autorest[[#This Row],[language_es]],idiomast[language_es],idiomast[language_la])</f>
        <v>Lingua Anglica</v>
      </c>
      <c r="K6" s="6" t="s">
        <v>4660</v>
      </c>
      <c r="M6" t="str">
        <f>_xlfn.XLOOKUP(autorest[[#This Row],[language_es]],idiomast[language_es],idiomast[iso3691])</f>
        <v>en</v>
      </c>
      <c r="N6" t="str">
        <f>_xlfn.XLOOKUP(autorest[[#This Row],[nation_es]],nacionest[nation_es],nacionest[nation_la])</f>
        <v>Regnum Unitum</v>
      </c>
      <c r="O6" s="7" t="str">
        <f t="array" ref="O6">IF(ISBLANK(autorest[[#This Row],[year_birth]]),"Epoca Desconocida",IFERROR(INDEX(epocast[age_es],MATCH(1,(autorest[[#This Row],[year_birth]]&gt;=epocast[year_start])*(autorest[[#This Row],[year_birth]]&lt;=epocast[year_end]),0)),"Epoca Desconocida"))</f>
        <v>Edad Moderna</v>
      </c>
      <c r="P6" t="str">
        <f>_xlfn.XLOOKUP(autorest[[#This Row],[age_es]],epocast[age_es],epocast[age_la])</f>
        <v>Nova Aetas</v>
      </c>
    </row>
    <row r="7" spans="1:16" ht="14">
      <c r="A7">
        <v>6</v>
      </c>
      <c r="B7" t="s">
        <v>4661</v>
      </c>
      <c r="C7" t="s">
        <v>4662</v>
      </c>
      <c r="D7">
        <v>-990</v>
      </c>
      <c r="E7">
        <v>-931</v>
      </c>
      <c r="F7" t="s">
        <v>4663</v>
      </c>
      <c r="G7" t="s">
        <v>4664</v>
      </c>
      <c r="H7" t="s">
        <v>4665</v>
      </c>
      <c r="I7" t="s">
        <v>4666</v>
      </c>
      <c r="J7" t="str">
        <f>_xlfn.XLOOKUP(autorest[[#This Row],[language_es]],idiomast[language_es],idiomast[language_la])</f>
        <v>Lingua Hebraica</v>
      </c>
      <c r="K7" s="6" t="s">
        <v>4667</v>
      </c>
      <c r="M7" t="str">
        <f>_xlfn.XLOOKUP(autorest[[#This Row],[language_es]],idiomast[language_es],idiomast[iso3691])</f>
        <v>he</v>
      </c>
      <c r="N7" t="str">
        <f>_xlfn.XLOOKUP(autorest[[#This Row],[nation_es]],nacionest[nation_es],nacionest[nation_la])</f>
        <v>Israel</v>
      </c>
      <c r="O7" s="7" t="str">
        <f t="array" ref="O7">IF(ISBLANK(autorest[[#This Row],[year_birth]]),"Epoca Desconocida",IFERROR(INDEX(epocast[age_es],MATCH(1,(autorest[[#This Row],[year_birth]]&gt;=epocast[year_start])*(autorest[[#This Row],[year_birth]]&lt;=epocast[year_end]),0)),"Epoca Desconocida"))</f>
        <v>Edad Antigua</v>
      </c>
      <c r="P7" t="str">
        <f>_xlfn.XLOOKUP(autorest[[#This Row],[age_es]],epocast[age_es],epocast[age_la])</f>
        <v>Antiquitas</v>
      </c>
    </row>
    <row r="8" spans="1:16" ht="14">
      <c r="A8">
        <v>7</v>
      </c>
      <c r="B8" t="s">
        <v>62</v>
      </c>
      <c r="C8" t="s">
        <v>4668</v>
      </c>
      <c r="D8">
        <v>1888</v>
      </c>
      <c r="E8">
        <v>1955</v>
      </c>
      <c r="F8" t="s">
        <v>4669</v>
      </c>
      <c r="G8" t="s">
        <v>4670</v>
      </c>
      <c r="H8" t="s">
        <v>4650</v>
      </c>
      <c r="I8" t="s">
        <v>4671</v>
      </c>
      <c r="J8" t="str">
        <f>_xlfn.XLOOKUP(autorest[[#This Row],[language_es]],idiomast[language_es],idiomast[language_la])</f>
        <v>Lingua Anglica</v>
      </c>
      <c r="K8" s="6" t="s">
        <v>4672</v>
      </c>
      <c r="M8" t="str">
        <f>_xlfn.XLOOKUP(autorest[[#This Row],[language_es]],idiomast[language_es],idiomast[iso3691])</f>
        <v>en</v>
      </c>
      <c r="N8" t="str">
        <f>_xlfn.XLOOKUP(autorest[[#This Row],[nation_es]],nacionest[nation_es],nacionest[nation_la])</f>
        <v>Civitates Foederatae Americae</v>
      </c>
      <c r="O8" s="7" t="str">
        <f t="array" ref="O8">IF(ISBLANK(autorest[[#This Row],[year_birth]]),"Epoca Desconocida",IFERROR(INDEX(epocast[age_es],MATCH(1,(autorest[[#This Row],[year_birth]]&gt;=epocast[year_start])*(autorest[[#This Row],[year_birth]]&lt;=epocast[year_end]),0)),"Epoca Desconocida"))</f>
        <v>Edad Contemporánea</v>
      </c>
      <c r="P8" t="str">
        <f>_xlfn.XLOOKUP(autorest[[#This Row],[age_es]],epocast[age_es],epocast[age_la])</f>
        <v>Aetas Contemporanea</v>
      </c>
    </row>
    <row r="9" spans="1:16" ht="14">
      <c r="A9">
        <v>8</v>
      </c>
      <c r="B9" t="s">
        <v>36</v>
      </c>
      <c r="C9" t="s">
        <v>4673</v>
      </c>
      <c r="F9" t="s">
        <v>4674</v>
      </c>
      <c r="G9" t="s">
        <v>4675</v>
      </c>
      <c r="H9" t="s">
        <v>4676</v>
      </c>
      <c r="I9" t="s">
        <v>4677</v>
      </c>
      <c r="J9" t="str">
        <f>_xlfn.XLOOKUP(autorest[[#This Row],[language_es]],idiomast[language_es],idiomast[language_la])</f>
        <v>Lingua Sinica</v>
      </c>
      <c r="K9" s="6" t="s">
        <v>4678</v>
      </c>
      <c r="L9" s="6"/>
      <c r="M9" t="str">
        <f>_xlfn.XLOOKUP(autorest[[#This Row],[language_es]],idiomast[language_es],idiomast[iso3691])</f>
        <v>zh</v>
      </c>
      <c r="N9" t="str">
        <f>_xlfn.XLOOKUP(autorest[[#This Row],[nation_es]],nacionest[nation_es],nacionest[nation_la])</f>
        <v>Sinae</v>
      </c>
      <c r="O9" s="7" t="str">
        <f t="array" ref="O9">IF(ISBLANK(autorest[[#This Row],[year_birth]]),"Epoca Desconocida",IFERROR(INDEX(epocast[age_es],MATCH(1,(autorest[[#This Row],[year_birth]]&gt;=epocast[year_start])*(autorest[[#This Row],[year_birth]]&lt;=epocast[year_end]),0)),"Epoca Desconocida"))</f>
        <v>Epoca Desconocida</v>
      </c>
      <c r="P9" t="str">
        <f>_xlfn.XLOOKUP(autorest[[#This Row],[age_es]],epocast[age_es],epocast[age_la])</f>
        <v>Epocha Ignota</v>
      </c>
    </row>
    <row r="10" spans="1:16" ht="14">
      <c r="A10">
        <v>9</v>
      </c>
      <c r="B10" t="s">
        <v>28</v>
      </c>
      <c r="C10" t="s">
        <v>4679</v>
      </c>
      <c r="F10" t="s">
        <v>4680</v>
      </c>
      <c r="G10" t="s">
        <v>4681</v>
      </c>
      <c r="H10" t="s">
        <v>4682</v>
      </c>
      <c r="I10" t="s">
        <v>4683</v>
      </c>
      <c r="J10" t="str">
        <f>_xlfn.XLOOKUP(autorest[[#This Row],[language_es]],idiomast[language_es],idiomast[language_la])</f>
        <v>Lingua Iaponica</v>
      </c>
      <c r="K10" s="6" t="s">
        <v>4684</v>
      </c>
      <c r="M10" t="str">
        <f>_xlfn.XLOOKUP(autorest[[#This Row],[language_es]],idiomast[language_es],idiomast[iso3691])</f>
        <v>ja</v>
      </c>
      <c r="N10" t="str">
        <f>_xlfn.XLOOKUP(autorest[[#This Row],[nation_es]],nacionest[nation_es],nacionest[nation_la])</f>
        <v>Iaponia</v>
      </c>
      <c r="O10" s="7" t="str">
        <f t="array" ref="O10">IF(ISBLANK(autorest[[#This Row],[year_birth]]),"Epoca Desconocida",IFERROR(INDEX(epocast[age_es],MATCH(1,(autorest[[#This Row],[year_birth]]&gt;=epocast[year_start])*(autorest[[#This Row],[year_birth]]&lt;=epocast[year_end]),0)),"Epoca Desconocida"))</f>
        <v>Epoca Desconocida</v>
      </c>
      <c r="P10" t="str">
        <f>_xlfn.XLOOKUP(autorest[[#This Row],[age_es]],epocast[age_es],epocast[age_la])</f>
        <v>Epocha Ignota</v>
      </c>
    </row>
    <row r="11" spans="1:16" ht="14">
      <c r="A11">
        <v>10</v>
      </c>
      <c r="B11" t="s">
        <v>21</v>
      </c>
      <c r="C11" t="s">
        <v>4685</v>
      </c>
      <c r="F11" t="s">
        <v>4686</v>
      </c>
      <c r="G11" t="s">
        <v>4687</v>
      </c>
      <c r="H11" t="s">
        <v>4688</v>
      </c>
      <c r="I11" t="s">
        <v>4645</v>
      </c>
      <c r="J11" t="str">
        <f>_xlfn.XLOOKUP(autorest[[#This Row],[language_es]],idiomast[language_es],idiomast[language_la])</f>
        <v>Lingua Gallica</v>
      </c>
      <c r="K11" s="6" t="s">
        <v>4689</v>
      </c>
      <c r="M11" t="str">
        <f>_xlfn.XLOOKUP(autorest[[#This Row],[language_es]],idiomast[language_es],idiomast[iso3691])</f>
        <v>fr</v>
      </c>
      <c r="N11" t="str">
        <f>_xlfn.XLOOKUP(autorest[[#This Row],[nation_es]],nacionest[nation_es],nacionest[nation_la])</f>
        <v>Francia</v>
      </c>
      <c r="O11" s="7" t="str">
        <f t="array" ref="O11">IF(ISBLANK(autorest[[#This Row],[year_birth]]),"Epoca Desconocida",IFERROR(INDEX(epocast[age_es],MATCH(1,(autorest[[#This Row],[year_birth]]&gt;=epocast[year_start])*(autorest[[#This Row],[year_birth]]&lt;=epocast[year_end]),0)),"Epoca Desconocida"))</f>
        <v>Epoca Desconocida</v>
      </c>
      <c r="P11" t="str">
        <f>_xlfn.XLOOKUP(autorest[[#This Row],[age_es]],epocast[age_es],epocast[age_la])</f>
        <v>Epocha Ignota</v>
      </c>
    </row>
    <row r="12" spans="1:16" ht="14">
      <c r="A12">
        <v>11</v>
      </c>
      <c r="B12" t="s">
        <v>32</v>
      </c>
      <c r="C12" t="s">
        <v>4690</v>
      </c>
      <c r="F12" t="s">
        <v>4691</v>
      </c>
      <c r="G12" t="s">
        <v>4692</v>
      </c>
      <c r="H12" t="s">
        <v>4693</v>
      </c>
      <c r="I12" t="s">
        <v>4694</v>
      </c>
      <c r="J12" t="str">
        <f>_xlfn.XLOOKUP(autorest[[#This Row],[language_es]],idiomast[language_es],idiomast[language_la])</f>
        <v>Lingua Russica</v>
      </c>
      <c r="K12" t="s">
        <v>4695</v>
      </c>
      <c r="M12" t="str">
        <f>_xlfn.XLOOKUP(autorest[[#This Row],[language_es]],idiomast[language_es],idiomast[iso3691])</f>
        <v>ru</v>
      </c>
      <c r="N12" t="str">
        <f>_xlfn.XLOOKUP(autorest[[#This Row],[nation_es]],nacionest[nation_es],nacionest[nation_la])</f>
        <v>Russia</v>
      </c>
      <c r="O12" s="7" t="str">
        <f t="array" ref="O12">IF(ISBLANK(autorest[[#This Row],[year_birth]]),"Epoca Desconocida",IFERROR(INDEX(epocast[age_es],MATCH(1,(autorest[[#This Row],[year_birth]]&gt;=epocast[year_start])*(autorest[[#This Row],[year_birth]]&lt;=epocast[year_end]),0)),"Epoca Desconocida"))</f>
        <v>Epoca Desconocida</v>
      </c>
      <c r="P12" t="str">
        <f>_xlfn.XLOOKUP(autorest[[#This Row],[age_es]],epocast[age_es],epocast[age_la])</f>
        <v>Epocha Ignota</v>
      </c>
    </row>
    <row r="13" spans="1:16" ht="14">
      <c r="A13">
        <v>12</v>
      </c>
      <c r="B13" t="s">
        <v>24</v>
      </c>
      <c r="C13" t="s">
        <v>4696</v>
      </c>
      <c r="F13" t="s">
        <v>4697</v>
      </c>
      <c r="G13" t="s">
        <v>4698</v>
      </c>
      <c r="H13" t="s">
        <v>4699</v>
      </c>
      <c r="I13" t="s">
        <v>4700</v>
      </c>
      <c r="J13" t="str">
        <f>_xlfn.XLOOKUP(autorest[[#This Row],[language_es]],idiomast[language_es],idiomast[language_la])</f>
        <v>Lingua Hispanica</v>
      </c>
      <c r="K13" t="s">
        <v>4701</v>
      </c>
      <c r="M13" t="str">
        <f>_xlfn.XLOOKUP(autorest[[#This Row],[language_es]],idiomast[language_es],idiomast[iso3691])</f>
        <v>es</v>
      </c>
      <c r="N13" t="str">
        <f>_xlfn.XLOOKUP(autorest[[#This Row],[nation_es]],nacionest[nation_es],nacionest[nation_la])</f>
        <v>Hispania</v>
      </c>
      <c r="O13" s="7" t="str">
        <f t="array" ref="O13">IF(ISBLANK(autorest[[#This Row],[year_birth]]),"Epoca Desconocida",IFERROR(INDEX(epocast[age_es],MATCH(1,(autorest[[#This Row],[year_birth]]&gt;=epocast[year_start])*(autorest[[#This Row],[year_birth]]&lt;=epocast[year_end]),0)),"Epoca Desconocida"))</f>
        <v>Epoca Desconocida</v>
      </c>
      <c r="P13" t="str">
        <f>_xlfn.XLOOKUP(autorest[[#This Row],[age_es]],epocast[age_es],epocast[age_la])</f>
        <v>Epocha Ignota</v>
      </c>
    </row>
    <row r="14" spans="1:16" ht="14">
      <c r="A14">
        <v>13</v>
      </c>
      <c r="B14" t="s">
        <v>1236</v>
      </c>
      <c r="C14" t="s">
        <v>4702</v>
      </c>
      <c r="F14" t="s">
        <v>4703</v>
      </c>
      <c r="G14" t="s">
        <v>4704</v>
      </c>
      <c r="H14" t="s">
        <v>4705</v>
      </c>
      <c r="I14" t="s">
        <v>4700</v>
      </c>
      <c r="J14" t="str">
        <f>_xlfn.XLOOKUP(autorest[[#This Row],[language_es]],idiomast[language_es],idiomast[language_la])</f>
        <v>Lingua Vasconica</v>
      </c>
      <c r="K14" t="s">
        <v>4706</v>
      </c>
      <c r="M14" t="str">
        <f>_xlfn.XLOOKUP(autorest[[#This Row],[language_es]],idiomast[language_es],idiomast[iso3691])</f>
        <v>eu</v>
      </c>
      <c r="N14" t="str">
        <f>_xlfn.XLOOKUP(autorest[[#This Row],[nation_es]],nacionest[nation_es],nacionest[nation_la])</f>
        <v>Hispania</v>
      </c>
      <c r="O14" s="7" t="str">
        <f t="array" ref="O14">IF(ISBLANK(autorest[[#This Row],[year_birth]]),"Epoca Desconocida",IFERROR(INDEX(epocast[age_es],MATCH(1,(autorest[[#This Row],[year_birth]]&gt;=epocast[year_start])*(autorest[[#This Row],[year_birth]]&lt;=epocast[year_end]),0)),"Epoca Desconocida"))</f>
        <v>Epoca Desconocida</v>
      </c>
      <c r="P14" t="str">
        <f>_xlfn.XLOOKUP(autorest[[#This Row],[age_es]],epocast[age_es],epocast[age_la])</f>
        <v>Epocha Ignota</v>
      </c>
    </row>
    <row r="15" spans="1:16" ht="14">
      <c r="A15">
        <v>14</v>
      </c>
      <c r="B15" t="s">
        <v>82</v>
      </c>
      <c r="C15" t="s">
        <v>4707</v>
      </c>
      <c r="D15">
        <v>-100</v>
      </c>
      <c r="E15">
        <v>-44</v>
      </c>
      <c r="F15" t="s">
        <v>4708</v>
      </c>
      <c r="G15" t="s">
        <v>4709</v>
      </c>
      <c r="H15" t="s">
        <v>4639</v>
      </c>
      <c r="I15" t="s">
        <v>4640</v>
      </c>
      <c r="J15" t="str">
        <f>_xlfn.XLOOKUP(autorest[[#This Row],[language_es]],idiomast[language_es],idiomast[language_la])</f>
        <v>Lingua Latina</v>
      </c>
      <c r="K15" s="6" t="s">
        <v>4710</v>
      </c>
      <c r="M15" t="str">
        <f>_xlfn.XLOOKUP(autorest[[#This Row],[language_es]],idiomast[language_es],idiomast[iso3691])</f>
        <v>la</v>
      </c>
      <c r="N15" t="str">
        <f>_xlfn.XLOOKUP(autorest[[#This Row],[nation_es]],nacionest[nation_es],nacionest[nation_la])</f>
        <v>Roma</v>
      </c>
      <c r="O15" s="7" t="str">
        <f t="array" ref="O15">IF(ISBLANK(autorest[[#This Row],[year_birth]]),"Epoca Desconocida",IFERROR(INDEX(epocast[age_es],MATCH(1,(autorest[[#This Row],[year_birth]]&gt;=epocast[year_start])*(autorest[[#This Row],[year_birth]]&lt;=epocast[year_end]),0)),"Epoca Desconocida"))</f>
        <v>Edad Antigua</v>
      </c>
      <c r="P15" t="str">
        <f>_xlfn.XLOOKUP(autorest[[#This Row],[age_es]],epocast[age_es],epocast[age_la])</f>
        <v>Antiquitas</v>
      </c>
    </row>
    <row r="16" spans="1:16" ht="14">
      <c r="A16">
        <v>15</v>
      </c>
      <c r="B16" t="s">
        <v>87</v>
      </c>
      <c r="C16" t="s">
        <v>4711</v>
      </c>
      <c r="D16">
        <v>-515</v>
      </c>
      <c r="E16">
        <v>-450</v>
      </c>
      <c r="F16" t="s">
        <v>4712</v>
      </c>
      <c r="G16" t="s">
        <v>4713</v>
      </c>
      <c r="H16" t="s">
        <v>4639</v>
      </c>
      <c r="I16" t="s">
        <v>4714</v>
      </c>
      <c r="J16" t="str">
        <f>_xlfn.XLOOKUP(autorest[[#This Row],[language_es]],idiomast[language_es],idiomast[language_la])</f>
        <v>Lingua Latina</v>
      </c>
      <c r="K16" s="6" t="s">
        <v>4715</v>
      </c>
      <c r="M16" t="str">
        <f>_xlfn.XLOOKUP(autorest[[#This Row],[language_es]],idiomast[language_es],idiomast[iso3691])</f>
        <v>la</v>
      </c>
      <c r="N16" t="str">
        <f>_xlfn.XLOOKUP(autorest[[#This Row],[nation_es]],nacionest[nation_es],nacionest[nation_la])</f>
        <v>Graecia</v>
      </c>
      <c r="O16" s="7" t="str">
        <f t="array" ref="O16">IF(ISBLANK(autorest[[#This Row],[year_birth]]),"Epoca Desconocida",IFERROR(INDEX(epocast[age_es],MATCH(1,(autorest[[#This Row],[year_birth]]&gt;=epocast[year_start])*(autorest[[#This Row],[year_birth]]&lt;=epocast[year_end]),0)),"Epoca Desconocida"))</f>
        <v>Edad Antigua</v>
      </c>
      <c r="P16" t="str">
        <f>_xlfn.XLOOKUP(autorest[[#This Row],[age_es]],epocast[age_es],epocast[age_la])</f>
        <v>Antiquitas</v>
      </c>
    </row>
    <row r="17" spans="1:16" ht="14">
      <c r="A17">
        <v>16</v>
      </c>
      <c r="B17" t="s">
        <v>95</v>
      </c>
      <c r="C17" t="s">
        <v>4716</v>
      </c>
      <c r="D17">
        <v>-551</v>
      </c>
      <c r="E17">
        <v>-479</v>
      </c>
      <c r="F17" t="s">
        <v>4717</v>
      </c>
      <c r="G17" t="s">
        <v>4718</v>
      </c>
      <c r="H17" t="s">
        <v>4676</v>
      </c>
      <c r="I17" t="s">
        <v>4677</v>
      </c>
      <c r="J17" t="str">
        <f>_xlfn.XLOOKUP(autorest[[#This Row],[language_es]],idiomast[language_es],idiomast[language_la])</f>
        <v>Lingua Sinica</v>
      </c>
      <c r="K17" s="6" t="s">
        <v>4719</v>
      </c>
      <c r="M17" t="str">
        <f>_xlfn.XLOOKUP(autorest[[#This Row],[language_es]],idiomast[language_es],idiomast[iso3691])</f>
        <v>zh</v>
      </c>
      <c r="N17" t="str">
        <f>_xlfn.XLOOKUP(autorest[[#This Row],[nation_es]],nacionest[nation_es],nacionest[nation_la])</f>
        <v>Sinae</v>
      </c>
      <c r="O17" s="7" t="str">
        <f t="array" ref="O17">IF(ISBLANK(autorest[[#This Row],[year_birth]]),"Epoca Desconocida",IFERROR(INDEX(epocast[age_es],MATCH(1,(autorest[[#This Row],[year_birth]]&gt;=epocast[year_start])*(autorest[[#This Row],[year_birth]]&lt;=epocast[year_end]),0)),"Epoca Desconocida"))</f>
        <v>Edad Antigua</v>
      </c>
      <c r="P17" t="str">
        <f>_xlfn.XLOOKUP(autorest[[#This Row],[age_es]],epocast[age_es],epocast[age_la])</f>
        <v>Antiquitas</v>
      </c>
    </row>
    <row r="18" spans="1:16" ht="14">
      <c r="A18">
        <v>17</v>
      </c>
      <c r="B18" t="s">
        <v>4720</v>
      </c>
      <c r="C18" t="s">
        <v>4721</v>
      </c>
      <c r="D18">
        <v>560</v>
      </c>
      <c r="E18">
        <v>636</v>
      </c>
      <c r="F18" t="s">
        <v>4722</v>
      </c>
      <c r="G18" t="s">
        <v>4723</v>
      </c>
      <c r="H18" t="s">
        <v>4639</v>
      </c>
      <c r="I18" t="s">
        <v>4700</v>
      </c>
      <c r="J18" t="str">
        <f>_xlfn.XLOOKUP(autorest[[#This Row],[language_es]],idiomast[language_es],idiomast[language_la])</f>
        <v>Lingua Latina</v>
      </c>
      <c r="K18" s="6" t="s">
        <v>4724</v>
      </c>
      <c r="M18" t="str">
        <f>_xlfn.XLOOKUP(autorest[[#This Row],[language_es]],idiomast[language_es],idiomast[iso3691])</f>
        <v>la</v>
      </c>
      <c r="N18" t="str">
        <f>_xlfn.XLOOKUP(autorest[[#This Row],[nation_es]],nacionest[nation_es],nacionest[nation_la])</f>
        <v>Hispania</v>
      </c>
      <c r="O18" s="7" t="str">
        <f t="array" ref="O18">IF(ISBLANK(autorest[[#This Row],[year_birth]]),"Epoca Desconocida",IFERROR(INDEX(epocast[age_es],MATCH(1,(autorest[[#This Row],[year_birth]]&gt;=epocast[year_start])*(autorest[[#This Row],[year_birth]]&lt;=epocast[year_end]),0)),"Epoca Desconocida"))</f>
        <v>Edad Media</v>
      </c>
      <c r="P18" t="str">
        <f>_xlfn.XLOOKUP(autorest[[#This Row],[age_es]],epocast[age_es],epocast[age_la])</f>
        <v>Medium Aevum</v>
      </c>
    </row>
    <row r="19" spans="1:16" ht="14">
      <c r="A19">
        <v>18</v>
      </c>
      <c r="B19" t="s">
        <v>107</v>
      </c>
      <c r="C19" t="s">
        <v>4725</v>
      </c>
      <c r="D19">
        <v>-4</v>
      </c>
      <c r="E19">
        <v>65</v>
      </c>
      <c r="F19" t="s">
        <v>4726</v>
      </c>
      <c r="G19" t="s">
        <v>4727</v>
      </c>
      <c r="H19" t="s">
        <v>4639</v>
      </c>
      <c r="I19" t="s">
        <v>4640</v>
      </c>
      <c r="J19" t="str">
        <f>_xlfn.XLOOKUP(autorest[[#This Row],[language_es]],idiomast[language_es],idiomast[language_la])</f>
        <v>Lingua Latina</v>
      </c>
      <c r="K19" s="6" t="s">
        <v>4728</v>
      </c>
      <c r="M19" t="str">
        <f>_xlfn.XLOOKUP(autorest[[#This Row],[language_es]],idiomast[language_es],idiomast[iso3691])</f>
        <v>la</v>
      </c>
      <c r="N19" t="str">
        <f>_xlfn.XLOOKUP(autorest[[#This Row],[nation_es]],nacionest[nation_es],nacionest[nation_la])</f>
        <v>Roma</v>
      </c>
      <c r="O19" s="7" t="str">
        <f t="array" ref="O19">IF(ISBLANK(autorest[[#This Row],[year_birth]]),"Epoca Desconocida",IFERROR(INDEX(epocast[age_es],MATCH(1,(autorest[[#This Row],[year_birth]]&gt;=epocast[year_start])*(autorest[[#This Row],[year_birth]]&lt;=epocast[year_end]),0)),"Epoca Desconocida"))</f>
        <v>Edad Antigua</v>
      </c>
      <c r="P19" t="str">
        <f>_xlfn.XLOOKUP(autorest[[#This Row],[age_es]],epocast[age_es],epocast[age_la])</f>
        <v>Antiquitas</v>
      </c>
    </row>
    <row r="20" spans="1:16" ht="14">
      <c r="A20">
        <v>19</v>
      </c>
      <c r="B20" t="s">
        <v>172</v>
      </c>
      <c r="C20" t="s">
        <v>4729</v>
      </c>
      <c r="D20">
        <v>1225</v>
      </c>
      <c r="E20">
        <v>1274</v>
      </c>
      <c r="F20" t="s">
        <v>4730</v>
      </c>
      <c r="G20" t="s">
        <v>4731</v>
      </c>
      <c r="H20" t="s">
        <v>4639</v>
      </c>
      <c r="I20" t="s">
        <v>4732</v>
      </c>
      <c r="J20" t="str">
        <f>_xlfn.XLOOKUP(autorest[[#This Row],[language_es]],idiomast[language_es],idiomast[language_la])</f>
        <v>Lingua Latina</v>
      </c>
      <c r="K20" s="6" t="s">
        <v>4733</v>
      </c>
      <c r="M20" t="str">
        <f>_xlfn.XLOOKUP(autorest[[#This Row],[language_es]],idiomast[language_es],idiomast[iso3691])</f>
        <v>la</v>
      </c>
      <c r="N20" t="str">
        <f>_xlfn.XLOOKUP(autorest[[#This Row],[nation_es]],nacionest[nation_es],nacionest[nation_la])</f>
        <v>Italia</v>
      </c>
      <c r="O20" s="7" t="str">
        <f t="array" ref="O20">IF(ISBLANK(autorest[[#This Row],[year_birth]]),"Epoca Desconocida",IFERROR(INDEX(epocast[age_es],MATCH(1,(autorest[[#This Row],[year_birth]]&gt;=epocast[year_start])*(autorest[[#This Row],[year_birth]]&lt;=epocast[year_end]),0)),"Epoca Desconocida"))</f>
        <v>Edad Media</v>
      </c>
      <c r="P20" t="str">
        <f>_xlfn.XLOOKUP(autorest[[#This Row],[age_es]],epocast[age_es],epocast[age_la])</f>
        <v>Medium Aevum</v>
      </c>
    </row>
    <row r="21" spans="1:16" ht="14">
      <c r="A21">
        <v>20</v>
      </c>
      <c r="B21" t="s">
        <v>189</v>
      </c>
      <c r="C21" t="s">
        <v>189</v>
      </c>
      <c r="D21">
        <v>1844</v>
      </c>
      <c r="E21">
        <v>1900</v>
      </c>
      <c r="F21" t="s">
        <v>4734</v>
      </c>
      <c r="G21" t="s">
        <v>4735</v>
      </c>
      <c r="H21" t="s">
        <v>4736</v>
      </c>
      <c r="I21" t="s">
        <v>4737</v>
      </c>
      <c r="J21" t="str">
        <f>_xlfn.XLOOKUP(autorest[[#This Row],[language_es]],idiomast[language_es],idiomast[language_la])</f>
        <v>Lingua Germanica</v>
      </c>
      <c r="K21" s="6" t="s">
        <v>4738</v>
      </c>
      <c r="M21" t="str">
        <f>_xlfn.XLOOKUP(autorest[[#This Row],[language_es]],idiomast[language_es],idiomast[iso3691])</f>
        <v>de</v>
      </c>
      <c r="N21" t="str">
        <f>_xlfn.XLOOKUP(autorest[[#This Row],[nation_es]],nacionest[nation_es],nacionest[nation_la])</f>
        <v>Germania</v>
      </c>
      <c r="O21" s="7" t="str">
        <f t="array" ref="O21">IF(ISBLANK(autorest[[#This Row],[year_birth]]),"Epoca Desconocida",IFERROR(INDEX(epocast[age_es],MATCH(1,(autorest[[#This Row],[year_birth]]&gt;=epocast[year_start])*(autorest[[#This Row],[year_birth]]&lt;=epocast[year_end]),0)),"Epoca Desconocida"))</f>
        <v>Edad Contemporánea</v>
      </c>
      <c r="P21" t="str">
        <f>_xlfn.XLOOKUP(autorest[[#This Row],[age_es]],epocast[age_es],epocast[age_la])</f>
        <v>Aetas Contemporanea</v>
      </c>
    </row>
    <row r="22" spans="1:16" ht="14">
      <c r="A22">
        <v>21</v>
      </c>
      <c r="B22" t="s">
        <v>210</v>
      </c>
      <c r="C22" t="s">
        <v>210</v>
      </c>
      <c r="D22">
        <v>1874</v>
      </c>
      <c r="E22">
        <v>1936</v>
      </c>
      <c r="F22" t="s">
        <v>4739</v>
      </c>
      <c r="G22" t="s">
        <v>4740</v>
      </c>
      <c r="H22" t="s">
        <v>4650</v>
      </c>
      <c r="I22" t="s">
        <v>4651</v>
      </c>
      <c r="J22" t="str">
        <f>_xlfn.XLOOKUP(autorest[[#This Row],[language_es]],idiomast[language_es],idiomast[language_la])</f>
        <v>Lingua Anglica</v>
      </c>
      <c r="K22" s="6" t="s">
        <v>4741</v>
      </c>
      <c r="M22" t="str">
        <f>_xlfn.XLOOKUP(autorest[[#This Row],[language_es]],idiomast[language_es],idiomast[iso3691])</f>
        <v>en</v>
      </c>
      <c r="N22" t="str">
        <f>_xlfn.XLOOKUP(autorest[[#This Row],[nation_es]],nacionest[nation_es],nacionest[nation_la])</f>
        <v>Regnum Unitum</v>
      </c>
      <c r="O22" s="7" t="str">
        <f t="array" ref="O22">IF(ISBLANK(autorest[[#This Row],[year_birth]]),"Epoca Desconocida",IFERROR(INDEX(epocast[age_es],MATCH(1,(autorest[[#This Row],[year_birth]]&gt;=epocast[year_start])*(autorest[[#This Row],[year_birth]]&lt;=epocast[year_end]),0)),"Epoca Desconocida"))</f>
        <v>Edad Contemporánea</v>
      </c>
      <c r="P22" t="str">
        <f>_xlfn.XLOOKUP(autorest[[#This Row],[age_es]],epocast[age_es],epocast[age_la])</f>
        <v>Aetas Contemporanea</v>
      </c>
    </row>
    <row r="23" spans="1:16" ht="14">
      <c r="A23">
        <v>22</v>
      </c>
      <c r="B23" t="s">
        <v>230</v>
      </c>
      <c r="C23" t="s">
        <v>4742</v>
      </c>
      <c r="D23">
        <v>1920</v>
      </c>
      <c r="E23">
        <v>2005</v>
      </c>
      <c r="F23" t="s">
        <v>4743</v>
      </c>
      <c r="G23" t="s">
        <v>4744</v>
      </c>
      <c r="H23" t="s">
        <v>4639</v>
      </c>
      <c r="I23" t="s">
        <v>4745</v>
      </c>
      <c r="J23" t="str">
        <f>_xlfn.XLOOKUP(autorest[[#This Row],[language_es]],idiomast[language_es],idiomast[language_la])</f>
        <v>Lingua Latina</v>
      </c>
      <c r="K23" s="6" t="s">
        <v>4746</v>
      </c>
      <c r="M23" t="str">
        <f>_xlfn.XLOOKUP(autorest[[#This Row],[language_es]],idiomast[language_es],idiomast[iso3691])</f>
        <v>la</v>
      </c>
      <c r="N23" t="str">
        <f>_xlfn.XLOOKUP(autorest[[#This Row],[nation_es]],nacionest[nation_es],nacionest[nation_la])</f>
        <v>Polonia</v>
      </c>
      <c r="O23" s="7" t="str">
        <f t="array" ref="O23">IF(ISBLANK(autorest[[#This Row],[year_birth]]),"Epoca Desconocida",IFERROR(INDEX(epocast[age_es],MATCH(1,(autorest[[#This Row],[year_birth]]&gt;=epocast[year_start])*(autorest[[#This Row],[year_birth]]&lt;=epocast[year_end]),0)),"Epoca Desconocida"))</f>
        <v>Edad Contemporánea</v>
      </c>
      <c r="P23" t="str">
        <f>_xlfn.XLOOKUP(autorest[[#This Row],[age_es]],epocast[age_es],epocast[age_la])</f>
        <v>Aetas Contemporanea</v>
      </c>
    </row>
    <row r="24" spans="1:16" ht="14">
      <c r="A24">
        <v>23</v>
      </c>
      <c r="B24" t="s">
        <v>262</v>
      </c>
      <c r="C24" t="s">
        <v>4747</v>
      </c>
      <c r="D24">
        <v>1651</v>
      </c>
      <c r="E24">
        <v>1719</v>
      </c>
      <c r="F24" t="s">
        <v>4748</v>
      </c>
      <c r="G24" t="s">
        <v>4749</v>
      </c>
      <c r="H24" t="s">
        <v>4639</v>
      </c>
      <c r="I24" t="s">
        <v>4645</v>
      </c>
      <c r="J24" t="str">
        <f>_xlfn.XLOOKUP(autorest[[#This Row],[language_es]],idiomast[language_es],idiomast[language_la])</f>
        <v>Lingua Latina</v>
      </c>
      <c r="K24" s="6" t="s">
        <v>4750</v>
      </c>
      <c r="M24" t="str">
        <f>_xlfn.XLOOKUP(autorest[[#This Row],[language_es]],idiomast[language_es],idiomast[iso3691])</f>
        <v>la</v>
      </c>
      <c r="N24" t="str">
        <f>_xlfn.XLOOKUP(autorest[[#This Row],[nation_es]],nacionest[nation_es],nacionest[nation_la])</f>
        <v>Francia</v>
      </c>
      <c r="O24" s="7" t="str">
        <f t="array" ref="O24">IF(ISBLANK(autorest[[#This Row],[year_birth]]),"Epoca Desconocida",IFERROR(INDEX(epocast[age_es],MATCH(1,(autorest[[#This Row],[year_birth]]&gt;=epocast[year_start])*(autorest[[#This Row],[year_birth]]&lt;=epocast[year_end]),0)),"Epoca Desconocida"))</f>
        <v>Edad Moderna</v>
      </c>
      <c r="P24" t="str">
        <f>_xlfn.XLOOKUP(autorest[[#This Row],[age_es]],epocast[age_es],epocast[age_la])</f>
        <v>Nova Aetas</v>
      </c>
    </row>
    <row r="25" spans="1:16" ht="14">
      <c r="A25">
        <v>24</v>
      </c>
      <c r="B25" t="s">
        <v>267</v>
      </c>
      <c r="C25" t="s">
        <v>4751</v>
      </c>
      <c r="F25" t="s">
        <v>4752</v>
      </c>
      <c r="G25" t="s">
        <v>4753</v>
      </c>
      <c r="H25" t="s">
        <v>4754</v>
      </c>
      <c r="I25" t="s">
        <v>4755</v>
      </c>
      <c r="J25" t="str">
        <f>_xlfn.XLOOKUP(autorest[[#This Row],[language_es]],idiomast[language_es],idiomast[language_la])</f>
        <v>Lingua Arabica</v>
      </c>
      <c r="K25" s="6" t="s">
        <v>4756</v>
      </c>
      <c r="M25" t="str">
        <f>_xlfn.XLOOKUP(autorest[[#This Row],[language_es]],idiomast[language_es],idiomast[iso3691])</f>
        <v>ar</v>
      </c>
      <c r="N25" t="str">
        <f>_xlfn.XLOOKUP(autorest[[#This Row],[nation_es]],nacionest[nation_es],nacionest[nation_la])</f>
        <v>Arabia Saudita</v>
      </c>
      <c r="O25" s="7" t="str">
        <f t="array" ref="O25">IF(ISBLANK(autorest[[#This Row],[year_birth]]),"Epoca Desconocida",IFERROR(INDEX(epocast[age_es],MATCH(1,(autorest[[#This Row],[year_birth]]&gt;=epocast[year_start])*(autorest[[#This Row],[year_birth]]&lt;=epocast[year_end]),0)),"Epoca Desconocida"))</f>
        <v>Epoca Desconocida</v>
      </c>
      <c r="P25" t="str">
        <f>_xlfn.XLOOKUP(autorest[[#This Row],[age_es]],epocast[age_es],epocast[age_la])</f>
        <v>Epocha Ignota</v>
      </c>
    </row>
    <row r="26" spans="1:16" ht="14">
      <c r="A26">
        <v>25</v>
      </c>
      <c r="B26" t="s">
        <v>298</v>
      </c>
      <c r="C26" t="s">
        <v>4757</v>
      </c>
      <c r="F26" t="s">
        <v>4758</v>
      </c>
      <c r="G26" t="s">
        <v>4759</v>
      </c>
      <c r="H26" t="s">
        <v>4760</v>
      </c>
      <c r="I26" t="s">
        <v>4761</v>
      </c>
      <c r="J26" t="str">
        <f>_xlfn.XLOOKUP(autorest[[#This Row],[language_es]],idiomast[language_es],idiomast[language_la])</f>
        <v>Lingua Indica</v>
      </c>
      <c r="K26" t="s">
        <v>4762</v>
      </c>
      <c r="M26" t="str">
        <f>_xlfn.XLOOKUP(autorest[[#This Row],[language_es]],idiomast[language_es],idiomast[iso3691])</f>
        <v>hi</v>
      </c>
      <c r="N26" t="str">
        <f>_xlfn.XLOOKUP(autorest[[#This Row],[nation_es]],nacionest[nation_es],nacionest[nation_la])</f>
        <v>India</v>
      </c>
      <c r="O26" s="7" t="str">
        <f t="array" ref="O26">IF(ISBLANK(autorest[[#This Row],[year_birth]]),"Epoca Desconocida",IFERROR(INDEX(epocast[age_es],MATCH(1,(autorest[[#This Row],[year_birth]]&gt;=epocast[year_start])*(autorest[[#This Row],[year_birth]]&lt;=epocast[year_end]),0)),"Epoca Desconocida"))</f>
        <v>Epoca Desconocida</v>
      </c>
      <c r="P26" t="str">
        <f>_xlfn.XLOOKUP(autorest[[#This Row],[age_es]],epocast[age_es],epocast[age_la])</f>
        <v>Epocha Ignota</v>
      </c>
    </row>
    <row r="27" spans="1:16" ht="14">
      <c r="A27">
        <v>26</v>
      </c>
      <c r="B27" t="s">
        <v>329</v>
      </c>
      <c r="C27" t="s">
        <v>4763</v>
      </c>
      <c r="D27">
        <v>1880</v>
      </c>
      <c r="F27" t="s">
        <v>4764</v>
      </c>
      <c r="G27" t="s">
        <v>4765</v>
      </c>
      <c r="H27" t="s">
        <v>4736</v>
      </c>
      <c r="I27" t="s">
        <v>4737</v>
      </c>
      <c r="J27" t="str">
        <f>_xlfn.XLOOKUP(autorest[[#This Row],[language_es]],idiomast[language_es],idiomast[language_la])</f>
        <v>Lingua Germanica</v>
      </c>
      <c r="K27" s="6" t="s">
        <v>4766</v>
      </c>
      <c r="M27" t="str">
        <f>_xlfn.XLOOKUP(autorest[[#This Row],[language_es]],idiomast[language_es],idiomast[iso3691])</f>
        <v>de</v>
      </c>
      <c r="N27" t="str">
        <f>_xlfn.XLOOKUP(autorest[[#This Row],[nation_es]],nacionest[nation_es],nacionest[nation_la])</f>
        <v>Germania</v>
      </c>
      <c r="O27" s="7" t="str">
        <f t="array" ref="O27">IF(ISBLANK(autorest[[#This Row],[year_birth]]),"Epoca Desconocida",IFERROR(INDEX(epocast[age_es],MATCH(1,(autorest[[#This Row],[year_birth]]&gt;=epocast[year_start])*(autorest[[#This Row],[year_birth]]&lt;=epocast[year_end]),0)),"Epoca Desconocida"))</f>
        <v>Edad Contemporánea</v>
      </c>
      <c r="P27" t="str">
        <f>_xlfn.XLOOKUP(autorest[[#This Row],[age_es]],epocast[age_es],epocast[age_la])</f>
        <v>Aetas Contemporanea</v>
      </c>
    </row>
    <row r="28" spans="1:16" ht="14">
      <c r="A28">
        <v>27</v>
      </c>
      <c r="B28" t="s">
        <v>346</v>
      </c>
      <c r="C28" t="s">
        <v>4767</v>
      </c>
      <c r="D28">
        <v>1547</v>
      </c>
      <c r="E28">
        <v>1616</v>
      </c>
      <c r="F28" t="s">
        <v>4768</v>
      </c>
      <c r="G28" t="s">
        <v>4769</v>
      </c>
      <c r="H28" t="s">
        <v>4699</v>
      </c>
      <c r="I28" t="s">
        <v>4700</v>
      </c>
      <c r="J28" t="str">
        <f>_xlfn.XLOOKUP(autorest[[#This Row],[language_es]],idiomast[language_es],idiomast[language_la])</f>
        <v>Lingua Hispanica</v>
      </c>
      <c r="K28" s="6" t="s">
        <v>4770</v>
      </c>
      <c r="M28" t="str">
        <f>_xlfn.XLOOKUP(autorest[[#This Row],[language_es]],idiomast[language_es],idiomast[iso3691])</f>
        <v>es</v>
      </c>
      <c r="N28" t="str">
        <f>_xlfn.XLOOKUP(autorest[[#This Row],[nation_es]],nacionest[nation_es],nacionest[nation_la])</f>
        <v>Hispania</v>
      </c>
      <c r="O28" s="7" t="str">
        <f t="array" ref="O28">IF(ISBLANK(autorest[[#This Row],[year_birth]]),"Epoca Desconocida",IFERROR(INDEX(epocast[age_es],MATCH(1,(autorest[[#This Row],[year_birth]]&gt;=epocast[year_start])*(autorest[[#This Row],[year_birth]]&lt;=epocast[year_end]),0)),"Epoca Desconocida"))</f>
        <v>Edad Moderna</v>
      </c>
      <c r="P28" t="str">
        <f>_xlfn.XLOOKUP(autorest[[#This Row],[age_es]],epocast[age_es],epocast[age_la])</f>
        <v>Nova Aetas</v>
      </c>
    </row>
    <row r="29" spans="1:16" ht="14">
      <c r="A29">
        <v>28</v>
      </c>
      <c r="B29" t="s">
        <v>376</v>
      </c>
      <c r="C29" t="s">
        <v>4771</v>
      </c>
      <c r="D29">
        <v>1918</v>
      </c>
      <c r="E29">
        <v>2013</v>
      </c>
      <c r="F29" t="s">
        <v>4772</v>
      </c>
      <c r="G29" t="s">
        <v>4773</v>
      </c>
      <c r="H29" t="s">
        <v>4650</v>
      </c>
      <c r="I29" t="s">
        <v>4774</v>
      </c>
      <c r="J29" t="str">
        <f>_xlfn.XLOOKUP(autorest[[#This Row],[language_es]],idiomast[language_es],idiomast[language_la])</f>
        <v>Lingua Anglica</v>
      </c>
      <c r="K29" s="6" t="s">
        <v>4775</v>
      </c>
      <c r="M29" t="str">
        <f>_xlfn.XLOOKUP(autorest[[#This Row],[language_es]],idiomast[language_es],idiomast[iso3691])</f>
        <v>en</v>
      </c>
      <c r="N29" t="str">
        <f>_xlfn.XLOOKUP(autorest[[#This Row],[nation_es]],nacionest[nation_es],nacionest[nation_la])</f>
        <v>Africa Australis</v>
      </c>
      <c r="O29" s="7" t="str">
        <f t="array" ref="O29">IF(ISBLANK(autorest[[#This Row],[year_birth]]),"Epoca Desconocida",IFERROR(INDEX(epocast[age_es],MATCH(1,(autorest[[#This Row],[year_birth]]&gt;=epocast[year_start])*(autorest[[#This Row],[year_birth]]&lt;=epocast[year_end]),0)),"Epoca Desconocida"))</f>
        <v>Edad Contemporánea</v>
      </c>
      <c r="P29" t="str">
        <f>_xlfn.XLOOKUP(autorest[[#This Row],[age_es]],epocast[age_es],epocast[age_la])</f>
        <v>Aetas Contemporanea</v>
      </c>
    </row>
    <row r="30" spans="1:16" ht="14">
      <c r="A30">
        <v>29</v>
      </c>
      <c r="B30" t="s">
        <v>381</v>
      </c>
      <c r="C30" t="s">
        <v>4776</v>
      </c>
      <c r="D30">
        <v>1869</v>
      </c>
      <c r="E30">
        <v>1948</v>
      </c>
      <c r="F30" t="s">
        <v>4777</v>
      </c>
      <c r="G30" t="s">
        <v>4778</v>
      </c>
      <c r="H30" t="s">
        <v>4650</v>
      </c>
      <c r="I30" t="s">
        <v>4761</v>
      </c>
      <c r="J30" t="str">
        <f>_xlfn.XLOOKUP(autorest[[#This Row],[language_es]],idiomast[language_es],idiomast[language_la])</f>
        <v>Lingua Anglica</v>
      </c>
      <c r="K30" s="6" t="s">
        <v>4779</v>
      </c>
      <c r="M30" t="str">
        <f>_xlfn.XLOOKUP(autorest[[#This Row],[language_es]],idiomast[language_es],idiomast[iso3691])</f>
        <v>en</v>
      </c>
      <c r="N30" t="str">
        <f>_xlfn.XLOOKUP(autorest[[#This Row],[nation_es]],nacionest[nation_es],nacionest[nation_la])</f>
        <v>India</v>
      </c>
      <c r="O30" s="7" t="str">
        <f t="array" ref="O30">IF(ISBLANK(autorest[[#This Row],[year_birth]]),"Epoca Desconocida",IFERROR(INDEX(epocast[age_es],MATCH(1,(autorest[[#This Row],[year_birth]]&gt;=epocast[year_start])*(autorest[[#This Row],[year_birth]]&lt;=epocast[year_end]),0)),"Epoca Desconocida"))</f>
        <v>Edad Contemporánea</v>
      </c>
      <c r="P30" t="str">
        <f>_xlfn.XLOOKUP(autorest[[#This Row],[age_es]],epocast[age_es],epocast[age_la])</f>
        <v>Aetas Contemporanea</v>
      </c>
    </row>
    <row r="31" spans="1:16" ht="14">
      <c r="A31">
        <v>30</v>
      </c>
      <c r="B31" t="s">
        <v>386</v>
      </c>
      <c r="C31" t="s">
        <v>4780</v>
      </c>
      <c r="D31">
        <v>1879</v>
      </c>
      <c r="E31">
        <v>1955</v>
      </c>
      <c r="F31" t="s">
        <v>4781</v>
      </c>
      <c r="G31" t="s">
        <v>4782</v>
      </c>
      <c r="H31" t="s">
        <v>4650</v>
      </c>
      <c r="I31" t="s">
        <v>4737</v>
      </c>
      <c r="J31" t="str">
        <f>_xlfn.XLOOKUP(autorest[[#This Row],[language_es]],idiomast[language_es],idiomast[language_la])</f>
        <v>Lingua Anglica</v>
      </c>
      <c r="K31" s="6" t="s">
        <v>4783</v>
      </c>
      <c r="M31" t="str">
        <f>_xlfn.XLOOKUP(autorest[[#This Row],[language_es]],idiomast[language_es],idiomast[iso3691])</f>
        <v>en</v>
      </c>
      <c r="N31" t="str">
        <f>_xlfn.XLOOKUP(autorest[[#This Row],[nation_es]],nacionest[nation_es],nacionest[nation_la])</f>
        <v>Germania</v>
      </c>
      <c r="O31" s="7" t="str">
        <f t="array" ref="O31">IF(ISBLANK(autorest[[#This Row],[year_birth]]),"Epoca Desconocida",IFERROR(INDEX(epocast[age_es],MATCH(1,(autorest[[#This Row],[year_birth]]&gt;=epocast[year_start])*(autorest[[#This Row],[year_birth]]&lt;=epocast[year_end]),0)),"Epoca Desconocida"))</f>
        <v>Edad Contemporánea</v>
      </c>
      <c r="P31" t="str">
        <f>_xlfn.XLOOKUP(autorest[[#This Row],[age_es]],epocast[age_es],epocast[age_la])</f>
        <v>Aetas Contemporanea</v>
      </c>
    </row>
    <row r="32" spans="1:16" ht="14">
      <c r="A32">
        <v>31</v>
      </c>
      <c r="B32" t="s">
        <v>391</v>
      </c>
      <c r="C32" t="s">
        <v>4784</v>
      </c>
      <c r="D32">
        <v>1929</v>
      </c>
      <c r="E32">
        <v>1968</v>
      </c>
      <c r="F32" t="s">
        <v>4785</v>
      </c>
      <c r="G32" t="s">
        <v>4786</v>
      </c>
      <c r="H32" t="s">
        <v>4650</v>
      </c>
      <c r="I32" t="s">
        <v>4671</v>
      </c>
      <c r="J32" t="str">
        <f>_xlfn.XLOOKUP(autorest[[#This Row],[language_es]],idiomast[language_es],idiomast[language_la])</f>
        <v>Lingua Anglica</v>
      </c>
      <c r="K32" s="6" t="s">
        <v>4787</v>
      </c>
      <c r="M32" t="str">
        <f>_xlfn.XLOOKUP(autorest[[#This Row],[language_es]],idiomast[language_es],idiomast[iso3691])</f>
        <v>en</v>
      </c>
      <c r="N32" t="str">
        <f>_xlfn.XLOOKUP(autorest[[#This Row],[nation_es]],nacionest[nation_es],nacionest[nation_la])</f>
        <v>Civitates Foederatae Americae</v>
      </c>
      <c r="O32" s="7" t="str">
        <f t="array" ref="O32">IF(ISBLANK(autorest[[#This Row],[year_birth]]),"Epoca Desconocida",IFERROR(INDEX(epocast[age_es],MATCH(1,(autorest[[#This Row],[year_birth]]&gt;=epocast[year_start])*(autorest[[#This Row],[year_birth]]&lt;=epocast[year_end]),0)),"Epoca Desconocida"))</f>
        <v>Edad Contemporánea</v>
      </c>
      <c r="P32" t="str">
        <f>_xlfn.XLOOKUP(autorest[[#This Row],[age_es]],epocast[age_es],epocast[age_la])</f>
        <v>Aetas Contemporanea</v>
      </c>
    </row>
    <row r="33" spans="1:16" ht="14">
      <c r="A33">
        <v>32</v>
      </c>
      <c r="B33" t="s">
        <v>396</v>
      </c>
      <c r="C33" t="s">
        <v>4788</v>
      </c>
      <c r="D33">
        <v>1859</v>
      </c>
      <c r="E33">
        <v>1952</v>
      </c>
      <c r="F33" t="s">
        <v>4789</v>
      </c>
      <c r="G33" t="s">
        <v>4790</v>
      </c>
      <c r="H33" t="s">
        <v>4650</v>
      </c>
      <c r="I33" t="s">
        <v>4671</v>
      </c>
      <c r="J33" t="str">
        <f>_xlfn.XLOOKUP(autorest[[#This Row],[language_es]],idiomast[language_es],idiomast[language_la])</f>
        <v>Lingua Anglica</v>
      </c>
      <c r="K33" s="6" t="s">
        <v>4791</v>
      </c>
      <c r="M33" t="str">
        <f>_xlfn.XLOOKUP(autorest[[#This Row],[language_es]],idiomast[language_es],idiomast[iso3691])</f>
        <v>en</v>
      </c>
      <c r="N33" t="str">
        <f>_xlfn.XLOOKUP(autorest[[#This Row],[nation_es]],nacionest[nation_es],nacionest[nation_la])</f>
        <v>Civitates Foederatae Americae</v>
      </c>
      <c r="O33" s="7" t="str">
        <f t="array" ref="O33">IF(ISBLANK(autorest[[#This Row],[year_birth]]),"Epoca Desconocida",IFERROR(INDEX(epocast[age_es],MATCH(1,(autorest[[#This Row],[year_birth]]&gt;=epocast[year_start])*(autorest[[#This Row],[year_birth]]&lt;=epocast[year_end]),0)),"Epoca Desconocida"))</f>
        <v>Edad Contemporánea</v>
      </c>
      <c r="P33" t="str">
        <f>_xlfn.XLOOKUP(autorest[[#This Row],[age_es]],epocast[age_es],epocast[age_la])</f>
        <v>Aetas Contemporanea</v>
      </c>
    </row>
    <row r="34" spans="1:16" ht="14">
      <c r="A34">
        <v>33</v>
      </c>
      <c r="B34" t="s">
        <v>401</v>
      </c>
      <c r="C34" t="s">
        <v>4792</v>
      </c>
      <c r="D34">
        <v>1706</v>
      </c>
      <c r="E34">
        <v>1790</v>
      </c>
      <c r="F34" t="s">
        <v>4793</v>
      </c>
      <c r="G34" t="s">
        <v>4794</v>
      </c>
      <c r="H34" t="s">
        <v>4650</v>
      </c>
      <c r="I34" t="s">
        <v>4671</v>
      </c>
      <c r="J34" t="str">
        <f>_xlfn.XLOOKUP(autorest[[#This Row],[language_es]],idiomast[language_es],idiomast[language_la])</f>
        <v>Lingua Anglica</v>
      </c>
      <c r="K34" s="6" t="s">
        <v>4795</v>
      </c>
      <c r="M34" t="str">
        <f>_xlfn.XLOOKUP(autorest[[#This Row],[language_es]],idiomast[language_es],idiomast[iso3691])</f>
        <v>en</v>
      </c>
      <c r="N34" t="str">
        <f>_xlfn.XLOOKUP(autorest[[#This Row],[nation_es]],nacionest[nation_es],nacionest[nation_la])</f>
        <v>Civitates Foederatae Americae</v>
      </c>
      <c r="O34" s="7" t="str">
        <f t="array" ref="O34">IF(ISBLANK(autorest[[#This Row],[year_birth]]),"Epoca Desconocida",IFERROR(INDEX(epocast[age_es],MATCH(1,(autorest[[#This Row],[year_birth]]&gt;=epocast[year_start])*(autorest[[#This Row],[year_birth]]&lt;=epocast[year_end]),0)),"Epoca Desconocida"))</f>
        <v>Edad Moderna</v>
      </c>
      <c r="P34" t="str">
        <f>_xlfn.XLOOKUP(autorest[[#This Row],[age_es]],epocast[age_es],epocast[age_la])</f>
        <v>Nova Aetas</v>
      </c>
    </row>
    <row r="35" spans="1:16" ht="14">
      <c r="A35">
        <v>34</v>
      </c>
      <c r="B35" t="s">
        <v>406</v>
      </c>
      <c r="C35" t="s">
        <v>4796</v>
      </c>
      <c r="D35">
        <v>1452</v>
      </c>
      <c r="E35">
        <v>1519</v>
      </c>
      <c r="F35" t="s">
        <v>4797</v>
      </c>
      <c r="G35" t="s">
        <v>4798</v>
      </c>
      <c r="H35" t="s">
        <v>4639</v>
      </c>
      <c r="I35" t="s">
        <v>4732</v>
      </c>
      <c r="J35" t="str">
        <f>_xlfn.XLOOKUP(autorest[[#This Row],[language_es]],idiomast[language_es],idiomast[language_la])</f>
        <v>Lingua Latina</v>
      </c>
      <c r="K35" s="6" t="s">
        <v>4799</v>
      </c>
      <c r="M35" t="str">
        <f>_xlfn.XLOOKUP(autorest[[#This Row],[language_es]],idiomast[language_es],idiomast[iso3691])</f>
        <v>la</v>
      </c>
      <c r="N35" t="str">
        <f>_xlfn.XLOOKUP(autorest[[#This Row],[nation_es]],nacionest[nation_es],nacionest[nation_la])</f>
        <v>Italia</v>
      </c>
      <c r="O35" s="7" t="str">
        <f t="array" ref="O35">IF(ISBLANK(autorest[[#This Row],[year_birth]]),"Epoca Desconocida",IFERROR(INDEX(epocast[age_es],MATCH(1,(autorest[[#This Row],[year_birth]]&gt;=epocast[year_start])*(autorest[[#This Row],[year_birth]]&lt;=epocast[year_end]),0)),"Epoca Desconocida"))</f>
        <v>Edad Media</v>
      </c>
      <c r="P35" t="str">
        <f>_xlfn.XLOOKUP(autorest[[#This Row],[age_es]],epocast[age_es],epocast[age_la])</f>
        <v>Medium Aevum</v>
      </c>
    </row>
    <row r="36" spans="1:16" ht="14">
      <c r="A36">
        <v>35</v>
      </c>
      <c r="B36" t="s">
        <v>415</v>
      </c>
      <c r="C36" t="s">
        <v>4800</v>
      </c>
      <c r="F36" t="s">
        <v>4801</v>
      </c>
      <c r="G36" t="s">
        <v>4802</v>
      </c>
      <c r="H36" t="s">
        <v>4803</v>
      </c>
      <c r="I36" t="s">
        <v>4804</v>
      </c>
      <c r="J36" t="str">
        <f>_xlfn.XLOOKUP(autorest[[#This Row],[language_es]],idiomast[language_es],idiomast[language_la])</f>
        <v>Lingua Tibetica</v>
      </c>
      <c r="K36" s="6" t="s">
        <v>4805</v>
      </c>
      <c r="M36" t="str">
        <f>_xlfn.XLOOKUP(autorest[[#This Row],[language_es]],idiomast[language_es],idiomast[iso3691])</f>
        <v>bo</v>
      </c>
      <c r="N36" t="str">
        <f>_xlfn.XLOOKUP(autorest[[#This Row],[nation_es]],nacionest[nation_es],nacionest[nation_la])</f>
        <v>Thibetum</v>
      </c>
      <c r="O36" s="7" t="str">
        <f t="array" ref="O36">IF(ISBLANK(autorest[[#This Row],[year_birth]]),"Epoca Desconocida",IFERROR(INDEX(epocast[age_es],MATCH(1,(autorest[[#This Row],[year_birth]]&gt;=epocast[year_start])*(autorest[[#This Row],[year_birth]]&lt;=epocast[year_end]),0)),"Epoca Desconocida"))</f>
        <v>Epoca Desconocida</v>
      </c>
      <c r="P36" t="str">
        <f>_xlfn.XLOOKUP(autorest[[#This Row],[age_es]],epocast[age_es],epocast[age_la])</f>
        <v>Epocha Ignota</v>
      </c>
    </row>
    <row r="37" spans="1:16" ht="14">
      <c r="A37">
        <v>36</v>
      </c>
      <c r="B37" t="s">
        <v>1240</v>
      </c>
      <c r="C37" t="s">
        <v>4806</v>
      </c>
      <c r="D37">
        <v>1913</v>
      </c>
      <c r="E37">
        <v>1960</v>
      </c>
      <c r="F37" t="s">
        <v>4807</v>
      </c>
      <c r="G37" t="s">
        <v>4808</v>
      </c>
      <c r="H37" t="s">
        <v>4688</v>
      </c>
      <c r="I37" t="s">
        <v>4645</v>
      </c>
      <c r="J37" t="str">
        <f>_xlfn.XLOOKUP(autorest[[#This Row],[language_es]],idiomast[language_es],idiomast[language_la])</f>
        <v>Lingua Gallica</v>
      </c>
      <c r="K37" s="6" t="s">
        <v>4809</v>
      </c>
      <c r="M37" t="str">
        <f>_xlfn.XLOOKUP(autorest[[#This Row],[language_es]],idiomast[language_es],idiomast[iso3691])</f>
        <v>fr</v>
      </c>
      <c r="N37" t="str">
        <f>_xlfn.XLOOKUP(autorest[[#This Row],[nation_es]],nacionest[nation_es],nacionest[nation_la])</f>
        <v>Francia</v>
      </c>
      <c r="O37" s="7" t="str">
        <f t="array" ref="O37">IF(ISBLANK(autorest[[#This Row],[year_birth]]),"Epoca Desconocida",IFERROR(INDEX(epocast[age_es],MATCH(1,(autorest[[#This Row],[year_birth]]&gt;=epocast[year_start])*(autorest[[#This Row],[year_birth]]&lt;=epocast[year_end]),0)),"Epoca Desconocida"))</f>
        <v>Edad Contemporánea</v>
      </c>
      <c r="P37" t="str">
        <f>_xlfn.XLOOKUP(autorest[[#This Row],[age_es]],epocast[age_es],epocast[age_la])</f>
        <v>Aetas Contemporanea</v>
      </c>
    </row>
    <row r="38" spans="1:16" ht="14">
      <c r="A38">
        <v>37</v>
      </c>
      <c r="B38" t="s">
        <v>1245</v>
      </c>
      <c r="C38" t="s">
        <v>4810</v>
      </c>
      <c r="D38">
        <v>1910</v>
      </c>
      <c r="E38">
        <v>1997</v>
      </c>
      <c r="F38" t="s">
        <v>4811</v>
      </c>
      <c r="G38" t="s">
        <v>4812</v>
      </c>
      <c r="H38" t="s">
        <v>4813</v>
      </c>
      <c r="I38" t="s">
        <v>4814</v>
      </c>
      <c r="J38" t="str">
        <f>_xlfn.XLOOKUP(autorest[[#This Row],[language_es]],idiomast[language_es],idiomast[language_la])</f>
        <v>Lingua Albanica</v>
      </c>
      <c r="K38" s="6" t="s">
        <v>4815</v>
      </c>
      <c r="M38" t="str">
        <f>_xlfn.XLOOKUP(autorest[[#This Row],[language_es]],idiomast[language_es],idiomast[iso3691])</f>
        <v>sq</v>
      </c>
      <c r="N38" t="str">
        <f>_xlfn.XLOOKUP(autorest[[#This Row],[nation_es]],nacionest[nation_es],nacionest[nation_la])</f>
        <v>Albania</v>
      </c>
      <c r="O38" s="7" t="str">
        <f t="array" ref="O38">IF(ISBLANK(autorest[[#This Row],[year_birth]]),"Epoca Desconocida",IFERROR(INDEX(epocast[age_es],MATCH(1,(autorest[[#This Row],[year_birth]]&gt;=epocast[year_start])*(autorest[[#This Row],[year_birth]]&lt;=epocast[year_end]),0)),"Epoca Desconocida"))</f>
        <v>Edad Contemporánea</v>
      </c>
      <c r="P38" t="str">
        <f>_xlfn.XLOOKUP(autorest[[#This Row],[age_es]],epocast[age_es],epocast[age_la])</f>
        <v>Aetas Contemporanea</v>
      </c>
    </row>
    <row r="39" spans="1:16" ht="14">
      <c r="A39">
        <v>38</v>
      </c>
      <c r="B39" t="s">
        <v>1250</v>
      </c>
      <c r="C39" t="s">
        <v>4816</v>
      </c>
      <c r="D39">
        <v>1182</v>
      </c>
      <c r="E39">
        <v>1226</v>
      </c>
      <c r="F39" t="s">
        <v>4817</v>
      </c>
      <c r="G39" t="s">
        <v>4818</v>
      </c>
      <c r="H39" t="s">
        <v>4819</v>
      </c>
      <c r="I39" t="s">
        <v>4732</v>
      </c>
      <c r="J39" t="str">
        <f>_xlfn.XLOOKUP(autorest[[#This Row],[language_es]],idiomast[language_es],idiomast[language_la])</f>
        <v>Lingua Italica</v>
      </c>
      <c r="K39" s="6" t="s">
        <v>4820</v>
      </c>
      <c r="M39" t="str">
        <f>_xlfn.XLOOKUP(autorest[[#This Row],[language_es]],idiomast[language_es],idiomast[iso3691])</f>
        <v>it</v>
      </c>
      <c r="N39" t="str">
        <f>_xlfn.XLOOKUP(autorest[[#This Row],[nation_es]],nacionest[nation_es],nacionest[nation_la])</f>
        <v>Italia</v>
      </c>
      <c r="O39" s="7" t="str">
        <f t="array" ref="O39">IF(ISBLANK(autorest[[#This Row],[year_birth]]),"Epoca Desconocida",IFERROR(INDEX(epocast[age_es],MATCH(1,(autorest[[#This Row],[year_birth]]&gt;=epocast[year_start])*(autorest[[#This Row],[year_birth]]&lt;=epocast[year_end]),0)),"Epoca Desconocida"))</f>
        <v>Edad Media</v>
      </c>
      <c r="P39" t="str">
        <f>_xlfn.XLOOKUP(autorest[[#This Row],[age_es]],epocast[age_es],epocast[age_la])</f>
        <v>Medium Aevum</v>
      </c>
    </row>
    <row r="40" spans="1:16" ht="14">
      <c r="A40">
        <v>39</v>
      </c>
      <c r="B40" t="s">
        <v>460</v>
      </c>
      <c r="C40" t="s">
        <v>4821</v>
      </c>
      <c r="D40">
        <v>-341</v>
      </c>
      <c r="E40">
        <v>-270</v>
      </c>
      <c r="F40" t="s">
        <v>4822</v>
      </c>
      <c r="G40" t="s">
        <v>4823</v>
      </c>
      <c r="H40" t="s">
        <v>4824</v>
      </c>
      <c r="I40" t="s">
        <v>4714</v>
      </c>
      <c r="J40" t="str">
        <f>_xlfn.XLOOKUP(autorest[[#This Row],[language_es]],idiomast[language_es],idiomast[language_la])</f>
        <v>Lingua Graeca</v>
      </c>
      <c r="K40" s="6" t="s">
        <v>4825</v>
      </c>
      <c r="M40" t="str">
        <f>_xlfn.XLOOKUP(autorest[[#This Row],[language_es]],idiomast[language_es],idiomast[iso3691])</f>
        <v>el</v>
      </c>
      <c r="N40" t="str">
        <f>_xlfn.XLOOKUP(autorest[[#This Row],[nation_es]],nacionest[nation_es],nacionest[nation_la])</f>
        <v>Graecia</v>
      </c>
      <c r="O40" s="7" t="str">
        <f t="array" ref="O40">IF(ISBLANK(autorest[[#This Row],[year_birth]]),"Epoca Desconocida",IFERROR(INDEX(epocast[age_es],MATCH(1,(autorest[[#This Row],[year_birth]]&gt;=epocast[year_start])*(autorest[[#This Row],[year_birth]]&lt;=epocast[year_end]),0)),"Epoca Desconocida"))</f>
        <v>Edad Antigua</v>
      </c>
      <c r="P40" t="str">
        <f>_xlfn.XLOOKUP(autorest[[#This Row],[age_es]],epocast[age_es],epocast[age_la])</f>
        <v>Antiquitas</v>
      </c>
    </row>
    <row r="41" spans="1:16" ht="14">
      <c r="A41">
        <v>40</v>
      </c>
      <c r="B41" t="s">
        <v>501</v>
      </c>
      <c r="C41" t="s">
        <v>4826</v>
      </c>
      <c r="D41">
        <v>121</v>
      </c>
      <c r="E41">
        <v>180</v>
      </c>
      <c r="F41" t="s">
        <v>4827</v>
      </c>
      <c r="G41" t="s">
        <v>4828</v>
      </c>
      <c r="H41" t="s">
        <v>4824</v>
      </c>
      <c r="I41" t="s">
        <v>4640</v>
      </c>
      <c r="J41" t="str">
        <f>_xlfn.XLOOKUP(autorest[[#This Row],[language_es]],idiomast[language_es],idiomast[language_la])</f>
        <v>Lingua Graeca</v>
      </c>
      <c r="K41" s="6" t="s">
        <v>4829</v>
      </c>
      <c r="M41" t="str">
        <f>_xlfn.XLOOKUP(autorest[[#This Row],[language_es]],idiomast[language_es],idiomast[iso3691])</f>
        <v>el</v>
      </c>
      <c r="N41" t="str">
        <f>_xlfn.XLOOKUP(autorest[[#This Row],[nation_es]],nacionest[nation_es],nacionest[nation_la])</f>
        <v>Roma</v>
      </c>
      <c r="O41" s="7" t="str">
        <f t="array" ref="O41">IF(ISBLANK(autorest[[#This Row],[year_birth]]),"Epoca Desconocida",IFERROR(INDEX(epocast[age_es],MATCH(1,(autorest[[#This Row],[year_birth]]&gt;=epocast[year_start])*(autorest[[#This Row],[year_birth]]&lt;=epocast[year_end]),0)),"Epoca Desconocida"))</f>
        <v>Edad Antigua</v>
      </c>
      <c r="P41" t="str">
        <f>_xlfn.XLOOKUP(autorest[[#This Row],[age_es]],epocast[age_es],epocast[age_la])</f>
        <v>Antiquitas</v>
      </c>
    </row>
    <row r="42" spans="1:16" ht="14">
      <c r="A42">
        <v>41</v>
      </c>
      <c r="B42" t="s">
        <v>541</v>
      </c>
      <c r="C42" t="s">
        <v>4830</v>
      </c>
      <c r="D42">
        <v>-427</v>
      </c>
      <c r="E42">
        <v>-347</v>
      </c>
      <c r="F42" t="s">
        <v>4831</v>
      </c>
      <c r="G42" t="s">
        <v>4832</v>
      </c>
      <c r="H42" t="s">
        <v>4824</v>
      </c>
      <c r="I42" t="s">
        <v>4714</v>
      </c>
      <c r="J42" t="str">
        <f>_xlfn.XLOOKUP(autorest[[#This Row],[language_es]],idiomast[language_es],idiomast[language_la])</f>
        <v>Lingua Graeca</v>
      </c>
      <c r="K42" t="s">
        <v>4833</v>
      </c>
      <c r="M42" t="str">
        <f>_xlfn.XLOOKUP(autorest[[#This Row],[language_es]],idiomast[language_es],idiomast[iso3691])</f>
        <v>el</v>
      </c>
      <c r="N42" t="str">
        <f>_xlfn.XLOOKUP(autorest[[#This Row],[nation_es]],nacionest[nation_es],nacionest[nation_la])</f>
        <v>Graecia</v>
      </c>
      <c r="O42" s="7" t="str">
        <f t="array" ref="O42">IF(ISBLANK(autorest[[#This Row],[year_birth]]),"Epoca Desconocida",IFERROR(INDEX(epocast[age_es],MATCH(1,(autorest[[#This Row],[year_birth]]&gt;=epocast[year_start])*(autorest[[#This Row],[year_birth]]&lt;=epocast[year_end]),0)),"Epoca Desconocida"))</f>
        <v>Edad Antigua</v>
      </c>
      <c r="P42" t="str">
        <f>_xlfn.XLOOKUP(autorest[[#This Row],[age_es]],epocast[age_es],epocast[age_la])</f>
        <v>Antiquitas</v>
      </c>
    </row>
    <row r="43" spans="1:16" ht="14">
      <c r="A43">
        <v>42</v>
      </c>
      <c r="B43" t="s">
        <v>582</v>
      </c>
      <c r="C43" t="s">
        <v>4834</v>
      </c>
      <c r="D43">
        <v>-384</v>
      </c>
      <c r="E43">
        <v>-322</v>
      </c>
      <c r="F43" t="s">
        <v>4835</v>
      </c>
      <c r="G43" t="s">
        <v>4836</v>
      </c>
      <c r="H43" t="s">
        <v>4824</v>
      </c>
      <c r="I43" t="s">
        <v>4714</v>
      </c>
      <c r="J43" t="str">
        <f>_xlfn.XLOOKUP(autorest[[#This Row],[language_es]],idiomast[language_es],idiomast[language_la])</f>
        <v>Lingua Graeca</v>
      </c>
      <c r="K43" t="s">
        <v>4837</v>
      </c>
      <c r="M43" t="str">
        <f>_xlfn.XLOOKUP(autorest[[#This Row],[language_es]],idiomast[language_es],idiomast[iso3691])</f>
        <v>el</v>
      </c>
      <c r="N43" t="str">
        <f>_xlfn.XLOOKUP(autorest[[#This Row],[nation_es]],nacionest[nation_es],nacionest[nation_la])</f>
        <v>Graecia</v>
      </c>
      <c r="O43" s="7" t="str">
        <f t="array" ref="O43">IF(ISBLANK(autorest[[#This Row],[year_birth]]),"Epoca Desconocida",IFERROR(INDEX(epocast[age_es],MATCH(1,(autorest[[#This Row],[year_birth]]&gt;=epocast[year_start])*(autorest[[#This Row],[year_birth]]&lt;=epocast[year_end]),0)),"Epoca Desconocida"))</f>
        <v>Edad Antigua</v>
      </c>
      <c r="P43" t="str">
        <f>_xlfn.XLOOKUP(autorest[[#This Row],[age_es]],epocast[age_es],epocast[age_la])</f>
        <v>Antiquitas</v>
      </c>
    </row>
    <row r="44" spans="1:16" ht="14">
      <c r="A44">
        <v>43</v>
      </c>
      <c r="B44" t="s">
        <v>419</v>
      </c>
      <c r="C44" t="s">
        <v>4838</v>
      </c>
      <c r="D44">
        <v>-624</v>
      </c>
      <c r="E44">
        <v>-546</v>
      </c>
      <c r="F44" t="s">
        <v>4839</v>
      </c>
      <c r="G44" t="s">
        <v>4840</v>
      </c>
      <c r="H44" t="s">
        <v>4824</v>
      </c>
      <c r="I44" t="s">
        <v>4714</v>
      </c>
      <c r="J44" t="str">
        <f>_xlfn.XLOOKUP(autorest[[#This Row],[language_es]],idiomast[language_es],idiomast[language_la])</f>
        <v>Lingua Graeca</v>
      </c>
      <c r="K44" t="s">
        <v>4841</v>
      </c>
      <c r="M44" t="str">
        <f>_xlfn.XLOOKUP(autorest[[#This Row],[language_es]],idiomast[language_es],idiomast[iso3691])</f>
        <v>el</v>
      </c>
      <c r="N44" t="str">
        <f>_xlfn.XLOOKUP(autorest[[#This Row],[nation_es]],nacionest[nation_es],nacionest[nation_la])</f>
        <v>Graecia</v>
      </c>
      <c r="O44" s="7" t="str">
        <f t="array" ref="O44">IF(ISBLANK(autorest[[#This Row],[year_birth]]),"Epoca Desconocida",IFERROR(INDEX(epocast[age_es],MATCH(1,(autorest[[#This Row],[year_birth]]&gt;=epocast[year_start])*(autorest[[#This Row],[year_birth]]&lt;=epocast[year_end]),0)),"Epoca Desconocida"))</f>
        <v>Edad Antigua</v>
      </c>
      <c r="P44" t="str">
        <f>_xlfn.XLOOKUP(autorest[[#This Row],[age_es]],epocast[age_es],epocast[age_la])</f>
        <v>Antiquitas</v>
      </c>
    </row>
    <row r="45" spans="1:16" ht="14">
      <c r="A45">
        <v>44</v>
      </c>
      <c r="B45" t="s">
        <v>623</v>
      </c>
      <c r="C45" t="s">
        <v>4842</v>
      </c>
      <c r="D45">
        <v>-570</v>
      </c>
      <c r="E45">
        <v>-490</v>
      </c>
      <c r="F45" t="s">
        <v>4843</v>
      </c>
      <c r="G45" t="s">
        <v>4844</v>
      </c>
      <c r="H45" t="s">
        <v>4824</v>
      </c>
      <c r="I45" t="s">
        <v>4714</v>
      </c>
      <c r="J45" t="str">
        <f>_xlfn.XLOOKUP(autorest[[#This Row],[language_es]],idiomast[language_es],idiomast[language_la])</f>
        <v>Lingua Graeca</v>
      </c>
      <c r="K45" t="s">
        <v>4845</v>
      </c>
      <c r="M45" t="str">
        <f>_xlfn.XLOOKUP(autorest[[#This Row],[language_es]],idiomast[language_es],idiomast[iso3691])</f>
        <v>el</v>
      </c>
      <c r="N45" t="str">
        <f>_xlfn.XLOOKUP(autorest[[#This Row],[nation_es]],nacionest[nation_es],nacionest[nation_la])</f>
        <v>Graecia</v>
      </c>
      <c r="O45" s="7" t="str">
        <f t="array" ref="O45">IF(ISBLANK(autorest[[#This Row],[year_birth]]),"Epoca Desconocida",IFERROR(INDEX(epocast[age_es],MATCH(1,(autorest[[#This Row],[year_birth]]&gt;=epocast[year_start])*(autorest[[#This Row],[year_birth]]&lt;=epocast[year_end]),0)),"Epoca Desconocida"))</f>
        <v>Edad Antigua</v>
      </c>
      <c r="P45" t="str">
        <f>_xlfn.XLOOKUP(autorest[[#This Row],[age_es]],epocast[age_es],epocast[age_la])</f>
        <v>Antiquitas</v>
      </c>
    </row>
    <row r="46" spans="1:16" ht="14">
      <c r="A46">
        <v>45</v>
      </c>
      <c r="B46" t="s">
        <v>664</v>
      </c>
      <c r="C46" t="s">
        <v>4846</v>
      </c>
      <c r="D46">
        <v>-535</v>
      </c>
      <c r="E46">
        <v>-480</v>
      </c>
      <c r="F46" t="s">
        <v>4847</v>
      </c>
      <c r="G46" t="s">
        <v>4848</v>
      </c>
      <c r="H46" t="s">
        <v>4824</v>
      </c>
      <c r="I46" t="s">
        <v>4714</v>
      </c>
      <c r="J46" t="str">
        <f>_xlfn.XLOOKUP(autorest[[#This Row],[language_es]],idiomast[language_es],idiomast[language_la])</f>
        <v>Lingua Graeca</v>
      </c>
      <c r="K46" t="s">
        <v>4849</v>
      </c>
      <c r="M46" t="str">
        <f>_xlfn.XLOOKUP(autorest[[#This Row],[language_es]],idiomast[language_es],idiomast[iso3691])</f>
        <v>el</v>
      </c>
      <c r="N46" t="str">
        <f>_xlfn.XLOOKUP(autorest[[#This Row],[nation_es]],nacionest[nation_es],nacionest[nation_la])</f>
        <v>Graecia</v>
      </c>
      <c r="O46" s="7" t="str">
        <f t="array" ref="O46">IF(ISBLANK(autorest[[#This Row],[year_birth]]),"Epoca Desconocida",IFERROR(INDEX(epocast[age_es],MATCH(1,(autorest[[#This Row],[year_birth]]&gt;=epocast[year_start])*(autorest[[#This Row],[year_birth]]&lt;=epocast[year_end]),0)),"Epoca Desconocida"))</f>
        <v>Edad Antigua</v>
      </c>
      <c r="P46" t="str">
        <f>_xlfn.XLOOKUP(autorest[[#This Row],[age_es]],epocast[age_es],epocast[age_la])</f>
        <v>Antiquitas</v>
      </c>
    </row>
    <row r="47" spans="1:16" ht="14">
      <c r="A47">
        <v>46</v>
      </c>
      <c r="B47" t="s">
        <v>704</v>
      </c>
      <c r="C47" t="s">
        <v>4850</v>
      </c>
      <c r="D47">
        <v>-470</v>
      </c>
      <c r="E47">
        <v>-399</v>
      </c>
      <c r="F47" t="s">
        <v>4851</v>
      </c>
      <c r="G47" t="s">
        <v>4852</v>
      </c>
      <c r="H47" t="s">
        <v>4824</v>
      </c>
      <c r="I47" t="s">
        <v>4714</v>
      </c>
      <c r="J47" t="str">
        <f>_xlfn.XLOOKUP(autorest[[#This Row],[language_es]],idiomast[language_es],idiomast[language_la])</f>
        <v>Lingua Graeca</v>
      </c>
      <c r="K47" t="s">
        <v>4853</v>
      </c>
      <c r="M47" t="str">
        <f>_xlfn.XLOOKUP(autorest[[#This Row],[language_es]],idiomast[language_es],idiomast[iso3691])</f>
        <v>el</v>
      </c>
      <c r="N47" t="str">
        <f>_xlfn.XLOOKUP(autorest[[#This Row],[nation_es]],nacionest[nation_es],nacionest[nation_la])</f>
        <v>Graecia</v>
      </c>
      <c r="O47" s="7" t="str">
        <f t="array" ref="O47">IF(ISBLANK(autorest[[#This Row],[year_birth]]),"Epoca Desconocida",IFERROR(INDEX(epocast[age_es],MATCH(1,(autorest[[#This Row],[year_birth]]&gt;=epocast[year_start])*(autorest[[#This Row],[year_birth]]&lt;=epocast[year_end]),0)),"Epoca Desconocida"))</f>
        <v>Edad Antigua</v>
      </c>
      <c r="P47" t="str">
        <f>_xlfn.XLOOKUP(autorest[[#This Row],[age_es]],epocast[age_es],epocast[age_la])</f>
        <v>Antiquitas</v>
      </c>
    </row>
    <row r="48" spans="1:16" ht="14">
      <c r="A48">
        <v>47</v>
      </c>
      <c r="B48" t="s">
        <v>740</v>
      </c>
      <c r="C48" t="s">
        <v>4854</v>
      </c>
      <c r="D48">
        <v>-460</v>
      </c>
      <c r="E48">
        <v>-370</v>
      </c>
      <c r="F48" t="s">
        <v>4855</v>
      </c>
      <c r="G48" t="s">
        <v>4856</v>
      </c>
      <c r="H48" t="s">
        <v>4824</v>
      </c>
      <c r="I48" t="s">
        <v>4714</v>
      </c>
      <c r="J48" t="str">
        <f>_xlfn.XLOOKUP(autorest[[#This Row],[language_es]],idiomast[language_es],idiomast[language_la])</f>
        <v>Lingua Graeca</v>
      </c>
      <c r="K48" t="s">
        <v>4857</v>
      </c>
      <c r="M48" t="str">
        <f>_xlfn.XLOOKUP(autorest[[#This Row],[language_es]],idiomast[language_es],idiomast[iso3691])</f>
        <v>el</v>
      </c>
      <c r="N48" t="str">
        <f>_xlfn.XLOOKUP(autorest[[#This Row],[nation_es]],nacionest[nation_es],nacionest[nation_la])</f>
        <v>Graecia</v>
      </c>
      <c r="O48" s="7" t="str">
        <f t="array" ref="O48">IF(ISBLANK(autorest[[#This Row],[year_birth]]),"Epoca Desconocida",IFERROR(INDEX(epocast[age_es],MATCH(1,(autorest[[#This Row],[year_birth]]&gt;=epocast[year_start])*(autorest[[#This Row],[year_birth]]&lt;=epocast[year_end]),0)),"Epoca Desconocida"))</f>
        <v>Edad Antigua</v>
      </c>
      <c r="P48" t="str">
        <f>_xlfn.XLOOKUP(autorest[[#This Row],[age_es]],epocast[age_es],epocast[age_la])</f>
        <v>Antiquitas</v>
      </c>
    </row>
    <row r="49" spans="1:16" ht="14">
      <c r="A49">
        <v>48</v>
      </c>
      <c r="B49" t="s">
        <v>780</v>
      </c>
      <c r="C49" t="s">
        <v>4858</v>
      </c>
      <c r="D49">
        <v>-490</v>
      </c>
      <c r="E49">
        <v>-420</v>
      </c>
      <c r="F49" t="s">
        <v>4859</v>
      </c>
      <c r="G49" t="s">
        <v>4860</v>
      </c>
      <c r="H49" t="s">
        <v>4824</v>
      </c>
      <c r="I49" t="s">
        <v>4714</v>
      </c>
      <c r="J49" t="str">
        <f>_xlfn.XLOOKUP(autorest[[#This Row],[language_es]],idiomast[language_es],idiomast[language_la])</f>
        <v>Lingua Graeca</v>
      </c>
      <c r="K49" t="s">
        <v>4861</v>
      </c>
      <c r="M49" t="str">
        <f>_xlfn.XLOOKUP(autorest[[#This Row],[language_es]],idiomast[language_es],idiomast[iso3691])</f>
        <v>el</v>
      </c>
      <c r="N49" t="str">
        <f>_xlfn.XLOOKUP(autorest[[#This Row],[nation_es]],nacionest[nation_es],nacionest[nation_la])</f>
        <v>Graecia</v>
      </c>
      <c r="O49" s="7" t="str">
        <f t="array" ref="O49">IF(ISBLANK(autorest[[#This Row],[year_birth]]),"Epoca Desconocida",IFERROR(INDEX(epocast[age_es],MATCH(1,(autorest[[#This Row],[year_birth]]&gt;=epocast[year_start])*(autorest[[#This Row],[year_birth]]&lt;=epocast[year_end]),0)),"Epoca Desconocida"))</f>
        <v>Edad Antigua</v>
      </c>
      <c r="P49" t="str">
        <f>_xlfn.XLOOKUP(autorest[[#This Row],[age_es]],epocast[age_es],epocast[age_la])</f>
        <v>Antiquitas</v>
      </c>
    </row>
    <row r="50" spans="1:16" ht="14">
      <c r="A50">
        <v>49</v>
      </c>
      <c r="B50" t="s">
        <v>821</v>
      </c>
      <c r="C50" t="s">
        <v>4862</v>
      </c>
      <c r="D50">
        <v>35</v>
      </c>
      <c r="E50">
        <v>99</v>
      </c>
      <c r="F50" t="s">
        <v>4863</v>
      </c>
      <c r="G50" t="s">
        <v>4864</v>
      </c>
      <c r="H50" t="s">
        <v>4639</v>
      </c>
      <c r="I50" t="s">
        <v>4640</v>
      </c>
      <c r="J50" t="str">
        <f>_xlfn.XLOOKUP(autorest[[#This Row],[language_es]],idiomast[language_es],idiomast[language_la])</f>
        <v>Lingua Latina</v>
      </c>
      <c r="K50" t="s">
        <v>4865</v>
      </c>
      <c r="M50" t="str">
        <f>_xlfn.XLOOKUP(autorest[[#This Row],[language_es]],idiomast[language_es],idiomast[iso3691])</f>
        <v>la</v>
      </c>
      <c r="N50" t="str">
        <f>_xlfn.XLOOKUP(autorest[[#This Row],[nation_es]],nacionest[nation_es],nacionest[nation_la])</f>
        <v>Roma</v>
      </c>
      <c r="O50" s="7" t="str">
        <f t="array" ref="O50">IF(ISBLANK(autorest[[#This Row],[year_birth]]),"Epoca Desconocida",IFERROR(INDEX(epocast[age_es],MATCH(1,(autorest[[#This Row],[year_birth]]&gt;=epocast[year_start])*(autorest[[#This Row],[year_birth]]&lt;=epocast[year_end]),0)),"Epoca Desconocida"))</f>
        <v>Edad Antigua</v>
      </c>
      <c r="P50" t="str">
        <f>_xlfn.XLOOKUP(autorest[[#This Row],[age_es]],epocast[age_es],epocast[age_la])</f>
        <v>Antiquitas</v>
      </c>
    </row>
    <row r="51" spans="1:16" ht="14">
      <c r="A51">
        <v>50</v>
      </c>
      <c r="B51" t="s">
        <v>850</v>
      </c>
      <c r="C51" t="s">
        <v>4866</v>
      </c>
      <c r="D51">
        <v>35</v>
      </c>
      <c r="E51">
        <v>107</v>
      </c>
      <c r="F51" t="s">
        <v>4867</v>
      </c>
      <c r="G51" t="s">
        <v>4868</v>
      </c>
      <c r="H51" t="s">
        <v>4639</v>
      </c>
      <c r="I51" t="s">
        <v>4640</v>
      </c>
      <c r="J51" t="str">
        <f>_xlfn.XLOOKUP(autorest[[#This Row],[language_es]],idiomast[language_es],idiomast[language_la])</f>
        <v>Lingua Latina</v>
      </c>
      <c r="K51" t="s">
        <v>4869</v>
      </c>
      <c r="M51" t="str">
        <f>_xlfn.XLOOKUP(autorest[[#This Row],[language_es]],idiomast[language_es],idiomast[iso3691])</f>
        <v>la</v>
      </c>
      <c r="N51" t="str">
        <f>_xlfn.XLOOKUP(autorest[[#This Row],[nation_es]],nacionest[nation_es],nacionest[nation_la])</f>
        <v>Roma</v>
      </c>
      <c r="O51" s="7" t="str">
        <f t="array" ref="O51">IF(ISBLANK(autorest[[#This Row],[year_birth]]),"Epoca Desconocida",IFERROR(INDEX(epocast[age_es],MATCH(1,(autorest[[#This Row],[year_birth]]&gt;=epocast[year_start])*(autorest[[#This Row],[year_birth]]&lt;=epocast[year_end]),0)),"Epoca Desconocida"))</f>
        <v>Edad Antigua</v>
      </c>
      <c r="P51" t="str">
        <f>_xlfn.XLOOKUP(autorest[[#This Row],[age_es]],epocast[age_es],epocast[age_la])</f>
        <v>Antiquitas</v>
      </c>
    </row>
    <row r="52" spans="1:16" ht="14">
      <c r="A52">
        <v>51</v>
      </c>
      <c r="B52" t="s">
        <v>880</v>
      </c>
      <c r="C52" t="s">
        <v>4870</v>
      </c>
      <c r="D52">
        <v>70</v>
      </c>
      <c r="E52">
        <v>155</v>
      </c>
      <c r="F52" t="s">
        <v>4871</v>
      </c>
      <c r="G52" t="s">
        <v>4872</v>
      </c>
      <c r="H52" t="s">
        <v>4639</v>
      </c>
      <c r="I52" t="s">
        <v>4640</v>
      </c>
      <c r="J52" t="str">
        <f>_xlfn.XLOOKUP(autorest[[#This Row],[language_es]],idiomast[language_es],idiomast[language_la])</f>
        <v>Lingua Latina</v>
      </c>
      <c r="K52" t="s">
        <v>4873</v>
      </c>
      <c r="M52" t="str">
        <f>_xlfn.XLOOKUP(autorest[[#This Row],[language_es]],idiomast[language_es],idiomast[iso3691])</f>
        <v>la</v>
      </c>
      <c r="N52" t="str">
        <f>_xlfn.XLOOKUP(autorest[[#This Row],[nation_es]],nacionest[nation_es],nacionest[nation_la])</f>
        <v>Roma</v>
      </c>
      <c r="O52" s="7" t="str">
        <f t="array" ref="O52">IF(ISBLANK(autorest[[#This Row],[year_birth]]),"Epoca Desconocida",IFERROR(INDEX(epocast[age_es],MATCH(1,(autorest[[#This Row],[year_birth]]&gt;=epocast[year_start])*(autorest[[#This Row],[year_birth]]&lt;=epocast[year_end]),0)),"Epoca Desconocida"))</f>
        <v>Edad Antigua</v>
      </c>
      <c r="P52" t="str">
        <f>_xlfn.XLOOKUP(autorest[[#This Row],[age_es]],epocast[age_es],epocast[age_la])</f>
        <v>Antiquitas</v>
      </c>
    </row>
    <row r="53" spans="1:16" ht="14">
      <c r="A53">
        <v>52</v>
      </c>
      <c r="B53" t="s">
        <v>911</v>
      </c>
      <c r="C53" t="s">
        <v>4874</v>
      </c>
      <c r="D53">
        <v>130</v>
      </c>
      <c r="E53">
        <v>202</v>
      </c>
      <c r="F53" t="s">
        <v>4875</v>
      </c>
      <c r="G53" t="s">
        <v>4876</v>
      </c>
      <c r="H53" t="s">
        <v>4639</v>
      </c>
      <c r="I53" t="s">
        <v>4640</v>
      </c>
      <c r="J53" t="str">
        <f>_xlfn.XLOOKUP(autorest[[#This Row],[language_es]],idiomast[language_es],idiomast[language_la])</f>
        <v>Lingua Latina</v>
      </c>
      <c r="K53" t="s">
        <v>4877</v>
      </c>
      <c r="M53" t="str">
        <f>_xlfn.XLOOKUP(autorest[[#This Row],[language_es]],idiomast[language_es],idiomast[iso3691])</f>
        <v>la</v>
      </c>
      <c r="N53" t="str">
        <f>_xlfn.XLOOKUP(autorest[[#This Row],[nation_es]],nacionest[nation_es],nacionest[nation_la])</f>
        <v>Roma</v>
      </c>
      <c r="O53" s="7" t="str">
        <f t="array" ref="O53">IF(ISBLANK(autorest[[#This Row],[year_birth]]),"Epoca Desconocida",IFERROR(INDEX(epocast[age_es],MATCH(1,(autorest[[#This Row],[year_birth]]&gt;=epocast[year_start])*(autorest[[#This Row],[year_birth]]&lt;=epocast[year_end]),0)),"Epoca Desconocida"))</f>
        <v>Edad Antigua</v>
      </c>
      <c r="P53" t="str">
        <f>_xlfn.XLOOKUP(autorest[[#This Row],[age_es]],epocast[age_es],epocast[age_la])</f>
        <v>Antiquitas</v>
      </c>
    </row>
    <row r="54" spans="1:16" ht="14">
      <c r="A54">
        <v>53</v>
      </c>
      <c r="B54" t="s">
        <v>940</v>
      </c>
      <c r="C54" t="s">
        <v>4878</v>
      </c>
      <c r="D54">
        <v>296</v>
      </c>
      <c r="E54">
        <v>373</v>
      </c>
      <c r="F54" t="s">
        <v>4879</v>
      </c>
      <c r="G54" t="s">
        <v>4880</v>
      </c>
      <c r="H54" t="s">
        <v>4639</v>
      </c>
      <c r="I54" t="s">
        <v>4640</v>
      </c>
      <c r="J54" t="str">
        <f>_xlfn.XLOOKUP(autorest[[#This Row],[language_es]],idiomast[language_es],idiomast[language_la])</f>
        <v>Lingua Latina</v>
      </c>
      <c r="K54" t="s">
        <v>4881</v>
      </c>
      <c r="M54" t="str">
        <f>_xlfn.XLOOKUP(autorest[[#This Row],[language_es]],idiomast[language_es],idiomast[iso3691])</f>
        <v>la</v>
      </c>
      <c r="N54" t="str">
        <f>_xlfn.XLOOKUP(autorest[[#This Row],[nation_es]],nacionest[nation_es],nacionest[nation_la])</f>
        <v>Roma</v>
      </c>
      <c r="O54" s="7" t="str">
        <f t="array" ref="O54">IF(ISBLANK(autorest[[#This Row],[year_birth]]),"Epoca Desconocida",IFERROR(INDEX(epocast[age_es],MATCH(1,(autorest[[#This Row],[year_birth]]&gt;=epocast[year_start])*(autorest[[#This Row],[year_birth]]&lt;=epocast[year_end]),0)),"Epoca Desconocida"))</f>
        <v>Edad Antigua</v>
      </c>
      <c r="P54" t="str">
        <f>_xlfn.XLOOKUP(autorest[[#This Row],[age_es]],epocast[age_es],epocast[age_la])</f>
        <v>Antiquitas</v>
      </c>
    </row>
    <row r="55" spans="1:16" ht="14">
      <c r="A55">
        <v>54</v>
      </c>
      <c r="B55" t="s">
        <v>970</v>
      </c>
      <c r="C55" t="s">
        <v>4882</v>
      </c>
      <c r="D55">
        <v>330</v>
      </c>
      <c r="E55">
        <v>379</v>
      </c>
      <c r="F55" t="s">
        <v>4883</v>
      </c>
      <c r="G55" t="s">
        <v>4884</v>
      </c>
      <c r="H55" t="s">
        <v>4639</v>
      </c>
      <c r="I55" t="s">
        <v>4640</v>
      </c>
      <c r="J55" t="str">
        <f>_xlfn.XLOOKUP(autorest[[#This Row],[language_es]],idiomast[language_es],idiomast[language_la])</f>
        <v>Lingua Latina</v>
      </c>
      <c r="K55" t="s">
        <v>4885</v>
      </c>
      <c r="M55" t="str">
        <f>_xlfn.XLOOKUP(autorest[[#This Row],[language_es]],idiomast[language_es],idiomast[iso3691])</f>
        <v>la</v>
      </c>
      <c r="N55" t="str">
        <f>_xlfn.XLOOKUP(autorest[[#This Row],[nation_es]],nacionest[nation_es],nacionest[nation_la])</f>
        <v>Roma</v>
      </c>
      <c r="O55" s="7" t="str">
        <f t="array" ref="O55">IF(ISBLANK(autorest[[#This Row],[year_birth]]),"Epoca Desconocida",IFERROR(INDEX(epocast[age_es],MATCH(1,(autorest[[#This Row],[year_birth]]&gt;=epocast[year_start])*(autorest[[#This Row],[year_birth]]&lt;=epocast[year_end]),0)),"Epoca Desconocida"))</f>
        <v>Edad Antigua</v>
      </c>
      <c r="P55" t="str">
        <f>_xlfn.XLOOKUP(autorest[[#This Row],[age_es]],epocast[age_es],epocast[age_la])</f>
        <v>Antiquitas</v>
      </c>
    </row>
    <row r="56" spans="1:16" ht="14">
      <c r="A56">
        <v>55</v>
      </c>
      <c r="B56" t="s">
        <v>1002</v>
      </c>
      <c r="C56" t="s">
        <v>4886</v>
      </c>
      <c r="D56">
        <v>329</v>
      </c>
      <c r="E56">
        <v>390</v>
      </c>
      <c r="F56" t="s">
        <v>4887</v>
      </c>
      <c r="G56" t="s">
        <v>4888</v>
      </c>
      <c r="H56" t="s">
        <v>4639</v>
      </c>
      <c r="I56" t="s">
        <v>4640</v>
      </c>
      <c r="J56" t="str">
        <f>_xlfn.XLOOKUP(autorest[[#This Row],[language_es]],idiomast[language_es],idiomast[language_la])</f>
        <v>Lingua Latina</v>
      </c>
      <c r="K56" t="s">
        <v>4889</v>
      </c>
      <c r="M56" t="str">
        <f>_xlfn.XLOOKUP(autorest[[#This Row],[language_es]],idiomast[language_es],idiomast[iso3691])</f>
        <v>la</v>
      </c>
      <c r="N56" t="str">
        <f>_xlfn.XLOOKUP(autorest[[#This Row],[nation_es]],nacionest[nation_es],nacionest[nation_la])</f>
        <v>Roma</v>
      </c>
      <c r="O56" s="7" t="str">
        <f t="array" ref="O56">IF(ISBLANK(autorest[[#This Row],[year_birth]]),"Epoca Desconocida",IFERROR(INDEX(epocast[age_es],MATCH(1,(autorest[[#This Row],[year_birth]]&gt;=epocast[year_start])*(autorest[[#This Row],[year_birth]]&lt;=epocast[year_end]),0)),"Epoca Desconocida"))</f>
        <v>Edad Antigua</v>
      </c>
      <c r="P56" t="str">
        <f>_xlfn.XLOOKUP(autorest[[#This Row],[age_es]],epocast[age_es],epocast[age_la])</f>
        <v>Antiquitas</v>
      </c>
    </row>
    <row r="57" spans="1:16" ht="14">
      <c r="A57">
        <v>56</v>
      </c>
      <c r="B57" t="s">
        <v>1033</v>
      </c>
      <c r="C57" t="s">
        <v>4890</v>
      </c>
      <c r="D57">
        <v>335</v>
      </c>
      <c r="E57">
        <v>394</v>
      </c>
      <c r="F57" t="s">
        <v>4891</v>
      </c>
      <c r="G57" t="s">
        <v>4892</v>
      </c>
      <c r="H57" t="s">
        <v>4639</v>
      </c>
      <c r="I57" t="s">
        <v>4640</v>
      </c>
      <c r="J57" t="str">
        <f>_xlfn.XLOOKUP(autorest[[#This Row],[language_es]],idiomast[language_es],idiomast[language_la])</f>
        <v>Lingua Latina</v>
      </c>
      <c r="K57" t="s">
        <v>4893</v>
      </c>
      <c r="M57" t="str">
        <f>_xlfn.XLOOKUP(autorest[[#This Row],[language_es]],idiomast[language_es],idiomast[iso3691])</f>
        <v>la</v>
      </c>
      <c r="N57" t="str">
        <f>_xlfn.XLOOKUP(autorest[[#This Row],[nation_es]],nacionest[nation_es],nacionest[nation_la])</f>
        <v>Roma</v>
      </c>
      <c r="O57" s="7" t="str">
        <f t="array" ref="O57">IF(ISBLANK(autorest[[#This Row],[year_birth]]),"Epoca Desconocida",IFERROR(INDEX(epocast[age_es],MATCH(1,(autorest[[#This Row],[year_birth]]&gt;=epocast[year_start])*(autorest[[#This Row],[year_birth]]&lt;=epocast[year_end]),0)),"Epoca Desconocida"))</f>
        <v>Edad Antigua</v>
      </c>
      <c r="P57" t="str">
        <f>_xlfn.XLOOKUP(autorest[[#This Row],[age_es]],epocast[age_es],epocast[age_la])</f>
        <v>Antiquitas</v>
      </c>
    </row>
    <row r="58" spans="1:16" ht="14">
      <c r="A58">
        <v>57</v>
      </c>
      <c r="B58" t="s">
        <v>1064</v>
      </c>
      <c r="C58" t="s">
        <v>4894</v>
      </c>
      <c r="D58">
        <v>340</v>
      </c>
      <c r="E58">
        <v>397</v>
      </c>
      <c r="F58" t="s">
        <v>4895</v>
      </c>
      <c r="G58" t="s">
        <v>4896</v>
      </c>
      <c r="H58" t="s">
        <v>4639</v>
      </c>
      <c r="I58" t="s">
        <v>4640</v>
      </c>
      <c r="J58" t="str">
        <f>_xlfn.XLOOKUP(autorest[[#This Row],[language_es]],idiomast[language_es],idiomast[language_la])</f>
        <v>Lingua Latina</v>
      </c>
      <c r="K58" t="s">
        <v>4897</v>
      </c>
      <c r="M58" t="str">
        <f>_xlfn.XLOOKUP(autorest[[#This Row],[language_es]],idiomast[language_es],idiomast[iso3691])</f>
        <v>la</v>
      </c>
      <c r="N58" t="str">
        <f>_xlfn.XLOOKUP(autorest[[#This Row],[nation_es]],nacionest[nation_es],nacionest[nation_la])</f>
        <v>Roma</v>
      </c>
      <c r="O58" s="7" t="str">
        <f t="array" ref="O58">IF(ISBLANK(autorest[[#This Row],[year_birth]]),"Epoca Desconocida",IFERROR(INDEX(epocast[age_es],MATCH(1,(autorest[[#This Row],[year_birth]]&gt;=epocast[year_start])*(autorest[[#This Row],[year_birth]]&lt;=epocast[year_end]),0)),"Epoca Desconocida"))</f>
        <v>Edad Antigua</v>
      </c>
      <c r="P58" t="str">
        <f>_xlfn.XLOOKUP(autorest[[#This Row],[age_es]],epocast[age_es],epocast[age_la])</f>
        <v>Antiquitas</v>
      </c>
    </row>
    <row r="59" spans="1:16" ht="14">
      <c r="A59">
        <v>58</v>
      </c>
      <c r="B59" t="s">
        <v>1094</v>
      </c>
      <c r="C59" t="s">
        <v>4898</v>
      </c>
      <c r="D59">
        <v>347</v>
      </c>
      <c r="E59">
        <v>420</v>
      </c>
      <c r="F59" t="s">
        <v>4899</v>
      </c>
      <c r="G59" t="s">
        <v>4900</v>
      </c>
      <c r="H59" t="s">
        <v>4639</v>
      </c>
      <c r="I59" t="s">
        <v>4640</v>
      </c>
      <c r="J59" t="str">
        <f>_xlfn.XLOOKUP(autorest[[#This Row],[language_es]],idiomast[language_es],idiomast[language_la])</f>
        <v>Lingua Latina</v>
      </c>
      <c r="K59" t="s">
        <v>4901</v>
      </c>
      <c r="M59" t="str">
        <f>_xlfn.XLOOKUP(autorest[[#This Row],[language_es]],idiomast[language_es],idiomast[iso3691])</f>
        <v>la</v>
      </c>
      <c r="N59" t="str">
        <f>_xlfn.XLOOKUP(autorest[[#This Row],[nation_es]],nacionest[nation_es],nacionest[nation_la])</f>
        <v>Roma</v>
      </c>
      <c r="O59" s="7" t="str">
        <f t="array" ref="O59">IF(ISBLANK(autorest[[#This Row],[year_birth]]),"Epoca Desconocida",IFERROR(INDEX(epocast[age_es],MATCH(1,(autorest[[#This Row],[year_birth]]&gt;=epocast[year_start])*(autorest[[#This Row],[year_birth]]&lt;=epocast[year_end]),0)),"Epoca Desconocida"))</f>
        <v>Edad Antigua</v>
      </c>
      <c r="P59" t="str">
        <f>_xlfn.XLOOKUP(autorest[[#This Row],[age_es]],epocast[age_es],epocast[age_la])</f>
        <v>Antiquitas</v>
      </c>
    </row>
    <row r="60" spans="1:16" ht="14">
      <c r="A60">
        <v>59</v>
      </c>
      <c r="B60" t="s">
        <v>1116</v>
      </c>
      <c r="C60" t="s">
        <v>4902</v>
      </c>
      <c r="D60">
        <v>400</v>
      </c>
      <c r="E60">
        <v>461</v>
      </c>
      <c r="F60" t="s">
        <v>4903</v>
      </c>
      <c r="G60" t="s">
        <v>4904</v>
      </c>
      <c r="H60" t="s">
        <v>4639</v>
      </c>
      <c r="I60" t="s">
        <v>4640</v>
      </c>
      <c r="J60" t="str">
        <f>_xlfn.XLOOKUP(autorest[[#This Row],[language_es]],idiomast[language_es],idiomast[language_la])</f>
        <v>Lingua Latina</v>
      </c>
      <c r="K60" t="s">
        <v>4905</v>
      </c>
      <c r="M60" t="str">
        <f>_xlfn.XLOOKUP(autorest[[#This Row],[language_es]],idiomast[language_es],idiomast[iso3691])</f>
        <v>la</v>
      </c>
      <c r="N60" t="str">
        <f>_xlfn.XLOOKUP(autorest[[#This Row],[nation_es]],nacionest[nation_es],nacionest[nation_la])</f>
        <v>Roma</v>
      </c>
      <c r="O60" s="7" t="str">
        <f t="array" ref="O60">IF(ISBLANK(autorest[[#This Row],[year_birth]]),"Epoca Desconocida",IFERROR(INDEX(epocast[age_es],MATCH(1,(autorest[[#This Row],[year_birth]]&gt;=epocast[year_start])*(autorest[[#This Row],[year_birth]]&lt;=epocast[year_end]),0)),"Epoca Desconocida"))</f>
        <v>Edad Antigua</v>
      </c>
      <c r="P60" t="str">
        <f>_xlfn.XLOOKUP(autorest[[#This Row],[age_es]],epocast[age_es],epocast[age_la])</f>
        <v>Antiquitas</v>
      </c>
    </row>
    <row r="61" spans="1:16" ht="14">
      <c r="A61">
        <v>60</v>
      </c>
      <c r="B61" t="s">
        <v>1138</v>
      </c>
      <c r="C61" t="s">
        <v>4906</v>
      </c>
      <c r="D61">
        <v>210</v>
      </c>
      <c r="E61">
        <v>258</v>
      </c>
      <c r="F61" t="s">
        <v>4907</v>
      </c>
      <c r="G61" t="s">
        <v>4908</v>
      </c>
      <c r="H61" t="s">
        <v>4639</v>
      </c>
      <c r="I61" t="s">
        <v>4640</v>
      </c>
      <c r="J61" t="str">
        <f>_xlfn.XLOOKUP(autorest[[#This Row],[language_es]],idiomast[language_es],idiomast[language_la])</f>
        <v>Lingua Latina</v>
      </c>
      <c r="K61" t="s">
        <v>4909</v>
      </c>
      <c r="M61" t="str">
        <f>_xlfn.XLOOKUP(autorest[[#This Row],[language_es]],idiomast[language_es],idiomast[iso3691])</f>
        <v>la</v>
      </c>
      <c r="N61" t="str">
        <f>_xlfn.XLOOKUP(autorest[[#This Row],[nation_es]],nacionest[nation_es],nacionest[nation_la])</f>
        <v>Roma</v>
      </c>
      <c r="O61" s="7" t="str">
        <f t="array" ref="O61">IF(ISBLANK(autorest[[#This Row],[year_birth]]),"Epoca Desconocida",IFERROR(INDEX(epocast[age_es],MATCH(1,(autorest[[#This Row],[year_birth]]&gt;=epocast[year_start])*(autorest[[#This Row],[year_birth]]&lt;=epocast[year_end]),0)),"Epoca Desconocida"))</f>
        <v>Edad Antigua</v>
      </c>
      <c r="P61" t="str">
        <f>_xlfn.XLOOKUP(autorest[[#This Row],[age_es]],epocast[age_es],epocast[age_la])</f>
        <v>Antiquitas</v>
      </c>
    </row>
    <row r="62" spans="1:16" ht="14">
      <c r="A62">
        <v>61</v>
      </c>
      <c r="B62" t="s">
        <v>1165</v>
      </c>
      <c r="C62" t="s">
        <v>4910</v>
      </c>
      <c r="D62">
        <v>1033</v>
      </c>
      <c r="E62">
        <v>1109</v>
      </c>
      <c r="F62" t="s">
        <v>4911</v>
      </c>
      <c r="G62" t="s">
        <v>4912</v>
      </c>
      <c r="H62" t="s">
        <v>4639</v>
      </c>
      <c r="I62" t="s">
        <v>4732</v>
      </c>
      <c r="J62" t="str">
        <f>_xlfn.XLOOKUP(autorest[[#This Row],[language_es]],idiomast[language_es],idiomast[language_la])</f>
        <v>Lingua Latina</v>
      </c>
      <c r="K62" t="s">
        <v>4913</v>
      </c>
      <c r="M62" t="str">
        <f>_xlfn.XLOOKUP(autorest[[#This Row],[language_es]],idiomast[language_es],idiomast[iso3691])</f>
        <v>la</v>
      </c>
      <c r="N62" t="str">
        <f>_xlfn.XLOOKUP(autorest[[#This Row],[nation_es]],nacionest[nation_es],nacionest[nation_la])</f>
        <v>Italia</v>
      </c>
      <c r="O62" s="7" t="str">
        <f t="array" ref="O62">IF(ISBLANK(autorest[[#This Row],[year_birth]]),"Epoca Desconocida",IFERROR(INDEX(epocast[age_es],MATCH(1,(autorest[[#This Row],[year_birth]]&gt;=epocast[year_start])*(autorest[[#This Row],[year_birth]]&lt;=epocast[year_end]),0)),"Epoca Desconocida"))</f>
        <v>Edad Media</v>
      </c>
      <c r="P62" t="str">
        <f>_xlfn.XLOOKUP(autorest[[#This Row],[age_es]],epocast[age_es],epocast[age_la])</f>
        <v>Medium Aevum</v>
      </c>
    </row>
    <row r="63" spans="1:16" ht="14">
      <c r="A63">
        <v>62</v>
      </c>
      <c r="B63" t="s">
        <v>1195</v>
      </c>
      <c r="C63" t="s">
        <v>4914</v>
      </c>
      <c r="D63">
        <v>1287</v>
      </c>
      <c r="E63">
        <v>1347</v>
      </c>
      <c r="F63" t="s">
        <v>4915</v>
      </c>
      <c r="G63" t="s">
        <v>4916</v>
      </c>
      <c r="H63" t="s">
        <v>4650</v>
      </c>
      <c r="I63" t="s">
        <v>4651</v>
      </c>
      <c r="J63" t="str">
        <f>_xlfn.XLOOKUP(autorest[[#This Row],[language_es]],idiomast[language_es],idiomast[language_la])</f>
        <v>Lingua Anglica</v>
      </c>
      <c r="K63" t="s">
        <v>4917</v>
      </c>
      <c r="M63" t="str">
        <f>_xlfn.XLOOKUP(autorest[[#This Row],[language_es]],idiomast[language_es],idiomast[iso3691])</f>
        <v>en</v>
      </c>
      <c r="N63" t="str">
        <f>_xlfn.XLOOKUP(autorest[[#This Row],[nation_es]],nacionest[nation_es],nacionest[nation_la])</f>
        <v>Regnum Unitum</v>
      </c>
      <c r="O63" s="7" t="str">
        <f t="array" ref="O63">IF(ISBLANK(autorest[[#This Row],[year_birth]]),"Epoca Desconocida",IFERROR(INDEX(epocast[age_es],MATCH(1,(autorest[[#This Row],[year_birth]]&gt;=epocast[year_start])*(autorest[[#This Row],[year_birth]]&lt;=epocast[year_end]),0)),"Epoca Desconocida"))</f>
        <v>Edad Media</v>
      </c>
      <c r="P63" t="str">
        <f>_xlfn.XLOOKUP(autorest[[#This Row],[age_es]],epocast[age_es],epocast[age_la])</f>
        <v>Medium Aevum</v>
      </c>
    </row>
    <row r="64" spans="1:16">
      <c r="A64">
        <v>63</v>
      </c>
      <c r="B64" t="s">
        <v>1255</v>
      </c>
      <c r="C64" t="s">
        <v>4796</v>
      </c>
      <c r="D64">
        <v>1452</v>
      </c>
      <c r="E64">
        <v>1519</v>
      </c>
      <c r="F64" t="s">
        <v>4918</v>
      </c>
      <c r="G64" t="s">
        <v>4919</v>
      </c>
      <c r="H64" t="s">
        <v>4819</v>
      </c>
      <c r="I64" t="s">
        <v>4732</v>
      </c>
      <c r="J64" t="str">
        <f>_xlfn.XLOOKUP(autorest[[#This Row],[language_es]],idiomast[language_es],idiomast[language_la])</f>
        <v>Lingua Italica</v>
      </c>
      <c r="K64" t="s">
        <v>4920</v>
      </c>
      <c r="M64" t="str">
        <f>_xlfn.XLOOKUP(autorest[[#This Row],[language_es]],idiomast[language_es],idiomast[iso3691])</f>
        <v>it</v>
      </c>
      <c r="N64" t="str">
        <f>_xlfn.XLOOKUP(autorest[[#This Row],[nation_es]],nacionest[nation_es],nacionest[nation_la])</f>
        <v>Italia</v>
      </c>
      <c r="O64" t="str">
        <f t="array" ref="O64">IF(ISBLANK(autorest[[#This Row],[year_birth]]),"Epoca Desconocida",IFERROR(INDEX(epocast[age_es],MATCH(1,(autorest[[#This Row],[year_birth]]&gt;=epocast[year_start])*(autorest[[#This Row],[year_birth]]&lt;=epocast[year_end]),0)),"Epoca Desconocida"))</f>
        <v>Edad Media</v>
      </c>
      <c r="P64" t="str">
        <f>_xlfn.XLOOKUP(autorest[[#This Row],[age_es]],epocast[age_es],epocast[age_la])</f>
        <v>Medium Aevum</v>
      </c>
    </row>
    <row r="65" spans="1:16">
      <c r="A65">
        <v>64</v>
      </c>
      <c r="B65" t="s">
        <v>1299</v>
      </c>
      <c r="C65" t="s">
        <v>4921</v>
      </c>
      <c r="D65">
        <v>1542</v>
      </c>
      <c r="E65">
        <v>1591</v>
      </c>
      <c r="F65" t="s">
        <v>4922</v>
      </c>
      <c r="G65" t="s">
        <v>4923</v>
      </c>
      <c r="H65" t="s">
        <v>4699</v>
      </c>
      <c r="I65" t="s">
        <v>4700</v>
      </c>
      <c r="J65" t="str">
        <f>_xlfn.XLOOKUP(autorest[[#This Row],[language_es]],idiomast[language_es],idiomast[language_la])</f>
        <v>Lingua Hispanica</v>
      </c>
      <c r="K65" t="s">
        <v>4924</v>
      </c>
      <c r="M65" t="str">
        <f>_xlfn.XLOOKUP(autorest[[#This Row],[language_es]],idiomast[language_es],idiomast[iso3691])</f>
        <v>es</v>
      </c>
      <c r="N65" t="str">
        <f>_xlfn.XLOOKUP(autorest[[#This Row],[nation_es]],nacionest[nation_es],nacionest[nation_la])</f>
        <v>Hispania</v>
      </c>
      <c r="O65" t="str">
        <f t="array" ref="O65">IF(ISBLANK(autorest[[#This Row],[year_birth]]),"Epoca Desconocida",IFERROR(INDEX(epocast[age_es],MATCH(1,(autorest[[#This Row],[year_birth]]&gt;=epocast[year_start])*(autorest[[#This Row],[year_birth]]&lt;=epocast[year_end]),0)),"Epoca Desconocida"))</f>
        <v>Edad Moderna</v>
      </c>
      <c r="P65" t="str">
        <f>_xlfn.XLOOKUP(autorest[[#This Row],[age_es]],epocast[age_es],epocast[age_la])</f>
        <v>Nova Aetas</v>
      </c>
    </row>
    <row r="66" spans="1:16">
      <c r="A66">
        <v>65</v>
      </c>
      <c r="B66" t="s">
        <v>1318</v>
      </c>
      <c r="C66" t="s">
        <v>4925</v>
      </c>
      <c r="D66">
        <v>1515</v>
      </c>
      <c r="E66">
        <v>1582</v>
      </c>
      <c r="F66" t="s">
        <v>4926</v>
      </c>
      <c r="G66" t="s">
        <v>4927</v>
      </c>
      <c r="H66" t="s">
        <v>4699</v>
      </c>
      <c r="I66" t="s">
        <v>4700</v>
      </c>
      <c r="J66" t="str">
        <f>_xlfn.XLOOKUP(autorest[[#This Row],[language_es]],idiomast[language_es],idiomast[language_la])</f>
        <v>Lingua Hispanica</v>
      </c>
      <c r="K66" t="s">
        <v>4928</v>
      </c>
      <c r="M66" t="str">
        <f>_xlfn.XLOOKUP(autorest[[#This Row],[language_es]],idiomast[language_es],idiomast[iso3691])</f>
        <v>es</v>
      </c>
      <c r="N66" t="str">
        <f>_xlfn.XLOOKUP(autorest[[#This Row],[nation_es]],nacionest[nation_es],nacionest[nation_la])</f>
        <v>Hispania</v>
      </c>
      <c r="O66" t="str">
        <f t="array" ref="O66">IF(ISBLANK(autorest[[#This Row],[year_birth]]),"Epoca Desconocida",IFERROR(INDEX(epocast[age_es],MATCH(1,(autorest[[#This Row],[year_birth]]&gt;=epocast[year_start])*(autorest[[#This Row],[year_birth]]&lt;=epocast[year_end]),0)),"Epoca Desconocida"))</f>
        <v>Edad Moderna</v>
      </c>
      <c r="P66" t="str">
        <f>_xlfn.XLOOKUP(autorest[[#This Row],[age_es]],epocast[age_es],epocast[age_la])</f>
        <v>Nova Aetas</v>
      </c>
    </row>
    <row r="67" spans="1:16">
      <c r="A67">
        <v>66</v>
      </c>
      <c r="B67" t="s">
        <v>1337</v>
      </c>
      <c r="C67" t="s">
        <v>4929</v>
      </c>
      <c r="D67">
        <v>1815</v>
      </c>
      <c r="E67">
        <v>1888</v>
      </c>
      <c r="F67" t="s">
        <v>4930</v>
      </c>
      <c r="G67" t="s">
        <v>4931</v>
      </c>
      <c r="H67" t="s">
        <v>4819</v>
      </c>
      <c r="I67" t="s">
        <v>4732</v>
      </c>
      <c r="J67" t="str">
        <f>_xlfn.XLOOKUP(autorest[[#This Row],[language_es]],idiomast[language_es],idiomast[language_la])</f>
        <v>Lingua Italica</v>
      </c>
      <c r="K67" t="s">
        <v>4932</v>
      </c>
      <c r="M67" t="str">
        <f>_xlfn.XLOOKUP(autorest[[#This Row],[language_es]],idiomast[language_es],idiomast[iso3691])</f>
        <v>it</v>
      </c>
      <c r="N67" t="str">
        <f>_xlfn.XLOOKUP(autorest[[#This Row],[nation_es]],nacionest[nation_es],nacionest[nation_la])</f>
        <v>Italia</v>
      </c>
      <c r="O67" t="str">
        <f t="array" ref="O67">IF(ISBLANK(autorest[[#This Row],[year_birth]]),"Epoca Desconocida",IFERROR(INDEX(epocast[age_es],MATCH(1,(autorest[[#This Row],[year_birth]]&gt;=epocast[year_start])*(autorest[[#This Row],[year_birth]]&lt;=epocast[year_end]),0)),"Epoca Desconocida"))</f>
        <v>Edad Contemporánea</v>
      </c>
      <c r="P67" t="str">
        <f>_xlfn.XLOOKUP(autorest[[#This Row],[age_es]],epocast[age_es],epocast[age_la])</f>
        <v>Aetas Contemporanea</v>
      </c>
    </row>
    <row r="68" spans="1:16">
      <c r="A68">
        <v>67</v>
      </c>
      <c r="B68" t="s">
        <v>1360</v>
      </c>
      <c r="C68" t="s">
        <v>4933</v>
      </c>
      <c r="D68">
        <v>1927</v>
      </c>
      <c r="E68">
        <v>2022</v>
      </c>
      <c r="F68" t="s">
        <v>4934</v>
      </c>
      <c r="G68" t="s">
        <v>4935</v>
      </c>
      <c r="H68" t="s">
        <v>4736</v>
      </c>
      <c r="I68" t="s">
        <v>4737</v>
      </c>
      <c r="J68" t="str">
        <f>_xlfn.XLOOKUP(autorest[[#This Row],[language_es]],idiomast[language_es],idiomast[language_la])</f>
        <v>Lingua Germanica</v>
      </c>
      <c r="K68" t="s">
        <v>4936</v>
      </c>
      <c r="M68" t="str">
        <f>_xlfn.XLOOKUP(autorest[[#This Row],[language_es]],idiomast[language_es],idiomast[iso3691])</f>
        <v>de</v>
      </c>
      <c r="N68" t="str">
        <f>_xlfn.XLOOKUP(autorest[[#This Row],[nation_es]],nacionest[nation_es],nacionest[nation_la])</f>
        <v>Germania</v>
      </c>
      <c r="O68" t="str">
        <f t="array" ref="O68">IF(ISBLANK(autorest[[#This Row],[year_birth]]),"Epoca Desconocida",IFERROR(INDEX(epocast[age_es],MATCH(1,(autorest[[#This Row],[year_birth]]&gt;=epocast[year_start])*(autorest[[#This Row],[year_birth]]&lt;=epocast[year_end]),0)),"Epoca Desconocida"))</f>
        <v>Edad Contemporánea</v>
      </c>
      <c r="P68" t="str">
        <f>_xlfn.XLOOKUP(autorest[[#This Row],[age_es]],epocast[age_es],epocast[age_la])</f>
        <v>Aetas Contemporanea</v>
      </c>
    </row>
    <row r="69" spans="1:16">
      <c r="A69">
        <v>68</v>
      </c>
      <c r="B69" t="s">
        <v>1380</v>
      </c>
      <c r="C69" t="s">
        <v>4937</v>
      </c>
      <c r="D69">
        <v>1873</v>
      </c>
      <c r="E69">
        <v>1897</v>
      </c>
      <c r="F69" t="s">
        <v>4938</v>
      </c>
      <c r="G69" t="s">
        <v>4939</v>
      </c>
      <c r="H69" t="s">
        <v>4688</v>
      </c>
      <c r="I69" t="s">
        <v>4645</v>
      </c>
      <c r="J69" t="str">
        <f>_xlfn.XLOOKUP(autorest[[#This Row],[language_es]],idiomast[language_es],idiomast[language_la])</f>
        <v>Lingua Gallica</v>
      </c>
      <c r="K69" t="s">
        <v>4940</v>
      </c>
      <c r="M69" t="str">
        <f>_xlfn.XLOOKUP(autorest[[#This Row],[language_es]],idiomast[language_es],idiomast[iso3691])</f>
        <v>fr</v>
      </c>
      <c r="N69" t="str">
        <f>_xlfn.XLOOKUP(autorest[[#This Row],[nation_es]],nacionest[nation_es],nacionest[nation_la])</f>
        <v>Francia</v>
      </c>
      <c r="O69" t="str">
        <f t="array" ref="O69">IF(ISBLANK(autorest[[#This Row],[year_birth]]),"Epoca Desconocida",IFERROR(INDEX(epocast[age_es],MATCH(1,(autorest[[#This Row],[year_birth]]&gt;=epocast[year_start])*(autorest[[#This Row],[year_birth]]&lt;=epocast[year_end]),0)),"Epoca Desconocida"))</f>
        <v>Edad Contemporánea</v>
      </c>
      <c r="P69" t="str">
        <f>_xlfn.XLOOKUP(autorest[[#This Row],[age_es]],epocast[age_es],epocast[age_la])</f>
        <v>Aetas Contemporanea</v>
      </c>
    </row>
    <row r="70" spans="1:16">
      <c r="A70">
        <v>69</v>
      </c>
      <c r="B70" t="s">
        <v>1405</v>
      </c>
      <c r="C70" t="s">
        <v>4941</v>
      </c>
      <c r="D70">
        <v>1870</v>
      </c>
      <c r="E70">
        <v>1952</v>
      </c>
      <c r="F70" t="s">
        <v>4942</v>
      </c>
      <c r="G70" t="s">
        <v>4943</v>
      </c>
      <c r="H70" t="s">
        <v>4819</v>
      </c>
      <c r="I70" t="s">
        <v>4732</v>
      </c>
      <c r="J70" t="str">
        <f>_xlfn.XLOOKUP(autorest[[#This Row],[language_es]],idiomast[language_es],idiomast[language_la])</f>
        <v>Lingua Italica</v>
      </c>
      <c r="K70" t="s">
        <v>4944</v>
      </c>
      <c r="M70" t="str">
        <f>_xlfn.XLOOKUP(autorest[[#This Row],[language_es]],idiomast[language_es],idiomast[iso3691])</f>
        <v>it</v>
      </c>
      <c r="N70" t="str">
        <f>_xlfn.XLOOKUP(autorest[[#This Row],[nation_es]],nacionest[nation_es],nacionest[nation_la])</f>
        <v>Italia</v>
      </c>
      <c r="O70" t="str">
        <f t="array" ref="O70">IF(ISBLANK(autorest[[#This Row],[year_birth]]),"Epoca Desconocida",IFERROR(INDEX(epocast[age_es],MATCH(1,(autorest[[#This Row],[year_birth]]&gt;=epocast[year_start])*(autorest[[#This Row],[year_birth]]&lt;=epocast[year_end]),0)),"Epoca Desconocida"))</f>
        <v>Edad Contemporánea</v>
      </c>
      <c r="P70" t="str">
        <f>_xlfn.XLOOKUP(autorest[[#This Row],[age_es]],epocast[age_es],epocast[age_la])</f>
        <v>Aetas Contemporanea</v>
      </c>
    </row>
    <row r="71" spans="1:16">
      <c r="A71">
        <v>70</v>
      </c>
      <c r="B71" t="s">
        <v>1430</v>
      </c>
      <c r="C71" t="s">
        <v>4945</v>
      </c>
      <c r="D71">
        <v>1921</v>
      </c>
      <c r="E71">
        <v>1997</v>
      </c>
      <c r="F71" t="s">
        <v>4946</v>
      </c>
      <c r="G71" t="s">
        <v>4947</v>
      </c>
      <c r="H71" t="s">
        <v>4948</v>
      </c>
      <c r="I71" t="s">
        <v>4949</v>
      </c>
      <c r="J71" t="str">
        <f>_xlfn.XLOOKUP(autorest[[#This Row],[language_es]],idiomast[language_es],idiomast[language_la])</f>
        <v>Lingua Lusitanica</v>
      </c>
      <c r="K71" t="s">
        <v>4950</v>
      </c>
      <c r="M71" t="str">
        <f>_xlfn.XLOOKUP(autorest[[#This Row],[language_es]],idiomast[language_es],idiomast[iso3691])</f>
        <v>pt</v>
      </c>
      <c r="N71" t="str">
        <f>_xlfn.XLOOKUP(autorest[[#This Row],[nation_es]],nacionest[nation_es],nacionest[nation_la])</f>
        <v>Brasilia</v>
      </c>
      <c r="O71" t="str">
        <f t="array" ref="O71">IF(ISBLANK(autorest[[#This Row],[year_birth]]),"Epoca Desconocida",IFERROR(INDEX(epocast[age_es],MATCH(1,(autorest[[#This Row],[year_birth]]&gt;=epocast[year_start])*(autorest[[#This Row],[year_birth]]&lt;=epocast[year_end]),0)),"Epoca Desconocida"))</f>
        <v>Edad Contemporánea</v>
      </c>
      <c r="P71" t="str">
        <f>_xlfn.XLOOKUP(autorest[[#This Row],[age_es]],epocast[age_es],epocast[age_la])</f>
        <v>Aetas Contemporanea</v>
      </c>
    </row>
    <row r="72" spans="1:16">
      <c r="A72">
        <v>71</v>
      </c>
      <c r="B72" t="s">
        <v>1454</v>
      </c>
      <c r="C72" t="s">
        <v>4951</v>
      </c>
      <c r="D72">
        <v>1557</v>
      </c>
      <c r="E72">
        <v>1648</v>
      </c>
      <c r="F72" t="s">
        <v>4952</v>
      </c>
      <c r="G72" t="s">
        <v>4953</v>
      </c>
      <c r="H72" t="s">
        <v>4639</v>
      </c>
      <c r="I72" t="s">
        <v>4700</v>
      </c>
      <c r="J72" t="str">
        <f>_xlfn.XLOOKUP(autorest[[#This Row],[language_es]],idiomast[language_es],idiomast[language_la])</f>
        <v>Lingua Latina</v>
      </c>
      <c r="K72" t="s">
        <v>4954</v>
      </c>
      <c r="M72" t="str">
        <f>_xlfn.XLOOKUP(autorest[[#This Row],[language_es]],idiomast[language_es],idiomast[iso3691])</f>
        <v>la</v>
      </c>
      <c r="N72" t="str">
        <f>_xlfn.XLOOKUP(autorest[[#This Row],[nation_es]],nacionest[nation_es],nacionest[nation_la])</f>
        <v>Hispania</v>
      </c>
      <c r="O72" t="str">
        <f t="array" ref="O72">IF(ISBLANK(autorest[[#This Row],[year_birth]]),"Epoca Desconocida",IFERROR(INDEX(epocast[age_es],MATCH(1,(autorest[[#This Row],[year_birth]]&gt;=epocast[year_start])*(autorest[[#This Row],[year_birth]]&lt;=epocast[year_end]),0)),"Epoca Desconocida"))</f>
        <v>Edad Moderna</v>
      </c>
      <c r="P72" t="str">
        <f>_xlfn.XLOOKUP(autorest[[#This Row],[age_es]],epocast[age_es],epocast[age_la])</f>
        <v>Nova Aetas</v>
      </c>
    </row>
    <row r="73" spans="1:16">
      <c r="A73">
        <v>72</v>
      </c>
      <c r="B73" t="s">
        <v>1468</v>
      </c>
      <c r="C73" t="s">
        <v>4955</v>
      </c>
      <c r="D73">
        <v>1469</v>
      </c>
      <c r="E73">
        <v>1536</v>
      </c>
      <c r="F73" t="s">
        <v>4956</v>
      </c>
      <c r="G73" t="s">
        <v>4957</v>
      </c>
      <c r="H73" t="s">
        <v>4639</v>
      </c>
      <c r="I73" t="s">
        <v>4958</v>
      </c>
      <c r="J73" t="str">
        <f>_xlfn.XLOOKUP(autorest[[#This Row],[language_es]],idiomast[language_es],idiomast[language_la])</f>
        <v>Lingua Latina</v>
      </c>
      <c r="K73" t="s">
        <v>4959</v>
      </c>
      <c r="M73" t="str">
        <f>_xlfn.XLOOKUP(autorest[[#This Row],[language_es]],idiomast[language_es],idiomast[iso3691])</f>
        <v>la</v>
      </c>
      <c r="N73" t="str">
        <f>_xlfn.XLOOKUP(autorest[[#This Row],[nation_es]],nacionest[nation_es],nacionest[nation_la])</f>
        <v>Nederlandia</v>
      </c>
      <c r="O73" t="str">
        <f t="array" ref="O73">IF(ISBLANK(autorest[[#This Row],[year_birth]]),"Epoca Desconocida",IFERROR(INDEX(epocast[age_es],MATCH(1,(autorest[[#This Row],[year_birth]]&gt;=epocast[year_start])*(autorest[[#This Row],[year_birth]]&lt;=epocast[year_end]),0)),"Epoca Desconocida"))</f>
        <v>Edad Media</v>
      </c>
      <c r="P73" t="str">
        <f>_xlfn.XLOOKUP(autorest[[#This Row],[age_es]],epocast[age_es],epocast[age_la])</f>
        <v>Medium Aevum</v>
      </c>
    </row>
    <row r="74" spans="1:16">
      <c r="A74">
        <v>73</v>
      </c>
      <c r="B74" t="s">
        <v>1487</v>
      </c>
      <c r="C74" t="s">
        <v>4960</v>
      </c>
      <c r="D74">
        <v>1788</v>
      </c>
      <c r="E74">
        <v>1860</v>
      </c>
      <c r="F74" t="s">
        <v>4961</v>
      </c>
      <c r="G74" t="s">
        <v>4962</v>
      </c>
      <c r="H74" t="s">
        <v>4736</v>
      </c>
      <c r="I74" t="s">
        <v>4737</v>
      </c>
      <c r="J74" t="str">
        <f>_xlfn.XLOOKUP(autorest[[#This Row],[language_es]],idiomast[language_es],idiomast[language_la])</f>
        <v>Lingua Germanica</v>
      </c>
      <c r="K74" t="s">
        <v>4963</v>
      </c>
      <c r="M74" t="str">
        <f>_xlfn.XLOOKUP(autorest[[#This Row],[language_es]],idiomast[language_es],idiomast[iso3691])</f>
        <v>de</v>
      </c>
      <c r="N74" t="str">
        <f>_xlfn.XLOOKUP(autorest[[#This Row],[nation_es]],nacionest[nation_es],nacionest[nation_la])</f>
        <v>Germania</v>
      </c>
      <c r="O74" t="str">
        <f t="array" ref="O74">IF(ISBLANK(autorest[[#This Row],[year_birth]]),"Epoca Desconocida",IFERROR(INDEX(epocast[age_es],MATCH(1,(autorest[[#This Row],[year_birth]]&gt;=epocast[year_start])*(autorest[[#This Row],[year_birth]]&lt;=epocast[year_end]),0)),"Epoca Desconocida"))</f>
        <v>Edad Moderna</v>
      </c>
      <c r="P74" t="str">
        <f>_xlfn.XLOOKUP(autorest[[#This Row],[age_es]],epocast[age_es],epocast[age_la])</f>
        <v>Nova Aetas</v>
      </c>
    </row>
    <row r="75" spans="1:16">
      <c r="A75">
        <v>74</v>
      </c>
      <c r="B75" t="s">
        <v>1512</v>
      </c>
      <c r="C75" t="s">
        <v>1512</v>
      </c>
      <c r="D75">
        <v>1906</v>
      </c>
      <c r="E75">
        <v>1975</v>
      </c>
      <c r="F75" t="s">
        <v>4964</v>
      </c>
      <c r="G75" t="s">
        <v>4965</v>
      </c>
      <c r="H75" t="s">
        <v>4736</v>
      </c>
      <c r="I75" t="s">
        <v>4737</v>
      </c>
      <c r="J75" t="str">
        <f>_xlfn.XLOOKUP(autorest[[#This Row],[language_es]],idiomast[language_es],idiomast[language_la])</f>
        <v>Lingua Germanica</v>
      </c>
      <c r="K75" t="s">
        <v>4966</v>
      </c>
      <c r="M75" t="str">
        <f>_xlfn.XLOOKUP(autorest[[#This Row],[language_es]],idiomast[language_es],idiomast[iso3691])</f>
        <v>de</v>
      </c>
      <c r="N75" t="str">
        <f>_xlfn.XLOOKUP(autorest[[#This Row],[nation_es]],nacionest[nation_es],nacionest[nation_la])</f>
        <v>Germania</v>
      </c>
      <c r="O75" t="str">
        <f t="array" ref="O75">IF(ISBLANK(autorest[[#This Row],[year_birth]]),"Epoca Desconocida",IFERROR(INDEX(epocast[age_es],MATCH(1,(autorest[[#This Row],[year_birth]]&gt;=epocast[year_start])*(autorest[[#This Row],[year_birth]]&lt;=epocast[year_end]),0)),"Epoca Desconocida"))</f>
        <v>Edad Contemporánea</v>
      </c>
      <c r="P75" t="str">
        <f>_xlfn.XLOOKUP(autorest[[#This Row],[age_es]],epocast[age_es],epocast[age_la])</f>
        <v>Aetas Contemporanea</v>
      </c>
    </row>
    <row r="76" spans="1:16">
      <c r="A76">
        <v>75</v>
      </c>
      <c r="B76" t="s">
        <v>1537</v>
      </c>
      <c r="C76" t="s">
        <v>1537</v>
      </c>
      <c r="D76">
        <v>1724</v>
      </c>
      <c r="E76">
        <v>1804</v>
      </c>
      <c r="F76" t="s">
        <v>4967</v>
      </c>
      <c r="G76" t="s">
        <v>4968</v>
      </c>
      <c r="H76" t="s">
        <v>4736</v>
      </c>
      <c r="I76" t="s">
        <v>4737</v>
      </c>
      <c r="J76" t="str">
        <f>_xlfn.XLOOKUP(autorest[[#This Row],[language_es]],idiomast[language_es],idiomast[language_la])</f>
        <v>Lingua Germanica</v>
      </c>
      <c r="K76" t="s">
        <v>4969</v>
      </c>
      <c r="M76" t="str">
        <f>_xlfn.XLOOKUP(autorest[[#This Row],[language_es]],idiomast[language_es],idiomast[iso3691])</f>
        <v>de</v>
      </c>
      <c r="N76" t="str">
        <f>_xlfn.XLOOKUP(autorest[[#This Row],[nation_es]],nacionest[nation_es],nacionest[nation_la])</f>
        <v>Germania</v>
      </c>
      <c r="O76" t="str">
        <f t="array" ref="O76">IF(ISBLANK(autorest[[#This Row],[year_birth]]),"Epoca Desconocida",IFERROR(INDEX(epocast[age_es],MATCH(1,(autorest[[#This Row],[year_birth]]&gt;=epocast[year_start])*(autorest[[#This Row],[year_birth]]&lt;=epocast[year_end]),0)),"Epoca Desconocida"))</f>
        <v>Edad Moderna</v>
      </c>
      <c r="P76" t="str">
        <f>_xlfn.XLOOKUP(autorest[[#This Row],[age_es]],epocast[age_es],epocast[age_la])</f>
        <v>Nova Aetas</v>
      </c>
    </row>
    <row r="77" spans="1:16">
      <c r="A77">
        <v>76</v>
      </c>
      <c r="B77" t="s">
        <v>1559</v>
      </c>
      <c r="C77" t="s">
        <v>4970</v>
      </c>
      <c r="D77">
        <v>1883</v>
      </c>
      <c r="E77">
        <v>1955</v>
      </c>
      <c r="F77" t="s">
        <v>4971</v>
      </c>
      <c r="G77" t="s">
        <v>4972</v>
      </c>
      <c r="H77" t="s">
        <v>4699</v>
      </c>
      <c r="I77" t="s">
        <v>4700</v>
      </c>
      <c r="J77" t="str">
        <f>_xlfn.XLOOKUP(autorest[[#This Row],[language_es]],idiomast[language_es],idiomast[language_la])</f>
        <v>Lingua Hispanica</v>
      </c>
      <c r="K77" t="s">
        <v>4973</v>
      </c>
      <c r="M77" t="str">
        <f>_xlfn.XLOOKUP(autorest[[#This Row],[language_es]],idiomast[language_es],idiomast[iso3691])</f>
        <v>es</v>
      </c>
      <c r="N77" t="str">
        <f>_xlfn.XLOOKUP(autorest[[#This Row],[nation_es]],nacionest[nation_es],nacionest[nation_la])</f>
        <v>Hispania</v>
      </c>
      <c r="O77" t="str">
        <f t="array" ref="O77">IF(ISBLANK(autorest[[#This Row],[year_birth]]),"Epoca Desconocida",IFERROR(INDEX(epocast[age_es],MATCH(1,(autorest[[#This Row],[year_birth]]&gt;=epocast[year_start])*(autorest[[#This Row],[year_birth]]&lt;=epocast[year_end]),0)),"Epoca Desconocida"))</f>
        <v>Edad Contemporánea</v>
      </c>
      <c r="P77" t="str">
        <f>_xlfn.XLOOKUP(autorest[[#This Row],[age_es]],epocast[age_es],epocast[age_la])</f>
        <v>Aetas Contemporanea</v>
      </c>
    </row>
    <row r="78" spans="1:16">
      <c r="A78">
        <v>77</v>
      </c>
      <c r="B78" t="s">
        <v>1577</v>
      </c>
      <c r="C78" t="s">
        <v>4974</v>
      </c>
      <c r="D78">
        <v>1813</v>
      </c>
      <c r="E78">
        <v>1855</v>
      </c>
      <c r="F78" t="s">
        <v>4975</v>
      </c>
      <c r="G78" t="s">
        <v>4976</v>
      </c>
      <c r="H78" t="s">
        <v>4977</v>
      </c>
      <c r="I78" t="s">
        <v>4978</v>
      </c>
      <c r="J78" t="str">
        <f>_xlfn.XLOOKUP(autorest[[#This Row],[language_es]],idiomast[language_es],idiomast[language_la])</f>
        <v>Lingua Danica</v>
      </c>
      <c r="K78" t="s">
        <v>4979</v>
      </c>
      <c r="M78" t="str">
        <f>_xlfn.XLOOKUP(autorest[[#This Row],[language_es]],idiomast[language_es],idiomast[iso3691])</f>
        <v>da</v>
      </c>
      <c r="N78" t="str">
        <f>_xlfn.XLOOKUP(autorest[[#This Row],[nation_es]],nacionest[nation_es],nacionest[nation_la])</f>
        <v>Dania</v>
      </c>
      <c r="O78" t="str">
        <f t="array" ref="O78">IF(ISBLANK(autorest[[#This Row],[year_birth]]),"Epoca Desconocida",IFERROR(INDEX(epocast[age_es],MATCH(1,(autorest[[#This Row],[year_birth]]&gt;=epocast[year_start])*(autorest[[#This Row],[year_birth]]&lt;=epocast[year_end]),0)),"Epoca Desconocida"))</f>
        <v>Edad Contemporánea</v>
      </c>
      <c r="P78" t="str">
        <f>_xlfn.XLOOKUP(autorest[[#This Row],[age_es]],epocast[age_es],epocast[age_la])</f>
        <v>Aetas Contemporanea</v>
      </c>
    </row>
    <row r="79" spans="1:16" ht="14">
      <c r="A79">
        <v>9999</v>
      </c>
      <c r="B79" t="s">
        <v>4980</v>
      </c>
      <c r="C79" t="s">
        <v>4981</v>
      </c>
      <c r="F79" t="s">
        <v>4982</v>
      </c>
      <c r="G79" t="s">
        <v>4983</v>
      </c>
      <c r="H79" t="s">
        <v>4984</v>
      </c>
      <c r="I79" t="s">
        <v>4984</v>
      </c>
      <c r="J79" t="e">
        <f>_xlfn.XLOOKUP(autorest[[#This Row],[language_es]],idiomast[language_es],idiomast[language_la])</f>
        <v>#N/A</v>
      </c>
      <c r="K79" s="6"/>
      <c r="M79" t="e">
        <f>_xlfn.XLOOKUP(autorest[[#This Row],[language_es]],idiomast[language_es],idiomast[iso3691])</f>
        <v>#N/A</v>
      </c>
      <c r="N79" t="e">
        <f>_xlfn.XLOOKUP(autorest[[#This Row],[nation_es]],nacionest[nation_es],nacionest[nation_la])</f>
        <v>#N/A</v>
      </c>
      <c r="O79" s="7" t="str">
        <f t="array" ref="O79">IF(ISBLANK(autorest[[#This Row],[year_birth]]),"Epoca Desconocida",IFERROR(INDEX(epocast[age_es],MATCH(1,(autorest[[#This Row],[year_birth]]&gt;=epocast[year_start])*(autorest[[#This Row],[year_birth]]&lt;=epocast[year_end]),0)),"Epoca Desconocida"))</f>
        <v>Epoca Desconocida</v>
      </c>
      <c r="P79" t="str">
        <f>_xlfn.XLOOKUP(autorest[[#This Row],[age_es]],epocast[age_es],epocast[age_la])</f>
        <v>Epocha Ignota</v>
      </c>
    </row>
    <row r="80" spans="1:16">
      <c r="A80">
        <v>78</v>
      </c>
      <c r="B80" t="s">
        <v>1600</v>
      </c>
      <c r="C80" t="s">
        <v>4985</v>
      </c>
      <c r="D80">
        <v>1592</v>
      </c>
      <c r="E80">
        <v>1670</v>
      </c>
      <c r="F80" t="s">
        <v>4986</v>
      </c>
      <c r="G80" t="s">
        <v>4987</v>
      </c>
      <c r="H80" t="s">
        <v>4639</v>
      </c>
      <c r="I80" t="s">
        <v>4988</v>
      </c>
      <c r="J80" t="str">
        <f>_xlfn.XLOOKUP(autorest[[#This Row],[language_es]],idiomast[language_es],idiomast[language_la])</f>
        <v>Lingua Latina</v>
      </c>
      <c r="K80" t="s">
        <v>4989</v>
      </c>
      <c r="M80" t="str">
        <f>_xlfn.XLOOKUP(autorest[[#This Row],[language_es]],idiomast[language_es],idiomast[iso3691])</f>
        <v>la</v>
      </c>
      <c r="N80" t="str">
        <f>_xlfn.XLOOKUP(autorest[[#This Row],[nation_es]],nacionest[nation_es],nacionest[nation_la])</f>
        <v>Cechia</v>
      </c>
      <c r="O80" t="str">
        <f t="array" ref="O80">IF(ISBLANK(autorest[[#This Row],[year_birth]]),"Epoca Desconocida",IFERROR(INDEX(epocast[age_es],MATCH(1,(autorest[[#This Row],[year_birth]]&gt;=epocast[year_start])*(autorest[[#This Row],[year_birth]]&lt;=epocast[year_end]),0)),"Epoca Desconocida"))</f>
        <v>Edad Moderna</v>
      </c>
      <c r="P80" t="str">
        <f>_xlfn.XLOOKUP(autorest[[#This Row],[age_es]],epocast[age_es],epocast[age_la])</f>
        <v>Nova Aetas</v>
      </c>
    </row>
    <row r="81" spans="1:16">
      <c r="A81">
        <v>79</v>
      </c>
      <c r="B81" t="s">
        <v>1620</v>
      </c>
      <c r="C81" t="s">
        <v>4990</v>
      </c>
      <c r="D81">
        <v>1712</v>
      </c>
      <c r="E81">
        <v>1778</v>
      </c>
      <c r="F81" t="s">
        <v>4991</v>
      </c>
      <c r="G81" t="s">
        <v>4992</v>
      </c>
      <c r="H81" t="s">
        <v>4688</v>
      </c>
      <c r="I81" t="s">
        <v>4993</v>
      </c>
      <c r="J81" t="str">
        <f>_xlfn.XLOOKUP(autorest[[#This Row],[language_es]],idiomast[language_es],idiomast[language_la])</f>
        <v>Lingua Gallica</v>
      </c>
      <c r="K81" t="s">
        <v>4994</v>
      </c>
      <c r="M81" t="str">
        <f>_xlfn.XLOOKUP(autorest[[#This Row],[language_es]],idiomast[language_es],idiomast[iso3691])</f>
        <v>fr</v>
      </c>
      <c r="N81" t="str">
        <f>_xlfn.XLOOKUP(autorest[[#This Row],[nation_es]],nacionest[nation_es],nacionest[nation_la])</f>
        <v>Helvetia</v>
      </c>
      <c r="O81" t="str">
        <f t="array" ref="O81">IF(ISBLANK(autorest[[#This Row],[year_birth]]),"Epoca Desconocida",IFERROR(INDEX(epocast[age_es],MATCH(1,(autorest[[#This Row],[year_birth]]&gt;=epocast[year_start])*(autorest[[#This Row],[year_birth]]&lt;=epocast[year_end]),0)),"Epoca Desconocida"))</f>
        <v>Edad Moderna</v>
      </c>
      <c r="P81" t="str">
        <f>_xlfn.XLOOKUP(autorest[[#This Row],[age_es]],epocast[age_es],epocast[age_la])</f>
        <v>Nova Aetas</v>
      </c>
    </row>
    <row r="82" spans="1:16">
      <c r="A82">
        <v>80</v>
      </c>
      <c r="B82" t="s">
        <v>1641</v>
      </c>
      <c r="C82" t="s">
        <v>4995</v>
      </c>
      <c r="D82">
        <v>1746</v>
      </c>
      <c r="E82">
        <v>1827</v>
      </c>
      <c r="F82" t="s">
        <v>4996</v>
      </c>
      <c r="G82" t="s">
        <v>4997</v>
      </c>
      <c r="H82" t="s">
        <v>4736</v>
      </c>
      <c r="I82" t="s">
        <v>4993</v>
      </c>
      <c r="J82" t="str">
        <f>_xlfn.XLOOKUP(autorest[[#This Row],[language_es]],idiomast[language_es],idiomast[language_la])</f>
        <v>Lingua Germanica</v>
      </c>
      <c r="K82" t="s">
        <v>4998</v>
      </c>
      <c r="M82" t="str">
        <f>_xlfn.XLOOKUP(autorest[[#This Row],[language_es]],idiomast[language_es],idiomast[iso3691])</f>
        <v>de</v>
      </c>
      <c r="N82" t="str">
        <f>_xlfn.XLOOKUP(autorest[[#This Row],[nation_es]],nacionest[nation_es],nacionest[nation_la])</f>
        <v>Helvetia</v>
      </c>
      <c r="O82" t="str">
        <f t="array" ref="O82">IF(ISBLANK(autorest[[#This Row],[year_birth]]),"Epoca Desconocida",IFERROR(INDEX(epocast[age_es],MATCH(1,(autorest[[#This Row],[year_birth]]&gt;=epocast[year_start])*(autorest[[#This Row],[year_birth]]&lt;=epocast[year_end]),0)),"Epoca Desconocida"))</f>
        <v>Edad Moderna</v>
      </c>
      <c r="P82" t="str">
        <f>_xlfn.XLOOKUP(autorest[[#This Row],[age_es]],epocast[age_es],epocast[age_la])</f>
        <v>Nova Aetas</v>
      </c>
    </row>
    <row r="83" spans="1:16">
      <c r="A83">
        <v>81</v>
      </c>
      <c r="B83" t="s">
        <v>1661</v>
      </c>
      <c r="C83" t="s">
        <v>4999</v>
      </c>
      <c r="D83">
        <v>1896</v>
      </c>
      <c r="E83">
        <v>1980</v>
      </c>
      <c r="F83" t="s">
        <v>5000</v>
      </c>
      <c r="G83" t="s">
        <v>5001</v>
      </c>
      <c r="H83" t="s">
        <v>4688</v>
      </c>
      <c r="I83" t="s">
        <v>4993</v>
      </c>
      <c r="J83" t="str">
        <f>_xlfn.XLOOKUP(autorest[[#This Row],[language_es]],idiomast[language_es],idiomast[language_la])</f>
        <v>Lingua Gallica</v>
      </c>
      <c r="K83" t="s">
        <v>5002</v>
      </c>
      <c r="M83" t="str">
        <f>_xlfn.XLOOKUP(autorest[[#This Row],[language_es]],idiomast[language_es],idiomast[iso3691])</f>
        <v>fr</v>
      </c>
      <c r="N83" t="str">
        <f>_xlfn.XLOOKUP(autorest[[#This Row],[nation_es]],nacionest[nation_es],nacionest[nation_la])</f>
        <v>Helvetia</v>
      </c>
      <c r="O83" t="str">
        <f t="array" ref="O83">IF(ISBLANK(autorest[[#This Row],[year_birth]]),"Epoca Desconocida",IFERROR(INDEX(epocast[age_es],MATCH(1,(autorest[[#This Row],[year_birth]]&gt;=epocast[year_start])*(autorest[[#This Row],[year_birth]]&lt;=epocast[year_end]),0)),"Epoca Desconocida"))</f>
        <v>Edad Contemporánea</v>
      </c>
      <c r="P83" t="str">
        <f>_xlfn.XLOOKUP(autorest[[#This Row],[age_es]],epocast[age_es],epocast[age_la])</f>
        <v>Aetas Contemporanea</v>
      </c>
    </row>
    <row r="84" spans="1:16">
      <c r="A84">
        <v>82</v>
      </c>
      <c r="B84" t="s">
        <v>1681</v>
      </c>
      <c r="C84" t="s">
        <v>1681</v>
      </c>
      <c r="D84">
        <v>1896</v>
      </c>
      <c r="E84">
        <v>1934</v>
      </c>
      <c r="F84" t="s">
        <v>5003</v>
      </c>
      <c r="G84" t="s">
        <v>5004</v>
      </c>
      <c r="H84" t="s">
        <v>4693</v>
      </c>
      <c r="I84" t="s">
        <v>4694</v>
      </c>
      <c r="J84" t="str">
        <f>_xlfn.XLOOKUP(autorest[[#This Row],[language_es]],idiomast[language_es],idiomast[language_la])</f>
        <v>Lingua Russica</v>
      </c>
      <c r="K84" t="s">
        <v>5005</v>
      </c>
      <c r="M84" t="str">
        <f>_xlfn.XLOOKUP(autorest[[#This Row],[language_es]],idiomast[language_es],idiomast[iso3691])</f>
        <v>ru</v>
      </c>
      <c r="N84" t="str">
        <f>_xlfn.XLOOKUP(autorest[[#This Row],[nation_es]],nacionest[nation_es],nacionest[nation_la])</f>
        <v>Russia</v>
      </c>
      <c r="O84" t="str">
        <f t="array" ref="O84">IF(ISBLANK(autorest[[#This Row],[year_birth]]),"Epoca Desconocida",IFERROR(INDEX(epocast[age_es],MATCH(1,(autorest[[#This Row],[year_birth]]&gt;=epocast[year_start])*(autorest[[#This Row],[year_birth]]&lt;=epocast[year_end]),0)),"Epoca Desconocida"))</f>
        <v>Edad Contemporánea</v>
      </c>
      <c r="P84" t="str">
        <f>_xlfn.XLOOKUP(autorest[[#This Row],[age_es]],epocast[age_es],epocast[age_la])</f>
        <v>Aetas Contemporanea</v>
      </c>
    </row>
    <row r="85" spans="1:16">
      <c r="A85">
        <v>83</v>
      </c>
      <c r="B85" t="s">
        <v>1701</v>
      </c>
      <c r="C85" t="s">
        <v>5006</v>
      </c>
      <c r="D85">
        <v>1782</v>
      </c>
      <c r="E85">
        <v>1852</v>
      </c>
      <c r="F85" t="s">
        <v>5007</v>
      </c>
      <c r="G85" t="s">
        <v>5008</v>
      </c>
      <c r="H85" t="s">
        <v>4736</v>
      </c>
      <c r="I85" t="s">
        <v>4737</v>
      </c>
      <c r="J85" t="str">
        <f>_xlfn.XLOOKUP(autorest[[#This Row],[language_es]],idiomast[language_es],idiomast[language_la])</f>
        <v>Lingua Germanica</v>
      </c>
      <c r="K85" t="s">
        <v>5009</v>
      </c>
      <c r="M85" t="str">
        <f>_xlfn.XLOOKUP(autorest[[#This Row],[language_es]],idiomast[language_es],idiomast[iso3691])</f>
        <v>de</v>
      </c>
      <c r="N85" t="str">
        <f>_xlfn.XLOOKUP(autorest[[#This Row],[nation_es]],nacionest[nation_es],nacionest[nation_la])</f>
        <v>Germania</v>
      </c>
      <c r="O85" t="str">
        <f t="array" ref="O85">IF(ISBLANK(autorest[[#This Row],[year_birth]]),"Epoca Desconocida",IFERROR(INDEX(epocast[age_es],MATCH(1,(autorest[[#This Row],[year_birth]]&gt;=epocast[year_start])*(autorest[[#This Row],[year_birth]]&lt;=epocast[year_end]),0)),"Epoca Desconocida"))</f>
        <v>Edad Moderna</v>
      </c>
      <c r="P85" t="str">
        <f>_xlfn.XLOOKUP(autorest[[#This Row],[age_es]],epocast[age_es],epocast[age_la])</f>
        <v>Nova Aetas</v>
      </c>
    </row>
    <row r="86" spans="1:16">
      <c r="A86">
        <v>84</v>
      </c>
      <c r="B86" t="s">
        <v>1721</v>
      </c>
      <c r="C86" t="s">
        <v>5010</v>
      </c>
      <c r="D86">
        <v>1871</v>
      </c>
      <c r="E86">
        <v>1932</v>
      </c>
      <c r="F86" t="s">
        <v>5011</v>
      </c>
      <c r="G86" t="s">
        <v>5012</v>
      </c>
      <c r="H86" t="s">
        <v>4688</v>
      </c>
      <c r="I86" t="s">
        <v>5013</v>
      </c>
      <c r="J86" t="str">
        <f>_xlfn.XLOOKUP(autorest[[#This Row],[language_es]],idiomast[language_es],idiomast[language_la])</f>
        <v>Lingua Gallica</v>
      </c>
      <c r="K86" t="s">
        <v>5014</v>
      </c>
      <c r="M86" t="str">
        <f>_xlfn.XLOOKUP(autorest[[#This Row],[language_es]],idiomast[language_es],idiomast[iso3691])</f>
        <v>fr</v>
      </c>
      <c r="N86" t="str">
        <f>_xlfn.XLOOKUP(autorest[[#This Row],[nation_es]],nacionest[nation_es],nacionest[nation_la])</f>
        <v>Belgica</v>
      </c>
      <c r="O86" t="str">
        <f t="array" ref="O86">IF(ISBLANK(autorest[[#This Row],[year_birth]]),"Epoca Desconocida",IFERROR(INDEX(epocast[age_es],MATCH(1,(autorest[[#This Row],[year_birth]]&gt;=epocast[year_start])*(autorest[[#This Row],[year_birth]]&lt;=epocast[year_end]),0)),"Epoca Desconocida"))</f>
        <v>Edad Contemporánea</v>
      </c>
      <c r="P86" t="str">
        <f>_xlfn.XLOOKUP(autorest[[#This Row],[age_es]],epocast[age_es],epocast[age_la])</f>
        <v>Aetas Contemporanea</v>
      </c>
    </row>
    <row r="87" spans="1:16">
      <c r="A87">
        <v>85</v>
      </c>
      <c r="B87" t="s">
        <v>1741</v>
      </c>
      <c r="C87" t="s">
        <v>5015</v>
      </c>
      <c r="D87">
        <v>1515</v>
      </c>
      <c r="E87">
        <v>1595</v>
      </c>
      <c r="F87" t="s">
        <v>5016</v>
      </c>
      <c r="G87" t="s">
        <v>5017</v>
      </c>
      <c r="H87" t="s">
        <v>4819</v>
      </c>
      <c r="I87" t="s">
        <v>4732</v>
      </c>
      <c r="J87" t="str">
        <f>_xlfn.XLOOKUP(autorest[[#This Row],[language_es]],idiomast[language_es],idiomast[language_la])</f>
        <v>Lingua Italica</v>
      </c>
      <c r="K87" t="s">
        <v>5018</v>
      </c>
      <c r="M87" t="str">
        <f>_xlfn.XLOOKUP(autorest[[#This Row],[language_es]],idiomast[language_es],idiomast[iso3691])</f>
        <v>it</v>
      </c>
      <c r="N87" t="str">
        <f>_xlfn.XLOOKUP(autorest[[#This Row],[nation_es]],nacionest[nation_es],nacionest[nation_la])</f>
        <v>Italia</v>
      </c>
      <c r="O87" t="str">
        <f t="array" ref="O87">IF(ISBLANK(autorest[[#This Row],[year_birth]]),"Epoca Desconocida",IFERROR(INDEX(epocast[age_es],MATCH(1,(autorest[[#This Row],[year_birth]]&gt;=epocast[year_start])*(autorest[[#This Row],[year_birth]]&lt;=epocast[year_end]),0)),"Epoca Desconocida"))</f>
        <v>Edad Moderna</v>
      </c>
      <c r="P87" t="str">
        <f>_xlfn.XLOOKUP(autorest[[#This Row],[age_es]],epocast[age_es],epocast[age_la])</f>
        <v>Nova Aetas</v>
      </c>
    </row>
    <row r="88" spans="1:16">
      <c r="A88">
        <v>86</v>
      </c>
      <c r="B88" t="s">
        <v>1767</v>
      </c>
      <c r="C88" t="s">
        <v>5019</v>
      </c>
      <c r="D88">
        <v>1891</v>
      </c>
      <c r="E88">
        <v>1942</v>
      </c>
      <c r="F88" t="s">
        <v>5020</v>
      </c>
      <c r="G88" t="s">
        <v>5021</v>
      </c>
      <c r="H88" t="s">
        <v>4736</v>
      </c>
      <c r="I88" t="s">
        <v>4737</v>
      </c>
      <c r="J88" t="str">
        <f>_xlfn.XLOOKUP(autorest[[#This Row],[language_es]],idiomast[language_es],idiomast[language_la])</f>
        <v>Lingua Germanica</v>
      </c>
      <c r="K88" t="s">
        <v>5022</v>
      </c>
      <c r="M88" t="str">
        <f>_xlfn.XLOOKUP(autorest[[#This Row],[language_es]],idiomast[language_es],idiomast[iso3691])</f>
        <v>de</v>
      </c>
      <c r="N88" t="str">
        <f>_xlfn.XLOOKUP(autorest[[#This Row],[nation_es]],nacionest[nation_es],nacionest[nation_la])</f>
        <v>Germania</v>
      </c>
      <c r="O88" t="str">
        <f t="array" ref="O88">IF(ISBLANK(autorest[[#This Row],[year_birth]]),"Epoca Desconocida",IFERROR(INDEX(epocast[age_es],MATCH(1,(autorest[[#This Row],[year_birth]]&gt;=epocast[year_start])*(autorest[[#This Row],[year_birth]]&lt;=epocast[year_end]),0)),"Epoca Desconocida"))</f>
        <v>Edad Contemporánea</v>
      </c>
      <c r="P88" t="str">
        <f>_xlfn.XLOOKUP(autorest[[#This Row],[age_es]],epocast[age_es],epocast[age_la])</f>
        <v>Aetas Contemporanea</v>
      </c>
    </row>
    <row r="89" spans="1:16">
      <c r="A89">
        <v>87</v>
      </c>
      <c r="B89" t="s">
        <v>1793</v>
      </c>
      <c r="C89" t="s">
        <v>5023</v>
      </c>
      <c r="D89">
        <v>1991</v>
      </c>
      <c r="E89">
        <v>2006</v>
      </c>
      <c r="F89" t="s">
        <v>5024</v>
      </c>
      <c r="G89" t="s">
        <v>5025</v>
      </c>
      <c r="H89" t="s">
        <v>4819</v>
      </c>
      <c r="I89" t="s">
        <v>4732</v>
      </c>
      <c r="J89" t="str">
        <f>_xlfn.XLOOKUP(autorest[[#This Row],[language_es]],idiomast[language_es],idiomast[language_la])</f>
        <v>Lingua Italica</v>
      </c>
      <c r="K89" t="s">
        <v>5026</v>
      </c>
      <c r="M89" t="str">
        <f>_xlfn.XLOOKUP(autorest[[#This Row],[language_es]],idiomast[language_es],idiomast[iso3691])</f>
        <v>it</v>
      </c>
      <c r="N89" t="str">
        <f>_xlfn.XLOOKUP(autorest[[#This Row],[nation_es]],nacionest[nation_es],nacionest[nation_la])</f>
        <v>Italia</v>
      </c>
      <c r="O89" t="str">
        <f t="array" ref="O89">IF(ISBLANK(autorest[[#This Row],[year_birth]]),"Epoca Desconocida",IFERROR(INDEX(epocast[age_es],MATCH(1,(autorest[[#This Row],[year_birth]]&gt;=epocast[year_start])*(autorest[[#This Row],[year_birth]]&lt;=epocast[year_end]),0)),"Epoca Desconocida"))</f>
        <v>Edad Contemporánea</v>
      </c>
      <c r="P89" t="str">
        <f>_xlfn.XLOOKUP(autorest[[#This Row],[age_es]],epocast[age_es],epocast[age_la])</f>
        <v>Aetas Contemporanea</v>
      </c>
    </row>
    <row r="90" spans="1:16">
      <c r="A90">
        <v>88</v>
      </c>
      <c r="B90" t="s">
        <v>1825</v>
      </c>
      <c r="C90" t="s">
        <v>5027</v>
      </c>
      <c r="D90">
        <v>1861</v>
      </c>
      <c r="E90">
        <v>1925</v>
      </c>
      <c r="F90" t="s">
        <v>5028</v>
      </c>
      <c r="G90" t="s">
        <v>5029</v>
      </c>
      <c r="H90" t="s">
        <v>4736</v>
      </c>
      <c r="I90" t="s">
        <v>5030</v>
      </c>
      <c r="J90" t="str">
        <f>_xlfn.XLOOKUP(autorest[[#This Row],[language_es]],idiomast[language_es],idiomast[language_la])</f>
        <v>Lingua Germanica</v>
      </c>
      <c r="K90" t="s">
        <v>5031</v>
      </c>
      <c r="M90" t="str">
        <f>_xlfn.XLOOKUP(autorest[[#This Row],[language_es]],idiomast[language_es],idiomast[iso3691])</f>
        <v>de</v>
      </c>
      <c r="N90" t="str">
        <f>_xlfn.XLOOKUP(autorest[[#This Row],[nation_es]],nacionest[nation_es],nacionest[nation_la])</f>
        <v>Austria</v>
      </c>
      <c r="O90" t="str">
        <f t="array" ref="O90">IF(ISBLANK(autorest[[#This Row],[year_birth]]),"Epoca Desconocida",IFERROR(INDEX(epocast[age_es],MATCH(1,(autorest[[#This Row],[year_birth]]&gt;=epocast[year_start])*(autorest[[#This Row],[year_birth]]&lt;=epocast[year_end]),0)),"Epoca Desconocida"))</f>
        <v>Edad Contemporánea</v>
      </c>
      <c r="P90" t="str">
        <f>_xlfn.XLOOKUP(autorest[[#This Row],[age_es]],epocast[age_es],epocast[age_la])</f>
        <v>Aetas Contemporanea</v>
      </c>
    </row>
    <row r="91" spans="1:16">
      <c r="A91">
        <v>89</v>
      </c>
      <c r="B91" t="s">
        <v>1850</v>
      </c>
      <c r="C91" t="s">
        <v>1850</v>
      </c>
      <c r="D91">
        <v>1889</v>
      </c>
      <c r="E91">
        <v>1957</v>
      </c>
      <c r="F91" t="s">
        <v>5032</v>
      </c>
      <c r="G91" t="s">
        <v>5033</v>
      </c>
      <c r="H91" t="s">
        <v>4699</v>
      </c>
      <c r="I91" t="s">
        <v>5034</v>
      </c>
      <c r="J91" t="str">
        <f>_xlfn.XLOOKUP(autorest[[#This Row],[language_es]],idiomast[language_es],idiomast[language_la])</f>
        <v>Lingua Hispanica</v>
      </c>
      <c r="K91" t="s">
        <v>5035</v>
      </c>
      <c r="M91" t="str">
        <f>_xlfn.XLOOKUP(autorest[[#This Row],[language_es]],idiomast[language_es],idiomast[iso3691])</f>
        <v>es</v>
      </c>
      <c r="N91" t="str">
        <f>_xlfn.XLOOKUP(autorest[[#This Row],[nation_es]],nacionest[nation_es],nacionest[nation_la])</f>
        <v>Chili</v>
      </c>
      <c r="O91" t="str">
        <f t="array" ref="O91">IF(ISBLANK(autorest[[#This Row],[year_birth]]),"Epoca Desconocida",IFERROR(INDEX(epocast[age_es],MATCH(1,(autorest[[#This Row],[year_birth]]&gt;=epocast[year_start])*(autorest[[#This Row],[year_birth]]&lt;=epocast[year_end]),0)),"Epoca Desconocida"))</f>
        <v>Edad Contemporánea</v>
      </c>
      <c r="P91" t="str">
        <f>_xlfn.XLOOKUP(autorest[[#This Row],[age_es]],epocast[age_es],epocast[age_la])</f>
        <v>Aetas Contemporanea</v>
      </c>
    </row>
    <row r="92" spans="1:16">
      <c r="A92">
        <v>90</v>
      </c>
      <c r="B92" t="s">
        <v>1882</v>
      </c>
      <c r="C92" t="s">
        <v>5036</v>
      </c>
      <c r="D92">
        <v>1943</v>
      </c>
      <c r="F92" t="s">
        <v>5037</v>
      </c>
      <c r="G92" t="s">
        <v>5038</v>
      </c>
      <c r="H92" t="s">
        <v>4650</v>
      </c>
      <c r="I92" t="s">
        <v>4671</v>
      </c>
      <c r="J92" t="str">
        <f>_xlfn.XLOOKUP(autorest[[#This Row],[language_es]],idiomast[language_es],idiomast[language_la])</f>
        <v>Lingua Anglica</v>
      </c>
      <c r="K92" t="s">
        <v>5039</v>
      </c>
      <c r="M92" t="str">
        <f>_xlfn.XLOOKUP(autorest[[#This Row],[language_es]],idiomast[language_es],idiomast[iso3691])</f>
        <v>en</v>
      </c>
      <c r="N92" t="str">
        <f>_xlfn.XLOOKUP(autorest[[#This Row],[nation_es]],nacionest[nation_es],nacionest[nation_la])</f>
        <v>Civitates Foederatae Americae</v>
      </c>
      <c r="O92" t="str">
        <f t="array" ref="O92">IF(ISBLANK(autorest[[#This Row],[year_birth]]),"Epoca Desconocida",IFERROR(INDEX(epocast[age_es],MATCH(1,(autorest[[#This Row],[year_birth]]&gt;=epocast[year_start])*(autorest[[#This Row],[year_birth]]&lt;=epocast[year_end]),0)),"Epoca Desconocida"))</f>
        <v>Edad Contemporánea</v>
      </c>
      <c r="P92" t="str">
        <f>_xlfn.XLOOKUP(autorest[[#This Row],[age_es]],epocast[age_es],epocast[age_la])</f>
        <v>Aetas Contemporanea</v>
      </c>
    </row>
    <row r="93" spans="1:16">
      <c r="A93">
        <v>91</v>
      </c>
      <c r="B93" t="s">
        <v>1907</v>
      </c>
      <c r="C93" t="s">
        <v>1907</v>
      </c>
      <c r="D93">
        <v>1950</v>
      </c>
      <c r="E93">
        <v>2020</v>
      </c>
      <c r="F93" t="s">
        <v>5040</v>
      </c>
      <c r="G93" t="s">
        <v>5041</v>
      </c>
      <c r="H93" t="s">
        <v>4650</v>
      </c>
      <c r="I93" t="s">
        <v>4651</v>
      </c>
      <c r="J93" t="str">
        <f>_xlfn.XLOOKUP(autorest[[#This Row],[language_es]],idiomast[language_es],idiomast[language_la])</f>
        <v>Lingua Anglica</v>
      </c>
      <c r="K93" t="s">
        <v>5042</v>
      </c>
      <c r="M93" t="str">
        <f>_xlfn.XLOOKUP(autorest[[#This Row],[language_es]],idiomast[language_es],idiomast[iso3691])</f>
        <v>en</v>
      </c>
      <c r="N93" t="str">
        <f>_xlfn.XLOOKUP(autorest[[#This Row],[nation_es]],nacionest[nation_es],nacionest[nation_la])</f>
        <v>Regnum Unitum</v>
      </c>
      <c r="O93" t="str">
        <f t="array" ref="O93">IF(ISBLANK(autorest[[#This Row],[year_birth]]),"Epoca Desconocida",IFERROR(INDEX(epocast[age_es],MATCH(1,(autorest[[#This Row],[year_birth]]&gt;=epocast[year_start])*(autorest[[#This Row],[year_birth]]&lt;=epocast[year_end]),0)),"Epoca Desconocida"))</f>
        <v>Edad Contemporánea</v>
      </c>
      <c r="P93" t="str">
        <f>_xlfn.XLOOKUP(autorest[[#This Row],[age_es]],epocast[age_es],epocast[age_la])</f>
        <v>Aetas Contemporanea</v>
      </c>
    </row>
    <row r="94" spans="1:16">
      <c r="A94">
        <v>92</v>
      </c>
      <c r="B94" t="s">
        <v>1938</v>
      </c>
      <c r="C94" t="s">
        <v>5043</v>
      </c>
      <c r="D94">
        <v>1925</v>
      </c>
      <c r="E94">
        <v>2021</v>
      </c>
      <c r="F94" t="s">
        <v>5044</v>
      </c>
      <c r="G94" t="s">
        <v>5045</v>
      </c>
      <c r="H94" t="s">
        <v>4650</v>
      </c>
      <c r="I94" t="s">
        <v>5046</v>
      </c>
      <c r="J94" t="str">
        <f>_xlfn.XLOOKUP(autorest[[#This Row],[language_es]],idiomast[language_es],idiomast[language_la])</f>
        <v>Lingua Anglica</v>
      </c>
      <c r="K94" t="s">
        <v>5047</v>
      </c>
      <c r="M94" t="str">
        <f>_xlfn.XLOOKUP(autorest[[#This Row],[language_es]],idiomast[language_es],idiomast[iso3691])</f>
        <v>en</v>
      </c>
      <c r="N94" t="str">
        <f>_xlfn.XLOOKUP(autorest[[#This Row],[nation_es]],nacionest[nation_es],nacionest[nation_la])</f>
        <v>Canada</v>
      </c>
      <c r="O94" t="str">
        <f t="array" ref="O94">IF(ISBLANK(autorest[[#This Row],[year_birth]]),"Epoca Desconocida",IFERROR(INDEX(epocast[age_es],MATCH(1,(autorest[[#This Row],[year_birth]]&gt;=epocast[year_start])*(autorest[[#This Row],[year_birth]]&lt;=epocast[year_end]),0)),"Epoca Desconocida"))</f>
        <v>Edad Contemporánea</v>
      </c>
      <c r="P94" t="str">
        <f>_xlfn.XLOOKUP(autorest[[#This Row],[age_es]],epocast[age_es],epocast[age_la])</f>
        <v>Aetas Contemporanea</v>
      </c>
    </row>
    <row r="95" spans="1:16">
      <c r="A95">
        <v>93</v>
      </c>
      <c r="B95" t="s">
        <v>1962</v>
      </c>
      <c r="C95" t="s">
        <v>5048</v>
      </c>
      <c r="D95">
        <v>1904</v>
      </c>
      <c r="E95">
        <v>1990</v>
      </c>
      <c r="F95" t="s">
        <v>5049</v>
      </c>
      <c r="G95" t="s">
        <v>5050</v>
      </c>
      <c r="H95" t="s">
        <v>4650</v>
      </c>
      <c r="I95" t="s">
        <v>4671</v>
      </c>
      <c r="J95" t="str">
        <f>_xlfn.XLOOKUP(autorest[[#This Row],[language_es]],idiomast[language_es],idiomast[language_la])</f>
        <v>Lingua Anglica</v>
      </c>
      <c r="K95" t="s">
        <v>5051</v>
      </c>
      <c r="M95" t="str">
        <f>_xlfn.XLOOKUP(autorest[[#This Row],[language_es]],idiomast[language_es],idiomast[iso3691])</f>
        <v>en</v>
      </c>
      <c r="N95" t="str">
        <f>_xlfn.XLOOKUP(autorest[[#This Row],[nation_es]],nacionest[nation_es],nacionest[nation_la])</f>
        <v>Civitates Foederatae Americae</v>
      </c>
      <c r="O95" t="str">
        <f t="array" ref="O95">IF(ISBLANK(autorest[[#This Row],[year_birth]]),"Epoca Desconocida",IFERROR(INDEX(epocast[age_es],MATCH(1,(autorest[[#This Row],[year_birth]]&gt;=epocast[year_start])*(autorest[[#This Row],[year_birth]]&lt;=epocast[year_end]),0)),"Epoca Desconocida"))</f>
        <v>Edad Contemporánea</v>
      </c>
      <c r="P95" t="str">
        <f>_xlfn.XLOOKUP(autorest[[#This Row],[age_es]],epocast[age_es],epocast[age_la])</f>
        <v>Aetas Contemporanea</v>
      </c>
    </row>
    <row r="96" spans="1:16">
      <c r="A96">
        <v>94</v>
      </c>
      <c r="B96" t="s">
        <v>1987</v>
      </c>
      <c r="C96" t="s">
        <v>5052</v>
      </c>
      <c r="D96">
        <v>1882</v>
      </c>
      <c r="E96">
        <v>1973</v>
      </c>
      <c r="F96" t="s">
        <v>5053</v>
      </c>
      <c r="G96" t="s">
        <v>5054</v>
      </c>
      <c r="H96" t="s">
        <v>4688</v>
      </c>
      <c r="I96" t="s">
        <v>4645</v>
      </c>
      <c r="J96" t="str">
        <f>_xlfn.XLOOKUP(autorest[[#This Row],[language_es]],idiomast[language_es],idiomast[language_la])</f>
        <v>Lingua Gallica</v>
      </c>
      <c r="K96" t="s">
        <v>5055</v>
      </c>
      <c r="M96" t="str">
        <f>_xlfn.XLOOKUP(autorest[[#This Row],[language_es]],idiomast[language_es],idiomast[iso3691])</f>
        <v>fr</v>
      </c>
      <c r="N96" t="str">
        <f>_xlfn.XLOOKUP(autorest[[#This Row],[nation_es]],nacionest[nation_es],nacionest[nation_la])</f>
        <v>Francia</v>
      </c>
      <c r="O96" t="str">
        <f t="array" ref="O96">IF(ISBLANK(autorest[[#This Row],[year_birth]]),"Epoca Desconocida",IFERROR(INDEX(epocast[age_es],MATCH(1,(autorest[[#This Row],[year_birth]]&gt;=epocast[year_start])*(autorest[[#This Row],[year_birth]]&lt;=epocast[year_end]),0)),"Epoca Desconocida"))</f>
        <v>Edad Contemporánea</v>
      </c>
      <c r="P96" t="str">
        <f>_xlfn.XLOOKUP(autorest[[#This Row],[age_es]],epocast[age_es],epocast[age_la])</f>
        <v>Aetas Contemporanea</v>
      </c>
    </row>
    <row r="97" spans="1:16">
      <c r="A97">
        <v>95</v>
      </c>
      <c r="B97" t="s">
        <v>2012</v>
      </c>
      <c r="C97" t="s">
        <v>5056</v>
      </c>
      <c r="D97">
        <v>1898</v>
      </c>
      <c r="E97">
        <v>1963</v>
      </c>
      <c r="F97" t="s">
        <v>5057</v>
      </c>
      <c r="G97" t="s">
        <v>5058</v>
      </c>
      <c r="H97" t="s">
        <v>4650</v>
      </c>
      <c r="I97" t="s">
        <v>4651</v>
      </c>
      <c r="J97" t="str">
        <f>_xlfn.XLOOKUP(autorest[[#This Row],[language_es]],idiomast[language_es],idiomast[language_la])</f>
        <v>Lingua Anglica</v>
      </c>
      <c r="K97" t="s">
        <v>5059</v>
      </c>
      <c r="M97" t="str">
        <f>_xlfn.XLOOKUP(autorest[[#This Row],[language_es]],idiomast[language_es],idiomast[iso3691])</f>
        <v>en</v>
      </c>
      <c r="N97" t="str">
        <f>_xlfn.XLOOKUP(autorest[[#This Row],[nation_es]],nacionest[nation_es],nacionest[nation_la])</f>
        <v>Regnum Unitum</v>
      </c>
      <c r="O97" t="str">
        <f t="array" ref="O97">IF(ISBLANK(autorest[[#This Row],[year_birth]]),"Epoca Desconocida",IFERROR(INDEX(epocast[age_es],MATCH(1,(autorest[[#This Row],[year_birth]]&gt;=epocast[year_start])*(autorest[[#This Row],[year_birth]]&lt;=epocast[year_end]),0)),"Epoca Desconocida"))</f>
        <v>Edad Contemporánea</v>
      </c>
      <c r="P97" t="str">
        <f>_xlfn.XLOOKUP(autorest[[#This Row],[age_es]],epocast[age_es],epocast[age_la])</f>
        <v>Aetas Contemporanea</v>
      </c>
    </row>
    <row r="98" spans="1:16">
      <c r="A98">
        <v>96</v>
      </c>
      <c r="B98" t="s">
        <v>2035</v>
      </c>
      <c r="C98" t="s">
        <v>5060</v>
      </c>
      <c r="D98">
        <v>1955</v>
      </c>
      <c r="F98" t="s">
        <v>5061</v>
      </c>
      <c r="G98" t="s">
        <v>5062</v>
      </c>
      <c r="H98" t="s">
        <v>4699</v>
      </c>
      <c r="I98" t="s">
        <v>4700</v>
      </c>
      <c r="J98" t="str">
        <f>_xlfn.XLOOKUP(autorest[[#This Row],[language_es]],idiomast[language_es],idiomast[language_la])</f>
        <v>Lingua Hispanica</v>
      </c>
      <c r="K98" t="s">
        <v>5063</v>
      </c>
      <c r="M98" t="str">
        <f>_xlfn.XLOOKUP(autorest[[#This Row],[language_es]],idiomast[language_es],idiomast[iso3691])</f>
        <v>es</v>
      </c>
      <c r="N98" t="str">
        <f>_xlfn.XLOOKUP(autorest[[#This Row],[nation_es]],nacionest[nation_es],nacionest[nation_la])</f>
        <v>Hispania</v>
      </c>
      <c r="O98" t="str">
        <f t="array" ref="O98">IF(ISBLANK(autorest[[#This Row],[year_birth]]),"Epoca Desconocida",IFERROR(INDEX(epocast[age_es],MATCH(1,(autorest[[#This Row],[year_birth]]&gt;=epocast[year_start])*(autorest[[#This Row],[year_birth]]&lt;=epocast[year_end]),0)),"Epoca Desconocida"))</f>
        <v>Edad Contemporánea</v>
      </c>
      <c r="P98" t="str">
        <f>_xlfn.XLOOKUP(autorest[[#This Row],[age_es]],epocast[age_es],epocast[age_la])</f>
        <v>Aetas Contemporanea</v>
      </c>
    </row>
    <row r="99" spans="1:16">
      <c r="A99">
        <v>97</v>
      </c>
      <c r="B99" t="s">
        <v>2055</v>
      </c>
      <c r="C99" t="s">
        <v>5064</v>
      </c>
      <c r="D99">
        <v>1950</v>
      </c>
      <c r="F99" t="s">
        <v>5065</v>
      </c>
      <c r="G99" t="s">
        <v>5066</v>
      </c>
      <c r="H99" t="s">
        <v>4650</v>
      </c>
      <c r="I99" t="s">
        <v>5067</v>
      </c>
      <c r="J99" t="str">
        <f>_xlfn.XLOOKUP(autorest[[#This Row],[language_es]],idiomast[language_es],idiomast[language_la])</f>
        <v>Lingua Anglica</v>
      </c>
      <c r="K99" t="s">
        <v>5068</v>
      </c>
      <c r="M99" t="str">
        <f>_xlfn.XLOOKUP(autorest[[#This Row],[language_es]],idiomast[language_es],idiomast[iso3691])</f>
        <v>en</v>
      </c>
      <c r="N99" t="str">
        <f>_xlfn.XLOOKUP(autorest[[#This Row],[nation_es]],nacionest[nation_es],nacionest[nation_la])</f>
        <v>Nova Zelandia</v>
      </c>
      <c r="O99" t="str">
        <f t="array" ref="O99">IF(ISBLANK(autorest[[#This Row],[year_birth]]),"Epoca Desconocida",IFERROR(INDEX(epocast[age_es],MATCH(1,(autorest[[#This Row],[year_birth]]&gt;=epocast[year_start])*(autorest[[#This Row],[year_birth]]&lt;=epocast[year_end]),0)),"Epoca Desconocida"))</f>
        <v>Edad Contemporánea</v>
      </c>
      <c r="P99" t="str">
        <f>_xlfn.XLOOKUP(autorest[[#This Row],[age_es]],epocast[age_es],epocast[age_la])</f>
        <v>Aetas Contemporanea</v>
      </c>
    </row>
    <row r="100" spans="1:16">
      <c r="A100">
        <v>98</v>
      </c>
      <c r="B100" t="s">
        <v>2077</v>
      </c>
      <c r="C100" t="s">
        <v>5069</v>
      </c>
      <c r="D100">
        <v>1632</v>
      </c>
      <c r="E100">
        <v>1704</v>
      </c>
      <c r="F100" t="s">
        <v>5070</v>
      </c>
      <c r="G100" t="s">
        <v>5071</v>
      </c>
      <c r="H100" t="s">
        <v>4650</v>
      </c>
      <c r="I100" t="s">
        <v>4651</v>
      </c>
      <c r="J100" t="str">
        <f>_xlfn.XLOOKUP(autorest[[#This Row],[language_es]],idiomast[language_es],idiomast[language_la])</f>
        <v>Lingua Anglica</v>
      </c>
      <c r="K100" t="s">
        <v>5072</v>
      </c>
      <c r="M100" t="str">
        <f>_xlfn.XLOOKUP(autorest[[#This Row],[language_es]],idiomast[language_es],idiomast[iso3691])</f>
        <v>en</v>
      </c>
      <c r="N100" t="str">
        <f>_xlfn.XLOOKUP(autorest[[#This Row],[nation_es]],nacionest[nation_es],nacionest[nation_la])</f>
        <v>Regnum Unitum</v>
      </c>
      <c r="O100" t="str">
        <f t="array" ref="O100">IF(ISBLANK(autorest[[#This Row],[year_birth]]),"Epoca Desconocida",IFERROR(INDEX(epocast[age_es],MATCH(1,(autorest[[#This Row],[year_birth]]&gt;=epocast[year_start])*(autorest[[#This Row],[year_birth]]&lt;=epocast[year_end]),0)),"Epoca Desconocida"))</f>
        <v>Edad Moderna</v>
      </c>
      <c r="P100" t="str">
        <f>_xlfn.XLOOKUP(autorest[[#This Row],[age_es]],epocast[age_es],epocast[age_la])</f>
        <v>Nova Aetas</v>
      </c>
    </row>
    <row r="101" spans="1:16">
      <c r="A101">
        <v>99</v>
      </c>
      <c r="B101" t="s">
        <v>2101</v>
      </c>
      <c r="C101" t="s">
        <v>2101</v>
      </c>
      <c r="D101">
        <v>1861</v>
      </c>
      <c r="E101">
        <v>1941</v>
      </c>
      <c r="F101" t="s">
        <v>5073</v>
      </c>
      <c r="G101" t="s">
        <v>5074</v>
      </c>
      <c r="H101" t="s">
        <v>5075</v>
      </c>
      <c r="I101" t="s">
        <v>4761</v>
      </c>
      <c r="J101" t="str">
        <f>_xlfn.XLOOKUP(autorest[[#This Row],[language_es]],idiomast[language_es],idiomast[language_la])</f>
        <v>Lingua Bengalice</v>
      </c>
      <c r="K101" t="s">
        <v>5076</v>
      </c>
      <c r="M101" t="str">
        <f>_xlfn.XLOOKUP(autorest[[#This Row],[language_es]],idiomast[language_es],idiomast[iso3691])</f>
        <v>bn</v>
      </c>
      <c r="N101" t="str">
        <f>_xlfn.XLOOKUP(autorest[[#This Row],[nation_es]],nacionest[nation_es],nacionest[nation_la])</f>
        <v>India</v>
      </c>
      <c r="O101" t="str">
        <f t="array" ref="O101">IF(ISBLANK(autorest[[#This Row],[year_birth]]),"Epoca Desconocida",IFERROR(INDEX(epocast[age_es],MATCH(1,(autorest[[#This Row],[year_birth]]&gt;=epocast[year_start])*(autorest[[#This Row],[year_birth]]&lt;=epocast[year_end]),0)),"Epoca Desconocida"))</f>
        <v>Edad Contemporánea</v>
      </c>
      <c r="P101" t="str">
        <f>_xlfn.XLOOKUP(autorest[[#This Row],[age_es]],epocast[age_es],epocast[age_la])</f>
        <v>Aetas Contemporanea</v>
      </c>
    </row>
    <row r="102" spans="1:16">
      <c r="A102">
        <v>100</v>
      </c>
      <c r="B102" t="s">
        <v>2122</v>
      </c>
      <c r="C102" t="s">
        <v>5077</v>
      </c>
      <c r="D102">
        <v>1932</v>
      </c>
      <c r="F102" t="s">
        <v>5078</v>
      </c>
      <c r="G102" t="s">
        <v>5079</v>
      </c>
      <c r="H102" t="s">
        <v>4650</v>
      </c>
      <c r="I102" t="s">
        <v>4671</v>
      </c>
      <c r="J102" t="str">
        <f>_xlfn.XLOOKUP(autorest[[#This Row],[language_es]],idiomast[language_es],idiomast[language_la])</f>
        <v>Lingua Anglica</v>
      </c>
      <c r="K102" t="s">
        <v>5080</v>
      </c>
      <c r="M102" t="str">
        <f>_xlfn.XLOOKUP(autorest[[#This Row],[language_es]],idiomast[language_es],idiomast[iso3691])</f>
        <v>en</v>
      </c>
      <c r="N102" t="str">
        <f>_xlfn.XLOOKUP(autorest[[#This Row],[nation_es]],nacionest[nation_es],nacionest[nation_la])</f>
        <v>Civitates Foederatae Americae</v>
      </c>
      <c r="O102" t="str">
        <f t="array" ref="O102">IF(ISBLANK(autorest[[#This Row],[year_birth]]),"Epoca Desconocida",IFERROR(INDEX(epocast[age_es],MATCH(1,(autorest[[#This Row],[year_birth]]&gt;=epocast[year_start])*(autorest[[#This Row],[year_birth]]&lt;=epocast[year_end]),0)),"Epoca Desconocida"))</f>
        <v>Edad Contemporánea</v>
      </c>
      <c r="P102" t="str">
        <f>_xlfn.XLOOKUP(autorest[[#This Row],[age_es]],epocast[age_es],epocast[age_la])</f>
        <v>Aetas Contemporanea</v>
      </c>
    </row>
    <row r="103" spans="1:16">
      <c r="A103">
        <v>101</v>
      </c>
      <c r="B103" t="s">
        <v>2141</v>
      </c>
      <c r="C103" t="s">
        <v>5081</v>
      </c>
      <c r="D103">
        <v>1918</v>
      </c>
      <c r="E103">
        <v>2008</v>
      </c>
      <c r="F103" t="s">
        <v>5082</v>
      </c>
      <c r="G103" t="s">
        <v>5083</v>
      </c>
      <c r="H103" t="s">
        <v>4650</v>
      </c>
      <c r="I103" t="s">
        <v>4671</v>
      </c>
      <c r="J103" t="str">
        <f>_xlfn.XLOOKUP(autorest[[#This Row],[language_es]],idiomast[language_es],idiomast[language_la])</f>
        <v>Lingua Anglica</v>
      </c>
      <c r="K103" t="s">
        <v>5084</v>
      </c>
      <c r="M103" t="str">
        <f>_xlfn.XLOOKUP(autorest[[#This Row],[language_es]],idiomast[language_es],idiomast[iso3691])</f>
        <v>en</v>
      </c>
      <c r="N103" t="str">
        <f>_xlfn.XLOOKUP(autorest[[#This Row],[nation_es]],nacionest[nation_es],nacionest[nation_la])</f>
        <v>Civitates Foederatae Americae</v>
      </c>
      <c r="O103" t="str">
        <f t="array" ref="O103">IF(ISBLANK(autorest[[#This Row],[year_birth]]),"Epoca Desconocida",IFERROR(INDEX(epocast[age_es],MATCH(1,(autorest[[#This Row],[year_birth]]&gt;=epocast[year_start])*(autorest[[#This Row],[year_birth]]&lt;=epocast[year_end]),0)),"Epoca Desconocida"))</f>
        <v>Edad Contemporánea</v>
      </c>
      <c r="P103" t="str">
        <f>_xlfn.XLOOKUP(autorest[[#This Row],[age_es]],epocast[age_es],epocast[age_la])</f>
        <v>Aetas Contemporanea</v>
      </c>
    </row>
    <row r="104" spans="1:16">
      <c r="A104">
        <v>102</v>
      </c>
      <c r="B104" t="s">
        <v>2168</v>
      </c>
      <c r="C104" t="s">
        <v>5085</v>
      </c>
      <c r="F104" t="s">
        <v>5086</v>
      </c>
      <c r="G104" t="s">
        <v>5087</v>
      </c>
      <c r="J104" t="e">
        <f>_xlfn.XLOOKUP(autorest[[#This Row],[language_es]],idiomast[language_es],idiomast[language_la])</f>
        <v>#N/A</v>
      </c>
      <c r="K104" t="s">
        <v>5088</v>
      </c>
      <c r="M104" t="e">
        <f>_xlfn.XLOOKUP(autorest[[#This Row],[language_es]],idiomast[language_es],idiomast[iso3691])</f>
        <v>#N/A</v>
      </c>
      <c r="N104" t="e">
        <f>_xlfn.XLOOKUP(autorest[[#This Row],[nation_es]],nacionest[nation_es],nacionest[nation_la])</f>
        <v>#N/A</v>
      </c>
      <c r="O104" t="str">
        <f t="array" ref="O104">IF(ISBLANK(autorest[[#This Row],[year_birth]]),"Epoca Desconocida",IFERROR(INDEX(epocast[age_es],MATCH(1,(autorest[[#This Row],[year_birth]]&gt;=epocast[year_start])*(autorest[[#This Row],[year_birth]]&lt;=epocast[year_end]),0)),"Epoca Desconocida"))</f>
        <v>Epoca Desconocida</v>
      </c>
      <c r="P104" t="str">
        <f>_xlfn.XLOOKUP(autorest[[#This Row],[age_es]],epocast[age_es],epocast[age_la])</f>
        <v>Epocha Ignota</v>
      </c>
    </row>
    <row r="105" spans="1:16">
      <c r="A105">
        <v>103</v>
      </c>
      <c r="B105" t="s">
        <v>2172</v>
      </c>
      <c r="C105" t="s">
        <v>5089</v>
      </c>
      <c r="F105" t="s">
        <v>5090</v>
      </c>
      <c r="G105" t="s">
        <v>5091</v>
      </c>
      <c r="H105" t="s">
        <v>4665</v>
      </c>
      <c r="I105" t="s">
        <v>4666</v>
      </c>
      <c r="J105" t="str">
        <f>_xlfn.XLOOKUP(autorest[[#This Row],[language_es]],idiomast[language_es],idiomast[language_la])</f>
        <v>Lingua Hebraica</v>
      </c>
      <c r="K105" t="s">
        <v>5092</v>
      </c>
      <c r="M105" t="str">
        <f>_xlfn.XLOOKUP(autorest[[#This Row],[language_es]],idiomast[language_es],idiomast[iso3691])</f>
        <v>he</v>
      </c>
      <c r="N105" t="str">
        <f>_xlfn.XLOOKUP(autorest[[#This Row],[nation_es]],nacionest[nation_es],nacionest[nation_la])</f>
        <v>Israel</v>
      </c>
      <c r="O105" t="str">
        <f t="array" ref="O105">IF(ISBLANK(autorest[[#This Row],[year_birth]]),"Epoca Desconocida",IFERROR(INDEX(epocast[age_es],MATCH(1,(autorest[[#This Row],[year_birth]]&gt;=epocast[year_start])*(autorest[[#This Row],[year_birth]]&lt;=epocast[year_end]),0)),"Epoca Desconocida"))</f>
        <v>Epoca Desconocida</v>
      </c>
      <c r="P105" t="str">
        <f>_xlfn.XLOOKUP(autorest[[#This Row],[age_es]],epocast[age_es],epocast[age_la])</f>
        <v>Epocha Ignota</v>
      </c>
    </row>
    <row r="106" spans="1:16">
      <c r="A106">
        <v>104</v>
      </c>
      <c r="B106" t="s">
        <v>4157</v>
      </c>
      <c r="C106" t="s">
        <v>5093</v>
      </c>
      <c r="D106">
        <v>430</v>
      </c>
      <c r="E106">
        <v>354</v>
      </c>
      <c r="F106" t="s">
        <v>5094</v>
      </c>
      <c r="G106" t="s">
        <v>5095</v>
      </c>
      <c r="H106" t="s">
        <v>4824</v>
      </c>
      <c r="I106" t="s">
        <v>4714</v>
      </c>
      <c r="J106" t="str">
        <f>_xlfn.XLOOKUP(autorest[[#This Row],[language_es]],idiomast[language_es],idiomast[language_la])</f>
        <v>Lingua Graeca</v>
      </c>
      <c r="K106" t="s">
        <v>5096</v>
      </c>
      <c r="M106" t="str">
        <f>_xlfn.XLOOKUP(autorest[[#This Row],[language_es]],idiomast[language_es],idiomast[iso3691])</f>
        <v>el</v>
      </c>
      <c r="N106" t="str">
        <f>_xlfn.XLOOKUP(autorest[[#This Row],[nation_es]],nacionest[nation_es],nacionest[nation_la])</f>
        <v>Graecia</v>
      </c>
      <c r="O106" t="str">
        <f t="array" ref="O106">IF(ISBLANK(autorest[[#This Row],[year_birth]]),"Epoca Desconocida",IFERROR(INDEX(epocast[age_es],MATCH(1,(autorest[[#This Row],[year_birth]]&gt;=epocast[year_start])*(autorest[[#This Row],[year_birth]]&lt;=epocast[year_end]),0)),"Epoca Desconocida"))</f>
        <v>Edad Antigua</v>
      </c>
      <c r="P106" t="str">
        <f>_xlfn.XLOOKUP(autorest[[#This Row],[age_es]],epocast[age_es],epocast[age_la])</f>
        <v>Antiquitas</v>
      </c>
    </row>
    <row r="107" spans="1:16">
      <c r="A107">
        <v>105</v>
      </c>
      <c r="B107" t="s">
        <v>4198</v>
      </c>
      <c r="C107" t="s">
        <v>5097</v>
      </c>
      <c r="D107">
        <v>445</v>
      </c>
      <c r="E107">
        <v>365</v>
      </c>
      <c r="F107" t="s">
        <v>5098</v>
      </c>
      <c r="G107" t="s">
        <v>5099</v>
      </c>
      <c r="H107" t="s">
        <v>4824</v>
      </c>
      <c r="I107" t="s">
        <v>4714</v>
      </c>
      <c r="J107" t="str">
        <f>_xlfn.XLOOKUP(autorest[[#This Row],[language_es]],idiomast[language_es],idiomast[language_la])</f>
        <v>Lingua Graeca</v>
      </c>
      <c r="K107" t="s">
        <v>5100</v>
      </c>
      <c r="M107" t="str">
        <f>_xlfn.XLOOKUP(autorest[[#This Row],[language_es]],idiomast[language_es],idiomast[iso3691])</f>
        <v>el</v>
      </c>
      <c r="N107" t="str">
        <f>_xlfn.XLOOKUP(autorest[[#This Row],[nation_es]],nacionest[nation_es],nacionest[nation_la])</f>
        <v>Graecia</v>
      </c>
      <c r="O107" t="str">
        <f t="array" ref="O107">IF(ISBLANK(autorest[[#This Row],[year_birth]]),"Epoca Desconocida",IFERROR(INDEX(epocast[age_es],MATCH(1,(autorest[[#This Row],[year_birth]]&gt;=epocast[year_start])*(autorest[[#This Row],[year_birth]]&lt;=epocast[year_end]),0)),"Epoca Desconocida"))</f>
        <v>Edad Antigua</v>
      </c>
      <c r="P107" t="str">
        <f>_xlfn.XLOOKUP(autorest[[#This Row],[age_es]],epocast[age_es],epocast[age_la])</f>
        <v>Antiquitas</v>
      </c>
    </row>
    <row r="108" spans="1:16">
      <c r="A108">
        <v>106</v>
      </c>
      <c r="B108" t="s">
        <v>4239</v>
      </c>
      <c r="C108" t="s">
        <v>5101</v>
      </c>
      <c r="D108">
        <v>204</v>
      </c>
      <c r="E108">
        <v>270</v>
      </c>
      <c r="F108" t="s">
        <v>5102</v>
      </c>
      <c r="G108" t="s">
        <v>5103</v>
      </c>
      <c r="H108" t="s">
        <v>4824</v>
      </c>
      <c r="I108" t="s">
        <v>4640</v>
      </c>
      <c r="J108" t="str">
        <f>_xlfn.XLOOKUP(autorest[[#This Row],[language_es]],idiomast[language_es],idiomast[language_la])</f>
        <v>Lingua Graeca</v>
      </c>
      <c r="K108" t="s">
        <v>5104</v>
      </c>
      <c r="M108" t="str">
        <f>_xlfn.XLOOKUP(autorest[[#This Row],[language_es]],idiomast[language_es],idiomast[iso3691])</f>
        <v>el</v>
      </c>
      <c r="N108" t="str">
        <f>_xlfn.XLOOKUP(autorest[[#This Row],[nation_es]],nacionest[nation_es],nacionest[nation_la])</f>
        <v>Roma</v>
      </c>
      <c r="O108" t="str">
        <f t="array" ref="O108">IF(ISBLANK(autorest[[#This Row],[year_birth]]),"Epoca Desconocida",IFERROR(INDEX(epocast[age_es],MATCH(1,(autorest[[#This Row],[year_birth]]&gt;=epocast[year_start])*(autorest[[#This Row],[year_birth]]&lt;=epocast[year_end]),0)),"Epoca Desconocida"))</f>
        <v>Edad Antigua</v>
      </c>
      <c r="P108" t="str">
        <f>_xlfn.XLOOKUP(autorest[[#This Row],[age_es]],epocast[age_es],epocast[age_la])</f>
        <v>Antiquitas</v>
      </c>
    </row>
    <row r="109" spans="1:16">
      <c r="A109">
        <v>107</v>
      </c>
      <c r="B109" t="s">
        <v>4541</v>
      </c>
      <c r="C109" t="s">
        <v>5105</v>
      </c>
      <c r="D109">
        <v>1221</v>
      </c>
      <c r="E109">
        <v>1274</v>
      </c>
      <c r="F109" t="s">
        <v>5106</v>
      </c>
      <c r="G109" t="s">
        <v>5107</v>
      </c>
      <c r="H109" t="s">
        <v>4639</v>
      </c>
      <c r="I109" t="s">
        <v>4732</v>
      </c>
      <c r="J109" t="str">
        <f>_xlfn.XLOOKUP(autorest[[#This Row],[language_es]],idiomast[language_es],idiomast[language_la])</f>
        <v>Lingua Latina</v>
      </c>
      <c r="K109" t="s">
        <v>5108</v>
      </c>
      <c r="M109" t="str">
        <f>_xlfn.XLOOKUP(autorest[[#This Row],[language_es]],idiomast[language_es],idiomast[iso3691])</f>
        <v>la</v>
      </c>
      <c r="N109" t="str">
        <f>_xlfn.XLOOKUP(autorest[[#This Row],[nation_es]],nacionest[nation_es],nacionest[nation_la])</f>
        <v>Italia</v>
      </c>
      <c r="O109" t="str">
        <f t="array" ref="O109">IF(ISBLANK(autorest[[#This Row],[year_birth]]),"Epoca Desconocida",IFERROR(INDEX(epocast[age_es],MATCH(1,(autorest[[#This Row],[year_birth]]&gt;=epocast[year_start])*(autorest[[#This Row],[year_birth]]&lt;=epocast[year_end]),0)),"Epoca Desconocida"))</f>
        <v>Edad Media</v>
      </c>
      <c r="P109" t="str">
        <f>_xlfn.XLOOKUP(autorest[[#This Row],[age_es]],epocast[age_es],epocast[age_la])</f>
        <v>Medium Aevum</v>
      </c>
    </row>
    <row r="110" spans="1:16">
      <c r="A110">
        <v>108</v>
      </c>
      <c r="B110" t="s">
        <v>4554</v>
      </c>
      <c r="C110" t="s">
        <v>5109</v>
      </c>
      <c r="D110">
        <v>1079</v>
      </c>
      <c r="E110">
        <v>1142</v>
      </c>
      <c r="F110" t="s">
        <v>5110</v>
      </c>
      <c r="G110" t="s">
        <v>5111</v>
      </c>
      <c r="H110" t="s">
        <v>4639</v>
      </c>
      <c r="I110" t="s">
        <v>4645</v>
      </c>
      <c r="J110" t="str">
        <f>_xlfn.XLOOKUP(autorest[[#This Row],[language_es]],idiomast[language_es],idiomast[language_la])</f>
        <v>Lingua Latina</v>
      </c>
      <c r="K110" t="s">
        <v>5112</v>
      </c>
      <c r="M110" t="str">
        <f>_xlfn.XLOOKUP(autorest[[#This Row],[language_es]],idiomast[language_es],idiomast[iso3691])</f>
        <v>la</v>
      </c>
      <c r="N110" t="str">
        <f>_xlfn.XLOOKUP(autorest[[#This Row],[nation_es]],nacionest[nation_es],nacionest[nation_la])</f>
        <v>Francia</v>
      </c>
      <c r="O110" t="str">
        <f t="array" ref="O110">IF(ISBLANK(autorest[[#This Row],[year_birth]]),"Epoca Desconocida",IFERROR(INDEX(epocast[age_es],MATCH(1,(autorest[[#This Row],[year_birth]]&gt;=epocast[year_start])*(autorest[[#This Row],[year_birth]]&lt;=epocast[year_end]),0)),"Epoca Desconocida"))</f>
        <v>Edad Media</v>
      </c>
      <c r="P110" t="str">
        <f>_xlfn.XLOOKUP(autorest[[#This Row],[age_es]],epocast[age_es],epocast[age_la])</f>
        <v>Medium Aevum</v>
      </c>
    </row>
    <row r="111" spans="1:16">
      <c r="A111">
        <v>109</v>
      </c>
      <c r="B111" t="s">
        <v>4315</v>
      </c>
      <c r="C111" t="s">
        <v>5113</v>
      </c>
      <c r="D111">
        <v>480</v>
      </c>
      <c r="E111">
        <v>524</v>
      </c>
      <c r="F111" t="s">
        <v>5114</v>
      </c>
      <c r="G111" t="s">
        <v>5115</v>
      </c>
      <c r="H111" t="s">
        <v>4639</v>
      </c>
      <c r="I111" t="s">
        <v>4640</v>
      </c>
      <c r="J111" t="str">
        <f>_xlfn.XLOOKUP(autorest[[#This Row],[language_es]],idiomast[language_es],idiomast[language_la])</f>
        <v>Lingua Latina</v>
      </c>
      <c r="K111" t="s">
        <v>5116</v>
      </c>
      <c r="M111" t="str">
        <f>_xlfn.XLOOKUP(autorest[[#This Row],[language_es]],idiomast[language_es],idiomast[iso3691])</f>
        <v>la</v>
      </c>
      <c r="N111" t="str">
        <f>_xlfn.XLOOKUP(autorest[[#This Row],[nation_es]],nacionest[nation_es],nacionest[nation_la])</f>
        <v>Roma</v>
      </c>
      <c r="O111" t="str">
        <f t="array" ref="O111">IF(ISBLANK(autorest[[#This Row],[year_birth]]),"Epoca Desconocida",IFERROR(INDEX(epocast[age_es],MATCH(1,(autorest[[#This Row],[year_birth]]&gt;=epocast[year_start])*(autorest[[#This Row],[year_birth]]&lt;=epocast[year_end]),0)),"Epoca Desconocida"))</f>
        <v>Edad Media</v>
      </c>
      <c r="P111" t="str">
        <f>_xlfn.XLOOKUP(autorest[[#This Row],[age_es]],epocast[age_es],epocast[age_la])</f>
        <v>Medium Aevum</v>
      </c>
    </row>
    <row r="112" spans="1:16">
      <c r="A112">
        <v>110</v>
      </c>
      <c r="B112" t="s">
        <v>4377</v>
      </c>
      <c r="C112" t="s">
        <v>5117</v>
      </c>
      <c r="D112">
        <v>1266</v>
      </c>
      <c r="E112">
        <v>1308</v>
      </c>
      <c r="F112" t="s">
        <v>5118</v>
      </c>
      <c r="G112" t="s">
        <v>5119</v>
      </c>
      <c r="H112" t="s">
        <v>4639</v>
      </c>
      <c r="I112" t="s">
        <v>4651</v>
      </c>
      <c r="J112" t="str">
        <f>_xlfn.XLOOKUP(autorest[[#This Row],[language_es]],idiomast[language_es],idiomast[language_la])</f>
        <v>Lingua Latina</v>
      </c>
      <c r="K112" t="s">
        <v>5120</v>
      </c>
      <c r="M112" t="str">
        <f>_xlfn.XLOOKUP(autorest[[#This Row],[language_es]],idiomast[language_es],idiomast[iso3691])</f>
        <v>la</v>
      </c>
      <c r="N112" t="str">
        <f>_xlfn.XLOOKUP(autorest[[#This Row],[nation_es]],nacionest[nation_es],nacionest[nation_la])</f>
        <v>Regnum Unitum</v>
      </c>
      <c r="O112" t="str">
        <f t="array" ref="O112">IF(ISBLANK(autorest[[#This Row],[year_birth]]),"Epoca Desconocida",IFERROR(INDEX(epocast[age_es],MATCH(1,(autorest[[#This Row],[year_birth]]&gt;=epocast[year_start])*(autorest[[#This Row],[year_birth]]&lt;=epocast[year_end]),0)),"Epoca Desconocida"))</f>
        <v>Edad Media</v>
      </c>
      <c r="P112" t="str">
        <f>_xlfn.XLOOKUP(autorest[[#This Row],[age_es]],epocast[age_es],epocast[age_la])</f>
        <v>Medium Aevum</v>
      </c>
    </row>
    <row r="113" spans="1:16">
      <c r="A113">
        <v>111</v>
      </c>
      <c r="B113" t="s">
        <v>4417</v>
      </c>
      <c r="C113" t="s">
        <v>5121</v>
      </c>
      <c r="D113">
        <v>1098</v>
      </c>
      <c r="E113">
        <v>1179</v>
      </c>
      <c r="F113" t="s">
        <v>5122</v>
      </c>
      <c r="G113" t="s">
        <v>5123</v>
      </c>
      <c r="H113" t="s">
        <v>4639</v>
      </c>
      <c r="I113" t="s">
        <v>4737</v>
      </c>
      <c r="J113" t="str">
        <f>_xlfn.XLOOKUP(autorest[[#This Row],[language_es]],idiomast[language_es],idiomast[language_la])</f>
        <v>Lingua Latina</v>
      </c>
      <c r="K113" t="s">
        <v>5124</v>
      </c>
      <c r="M113" t="str">
        <f>_xlfn.XLOOKUP(autorest[[#This Row],[language_es]],idiomast[language_es],idiomast[iso3691])</f>
        <v>la</v>
      </c>
      <c r="N113" t="str">
        <f>_xlfn.XLOOKUP(autorest[[#This Row],[nation_es]],nacionest[nation_es],nacionest[nation_la])</f>
        <v>Germania</v>
      </c>
      <c r="O113" t="str">
        <f t="array" ref="O113">IF(ISBLANK(autorest[[#This Row],[year_birth]]),"Epoca Desconocida",IFERROR(INDEX(epocast[age_es],MATCH(1,(autorest[[#This Row],[year_birth]]&gt;=epocast[year_start])*(autorest[[#This Row],[year_birth]]&lt;=epocast[year_end]),0)),"Epoca Desconocida"))</f>
        <v>Edad Media</v>
      </c>
      <c r="P113" t="str">
        <f>_xlfn.XLOOKUP(autorest[[#This Row],[age_es]],epocast[age_es],epocast[age_la])</f>
        <v>Medium Aevum</v>
      </c>
    </row>
    <row r="114" spans="1:16">
      <c r="A114">
        <v>112</v>
      </c>
      <c r="B114" t="s">
        <v>4443</v>
      </c>
      <c r="C114" t="s">
        <v>5125</v>
      </c>
      <c r="D114">
        <v>1260</v>
      </c>
      <c r="E114">
        <v>1328</v>
      </c>
      <c r="F114" t="s">
        <v>5126</v>
      </c>
      <c r="G114" t="s">
        <v>5127</v>
      </c>
      <c r="H114" t="s">
        <v>4639</v>
      </c>
      <c r="I114" t="s">
        <v>4737</v>
      </c>
      <c r="J114" t="str">
        <f>_xlfn.XLOOKUP(autorest[[#This Row],[language_es]],idiomast[language_es],idiomast[language_la])</f>
        <v>Lingua Latina</v>
      </c>
      <c r="K114" t="s">
        <v>5128</v>
      </c>
      <c r="M114" t="str">
        <f>_xlfn.XLOOKUP(autorest[[#This Row],[language_es]],idiomast[language_es],idiomast[iso3691])</f>
        <v>la</v>
      </c>
      <c r="N114" t="str">
        <f>_xlfn.XLOOKUP(autorest[[#This Row],[nation_es]],nacionest[nation_es],nacionest[nation_la])</f>
        <v>Germania</v>
      </c>
      <c r="O114" t="str">
        <f t="array" ref="O114">IF(ISBLANK(autorest[[#This Row],[year_birth]]),"Epoca Desconocida",IFERROR(INDEX(epocast[age_es],MATCH(1,(autorest[[#This Row],[year_birth]]&gt;=epocast[year_start])*(autorest[[#This Row],[year_birth]]&lt;=epocast[year_end]),0)),"Epoca Desconocida"))</f>
        <v>Edad Media</v>
      </c>
      <c r="P114" t="str">
        <f>_xlfn.XLOOKUP(autorest[[#This Row],[age_es]],epocast[age_es],epocast[age_la])</f>
        <v>Medium Aevum</v>
      </c>
    </row>
    <row r="115" spans="1:16">
      <c r="A115">
        <v>113</v>
      </c>
      <c r="B115" t="s">
        <v>4487</v>
      </c>
      <c r="C115" t="s">
        <v>5129</v>
      </c>
      <c r="D115">
        <v>1491</v>
      </c>
      <c r="E115">
        <v>1556</v>
      </c>
      <c r="F115" t="s">
        <v>5130</v>
      </c>
      <c r="G115" t="s">
        <v>5131</v>
      </c>
      <c r="H115" t="s">
        <v>4699</v>
      </c>
      <c r="I115" t="s">
        <v>4700</v>
      </c>
      <c r="J115" t="str">
        <f>_xlfn.XLOOKUP(autorest[[#This Row],[language_es]],idiomast[language_es],idiomast[language_la])</f>
        <v>Lingua Hispanica</v>
      </c>
      <c r="K115" t="s">
        <v>5132</v>
      </c>
      <c r="M115" t="str">
        <f>_xlfn.XLOOKUP(autorest[[#This Row],[language_es]],idiomast[language_es],idiomast[iso3691])</f>
        <v>es</v>
      </c>
      <c r="N115" t="str">
        <f>_xlfn.XLOOKUP(autorest[[#This Row],[nation_es]],nacionest[nation_es],nacionest[nation_la])</f>
        <v>Hispania</v>
      </c>
      <c r="O115" t="str">
        <f t="array" ref="O115">IF(ISBLANK(autorest[[#This Row],[year_birth]]),"Epoca Desconocida",IFERROR(INDEX(epocast[age_es],MATCH(1,(autorest[[#This Row],[year_birth]]&gt;=epocast[year_start])*(autorest[[#This Row],[year_birth]]&lt;=epocast[year_end]),0)),"Epoca Desconocida"))</f>
        <v>Edad Media</v>
      </c>
      <c r="P115" t="str">
        <f>_xlfn.XLOOKUP(autorest[[#This Row],[age_es]],epocast[age_es],epocast[age_la])</f>
        <v>Medium Aevum</v>
      </c>
    </row>
    <row r="116" spans="1:16">
      <c r="A116">
        <v>114</v>
      </c>
      <c r="B116" t="s">
        <v>4477</v>
      </c>
      <c r="C116" t="s">
        <v>5133</v>
      </c>
      <c r="D116">
        <v>1506</v>
      </c>
      <c r="E116">
        <v>1552</v>
      </c>
      <c r="F116" t="s">
        <v>5134</v>
      </c>
      <c r="G116" t="s">
        <v>5135</v>
      </c>
      <c r="H116" t="s">
        <v>4699</v>
      </c>
      <c r="I116" t="s">
        <v>4700</v>
      </c>
      <c r="J116" t="str">
        <f>_xlfn.XLOOKUP(autorest[[#This Row],[language_es]],idiomast[language_es],idiomast[language_la])</f>
        <v>Lingua Hispanica</v>
      </c>
      <c r="K116" t="s">
        <v>5136</v>
      </c>
      <c r="M116" t="str">
        <f>_xlfn.XLOOKUP(autorest[[#This Row],[language_es]],idiomast[language_es],idiomast[iso3691])</f>
        <v>es</v>
      </c>
      <c r="N116" t="str">
        <f>_xlfn.XLOOKUP(autorest[[#This Row],[nation_es]],nacionest[nation_es],nacionest[nation_la])</f>
        <v>Hispania</v>
      </c>
      <c r="O116" t="str">
        <f t="array" ref="O116">IF(ISBLANK(autorest[[#This Row],[year_birth]]),"Epoca Desconocida",IFERROR(INDEX(epocast[age_es],MATCH(1,(autorest[[#This Row],[year_birth]]&gt;=epocast[year_start])*(autorest[[#This Row],[year_birth]]&lt;=epocast[year_end]),0)),"Epoca Desconocida"))</f>
        <v>Edad Moderna</v>
      </c>
      <c r="P116" t="str">
        <f>_xlfn.XLOOKUP(autorest[[#This Row],[age_es]],epocast[age_es],epocast[age_la])</f>
        <v>Nova Aetas</v>
      </c>
    </row>
    <row r="117" spans="1:16">
      <c r="A117">
        <v>115</v>
      </c>
      <c r="B117" t="s">
        <v>4518</v>
      </c>
      <c r="C117" t="s">
        <v>5137</v>
      </c>
      <c r="D117">
        <v>-800</v>
      </c>
      <c r="E117">
        <v>-750</v>
      </c>
      <c r="F117" t="s">
        <v>5138</v>
      </c>
      <c r="G117" t="s">
        <v>5139</v>
      </c>
      <c r="H117" t="s">
        <v>4824</v>
      </c>
      <c r="I117" t="s">
        <v>4714</v>
      </c>
      <c r="J117" t="str">
        <f>_xlfn.XLOOKUP(autorest[[#This Row],[language_es]],idiomast[language_es],idiomast[language_la])</f>
        <v>Lingua Graeca</v>
      </c>
      <c r="K117" t="s">
        <v>5140</v>
      </c>
      <c r="L117" s="6"/>
      <c r="M117" t="str">
        <f>_xlfn.XLOOKUP(autorest[[#This Row],[language_es]],idiomast[language_es],idiomast[iso3691])</f>
        <v>el</v>
      </c>
      <c r="N117" t="str">
        <f>_xlfn.XLOOKUP(autorest[[#This Row],[nation_es]],nacionest[nation_es],nacionest[nation_la])</f>
        <v>Graecia</v>
      </c>
      <c r="O117" t="str">
        <f t="array" ref="O117">IF(ISBLANK(autorest[[#This Row],[year_birth]]),"Epoca Desconocida",IFERROR(INDEX(epocast[age_es],MATCH(1,(autorest[[#This Row],[year_birth]]&gt;=epocast[year_start])*(autorest[[#This Row],[year_birth]]&lt;=epocast[year_end]),0)),"Epoca Desconocida"))</f>
        <v>Edad Antigua</v>
      </c>
      <c r="P117" t="str">
        <f>_xlfn.XLOOKUP(autorest[[#This Row],[age_es]],epocast[age_es],epocast[age_la])</f>
        <v>Antiquitas</v>
      </c>
    </row>
    <row r="118" spans="1:16">
      <c r="A118">
        <v>116</v>
      </c>
      <c r="B118" t="s">
        <v>40</v>
      </c>
      <c r="C118" t="s">
        <v>5141</v>
      </c>
      <c r="D118">
        <v>-1000</v>
      </c>
      <c r="E118">
        <v>95</v>
      </c>
      <c r="F118" t="s">
        <v>5142</v>
      </c>
      <c r="G118" t="s">
        <v>5143</v>
      </c>
      <c r="H118" t="s">
        <v>4665</v>
      </c>
      <c r="I118" t="s">
        <v>4666</v>
      </c>
      <c r="J118" t="str">
        <f>_xlfn.XLOOKUP(autorest[[#This Row],[language_es]],idiomast[language_es],idiomast[language_la])</f>
        <v>Lingua Hebraica</v>
      </c>
      <c r="K118" t="s">
        <v>5144</v>
      </c>
      <c r="L118" s="6"/>
      <c r="M118" t="str">
        <f>_xlfn.XLOOKUP(autorest[[#This Row],[language_es]],idiomast[language_es],idiomast[iso3691])</f>
        <v>he</v>
      </c>
      <c r="N118" t="str">
        <f>_xlfn.XLOOKUP(autorest[[#This Row],[nation_es]],nacionest[nation_es],nacionest[nation_la])</f>
        <v>Israel</v>
      </c>
      <c r="O118" t="str">
        <f t="array" ref="O118">IF(ISBLANK(autorest[[#This Row],[year_birth]]),"Epoca Desconocida",IFERROR(INDEX(epocast[age_es],MATCH(1,(autorest[[#This Row],[year_birth]]&gt;=epocast[year_start])*(autorest[[#This Row],[year_birth]]&lt;=epocast[year_end]),0)),"Epoca Desconocida"))</f>
        <v>Edad Antigua</v>
      </c>
      <c r="P118" t="str">
        <f>_xlfn.XLOOKUP(autorest[[#This Row],[age_es]],epocast[age_es],epocast[age_la])</f>
        <v>Antiquitas</v>
      </c>
    </row>
    <row r="119" spans="1:16">
      <c r="A119">
        <v>117</v>
      </c>
      <c r="B119" t="s">
        <v>5145</v>
      </c>
      <c r="C119" t="s">
        <v>5146</v>
      </c>
      <c r="D119">
        <v>-70</v>
      </c>
      <c r="E119">
        <v>-19</v>
      </c>
      <c r="F119" t="s">
        <v>5147</v>
      </c>
      <c r="G119" t="s">
        <v>5148</v>
      </c>
      <c r="H119" t="s">
        <v>4639</v>
      </c>
      <c r="I119" t="s">
        <v>4732</v>
      </c>
      <c r="J119" t="str">
        <f>_xlfn.XLOOKUP(autorest[[#This Row],[language_es]],idiomast[language_es],idiomast[language_la])</f>
        <v>Lingua Latina</v>
      </c>
      <c r="K119" t="s">
        <v>5149</v>
      </c>
      <c r="L119" s="6"/>
      <c r="M119" t="str">
        <f>_xlfn.XLOOKUP(autorest[[#This Row],[language_es]],idiomast[language_es],idiomast[iso3691])</f>
        <v>la</v>
      </c>
      <c r="N119" t="str">
        <f>_xlfn.XLOOKUP(autorest[[#This Row],[nation_es]],nacionest[nation_es],nacionest[nation_la])</f>
        <v>Italia</v>
      </c>
      <c r="O119" t="str">
        <f t="array" ref="O119">IF(ISBLANK(autorest[[#This Row],[year_birth]]),"Epoca Desconocida",IFERROR(INDEX(epocast[age_es],MATCH(1,(autorest[[#This Row],[year_birth]]&gt;=epocast[year_start])*(autorest[[#This Row],[year_birth]]&lt;=epocast[year_end]),0)),"Epoca Desconocida"))</f>
        <v>Edad Antigua</v>
      </c>
      <c r="P119" t="str">
        <f>_xlfn.XLOOKUP(autorest[[#This Row],[age_es]],epocast[age_es],epocast[age_la])</f>
        <v>Antiquitas</v>
      </c>
    </row>
    <row r="120" spans="1:16">
      <c r="A120">
        <v>118</v>
      </c>
      <c r="B120" t="s">
        <v>5150</v>
      </c>
      <c r="C120" t="s">
        <v>5151</v>
      </c>
      <c r="D120">
        <v>-500</v>
      </c>
      <c r="E120">
        <v>476</v>
      </c>
      <c r="F120" t="s">
        <v>5152</v>
      </c>
      <c r="G120" t="s">
        <v>5153</v>
      </c>
      <c r="H120" t="s">
        <v>4639</v>
      </c>
      <c r="I120" t="s">
        <v>4640</v>
      </c>
      <c r="J120" t="str">
        <f>_xlfn.XLOOKUP(autorest[[#This Row],[language_es]],idiomast[language_es],idiomast[language_la])</f>
        <v>Lingua Latina</v>
      </c>
      <c r="K120" s="6" t="s">
        <v>5154</v>
      </c>
      <c r="L120" s="6"/>
      <c r="M120" t="str">
        <f>_xlfn.XLOOKUP(autorest[[#This Row],[language_es]],idiomast[language_es],idiomast[iso3691])</f>
        <v>la</v>
      </c>
      <c r="N120" t="str">
        <f>_xlfn.XLOOKUP(autorest[[#This Row],[nation_es]],nacionest[nation_es],nacionest[nation_la])</f>
        <v>Roma</v>
      </c>
      <c r="O120" t="str">
        <f t="array" ref="O120">IF(ISBLANK(autorest[[#This Row],[year_birth]]),"Epoca Desconocida",IFERROR(INDEX(epocast[age_es],MATCH(1,(autorest[[#This Row],[year_birth]]&gt;=epocast[year_start])*(autorest[[#This Row],[year_birth]]&lt;=epocast[year_end]),0)),"Epoca Desconocida"))</f>
        <v>Edad Antigua</v>
      </c>
      <c r="P120" t="str">
        <f>_xlfn.XLOOKUP(autorest[[#This Row],[age_es]],epocast[age_es],epocast[age_la])</f>
        <v>Antiquitas</v>
      </c>
    </row>
    <row r="121" spans="1:16">
      <c r="A121">
        <v>119</v>
      </c>
      <c r="B121" t="s">
        <v>122</v>
      </c>
      <c r="C121" t="s">
        <v>5155</v>
      </c>
      <c r="D121">
        <v>56</v>
      </c>
      <c r="E121">
        <v>120</v>
      </c>
      <c r="F121" t="s">
        <v>5156</v>
      </c>
      <c r="G121" t="s">
        <v>5157</v>
      </c>
      <c r="H121" t="s">
        <v>4639</v>
      </c>
      <c r="I121" t="s">
        <v>4640</v>
      </c>
      <c r="J121" t="str">
        <f>_xlfn.XLOOKUP(autorest[[#This Row],[language_es]],idiomast[language_es],idiomast[language_la])</f>
        <v>Lingua Latina</v>
      </c>
      <c r="K121" t="s">
        <v>5158</v>
      </c>
      <c r="L121" s="6"/>
      <c r="M121" t="str">
        <f>_xlfn.XLOOKUP(autorest[[#This Row],[language_es]],idiomast[language_es],idiomast[iso3691])</f>
        <v>la</v>
      </c>
      <c r="N121" t="str">
        <f>_xlfn.XLOOKUP(autorest[[#This Row],[nation_es]],nacionest[nation_es],nacionest[nation_la])</f>
        <v>Roma</v>
      </c>
      <c r="O121" t="str">
        <f t="array" ref="O121">IF(ISBLANK(autorest[[#This Row],[year_birth]]),"Epoca Desconocida",IFERROR(INDEX(epocast[age_es],MATCH(1,(autorest[[#This Row],[year_birth]]&gt;=epocast[year_start])*(autorest[[#This Row],[year_birth]]&lt;=epocast[year_end]),0)),"Epoca Desconocida"))</f>
        <v>Edad Antigua</v>
      </c>
      <c r="P121" t="str">
        <f>_xlfn.XLOOKUP(autorest[[#This Row],[age_es]],epocast[age_es],epocast[age_la])</f>
        <v>Antiquitas</v>
      </c>
    </row>
    <row r="122" spans="1:16">
      <c r="A122">
        <v>120</v>
      </c>
      <c r="B122" t="s">
        <v>4562</v>
      </c>
      <c r="C122" t="s">
        <v>5159</v>
      </c>
      <c r="D122">
        <v>1694</v>
      </c>
      <c r="E122">
        <v>1778</v>
      </c>
      <c r="F122" t="s">
        <v>5160</v>
      </c>
      <c r="G122" t="s">
        <v>5161</v>
      </c>
      <c r="H122" t="s">
        <v>4688</v>
      </c>
      <c r="I122" t="s">
        <v>4645</v>
      </c>
      <c r="J122" t="s">
        <v>5162</v>
      </c>
      <c r="K122" t="s">
        <v>5163</v>
      </c>
      <c r="L122" s="6"/>
      <c r="M122" t="str">
        <f>_xlfn.XLOOKUP(autorest[[#This Row],[language_es]],idiomast[language_es],idiomast[iso3691])</f>
        <v>fr</v>
      </c>
      <c r="N122" t="str">
        <f>_xlfn.XLOOKUP(autorest[[#This Row],[nation_es]],nacionest[nation_es],nacionest[nation_la])</f>
        <v>Francia</v>
      </c>
      <c r="O122" t="str">
        <f t="array" ref="O122">IF(ISBLANK(autorest[[#This Row],[year_birth]]),"Epoca Desconocida",IFERROR(INDEX(epocast[age_es],MATCH(1,(autorest[[#This Row],[year_birth]]&gt;=epocast[year_start])*(autorest[[#This Row],[year_birth]]&lt;=epocast[year_end]),0)),"Epoca Desconocida"))</f>
        <v>Edad Moderna</v>
      </c>
      <c r="P122" t="str">
        <f>_xlfn.XLOOKUP(autorest[[#This Row],[age_es]],epocast[age_es],epocast[age_la])</f>
        <v>Nova Aetas</v>
      </c>
    </row>
    <row r="123" spans="1:16">
      <c r="A123">
        <v>121</v>
      </c>
      <c r="B123" s="5" t="s">
        <v>4594</v>
      </c>
      <c r="C123" s="5" t="s">
        <v>4594</v>
      </c>
      <c r="D123" s="5">
        <v>1959</v>
      </c>
      <c r="E123" s="5"/>
      <c r="F123" s="5" t="s">
        <v>5164</v>
      </c>
      <c r="G123" s="5" t="s">
        <v>5165</v>
      </c>
      <c r="H123" s="5" t="s">
        <v>4699</v>
      </c>
      <c r="I123" s="5" t="s">
        <v>4700</v>
      </c>
      <c r="J123" t="str">
        <f>_xlfn.XLOOKUP(autorest[[#This Row],[language_es]],idiomast[language_es],idiomast[language_la])</f>
        <v>Lingua Hispanica</v>
      </c>
      <c r="K123" t="s">
        <v>5166</v>
      </c>
      <c r="L123" s="6"/>
      <c r="M123" t="str">
        <f>_xlfn.XLOOKUP(autorest[[#This Row],[language_es]],idiomast[language_es],idiomast[iso3691])</f>
        <v>es</v>
      </c>
      <c r="N123" t="str">
        <f>_xlfn.XLOOKUP(autorest[[#This Row],[nation_es]],nacionest[nation_es],nacionest[nation_la])</f>
        <v>Hispania</v>
      </c>
      <c r="O123" t="str">
        <f t="array" ref="O123">IF(ISBLANK(autorest[[#This Row],[year_birth]]),"Epoca Desconocida",IFERROR(INDEX(epocast[age_es],MATCH(1,(autorest[[#This Row],[year_birth]]&gt;=epocast[year_start])*(autorest[[#This Row],[year_birth]]&lt;=epocast[year_end]),0)),"Epoca Desconocida"))</f>
        <v>Edad Contemporánea</v>
      </c>
      <c r="P123" t="str">
        <f>_xlfn.XLOOKUP(autorest[[#This Row],[age_es]],epocast[age_es],epocast[age_la])</f>
        <v>Aetas Contemporanea</v>
      </c>
    </row>
    <row r="124" spans="1:16">
      <c r="A124">
        <v>122</v>
      </c>
      <c r="B124" t="s">
        <v>4619</v>
      </c>
      <c r="C124" t="s">
        <v>5167</v>
      </c>
      <c r="D124">
        <v>1807</v>
      </c>
      <c r="E124">
        <v>1870</v>
      </c>
      <c r="F124" t="s">
        <v>5168</v>
      </c>
      <c r="G124" t="s">
        <v>5169</v>
      </c>
      <c r="H124" t="s">
        <v>4699</v>
      </c>
      <c r="I124" t="s">
        <v>4700</v>
      </c>
      <c r="J124" t="str">
        <f>_xlfn.XLOOKUP(autorest[[#This Row],[language_es]],idiomast[language_es],idiomast[language_la])</f>
        <v>Lingua Hispanica</v>
      </c>
      <c r="K124" t="s">
        <v>5170</v>
      </c>
      <c r="L124" s="6"/>
      <c r="M124" t="str">
        <f>_xlfn.XLOOKUP(autorest[[#This Row],[language_es]],idiomast[language_es],idiomast[iso3691])</f>
        <v>es</v>
      </c>
      <c r="N124" t="str">
        <f>_xlfn.XLOOKUP(autorest[[#This Row],[nation_es]],nacionest[nation_es],nacionest[nation_la])</f>
        <v>Hispania</v>
      </c>
      <c r="O124" t="str">
        <f t="array" ref="O124">IF(ISBLANK(autorest[[#This Row],[year_birth]]),"Epoca Desconocida",IFERROR(INDEX(epocast[age_es],MATCH(1,(autorest[[#This Row],[year_birth]]&gt;=epocast[year_start])*(autorest[[#This Row],[year_birth]]&lt;=epocast[year_end]),0)),"Epoca Desconocida"))</f>
        <v>Edad Contemporánea</v>
      </c>
      <c r="P124" t="str">
        <f>_xlfn.XLOOKUP(autorest[[#This Row],[age_es]],epocast[age_es],epocast[age_la])</f>
        <v>Aetas Contemporanea</v>
      </c>
    </row>
    <row r="125" spans="1:16">
      <c r="A125">
        <v>123</v>
      </c>
      <c r="B125" t="s">
        <v>5381</v>
      </c>
      <c r="C125" t="s">
        <v>5382</v>
      </c>
      <c r="D125">
        <v>1950</v>
      </c>
      <c r="F125" t="s">
        <v>5383</v>
      </c>
      <c r="G125" t="s">
        <v>5384</v>
      </c>
      <c r="H125" t="s">
        <v>4650</v>
      </c>
      <c r="I125" t="s">
        <v>4671</v>
      </c>
      <c r="J125" t="str">
        <f>_xlfn.XLOOKUP(autorest[[#This Row],[language_es]],idiomast[language_es],idiomast[language_la])</f>
        <v>Lingua Anglica</v>
      </c>
      <c r="M125" t="str">
        <f>_xlfn.XLOOKUP(autorest[[#This Row],[language_es]],idiomast[language_es],idiomast[iso3691])</f>
        <v>en</v>
      </c>
      <c r="N125" t="str">
        <f>_xlfn.XLOOKUP(autorest[[#This Row],[nation_es]],nacionest[nation_es],nacionest[nation_la])</f>
        <v>Civitates Foederatae Americae</v>
      </c>
      <c r="O125" t="str">
        <f t="array" ref="O125">IF(ISBLANK(autorest[[#This Row],[year_birth]]),"Epoca Desconocida",IFERROR(INDEX(epocast[age_es],MATCH(1,(autorest[[#This Row],[year_birth]]&gt;=epocast[year_start])*(autorest[[#This Row],[year_birth]]&lt;=epocast[year_end]),0)),"Epoca Desconocida"))</f>
        <v>Edad Contemporánea</v>
      </c>
      <c r="P125" t="str">
        <f>_xlfn.XLOOKUP(autorest[[#This Row],[age_es]],epocast[age_es],epocast[age_la])</f>
        <v>Aetas Contemporanea</v>
      </c>
    </row>
  </sheetData>
  <dataValidations count="2">
    <dataValidation type="list" allowBlank="1" showInputMessage="1" showErrorMessage="1" sqref="H2:H125" xr:uid="{00000000-0002-0000-0100-000000000000}">
      <formula1>INDIRECT("'idiomas'!idiomast[idioma_es]")</formula1>
      <formula2>0</formula2>
    </dataValidation>
    <dataValidation type="list" allowBlank="1" showInputMessage="1" showErrorMessage="1" sqref="I2:I125" xr:uid="{00000000-0002-0000-0100-000001000000}">
      <formula1>INDIRECT("'naciones'!nacionest[nacion_es]")</formula1>
      <formula2>0</formula2>
    </dataValidation>
  </dataValidations>
  <hyperlinks>
    <hyperlink ref="K2" r:id="rId1" xr:uid="{00000000-0004-0000-0100-000000000000}"/>
    <hyperlink ref="K3" r:id="rId2" xr:uid="{00000000-0004-0000-0100-000001000000}"/>
    <hyperlink ref="K4" r:id="rId3" xr:uid="{00000000-0004-0000-0100-000002000000}"/>
    <hyperlink ref="K5" r:id="rId4" xr:uid="{00000000-0004-0000-0100-000003000000}"/>
    <hyperlink ref="K6" r:id="rId5" xr:uid="{00000000-0004-0000-0100-000004000000}"/>
    <hyperlink ref="K7" r:id="rId6" xr:uid="{00000000-0004-0000-0100-000005000000}"/>
    <hyperlink ref="K8" r:id="rId7" xr:uid="{00000000-0004-0000-0100-000006000000}"/>
    <hyperlink ref="K9" r:id="rId8" xr:uid="{00000000-0004-0000-0100-000007000000}"/>
    <hyperlink ref="K10" r:id="rId9" xr:uid="{00000000-0004-0000-0100-000008000000}"/>
    <hyperlink ref="K11" r:id="rId10" xr:uid="{00000000-0004-0000-0100-000009000000}"/>
    <hyperlink ref="K15" r:id="rId11" xr:uid="{00000000-0004-0000-0100-00000A000000}"/>
    <hyperlink ref="K16" r:id="rId12" xr:uid="{00000000-0004-0000-0100-00000B000000}"/>
    <hyperlink ref="K17" r:id="rId13" xr:uid="{00000000-0004-0000-0100-00000C000000}"/>
    <hyperlink ref="K18" r:id="rId14" xr:uid="{00000000-0004-0000-0100-00000D000000}"/>
    <hyperlink ref="K19" r:id="rId15" xr:uid="{00000000-0004-0000-0100-00000E000000}"/>
    <hyperlink ref="K20" r:id="rId16" xr:uid="{00000000-0004-0000-0100-00000F000000}"/>
    <hyperlink ref="K21" r:id="rId17" xr:uid="{00000000-0004-0000-0100-000010000000}"/>
    <hyperlink ref="K22" r:id="rId18" xr:uid="{00000000-0004-0000-0100-000011000000}"/>
    <hyperlink ref="K23" r:id="rId19" xr:uid="{00000000-0004-0000-0100-000012000000}"/>
    <hyperlink ref="K24" r:id="rId20" xr:uid="{00000000-0004-0000-0100-000013000000}"/>
    <hyperlink ref="K25" r:id="rId21" xr:uid="{00000000-0004-0000-0100-000014000000}"/>
    <hyperlink ref="K27" r:id="rId22" xr:uid="{00000000-0004-0000-0100-000015000000}"/>
    <hyperlink ref="K28" r:id="rId23" xr:uid="{00000000-0004-0000-0100-000016000000}"/>
    <hyperlink ref="K29" r:id="rId24" xr:uid="{00000000-0004-0000-0100-000017000000}"/>
    <hyperlink ref="K30" r:id="rId25" xr:uid="{00000000-0004-0000-0100-000018000000}"/>
    <hyperlink ref="K31" r:id="rId26" xr:uid="{00000000-0004-0000-0100-000019000000}"/>
    <hyperlink ref="K32" r:id="rId27" xr:uid="{00000000-0004-0000-0100-00001A000000}"/>
    <hyperlink ref="K33" r:id="rId28" xr:uid="{00000000-0004-0000-0100-00001B000000}"/>
    <hyperlink ref="K34" r:id="rId29" xr:uid="{00000000-0004-0000-0100-00001C000000}"/>
    <hyperlink ref="K35" r:id="rId30" xr:uid="{00000000-0004-0000-0100-00001D000000}"/>
    <hyperlink ref="K36" r:id="rId31" xr:uid="{00000000-0004-0000-0100-00001E000000}"/>
    <hyperlink ref="K37" r:id="rId32" xr:uid="{00000000-0004-0000-0100-00001F000000}"/>
    <hyperlink ref="K38" r:id="rId33" xr:uid="{00000000-0004-0000-0100-000020000000}"/>
    <hyperlink ref="K39" r:id="rId34" xr:uid="{00000000-0004-0000-0100-000021000000}"/>
    <hyperlink ref="K40" r:id="rId35" xr:uid="{00000000-0004-0000-0100-000022000000}"/>
    <hyperlink ref="K41" r:id="rId36" xr:uid="{00000000-0004-0000-0100-000023000000}"/>
    <hyperlink ref="K120" r:id="rId37" xr:uid="{00000000-0004-0000-0100-000024000000}"/>
  </hyperlinks>
  <pageMargins left="0.7" right="0.7" top="0.75" bottom="0.75" header="0.511811023622047" footer="0.511811023622047"/>
  <pageSetup paperSize="9" orientation="portrait" horizontalDpi="300" verticalDpi="300"/>
  <tableParts count="1">
    <tablePart r:id="rId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54"/>
  <sheetViews>
    <sheetView zoomScaleNormal="100" workbookViewId="0">
      <selection sqref="A1:XFD1"/>
    </sheetView>
  </sheetViews>
  <sheetFormatPr baseColWidth="10" defaultColWidth="8.83203125" defaultRowHeight="13"/>
  <cols>
    <col min="1" max="1" width="12.1640625" customWidth="1"/>
    <col min="2" max="2" width="9.5" customWidth="1"/>
    <col min="3" max="3" width="12.5" customWidth="1"/>
    <col min="4" max="4" width="20.1640625" customWidth="1"/>
  </cols>
  <sheetData>
    <row r="1" spans="1:4">
      <c r="A1" t="s">
        <v>5171</v>
      </c>
      <c r="B1" t="s">
        <v>9</v>
      </c>
      <c r="C1" t="s">
        <v>10</v>
      </c>
      <c r="D1" t="s">
        <v>11</v>
      </c>
    </row>
    <row r="2" spans="1:4">
      <c r="A2">
        <v>1</v>
      </c>
      <c r="B2" t="s">
        <v>5172</v>
      </c>
      <c r="C2" t="s">
        <v>4699</v>
      </c>
      <c r="D2" t="s">
        <v>5173</v>
      </c>
    </row>
    <row r="3" spans="1:4">
      <c r="A3">
        <v>2</v>
      </c>
      <c r="B3" t="s">
        <v>5174</v>
      </c>
      <c r="C3" t="s">
        <v>4650</v>
      </c>
      <c r="D3" t="s">
        <v>5175</v>
      </c>
    </row>
    <row r="4" spans="1:4">
      <c r="A4">
        <v>3</v>
      </c>
      <c r="B4" t="s">
        <v>5176</v>
      </c>
      <c r="C4" t="s">
        <v>4688</v>
      </c>
      <c r="D4" t="s">
        <v>5162</v>
      </c>
    </row>
    <row r="5" spans="1:4">
      <c r="A5">
        <v>4</v>
      </c>
      <c r="B5" t="s">
        <v>5177</v>
      </c>
      <c r="C5" t="s">
        <v>4676</v>
      </c>
      <c r="D5" t="s">
        <v>5178</v>
      </c>
    </row>
    <row r="6" spans="1:4">
      <c r="A6">
        <v>5</v>
      </c>
      <c r="B6" t="s">
        <v>5179</v>
      </c>
      <c r="C6" t="s">
        <v>4639</v>
      </c>
      <c r="D6" t="s">
        <v>5180</v>
      </c>
    </row>
    <row r="7" spans="1:4">
      <c r="A7">
        <v>6</v>
      </c>
      <c r="B7" t="s">
        <v>5181</v>
      </c>
      <c r="C7" t="s">
        <v>4705</v>
      </c>
      <c r="D7" t="s">
        <v>5182</v>
      </c>
    </row>
    <row r="8" spans="1:4">
      <c r="A8">
        <v>7</v>
      </c>
      <c r="B8" t="s">
        <v>5183</v>
      </c>
      <c r="C8" t="s">
        <v>4682</v>
      </c>
      <c r="D8" t="s">
        <v>5184</v>
      </c>
    </row>
    <row r="9" spans="1:4">
      <c r="A9">
        <v>8</v>
      </c>
      <c r="B9" t="s">
        <v>5185</v>
      </c>
      <c r="C9" t="s">
        <v>4693</v>
      </c>
      <c r="D9" t="s">
        <v>5186</v>
      </c>
    </row>
    <row r="10" spans="1:4">
      <c r="A10">
        <v>9</v>
      </c>
      <c r="B10" t="s">
        <v>5187</v>
      </c>
      <c r="C10" t="s">
        <v>4736</v>
      </c>
      <c r="D10" t="s">
        <v>5188</v>
      </c>
    </row>
    <row r="11" spans="1:4">
      <c r="A11">
        <v>10</v>
      </c>
      <c r="B11" t="s">
        <v>5189</v>
      </c>
      <c r="C11" t="s">
        <v>4819</v>
      </c>
      <c r="D11" t="s">
        <v>5190</v>
      </c>
    </row>
    <row r="12" spans="1:4">
      <c r="A12">
        <v>11</v>
      </c>
      <c r="B12" t="s">
        <v>5191</v>
      </c>
      <c r="C12" t="s">
        <v>4948</v>
      </c>
      <c r="D12" t="s">
        <v>5192</v>
      </c>
    </row>
    <row r="13" spans="1:4">
      <c r="A13">
        <v>12</v>
      </c>
      <c r="B13" t="s">
        <v>5193</v>
      </c>
      <c r="C13" t="s">
        <v>4754</v>
      </c>
      <c r="D13" t="s">
        <v>5194</v>
      </c>
    </row>
    <row r="14" spans="1:4">
      <c r="A14">
        <v>13</v>
      </c>
      <c r="B14" t="s">
        <v>5195</v>
      </c>
      <c r="C14" t="s">
        <v>4760</v>
      </c>
      <c r="D14" t="s">
        <v>5196</v>
      </c>
    </row>
    <row r="15" spans="1:4">
      <c r="A15">
        <v>14</v>
      </c>
      <c r="B15" t="s">
        <v>5197</v>
      </c>
      <c r="C15" t="s">
        <v>4665</v>
      </c>
      <c r="D15" t="s">
        <v>5198</v>
      </c>
    </row>
    <row r="16" spans="1:4">
      <c r="A16">
        <v>15</v>
      </c>
      <c r="B16" t="s">
        <v>5199</v>
      </c>
      <c r="C16" t="s">
        <v>4813</v>
      </c>
      <c r="D16" t="s">
        <v>5200</v>
      </c>
    </row>
    <row r="17" spans="1:4">
      <c r="A17">
        <v>16</v>
      </c>
      <c r="B17" t="s">
        <v>5201</v>
      </c>
      <c r="C17" t="s">
        <v>4824</v>
      </c>
      <c r="D17" t="s">
        <v>5202</v>
      </c>
    </row>
    <row r="18" spans="1:4">
      <c r="A18">
        <v>17</v>
      </c>
      <c r="B18" t="s">
        <v>5203</v>
      </c>
      <c r="C18" t="s">
        <v>5204</v>
      </c>
      <c r="D18" t="s">
        <v>5205</v>
      </c>
    </row>
    <row r="19" spans="1:4">
      <c r="A19">
        <v>18</v>
      </c>
      <c r="B19" t="s">
        <v>5206</v>
      </c>
      <c r="C19" t="s">
        <v>5207</v>
      </c>
      <c r="D19" t="s">
        <v>5208</v>
      </c>
    </row>
    <row r="20" spans="1:4">
      <c r="A20">
        <v>19</v>
      </c>
      <c r="B20" t="s">
        <v>5209</v>
      </c>
      <c r="C20" t="s">
        <v>5210</v>
      </c>
      <c r="D20" t="s">
        <v>5211</v>
      </c>
    </row>
    <row r="21" spans="1:4">
      <c r="A21">
        <v>20</v>
      </c>
      <c r="B21" t="s">
        <v>5212</v>
      </c>
      <c r="C21" t="s">
        <v>5213</v>
      </c>
      <c r="D21" t="s">
        <v>5214</v>
      </c>
    </row>
    <row r="22" spans="1:4">
      <c r="A22">
        <v>21</v>
      </c>
      <c r="B22" t="s">
        <v>5215</v>
      </c>
      <c r="C22" t="s">
        <v>5216</v>
      </c>
      <c r="D22" t="s">
        <v>5217</v>
      </c>
    </row>
    <row r="23" spans="1:4">
      <c r="A23">
        <v>22</v>
      </c>
      <c r="B23" t="s">
        <v>5218</v>
      </c>
      <c r="C23" t="s">
        <v>5219</v>
      </c>
      <c r="D23" t="s">
        <v>5220</v>
      </c>
    </row>
    <row r="24" spans="1:4">
      <c r="A24">
        <v>23</v>
      </c>
      <c r="B24" t="s">
        <v>5221</v>
      </c>
      <c r="C24" t="s">
        <v>5222</v>
      </c>
      <c r="D24" t="s">
        <v>5223</v>
      </c>
    </row>
    <row r="25" spans="1:4">
      <c r="A25">
        <v>24</v>
      </c>
      <c r="B25" t="s">
        <v>5224</v>
      </c>
      <c r="C25" t="s">
        <v>5225</v>
      </c>
      <c r="D25" t="s">
        <v>5226</v>
      </c>
    </row>
    <row r="26" spans="1:4">
      <c r="A26">
        <v>25</v>
      </c>
      <c r="B26" t="s">
        <v>5227</v>
      </c>
      <c r="C26" t="s">
        <v>5228</v>
      </c>
      <c r="D26" t="s">
        <v>5229</v>
      </c>
    </row>
    <row r="27" spans="1:4">
      <c r="A27">
        <v>26</v>
      </c>
      <c r="B27" t="s">
        <v>5230</v>
      </c>
      <c r="C27" t="s">
        <v>5231</v>
      </c>
      <c r="D27" t="s">
        <v>5232</v>
      </c>
    </row>
    <row r="28" spans="1:4">
      <c r="A28">
        <v>27</v>
      </c>
      <c r="B28" t="s">
        <v>5233</v>
      </c>
      <c r="C28" t="s">
        <v>5234</v>
      </c>
      <c r="D28" t="s">
        <v>5235</v>
      </c>
    </row>
    <row r="29" spans="1:4">
      <c r="A29">
        <v>28</v>
      </c>
      <c r="B29" t="s">
        <v>5236</v>
      </c>
      <c r="C29" t="s">
        <v>5237</v>
      </c>
      <c r="D29" t="s">
        <v>5238</v>
      </c>
    </row>
    <row r="30" spans="1:4">
      <c r="A30">
        <v>29</v>
      </c>
      <c r="B30" t="s">
        <v>5239</v>
      </c>
      <c r="C30" t="s">
        <v>5240</v>
      </c>
      <c r="D30" t="s">
        <v>5241</v>
      </c>
    </row>
    <row r="31" spans="1:4">
      <c r="A31">
        <v>30</v>
      </c>
      <c r="B31" t="s">
        <v>5242</v>
      </c>
      <c r="C31" t="s">
        <v>5243</v>
      </c>
      <c r="D31" t="s">
        <v>5244</v>
      </c>
    </row>
    <row r="32" spans="1:4">
      <c r="A32">
        <v>31</v>
      </c>
      <c r="B32" t="s">
        <v>5245</v>
      </c>
      <c r="C32" t="s">
        <v>4977</v>
      </c>
      <c r="D32" t="s">
        <v>5246</v>
      </c>
    </row>
    <row r="33" spans="1:4">
      <c r="A33">
        <v>32</v>
      </c>
      <c r="B33" t="s">
        <v>5247</v>
      </c>
      <c r="C33" t="s">
        <v>5248</v>
      </c>
      <c r="D33" t="s">
        <v>5249</v>
      </c>
    </row>
    <row r="34" spans="1:4">
      <c r="A34">
        <v>33</v>
      </c>
      <c r="B34" t="s">
        <v>5250</v>
      </c>
      <c r="C34" t="s">
        <v>5251</v>
      </c>
      <c r="D34" t="s">
        <v>5252</v>
      </c>
    </row>
    <row r="35" spans="1:4">
      <c r="A35">
        <v>34</v>
      </c>
      <c r="B35" t="s">
        <v>5253</v>
      </c>
      <c r="C35" t="s">
        <v>5254</v>
      </c>
      <c r="D35" t="s">
        <v>5255</v>
      </c>
    </row>
    <row r="36" spans="1:4">
      <c r="A36">
        <v>35</v>
      </c>
      <c r="B36" t="s">
        <v>5256</v>
      </c>
      <c r="C36" t="s">
        <v>5257</v>
      </c>
      <c r="D36" t="s">
        <v>5258</v>
      </c>
    </row>
    <row r="37" spans="1:4">
      <c r="A37">
        <v>36</v>
      </c>
      <c r="B37" t="s">
        <v>5259</v>
      </c>
      <c r="C37" t="s">
        <v>5260</v>
      </c>
      <c r="D37" t="s">
        <v>5261</v>
      </c>
    </row>
    <row r="38" spans="1:4">
      <c r="A38">
        <v>37</v>
      </c>
      <c r="B38" t="s">
        <v>5262</v>
      </c>
      <c r="C38" t="s">
        <v>5263</v>
      </c>
      <c r="D38" t="s">
        <v>5264</v>
      </c>
    </row>
    <row r="39" spans="1:4">
      <c r="A39">
        <v>38</v>
      </c>
      <c r="B39" t="s">
        <v>5265</v>
      </c>
      <c r="C39" t="s">
        <v>5266</v>
      </c>
      <c r="D39" t="s">
        <v>5267</v>
      </c>
    </row>
    <row r="40" spans="1:4">
      <c r="A40">
        <v>39</v>
      </c>
      <c r="B40" t="s">
        <v>5268</v>
      </c>
      <c r="C40" t="s">
        <v>5269</v>
      </c>
      <c r="D40" t="s">
        <v>5270</v>
      </c>
    </row>
    <row r="41" spans="1:4">
      <c r="A41">
        <v>40</v>
      </c>
      <c r="B41" t="s">
        <v>5271</v>
      </c>
      <c r="C41" t="s">
        <v>5272</v>
      </c>
      <c r="D41" t="s">
        <v>5273</v>
      </c>
    </row>
    <row r="42" spans="1:4">
      <c r="A42">
        <v>41</v>
      </c>
      <c r="B42" t="s">
        <v>5274</v>
      </c>
      <c r="C42" t="s">
        <v>5275</v>
      </c>
      <c r="D42" t="s">
        <v>5276</v>
      </c>
    </row>
    <row r="43" spans="1:4">
      <c r="A43">
        <v>42</v>
      </c>
      <c r="B43" t="s">
        <v>5277</v>
      </c>
      <c r="C43" t="s">
        <v>5278</v>
      </c>
      <c r="D43" t="s">
        <v>5279</v>
      </c>
    </row>
    <row r="44" spans="1:4">
      <c r="A44">
        <v>43</v>
      </c>
      <c r="B44" t="s">
        <v>5280</v>
      </c>
      <c r="C44" t="s">
        <v>5281</v>
      </c>
      <c r="D44" t="s">
        <v>5282</v>
      </c>
    </row>
    <row r="45" spans="1:4">
      <c r="A45">
        <v>44</v>
      </c>
      <c r="B45" t="s">
        <v>5283</v>
      </c>
      <c r="C45" t="s">
        <v>5284</v>
      </c>
      <c r="D45" t="s">
        <v>5285</v>
      </c>
    </row>
    <row r="46" spans="1:4">
      <c r="A46">
        <v>45</v>
      </c>
      <c r="B46" t="s">
        <v>5286</v>
      </c>
      <c r="C46" t="s">
        <v>5287</v>
      </c>
      <c r="D46" t="s">
        <v>5288</v>
      </c>
    </row>
    <row r="47" spans="1:4">
      <c r="A47">
        <v>46</v>
      </c>
      <c r="B47" t="s">
        <v>5289</v>
      </c>
      <c r="C47" t="s">
        <v>5290</v>
      </c>
      <c r="D47" t="s">
        <v>5291</v>
      </c>
    </row>
    <row r="48" spans="1:4">
      <c r="A48">
        <v>47</v>
      </c>
      <c r="B48" t="s">
        <v>5292</v>
      </c>
      <c r="C48" t="s">
        <v>5293</v>
      </c>
      <c r="D48" t="s">
        <v>5294</v>
      </c>
    </row>
    <row r="49" spans="1:4">
      <c r="A49">
        <v>48</v>
      </c>
      <c r="B49" t="s">
        <v>5295</v>
      </c>
      <c r="C49" t="s">
        <v>5296</v>
      </c>
      <c r="D49" t="s">
        <v>5297</v>
      </c>
    </row>
    <row r="50" spans="1:4">
      <c r="A50">
        <v>49</v>
      </c>
      <c r="B50" t="s">
        <v>5298</v>
      </c>
      <c r="C50" t="s">
        <v>5299</v>
      </c>
      <c r="D50" t="s">
        <v>5300</v>
      </c>
    </row>
    <row r="51" spans="1:4">
      <c r="A51">
        <v>50</v>
      </c>
      <c r="B51" t="s">
        <v>5301</v>
      </c>
      <c r="C51" t="s">
        <v>5302</v>
      </c>
      <c r="D51" t="s">
        <v>5303</v>
      </c>
    </row>
    <row r="52" spans="1:4">
      <c r="A52">
        <v>51</v>
      </c>
      <c r="B52" t="s">
        <v>5304</v>
      </c>
      <c r="C52" t="s">
        <v>5075</v>
      </c>
      <c r="D52" t="s">
        <v>5305</v>
      </c>
    </row>
    <row r="53" spans="1:4">
      <c r="A53">
        <v>52</v>
      </c>
      <c r="B53" t="s">
        <v>5306</v>
      </c>
      <c r="C53" t="s">
        <v>4803</v>
      </c>
      <c r="D53" t="s">
        <v>5307</v>
      </c>
    </row>
    <row r="54" spans="1:4">
      <c r="A54">
        <v>999</v>
      </c>
      <c r="B54" t="s">
        <v>4984</v>
      </c>
      <c r="C54" t="s">
        <v>5308</v>
      </c>
      <c r="D54" t="s">
        <v>5309</v>
      </c>
    </row>
  </sheetData>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9"/>
  <sheetViews>
    <sheetView zoomScaleNormal="100" workbookViewId="0">
      <selection sqref="A1:XFD1"/>
    </sheetView>
  </sheetViews>
  <sheetFormatPr baseColWidth="10" defaultColWidth="8.83203125" defaultRowHeight="13"/>
  <cols>
    <col min="1" max="1" width="12.1640625" customWidth="1"/>
    <col min="2" max="2" width="16" customWidth="1"/>
    <col min="3" max="3" width="26.5" customWidth="1"/>
  </cols>
  <sheetData>
    <row r="1" spans="1:3">
      <c r="A1" t="s">
        <v>5310</v>
      </c>
      <c r="B1" t="s">
        <v>12</v>
      </c>
      <c r="C1" t="s">
        <v>13</v>
      </c>
    </row>
    <row r="2" spans="1:3">
      <c r="A2">
        <v>1</v>
      </c>
      <c r="B2" t="s">
        <v>4640</v>
      </c>
      <c r="C2" t="s">
        <v>4640</v>
      </c>
    </row>
    <row r="3" spans="1:3">
      <c r="A3">
        <v>2</v>
      </c>
      <c r="B3" t="s">
        <v>4714</v>
      </c>
      <c r="C3" t="s">
        <v>5311</v>
      </c>
    </row>
    <row r="4" spans="1:3">
      <c r="A4">
        <v>3</v>
      </c>
      <c r="B4" t="s">
        <v>4645</v>
      </c>
      <c r="C4" t="s">
        <v>4645</v>
      </c>
    </row>
    <row r="5" spans="1:3">
      <c r="A5">
        <v>4</v>
      </c>
      <c r="B5" t="s">
        <v>4651</v>
      </c>
      <c r="C5" t="s">
        <v>5312</v>
      </c>
    </row>
    <row r="6" spans="1:3">
      <c r="A6">
        <v>5</v>
      </c>
      <c r="B6" t="s">
        <v>4700</v>
      </c>
      <c r="C6" t="s">
        <v>5313</v>
      </c>
    </row>
    <row r="7" spans="1:3">
      <c r="A7">
        <v>6</v>
      </c>
      <c r="B7" t="s">
        <v>4677</v>
      </c>
      <c r="C7" t="s">
        <v>5314</v>
      </c>
    </row>
    <row r="8" spans="1:3">
      <c r="A8">
        <v>7</v>
      </c>
      <c r="B8" t="s">
        <v>4683</v>
      </c>
      <c r="C8" t="s">
        <v>5315</v>
      </c>
    </row>
    <row r="9" spans="1:3">
      <c r="A9">
        <v>8</v>
      </c>
      <c r="B9" t="s">
        <v>4694</v>
      </c>
      <c r="C9" t="s">
        <v>5316</v>
      </c>
    </row>
    <row r="10" spans="1:3">
      <c r="A10">
        <v>9</v>
      </c>
      <c r="B10" t="s">
        <v>4737</v>
      </c>
      <c r="C10" t="s">
        <v>5317</v>
      </c>
    </row>
    <row r="11" spans="1:3">
      <c r="A11">
        <v>10</v>
      </c>
      <c r="B11" t="s">
        <v>4732</v>
      </c>
      <c r="C11" t="s">
        <v>4732</v>
      </c>
    </row>
    <row r="12" spans="1:3">
      <c r="A12">
        <v>11</v>
      </c>
      <c r="B12" t="s">
        <v>4666</v>
      </c>
      <c r="C12" t="s">
        <v>4666</v>
      </c>
    </row>
    <row r="13" spans="1:3">
      <c r="A13">
        <v>12</v>
      </c>
      <c r="B13" t="s">
        <v>4671</v>
      </c>
      <c r="C13" t="s">
        <v>5318</v>
      </c>
    </row>
    <row r="14" spans="1:3">
      <c r="A14">
        <v>13</v>
      </c>
      <c r="B14" t="s">
        <v>4755</v>
      </c>
      <c r="C14" t="s">
        <v>4755</v>
      </c>
    </row>
    <row r="15" spans="1:3">
      <c r="A15">
        <v>14</v>
      </c>
      <c r="B15" t="s">
        <v>4761</v>
      </c>
      <c r="C15" t="s">
        <v>4761</v>
      </c>
    </row>
    <row r="16" spans="1:3">
      <c r="A16">
        <v>15</v>
      </c>
      <c r="B16" t="s">
        <v>4804</v>
      </c>
      <c r="C16" t="s">
        <v>5319</v>
      </c>
    </row>
    <row r="17" spans="1:3">
      <c r="A17">
        <v>16</v>
      </c>
      <c r="B17" t="s">
        <v>4774</v>
      </c>
      <c r="C17" t="s">
        <v>5320</v>
      </c>
    </row>
    <row r="18" spans="1:3">
      <c r="A18">
        <v>17</v>
      </c>
      <c r="B18" t="s">
        <v>4814</v>
      </c>
      <c r="C18" t="s">
        <v>4814</v>
      </c>
    </row>
    <row r="19" spans="1:3">
      <c r="A19">
        <v>18</v>
      </c>
      <c r="B19" t="s">
        <v>4745</v>
      </c>
      <c r="C19" t="s">
        <v>4745</v>
      </c>
    </row>
    <row r="20" spans="1:3">
      <c r="A20">
        <v>19</v>
      </c>
      <c r="B20" t="s">
        <v>4949</v>
      </c>
      <c r="C20" t="s">
        <v>5321</v>
      </c>
    </row>
    <row r="21" spans="1:3">
      <c r="A21">
        <v>20</v>
      </c>
      <c r="B21" t="s">
        <v>4958</v>
      </c>
      <c r="C21" t="s">
        <v>5322</v>
      </c>
    </row>
    <row r="22" spans="1:3">
      <c r="A22">
        <v>21</v>
      </c>
      <c r="B22" t="s">
        <v>4978</v>
      </c>
      <c r="C22" t="s">
        <v>5323</v>
      </c>
    </row>
    <row r="23" spans="1:3">
      <c r="A23">
        <v>22</v>
      </c>
      <c r="B23" t="s">
        <v>5046</v>
      </c>
      <c r="C23" t="s">
        <v>5324</v>
      </c>
    </row>
    <row r="24" spans="1:3">
      <c r="A24">
        <v>23</v>
      </c>
      <c r="B24" t="s">
        <v>5325</v>
      </c>
      <c r="C24" t="s">
        <v>5325</v>
      </c>
    </row>
    <row r="25" spans="1:3">
      <c r="A25">
        <v>24</v>
      </c>
      <c r="B25" t="s">
        <v>5326</v>
      </c>
      <c r="C25" t="s">
        <v>5327</v>
      </c>
    </row>
    <row r="26" spans="1:3">
      <c r="A26">
        <v>25</v>
      </c>
      <c r="B26" t="s">
        <v>5328</v>
      </c>
      <c r="C26" t="s">
        <v>5328</v>
      </c>
    </row>
    <row r="27" spans="1:3">
      <c r="A27">
        <v>26</v>
      </c>
      <c r="B27" t="s">
        <v>5329</v>
      </c>
      <c r="C27" t="s">
        <v>5330</v>
      </c>
    </row>
    <row r="28" spans="1:3">
      <c r="A28">
        <v>27</v>
      </c>
      <c r="B28" t="s">
        <v>5331</v>
      </c>
      <c r="C28" t="s">
        <v>5332</v>
      </c>
    </row>
    <row r="29" spans="1:3">
      <c r="A29">
        <v>28</v>
      </c>
      <c r="B29" t="s">
        <v>5333</v>
      </c>
      <c r="C29" t="s">
        <v>5334</v>
      </c>
    </row>
    <row r="30" spans="1:3">
      <c r="A30">
        <v>29</v>
      </c>
      <c r="B30" t="s">
        <v>5335</v>
      </c>
      <c r="C30" t="s">
        <v>5336</v>
      </c>
    </row>
    <row r="31" spans="1:3">
      <c r="A31">
        <v>30</v>
      </c>
      <c r="B31" t="s">
        <v>5337</v>
      </c>
      <c r="C31" t="s">
        <v>5338</v>
      </c>
    </row>
    <row r="32" spans="1:3">
      <c r="A32">
        <v>31</v>
      </c>
      <c r="B32" t="s">
        <v>4993</v>
      </c>
      <c r="C32" t="s">
        <v>5339</v>
      </c>
    </row>
    <row r="33" spans="1:3">
      <c r="A33">
        <v>32</v>
      </c>
      <c r="B33" t="s">
        <v>5340</v>
      </c>
      <c r="C33" t="s">
        <v>5340</v>
      </c>
    </row>
    <row r="34" spans="1:3">
      <c r="A34">
        <v>33</v>
      </c>
      <c r="B34" t="s">
        <v>5341</v>
      </c>
      <c r="C34" t="s">
        <v>5342</v>
      </c>
    </row>
    <row r="35" spans="1:3">
      <c r="A35">
        <v>34</v>
      </c>
      <c r="B35" t="s">
        <v>5343</v>
      </c>
      <c r="C35" t="s">
        <v>5344</v>
      </c>
    </row>
    <row r="36" spans="1:3">
      <c r="A36">
        <v>35</v>
      </c>
      <c r="B36" t="s">
        <v>5030</v>
      </c>
      <c r="C36" t="s">
        <v>5030</v>
      </c>
    </row>
    <row r="37" spans="1:3">
      <c r="A37">
        <v>36</v>
      </c>
      <c r="B37" t="s">
        <v>5013</v>
      </c>
      <c r="C37" t="s">
        <v>5345</v>
      </c>
    </row>
    <row r="38" spans="1:3">
      <c r="A38">
        <v>37</v>
      </c>
      <c r="B38" t="s">
        <v>5034</v>
      </c>
      <c r="C38" t="s">
        <v>5346</v>
      </c>
    </row>
    <row r="39" spans="1:3">
      <c r="A39">
        <v>38</v>
      </c>
      <c r="B39" t="s">
        <v>5347</v>
      </c>
      <c r="C39" t="s">
        <v>5348</v>
      </c>
    </row>
    <row r="40" spans="1:3">
      <c r="A40">
        <v>39</v>
      </c>
      <c r="B40" t="s">
        <v>5349</v>
      </c>
      <c r="C40" t="s">
        <v>5349</v>
      </c>
    </row>
    <row r="41" spans="1:3">
      <c r="A41">
        <v>40</v>
      </c>
      <c r="B41" t="s">
        <v>5350</v>
      </c>
      <c r="C41" t="s">
        <v>5351</v>
      </c>
    </row>
    <row r="42" spans="1:3">
      <c r="A42">
        <v>41</v>
      </c>
      <c r="B42" t="s">
        <v>5352</v>
      </c>
      <c r="C42" t="s">
        <v>5352</v>
      </c>
    </row>
    <row r="43" spans="1:3">
      <c r="A43">
        <v>42</v>
      </c>
      <c r="B43" t="s">
        <v>5353</v>
      </c>
      <c r="C43" t="s">
        <v>5354</v>
      </c>
    </row>
    <row r="44" spans="1:3">
      <c r="A44">
        <v>43</v>
      </c>
      <c r="B44" t="s">
        <v>5355</v>
      </c>
      <c r="C44" t="s">
        <v>5356</v>
      </c>
    </row>
    <row r="45" spans="1:3">
      <c r="A45">
        <v>44</v>
      </c>
      <c r="B45" t="s">
        <v>5357</v>
      </c>
      <c r="C45" t="s">
        <v>5358</v>
      </c>
    </row>
    <row r="46" spans="1:3">
      <c r="A46">
        <v>45</v>
      </c>
      <c r="B46" t="s">
        <v>5359</v>
      </c>
      <c r="C46" t="s">
        <v>5360</v>
      </c>
    </row>
    <row r="47" spans="1:3">
      <c r="A47">
        <v>46</v>
      </c>
      <c r="B47" t="s">
        <v>4988</v>
      </c>
      <c r="C47" t="s">
        <v>5361</v>
      </c>
    </row>
    <row r="48" spans="1:3">
      <c r="A48">
        <v>47</v>
      </c>
      <c r="B48" t="s">
        <v>5067</v>
      </c>
      <c r="C48" t="s">
        <v>5362</v>
      </c>
    </row>
    <row r="49" spans="1:3">
      <c r="A49">
        <v>999</v>
      </c>
      <c r="B49" t="s">
        <v>5308</v>
      </c>
      <c r="C49" t="s">
        <v>5363</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zoomScaleNormal="100" workbookViewId="0">
      <selection sqref="A1:XFD1"/>
    </sheetView>
  </sheetViews>
  <sheetFormatPr baseColWidth="10" defaultColWidth="8.83203125" defaultRowHeight="13"/>
  <cols>
    <col min="1" max="1" width="11.5" customWidth="1"/>
    <col min="2" max="2" width="19.5" customWidth="1"/>
    <col min="3" max="3" width="20" customWidth="1"/>
    <col min="4" max="4" width="12.5" customWidth="1"/>
    <col min="5" max="5" width="10" customWidth="1"/>
  </cols>
  <sheetData>
    <row r="1" spans="1:5">
      <c r="A1" t="s">
        <v>5364</v>
      </c>
      <c r="B1" t="s">
        <v>14</v>
      </c>
      <c r="C1" t="s">
        <v>15</v>
      </c>
      <c r="D1" t="s">
        <v>5365</v>
      </c>
      <c r="E1" t="s">
        <v>5366</v>
      </c>
    </row>
    <row r="2" spans="1:5">
      <c r="A2">
        <v>1</v>
      </c>
      <c r="B2" t="s">
        <v>5367</v>
      </c>
      <c r="C2" t="s">
        <v>5368</v>
      </c>
      <c r="D2" s="8">
        <v>-2500000</v>
      </c>
      <c r="E2" s="8">
        <v>-3500</v>
      </c>
    </row>
    <row r="3" spans="1:5">
      <c r="A3">
        <v>2</v>
      </c>
      <c r="B3" t="s">
        <v>5369</v>
      </c>
      <c r="C3" t="s">
        <v>5370</v>
      </c>
      <c r="D3" s="8">
        <v>-3500</v>
      </c>
      <c r="E3" s="8">
        <v>476</v>
      </c>
    </row>
    <row r="4" spans="1:5">
      <c r="A4">
        <v>3</v>
      </c>
      <c r="B4" t="s">
        <v>5371</v>
      </c>
      <c r="C4" t="s">
        <v>5372</v>
      </c>
      <c r="D4" s="8">
        <v>476</v>
      </c>
      <c r="E4" s="8">
        <v>1492</v>
      </c>
    </row>
    <row r="5" spans="1:5">
      <c r="A5">
        <v>4</v>
      </c>
      <c r="B5" t="s">
        <v>5373</v>
      </c>
      <c r="C5" t="s">
        <v>5374</v>
      </c>
      <c r="D5" s="8">
        <v>1492</v>
      </c>
      <c r="E5" s="8">
        <v>1789</v>
      </c>
    </row>
    <row r="6" spans="1:5">
      <c r="A6">
        <v>5</v>
      </c>
      <c r="B6" t="s">
        <v>5375</v>
      </c>
      <c r="C6" t="s">
        <v>5376</v>
      </c>
      <c r="D6" s="8">
        <v>1789</v>
      </c>
      <c r="E6" s="8">
        <v>2100</v>
      </c>
    </row>
    <row r="7" spans="1:5">
      <c r="A7">
        <v>999</v>
      </c>
      <c r="B7" t="s">
        <v>5377</v>
      </c>
      <c r="C7" t="s">
        <v>5378</v>
      </c>
      <c r="D7" s="8">
        <v>2100</v>
      </c>
      <c r="E7" s="8">
        <v>9999</v>
      </c>
    </row>
  </sheetData>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
  <sheetViews>
    <sheetView zoomScaleNormal="100" workbookViewId="0">
      <selection activeCell="D13" activeCellId="1" sqref="A1:XFD1 D13"/>
    </sheetView>
  </sheetViews>
  <sheetFormatPr baseColWidth="10" defaultColWidth="8.83203125" defaultRowHeight="13"/>
  <cols>
    <col min="1" max="1" width="10.83203125" customWidth="1"/>
  </cols>
  <sheetData>
    <row r="1" spans="1:2">
      <c r="A1" t="s">
        <v>5379</v>
      </c>
      <c r="B1">
        <f>COUNTA(frasest[id_quote])</f>
        <v>1501</v>
      </c>
    </row>
    <row r="2" spans="1:2">
      <c r="A2" t="s">
        <v>5380</v>
      </c>
      <c r="B2">
        <f>COUNTA(autorest[id_author])</f>
        <v>124</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Hojas de cálculo</vt:lpstr>
      </vt:variant>
      <vt:variant>
        <vt:i4>6</vt:i4>
      </vt:variant>
    </vt:vector>
  </HeadingPairs>
  <TitlesOfParts>
    <vt:vector size="6" baseType="lpstr">
      <vt:lpstr>frases</vt:lpstr>
      <vt:lpstr>autores</vt:lpstr>
      <vt:lpstr>idiomas</vt:lpstr>
      <vt:lpstr>naciones</vt:lpstr>
      <vt:lpstr>epocas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DANIEL LOSADA IGLESIAS</cp:lastModifiedBy>
  <cp:revision>1</cp:revision>
  <dcterms:created xsi:type="dcterms:W3CDTF">2026-01-02T21:26:37Z</dcterms:created>
  <dcterms:modified xsi:type="dcterms:W3CDTF">2026-02-04T08:24:30Z</dcterms:modified>
  <dc:language>es-ES</dc:language>
</cp:coreProperties>
</file>