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https://upvehueus-my.sharepoint.com/personal/daniel_losada_ehu_eus/Documents/PERSONAL/Antigravity/jsEjemplos/sententia/db/"/>
    </mc:Choice>
  </mc:AlternateContent>
  <xr:revisionPtr revIDLastSave="23" documentId="11_69A0524976854B4F90978ED7692B1DBF80B34356" xr6:coauthVersionLast="47" xr6:coauthVersionMax="47" xr10:uidLastSave="{413A37BF-C5B3-C84C-9804-5D48BA8BDEB7}"/>
  <bookViews>
    <workbookView xWindow="4180" yWindow="500" windowWidth="29420" windowHeight="18800" tabRatio="500" activeTab="1" xr2:uid="{00000000-000D-0000-FFFF-FFFF00000000}"/>
  </bookViews>
  <sheets>
    <sheet name="frases" sheetId="1" r:id="rId1"/>
    <sheet name="autores" sheetId="2" r:id="rId2"/>
    <sheet name="idiomas" sheetId="3" r:id="rId3"/>
    <sheet name="naciones" sheetId="4" r:id="rId4"/>
    <sheet name="epocas" sheetId="5" r:id="rId5"/>
    <sheet name="info"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J125" i="2" l="1"/>
  <c r="H1501" i="1"/>
  <c r="I1501" i="1"/>
  <c r="J1501" i="1"/>
  <c r="K1501" i="1"/>
  <c r="L1501" i="1"/>
  <c r="M1501" i="1"/>
  <c r="N1501" i="1"/>
  <c r="O1501" i="1"/>
  <c r="P1501" i="1"/>
  <c r="Q1501" i="1"/>
  <c r="R1501" i="1"/>
  <c r="G1501" i="1"/>
  <c r="H1500" i="1"/>
  <c r="I1500" i="1"/>
  <c r="J1500" i="1"/>
  <c r="K1500" i="1"/>
  <c r="L1500" i="1"/>
  <c r="M1500" i="1"/>
  <c r="N1500" i="1"/>
  <c r="O1500" i="1"/>
  <c r="P1500" i="1"/>
  <c r="Q1500" i="1"/>
  <c r="R1500" i="1"/>
  <c r="M125" i="2"/>
  <c r="N125" i="2"/>
  <c r="O125" i="2" a="1"/>
  <c r="O125" i="2" s="1"/>
  <c r="P125" i="2" s="1"/>
  <c r="B2" i="6"/>
  <c r="B1" i="6"/>
  <c r="O124" i="2" a="1"/>
  <c r="O124" i="2" s="1"/>
  <c r="P124" i="2" s="1"/>
  <c r="N124" i="2"/>
  <c r="M124" i="2"/>
  <c r="J124" i="2"/>
  <c r="O123" i="2" a="1"/>
  <c r="O123" i="2" s="1"/>
  <c r="P123" i="2" s="1"/>
  <c r="N123" i="2"/>
  <c r="M123" i="2"/>
  <c r="J123" i="2"/>
  <c r="O122" i="2" a="1"/>
  <c r="O122" i="2" s="1"/>
  <c r="P122" i="2" s="1"/>
  <c r="N122" i="2"/>
  <c r="M122" i="2"/>
  <c r="O121" i="2" a="1"/>
  <c r="O121" i="2" s="1"/>
  <c r="P121" i="2" s="1"/>
  <c r="N121" i="2"/>
  <c r="M121" i="2"/>
  <c r="J121" i="2"/>
  <c r="O120" i="2" a="1"/>
  <c r="O120" i="2" s="1"/>
  <c r="P120" i="2" s="1"/>
  <c r="N120" i="2"/>
  <c r="M120" i="2"/>
  <c r="J120" i="2"/>
  <c r="O119" i="2" a="1"/>
  <c r="O119" i="2" s="1"/>
  <c r="P119" i="2" s="1"/>
  <c r="N119" i="2"/>
  <c r="M119" i="2"/>
  <c r="J119" i="2"/>
  <c r="O118" i="2" a="1"/>
  <c r="O118" i="2" s="1"/>
  <c r="P118" i="2" s="1"/>
  <c r="N118" i="2"/>
  <c r="M118" i="2"/>
  <c r="J118" i="2"/>
  <c r="O117" i="2" a="1"/>
  <c r="O117" i="2" s="1"/>
  <c r="P117" i="2" s="1"/>
  <c r="N117" i="2"/>
  <c r="M117" i="2"/>
  <c r="J117" i="2"/>
  <c r="O116" i="2" a="1"/>
  <c r="O116" i="2" s="1"/>
  <c r="P116" i="2" s="1"/>
  <c r="N116" i="2"/>
  <c r="M116" i="2"/>
  <c r="J116" i="2"/>
  <c r="O115" i="2" a="1"/>
  <c r="O115" i="2" s="1"/>
  <c r="P115" i="2" s="1"/>
  <c r="N115" i="2"/>
  <c r="M115" i="2"/>
  <c r="J115" i="2"/>
  <c r="O114" i="2" a="1"/>
  <c r="O114" i="2" s="1"/>
  <c r="P114" i="2" s="1"/>
  <c r="N114" i="2"/>
  <c r="M114" i="2"/>
  <c r="J114" i="2"/>
  <c r="O113" i="2" a="1"/>
  <c r="O113" i="2" s="1"/>
  <c r="P113" i="2" s="1"/>
  <c r="N113" i="2"/>
  <c r="M113" i="2"/>
  <c r="J113" i="2"/>
  <c r="O112" i="2" a="1"/>
  <c r="O112" i="2" s="1"/>
  <c r="P112" i="2" s="1"/>
  <c r="N112" i="2"/>
  <c r="M112" i="2"/>
  <c r="J112" i="2"/>
  <c r="O111" i="2" a="1"/>
  <c r="O111" i="2" s="1"/>
  <c r="P111" i="2" s="1"/>
  <c r="N111" i="2"/>
  <c r="M111" i="2"/>
  <c r="J111" i="2"/>
  <c r="O110" i="2" a="1"/>
  <c r="O110" i="2" s="1"/>
  <c r="P110" i="2" s="1"/>
  <c r="N110" i="2"/>
  <c r="M110" i="2"/>
  <c r="J110" i="2"/>
  <c r="O109" i="2" a="1"/>
  <c r="O109" i="2" s="1"/>
  <c r="P109" i="2" s="1"/>
  <c r="N109" i="2"/>
  <c r="M109" i="2"/>
  <c r="J109" i="2"/>
  <c r="O108" i="2" a="1"/>
  <c r="O108" i="2" s="1"/>
  <c r="P108" i="2" s="1"/>
  <c r="N108" i="2"/>
  <c r="M108" i="2"/>
  <c r="J108" i="2"/>
  <c r="O107" i="2" a="1"/>
  <c r="O107" i="2" s="1"/>
  <c r="P107" i="2" s="1"/>
  <c r="N107" i="2"/>
  <c r="M107" i="2"/>
  <c r="J107" i="2"/>
  <c r="O106" i="2" a="1"/>
  <c r="O106" i="2" s="1"/>
  <c r="P106" i="2" s="1"/>
  <c r="N106" i="2"/>
  <c r="M106" i="2"/>
  <c r="J106" i="2"/>
  <c r="O105" i="2" a="1"/>
  <c r="O105" i="2" s="1"/>
  <c r="P105" i="2" s="1"/>
  <c r="N105" i="2"/>
  <c r="M105" i="2"/>
  <c r="J105" i="2"/>
  <c r="O104" i="2" a="1"/>
  <c r="O104" i="2" s="1"/>
  <c r="P104" i="2" s="1"/>
  <c r="N104" i="2"/>
  <c r="M104" i="2"/>
  <c r="J104" i="2"/>
  <c r="O103" i="2" a="1"/>
  <c r="O103" i="2" s="1"/>
  <c r="P103" i="2" s="1"/>
  <c r="N103" i="2"/>
  <c r="M103" i="2"/>
  <c r="J103" i="2"/>
  <c r="O102" i="2" a="1"/>
  <c r="O102" i="2" s="1"/>
  <c r="P102" i="2" s="1"/>
  <c r="N102" i="2"/>
  <c r="M102" i="2"/>
  <c r="J102" i="2"/>
  <c r="O101" i="2" a="1"/>
  <c r="O101" i="2" s="1"/>
  <c r="P101" i="2" s="1"/>
  <c r="N101" i="2"/>
  <c r="M101" i="2"/>
  <c r="J101" i="2"/>
  <c r="O100" i="2" a="1"/>
  <c r="O100" i="2" s="1"/>
  <c r="P100" i="2" s="1"/>
  <c r="N100" i="2"/>
  <c r="M100" i="2"/>
  <c r="J100" i="2"/>
  <c r="O99" i="2" a="1"/>
  <c r="O99" i="2" s="1"/>
  <c r="P99" i="2" s="1"/>
  <c r="N99" i="2"/>
  <c r="M99" i="2"/>
  <c r="J99" i="2"/>
  <c r="O98" i="2" a="1"/>
  <c r="O98" i="2" s="1"/>
  <c r="P98" i="2" s="1"/>
  <c r="N98" i="2"/>
  <c r="M98" i="2"/>
  <c r="J98" i="2"/>
  <c r="O97" i="2" a="1"/>
  <c r="O97" i="2" s="1"/>
  <c r="P97" i="2" s="1"/>
  <c r="N97" i="2"/>
  <c r="M97" i="2"/>
  <c r="J97" i="2"/>
  <c r="O96" i="2" a="1"/>
  <c r="O96" i="2" s="1"/>
  <c r="P96" i="2" s="1"/>
  <c r="N96" i="2"/>
  <c r="M96" i="2"/>
  <c r="J96" i="2"/>
  <c r="O95" i="2" a="1"/>
  <c r="O95" i="2" s="1"/>
  <c r="P95" i="2" s="1"/>
  <c r="N95" i="2"/>
  <c r="M95" i="2"/>
  <c r="J95" i="2"/>
  <c r="O94" i="2" a="1"/>
  <c r="O94" i="2" s="1"/>
  <c r="P94" i="2" s="1"/>
  <c r="N94" i="2"/>
  <c r="M94" i="2"/>
  <c r="J94" i="2"/>
  <c r="O93" i="2" a="1"/>
  <c r="O93" i="2" s="1"/>
  <c r="P93" i="2" s="1"/>
  <c r="N93" i="2"/>
  <c r="M93" i="2"/>
  <c r="J93" i="2"/>
  <c r="O92" i="2" a="1"/>
  <c r="O92" i="2" s="1"/>
  <c r="P92" i="2" s="1"/>
  <c r="N92" i="2"/>
  <c r="M92" i="2"/>
  <c r="J92" i="2"/>
  <c r="O91" i="2" a="1"/>
  <c r="O91" i="2" s="1"/>
  <c r="P91" i="2" s="1"/>
  <c r="N91" i="2"/>
  <c r="M91" i="2"/>
  <c r="J91" i="2"/>
  <c r="O90" i="2" a="1"/>
  <c r="O90" i="2" s="1"/>
  <c r="P90" i="2" s="1"/>
  <c r="N90" i="2"/>
  <c r="M90" i="2"/>
  <c r="J90" i="2"/>
  <c r="O89" i="2" a="1"/>
  <c r="O89" i="2" s="1"/>
  <c r="P89" i="2" s="1"/>
  <c r="N89" i="2"/>
  <c r="M89" i="2"/>
  <c r="J89" i="2"/>
  <c r="O88" i="2" a="1"/>
  <c r="O88" i="2" s="1"/>
  <c r="P88" i="2" s="1"/>
  <c r="N88" i="2"/>
  <c r="M88" i="2"/>
  <c r="J88" i="2"/>
  <c r="O87" i="2" a="1"/>
  <c r="O87" i="2" s="1"/>
  <c r="P87" i="2" s="1"/>
  <c r="N87" i="2"/>
  <c r="M87" i="2"/>
  <c r="J87" i="2"/>
  <c r="O86" i="2" a="1"/>
  <c r="O86" i="2" s="1"/>
  <c r="P86" i="2" s="1"/>
  <c r="N86" i="2"/>
  <c r="M86" i="2"/>
  <c r="J86" i="2"/>
  <c r="O85" i="2" a="1"/>
  <c r="O85" i="2" s="1"/>
  <c r="P85" i="2" s="1"/>
  <c r="N85" i="2"/>
  <c r="M85" i="2"/>
  <c r="J85" i="2"/>
  <c r="O84" i="2" a="1"/>
  <c r="O84" i="2" s="1"/>
  <c r="P84" i="2" s="1"/>
  <c r="N84" i="2"/>
  <c r="M84" i="2"/>
  <c r="J84" i="2"/>
  <c r="O83" i="2" a="1"/>
  <c r="O83" i="2" s="1"/>
  <c r="P83" i="2" s="1"/>
  <c r="N83" i="2"/>
  <c r="M83" i="2"/>
  <c r="J83" i="2"/>
  <c r="O82" i="2" a="1"/>
  <c r="O82" i="2" s="1"/>
  <c r="P82" i="2" s="1"/>
  <c r="N82" i="2"/>
  <c r="M82" i="2"/>
  <c r="J82" i="2"/>
  <c r="O81" i="2" a="1"/>
  <c r="O81" i="2" s="1"/>
  <c r="P81" i="2" s="1"/>
  <c r="N81" i="2"/>
  <c r="M81" i="2"/>
  <c r="J81" i="2"/>
  <c r="O80" i="2" a="1"/>
  <c r="O80" i="2" s="1"/>
  <c r="P80" i="2" s="1"/>
  <c r="N80" i="2"/>
  <c r="M80" i="2"/>
  <c r="J80" i="2"/>
  <c r="O79" i="2" a="1"/>
  <c r="O79" i="2" s="1"/>
  <c r="P79" i="2" s="1"/>
  <c r="N79" i="2"/>
  <c r="M79" i="2"/>
  <c r="J79" i="2"/>
  <c r="O78" i="2" a="1"/>
  <c r="O78" i="2" s="1"/>
  <c r="P78" i="2" s="1"/>
  <c r="N78" i="2"/>
  <c r="M78" i="2"/>
  <c r="J78" i="2"/>
  <c r="O77" i="2" a="1"/>
  <c r="O77" i="2" s="1"/>
  <c r="P77" i="2" s="1"/>
  <c r="N77" i="2"/>
  <c r="M77" i="2"/>
  <c r="J77" i="2"/>
  <c r="O76" i="2" a="1"/>
  <c r="O76" i="2" s="1"/>
  <c r="P76" i="2" s="1"/>
  <c r="N76" i="2"/>
  <c r="M76" i="2"/>
  <c r="J76" i="2"/>
  <c r="O75" i="2" a="1"/>
  <c r="O75" i="2" s="1"/>
  <c r="P75" i="2" s="1"/>
  <c r="N75" i="2"/>
  <c r="M75" i="2"/>
  <c r="J75" i="2"/>
  <c r="O74" i="2" a="1"/>
  <c r="O74" i="2" s="1"/>
  <c r="P74" i="2" s="1"/>
  <c r="N74" i="2"/>
  <c r="M74" i="2"/>
  <c r="J74" i="2"/>
  <c r="O73" i="2" a="1"/>
  <c r="O73" i="2" s="1"/>
  <c r="P73" i="2" s="1"/>
  <c r="N73" i="2"/>
  <c r="M73" i="2"/>
  <c r="J73" i="2"/>
  <c r="O72" i="2" a="1"/>
  <c r="O72" i="2" s="1"/>
  <c r="P72" i="2" s="1"/>
  <c r="N72" i="2"/>
  <c r="M72" i="2"/>
  <c r="J72" i="2"/>
  <c r="O71" i="2" a="1"/>
  <c r="O71" i="2" s="1"/>
  <c r="P71" i="2" s="1"/>
  <c r="N71" i="2"/>
  <c r="M71" i="2"/>
  <c r="J71" i="2"/>
  <c r="O70" i="2" a="1"/>
  <c r="O70" i="2" s="1"/>
  <c r="P70" i="2" s="1"/>
  <c r="N70" i="2"/>
  <c r="M70" i="2"/>
  <c r="J70" i="2"/>
  <c r="O69" i="2" a="1"/>
  <c r="O69" i="2" s="1"/>
  <c r="P69" i="2" s="1"/>
  <c r="N69" i="2"/>
  <c r="M69" i="2"/>
  <c r="J69" i="2"/>
  <c r="O68" i="2" a="1"/>
  <c r="O68" i="2" s="1"/>
  <c r="P68" i="2" s="1"/>
  <c r="N68" i="2"/>
  <c r="M68" i="2"/>
  <c r="J68" i="2"/>
  <c r="O67" i="2" a="1"/>
  <c r="O67" i="2" s="1"/>
  <c r="P67" i="2" s="1"/>
  <c r="N67" i="2"/>
  <c r="M67" i="2"/>
  <c r="J67" i="2"/>
  <c r="O66" i="2" a="1"/>
  <c r="O66" i="2" s="1"/>
  <c r="P66" i="2" s="1"/>
  <c r="N66" i="2"/>
  <c r="M66" i="2"/>
  <c r="J66" i="2"/>
  <c r="O65" i="2" a="1"/>
  <c r="O65" i="2" s="1"/>
  <c r="P65" i="2" s="1"/>
  <c r="N65" i="2"/>
  <c r="M65" i="2"/>
  <c r="J65" i="2"/>
  <c r="O64" i="2" a="1"/>
  <c r="O64" i="2" s="1"/>
  <c r="P64" i="2" s="1"/>
  <c r="N64" i="2"/>
  <c r="M64" i="2"/>
  <c r="J64" i="2"/>
  <c r="O63" i="2" a="1"/>
  <c r="O63" i="2" s="1"/>
  <c r="P63" i="2" s="1"/>
  <c r="N63" i="2"/>
  <c r="M63" i="2"/>
  <c r="J63" i="2"/>
  <c r="O62" i="2" a="1"/>
  <c r="O62" i="2" s="1"/>
  <c r="P62" i="2" s="1"/>
  <c r="N62" i="2"/>
  <c r="M62" i="2"/>
  <c r="J62" i="2"/>
  <c r="O61" i="2" a="1"/>
  <c r="O61" i="2" s="1"/>
  <c r="P61" i="2" s="1"/>
  <c r="N61" i="2"/>
  <c r="M61" i="2"/>
  <c r="J61" i="2"/>
  <c r="O60" i="2" a="1"/>
  <c r="O60" i="2" s="1"/>
  <c r="P60" i="2" s="1"/>
  <c r="N60" i="2"/>
  <c r="M60" i="2"/>
  <c r="J60" i="2"/>
  <c r="O59" i="2" a="1"/>
  <c r="O59" i="2" s="1"/>
  <c r="P59" i="2" s="1"/>
  <c r="N59" i="2"/>
  <c r="M59" i="2"/>
  <c r="J59" i="2"/>
  <c r="O58" i="2" a="1"/>
  <c r="O58" i="2" s="1"/>
  <c r="P58" i="2" s="1"/>
  <c r="N58" i="2"/>
  <c r="M58" i="2"/>
  <c r="J58" i="2"/>
  <c r="O57" i="2" a="1"/>
  <c r="O57" i="2" s="1"/>
  <c r="P57" i="2" s="1"/>
  <c r="N57" i="2"/>
  <c r="M57" i="2"/>
  <c r="J57" i="2"/>
  <c r="O56" i="2" a="1"/>
  <c r="O56" i="2" s="1"/>
  <c r="P56" i="2" s="1"/>
  <c r="N56" i="2"/>
  <c r="M56" i="2"/>
  <c r="J56" i="2"/>
  <c r="O55" i="2" a="1"/>
  <c r="O55" i="2" s="1"/>
  <c r="P55" i="2" s="1"/>
  <c r="N55" i="2"/>
  <c r="M55" i="2"/>
  <c r="J55" i="2"/>
  <c r="O54" i="2" a="1"/>
  <c r="O54" i="2" s="1"/>
  <c r="P54" i="2" s="1"/>
  <c r="N54" i="2"/>
  <c r="M54" i="2"/>
  <c r="J54" i="2"/>
  <c r="O53" i="2" a="1"/>
  <c r="O53" i="2" s="1"/>
  <c r="P53" i="2" s="1"/>
  <c r="N53" i="2"/>
  <c r="M53" i="2"/>
  <c r="J53" i="2"/>
  <c r="O52" i="2" a="1"/>
  <c r="O52" i="2" s="1"/>
  <c r="P52" i="2" s="1"/>
  <c r="N52" i="2"/>
  <c r="M52" i="2"/>
  <c r="J52" i="2"/>
  <c r="O51" i="2" a="1"/>
  <c r="O51" i="2" s="1"/>
  <c r="P51" i="2" s="1"/>
  <c r="N51" i="2"/>
  <c r="M51" i="2"/>
  <c r="J51" i="2"/>
  <c r="O50" i="2" a="1"/>
  <c r="O50" i="2" s="1"/>
  <c r="P50" i="2" s="1"/>
  <c r="N50" i="2"/>
  <c r="M50" i="2"/>
  <c r="J50" i="2"/>
  <c r="O49" i="2" a="1"/>
  <c r="O49" i="2" s="1"/>
  <c r="P49" i="2" s="1"/>
  <c r="N49" i="2"/>
  <c r="M49" i="2"/>
  <c r="J49" i="2"/>
  <c r="O48" i="2" a="1"/>
  <c r="O48" i="2" s="1"/>
  <c r="P48" i="2" s="1"/>
  <c r="N48" i="2"/>
  <c r="M48" i="2"/>
  <c r="J48" i="2"/>
  <c r="O47" i="2" a="1"/>
  <c r="O47" i="2" s="1"/>
  <c r="P47" i="2" s="1"/>
  <c r="N47" i="2"/>
  <c r="M47" i="2"/>
  <c r="J47" i="2"/>
  <c r="O46" i="2" a="1"/>
  <c r="O46" i="2" s="1"/>
  <c r="P46" i="2" s="1"/>
  <c r="N46" i="2"/>
  <c r="M46" i="2"/>
  <c r="J46" i="2"/>
  <c r="O45" i="2" a="1"/>
  <c r="O45" i="2" s="1"/>
  <c r="P45" i="2" s="1"/>
  <c r="N45" i="2"/>
  <c r="M45" i="2"/>
  <c r="J45" i="2"/>
  <c r="O44" i="2" a="1"/>
  <c r="O44" i="2" s="1"/>
  <c r="P44" i="2" s="1"/>
  <c r="N44" i="2"/>
  <c r="M44" i="2"/>
  <c r="J44" i="2"/>
  <c r="O43" i="2" a="1"/>
  <c r="O43" i="2" s="1"/>
  <c r="P43" i="2" s="1"/>
  <c r="N43" i="2"/>
  <c r="M43" i="2"/>
  <c r="J43" i="2"/>
  <c r="O42" i="2" a="1"/>
  <c r="O42" i="2" s="1"/>
  <c r="P42" i="2" s="1"/>
  <c r="N42" i="2"/>
  <c r="M42" i="2"/>
  <c r="J42" i="2"/>
  <c r="O41" i="2" a="1"/>
  <c r="O41" i="2" s="1"/>
  <c r="P41" i="2" s="1"/>
  <c r="N41" i="2"/>
  <c r="M41" i="2"/>
  <c r="J41" i="2"/>
  <c r="O40" i="2" a="1"/>
  <c r="O40" i="2" s="1"/>
  <c r="P40" i="2" s="1"/>
  <c r="N40" i="2"/>
  <c r="M40" i="2"/>
  <c r="J40" i="2"/>
  <c r="O39" i="2" a="1"/>
  <c r="O39" i="2" s="1"/>
  <c r="P39" i="2" s="1"/>
  <c r="N39" i="2"/>
  <c r="M39" i="2"/>
  <c r="J39" i="2"/>
  <c r="O38" i="2" a="1"/>
  <c r="O38" i="2" s="1"/>
  <c r="P38" i="2" s="1"/>
  <c r="N38" i="2"/>
  <c r="M38" i="2"/>
  <c r="J38" i="2"/>
  <c r="O37" i="2" a="1"/>
  <c r="O37" i="2" s="1"/>
  <c r="P37" i="2" s="1"/>
  <c r="N37" i="2"/>
  <c r="M37" i="2"/>
  <c r="J37" i="2"/>
  <c r="O36" i="2" a="1"/>
  <c r="O36" i="2" s="1"/>
  <c r="P36" i="2" s="1"/>
  <c r="N36" i="2"/>
  <c r="M36" i="2"/>
  <c r="J36" i="2"/>
  <c r="O35" i="2" a="1"/>
  <c r="O35" i="2" s="1"/>
  <c r="P35" i="2" s="1"/>
  <c r="N35" i="2"/>
  <c r="M35" i="2"/>
  <c r="J35" i="2"/>
  <c r="O34" i="2" a="1"/>
  <c r="O34" i="2" s="1"/>
  <c r="P34" i="2" s="1"/>
  <c r="N34" i="2"/>
  <c r="M34" i="2"/>
  <c r="J34" i="2"/>
  <c r="O33" i="2" a="1"/>
  <c r="O33" i="2" s="1"/>
  <c r="N33" i="2"/>
  <c r="M33" i="2"/>
  <c r="J33" i="2"/>
  <c r="O32" i="2" a="1"/>
  <c r="O32" i="2" s="1"/>
  <c r="P32" i="2" s="1"/>
  <c r="N32" i="2"/>
  <c r="M32" i="2"/>
  <c r="J32" i="2"/>
  <c r="O31" i="2" a="1"/>
  <c r="O31" i="2" s="1"/>
  <c r="P31" i="2" s="1"/>
  <c r="N31" i="2"/>
  <c r="M31" i="2"/>
  <c r="J31" i="2"/>
  <c r="O30" i="2" a="1"/>
  <c r="O30" i="2" s="1"/>
  <c r="P30" i="2" s="1"/>
  <c r="N30" i="2"/>
  <c r="M30" i="2"/>
  <c r="J30" i="2"/>
  <c r="O29" i="2" a="1"/>
  <c r="O29" i="2" s="1"/>
  <c r="N29" i="2"/>
  <c r="M29" i="2"/>
  <c r="J29" i="2"/>
  <c r="O28" i="2" a="1"/>
  <c r="O28" i="2" s="1"/>
  <c r="N28" i="2"/>
  <c r="M28" i="2"/>
  <c r="J28" i="2"/>
  <c r="O27" i="2" a="1"/>
  <c r="O27" i="2" s="1"/>
  <c r="P27" i="2" s="1"/>
  <c r="N27" i="2"/>
  <c r="M27" i="2"/>
  <c r="J27" i="2"/>
  <c r="O26" i="2" a="1"/>
  <c r="O26" i="2" s="1"/>
  <c r="P26" i="2" s="1"/>
  <c r="N26" i="2"/>
  <c r="M26" i="2"/>
  <c r="J26" i="2"/>
  <c r="O25" i="2" a="1"/>
  <c r="O25" i="2" s="1"/>
  <c r="P25" i="2" s="1"/>
  <c r="N25" i="2"/>
  <c r="M25" i="2"/>
  <c r="J25" i="2"/>
  <c r="O24" i="2" a="1"/>
  <c r="O24" i="2" s="1"/>
  <c r="P24" i="2" s="1"/>
  <c r="N24" i="2"/>
  <c r="M24" i="2"/>
  <c r="J24" i="2"/>
  <c r="O23" i="2" a="1"/>
  <c r="O23" i="2" s="1"/>
  <c r="P23" i="2" s="1"/>
  <c r="N23" i="2"/>
  <c r="M23" i="2"/>
  <c r="J23" i="2"/>
  <c r="O22" i="2" a="1"/>
  <c r="O22" i="2" s="1"/>
  <c r="P22" i="2" s="1"/>
  <c r="N22" i="2"/>
  <c r="M22" i="2"/>
  <c r="J22" i="2"/>
  <c r="O21" i="2" a="1"/>
  <c r="O21" i="2" s="1"/>
  <c r="N21" i="2"/>
  <c r="M21" i="2"/>
  <c r="J21" i="2"/>
  <c r="O20" i="2" a="1"/>
  <c r="O20" i="2" s="1"/>
  <c r="P20" i="2" s="1"/>
  <c r="N20" i="2"/>
  <c r="M20" i="2"/>
  <c r="J20" i="2"/>
  <c r="O19" i="2" a="1"/>
  <c r="O19" i="2" s="1"/>
  <c r="N19" i="2"/>
  <c r="M19" i="2"/>
  <c r="J19" i="2"/>
  <c r="O18" i="2" a="1"/>
  <c r="O18" i="2" s="1"/>
  <c r="P18" i="2" s="1"/>
  <c r="N18" i="2"/>
  <c r="M18" i="2"/>
  <c r="J18" i="2"/>
  <c r="O17" i="2" a="1"/>
  <c r="O17" i="2" s="1"/>
  <c r="N17" i="2"/>
  <c r="M17" i="2"/>
  <c r="J17" i="2"/>
  <c r="O16" i="2" a="1"/>
  <c r="O16" i="2" s="1"/>
  <c r="P16" i="2" s="1"/>
  <c r="N16" i="2"/>
  <c r="M16" i="2"/>
  <c r="J16" i="2"/>
  <c r="O15" i="2" a="1"/>
  <c r="O15" i="2" s="1"/>
  <c r="P15" i="2" s="1"/>
  <c r="N15" i="2"/>
  <c r="M15" i="2"/>
  <c r="J15" i="2"/>
  <c r="O14" i="2" a="1"/>
  <c r="O14" i="2" s="1"/>
  <c r="N14" i="2"/>
  <c r="M14" i="2"/>
  <c r="J14" i="2"/>
  <c r="O13" i="2" a="1"/>
  <c r="O13" i="2" s="1"/>
  <c r="P13" i="2" s="1"/>
  <c r="N13" i="2"/>
  <c r="M13" i="2"/>
  <c r="J13" i="2"/>
  <c r="O12" i="2" a="1"/>
  <c r="O12" i="2" s="1"/>
  <c r="P12" i="2" s="1"/>
  <c r="N12" i="2"/>
  <c r="M12" i="2"/>
  <c r="J12" i="2"/>
  <c r="O11" i="2" a="1"/>
  <c r="O11" i="2" s="1"/>
  <c r="P11" i="2" s="1"/>
  <c r="N11" i="2"/>
  <c r="M11" i="2"/>
  <c r="J11" i="2"/>
  <c r="O10" i="2" a="1"/>
  <c r="O10" i="2" s="1"/>
  <c r="N10" i="2"/>
  <c r="M10" i="2"/>
  <c r="J10" i="2"/>
  <c r="O9" i="2" a="1"/>
  <c r="O9" i="2" s="1"/>
  <c r="O1338" i="1" s="1"/>
  <c r="N9" i="2"/>
  <c r="M9" i="2"/>
  <c r="J9" i="2"/>
  <c r="O8" i="2" a="1"/>
  <c r="O8" i="2" s="1"/>
  <c r="P8" i="2" s="1"/>
  <c r="N8" i="2"/>
  <c r="M8" i="2"/>
  <c r="J8" i="2"/>
  <c r="O7" i="2" a="1"/>
  <c r="O7" i="2" s="1"/>
  <c r="P7" i="2" s="1"/>
  <c r="N7" i="2"/>
  <c r="M7" i="2"/>
  <c r="J7" i="2"/>
  <c r="O6" i="2" a="1"/>
  <c r="O6" i="2" s="1"/>
  <c r="P6" i="2" s="1"/>
  <c r="N6" i="2"/>
  <c r="M6" i="2"/>
  <c r="J6" i="2"/>
  <c r="O5" i="2" a="1"/>
  <c r="O5" i="2" s="1"/>
  <c r="P5" i="2" s="1"/>
  <c r="N5" i="2"/>
  <c r="M5" i="2"/>
  <c r="J5" i="2"/>
  <c r="O4" i="2" a="1"/>
  <c r="O4" i="2" s="1"/>
  <c r="P4" i="2" s="1"/>
  <c r="N4" i="2"/>
  <c r="M4" i="2"/>
  <c r="J4" i="2"/>
  <c r="O3" i="2" a="1"/>
  <c r="O3" i="2" s="1"/>
  <c r="N3" i="2"/>
  <c r="M3" i="2"/>
  <c r="J3" i="2"/>
  <c r="O2" i="2" a="1"/>
  <c r="O2" i="2" s="1"/>
  <c r="N2" i="2"/>
  <c r="M2" i="2"/>
  <c r="J1493" i="1" s="1"/>
  <c r="J2" i="2"/>
  <c r="G1500" i="1"/>
  <c r="R1499" i="1"/>
  <c r="Q1499" i="1"/>
  <c r="P1499" i="1"/>
  <c r="O1499" i="1"/>
  <c r="N1499" i="1"/>
  <c r="M1499" i="1"/>
  <c r="L1499" i="1"/>
  <c r="K1499" i="1"/>
  <c r="J1499" i="1"/>
  <c r="I1499" i="1"/>
  <c r="H1499" i="1"/>
  <c r="G1499" i="1"/>
  <c r="R1498" i="1"/>
  <c r="Q1498" i="1"/>
  <c r="P1498" i="1"/>
  <c r="O1498" i="1"/>
  <c r="N1498" i="1"/>
  <c r="M1498" i="1"/>
  <c r="L1498" i="1"/>
  <c r="K1498" i="1"/>
  <c r="J1498" i="1"/>
  <c r="I1498" i="1"/>
  <c r="H1498" i="1"/>
  <c r="G1498" i="1"/>
  <c r="R1497" i="1"/>
  <c r="Q1497" i="1"/>
  <c r="P1497" i="1"/>
  <c r="O1497" i="1"/>
  <c r="N1497" i="1"/>
  <c r="M1497" i="1"/>
  <c r="L1497" i="1"/>
  <c r="K1497" i="1"/>
  <c r="J1497" i="1"/>
  <c r="I1497" i="1"/>
  <c r="H1497" i="1"/>
  <c r="G1497" i="1"/>
  <c r="R1496" i="1"/>
  <c r="Q1496" i="1"/>
  <c r="P1496" i="1"/>
  <c r="O1496" i="1"/>
  <c r="N1496" i="1"/>
  <c r="M1496" i="1"/>
  <c r="L1496" i="1"/>
  <c r="K1496" i="1"/>
  <c r="J1496" i="1"/>
  <c r="I1496" i="1"/>
  <c r="H1496" i="1"/>
  <c r="G1496" i="1"/>
  <c r="R1495" i="1"/>
  <c r="Q1495" i="1"/>
  <c r="N1495" i="1"/>
  <c r="M1495" i="1"/>
  <c r="L1495" i="1"/>
  <c r="K1495" i="1"/>
  <c r="I1495" i="1"/>
  <c r="H1495" i="1"/>
  <c r="G1495" i="1"/>
  <c r="R1494" i="1"/>
  <c r="Q1494" i="1"/>
  <c r="N1494" i="1"/>
  <c r="M1494" i="1"/>
  <c r="L1494" i="1"/>
  <c r="K1494" i="1"/>
  <c r="I1494" i="1"/>
  <c r="H1494" i="1"/>
  <c r="G1494" i="1"/>
  <c r="R1493" i="1"/>
  <c r="Q1493" i="1"/>
  <c r="N1493" i="1"/>
  <c r="M1493" i="1"/>
  <c r="L1493" i="1"/>
  <c r="K1493" i="1"/>
  <c r="I1493" i="1"/>
  <c r="H1493" i="1"/>
  <c r="G1493" i="1"/>
  <c r="R1492" i="1"/>
  <c r="Q1492" i="1"/>
  <c r="N1492" i="1"/>
  <c r="M1492" i="1"/>
  <c r="L1492" i="1"/>
  <c r="K1492" i="1"/>
  <c r="I1492" i="1"/>
  <c r="H1492" i="1"/>
  <c r="G1492" i="1"/>
  <c r="R1491" i="1"/>
  <c r="Q1491" i="1"/>
  <c r="N1491" i="1"/>
  <c r="M1491" i="1"/>
  <c r="L1491" i="1"/>
  <c r="K1491" i="1"/>
  <c r="I1491" i="1"/>
  <c r="H1491" i="1"/>
  <c r="G1491" i="1"/>
  <c r="R1490" i="1"/>
  <c r="Q1490" i="1"/>
  <c r="N1490" i="1"/>
  <c r="M1490" i="1"/>
  <c r="L1490" i="1"/>
  <c r="K1490" i="1"/>
  <c r="I1490" i="1"/>
  <c r="H1490" i="1"/>
  <c r="G1490" i="1"/>
  <c r="R1489" i="1"/>
  <c r="Q1489" i="1"/>
  <c r="N1489" i="1"/>
  <c r="M1489" i="1"/>
  <c r="L1489" i="1"/>
  <c r="K1489" i="1"/>
  <c r="I1489" i="1"/>
  <c r="H1489" i="1"/>
  <c r="G1489" i="1"/>
  <c r="R1488" i="1"/>
  <c r="Q1488" i="1"/>
  <c r="P1488" i="1"/>
  <c r="O1488" i="1"/>
  <c r="N1488" i="1"/>
  <c r="M1488" i="1"/>
  <c r="L1488" i="1"/>
  <c r="K1488" i="1"/>
  <c r="J1488" i="1"/>
  <c r="I1488" i="1"/>
  <c r="H1488" i="1"/>
  <c r="G1488" i="1"/>
  <c r="R1487" i="1"/>
  <c r="Q1487" i="1"/>
  <c r="P1487" i="1"/>
  <c r="O1487" i="1"/>
  <c r="N1487" i="1"/>
  <c r="M1487" i="1"/>
  <c r="L1487" i="1"/>
  <c r="K1487" i="1"/>
  <c r="J1487" i="1"/>
  <c r="I1487" i="1"/>
  <c r="H1487" i="1"/>
  <c r="G1487" i="1"/>
  <c r="R1486" i="1"/>
  <c r="Q1486" i="1"/>
  <c r="P1486" i="1"/>
  <c r="O1486" i="1"/>
  <c r="N1486" i="1"/>
  <c r="M1486" i="1"/>
  <c r="L1486" i="1"/>
  <c r="K1486" i="1"/>
  <c r="J1486" i="1"/>
  <c r="I1486" i="1"/>
  <c r="H1486" i="1"/>
  <c r="G1486" i="1"/>
  <c r="R1485" i="1"/>
  <c r="Q1485" i="1"/>
  <c r="P1485" i="1"/>
  <c r="O1485" i="1"/>
  <c r="N1485" i="1"/>
  <c r="M1485" i="1"/>
  <c r="L1485" i="1"/>
  <c r="K1485" i="1"/>
  <c r="J1485" i="1"/>
  <c r="I1485" i="1"/>
  <c r="H1485" i="1"/>
  <c r="G1485" i="1"/>
  <c r="R1484" i="1"/>
  <c r="Q1484" i="1"/>
  <c r="P1484" i="1"/>
  <c r="O1484" i="1"/>
  <c r="N1484" i="1"/>
  <c r="M1484" i="1"/>
  <c r="L1484" i="1"/>
  <c r="K1484" i="1"/>
  <c r="J1484" i="1"/>
  <c r="I1484" i="1"/>
  <c r="H1484" i="1"/>
  <c r="G1484" i="1"/>
  <c r="R1483" i="1"/>
  <c r="Q1483" i="1"/>
  <c r="P1483" i="1"/>
  <c r="O1483" i="1"/>
  <c r="N1483" i="1"/>
  <c r="M1483" i="1"/>
  <c r="L1483" i="1"/>
  <c r="K1483" i="1"/>
  <c r="J1483" i="1"/>
  <c r="I1483" i="1"/>
  <c r="H1483" i="1"/>
  <c r="G1483" i="1"/>
  <c r="R1482" i="1"/>
  <c r="Q1482" i="1"/>
  <c r="P1482" i="1"/>
  <c r="O1482" i="1"/>
  <c r="N1482" i="1"/>
  <c r="M1482" i="1"/>
  <c r="L1482" i="1"/>
  <c r="K1482" i="1"/>
  <c r="J1482" i="1"/>
  <c r="I1482" i="1"/>
  <c r="H1482" i="1"/>
  <c r="G1482" i="1"/>
  <c r="R1481" i="1"/>
  <c r="Q1481" i="1"/>
  <c r="P1481" i="1"/>
  <c r="O1481" i="1"/>
  <c r="N1481" i="1"/>
  <c r="M1481" i="1"/>
  <c r="L1481" i="1"/>
  <c r="K1481" i="1"/>
  <c r="J1481" i="1"/>
  <c r="I1481" i="1"/>
  <c r="H1481" i="1"/>
  <c r="G1481" i="1"/>
  <c r="R1480" i="1"/>
  <c r="Q1480" i="1"/>
  <c r="P1480" i="1"/>
  <c r="O1480" i="1"/>
  <c r="N1480" i="1"/>
  <c r="M1480" i="1"/>
  <c r="L1480" i="1"/>
  <c r="K1480" i="1"/>
  <c r="J1480" i="1"/>
  <c r="I1480" i="1"/>
  <c r="H1480" i="1"/>
  <c r="G1480" i="1"/>
  <c r="R1479" i="1"/>
  <c r="Q1479" i="1"/>
  <c r="P1479" i="1"/>
  <c r="O1479" i="1"/>
  <c r="N1479" i="1"/>
  <c r="M1479" i="1"/>
  <c r="L1479" i="1"/>
  <c r="K1479" i="1"/>
  <c r="J1479" i="1"/>
  <c r="I1479" i="1"/>
  <c r="H1479" i="1"/>
  <c r="G1479" i="1"/>
  <c r="R1478" i="1"/>
  <c r="Q1478" i="1"/>
  <c r="P1478" i="1"/>
  <c r="O1478" i="1"/>
  <c r="N1478" i="1"/>
  <c r="M1478" i="1"/>
  <c r="L1478" i="1"/>
  <c r="K1478" i="1"/>
  <c r="J1478" i="1"/>
  <c r="I1478" i="1"/>
  <c r="H1478" i="1"/>
  <c r="G1478" i="1"/>
  <c r="R1477" i="1"/>
  <c r="Q1477" i="1"/>
  <c r="P1477" i="1"/>
  <c r="O1477" i="1"/>
  <c r="N1477" i="1"/>
  <c r="M1477" i="1"/>
  <c r="L1477" i="1"/>
  <c r="K1477" i="1"/>
  <c r="J1477" i="1"/>
  <c r="I1477" i="1"/>
  <c r="H1477" i="1"/>
  <c r="G1477" i="1"/>
  <c r="R1476" i="1"/>
  <c r="Q1476" i="1"/>
  <c r="P1476" i="1"/>
  <c r="O1476" i="1"/>
  <c r="N1476" i="1"/>
  <c r="M1476" i="1"/>
  <c r="L1476" i="1"/>
  <c r="K1476" i="1"/>
  <c r="J1476" i="1"/>
  <c r="I1476" i="1"/>
  <c r="H1476" i="1"/>
  <c r="G1476" i="1"/>
  <c r="R1475" i="1"/>
  <c r="Q1475" i="1"/>
  <c r="P1475" i="1"/>
  <c r="O1475" i="1"/>
  <c r="N1475" i="1"/>
  <c r="M1475" i="1"/>
  <c r="L1475" i="1"/>
  <c r="K1475" i="1"/>
  <c r="J1475" i="1"/>
  <c r="I1475" i="1"/>
  <c r="H1475" i="1"/>
  <c r="G1475" i="1"/>
  <c r="R1474" i="1"/>
  <c r="Q1474" i="1"/>
  <c r="P1474" i="1"/>
  <c r="O1474" i="1"/>
  <c r="N1474" i="1"/>
  <c r="M1474" i="1"/>
  <c r="L1474" i="1"/>
  <c r="K1474" i="1"/>
  <c r="J1474" i="1"/>
  <c r="I1474" i="1"/>
  <c r="H1474" i="1"/>
  <c r="G1474" i="1"/>
  <c r="R1473" i="1"/>
  <c r="Q1473" i="1"/>
  <c r="P1473" i="1"/>
  <c r="O1473" i="1"/>
  <c r="N1473" i="1"/>
  <c r="M1473" i="1"/>
  <c r="L1473" i="1"/>
  <c r="K1473" i="1"/>
  <c r="J1473" i="1"/>
  <c r="I1473" i="1"/>
  <c r="H1473" i="1"/>
  <c r="G1473" i="1"/>
  <c r="R1472" i="1"/>
  <c r="Q1472" i="1"/>
  <c r="P1472" i="1"/>
  <c r="O1472" i="1"/>
  <c r="N1472" i="1"/>
  <c r="M1472" i="1"/>
  <c r="L1472" i="1"/>
  <c r="K1472" i="1"/>
  <c r="J1472" i="1"/>
  <c r="I1472" i="1"/>
  <c r="H1472" i="1"/>
  <c r="G1472" i="1"/>
  <c r="R1471" i="1"/>
  <c r="Q1471" i="1"/>
  <c r="P1471" i="1"/>
  <c r="O1471" i="1"/>
  <c r="N1471" i="1"/>
  <c r="M1471" i="1"/>
  <c r="L1471" i="1"/>
  <c r="K1471" i="1"/>
  <c r="J1471" i="1"/>
  <c r="I1471" i="1"/>
  <c r="H1471" i="1"/>
  <c r="G1471" i="1"/>
  <c r="R1470" i="1"/>
  <c r="Q1470" i="1"/>
  <c r="P1470" i="1"/>
  <c r="O1470" i="1"/>
  <c r="N1470" i="1"/>
  <c r="M1470" i="1"/>
  <c r="L1470" i="1"/>
  <c r="K1470" i="1"/>
  <c r="J1470" i="1"/>
  <c r="I1470" i="1"/>
  <c r="H1470" i="1"/>
  <c r="G1470" i="1"/>
  <c r="R1469" i="1"/>
  <c r="Q1469" i="1"/>
  <c r="P1469" i="1"/>
  <c r="O1469" i="1"/>
  <c r="N1469" i="1"/>
  <c r="M1469" i="1"/>
  <c r="L1469" i="1"/>
  <c r="K1469" i="1"/>
  <c r="J1469" i="1"/>
  <c r="I1469" i="1"/>
  <c r="H1469" i="1"/>
  <c r="G1469" i="1"/>
  <c r="R1468" i="1"/>
  <c r="Q1468" i="1"/>
  <c r="P1468" i="1"/>
  <c r="O1468" i="1"/>
  <c r="N1468" i="1"/>
  <c r="M1468" i="1"/>
  <c r="L1468" i="1"/>
  <c r="K1468" i="1"/>
  <c r="J1468" i="1"/>
  <c r="I1468" i="1"/>
  <c r="H1468" i="1"/>
  <c r="G1468" i="1"/>
  <c r="R1467" i="1"/>
  <c r="Q1467" i="1"/>
  <c r="P1467" i="1"/>
  <c r="O1467" i="1"/>
  <c r="N1467" i="1"/>
  <c r="M1467" i="1"/>
  <c r="L1467" i="1"/>
  <c r="K1467" i="1"/>
  <c r="J1467" i="1"/>
  <c r="I1467" i="1"/>
  <c r="H1467" i="1"/>
  <c r="G1467" i="1"/>
  <c r="R1466" i="1"/>
  <c r="Q1466" i="1"/>
  <c r="P1466" i="1"/>
  <c r="O1466" i="1"/>
  <c r="N1466" i="1"/>
  <c r="M1466" i="1"/>
  <c r="L1466" i="1"/>
  <c r="K1466" i="1"/>
  <c r="J1466" i="1"/>
  <c r="I1466" i="1"/>
  <c r="H1466" i="1"/>
  <c r="G1466" i="1"/>
  <c r="R1465" i="1"/>
  <c r="Q1465" i="1"/>
  <c r="P1465" i="1"/>
  <c r="O1465" i="1"/>
  <c r="N1465" i="1"/>
  <c r="M1465" i="1"/>
  <c r="L1465" i="1"/>
  <c r="K1465" i="1"/>
  <c r="J1465" i="1"/>
  <c r="I1465" i="1"/>
  <c r="H1465" i="1"/>
  <c r="G1465" i="1"/>
  <c r="R1464" i="1"/>
  <c r="Q1464" i="1"/>
  <c r="P1464" i="1"/>
  <c r="O1464" i="1"/>
  <c r="N1464" i="1"/>
  <c r="M1464" i="1"/>
  <c r="L1464" i="1"/>
  <c r="K1464" i="1"/>
  <c r="J1464" i="1"/>
  <c r="I1464" i="1"/>
  <c r="H1464" i="1"/>
  <c r="G1464" i="1"/>
  <c r="R1463" i="1"/>
  <c r="Q1463" i="1"/>
  <c r="P1463" i="1"/>
  <c r="O1463" i="1"/>
  <c r="N1463" i="1"/>
  <c r="M1463" i="1"/>
  <c r="L1463" i="1"/>
  <c r="K1463" i="1"/>
  <c r="J1463" i="1"/>
  <c r="I1463" i="1"/>
  <c r="H1463" i="1"/>
  <c r="G1463" i="1"/>
  <c r="R1462" i="1"/>
  <c r="Q1462" i="1"/>
  <c r="P1462" i="1"/>
  <c r="O1462" i="1"/>
  <c r="N1462" i="1"/>
  <c r="M1462" i="1"/>
  <c r="L1462" i="1"/>
  <c r="K1462" i="1"/>
  <c r="J1462" i="1"/>
  <c r="I1462" i="1"/>
  <c r="H1462" i="1"/>
  <c r="G1462" i="1"/>
  <c r="R1461" i="1"/>
  <c r="Q1461" i="1"/>
  <c r="P1461" i="1"/>
  <c r="O1461" i="1"/>
  <c r="N1461" i="1"/>
  <c r="M1461" i="1"/>
  <c r="L1461" i="1"/>
  <c r="K1461" i="1"/>
  <c r="J1461" i="1"/>
  <c r="I1461" i="1"/>
  <c r="H1461" i="1"/>
  <c r="G1461" i="1"/>
  <c r="R1460" i="1"/>
  <c r="Q1460" i="1"/>
  <c r="P1460" i="1"/>
  <c r="O1460" i="1"/>
  <c r="N1460" i="1"/>
  <c r="M1460" i="1"/>
  <c r="L1460" i="1"/>
  <c r="K1460" i="1"/>
  <c r="J1460" i="1"/>
  <c r="I1460" i="1"/>
  <c r="H1460" i="1"/>
  <c r="G1460" i="1"/>
  <c r="R1459" i="1"/>
  <c r="Q1459" i="1"/>
  <c r="P1459" i="1"/>
  <c r="O1459" i="1"/>
  <c r="N1459" i="1"/>
  <c r="M1459" i="1"/>
  <c r="L1459" i="1"/>
  <c r="K1459" i="1"/>
  <c r="J1459" i="1"/>
  <c r="I1459" i="1"/>
  <c r="H1459" i="1"/>
  <c r="G1459" i="1"/>
  <c r="R1458" i="1"/>
  <c r="Q1458" i="1"/>
  <c r="P1458" i="1"/>
  <c r="O1458" i="1"/>
  <c r="N1458" i="1"/>
  <c r="M1458" i="1"/>
  <c r="L1458" i="1"/>
  <c r="K1458" i="1"/>
  <c r="J1458" i="1"/>
  <c r="I1458" i="1"/>
  <c r="H1458" i="1"/>
  <c r="G1458" i="1"/>
  <c r="R1457" i="1"/>
  <c r="Q1457" i="1"/>
  <c r="P1457" i="1"/>
  <c r="O1457" i="1"/>
  <c r="N1457" i="1"/>
  <c r="M1457" i="1"/>
  <c r="L1457" i="1"/>
  <c r="K1457" i="1"/>
  <c r="J1457" i="1"/>
  <c r="I1457" i="1"/>
  <c r="H1457" i="1"/>
  <c r="G1457" i="1"/>
  <c r="R1456" i="1"/>
  <c r="Q1456" i="1"/>
  <c r="P1456" i="1"/>
  <c r="O1456" i="1"/>
  <c r="N1456" i="1"/>
  <c r="M1456" i="1"/>
  <c r="L1456" i="1"/>
  <c r="K1456" i="1"/>
  <c r="J1456" i="1"/>
  <c r="I1456" i="1"/>
  <c r="H1456" i="1"/>
  <c r="G1456" i="1"/>
  <c r="R1455" i="1"/>
  <c r="Q1455" i="1"/>
  <c r="P1455" i="1"/>
  <c r="O1455" i="1"/>
  <c r="N1455" i="1"/>
  <c r="M1455" i="1"/>
  <c r="L1455" i="1"/>
  <c r="K1455" i="1"/>
  <c r="J1455" i="1"/>
  <c r="I1455" i="1"/>
  <c r="H1455" i="1"/>
  <c r="G1455" i="1"/>
  <c r="R1454" i="1"/>
  <c r="Q1454" i="1"/>
  <c r="P1454" i="1"/>
  <c r="O1454" i="1"/>
  <c r="N1454" i="1"/>
  <c r="M1454" i="1"/>
  <c r="L1454" i="1"/>
  <c r="K1454" i="1"/>
  <c r="J1454" i="1"/>
  <c r="I1454" i="1"/>
  <c r="H1454" i="1"/>
  <c r="G1454" i="1"/>
  <c r="R1453" i="1"/>
  <c r="Q1453" i="1"/>
  <c r="P1453" i="1"/>
  <c r="O1453" i="1"/>
  <c r="N1453" i="1"/>
  <c r="M1453" i="1"/>
  <c r="L1453" i="1"/>
  <c r="K1453" i="1"/>
  <c r="J1453" i="1"/>
  <c r="I1453" i="1"/>
  <c r="H1453" i="1"/>
  <c r="G1453" i="1"/>
  <c r="R1452" i="1"/>
  <c r="Q1452" i="1"/>
  <c r="P1452" i="1"/>
  <c r="O1452" i="1"/>
  <c r="N1452" i="1"/>
  <c r="M1452" i="1"/>
  <c r="L1452" i="1"/>
  <c r="K1452" i="1"/>
  <c r="J1452" i="1"/>
  <c r="I1452" i="1"/>
  <c r="H1452" i="1"/>
  <c r="G1452" i="1"/>
  <c r="R1451" i="1"/>
  <c r="Q1451" i="1"/>
  <c r="P1451" i="1"/>
  <c r="O1451" i="1"/>
  <c r="N1451" i="1"/>
  <c r="M1451" i="1"/>
  <c r="L1451" i="1"/>
  <c r="K1451" i="1"/>
  <c r="J1451" i="1"/>
  <c r="I1451" i="1"/>
  <c r="H1451" i="1"/>
  <c r="G1451" i="1"/>
  <c r="R1450" i="1"/>
  <c r="Q1450" i="1"/>
  <c r="P1450" i="1"/>
  <c r="O1450" i="1"/>
  <c r="N1450" i="1"/>
  <c r="M1450" i="1"/>
  <c r="L1450" i="1"/>
  <c r="K1450" i="1"/>
  <c r="J1450" i="1"/>
  <c r="I1450" i="1"/>
  <c r="H1450" i="1"/>
  <c r="G1450" i="1"/>
  <c r="R1449" i="1"/>
  <c r="Q1449" i="1"/>
  <c r="P1449" i="1"/>
  <c r="O1449" i="1"/>
  <c r="N1449" i="1"/>
  <c r="M1449" i="1"/>
  <c r="L1449" i="1"/>
  <c r="K1449" i="1"/>
  <c r="J1449" i="1"/>
  <c r="I1449" i="1"/>
  <c r="H1449" i="1"/>
  <c r="G1449" i="1"/>
  <c r="R1448" i="1"/>
  <c r="Q1448" i="1"/>
  <c r="P1448" i="1"/>
  <c r="O1448" i="1"/>
  <c r="N1448" i="1"/>
  <c r="M1448" i="1"/>
  <c r="L1448" i="1"/>
  <c r="K1448" i="1"/>
  <c r="J1448" i="1"/>
  <c r="I1448" i="1"/>
  <c r="H1448" i="1"/>
  <c r="G1448" i="1"/>
  <c r="R1447" i="1"/>
  <c r="Q1447" i="1"/>
  <c r="P1447" i="1"/>
  <c r="O1447" i="1"/>
  <c r="N1447" i="1"/>
  <c r="M1447" i="1"/>
  <c r="L1447" i="1"/>
  <c r="K1447" i="1"/>
  <c r="J1447" i="1"/>
  <c r="I1447" i="1"/>
  <c r="H1447" i="1"/>
  <c r="G1447" i="1"/>
  <c r="R1446" i="1"/>
  <c r="Q1446" i="1"/>
  <c r="P1446" i="1"/>
  <c r="O1446" i="1"/>
  <c r="N1446" i="1"/>
  <c r="M1446" i="1"/>
  <c r="L1446" i="1"/>
  <c r="K1446" i="1"/>
  <c r="J1446" i="1"/>
  <c r="I1446" i="1"/>
  <c r="H1446" i="1"/>
  <c r="G1446" i="1"/>
  <c r="R1445" i="1"/>
  <c r="Q1445" i="1"/>
  <c r="P1445" i="1"/>
  <c r="O1445" i="1"/>
  <c r="N1445" i="1"/>
  <c r="M1445" i="1"/>
  <c r="L1445" i="1"/>
  <c r="K1445" i="1"/>
  <c r="J1445" i="1"/>
  <c r="I1445" i="1"/>
  <c r="H1445" i="1"/>
  <c r="G1445" i="1"/>
  <c r="R1444" i="1"/>
  <c r="Q1444" i="1"/>
  <c r="P1444" i="1"/>
  <c r="O1444" i="1"/>
  <c r="N1444" i="1"/>
  <c r="M1444" i="1"/>
  <c r="L1444" i="1"/>
  <c r="K1444" i="1"/>
  <c r="J1444" i="1"/>
  <c r="I1444" i="1"/>
  <c r="H1444" i="1"/>
  <c r="G1444" i="1"/>
  <c r="R1443" i="1"/>
  <c r="Q1443" i="1"/>
  <c r="P1443" i="1"/>
  <c r="O1443" i="1"/>
  <c r="N1443" i="1"/>
  <c r="M1443" i="1"/>
  <c r="L1443" i="1"/>
  <c r="K1443" i="1"/>
  <c r="J1443" i="1"/>
  <c r="I1443" i="1"/>
  <c r="H1443" i="1"/>
  <c r="G1443" i="1"/>
  <c r="R1442" i="1"/>
  <c r="Q1442" i="1"/>
  <c r="P1442" i="1"/>
  <c r="O1442" i="1"/>
  <c r="N1442" i="1"/>
  <c r="M1442" i="1"/>
  <c r="L1442" i="1"/>
  <c r="K1442" i="1"/>
  <c r="J1442" i="1"/>
  <c r="I1442" i="1"/>
  <c r="H1442" i="1"/>
  <c r="G1442" i="1"/>
  <c r="R1441" i="1"/>
  <c r="Q1441" i="1"/>
  <c r="P1441" i="1"/>
  <c r="O1441" i="1"/>
  <c r="N1441" i="1"/>
  <c r="M1441" i="1"/>
  <c r="L1441" i="1"/>
  <c r="K1441" i="1"/>
  <c r="J1441" i="1"/>
  <c r="I1441" i="1"/>
  <c r="H1441" i="1"/>
  <c r="G1441" i="1"/>
  <c r="R1440" i="1"/>
  <c r="Q1440" i="1"/>
  <c r="P1440" i="1"/>
  <c r="O1440" i="1"/>
  <c r="N1440" i="1"/>
  <c r="M1440" i="1"/>
  <c r="L1440" i="1"/>
  <c r="K1440" i="1"/>
  <c r="J1440" i="1"/>
  <c r="I1440" i="1"/>
  <c r="H1440" i="1"/>
  <c r="G1440" i="1"/>
  <c r="R1439" i="1"/>
  <c r="Q1439" i="1"/>
  <c r="P1439" i="1"/>
  <c r="O1439" i="1"/>
  <c r="N1439" i="1"/>
  <c r="M1439" i="1"/>
  <c r="L1439" i="1"/>
  <c r="K1439" i="1"/>
  <c r="J1439" i="1"/>
  <c r="I1439" i="1"/>
  <c r="H1439" i="1"/>
  <c r="G1439" i="1"/>
  <c r="R1438" i="1"/>
  <c r="Q1438" i="1"/>
  <c r="P1438" i="1"/>
  <c r="O1438" i="1"/>
  <c r="N1438" i="1"/>
  <c r="M1438" i="1"/>
  <c r="L1438" i="1"/>
  <c r="K1438" i="1"/>
  <c r="J1438" i="1"/>
  <c r="I1438" i="1"/>
  <c r="H1438" i="1"/>
  <c r="G1438" i="1"/>
  <c r="R1437" i="1"/>
  <c r="Q1437" i="1"/>
  <c r="P1437" i="1"/>
  <c r="O1437" i="1"/>
  <c r="N1437" i="1"/>
  <c r="M1437" i="1"/>
  <c r="L1437" i="1"/>
  <c r="K1437" i="1"/>
  <c r="J1437" i="1"/>
  <c r="I1437" i="1"/>
  <c r="H1437" i="1"/>
  <c r="G1437" i="1"/>
  <c r="R1436" i="1"/>
  <c r="Q1436" i="1"/>
  <c r="P1436" i="1"/>
  <c r="O1436" i="1"/>
  <c r="N1436" i="1"/>
  <c r="M1436" i="1"/>
  <c r="L1436" i="1"/>
  <c r="K1436" i="1"/>
  <c r="J1436" i="1"/>
  <c r="I1436" i="1"/>
  <c r="H1436" i="1"/>
  <c r="G1436" i="1"/>
  <c r="R1435" i="1"/>
  <c r="Q1435" i="1"/>
  <c r="P1435" i="1"/>
  <c r="O1435" i="1"/>
  <c r="N1435" i="1"/>
  <c r="M1435" i="1"/>
  <c r="L1435" i="1"/>
  <c r="K1435" i="1"/>
  <c r="J1435" i="1"/>
  <c r="I1435" i="1"/>
  <c r="H1435" i="1"/>
  <c r="G1435" i="1"/>
  <c r="R1434" i="1"/>
  <c r="Q1434" i="1"/>
  <c r="P1434" i="1"/>
  <c r="O1434" i="1"/>
  <c r="N1434" i="1"/>
  <c r="M1434" i="1"/>
  <c r="L1434" i="1"/>
  <c r="K1434" i="1"/>
  <c r="J1434" i="1"/>
  <c r="I1434" i="1"/>
  <c r="H1434" i="1"/>
  <c r="G1434" i="1"/>
  <c r="R1433" i="1"/>
  <c r="Q1433" i="1"/>
  <c r="P1433" i="1"/>
  <c r="O1433" i="1"/>
  <c r="N1433" i="1"/>
  <c r="M1433" i="1"/>
  <c r="L1433" i="1"/>
  <c r="K1433" i="1"/>
  <c r="J1433" i="1"/>
  <c r="I1433" i="1"/>
  <c r="H1433" i="1"/>
  <c r="G1433" i="1"/>
  <c r="R1432" i="1"/>
  <c r="Q1432" i="1"/>
  <c r="P1432" i="1"/>
  <c r="O1432" i="1"/>
  <c r="N1432" i="1"/>
  <c r="M1432" i="1"/>
  <c r="L1432" i="1"/>
  <c r="K1432" i="1"/>
  <c r="J1432" i="1"/>
  <c r="I1432" i="1"/>
  <c r="H1432" i="1"/>
  <c r="G1432" i="1"/>
  <c r="R1431" i="1"/>
  <c r="Q1431" i="1"/>
  <c r="P1431" i="1"/>
  <c r="O1431" i="1"/>
  <c r="N1431" i="1"/>
  <c r="M1431" i="1"/>
  <c r="L1431" i="1"/>
  <c r="K1431" i="1"/>
  <c r="J1431" i="1"/>
  <c r="I1431" i="1"/>
  <c r="H1431" i="1"/>
  <c r="G1431" i="1"/>
  <c r="R1430" i="1"/>
  <c r="Q1430" i="1"/>
  <c r="P1430" i="1"/>
  <c r="O1430" i="1"/>
  <c r="N1430" i="1"/>
  <c r="M1430" i="1"/>
  <c r="L1430" i="1"/>
  <c r="K1430" i="1"/>
  <c r="J1430" i="1"/>
  <c r="I1430" i="1"/>
  <c r="H1430" i="1"/>
  <c r="G1430" i="1"/>
  <c r="R1429" i="1"/>
  <c r="Q1429" i="1"/>
  <c r="P1429" i="1"/>
  <c r="O1429" i="1"/>
  <c r="N1429" i="1"/>
  <c r="M1429" i="1"/>
  <c r="L1429" i="1"/>
  <c r="K1429" i="1"/>
  <c r="J1429" i="1"/>
  <c r="I1429" i="1"/>
  <c r="H1429" i="1"/>
  <c r="G1429" i="1"/>
  <c r="R1428" i="1"/>
  <c r="Q1428" i="1"/>
  <c r="P1428" i="1"/>
  <c r="O1428" i="1"/>
  <c r="N1428" i="1"/>
  <c r="M1428" i="1"/>
  <c r="L1428" i="1"/>
  <c r="K1428" i="1"/>
  <c r="J1428" i="1"/>
  <c r="I1428" i="1"/>
  <c r="H1428" i="1"/>
  <c r="G1428" i="1"/>
  <c r="R1427" i="1"/>
  <c r="Q1427" i="1"/>
  <c r="P1427" i="1"/>
  <c r="O1427" i="1"/>
  <c r="N1427" i="1"/>
  <c r="M1427" i="1"/>
  <c r="L1427" i="1"/>
  <c r="K1427" i="1"/>
  <c r="J1427" i="1"/>
  <c r="I1427" i="1"/>
  <c r="H1427" i="1"/>
  <c r="G1427" i="1"/>
  <c r="R1426" i="1"/>
  <c r="Q1426" i="1"/>
  <c r="P1426" i="1"/>
  <c r="O1426" i="1"/>
  <c r="N1426" i="1"/>
  <c r="M1426" i="1"/>
  <c r="L1426" i="1"/>
  <c r="K1426" i="1"/>
  <c r="J1426" i="1"/>
  <c r="I1426" i="1"/>
  <c r="H1426" i="1"/>
  <c r="G1426" i="1"/>
  <c r="R1425" i="1"/>
  <c r="Q1425" i="1"/>
  <c r="P1425" i="1"/>
  <c r="O1425" i="1"/>
  <c r="N1425" i="1"/>
  <c r="M1425" i="1"/>
  <c r="L1425" i="1"/>
  <c r="K1425" i="1"/>
  <c r="J1425" i="1"/>
  <c r="I1425" i="1"/>
  <c r="H1425" i="1"/>
  <c r="G1425" i="1"/>
  <c r="R1424" i="1"/>
  <c r="Q1424" i="1"/>
  <c r="P1424" i="1"/>
  <c r="O1424" i="1"/>
  <c r="N1424" i="1"/>
  <c r="M1424" i="1"/>
  <c r="L1424" i="1"/>
  <c r="K1424" i="1"/>
  <c r="J1424" i="1"/>
  <c r="I1424" i="1"/>
  <c r="H1424" i="1"/>
  <c r="G1424" i="1"/>
  <c r="R1423" i="1"/>
  <c r="Q1423" i="1"/>
  <c r="P1423" i="1"/>
  <c r="O1423" i="1"/>
  <c r="N1423" i="1"/>
  <c r="M1423" i="1"/>
  <c r="L1423" i="1"/>
  <c r="K1423" i="1"/>
  <c r="J1423" i="1"/>
  <c r="I1423" i="1"/>
  <c r="H1423" i="1"/>
  <c r="G1423" i="1"/>
  <c r="R1422" i="1"/>
  <c r="Q1422" i="1"/>
  <c r="P1422" i="1"/>
  <c r="O1422" i="1"/>
  <c r="N1422" i="1"/>
  <c r="M1422" i="1"/>
  <c r="L1422" i="1"/>
  <c r="K1422" i="1"/>
  <c r="J1422" i="1"/>
  <c r="I1422" i="1"/>
  <c r="H1422" i="1"/>
  <c r="G1422" i="1"/>
  <c r="R1421" i="1"/>
  <c r="Q1421" i="1"/>
  <c r="P1421" i="1"/>
  <c r="O1421" i="1"/>
  <c r="N1421" i="1"/>
  <c r="M1421" i="1"/>
  <c r="L1421" i="1"/>
  <c r="K1421" i="1"/>
  <c r="J1421" i="1"/>
  <c r="I1421" i="1"/>
  <c r="H1421" i="1"/>
  <c r="G1421" i="1"/>
  <c r="R1420" i="1"/>
  <c r="Q1420" i="1"/>
  <c r="P1420" i="1"/>
  <c r="O1420" i="1"/>
  <c r="N1420" i="1"/>
  <c r="M1420" i="1"/>
  <c r="L1420" i="1"/>
  <c r="K1420" i="1"/>
  <c r="J1420" i="1"/>
  <c r="I1420" i="1"/>
  <c r="H1420" i="1"/>
  <c r="G1420" i="1"/>
  <c r="R1419" i="1"/>
  <c r="Q1419" i="1"/>
  <c r="P1419" i="1"/>
  <c r="O1419" i="1"/>
  <c r="N1419" i="1"/>
  <c r="M1419" i="1"/>
  <c r="L1419" i="1"/>
  <c r="K1419" i="1"/>
  <c r="J1419" i="1"/>
  <c r="I1419" i="1"/>
  <c r="H1419" i="1"/>
  <c r="G1419" i="1"/>
  <c r="R1418" i="1"/>
  <c r="Q1418" i="1"/>
  <c r="P1418" i="1"/>
  <c r="O1418" i="1"/>
  <c r="N1418" i="1"/>
  <c r="M1418" i="1"/>
  <c r="L1418" i="1"/>
  <c r="K1418" i="1"/>
  <c r="J1418" i="1"/>
  <c r="I1418" i="1"/>
  <c r="H1418" i="1"/>
  <c r="G1418" i="1"/>
  <c r="R1417" i="1"/>
  <c r="Q1417" i="1"/>
  <c r="P1417" i="1"/>
  <c r="O1417" i="1"/>
  <c r="N1417" i="1"/>
  <c r="M1417" i="1"/>
  <c r="L1417" i="1"/>
  <c r="K1417" i="1"/>
  <c r="J1417" i="1"/>
  <c r="I1417" i="1"/>
  <c r="H1417" i="1"/>
  <c r="G1417" i="1"/>
  <c r="R1416" i="1"/>
  <c r="Q1416" i="1"/>
  <c r="P1416" i="1"/>
  <c r="O1416" i="1"/>
  <c r="N1416" i="1"/>
  <c r="M1416" i="1"/>
  <c r="L1416" i="1"/>
  <c r="K1416" i="1"/>
  <c r="J1416" i="1"/>
  <c r="I1416" i="1"/>
  <c r="H1416" i="1"/>
  <c r="G1416" i="1"/>
  <c r="R1415" i="1"/>
  <c r="Q1415" i="1"/>
  <c r="P1415" i="1"/>
  <c r="O1415" i="1"/>
  <c r="N1415" i="1"/>
  <c r="M1415" i="1"/>
  <c r="L1415" i="1"/>
  <c r="K1415" i="1"/>
  <c r="J1415" i="1"/>
  <c r="I1415" i="1"/>
  <c r="H1415" i="1"/>
  <c r="G1415" i="1"/>
  <c r="R1414" i="1"/>
  <c r="Q1414" i="1"/>
  <c r="P1414" i="1"/>
  <c r="O1414" i="1"/>
  <c r="N1414" i="1"/>
  <c r="M1414" i="1"/>
  <c r="L1414" i="1"/>
  <c r="K1414" i="1"/>
  <c r="J1414" i="1"/>
  <c r="I1414" i="1"/>
  <c r="H1414" i="1"/>
  <c r="G1414" i="1"/>
  <c r="R1413" i="1"/>
  <c r="Q1413" i="1"/>
  <c r="P1413" i="1"/>
  <c r="O1413" i="1"/>
  <c r="N1413" i="1"/>
  <c r="M1413" i="1"/>
  <c r="L1413" i="1"/>
  <c r="K1413" i="1"/>
  <c r="J1413" i="1"/>
  <c r="I1413" i="1"/>
  <c r="H1413" i="1"/>
  <c r="G1413" i="1"/>
  <c r="R1412" i="1"/>
  <c r="Q1412" i="1"/>
  <c r="P1412" i="1"/>
  <c r="O1412" i="1"/>
  <c r="N1412" i="1"/>
  <c r="M1412" i="1"/>
  <c r="L1412" i="1"/>
  <c r="K1412" i="1"/>
  <c r="J1412" i="1"/>
  <c r="I1412" i="1"/>
  <c r="H1412" i="1"/>
  <c r="G1412" i="1"/>
  <c r="R1411" i="1"/>
  <c r="Q1411" i="1"/>
  <c r="P1411" i="1"/>
  <c r="O1411" i="1"/>
  <c r="N1411" i="1"/>
  <c r="M1411" i="1"/>
  <c r="L1411" i="1"/>
  <c r="K1411" i="1"/>
  <c r="J1411" i="1"/>
  <c r="I1411" i="1"/>
  <c r="H1411" i="1"/>
  <c r="G1411" i="1"/>
  <c r="R1410" i="1"/>
  <c r="Q1410" i="1"/>
  <c r="P1410" i="1"/>
  <c r="O1410" i="1"/>
  <c r="N1410" i="1"/>
  <c r="M1410" i="1"/>
  <c r="L1410" i="1"/>
  <c r="K1410" i="1"/>
  <c r="J1410" i="1"/>
  <c r="I1410" i="1"/>
  <c r="H1410" i="1"/>
  <c r="G1410" i="1"/>
  <c r="R1409" i="1"/>
  <c r="Q1409" i="1"/>
  <c r="P1409" i="1"/>
  <c r="O1409" i="1"/>
  <c r="N1409" i="1"/>
  <c r="M1409" i="1"/>
  <c r="L1409" i="1"/>
  <c r="K1409" i="1"/>
  <c r="J1409" i="1"/>
  <c r="I1409" i="1"/>
  <c r="H1409" i="1"/>
  <c r="G1409" i="1"/>
  <c r="R1408" i="1"/>
  <c r="Q1408" i="1"/>
  <c r="P1408" i="1"/>
  <c r="O1408" i="1"/>
  <c r="N1408" i="1"/>
  <c r="M1408" i="1"/>
  <c r="L1408" i="1"/>
  <c r="K1408" i="1"/>
  <c r="J1408" i="1"/>
  <c r="I1408" i="1"/>
  <c r="H1408" i="1"/>
  <c r="G1408" i="1"/>
  <c r="R1407" i="1"/>
  <c r="Q1407" i="1"/>
  <c r="P1407" i="1"/>
  <c r="O1407" i="1"/>
  <c r="N1407" i="1"/>
  <c r="M1407" i="1"/>
  <c r="L1407" i="1"/>
  <c r="K1407" i="1"/>
  <c r="J1407" i="1"/>
  <c r="I1407" i="1"/>
  <c r="H1407" i="1"/>
  <c r="G1407" i="1"/>
  <c r="R1406" i="1"/>
  <c r="Q1406" i="1"/>
  <c r="P1406" i="1"/>
  <c r="O1406" i="1"/>
  <c r="N1406" i="1"/>
  <c r="M1406" i="1"/>
  <c r="L1406" i="1"/>
  <c r="K1406" i="1"/>
  <c r="J1406" i="1"/>
  <c r="I1406" i="1"/>
  <c r="H1406" i="1"/>
  <c r="G1406" i="1"/>
  <c r="R1405" i="1"/>
  <c r="Q1405" i="1"/>
  <c r="P1405" i="1"/>
  <c r="O1405" i="1"/>
  <c r="N1405" i="1"/>
  <c r="M1405" i="1"/>
  <c r="L1405" i="1"/>
  <c r="K1405" i="1"/>
  <c r="J1405" i="1"/>
  <c r="I1405" i="1"/>
  <c r="H1405" i="1"/>
  <c r="G1405" i="1"/>
  <c r="R1404" i="1"/>
  <c r="Q1404" i="1"/>
  <c r="P1404" i="1"/>
  <c r="O1404" i="1"/>
  <c r="N1404" i="1"/>
  <c r="M1404" i="1"/>
  <c r="L1404" i="1"/>
  <c r="K1404" i="1"/>
  <c r="J1404" i="1"/>
  <c r="I1404" i="1"/>
  <c r="H1404" i="1"/>
  <c r="G1404" i="1"/>
  <c r="R1403" i="1"/>
  <c r="Q1403" i="1"/>
  <c r="P1403" i="1"/>
  <c r="O1403" i="1"/>
  <c r="N1403" i="1"/>
  <c r="M1403" i="1"/>
  <c r="L1403" i="1"/>
  <c r="K1403" i="1"/>
  <c r="J1403" i="1"/>
  <c r="I1403" i="1"/>
  <c r="H1403" i="1"/>
  <c r="G1403" i="1"/>
  <c r="R1402" i="1"/>
  <c r="Q1402" i="1"/>
  <c r="P1402" i="1"/>
  <c r="O1402" i="1"/>
  <c r="N1402" i="1"/>
  <c r="M1402" i="1"/>
  <c r="L1402" i="1"/>
  <c r="K1402" i="1"/>
  <c r="J1402" i="1"/>
  <c r="I1402" i="1"/>
  <c r="H1402" i="1"/>
  <c r="G1402" i="1"/>
  <c r="R1401" i="1"/>
  <c r="Q1401" i="1"/>
  <c r="P1401" i="1"/>
  <c r="O1401" i="1"/>
  <c r="N1401" i="1"/>
  <c r="M1401" i="1"/>
  <c r="L1401" i="1"/>
  <c r="K1401" i="1"/>
  <c r="J1401" i="1"/>
  <c r="I1401" i="1"/>
  <c r="H1401" i="1"/>
  <c r="G1401" i="1"/>
  <c r="R1400" i="1"/>
  <c r="Q1400" i="1"/>
  <c r="P1400" i="1"/>
  <c r="O1400" i="1"/>
  <c r="N1400" i="1"/>
  <c r="M1400" i="1"/>
  <c r="L1400" i="1"/>
  <c r="K1400" i="1"/>
  <c r="J1400" i="1"/>
  <c r="I1400" i="1"/>
  <c r="H1400" i="1"/>
  <c r="G1400" i="1"/>
  <c r="R1399" i="1"/>
  <c r="Q1399" i="1"/>
  <c r="P1399" i="1"/>
  <c r="O1399" i="1"/>
  <c r="N1399" i="1"/>
  <c r="M1399" i="1"/>
  <c r="L1399" i="1"/>
  <c r="K1399" i="1"/>
  <c r="J1399" i="1"/>
  <c r="I1399" i="1"/>
  <c r="H1399" i="1"/>
  <c r="G1399" i="1"/>
  <c r="R1398" i="1"/>
  <c r="Q1398" i="1"/>
  <c r="P1398" i="1"/>
  <c r="O1398" i="1"/>
  <c r="N1398" i="1"/>
  <c r="M1398" i="1"/>
  <c r="L1398" i="1"/>
  <c r="K1398" i="1"/>
  <c r="J1398" i="1"/>
  <c r="I1398" i="1"/>
  <c r="H1398" i="1"/>
  <c r="G1398" i="1"/>
  <c r="R1397" i="1"/>
  <c r="Q1397" i="1"/>
  <c r="P1397" i="1"/>
  <c r="O1397" i="1"/>
  <c r="N1397" i="1"/>
  <c r="M1397" i="1"/>
  <c r="L1397" i="1"/>
  <c r="K1397" i="1"/>
  <c r="J1397" i="1"/>
  <c r="I1397" i="1"/>
  <c r="H1397" i="1"/>
  <c r="G1397" i="1"/>
  <c r="R1396" i="1"/>
  <c r="Q1396" i="1"/>
  <c r="P1396" i="1"/>
  <c r="O1396" i="1"/>
  <c r="N1396" i="1"/>
  <c r="M1396" i="1"/>
  <c r="L1396" i="1"/>
  <c r="K1396" i="1"/>
  <c r="J1396" i="1"/>
  <c r="I1396" i="1"/>
  <c r="H1396" i="1"/>
  <c r="G1396" i="1"/>
  <c r="R1395" i="1"/>
  <c r="Q1395" i="1"/>
  <c r="P1395" i="1"/>
  <c r="O1395" i="1"/>
  <c r="N1395" i="1"/>
  <c r="M1395" i="1"/>
  <c r="L1395" i="1"/>
  <c r="K1395" i="1"/>
  <c r="J1395" i="1"/>
  <c r="I1395" i="1"/>
  <c r="H1395" i="1"/>
  <c r="G1395" i="1"/>
  <c r="R1394" i="1"/>
  <c r="Q1394" i="1"/>
  <c r="P1394" i="1"/>
  <c r="O1394" i="1"/>
  <c r="N1394" i="1"/>
  <c r="M1394" i="1"/>
  <c r="L1394" i="1"/>
  <c r="K1394" i="1"/>
  <c r="J1394" i="1"/>
  <c r="I1394" i="1"/>
  <c r="H1394" i="1"/>
  <c r="G1394" i="1"/>
  <c r="R1393" i="1"/>
  <c r="Q1393" i="1"/>
  <c r="P1393" i="1"/>
  <c r="O1393" i="1"/>
  <c r="N1393" i="1"/>
  <c r="M1393" i="1"/>
  <c r="L1393" i="1"/>
  <c r="K1393" i="1"/>
  <c r="J1393" i="1"/>
  <c r="I1393" i="1"/>
  <c r="H1393" i="1"/>
  <c r="G1393" i="1"/>
  <c r="R1392" i="1"/>
  <c r="Q1392" i="1"/>
  <c r="P1392" i="1"/>
  <c r="O1392" i="1"/>
  <c r="N1392" i="1"/>
  <c r="M1392" i="1"/>
  <c r="L1392" i="1"/>
  <c r="K1392" i="1"/>
  <c r="J1392" i="1"/>
  <c r="I1392" i="1"/>
  <c r="H1392" i="1"/>
  <c r="G1392" i="1"/>
  <c r="R1391" i="1"/>
  <c r="Q1391" i="1"/>
  <c r="P1391" i="1"/>
  <c r="O1391" i="1"/>
  <c r="N1391" i="1"/>
  <c r="M1391" i="1"/>
  <c r="L1391" i="1"/>
  <c r="K1391" i="1"/>
  <c r="J1391" i="1"/>
  <c r="I1391" i="1"/>
  <c r="H1391" i="1"/>
  <c r="G1391" i="1"/>
  <c r="R1390" i="1"/>
  <c r="Q1390" i="1"/>
  <c r="P1390" i="1"/>
  <c r="O1390" i="1"/>
  <c r="N1390" i="1"/>
  <c r="M1390" i="1"/>
  <c r="L1390" i="1"/>
  <c r="K1390" i="1"/>
  <c r="J1390" i="1"/>
  <c r="I1390" i="1"/>
  <c r="H1390" i="1"/>
  <c r="G1390" i="1"/>
  <c r="R1389" i="1"/>
  <c r="Q1389" i="1"/>
  <c r="P1389" i="1"/>
  <c r="O1389" i="1"/>
  <c r="N1389" i="1"/>
  <c r="M1389" i="1"/>
  <c r="L1389" i="1"/>
  <c r="K1389" i="1"/>
  <c r="J1389" i="1"/>
  <c r="I1389" i="1"/>
  <c r="H1389" i="1"/>
  <c r="G1389" i="1"/>
  <c r="R1388" i="1"/>
  <c r="Q1388" i="1"/>
  <c r="P1388" i="1"/>
  <c r="O1388" i="1"/>
  <c r="N1388" i="1"/>
  <c r="M1388" i="1"/>
  <c r="L1388" i="1"/>
  <c r="K1388" i="1"/>
  <c r="J1388" i="1"/>
  <c r="I1388" i="1"/>
  <c r="H1388" i="1"/>
  <c r="G1388" i="1"/>
  <c r="R1387" i="1"/>
  <c r="Q1387" i="1"/>
  <c r="P1387" i="1"/>
  <c r="O1387" i="1"/>
  <c r="N1387" i="1"/>
  <c r="M1387" i="1"/>
  <c r="L1387" i="1"/>
  <c r="K1387" i="1"/>
  <c r="J1387" i="1"/>
  <c r="I1387" i="1"/>
  <c r="H1387" i="1"/>
  <c r="G1387" i="1"/>
  <c r="R1386" i="1"/>
  <c r="Q1386" i="1"/>
  <c r="P1386" i="1"/>
  <c r="O1386" i="1"/>
  <c r="N1386" i="1"/>
  <c r="M1386" i="1"/>
  <c r="L1386" i="1"/>
  <c r="K1386" i="1"/>
  <c r="J1386" i="1"/>
  <c r="I1386" i="1"/>
  <c r="H1386" i="1"/>
  <c r="G1386" i="1"/>
  <c r="R1385" i="1"/>
  <c r="Q1385" i="1"/>
  <c r="P1385" i="1"/>
  <c r="O1385" i="1"/>
  <c r="N1385" i="1"/>
  <c r="M1385" i="1"/>
  <c r="L1385" i="1"/>
  <c r="K1385" i="1"/>
  <c r="J1385" i="1"/>
  <c r="I1385" i="1"/>
  <c r="H1385" i="1"/>
  <c r="G1385" i="1"/>
  <c r="R1384" i="1"/>
  <c r="Q1384" i="1"/>
  <c r="P1384" i="1"/>
  <c r="O1384" i="1"/>
  <c r="N1384" i="1"/>
  <c r="M1384" i="1"/>
  <c r="L1384" i="1"/>
  <c r="K1384" i="1"/>
  <c r="J1384" i="1"/>
  <c r="I1384" i="1"/>
  <c r="H1384" i="1"/>
  <c r="G1384" i="1"/>
  <c r="R1383" i="1"/>
  <c r="Q1383" i="1"/>
  <c r="P1383" i="1"/>
  <c r="O1383" i="1"/>
  <c r="N1383" i="1"/>
  <c r="M1383" i="1"/>
  <c r="L1383" i="1"/>
  <c r="K1383" i="1"/>
  <c r="J1383" i="1"/>
  <c r="I1383" i="1"/>
  <c r="H1383" i="1"/>
  <c r="G1383" i="1"/>
  <c r="R1382" i="1"/>
  <c r="Q1382" i="1"/>
  <c r="P1382" i="1"/>
  <c r="O1382" i="1"/>
  <c r="N1382" i="1"/>
  <c r="M1382" i="1"/>
  <c r="L1382" i="1"/>
  <c r="K1382" i="1"/>
  <c r="J1382" i="1"/>
  <c r="I1382" i="1"/>
  <c r="H1382" i="1"/>
  <c r="G1382" i="1"/>
  <c r="R1381" i="1"/>
  <c r="Q1381" i="1"/>
  <c r="P1381" i="1"/>
  <c r="O1381" i="1"/>
  <c r="N1381" i="1"/>
  <c r="M1381" i="1"/>
  <c r="L1381" i="1"/>
  <c r="K1381" i="1"/>
  <c r="J1381" i="1"/>
  <c r="I1381" i="1"/>
  <c r="H1381" i="1"/>
  <c r="G1381" i="1"/>
  <c r="R1380" i="1"/>
  <c r="Q1380" i="1"/>
  <c r="P1380" i="1"/>
  <c r="O1380" i="1"/>
  <c r="N1380" i="1"/>
  <c r="M1380" i="1"/>
  <c r="L1380" i="1"/>
  <c r="K1380" i="1"/>
  <c r="J1380" i="1"/>
  <c r="I1380" i="1"/>
  <c r="H1380" i="1"/>
  <c r="G1380" i="1"/>
  <c r="R1379" i="1"/>
  <c r="Q1379" i="1"/>
  <c r="P1379" i="1"/>
  <c r="O1379" i="1"/>
  <c r="N1379" i="1"/>
  <c r="M1379" i="1"/>
  <c r="L1379" i="1"/>
  <c r="K1379" i="1"/>
  <c r="J1379" i="1"/>
  <c r="I1379" i="1"/>
  <c r="H1379" i="1"/>
  <c r="G1379" i="1"/>
  <c r="R1378" i="1"/>
  <c r="Q1378" i="1"/>
  <c r="P1378" i="1"/>
  <c r="O1378" i="1"/>
  <c r="N1378" i="1"/>
  <c r="M1378" i="1"/>
  <c r="L1378" i="1"/>
  <c r="K1378" i="1"/>
  <c r="J1378" i="1"/>
  <c r="I1378" i="1"/>
  <c r="H1378" i="1"/>
  <c r="G1378" i="1"/>
  <c r="R1377" i="1"/>
  <c r="Q1377" i="1"/>
  <c r="P1377" i="1"/>
  <c r="O1377" i="1"/>
  <c r="N1377" i="1"/>
  <c r="M1377" i="1"/>
  <c r="L1377" i="1"/>
  <c r="K1377" i="1"/>
  <c r="J1377" i="1"/>
  <c r="I1377" i="1"/>
  <c r="H1377" i="1"/>
  <c r="G1377" i="1"/>
  <c r="R1376" i="1"/>
  <c r="Q1376" i="1"/>
  <c r="P1376" i="1"/>
  <c r="O1376" i="1"/>
  <c r="N1376" i="1"/>
  <c r="M1376" i="1"/>
  <c r="L1376" i="1"/>
  <c r="K1376" i="1"/>
  <c r="J1376" i="1"/>
  <c r="I1376" i="1"/>
  <c r="H1376" i="1"/>
  <c r="G1376" i="1"/>
  <c r="R1375" i="1"/>
  <c r="Q1375" i="1"/>
  <c r="P1375" i="1"/>
  <c r="O1375" i="1"/>
  <c r="N1375" i="1"/>
  <c r="M1375" i="1"/>
  <c r="L1375" i="1"/>
  <c r="K1375" i="1"/>
  <c r="J1375" i="1"/>
  <c r="I1375" i="1"/>
  <c r="H1375" i="1"/>
  <c r="G1375" i="1"/>
  <c r="R1374" i="1"/>
  <c r="Q1374" i="1"/>
  <c r="P1374" i="1"/>
  <c r="O1374" i="1"/>
  <c r="N1374" i="1"/>
  <c r="M1374" i="1"/>
  <c r="L1374" i="1"/>
  <c r="K1374" i="1"/>
  <c r="J1374" i="1"/>
  <c r="I1374" i="1"/>
  <c r="H1374" i="1"/>
  <c r="G1374" i="1"/>
  <c r="R1373" i="1"/>
  <c r="Q1373" i="1"/>
  <c r="P1373" i="1"/>
  <c r="O1373" i="1"/>
  <c r="N1373" i="1"/>
  <c r="M1373" i="1"/>
  <c r="L1373" i="1"/>
  <c r="K1373" i="1"/>
  <c r="J1373" i="1"/>
  <c r="I1373" i="1"/>
  <c r="H1373" i="1"/>
  <c r="G1373" i="1"/>
  <c r="R1372" i="1"/>
  <c r="Q1372" i="1"/>
  <c r="P1372" i="1"/>
  <c r="O1372" i="1"/>
  <c r="N1372" i="1"/>
  <c r="M1372" i="1"/>
  <c r="L1372" i="1"/>
  <c r="K1372" i="1"/>
  <c r="J1372" i="1"/>
  <c r="I1372" i="1"/>
  <c r="H1372" i="1"/>
  <c r="G1372" i="1"/>
  <c r="R1371" i="1"/>
  <c r="Q1371" i="1"/>
  <c r="P1371" i="1"/>
  <c r="O1371" i="1"/>
  <c r="N1371" i="1"/>
  <c r="M1371" i="1"/>
  <c r="L1371" i="1"/>
  <c r="K1371" i="1"/>
  <c r="J1371" i="1"/>
  <c r="I1371" i="1"/>
  <c r="H1371" i="1"/>
  <c r="G1371" i="1"/>
  <c r="R1370" i="1"/>
  <c r="Q1370" i="1"/>
  <c r="P1370" i="1"/>
  <c r="O1370" i="1"/>
  <c r="N1370" i="1"/>
  <c r="M1370" i="1"/>
  <c r="L1370" i="1"/>
  <c r="K1370" i="1"/>
  <c r="J1370" i="1"/>
  <c r="I1370" i="1"/>
  <c r="H1370" i="1"/>
  <c r="G1370" i="1"/>
  <c r="R1369" i="1"/>
  <c r="Q1369" i="1"/>
  <c r="P1369" i="1"/>
  <c r="O1369" i="1"/>
  <c r="N1369" i="1"/>
  <c r="M1369" i="1"/>
  <c r="L1369" i="1"/>
  <c r="K1369" i="1"/>
  <c r="J1369" i="1"/>
  <c r="I1369" i="1"/>
  <c r="H1369" i="1"/>
  <c r="G1369" i="1"/>
  <c r="R1368" i="1"/>
  <c r="Q1368" i="1"/>
  <c r="P1368" i="1"/>
  <c r="O1368" i="1"/>
  <c r="N1368" i="1"/>
  <c r="M1368" i="1"/>
  <c r="L1368" i="1"/>
  <c r="K1368" i="1"/>
  <c r="J1368" i="1"/>
  <c r="I1368" i="1"/>
  <c r="H1368" i="1"/>
  <c r="G1368" i="1"/>
  <c r="R1367" i="1"/>
  <c r="Q1367" i="1"/>
  <c r="P1367" i="1"/>
  <c r="O1367" i="1"/>
  <c r="N1367" i="1"/>
  <c r="M1367" i="1"/>
  <c r="L1367" i="1"/>
  <c r="K1367" i="1"/>
  <c r="J1367" i="1"/>
  <c r="I1367" i="1"/>
  <c r="H1367" i="1"/>
  <c r="G1367" i="1"/>
  <c r="R1366" i="1"/>
  <c r="Q1366" i="1"/>
  <c r="P1366" i="1"/>
  <c r="O1366" i="1"/>
  <c r="N1366" i="1"/>
  <c r="M1366" i="1"/>
  <c r="L1366" i="1"/>
  <c r="K1366" i="1"/>
  <c r="J1366" i="1"/>
  <c r="I1366" i="1"/>
  <c r="H1366" i="1"/>
  <c r="G1366" i="1"/>
  <c r="R1365" i="1"/>
  <c r="Q1365" i="1"/>
  <c r="P1365" i="1"/>
  <c r="O1365" i="1"/>
  <c r="N1365" i="1"/>
  <c r="M1365" i="1"/>
  <c r="L1365" i="1"/>
  <c r="K1365" i="1"/>
  <c r="J1365" i="1"/>
  <c r="I1365" i="1"/>
  <c r="H1365" i="1"/>
  <c r="G1365" i="1"/>
  <c r="R1364" i="1"/>
  <c r="Q1364" i="1"/>
  <c r="P1364" i="1"/>
  <c r="O1364" i="1"/>
  <c r="N1364" i="1"/>
  <c r="M1364" i="1"/>
  <c r="L1364" i="1"/>
  <c r="K1364" i="1"/>
  <c r="J1364" i="1"/>
  <c r="I1364" i="1"/>
  <c r="H1364" i="1"/>
  <c r="G1364" i="1"/>
  <c r="R1363" i="1"/>
  <c r="Q1363" i="1"/>
  <c r="P1363" i="1"/>
  <c r="O1363" i="1"/>
  <c r="N1363" i="1"/>
  <c r="M1363" i="1"/>
  <c r="L1363" i="1"/>
  <c r="K1363" i="1"/>
  <c r="J1363" i="1"/>
  <c r="I1363" i="1"/>
  <c r="H1363" i="1"/>
  <c r="G1363" i="1"/>
  <c r="R1362" i="1"/>
  <c r="Q1362" i="1"/>
  <c r="P1362" i="1"/>
  <c r="O1362" i="1"/>
  <c r="N1362" i="1"/>
  <c r="M1362" i="1"/>
  <c r="L1362" i="1"/>
  <c r="K1362" i="1"/>
  <c r="J1362" i="1"/>
  <c r="I1362" i="1"/>
  <c r="H1362" i="1"/>
  <c r="G1362" i="1"/>
  <c r="R1361" i="1"/>
  <c r="Q1361" i="1"/>
  <c r="P1361" i="1"/>
  <c r="O1361" i="1"/>
  <c r="N1361" i="1"/>
  <c r="M1361" i="1"/>
  <c r="L1361" i="1"/>
  <c r="K1361" i="1"/>
  <c r="J1361" i="1"/>
  <c r="I1361" i="1"/>
  <c r="H1361" i="1"/>
  <c r="G1361" i="1"/>
  <c r="R1360" i="1"/>
  <c r="Q1360" i="1"/>
  <c r="P1360" i="1"/>
  <c r="O1360" i="1"/>
  <c r="N1360" i="1"/>
  <c r="M1360" i="1"/>
  <c r="L1360" i="1"/>
  <c r="K1360" i="1"/>
  <c r="J1360" i="1"/>
  <c r="I1360" i="1"/>
  <c r="H1360" i="1"/>
  <c r="G1360" i="1"/>
  <c r="R1359" i="1"/>
  <c r="Q1359" i="1"/>
  <c r="P1359" i="1"/>
  <c r="O1359" i="1"/>
  <c r="N1359" i="1"/>
  <c r="M1359" i="1"/>
  <c r="L1359" i="1"/>
  <c r="K1359" i="1"/>
  <c r="J1359" i="1"/>
  <c r="I1359" i="1"/>
  <c r="H1359" i="1"/>
  <c r="G1359" i="1"/>
  <c r="R1358" i="1"/>
  <c r="Q1358" i="1"/>
  <c r="P1358" i="1"/>
  <c r="O1358" i="1"/>
  <c r="N1358" i="1"/>
  <c r="M1358" i="1"/>
  <c r="L1358" i="1"/>
  <c r="K1358" i="1"/>
  <c r="J1358" i="1"/>
  <c r="I1358" i="1"/>
  <c r="H1358" i="1"/>
  <c r="G1358" i="1"/>
  <c r="R1357" i="1"/>
  <c r="Q1357" i="1"/>
  <c r="P1357" i="1"/>
  <c r="O1357" i="1"/>
  <c r="N1357" i="1"/>
  <c r="M1357" i="1"/>
  <c r="L1357" i="1"/>
  <c r="K1357" i="1"/>
  <c r="J1357" i="1"/>
  <c r="I1357" i="1"/>
  <c r="H1357" i="1"/>
  <c r="G1357" i="1"/>
  <c r="R1356" i="1"/>
  <c r="Q1356" i="1"/>
  <c r="P1356" i="1"/>
  <c r="O1356" i="1"/>
  <c r="N1356" i="1"/>
  <c r="M1356" i="1"/>
  <c r="L1356" i="1"/>
  <c r="K1356" i="1"/>
  <c r="J1356" i="1"/>
  <c r="I1356" i="1"/>
  <c r="H1356" i="1"/>
  <c r="G1356" i="1"/>
  <c r="R1355" i="1"/>
  <c r="Q1355" i="1"/>
  <c r="P1355" i="1"/>
  <c r="O1355" i="1"/>
  <c r="N1355" i="1"/>
  <c r="M1355" i="1"/>
  <c r="L1355" i="1"/>
  <c r="K1355" i="1"/>
  <c r="J1355" i="1"/>
  <c r="I1355" i="1"/>
  <c r="H1355" i="1"/>
  <c r="G1355" i="1"/>
  <c r="R1354" i="1"/>
  <c r="Q1354" i="1"/>
  <c r="P1354" i="1"/>
  <c r="O1354" i="1"/>
  <c r="N1354" i="1"/>
  <c r="M1354" i="1"/>
  <c r="L1354" i="1"/>
  <c r="K1354" i="1"/>
  <c r="J1354" i="1"/>
  <c r="I1354" i="1"/>
  <c r="H1354" i="1"/>
  <c r="G1354" i="1"/>
  <c r="R1353" i="1"/>
  <c r="Q1353" i="1"/>
  <c r="P1353" i="1"/>
  <c r="O1353" i="1"/>
  <c r="N1353" i="1"/>
  <c r="M1353" i="1"/>
  <c r="L1353" i="1"/>
  <c r="K1353" i="1"/>
  <c r="J1353" i="1"/>
  <c r="I1353" i="1"/>
  <c r="H1353" i="1"/>
  <c r="G1353" i="1"/>
  <c r="R1352" i="1"/>
  <c r="Q1352" i="1"/>
  <c r="P1352" i="1"/>
  <c r="O1352" i="1"/>
  <c r="N1352" i="1"/>
  <c r="M1352" i="1"/>
  <c r="L1352" i="1"/>
  <c r="K1352" i="1"/>
  <c r="J1352" i="1"/>
  <c r="I1352" i="1"/>
  <c r="H1352" i="1"/>
  <c r="G1352" i="1"/>
  <c r="R1351" i="1"/>
  <c r="Q1351" i="1"/>
  <c r="P1351" i="1"/>
  <c r="O1351" i="1"/>
  <c r="N1351" i="1"/>
  <c r="M1351" i="1"/>
  <c r="L1351" i="1"/>
  <c r="K1351" i="1"/>
  <c r="J1351" i="1"/>
  <c r="I1351" i="1"/>
  <c r="H1351" i="1"/>
  <c r="G1351" i="1"/>
  <c r="R1350" i="1"/>
  <c r="Q1350" i="1"/>
  <c r="P1350" i="1"/>
  <c r="O1350" i="1"/>
  <c r="N1350" i="1"/>
  <c r="M1350" i="1"/>
  <c r="L1350" i="1"/>
  <c r="K1350" i="1"/>
  <c r="J1350" i="1"/>
  <c r="I1350" i="1"/>
  <c r="H1350" i="1"/>
  <c r="G1350" i="1"/>
  <c r="R1349" i="1"/>
  <c r="Q1349" i="1"/>
  <c r="N1349" i="1"/>
  <c r="M1349" i="1"/>
  <c r="L1349" i="1"/>
  <c r="K1349" i="1"/>
  <c r="J1349" i="1"/>
  <c r="I1349" i="1"/>
  <c r="H1349" i="1"/>
  <c r="G1349" i="1"/>
  <c r="R1348" i="1"/>
  <c r="Q1348" i="1"/>
  <c r="N1348" i="1"/>
  <c r="M1348" i="1"/>
  <c r="L1348" i="1"/>
  <c r="K1348" i="1"/>
  <c r="J1348" i="1"/>
  <c r="I1348" i="1"/>
  <c r="H1348" i="1"/>
  <c r="G1348" i="1"/>
  <c r="R1347" i="1"/>
  <c r="Q1347" i="1"/>
  <c r="N1347" i="1"/>
  <c r="M1347" i="1"/>
  <c r="L1347" i="1"/>
  <c r="K1347" i="1"/>
  <c r="J1347" i="1"/>
  <c r="I1347" i="1"/>
  <c r="H1347" i="1"/>
  <c r="G1347" i="1"/>
  <c r="R1346" i="1"/>
  <c r="Q1346" i="1"/>
  <c r="N1346" i="1"/>
  <c r="M1346" i="1"/>
  <c r="L1346" i="1"/>
  <c r="K1346" i="1"/>
  <c r="J1346" i="1"/>
  <c r="I1346" i="1"/>
  <c r="H1346" i="1"/>
  <c r="G1346" i="1"/>
  <c r="R1345" i="1"/>
  <c r="Q1345" i="1"/>
  <c r="N1345" i="1"/>
  <c r="M1345" i="1"/>
  <c r="L1345" i="1"/>
  <c r="K1345" i="1"/>
  <c r="J1345" i="1"/>
  <c r="I1345" i="1"/>
  <c r="H1345" i="1"/>
  <c r="G1345" i="1"/>
  <c r="R1344" i="1"/>
  <c r="Q1344" i="1"/>
  <c r="O1344" i="1"/>
  <c r="N1344" i="1"/>
  <c r="M1344" i="1"/>
  <c r="L1344" i="1"/>
  <c r="K1344" i="1"/>
  <c r="J1344" i="1"/>
  <c r="I1344" i="1"/>
  <c r="H1344" i="1"/>
  <c r="G1344" i="1"/>
  <c r="R1343" i="1"/>
  <c r="Q1343" i="1"/>
  <c r="N1343" i="1"/>
  <c r="M1343" i="1"/>
  <c r="L1343" i="1"/>
  <c r="K1343" i="1"/>
  <c r="J1343" i="1"/>
  <c r="I1343" i="1"/>
  <c r="H1343" i="1"/>
  <c r="G1343" i="1"/>
  <c r="R1342" i="1"/>
  <c r="Q1342" i="1"/>
  <c r="N1342" i="1"/>
  <c r="M1342" i="1"/>
  <c r="L1342" i="1"/>
  <c r="K1342" i="1"/>
  <c r="J1342" i="1"/>
  <c r="I1342" i="1"/>
  <c r="H1342" i="1"/>
  <c r="G1342" i="1"/>
  <c r="R1341" i="1"/>
  <c r="Q1341" i="1"/>
  <c r="N1341" i="1"/>
  <c r="M1341" i="1"/>
  <c r="L1341" i="1"/>
  <c r="K1341" i="1"/>
  <c r="J1341" i="1"/>
  <c r="I1341" i="1"/>
  <c r="H1341" i="1"/>
  <c r="G1341" i="1"/>
  <c r="R1340" i="1"/>
  <c r="Q1340" i="1"/>
  <c r="N1340" i="1"/>
  <c r="M1340" i="1"/>
  <c r="L1340" i="1"/>
  <c r="K1340" i="1"/>
  <c r="J1340" i="1"/>
  <c r="I1340" i="1"/>
  <c r="H1340" i="1"/>
  <c r="G1340" i="1"/>
  <c r="R1339" i="1"/>
  <c r="Q1339" i="1"/>
  <c r="N1339" i="1"/>
  <c r="M1339" i="1"/>
  <c r="L1339" i="1"/>
  <c r="K1339" i="1"/>
  <c r="J1339" i="1"/>
  <c r="I1339" i="1"/>
  <c r="H1339" i="1"/>
  <c r="G1339" i="1"/>
  <c r="R1338" i="1"/>
  <c r="Q1338" i="1"/>
  <c r="N1338" i="1"/>
  <c r="M1338" i="1"/>
  <c r="L1338" i="1"/>
  <c r="K1338" i="1"/>
  <c r="J1338" i="1"/>
  <c r="I1338" i="1"/>
  <c r="H1338" i="1"/>
  <c r="G1338" i="1"/>
  <c r="R1337" i="1"/>
  <c r="Q1337" i="1"/>
  <c r="N1337" i="1"/>
  <c r="M1337" i="1"/>
  <c r="L1337" i="1"/>
  <c r="K1337" i="1"/>
  <c r="J1337" i="1"/>
  <c r="I1337" i="1"/>
  <c r="H1337" i="1"/>
  <c r="G1337" i="1"/>
  <c r="R1336" i="1"/>
  <c r="Q1336" i="1"/>
  <c r="N1336" i="1"/>
  <c r="M1336" i="1"/>
  <c r="L1336" i="1"/>
  <c r="K1336" i="1"/>
  <c r="J1336" i="1"/>
  <c r="I1336" i="1"/>
  <c r="H1336" i="1"/>
  <c r="G1336" i="1"/>
  <c r="R1335" i="1"/>
  <c r="Q1335" i="1"/>
  <c r="N1335" i="1"/>
  <c r="M1335" i="1"/>
  <c r="L1335" i="1"/>
  <c r="K1335" i="1"/>
  <c r="J1335" i="1"/>
  <c r="I1335" i="1"/>
  <c r="H1335" i="1"/>
  <c r="G1335" i="1"/>
  <c r="R1334" i="1"/>
  <c r="Q1334" i="1"/>
  <c r="N1334" i="1"/>
  <c r="M1334" i="1"/>
  <c r="L1334" i="1"/>
  <c r="K1334" i="1"/>
  <c r="J1334" i="1"/>
  <c r="I1334" i="1"/>
  <c r="H1334" i="1"/>
  <c r="G1334" i="1"/>
  <c r="R1333" i="1"/>
  <c r="Q1333" i="1"/>
  <c r="N1333" i="1"/>
  <c r="M1333" i="1"/>
  <c r="L1333" i="1"/>
  <c r="K1333" i="1"/>
  <c r="J1333" i="1"/>
  <c r="I1333" i="1"/>
  <c r="H1333" i="1"/>
  <c r="G1333" i="1"/>
  <c r="R1332" i="1"/>
  <c r="Q1332" i="1"/>
  <c r="N1332" i="1"/>
  <c r="M1332" i="1"/>
  <c r="L1332" i="1"/>
  <c r="K1332" i="1"/>
  <c r="J1332" i="1"/>
  <c r="I1332" i="1"/>
  <c r="H1332" i="1"/>
  <c r="G1332" i="1"/>
  <c r="R1331" i="1"/>
  <c r="Q1331" i="1"/>
  <c r="N1331" i="1"/>
  <c r="M1331" i="1"/>
  <c r="L1331" i="1"/>
  <c r="K1331" i="1"/>
  <c r="J1331" i="1"/>
  <c r="I1331" i="1"/>
  <c r="H1331" i="1"/>
  <c r="G1331" i="1"/>
  <c r="R1330" i="1"/>
  <c r="Q1330" i="1"/>
  <c r="N1330" i="1"/>
  <c r="M1330" i="1"/>
  <c r="L1330" i="1"/>
  <c r="K1330" i="1"/>
  <c r="J1330" i="1"/>
  <c r="I1330" i="1"/>
  <c r="H1330" i="1"/>
  <c r="G1330" i="1"/>
  <c r="R1329" i="1"/>
  <c r="Q1329" i="1"/>
  <c r="N1329" i="1"/>
  <c r="M1329" i="1"/>
  <c r="L1329" i="1"/>
  <c r="K1329" i="1"/>
  <c r="J1329" i="1"/>
  <c r="I1329" i="1"/>
  <c r="H1329" i="1"/>
  <c r="G1329" i="1"/>
  <c r="R1328" i="1"/>
  <c r="Q1328" i="1"/>
  <c r="N1328" i="1"/>
  <c r="M1328" i="1"/>
  <c r="L1328" i="1"/>
  <c r="K1328" i="1"/>
  <c r="J1328" i="1"/>
  <c r="I1328" i="1"/>
  <c r="H1328" i="1"/>
  <c r="G1328" i="1"/>
  <c r="R1327" i="1"/>
  <c r="Q1327" i="1"/>
  <c r="N1327" i="1"/>
  <c r="M1327" i="1"/>
  <c r="L1327" i="1"/>
  <c r="K1327" i="1"/>
  <c r="J1327" i="1"/>
  <c r="I1327" i="1"/>
  <c r="H1327" i="1"/>
  <c r="G1327" i="1"/>
  <c r="R1326" i="1"/>
  <c r="Q1326" i="1"/>
  <c r="N1326" i="1"/>
  <c r="M1326" i="1"/>
  <c r="L1326" i="1"/>
  <c r="K1326" i="1"/>
  <c r="J1326" i="1"/>
  <c r="I1326" i="1"/>
  <c r="H1326" i="1"/>
  <c r="G1326" i="1"/>
  <c r="R1325" i="1"/>
  <c r="Q1325" i="1"/>
  <c r="N1325" i="1"/>
  <c r="M1325" i="1"/>
  <c r="L1325" i="1"/>
  <c r="K1325" i="1"/>
  <c r="J1325" i="1"/>
  <c r="I1325" i="1"/>
  <c r="H1325" i="1"/>
  <c r="G1325" i="1"/>
  <c r="R1324" i="1"/>
  <c r="Q1324" i="1"/>
  <c r="N1324" i="1"/>
  <c r="M1324" i="1"/>
  <c r="L1324" i="1"/>
  <c r="K1324" i="1"/>
  <c r="J1324" i="1"/>
  <c r="I1324" i="1"/>
  <c r="H1324" i="1"/>
  <c r="G1324" i="1"/>
  <c r="R1323" i="1"/>
  <c r="Q1323" i="1"/>
  <c r="N1323" i="1"/>
  <c r="M1323" i="1"/>
  <c r="L1323" i="1"/>
  <c r="K1323" i="1"/>
  <c r="J1323" i="1"/>
  <c r="I1323" i="1"/>
  <c r="H1323" i="1"/>
  <c r="G1323" i="1"/>
  <c r="R1322" i="1"/>
  <c r="Q1322" i="1"/>
  <c r="N1322" i="1"/>
  <c r="M1322" i="1"/>
  <c r="L1322" i="1"/>
  <c r="K1322" i="1"/>
  <c r="J1322" i="1"/>
  <c r="I1322" i="1"/>
  <c r="H1322" i="1"/>
  <c r="G1322" i="1"/>
  <c r="R1321" i="1"/>
  <c r="Q1321" i="1"/>
  <c r="N1321" i="1"/>
  <c r="M1321" i="1"/>
  <c r="L1321" i="1"/>
  <c r="K1321" i="1"/>
  <c r="J1321" i="1"/>
  <c r="I1321" i="1"/>
  <c r="H1321" i="1"/>
  <c r="G1321" i="1"/>
  <c r="R1320" i="1"/>
  <c r="Q1320" i="1"/>
  <c r="N1320" i="1"/>
  <c r="M1320" i="1"/>
  <c r="L1320" i="1"/>
  <c r="K1320" i="1"/>
  <c r="J1320" i="1"/>
  <c r="I1320" i="1"/>
  <c r="H1320" i="1"/>
  <c r="G1320" i="1"/>
  <c r="R1319" i="1"/>
  <c r="Q1319" i="1"/>
  <c r="N1319" i="1"/>
  <c r="M1319" i="1"/>
  <c r="L1319" i="1"/>
  <c r="K1319" i="1"/>
  <c r="J1319" i="1"/>
  <c r="I1319" i="1"/>
  <c r="H1319" i="1"/>
  <c r="G1319" i="1"/>
  <c r="R1318" i="1"/>
  <c r="Q1318" i="1"/>
  <c r="N1318" i="1"/>
  <c r="M1318" i="1"/>
  <c r="L1318" i="1"/>
  <c r="K1318" i="1"/>
  <c r="J1318" i="1"/>
  <c r="I1318" i="1"/>
  <c r="H1318" i="1"/>
  <c r="G1318" i="1"/>
  <c r="R1317" i="1"/>
  <c r="Q1317" i="1"/>
  <c r="N1317" i="1"/>
  <c r="M1317" i="1"/>
  <c r="L1317" i="1"/>
  <c r="K1317" i="1"/>
  <c r="J1317" i="1"/>
  <c r="I1317" i="1"/>
  <c r="H1317" i="1"/>
  <c r="G1317" i="1"/>
  <c r="R1316" i="1"/>
  <c r="Q1316" i="1"/>
  <c r="N1316" i="1"/>
  <c r="M1316" i="1"/>
  <c r="L1316" i="1"/>
  <c r="K1316" i="1"/>
  <c r="J1316" i="1"/>
  <c r="I1316" i="1"/>
  <c r="H1316" i="1"/>
  <c r="G1316" i="1"/>
  <c r="R1315" i="1"/>
  <c r="Q1315" i="1"/>
  <c r="N1315" i="1"/>
  <c r="M1315" i="1"/>
  <c r="L1315" i="1"/>
  <c r="K1315" i="1"/>
  <c r="J1315" i="1"/>
  <c r="I1315" i="1"/>
  <c r="H1315" i="1"/>
  <c r="G1315" i="1"/>
  <c r="R1314" i="1"/>
  <c r="Q1314" i="1"/>
  <c r="O1314" i="1"/>
  <c r="N1314" i="1"/>
  <c r="M1314" i="1"/>
  <c r="L1314" i="1"/>
  <c r="K1314" i="1"/>
  <c r="J1314" i="1"/>
  <c r="I1314" i="1"/>
  <c r="H1314" i="1"/>
  <c r="G1314" i="1"/>
  <c r="R1313" i="1"/>
  <c r="Q1313" i="1"/>
  <c r="N1313" i="1"/>
  <c r="M1313" i="1"/>
  <c r="L1313" i="1"/>
  <c r="K1313" i="1"/>
  <c r="J1313" i="1"/>
  <c r="I1313" i="1"/>
  <c r="H1313" i="1"/>
  <c r="G1313" i="1"/>
  <c r="R1312" i="1"/>
  <c r="Q1312" i="1"/>
  <c r="N1312" i="1"/>
  <c r="M1312" i="1"/>
  <c r="L1312" i="1"/>
  <c r="K1312" i="1"/>
  <c r="J1312" i="1"/>
  <c r="I1312" i="1"/>
  <c r="H1312" i="1"/>
  <c r="G1312" i="1"/>
  <c r="R1311" i="1"/>
  <c r="Q1311" i="1"/>
  <c r="N1311" i="1"/>
  <c r="M1311" i="1"/>
  <c r="L1311" i="1"/>
  <c r="K1311" i="1"/>
  <c r="J1311" i="1"/>
  <c r="I1311" i="1"/>
  <c r="H1311" i="1"/>
  <c r="G1311" i="1"/>
  <c r="R1310" i="1"/>
  <c r="Q1310" i="1"/>
  <c r="N1310" i="1"/>
  <c r="M1310" i="1"/>
  <c r="L1310" i="1"/>
  <c r="K1310" i="1"/>
  <c r="J1310" i="1"/>
  <c r="I1310" i="1"/>
  <c r="H1310" i="1"/>
  <c r="G1310" i="1"/>
  <c r="R1309" i="1"/>
  <c r="Q1309" i="1"/>
  <c r="N1309" i="1"/>
  <c r="M1309" i="1"/>
  <c r="L1309" i="1"/>
  <c r="K1309" i="1"/>
  <c r="J1309" i="1"/>
  <c r="I1309" i="1"/>
  <c r="H1309" i="1"/>
  <c r="G1309" i="1"/>
  <c r="R1308" i="1"/>
  <c r="Q1308" i="1"/>
  <c r="O1308" i="1"/>
  <c r="N1308" i="1"/>
  <c r="M1308" i="1"/>
  <c r="L1308" i="1"/>
  <c r="K1308" i="1"/>
  <c r="J1308" i="1"/>
  <c r="I1308" i="1"/>
  <c r="H1308" i="1"/>
  <c r="G1308" i="1"/>
  <c r="R1307" i="1"/>
  <c r="Q1307" i="1"/>
  <c r="N1307" i="1"/>
  <c r="M1307" i="1"/>
  <c r="L1307" i="1"/>
  <c r="K1307" i="1"/>
  <c r="J1307" i="1"/>
  <c r="I1307" i="1"/>
  <c r="H1307" i="1"/>
  <c r="G1307" i="1"/>
  <c r="R1306" i="1"/>
  <c r="Q1306" i="1"/>
  <c r="N1306" i="1"/>
  <c r="M1306" i="1"/>
  <c r="L1306" i="1"/>
  <c r="K1306" i="1"/>
  <c r="J1306" i="1"/>
  <c r="I1306" i="1"/>
  <c r="H1306" i="1"/>
  <c r="G1306" i="1"/>
  <c r="R1305" i="1"/>
  <c r="Q1305" i="1"/>
  <c r="N1305" i="1"/>
  <c r="M1305" i="1"/>
  <c r="L1305" i="1"/>
  <c r="K1305" i="1"/>
  <c r="J1305" i="1"/>
  <c r="I1305" i="1"/>
  <c r="H1305" i="1"/>
  <c r="G1305" i="1"/>
  <c r="R1304" i="1"/>
  <c r="Q1304" i="1"/>
  <c r="N1304" i="1"/>
  <c r="M1304" i="1"/>
  <c r="L1304" i="1"/>
  <c r="K1304" i="1"/>
  <c r="J1304" i="1"/>
  <c r="I1304" i="1"/>
  <c r="H1304" i="1"/>
  <c r="G1304" i="1"/>
  <c r="R1303" i="1"/>
  <c r="Q1303" i="1"/>
  <c r="N1303" i="1"/>
  <c r="M1303" i="1"/>
  <c r="L1303" i="1"/>
  <c r="K1303" i="1"/>
  <c r="J1303" i="1"/>
  <c r="I1303" i="1"/>
  <c r="H1303" i="1"/>
  <c r="G1303" i="1"/>
  <c r="R1302" i="1"/>
  <c r="Q1302" i="1"/>
  <c r="N1302" i="1"/>
  <c r="M1302" i="1"/>
  <c r="L1302" i="1"/>
  <c r="K1302" i="1"/>
  <c r="J1302" i="1"/>
  <c r="I1302" i="1"/>
  <c r="H1302" i="1"/>
  <c r="G1302" i="1"/>
  <c r="R1301" i="1"/>
  <c r="Q1301" i="1"/>
  <c r="N1301" i="1"/>
  <c r="M1301" i="1"/>
  <c r="L1301" i="1"/>
  <c r="K1301" i="1"/>
  <c r="J1301" i="1"/>
  <c r="I1301" i="1"/>
  <c r="H1301" i="1"/>
  <c r="G1301" i="1"/>
  <c r="R1300" i="1"/>
  <c r="Q1300" i="1"/>
  <c r="N1300" i="1"/>
  <c r="M1300" i="1"/>
  <c r="L1300" i="1"/>
  <c r="K1300" i="1"/>
  <c r="J1300" i="1"/>
  <c r="I1300" i="1"/>
  <c r="H1300" i="1"/>
  <c r="G1300" i="1"/>
  <c r="R1299" i="1"/>
  <c r="Q1299" i="1"/>
  <c r="N1299" i="1"/>
  <c r="M1299" i="1"/>
  <c r="L1299" i="1"/>
  <c r="K1299" i="1"/>
  <c r="J1299" i="1"/>
  <c r="I1299" i="1"/>
  <c r="H1299" i="1"/>
  <c r="G1299" i="1"/>
  <c r="R1298" i="1"/>
  <c r="Q1298" i="1"/>
  <c r="N1298" i="1"/>
  <c r="M1298" i="1"/>
  <c r="L1298" i="1"/>
  <c r="K1298" i="1"/>
  <c r="J1298" i="1"/>
  <c r="I1298" i="1"/>
  <c r="H1298" i="1"/>
  <c r="G1298" i="1"/>
  <c r="R1297" i="1"/>
  <c r="Q1297" i="1"/>
  <c r="N1297" i="1"/>
  <c r="M1297" i="1"/>
  <c r="L1297" i="1"/>
  <c r="K1297" i="1"/>
  <c r="J1297" i="1"/>
  <c r="I1297" i="1"/>
  <c r="H1297" i="1"/>
  <c r="G1297" i="1"/>
  <c r="R1296" i="1"/>
  <c r="Q1296" i="1"/>
  <c r="O1296" i="1"/>
  <c r="N1296" i="1"/>
  <c r="M1296" i="1"/>
  <c r="L1296" i="1"/>
  <c r="K1296" i="1"/>
  <c r="J1296" i="1"/>
  <c r="I1296" i="1"/>
  <c r="H1296" i="1"/>
  <c r="G1296" i="1"/>
  <c r="R1295" i="1"/>
  <c r="Q1295" i="1"/>
  <c r="N1295" i="1"/>
  <c r="M1295" i="1"/>
  <c r="L1295" i="1"/>
  <c r="K1295" i="1"/>
  <c r="J1295" i="1"/>
  <c r="I1295" i="1"/>
  <c r="H1295" i="1"/>
  <c r="G1295" i="1"/>
  <c r="R1294" i="1"/>
  <c r="Q1294" i="1"/>
  <c r="N1294" i="1"/>
  <c r="M1294" i="1"/>
  <c r="L1294" i="1"/>
  <c r="K1294" i="1"/>
  <c r="J1294" i="1"/>
  <c r="I1294" i="1"/>
  <c r="H1294" i="1"/>
  <c r="G1294" i="1"/>
  <c r="R1293" i="1"/>
  <c r="Q1293" i="1"/>
  <c r="N1293" i="1"/>
  <c r="M1293" i="1"/>
  <c r="L1293" i="1"/>
  <c r="K1293" i="1"/>
  <c r="J1293" i="1"/>
  <c r="I1293" i="1"/>
  <c r="H1293" i="1"/>
  <c r="G1293" i="1"/>
  <c r="R1292" i="1"/>
  <c r="Q1292" i="1"/>
  <c r="N1292" i="1"/>
  <c r="M1292" i="1"/>
  <c r="L1292" i="1"/>
  <c r="K1292" i="1"/>
  <c r="J1292" i="1"/>
  <c r="I1292" i="1"/>
  <c r="H1292" i="1"/>
  <c r="G1292" i="1"/>
  <c r="R1291" i="1"/>
  <c r="Q1291" i="1"/>
  <c r="N1291" i="1"/>
  <c r="M1291" i="1"/>
  <c r="L1291" i="1"/>
  <c r="K1291" i="1"/>
  <c r="J1291" i="1"/>
  <c r="I1291" i="1"/>
  <c r="H1291" i="1"/>
  <c r="G1291" i="1"/>
  <c r="R1290" i="1"/>
  <c r="Q1290" i="1"/>
  <c r="O1290" i="1"/>
  <c r="N1290" i="1"/>
  <c r="M1290" i="1"/>
  <c r="L1290" i="1"/>
  <c r="K1290" i="1"/>
  <c r="J1290" i="1"/>
  <c r="I1290" i="1"/>
  <c r="H1290" i="1"/>
  <c r="G1290" i="1"/>
  <c r="R1289" i="1"/>
  <c r="Q1289" i="1"/>
  <c r="N1289" i="1"/>
  <c r="M1289" i="1"/>
  <c r="L1289" i="1"/>
  <c r="K1289" i="1"/>
  <c r="J1289" i="1"/>
  <c r="I1289" i="1"/>
  <c r="H1289" i="1"/>
  <c r="G1289" i="1"/>
  <c r="R1288" i="1"/>
  <c r="Q1288" i="1"/>
  <c r="N1288" i="1"/>
  <c r="M1288" i="1"/>
  <c r="L1288" i="1"/>
  <c r="K1288" i="1"/>
  <c r="J1288" i="1"/>
  <c r="I1288" i="1"/>
  <c r="H1288" i="1"/>
  <c r="G1288" i="1"/>
  <c r="R1287" i="1"/>
  <c r="Q1287" i="1"/>
  <c r="N1287" i="1"/>
  <c r="M1287" i="1"/>
  <c r="L1287" i="1"/>
  <c r="K1287" i="1"/>
  <c r="J1287" i="1"/>
  <c r="I1287" i="1"/>
  <c r="H1287" i="1"/>
  <c r="G1287" i="1"/>
  <c r="R1286" i="1"/>
  <c r="Q1286" i="1"/>
  <c r="N1286" i="1"/>
  <c r="M1286" i="1"/>
  <c r="L1286" i="1"/>
  <c r="K1286" i="1"/>
  <c r="J1286" i="1"/>
  <c r="I1286" i="1"/>
  <c r="H1286" i="1"/>
  <c r="G1286" i="1"/>
  <c r="R1285" i="1"/>
  <c r="Q1285" i="1"/>
  <c r="N1285" i="1"/>
  <c r="M1285" i="1"/>
  <c r="L1285" i="1"/>
  <c r="K1285" i="1"/>
  <c r="J1285" i="1"/>
  <c r="I1285" i="1"/>
  <c r="H1285" i="1"/>
  <c r="G1285" i="1"/>
  <c r="R1284" i="1"/>
  <c r="Q1284" i="1"/>
  <c r="O1284" i="1"/>
  <c r="N1284" i="1"/>
  <c r="M1284" i="1"/>
  <c r="L1284" i="1"/>
  <c r="K1284" i="1"/>
  <c r="J1284" i="1"/>
  <c r="I1284" i="1"/>
  <c r="H1284" i="1"/>
  <c r="G1284" i="1"/>
  <c r="R1283" i="1"/>
  <c r="Q1283" i="1"/>
  <c r="N1283" i="1"/>
  <c r="M1283" i="1"/>
  <c r="L1283" i="1"/>
  <c r="K1283" i="1"/>
  <c r="J1283" i="1"/>
  <c r="I1283" i="1"/>
  <c r="H1283" i="1"/>
  <c r="G1283" i="1"/>
  <c r="R1282" i="1"/>
  <c r="Q1282" i="1"/>
  <c r="N1282" i="1"/>
  <c r="M1282" i="1"/>
  <c r="L1282" i="1"/>
  <c r="K1282" i="1"/>
  <c r="J1282" i="1"/>
  <c r="I1282" i="1"/>
  <c r="H1282" i="1"/>
  <c r="G1282" i="1"/>
  <c r="R1281" i="1"/>
  <c r="Q1281" i="1"/>
  <c r="N1281" i="1"/>
  <c r="M1281" i="1"/>
  <c r="L1281" i="1"/>
  <c r="K1281" i="1"/>
  <c r="J1281" i="1"/>
  <c r="I1281" i="1"/>
  <c r="H1281" i="1"/>
  <c r="G1281" i="1"/>
  <c r="R1280" i="1"/>
  <c r="Q1280" i="1"/>
  <c r="N1280" i="1"/>
  <c r="M1280" i="1"/>
  <c r="L1280" i="1"/>
  <c r="K1280" i="1"/>
  <c r="J1280" i="1"/>
  <c r="I1280" i="1"/>
  <c r="H1280" i="1"/>
  <c r="G1280" i="1"/>
  <c r="R1279" i="1"/>
  <c r="Q1279" i="1"/>
  <c r="N1279" i="1"/>
  <c r="M1279" i="1"/>
  <c r="L1279" i="1"/>
  <c r="K1279" i="1"/>
  <c r="J1279" i="1"/>
  <c r="I1279" i="1"/>
  <c r="H1279" i="1"/>
  <c r="G1279" i="1"/>
  <c r="R1278" i="1"/>
  <c r="Q1278" i="1"/>
  <c r="O1278" i="1"/>
  <c r="N1278" i="1"/>
  <c r="M1278" i="1"/>
  <c r="L1278" i="1"/>
  <c r="K1278" i="1"/>
  <c r="J1278" i="1"/>
  <c r="I1278" i="1"/>
  <c r="H1278" i="1"/>
  <c r="G1278" i="1"/>
  <c r="R1277" i="1"/>
  <c r="Q1277" i="1"/>
  <c r="N1277" i="1"/>
  <c r="M1277" i="1"/>
  <c r="L1277" i="1"/>
  <c r="K1277" i="1"/>
  <c r="J1277" i="1"/>
  <c r="I1277" i="1"/>
  <c r="H1277" i="1"/>
  <c r="G1277" i="1"/>
  <c r="R1276" i="1"/>
  <c r="Q1276" i="1"/>
  <c r="N1276" i="1"/>
  <c r="M1276" i="1"/>
  <c r="L1276" i="1"/>
  <c r="K1276" i="1"/>
  <c r="J1276" i="1"/>
  <c r="I1276" i="1"/>
  <c r="H1276" i="1"/>
  <c r="G1276" i="1"/>
  <c r="R1275" i="1"/>
  <c r="Q1275" i="1"/>
  <c r="N1275" i="1"/>
  <c r="M1275" i="1"/>
  <c r="L1275" i="1"/>
  <c r="K1275" i="1"/>
  <c r="J1275" i="1"/>
  <c r="I1275" i="1"/>
  <c r="H1275" i="1"/>
  <c r="G1275" i="1"/>
  <c r="R1274" i="1"/>
  <c r="Q1274" i="1"/>
  <c r="N1274" i="1"/>
  <c r="M1274" i="1"/>
  <c r="L1274" i="1"/>
  <c r="K1274" i="1"/>
  <c r="J1274" i="1"/>
  <c r="I1274" i="1"/>
  <c r="H1274" i="1"/>
  <c r="G1274" i="1"/>
  <c r="R1273" i="1"/>
  <c r="Q1273" i="1"/>
  <c r="N1273" i="1"/>
  <c r="M1273" i="1"/>
  <c r="L1273" i="1"/>
  <c r="K1273" i="1"/>
  <c r="J1273" i="1"/>
  <c r="I1273" i="1"/>
  <c r="H1273" i="1"/>
  <c r="G1273" i="1"/>
  <c r="R1272" i="1"/>
  <c r="Q1272" i="1"/>
  <c r="O1272" i="1"/>
  <c r="N1272" i="1"/>
  <c r="M1272" i="1"/>
  <c r="L1272" i="1"/>
  <c r="K1272" i="1"/>
  <c r="J1272" i="1"/>
  <c r="I1272" i="1"/>
  <c r="H1272" i="1"/>
  <c r="G1272" i="1"/>
  <c r="R1271" i="1"/>
  <c r="Q1271" i="1"/>
  <c r="O1271" i="1"/>
  <c r="N1271" i="1"/>
  <c r="M1271" i="1"/>
  <c r="L1271" i="1"/>
  <c r="K1271" i="1"/>
  <c r="J1271" i="1"/>
  <c r="I1271" i="1"/>
  <c r="H1271" i="1"/>
  <c r="G1271" i="1"/>
  <c r="R1270" i="1"/>
  <c r="Q1270" i="1"/>
  <c r="O1270" i="1"/>
  <c r="N1270" i="1"/>
  <c r="M1270" i="1"/>
  <c r="L1270" i="1"/>
  <c r="K1270" i="1"/>
  <c r="J1270" i="1"/>
  <c r="I1270" i="1"/>
  <c r="H1270" i="1"/>
  <c r="G1270" i="1"/>
  <c r="R1269" i="1"/>
  <c r="Q1269" i="1"/>
  <c r="O1269" i="1"/>
  <c r="N1269" i="1"/>
  <c r="M1269" i="1"/>
  <c r="L1269" i="1"/>
  <c r="K1269" i="1"/>
  <c r="J1269" i="1"/>
  <c r="I1269" i="1"/>
  <c r="H1269" i="1"/>
  <c r="G1269" i="1"/>
  <c r="R1268" i="1"/>
  <c r="Q1268" i="1"/>
  <c r="O1268" i="1"/>
  <c r="N1268" i="1"/>
  <c r="M1268" i="1"/>
  <c r="L1268" i="1"/>
  <c r="K1268" i="1"/>
  <c r="J1268" i="1"/>
  <c r="I1268" i="1"/>
  <c r="H1268" i="1"/>
  <c r="G1268" i="1"/>
  <c r="R1267" i="1"/>
  <c r="Q1267" i="1"/>
  <c r="O1267" i="1"/>
  <c r="N1267" i="1"/>
  <c r="M1267" i="1"/>
  <c r="L1267" i="1"/>
  <c r="K1267" i="1"/>
  <c r="J1267" i="1"/>
  <c r="I1267" i="1"/>
  <c r="H1267" i="1"/>
  <c r="G1267" i="1"/>
  <c r="R1266" i="1"/>
  <c r="Q1266" i="1"/>
  <c r="O1266" i="1"/>
  <c r="N1266" i="1"/>
  <c r="M1266" i="1"/>
  <c r="L1266" i="1"/>
  <c r="K1266" i="1"/>
  <c r="J1266" i="1"/>
  <c r="I1266" i="1"/>
  <c r="H1266" i="1"/>
  <c r="G1266" i="1"/>
  <c r="R1265" i="1"/>
  <c r="Q1265" i="1"/>
  <c r="O1265" i="1"/>
  <c r="N1265" i="1"/>
  <c r="M1265" i="1"/>
  <c r="L1265" i="1"/>
  <c r="K1265" i="1"/>
  <c r="J1265" i="1"/>
  <c r="I1265" i="1"/>
  <c r="H1265" i="1"/>
  <c r="G1265" i="1"/>
  <c r="R1264" i="1"/>
  <c r="Q1264" i="1"/>
  <c r="O1264" i="1"/>
  <c r="N1264" i="1"/>
  <c r="M1264" i="1"/>
  <c r="L1264" i="1"/>
  <c r="K1264" i="1"/>
  <c r="J1264" i="1"/>
  <c r="I1264" i="1"/>
  <c r="H1264" i="1"/>
  <c r="G1264" i="1"/>
  <c r="R1263" i="1"/>
  <c r="Q1263" i="1"/>
  <c r="O1263" i="1"/>
  <c r="N1263" i="1"/>
  <c r="M1263" i="1"/>
  <c r="L1263" i="1"/>
  <c r="K1263" i="1"/>
  <c r="J1263" i="1"/>
  <c r="I1263" i="1"/>
  <c r="H1263" i="1"/>
  <c r="G1263" i="1"/>
  <c r="R1262" i="1"/>
  <c r="Q1262" i="1"/>
  <c r="O1262" i="1"/>
  <c r="N1262" i="1"/>
  <c r="M1262" i="1"/>
  <c r="L1262" i="1"/>
  <c r="K1262" i="1"/>
  <c r="J1262" i="1"/>
  <c r="I1262" i="1"/>
  <c r="H1262" i="1"/>
  <c r="G1262" i="1"/>
  <c r="R1261" i="1"/>
  <c r="Q1261" i="1"/>
  <c r="O1261" i="1"/>
  <c r="N1261" i="1"/>
  <c r="M1261" i="1"/>
  <c r="L1261" i="1"/>
  <c r="K1261" i="1"/>
  <c r="J1261" i="1"/>
  <c r="I1261" i="1"/>
  <c r="H1261" i="1"/>
  <c r="G1261" i="1"/>
  <c r="R1260" i="1"/>
  <c r="Q1260" i="1"/>
  <c r="O1260" i="1"/>
  <c r="N1260" i="1"/>
  <c r="M1260" i="1"/>
  <c r="L1260" i="1"/>
  <c r="K1260" i="1"/>
  <c r="J1260" i="1"/>
  <c r="I1260" i="1"/>
  <c r="H1260" i="1"/>
  <c r="G1260" i="1"/>
  <c r="R1259" i="1"/>
  <c r="Q1259" i="1"/>
  <c r="O1259" i="1"/>
  <c r="N1259" i="1"/>
  <c r="M1259" i="1"/>
  <c r="L1259" i="1"/>
  <c r="K1259" i="1"/>
  <c r="J1259" i="1"/>
  <c r="I1259" i="1"/>
  <c r="H1259" i="1"/>
  <c r="G1259" i="1"/>
  <c r="R1258" i="1"/>
  <c r="Q1258" i="1"/>
  <c r="O1258" i="1"/>
  <c r="N1258" i="1"/>
  <c r="M1258" i="1"/>
  <c r="L1258" i="1"/>
  <c r="K1258" i="1"/>
  <c r="J1258" i="1"/>
  <c r="I1258" i="1"/>
  <c r="H1258" i="1"/>
  <c r="G1258" i="1"/>
  <c r="R1257" i="1"/>
  <c r="Q1257" i="1"/>
  <c r="O1257" i="1"/>
  <c r="N1257" i="1"/>
  <c r="M1257" i="1"/>
  <c r="L1257" i="1"/>
  <c r="K1257" i="1"/>
  <c r="J1257" i="1"/>
  <c r="I1257" i="1"/>
  <c r="H1257" i="1"/>
  <c r="G1257" i="1"/>
  <c r="R1256" i="1"/>
  <c r="Q1256" i="1"/>
  <c r="O1256" i="1"/>
  <c r="N1256" i="1"/>
  <c r="M1256" i="1"/>
  <c r="L1256" i="1"/>
  <c r="K1256" i="1"/>
  <c r="J1256" i="1"/>
  <c r="I1256" i="1"/>
  <c r="H1256" i="1"/>
  <c r="G1256" i="1"/>
  <c r="R1255" i="1"/>
  <c r="Q1255" i="1"/>
  <c r="O1255" i="1"/>
  <c r="N1255" i="1"/>
  <c r="M1255" i="1"/>
  <c r="L1255" i="1"/>
  <c r="K1255" i="1"/>
  <c r="J1255" i="1"/>
  <c r="I1255" i="1"/>
  <c r="H1255" i="1"/>
  <c r="G1255" i="1"/>
  <c r="R1254" i="1"/>
  <c r="Q1254" i="1"/>
  <c r="O1254" i="1"/>
  <c r="N1254" i="1"/>
  <c r="M1254" i="1"/>
  <c r="L1254" i="1"/>
  <c r="K1254" i="1"/>
  <c r="J1254" i="1"/>
  <c r="I1254" i="1"/>
  <c r="H1254" i="1"/>
  <c r="G1254" i="1"/>
  <c r="R1253" i="1"/>
  <c r="Q1253" i="1"/>
  <c r="O1253" i="1"/>
  <c r="N1253" i="1"/>
  <c r="M1253" i="1"/>
  <c r="L1253" i="1"/>
  <c r="K1253" i="1"/>
  <c r="J1253" i="1"/>
  <c r="I1253" i="1"/>
  <c r="H1253" i="1"/>
  <c r="G1253" i="1"/>
  <c r="R1252" i="1"/>
  <c r="Q1252" i="1"/>
  <c r="O1252" i="1"/>
  <c r="N1252" i="1"/>
  <c r="M1252" i="1"/>
  <c r="L1252" i="1"/>
  <c r="K1252" i="1"/>
  <c r="J1252" i="1"/>
  <c r="I1252" i="1"/>
  <c r="H1252" i="1"/>
  <c r="G1252" i="1"/>
  <c r="R1251" i="1"/>
  <c r="Q1251" i="1"/>
  <c r="O1251" i="1"/>
  <c r="N1251" i="1"/>
  <c r="M1251" i="1"/>
  <c r="L1251" i="1"/>
  <c r="K1251" i="1"/>
  <c r="J1251" i="1"/>
  <c r="I1251" i="1"/>
  <c r="H1251" i="1"/>
  <c r="G1251" i="1"/>
  <c r="R1250" i="1"/>
  <c r="Q1250" i="1"/>
  <c r="O1250" i="1"/>
  <c r="N1250" i="1"/>
  <c r="M1250" i="1"/>
  <c r="L1250" i="1"/>
  <c r="K1250" i="1"/>
  <c r="J1250" i="1"/>
  <c r="I1250" i="1"/>
  <c r="H1250" i="1"/>
  <c r="G1250" i="1"/>
  <c r="R1249" i="1"/>
  <c r="Q1249" i="1"/>
  <c r="O1249" i="1"/>
  <c r="N1249" i="1"/>
  <c r="M1249" i="1"/>
  <c r="L1249" i="1"/>
  <c r="K1249" i="1"/>
  <c r="J1249" i="1"/>
  <c r="I1249" i="1"/>
  <c r="H1249" i="1"/>
  <c r="G1249" i="1"/>
  <c r="R1248" i="1"/>
  <c r="Q1248" i="1"/>
  <c r="O1248" i="1"/>
  <c r="N1248" i="1"/>
  <c r="M1248" i="1"/>
  <c r="L1248" i="1"/>
  <c r="K1248" i="1"/>
  <c r="J1248" i="1"/>
  <c r="I1248" i="1"/>
  <c r="H1248" i="1"/>
  <c r="G1248" i="1"/>
  <c r="R1247" i="1"/>
  <c r="Q1247" i="1"/>
  <c r="O1247" i="1"/>
  <c r="N1247" i="1"/>
  <c r="M1247" i="1"/>
  <c r="L1247" i="1"/>
  <c r="K1247" i="1"/>
  <c r="J1247" i="1"/>
  <c r="I1247" i="1"/>
  <c r="H1247" i="1"/>
  <c r="G1247" i="1"/>
  <c r="R1246" i="1"/>
  <c r="Q1246" i="1"/>
  <c r="O1246" i="1"/>
  <c r="N1246" i="1"/>
  <c r="M1246" i="1"/>
  <c r="L1246" i="1"/>
  <c r="K1246" i="1"/>
  <c r="J1246" i="1"/>
  <c r="I1246" i="1"/>
  <c r="H1246" i="1"/>
  <c r="G1246" i="1"/>
  <c r="R1245" i="1"/>
  <c r="Q1245" i="1"/>
  <c r="O1245" i="1"/>
  <c r="N1245" i="1"/>
  <c r="M1245" i="1"/>
  <c r="L1245" i="1"/>
  <c r="K1245" i="1"/>
  <c r="J1245" i="1"/>
  <c r="I1245" i="1"/>
  <c r="H1245" i="1"/>
  <c r="G1245" i="1"/>
  <c r="R1244" i="1"/>
  <c r="Q1244" i="1"/>
  <c r="O1244" i="1"/>
  <c r="N1244" i="1"/>
  <c r="M1244" i="1"/>
  <c r="L1244" i="1"/>
  <c r="K1244" i="1"/>
  <c r="J1244" i="1"/>
  <c r="I1244" i="1"/>
  <c r="H1244" i="1"/>
  <c r="G1244" i="1"/>
  <c r="R1243" i="1"/>
  <c r="Q1243" i="1"/>
  <c r="O1243" i="1"/>
  <c r="N1243" i="1"/>
  <c r="M1243" i="1"/>
  <c r="L1243" i="1"/>
  <c r="K1243" i="1"/>
  <c r="J1243" i="1"/>
  <c r="I1243" i="1"/>
  <c r="H1243" i="1"/>
  <c r="G1243" i="1"/>
  <c r="R1242" i="1"/>
  <c r="Q1242" i="1"/>
  <c r="O1242" i="1"/>
  <c r="N1242" i="1"/>
  <c r="M1242" i="1"/>
  <c r="L1242" i="1"/>
  <c r="K1242" i="1"/>
  <c r="J1242" i="1"/>
  <c r="I1242" i="1"/>
  <c r="H1242" i="1"/>
  <c r="G1242" i="1"/>
  <c r="R1241" i="1"/>
  <c r="Q1241" i="1"/>
  <c r="O1241" i="1"/>
  <c r="N1241" i="1"/>
  <c r="M1241" i="1"/>
  <c r="L1241" i="1"/>
  <c r="K1241" i="1"/>
  <c r="J1241" i="1"/>
  <c r="I1241" i="1"/>
  <c r="H1241" i="1"/>
  <c r="G1241" i="1"/>
  <c r="R1240" i="1"/>
  <c r="Q1240" i="1"/>
  <c r="O1240" i="1"/>
  <c r="N1240" i="1"/>
  <c r="M1240" i="1"/>
  <c r="L1240" i="1"/>
  <c r="K1240" i="1"/>
  <c r="J1240" i="1"/>
  <c r="I1240" i="1"/>
  <c r="H1240" i="1"/>
  <c r="G1240" i="1"/>
  <c r="R1239" i="1"/>
  <c r="Q1239" i="1"/>
  <c r="O1239" i="1"/>
  <c r="N1239" i="1"/>
  <c r="M1239" i="1"/>
  <c r="L1239" i="1"/>
  <c r="K1239" i="1"/>
  <c r="J1239" i="1"/>
  <c r="I1239" i="1"/>
  <c r="H1239" i="1"/>
  <c r="G1239" i="1"/>
  <c r="R1238" i="1"/>
  <c r="Q1238" i="1"/>
  <c r="O1238" i="1"/>
  <c r="N1238" i="1"/>
  <c r="M1238" i="1"/>
  <c r="L1238" i="1"/>
  <c r="K1238" i="1"/>
  <c r="J1238" i="1"/>
  <c r="I1238" i="1"/>
  <c r="H1238" i="1"/>
  <c r="G1238" i="1"/>
  <c r="R1237" i="1"/>
  <c r="Q1237" i="1"/>
  <c r="O1237" i="1"/>
  <c r="N1237" i="1"/>
  <c r="M1237" i="1"/>
  <c r="L1237" i="1"/>
  <c r="K1237" i="1"/>
  <c r="J1237" i="1"/>
  <c r="I1237" i="1"/>
  <c r="H1237" i="1"/>
  <c r="G1237" i="1"/>
  <c r="R1236" i="1"/>
  <c r="Q1236" i="1"/>
  <c r="O1236" i="1"/>
  <c r="N1236" i="1"/>
  <c r="M1236" i="1"/>
  <c r="L1236" i="1"/>
  <c r="K1236" i="1"/>
  <c r="J1236" i="1"/>
  <c r="I1236" i="1"/>
  <c r="H1236" i="1"/>
  <c r="G1236" i="1"/>
  <c r="R1235" i="1"/>
  <c r="Q1235" i="1"/>
  <c r="O1235" i="1"/>
  <c r="N1235" i="1"/>
  <c r="M1235" i="1"/>
  <c r="L1235" i="1"/>
  <c r="K1235" i="1"/>
  <c r="J1235" i="1"/>
  <c r="I1235" i="1"/>
  <c r="H1235" i="1"/>
  <c r="G1235" i="1"/>
  <c r="R1234" i="1"/>
  <c r="Q1234" i="1"/>
  <c r="O1234" i="1"/>
  <c r="N1234" i="1"/>
  <c r="M1234" i="1"/>
  <c r="L1234" i="1"/>
  <c r="K1234" i="1"/>
  <c r="J1234" i="1"/>
  <c r="I1234" i="1"/>
  <c r="H1234" i="1"/>
  <c r="G1234" i="1"/>
  <c r="R1233" i="1"/>
  <c r="Q1233" i="1"/>
  <c r="O1233" i="1"/>
  <c r="N1233" i="1"/>
  <c r="M1233" i="1"/>
  <c r="L1233" i="1"/>
  <c r="K1233" i="1"/>
  <c r="J1233" i="1"/>
  <c r="I1233" i="1"/>
  <c r="H1233" i="1"/>
  <c r="G1233" i="1"/>
  <c r="R1232" i="1"/>
  <c r="Q1232" i="1"/>
  <c r="O1232" i="1"/>
  <c r="N1232" i="1"/>
  <c r="M1232" i="1"/>
  <c r="L1232" i="1"/>
  <c r="K1232" i="1"/>
  <c r="J1232" i="1"/>
  <c r="I1232" i="1"/>
  <c r="H1232" i="1"/>
  <c r="G1232" i="1"/>
  <c r="R1231" i="1"/>
  <c r="Q1231" i="1"/>
  <c r="O1231" i="1"/>
  <c r="N1231" i="1"/>
  <c r="M1231" i="1"/>
  <c r="L1231" i="1"/>
  <c r="K1231" i="1"/>
  <c r="J1231" i="1"/>
  <c r="I1231" i="1"/>
  <c r="H1231" i="1"/>
  <c r="G1231" i="1"/>
  <c r="R1230" i="1"/>
  <c r="Q1230" i="1"/>
  <c r="O1230" i="1"/>
  <c r="N1230" i="1"/>
  <c r="M1230" i="1"/>
  <c r="L1230" i="1"/>
  <c r="K1230" i="1"/>
  <c r="J1230" i="1"/>
  <c r="I1230" i="1"/>
  <c r="H1230" i="1"/>
  <c r="G1230" i="1"/>
  <c r="R1229" i="1"/>
  <c r="Q1229" i="1"/>
  <c r="O1229" i="1"/>
  <c r="N1229" i="1"/>
  <c r="M1229" i="1"/>
  <c r="L1229" i="1"/>
  <c r="K1229" i="1"/>
  <c r="J1229" i="1"/>
  <c r="I1229" i="1"/>
  <c r="H1229" i="1"/>
  <c r="G1229" i="1"/>
  <c r="R1228" i="1"/>
  <c r="Q1228" i="1"/>
  <c r="O1228" i="1"/>
  <c r="N1228" i="1"/>
  <c r="M1228" i="1"/>
  <c r="L1228" i="1"/>
  <c r="K1228" i="1"/>
  <c r="J1228" i="1"/>
  <c r="I1228" i="1"/>
  <c r="H1228" i="1"/>
  <c r="G1228" i="1"/>
  <c r="R1227" i="1"/>
  <c r="Q1227" i="1"/>
  <c r="O1227" i="1"/>
  <c r="N1227" i="1"/>
  <c r="M1227" i="1"/>
  <c r="L1227" i="1"/>
  <c r="K1227" i="1"/>
  <c r="J1227" i="1"/>
  <c r="I1227" i="1"/>
  <c r="H1227" i="1"/>
  <c r="G1227" i="1"/>
  <c r="R1226" i="1"/>
  <c r="Q1226" i="1"/>
  <c r="O1226" i="1"/>
  <c r="N1226" i="1"/>
  <c r="M1226" i="1"/>
  <c r="L1226" i="1"/>
  <c r="K1226" i="1"/>
  <c r="J1226" i="1"/>
  <c r="I1226" i="1"/>
  <c r="H1226" i="1"/>
  <c r="G1226" i="1"/>
  <c r="R1225" i="1"/>
  <c r="Q1225" i="1"/>
  <c r="O1225" i="1"/>
  <c r="N1225" i="1"/>
  <c r="M1225" i="1"/>
  <c r="L1225" i="1"/>
  <c r="K1225" i="1"/>
  <c r="J1225" i="1"/>
  <c r="I1225" i="1"/>
  <c r="H1225" i="1"/>
  <c r="G1225" i="1"/>
  <c r="R1224" i="1"/>
  <c r="Q1224" i="1"/>
  <c r="O1224" i="1"/>
  <c r="N1224" i="1"/>
  <c r="M1224" i="1"/>
  <c r="L1224" i="1"/>
  <c r="K1224" i="1"/>
  <c r="J1224" i="1"/>
  <c r="I1224" i="1"/>
  <c r="H1224" i="1"/>
  <c r="G1224" i="1"/>
  <c r="R1223" i="1"/>
  <c r="Q1223" i="1"/>
  <c r="O1223" i="1"/>
  <c r="N1223" i="1"/>
  <c r="M1223" i="1"/>
  <c r="L1223" i="1"/>
  <c r="K1223" i="1"/>
  <c r="J1223" i="1"/>
  <c r="I1223" i="1"/>
  <c r="H1223" i="1"/>
  <c r="G1223" i="1"/>
  <c r="R1222" i="1"/>
  <c r="Q1222" i="1"/>
  <c r="O1222" i="1"/>
  <c r="N1222" i="1"/>
  <c r="M1222" i="1"/>
  <c r="L1222" i="1"/>
  <c r="K1222" i="1"/>
  <c r="J1222" i="1"/>
  <c r="I1222" i="1"/>
  <c r="H1222" i="1"/>
  <c r="G1222" i="1"/>
  <c r="R1221" i="1"/>
  <c r="Q1221" i="1"/>
  <c r="O1221" i="1"/>
  <c r="N1221" i="1"/>
  <c r="M1221" i="1"/>
  <c r="L1221" i="1"/>
  <c r="K1221" i="1"/>
  <c r="J1221" i="1"/>
  <c r="I1221" i="1"/>
  <c r="H1221" i="1"/>
  <c r="G1221" i="1"/>
  <c r="R1220" i="1"/>
  <c r="Q1220" i="1"/>
  <c r="O1220" i="1"/>
  <c r="N1220" i="1"/>
  <c r="M1220" i="1"/>
  <c r="L1220" i="1"/>
  <c r="K1220" i="1"/>
  <c r="J1220" i="1"/>
  <c r="I1220" i="1"/>
  <c r="H1220" i="1"/>
  <c r="G1220" i="1"/>
  <c r="R1219" i="1"/>
  <c r="Q1219" i="1"/>
  <c r="O1219" i="1"/>
  <c r="N1219" i="1"/>
  <c r="M1219" i="1"/>
  <c r="L1219" i="1"/>
  <c r="K1219" i="1"/>
  <c r="J1219" i="1"/>
  <c r="I1219" i="1"/>
  <c r="H1219" i="1"/>
  <c r="G1219" i="1"/>
  <c r="R1218" i="1"/>
  <c r="Q1218" i="1"/>
  <c r="O1218" i="1"/>
  <c r="N1218" i="1"/>
  <c r="M1218" i="1"/>
  <c r="L1218" i="1"/>
  <c r="K1218" i="1"/>
  <c r="J1218" i="1"/>
  <c r="I1218" i="1"/>
  <c r="H1218" i="1"/>
  <c r="G1218" i="1"/>
  <c r="R1217" i="1"/>
  <c r="Q1217" i="1"/>
  <c r="O1217" i="1"/>
  <c r="N1217" i="1"/>
  <c r="M1217" i="1"/>
  <c r="L1217" i="1"/>
  <c r="K1217" i="1"/>
  <c r="J1217" i="1"/>
  <c r="I1217" i="1"/>
  <c r="H1217" i="1"/>
  <c r="G1217" i="1"/>
  <c r="R1216" i="1"/>
  <c r="Q1216" i="1"/>
  <c r="O1216" i="1"/>
  <c r="N1216" i="1"/>
  <c r="M1216" i="1"/>
  <c r="L1216" i="1"/>
  <c r="K1216" i="1"/>
  <c r="J1216" i="1"/>
  <c r="I1216" i="1"/>
  <c r="H1216" i="1"/>
  <c r="G1216" i="1"/>
  <c r="R1215" i="1"/>
  <c r="Q1215" i="1"/>
  <c r="O1215" i="1"/>
  <c r="N1215" i="1"/>
  <c r="M1215" i="1"/>
  <c r="L1215" i="1"/>
  <c r="K1215" i="1"/>
  <c r="J1215" i="1"/>
  <c r="I1215" i="1"/>
  <c r="H1215" i="1"/>
  <c r="G1215" i="1"/>
  <c r="R1214" i="1"/>
  <c r="Q1214" i="1"/>
  <c r="O1214" i="1"/>
  <c r="N1214" i="1"/>
  <c r="M1214" i="1"/>
  <c r="L1214" i="1"/>
  <c r="K1214" i="1"/>
  <c r="J1214" i="1"/>
  <c r="I1214" i="1"/>
  <c r="H1214" i="1"/>
  <c r="G1214" i="1"/>
  <c r="R1213" i="1"/>
  <c r="Q1213" i="1"/>
  <c r="O1213" i="1"/>
  <c r="N1213" i="1"/>
  <c r="M1213" i="1"/>
  <c r="L1213" i="1"/>
  <c r="K1213" i="1"/>
  <c r="J1213" i="1"/>
  <c r="I1213" i="1"/>
  <c r="H1213" i="1"/>
  <c r="G1213" i="1"/>
  <c r="R1212" i="1"/>
  <c r="Q1212" i="1"/>
  <c r="O1212" i="1"/>
  <c r="N1212" i="1"/>
  <c r="M1212" i="1"/>
  <c r="L1212" i="1"/>
  <c r="K1212" i="1"/>
  <c r="J1212" i="1"/>
  <c r="I1212" i="1"/>
  <c r="H1212" i="1"/>
  <c r="G1212" i="1"/>
  <c r="R1211" i="1"/>
  <c r="Q1211" i="1"/>
  <c r="O1211" i="1"/>
  <c r="N1211" i="1"/>
  <c r="M1211" i="1"/>
  <c r="L1211" i="1"/>
  <c r="K1211" i="1"/>
  <c r="J1211" i="1"/>
  <c r="I1211" i="1"/>
  <c r="H1211" i="1"/>
  <c r="G1211" i="1"/>
  <c r="R1210" i="1"/>
  <c r="Q1210" i="1"/>
  <c r="O1210" i="1"/>
  <c r="N1210" i="1"/>
  <c r="M1210" i="1"/>
  <c r="L1210" i="1"/>
  <c r="K1210" i="1"/>
  <c r="J1210" i="1"/>
  <c r="I1210" i="1"/>
  <c r="H1210" i="1"/>
  <c r="G1210" i="1"/>
  <c r="R1209" i="1"/>
  <c r="Q1209" i="1"/>
  <c r="O1209" i="1"/>
  <c r="N1209" i="1"/>
  <c r="M1209" i="1"/>
  <c r="L1209" i="1"/>
  <c r="K1209" i="1"/>
  <c r="J1209" i="1"/>
  <c r="I1209" i="1"/>
  <c r="H1209" i="1"/>
  <c r="G1209" i="1"/>
  <c r="R1208" i="1"/>
  <c r="Q1208" i="1"/>
  <c r="O1208" i="1"/>
  <c r="N1208" i="1"/>
  <c r="M1208" i="1"/>
  <c r="L1208" i="1"/>
  <c r="K1208" i="1"/>
  <c r="J1208" i="1"/>
  <c r="I1208" i="1"/>
  <c r="H1208" i="1"/>
  <c r="G1208" i="1"/>
  <c r="R1207" i="1"/>
  <c r="Q1207" i="1"/>
  <c r="O1207" i="1"/>
  <c r="N1207" i="1"/>
  <c r="M1207" i="1"/>
  <c r="L1207" i="1"/>
  <c r="K1207" i="1"/>
  <c r="J1207" i="1"/>
  <c r="I1207" i="1"/>
  <c r="H1207" i="1"/>
  <c r="G1207" i="1"/>
  <c r="R1206" i="1"/>
  <c r="Q1206" i="1"/>
  <c r="O1206" i="1"/>
  <c r="N1206" i="1"/>
  <c r="M1206" i="1"/>
  <c r="L1206" i="1"/>
  <c r="K1206" i="1"/>
  <c r="J1206" i="1"/>
  <c r="I1206" i="1"/>
  <c r="H1206" i="1"/>
  <c r="G1206" i="1"/>
  <c r="R1205" i="1"/>
  <c r="Q1205" i="1"/>
  <c r="O1205" i="1"/>
  <c r="N1205" i="1"/>
  <c r="M1205" i="1"/>
  <c r="L1205" i="1"/>
  <c r="K1205" i="1"/>
  <c r="J1205" i="1"/>
  <c r="I1205" i="1"/>
  <c r="H1205" i="1"/>
  <c r="G1205" i="1"/>
  <c r="R1204" i="1"/>
  <c r="Q1204" i="1"/>
  <c r="O1204" i="1"/>
  <c r="N1204" i="1"/>
  <c r="M1204" i="1"/>
  <c r="L1204" i="1"/>
  <c r="K1204" i="1"/>
  <c r="J1204" i="1"/>
  <c r="I1204" i="1"/>
  <c r="H1204" i="1"/>
  <c r="G1204" i="1"/>
  <c r="R1203" i="1"/>
  <c r="Q1203" i="1"/>
  <c r="O1203" i="1"/>
  <c r="N1203" i="1"/>
  <c r="M1203" i="1"/>
  <c r="L1203" i="1"/>
  <c r="K1203" i="1"/>
  <c r="J1203" i="1"/>
  <c r="I1203" i="1"/>
  <c r="H1203" i="1"/>
  <c r="G1203" i="1"/>
  <c r="R1202" i="1"/>
  <c r="Q1202" i="1"/>
  <c r="O1202" i="1"/>
  <c r="N1202" i="1"/>
  <c r="M1202" i="1"/>
  <c r="L1202" i="1"/>
  <c r="K1202" i="1"/>
  <c r="J1202" i="1"/>
  <c r="I1202" i="1"/>
  <c r="H1202" i="1"/>
  <c r="G1202" i="1"/>
  <c r="R1201" i="1"/>
  <c r="Q1201" i="1"/>
  <c r="O1201" i="1"/>
  <c r="N1201" i="1"/>
  <c r="M1201" i="1"/>
  <c r="L1201" i="1"/>
  <c r="K1201" i="1"/>
  <c r="J1201" i="1"/>
  <c r="I1201" i="1"/>
  <c r="H1201" i="1"/>
  <c r="G1201" i="1"/>
  <c r="R1200" i="1"/>
  <c r="Q1200" i="1"/>
  <c r="O1200" i="1"/>
  <c r="N1200" i="1"/>
  <c r="M1200" i="1"/>
  <c r="L1200" i="1"/>
  <c r="K1200" i="1"/>
  <c r="J1200" i="1"/>
  <c r="I1200" i="1"/>
  <c r="H1200" i="1"/>
  <c r="G1200" i="1"/>
  <c r="R1199" i="1"/>
  <c r="Q1199" i="1"/>
  <c r="O1199" i="1"/>
  <c r="N1199" i="1"/>
  <c r="M1199" i="1"/>
  <c r="L1199" i="1"/>
  <c r="K1199" i="1"/>
  <c r="J1199" i="1"/>
  <c r="I1199" i="1"/>
  <c r="H1199" i="1"/>
  <c r="G1199" i="1"/>
  <c r="R1198" i="1"/>
  <c r="Q1198" i="1"/>
  <c r="O1198" i="1"/>
  <c r="N1198" i="1"/>
  <c r="M1198" i="1"/>
  <c r="L1198" i="1"/>
  <c r="K1198" i="1"/>
  <c r="J1198" i="1"/>
  <c r="I1198" i="1"/>
  <c r="H1198" i="1"/>
  <c r="G1198" i="1"/>
  <c r="R1197" i="1"/>
  <c r="Q1197" i="1"/>
  <c r="O1197" i="1"/>
  <c r="N1197" i="1"/>
  <c r="M1197" i="1"/>
  <c r="L1197" i="1"/>
  <c r="K1197" i="1"/>
  <c r="J1197" i="1"/>
  <c r="I1197" i="1"/>
  <c r="H1197" i="1"/>
  <c r="G1197" i="1"/>
  <c r="R1196" i="1"/>
  <c r="Q1196" i="1"/>
  <c r="O1196" i="1"/>
  <c r="N1196" i="1"/>
  <c r="M1196" i="1"/>
  <c r="L1196" i="1"/>
  <c r="K1196" i="1"/>
  <c r="J1196" i="1"/>
  <c r="I1196" i="1"/>
  <c r="H1196" i="1"/>
  <c r="G1196" i="1"/>
  <c r="R1195" i="1"/>
  <c r="Q1195" i="1"/>
  <c r="O1195" i="1"/>
  <c r="N1195" i="1"/>
  <c r="M1195" i="1"/>
  <c r="L1195" i="1"/>
  <c r="K1195" i="1"/>
  <c r="J1195" i="1"/>
  <c r="I1195" i="1"/>
  <c r="H1195" i="1"/>
  <c r="G1195" i="1"/>
  <c r="R1194" i="1"/>
  <c r="Q1194" i="1"/>
  <c r="O1194" i="1"/>
  <c r="N1194" i="1"/>
  <c r="M1194" i="1"/>
  <c r="L1194" i="1"/>
  <c r="K1194" i="1"/>
  <c r="J1194" i="1"/>
  <c r="I1194" i="1"/>
  <c r="H1194" i="1"/>
  <c r="G1194" i="1"/>
  <c r="R1193" i="1"/>
  <c r="Q1193" i="1"/>
  <c r="O1193" i="1"/>
  <c r="N1193" i="1"/>
  <c r="M1193" i="1"/>
  <c r="L1193" i="1"/>
  <c r="K1193" i="1"/>
  <c r="J1193" i="1"/>
  <c r="I1193" i="1"/>
  <c r="H1193" i="1"/>
  <c r="G1193" i="1"/>
  <c r="R1192" i="1"/>
  <c r="Q1192" i="1"/>
  <c r="O1192" i="1"/>
  <c r="N1192" i="1"/>
  <c r="M1192" i="1"/>
  <c r="L1192" i="1"/>
  <c r="K1192" i="1"/>
  <c r="J1192" i="1"/>
  <c r="I1192" i="1"/>
  <c r="H1192" i="1"/>
  <c r="G1192" i="1"/>
  <c r="R1191" i="1"/>
  <c r="Q1191" i="1"/>
  <c r="O1191" i="1"/>
  <c r="N1191" i="1"/>
  <c r="M1191" i="1"/>
  <c r="L1191" i="1"/>
  <c r="K1191" i="1"/>
  <c r="J1191" i="1"/>
  <c r="I1191" i="1"/>
  <c r="H1191" i="1"/>
  <c r="G1191" i="1"/>
  <c r="R1190" i="1"/>
  <c r="Q1190" i="1"/>
  <c r="O1190" i="1"/>
  <c r="N1190" i="1"/>
  <c r="M1190" i="1"/>
  <c r="L1190" i="1"/>
  <c r="K1190" i="1"/>
  <c r="J1190" i="1"/>
  <c r="I1190" i="1"/>
  <c r="H1190" i="1"/>
  <c r="G1190" i="1"/>
  <c r="R1189" i="1"/>
  <c r="Q1189" i="1"/>
  <c r="O1189" i="1"/>
  <c r="N1189" i="1"/>
  <c r="M1189" i="1"/>
  <c r="L1189" i="1"/>
  <c r="K1189" i="1"/>
  <c r="J1189" i="1"/>
  <c r="I1189" i="1"/>
  <c r="H1189" i="1"/>
  <c r="G1189" i="1"/>
  <c r="R1188" i="1"/>
  <c r="Q1188" i="1"/>
  <c r="O1188" i="1"/>
  <c r="N1188" i="1"/>
  <c r="M1188" i="1"/>
  <c r="L1188" i="1"/>
  <c r="K1188" i="1"/>
  <c r="J1188" i="1"/>
  <c r="I1188" i="1"/>
  <c r="H1188" i="1"/>
  <c r="G1188" i="1"/>
  <c r="R1187" i="1"/>
  <c r="Q1187" i="1"/>
  <c r="O1187" i="1"/>
  <c r="N1187" i="1"/>
  <c r="M1187" i="1"/>
  <c r="L1187" i="1"/>
  <c r="K1187" i="1"/>
  <c r="J1187" i="1"/>
  <c r="I1187" i="1"/>
  <c r="H1187" i="1"/>
  <c r="G1187" i="1"/>
  <c r="R1186" i="1"/>
  <c r="Q1186" i="1"/>
  <c r="O1186" i="1"/>
  <c r="N1186" i="1"/>
  <c r="M1186" i="1"/>
  <c r="L1186" i="1"/>
  <c r="K1186" i="1"/>
  <c r="J1186" i="1"/>
  <c r="I1186" i="1"/>
  <c r="H1186" i="1"/>
  <c r="G1186" i="1"/>
  <c r="R1185" i="1"/>
  <c r="Q1185" i="1"/>
  <c r="O1185" i="1"/>
  <c r="N1185" i="1"/>
  <c r="M1185" i="1"/>
  <c r="L1185" i="1"/>
  <c r="K1185" i="1"/>
  <c r="J1185" i="1"/>
  <c r="I1185" i="1"/>
  <c r="H1185" i="1"/>
  <c r="G1185" i="1"/>
  <c r="R1184" i="1"/>
  <c r="Q1184" i="1"/>
  <c r="O1184" i="1"/>
  <c r="N1184" i="1"/>
  <c r="M1184" i="1"/>
  <c r="L1184" i="1"/>
  <c r="K1184" i="1"/>
  <c r="J1184" i="1"/>
  <c r="I1184" i="1"/>
  <c r="H1184" i="1"/>
  <c r="G1184" i="1"/>
  <c r="R1183" i="1"/>
  <c r="Q1183" i="1"/>
  <c r="O1183" i="1"/>
  <c r="N1183" i="1"/>
  <c r="M1183" i="1"/>
  <c r="L1183" i="1"/>
  <c r="K1183" i="1"/>
  <c r="J1183" i="1"/>
  <c r="I1183" i="1"/>
  <c r="H1183" i="1"/>
  <c r="G1183" i="1"/>
  <c r="R1182" i="1"/>
  <c r="Q1182" i="1"/>
  <c r="O1182" i="1"/>
  <c r="N1182" i="1"/>
  <c r="M1182" i="1"/>
  <c r="L1182" i="1"/>
  <c r="K1182" i="1"/>
  <c r="J1182" i="1"/>
  <c r="I1182" i="1"/>
  <c r="H1182" i="1"/>
  <c r="G1182" i="1"/>
  <c r="R1181" i="1"/>
  <c r="Q1181" i="1"/>
  <c r="O1181" i="1"/>
  <c r="N1181" i="1"/>
  <c r="M1181" i="1"/>
  <c r="L1181" i="1"/>
  <c r="K1181" i="1"/>
  <c r="J1181" i="1"/>
  <c r="I1181" i="1"/>
  <c r="H1181" i="1"/>
  <c r="G1181" i="1"/>
  <c r="R1180" i="1"/>
  <c r="Q1180" i="1"/>
  <c r="O1180" i="1"/>
  <c r="N1180" i="1"/>
  <c r="M1180" i="1"/>
  <c r="L1180" i="1"/>
  <c r="K1180" i="1"/>
  <c r="J1180" i="1"/>
  <c r="I1180" i="1"/>
  <c r="H1180" i="1"/>
  <c r="G1180" i="1"/>
  <c r="R1179" i="1"/>
  <c r="Q1179" i="1"/>
  <c r="O1179" i="1"/>
  <c r="N1179" i="1"/>
  <c r="M1179" i="1"/>
  <c r="L1179" i="1"/>
  <c r="K1179" i="1"/>
  <c r="J1179" i="1"/>
  <c r="I1179" i="1"/>
  <c r="H1179" i="1"/>
  <c r="G1179" i="1"/>
  <c r="R1178" i="1"/>
  <c r="Q1178" i="1"/>
  <c r="O1178" i="1"/>
  <c r="N1178" i="1"/>
  <c r="M1178" i="1"/>
  <c r="L1178" i="1"/>
  <c r="K1178" i="1"/>
  <c r="J1178" i="1"/>
  <c r="I1178" i="1"/>
  <c r="H1178" i="1"/>
  <c r="G1178" i="1"/>
  <c r="R1177" i="1"/>
  <c r="Q1177" i="1"/>
  <c r="O1177" i="1"/>
  <c r="N1177" i="1"/>
  <c r="M1177" i="1"/>
  <c r="L1177" i="1"/>
  <c r="K1177" i="1"/>
  <c r="J1177" i="1"/>
  <c r="I1177" i="1"/>
  <c r="H1177" i="1"/>
  <c r="G1177" i="1"/>
  <c r="R1176" i="1"/>
  <c r="Q1176" i="1"/>
  <c r="O1176" i="1"/>
  <c r="N1176" i="1"/>
  <c r="M1176" i="1"/>
  <c r="L1176" i="1"/>
  <c r="K1176" i="1"/>
  <c r="J1176" i="1"/>
  <c r="I1176" i="1"/>
  <c r="H1176" i="1"/>
  <c r="G1176" i="1"/>
  <c r="R1175" i="1"/>
  <c r="Q1175" i="1"/>
  <c r="O1175" i="1"/>
  <c r="N1175" i="1"/>
  <c r="M1175" i="1"/>
  <c r="L1175" i="1"/>
  <c r="K1175" i="1"/>
  <c r="J1175" i="1"/>
  <c r="I1175" i="1"/>
  <c r="H1175" i="1"/>
  <c r="G1175" i="1"/>
  <c r="R1174" i="1"/>
  <c r="Q1174" i="1"/>
  <c r="O1174" i="1"/>
  <c r="N1174" i="1"/>
  <c r="M1174" i="1"/>
  <c r="L1174" i="1"/>
  <c r="K1174" i="1"/>
  <c r="J1174" i="1"/>
  <c r="I1174" i="1"/>
  <c r="H1174" i="1"/>
  <c r="G1174" i="1"/>
  <c r="R1173" i="1"/>
  <c r="Q1173" i="1"/>
  <c r="O1173" i="1"/>
  <c r="N1173" i="1"/>
  <c r="M1173" i="1"/>
  <c r="L1173" i="1"/>
  <c r="K1173" i="1"/>
  <c r="J1173" i="1"/>
  <c r="I1173" i="1"/>
  <c r="H1173" i="1"/>
  <c r="G1173" i="1"/>
  <c r="R1172" i="1"/>
  <c r="Q1172" i="1"/>
  <c r="O1172" i="1"/>
  <c r="N1172" i="1"/>
  <c r="M1172" i="1"/>
  <c r="L1172" i="1"/>
  <c r="K1172" i="1"/>
  <c r="J1172" i="1"/>
  <c r="I1172" i="1"/>
  <c r="H1172" i="1"/>
  <c r="G1172" i="1"/>
  <c r="R1171" i="1"/>
  <c r="Q1171" i="1"/>
  <c r="O1171" i="1"/>
  <c r="N1171" i="1"/>
  <c r="M1171" i="1"/>
  <c r="L1171" i="1"/>
  <c r="K1171" i="1"/>
  <c r="J1171" i="1"/>
  <c r="I1171" i="1"/>
  <c r="H1171" i="1"/>
  <c r="G1171" i="1"/>
  <c r="R1170" i="1"/>
  <c r="Q1170" i="1"/>
  <c r="O1170" i="1"/>
  <c r="N1170" i="1"/>
  <c r="M1170" i="1"/>
  <c r="L1170" i="1"/>
  <c r="K1170" i="1"/>
  <c r="J1170" i="1"/>
  <c r="I1170" i="1"/>
  <c r="H1170" i="1"/>
  <c r="G1170" i="1"/>
  <c r="R1169" i="1"/>
  <c r="Q1169" i="1"/>
  <c r="O1169" i="1"/>
  <c r="N1169" i="1"/>
  <c r="M1169" i="1"/>
  <c r="L1169" i="1"/>
  <c r="K1169" i="1"/>
  <c r="J1169" i="1"/>
  <c r="I1169" i="1"/>
  <c r="H1169" i="1"/>
  <c r="G1169" i="1"/>
  <c r="R1168" i="1"/>
  <c r="Q1168" i="1"/>
  <c r="O1168" i="1"/>
  <c r="N1168" i="1"/>
  <c r="M1168" i="1"/>
  <c r="L1168" i="1"/>
  <c r="K1168" i="1"/>
  <c r="J1168" i="1"/>
  <c r="I1168" i="1"/>
  <c r="H1168" i="1"/>
  <c r="G1168" i="1"/>
  <c r="R1167" i="1"/>
  <c r="Q1167" i="1"/>
  <c r="O1167" i="1"/>
  <c r="N1167" i="1"/>
  <c r="M1167" i="1"/>
  <c r="L1167" i="1"/>
  <c r="K1167" i="1"/>
  <c r="J1167" i="1"/>
  <c r="I1167" i="1"/>
  <c r="H1167" i="1"/>
  <c r="G1167" i="1"/>
  <c r="R1166" i="1"/>
  <c r="Q1166" i="1"/>
  <c r="O1166" i="1"/>
  <c r="N1166" i="1"/>
  <c r="M1166" i="1"/>
  <c r="L1166" i="1"/>
  <c r="K1166" i="1"/>
  <c r="J1166" i="1"/>
  <c r="I1166" i="1"/>
  <c r="H1166" i="1"/>
  <c r="G1166" i="1"/>
  <c r="R1165" i="1"/>
  <c r="Q1165" i="1"/>
  <c r="O1165" i="1"/>
  <c r="N1165" i="1"/>
  <c r="M1165" i="1"/>
  <c r="L1165" i="1"/>
  <c r="K1165" i="1"/>
  <c r="J1165" i="1"/>
  <c r="I1165" i="1"/>
  <c r="H1165" i="1"/>
  <c r="G1165" i="1"/>
  <c r="R1164" i="1"/>
  <c r="Q1164" i="1"/>
  <c r="O1164" i="1"/>
  <c r="N1164" i="1"/>
  <c r="M1164" i="1"/>
  <c r="L1164" i="1"/>
  <c r="K1164" i="1"/>
  <c r="J1164" i="1"/>
  <c r="I1164" i="1"/>
  <c r="H1164" i="1"/>
  <c r="G1164" i="1"/>
  <c r="R1163" i="1"/>
  <c r="Q1163" i="1"/>
  <c r="O1163" i="1"/>
  <c r="N1163" i="1"/>
  <c r="M1163" i="1"/>
  <c r="L1163" i="1"/>
  <c r="K1163" i="1"/>
  <c r="J1163" i="1"/>
  <c r="I1163" i="1"/>
  <c r="H1163" i="1"/>
  <c r="G1163" i="1"/>
  <c r="R1162" i="1"/>
  <c r="Q1162" i="1"/>
  <c r="O1162" i="1"/>
  <c r="N1162" i="1"/>
  <c r="M1162" i="1"/>
  <c r="L1162" i="1"/>
  <c r="K1162" i="1"/>
  <c r="J1162" i="1"/>
  <c r="I1162" i="1"/>
  <c r="H1162" i="1"/>
  <c r="G1162" i="1"/>
  <c r="R1161" i="1"/>
  <c r="Q1161" i="1"/>
  <c r="O1161" i="1"/>
  <c r="N1161" i="1"/>
  <c r="M1161" i="1"/>
  <c r="L1161" i="1"/>
  <c r="K1161" i="1"/>
  <c r="J1161" i="1"/>
  <c r="I1161" i="1"/>
  <c r="H1161" i="1"/>
  <c r="G1161" i="1"/>
  <c r="R1160" i="1"/>
  <c r="Q1160" i="1"/>
  <c r="O1160" i="1"/>
  <c r="N1160" i="1"/>
  <c r="M1160" i="1"/>
  <c r="L1160" i="1"/>
  <c r="K1160" i="1"/>
  <c r="J1160" i="1"/>
  <c r="I1160" i="1"/>
  <c r="H1160" i="1"/>
  <c r="G1160" i="1"/>
  <c r="R1159" i="1"/>
  <c r="Q1159" i="1"/>
  <c r="O1159" i="1"/>
  <c r="N1159" i="1"/>
  <c r="M1159" i="1"/>
  <c r="L1159" i="1"/>
  <c r="K1159" i="1"/>
  <c r="J1159" i="1"/>
  <c r="I1159" i="1"/>
  <c r="H1159" i="1"/>
  <c r="G1159" i="1"/>
  <c r="R1158" i="1"/>
  <c r="Q1158" i="1"/>
  <c r="O1158" i="1"/>
  <c r="N1158" i="1"/>
  <c r="M1158" i="1"/>
  <c r="L1158" i="1"/>
  <c r="K1158" i="1"/>
  <c r="J1158" i="1"/>
  <c r="I1158" i="1"/>
  <c r="H1158" i="1"/>
  <c r="G1158" i="1"/>
  <c r="R1157" i="1"/>
  <c r="Q1157" i="1"/>
  <c r="O1157" i="1"/>
  <c r="N1157" i="1"/>
  <c r="M1157" i="1"/>
  <c r="L1157" i="1"/>
  <c r="K1157" i="1"/>
  <c r="J1157" i="1"/>
  <c r="I1157" i="1"/>
  <c r="H1157" i="1"/>
  <c r="G1157" i="1"/>
  <c r="R1156" i="1"/>
  <c r="Q1156" i="1"/>
  <c r="O1156" i="1"/>
  <c r="N1156" i="1"/>
  <c r="M1156" i="1"/>
  <c r="L1156" i="1"/>
  <c r="K1156" i="1"/>
  <c r="J1156" i="1"/>
  <c r="I1156" i="1"/>
  <c r="H1156" i="1"/>
  <c r="G1156" i="1"/>
  <c r="R1155" i="1"/>
  <c r="Q1155" i="1"/>
  <c r="O1155" i="1"/>
  <c r="N1155" i="1"/>
  <c r="M1155" i="1"/>
  <c r="L1155" i="1"/>
  <c r="K1155" i="1"/>
  <c r="J1155" i="1"/>
  <c r="I1155" i="1"/>
  <c r="H1155" i="1"/>
  <c r="G1155" i="1"/>
  <c r="R1154" i="1"/>
  <c r="Q1154" i="1"/>
  <c r="O1154" i="1"/>
  <c r="N1154" i="1"/>
  <c r="M1154" i="1"/>
  <c r="L1154" i="1"/>
  <c r="K1154" i="1"/>
  <c r="J1154" i="1"/>
  <c r="I1154" i="1"/>
  <c r="H1154" i="1"/>
  <c r="G1154" i="1"/>
  <c r="R1153" i="1"/>
  <c r="Q1153" i="1"/>
  <c r="O1153" i="1"/>
  <c r="N1153" i="1"/>
  <c r="M1153" i="1"/>
  <c r="L1153" i="1"/>
  <c r="K1153" i="1"/>
  <c r="J1153" i="1"/>
  <c r="I1153" i="1"/>
  <c r="H1153" i="1"/>
  <c r="G1153" i="1"/>
  <c r="R1152" i="1"/>
  <c r="Q1152" i="1"/>
  <c r="O1152" i="1"/>
  <c r="N1152" i="1"/>
  <c r="M1152" i="1"/>
  <c r="L1152" i="1"/>
  <c r="K1152" i="1"/>
  <c r="J1152" i="1"/>
  <c r="I1152" i="1"/>
  <c r="H1152" i="1"/>
  <c r="G1152" i="1"/>
  <c r="R1151" i="1"/>
  <c r="Q1151" i="1"/>
  <c r="O1151" i="1"/>
  <c r="N1151" i="1"/>
  <c r="M1151" i="1"/>
  <c r="L1151" i="1"/>
  <c r="K1151" i="1"/>
  <c r="J1151" i="1"/>
  <c r="I1151" i="1"/>
  <c r="H1151" i="1"/>
  <c r="G1151" i="1"/>
  <c r="R1150" i="1"/>
  <c r="Q1150" i="1"/>
  <c r="O1150" i="1"/>
  <c r="N1150" i="1"/>
  <c r="M1150" i="1"/>
  <c r="L1150" i="1"/>
  <c r="K1150" i="1"/>
  <c r="J1150" i="1"/>
  <c r="I1150" i="1"/>
  <c r="H1150" i="1"/>
  <c r="G1150" i="1"/>
  <c r="R1149" i="1"/>
  <c r="Q1149" i="1"/>
  <c r="O1149" i="1"/>
  <c r="N1149" i="1"/>
  <c r="M1149" i="1"/>
  <c r="L1149" i="1"/>
  <c r="K1149" i="1"/>
  <c r="J1149" i="1"/>
  <c r="I1149" i="1"/>
  <c r="H1149" i="1"/>
  <c r="G1149" i="1"/>
  <c r="R1148" i="1"/>
  <c r="Q1148" i="1"/>
  <c r="O1148" i="1"/>
  <c r="N1148" i="1"/>
  <c r="M1148" i="1"/>
  <c r="L1148" i="1"/>
  <c r="K1148" i="1"/>
  <c r="J1148" i="1"/>
  <c r="I1148" i="1"/>
  <c r="H1148" i="1"/>
  <c r="G1148" i="1"/>
  <c r="R1147" i="1"/>
  <c r="Q1147" i="1"/>
  <c r="O1147" i="1"/>
  <c r="N1147" i="1"/>
  <c r="M1147" i="1"/>
  <c r="L1147" i="1"/>
  <c r="K1147" i="1"/>
  <c r="J1147" i="1"/>
  <c r="I1147" i="1"/>
  <c r="H1147" i="1"/>
  <c r="G1147" i="1"/>
  <c r="R1146" i="1"/>
  <c r="Q1146" i="1"/>
  <c r="O1146" i="1"/>
  <c r="N1146" i="1"/>
  <c r="M1146" i="1"/>
  <c r="L1146" i="1"/>
  <c r="K1146" i="1"/>
  <c r="J1146" i="1"/>
  <c r="I1146" i="1"/>
  <c r="H1146" i="1"/>
  <c r="G1146" i="1"/>
  <c r="R1145" i="1"/>
  <c r="Q1145" i="1"/>
  <c r="O1145" i="1"/>
  <c r="N1145" i="1"/>
  <c r="M1145" i="1"/>
  <c r="L1145" i="1"/>
  <c r="K1145" i="1"/>
  <c r="J1145" i="1"/>
  <c r="I1145" i="1"/>
  <c r="H1145" i="1"/>
  <c r="G1145" i="1"/>
  <c r="R1144" i="1"/>
  <c r="Q1144" i="1"/>
  <c r="O1144" i="1"/>
  <c r="N1144" i="1"/>
  <c r="M1144" i="1"/>
  <c r="L1144" i="1"/>
  <c r="K1144" i="1"/>
  <c r="J1144" i="1"/>
  <c r="I1144" i="1"/>
  <c r="H1144" i="1"/>
  <c r="G1144" i="1"/>
  <c r="R1143" i="1"/>
  <c r="Q1143" i="1"/>
  <c r="O1143" i="1"/>
  <c r="N1143" i="1"/>
  <c r="M1143" i="1"/>
  <c r="L1143" i="1"/>
  <c r="K1143" i="1"/>
  <c r="J1143" i="1"/>
  <c r="I1143" i="1"/>
  <c r="H1143" i="1"/>
  <c r="G1143" i="1"/>
  <c r="R1142" i="1"/>
  <c r="Q1142" i="1"/>
  <c r="O1142" i="1"/>
  <c r="N1142" i="1"/>
  <c r="M1142" i="1"/>
  <c r="L1142" i="1"/>
  <c r="K1142" i="1"/>
  <c r="J1142" i="1"/>
  <c r="I1142" i="1"/>
  <c r="H1142" i="1"/>
  <c r="G1142" i="1"/>
  <c r="R1141" i="1"/>
  <c r="Q1141" i="1"/>
  <c r="O1141" i="1"/>
  <c r="N1141" i="1"/>
  <c r="M1141" i="1"/>
  <c r="L1141" i="1"/>
  <c r="K1141" i="1"/>
  <c r="J1141" i="1"/>
  <c r="I1141" i="1"/>
  <c r="H1141" i="1"/>
  <c r="G1141" i="1"/>
  <c r="R1140" i="1"/>
  <c r="Q1140" i="1"/>
  <c r="O1140" i="1"/>
  <c r="N1140" i="1"/>
  <c r="M1140" i="1"/>
  <c r="L1140" i="1"/>
  <c r="K1140" i="1"/>
  <c r="J1140" i="1"/>
  <c r="I1140" i="1"/>
  <c r="H1140" i="1"/>
  <c r="G1140" i="1"/>
  <c r="R1139" i="1"/>
  <c r="Q1139" i="1"/>
  <c r="O1139" i="1"/>
  <c r="N1139" i="1"/>
  <c r="M1139" i="1"/>
  <c r="L1139" i="1"/>
  <c r="K1139" i="1"/>
  <c r="J1139" i="1"/>
  <c r="I1139" i="1"/>
  <c r="H1139" i="1"/>
  <c r="G1139" i="1"/>
  <c r="R1138" i="1"/>
  <c r="Q1138" i="1"/>
  <c r="O1138" i="1"/>
  <c r="N1138" i="1"/>
  <c r="M1138" i="1"/>
  <c r="L1138" i="1"/>
  <c r="K1138" i="1"/>
  <c r="J1138" i="1"/>
  <c r="I1138" i="1"/>
  <c r="H1138" i="1"/>
  <c r="G1138" i="1"/>
  <c r="R1137" i="1"/>
  <c r="Q1137" i="1"/>
  <c r="O1137" i="1"/>
  <c r="N1137" i="1"/>
  <c r="M1137" i="1"/>
  <c r="L1137" i="1"/>
  <c r="K1137" i="1"/>
  <c r="J1137" i="1"/>
  <c r="I1137" i="1"/>
  <c r="H1137" i="1"/>
  <c r="G1137" i="1"/>
  <c r="R1136" i="1"/>
  <c r="Q1136" i="1"/>
  <c r="O1136" i="1"/>
  <c r="N1136" i="1"/>
  <c r="M1136" i="1"/>
  <c r="L1136" i="1"/>
  <c r="K1136" i="1"/>
  <c r="J1136" i="1"/>
  <c r="I1136" i="1"/>
  <c r="H1136" i="1"/>
  <c r="G1136" i="1"/>
  <c r="R1135" i="1"/>
  <c r="Q1135" i="1"/>
  <c r="O1135" i="1"/>
  <c r="N1135" i="1"/>
  <c r="M1135" i="1"/>
  <c r="L1135" i="1"/>
  <c r="K1135" i="1"/>
  <c r="J1135" i="1"/>
  <c r="I1135" i="1"/>
  <c r="H1135" i="1"/>
  <c r="G1135" i="1"/>
  <c r="R1134" i="1"/>
  <c r="Q1134" i="1"/>
  <c r="O1134" i="1"/>
  <c r="N1134" i="1"/>
  <c r="M1134" i="1"/>
  <c r="L1134" i="1"/>
  <c r="K1134" i="1"/>
  <c r="J1134" i="1"/>
  <c r="I1134" i="1"/>
  <c r="H1134" i="1"/>
  <c r="G1134" i="1"/>
  <c r="R1133" i="1"/>
  <c r="Q1133" i="1"/>
  <c r="O1133" i="1"/>
  <c r="N1133" i="1"/>
  <c r="M1133" i="1"/>
  <c r="L1133" i="1"/>
  <c r="K1133" i="1"/>
  <c r="J1133" i="1"/>
  <c r="I1133" i="1"/>
  <c r="H1133" i="1"/>
  <c r="G1133" i="1"/>
  <c r="R1132" i="1"/>
  <c r="Q1132" i="1"/>
  <c r="O1132" i="1"/>
  <c r="N1132" i="1"/>
  <c r="M1132" i="1"/>
  <c r="L1132" i="1"/>
  <c r="K1132" i="1"/>
  <c r="J1132" i="1"/>
  <c r="I1132" i="1"/>
  <c r="H1132" i="1"/>
  <c r="G1132" i="1"/>
  <c r="R1131" i="1"/>
  <c r="Q1131" i="1"/>
  <c r="O1131" i="1"/>
  <c r="N1131" i="1"/>
  <c r="M1131" i="1"/>
  <c r="L1131" i="1"/>
  <c r="K1131" i="1"/>
  <c r="J1131" i="1"/>
  <c r="I1131" i="1"/>
  <c r="H1131" i="1"/>
  <c r="G1131" i="1"/>
  <c r="R1130" i="1"/>
  <c r="Q1130" i="1"/>
  <c r="O1130" i="1"/>
  <c r="N1130" i="1"/>
  <c r="M1130" i="1"/>
  <c r="L1130" i="1"/>
  <c r="K1130" i="1"/>
  <c r="J1130" i="1"/>
  <c r="I1130" i="1"/>
  <c r="H1130" i="1"/>
  <c r="G1130" i="1"/>
  <c r="R1129" i="1"/>
  <c r="Q1129" i="1"/>
  <c r="O1129" i="1"/>
  <c r="N1129" i="1"/>
  <c r="M1129" i="1"/>
  <c r="L1129" i="1"/>
  <c r="K1129" i="1"/>
  <c r="J1129" i="1"/>
  <c r="I1129" i="1"/>
  <c r="H1129" i="1"/>
  <c r="G1129" i="1"/>
  <c r="R1128" i="1"/>
  <c r="Q1128" i="1"/>
  <c r="O1128" i="1"/>
  <c r="N1128" i="1"/>
  <c r="M1128" i="1"/>
  <c r="L1128" i="1"/>
  <c r="K1128" i="1"/>
  <c r="J1128" i="1"/>
  <c r="I1128" i="1"/>
  <c r="H1128" i="1"/>
  <c r="G1128" i="1"/>
  <c r="R1127" i="1"/>
  <c r="Q1127" i="1"/>
  <c r="O1127" i="1"/>
  <c r="N1127" i="1"/>
  <c r="M1127" i="1"/>
  <c r="L1127" i="1"/>
  <c r="K1127" i="1"/>
  <c r="J1127" i="1"/>
  <c r="I1127" i="1"/>
  <c r="H1127" i="1"/>
  <c r="G1127" i="1"/>
  <c r="R1126" i="1"/>
  <c r="Q1126" i="1"/>
  <c r="O1126" i="1"/>
  <c r="N1126" i="1"/>
  <c r="M1126" i="1"/>
  <c r="L1126" i="1"/>
  <c r="K1126" i="1"/>
  <c r="J1126" i="1"/>
  <c r="I1126" i="1"/>
  <c r="H1126" i="1"/>
  <c r="G1126" i="1"/>
  <c r="R1125" i="1"/>
  <c r="Q1125" i="1"/>
  <c r="O1125" i="1"/>
  <c r="N1125" i="1"/>
  <c r="M1125" i="1"/>
  <c r="L1125" i="1"/>
  <c r="K1125" i="1"/>
  <c r="J1125" i="1"/>
  <c r="I1125" i="1"/>
  <c r="H1125" i="1"/>
  <c r="G1125" i="1"/>
  <c r="R1124" i="1"/>
  <c r="Q1124" i="1"/>
  <c r="O1124" i="1"/>
  <c r="N1124" i="1"/>
  <c r="M1124" i="1"/>
  <c r="L1124" i="1"/>
  <c r="K1124" i="1"/>
  <c r="J1124" i="1"/>
  <c r="I1124" i="1"/>
  <c r="H1124" i="1"/>
  <c r="G1124" i="1"/>
  <c r="R1123" i="1"/>
  <c r="Q1123" i="1"/>
  <c r="O1123" i="1"/>
  <c r="N1123" i="1"/>
  <c r="M1123" i="1"/>
  <c r="L1123" i="1"/>
  <c r="K1123" i="1"/>
  <c r="J1123" i="1"/>
  <c r="I1123" i="1"/>
  <c r="H1123" i="1"/>
  <c r="G1123" i="1"/>
  <c r="R1122" i="1"/>
  <c r="Q1122" i="1"/>
  <c r="O1122" i="1"/>
  <c r="N1122" i="1"/>
  <c r="M1122" i="1"/>
  <c r="L1122" i="1"/>
  <c r="K1122" i="1"/>
  <c r="J1122" i="1"/>
  <c r="I1122" i="1"/>
  <c r="H1122" i="1"/>
  <c r="G1122" i="1"/>
  <c r="R1121" i="1"/>
  <c r="Q1121" i="1"/>
  <c r="O1121" i="1"/>
  <c r="N1121" i="1"/>
  <c r="M1121" i="1"/>
  <c r="L1121" i="1"/>
  <c r="K1121" i="1"/>
  <c r="J1121" i="1"/>
  <c r="I1121" i="1"/>
  <c r="H1121" i="1"/>
  <c r="G1121" i="1"/>
  <c r="R1120" i="1"/>
  <c r="Q1120" i="1"/>
  <c r="O1120" i="1"/>
  <c r="N1120" i="1"/>
  <c r="M1120" i="1"/>
  <c r="L1120" i="1"/>
  <c r="K1120" i="1"/>
  <c r="J1120" i="1"/>
  <c r="I1120" i="1"/>
  <c r="H1120" i="1"/>
  <c r="G1120" i="1"/>
  <c r="R1119" i="1"/>
  <c r="Q1119" i="1"/>
  <c r="O1119" i="1"/>
  <c r="N1119" i="1"/>
  <c r="M1119" i="1"/>
  <c r="L1119" i="1"/>
  <c r="K1119" i="1"/>
  <c r="J1119" i="1"/>
  <c r="I1119" i="1"/>
  <c r="H1119" i="1"/>
  <c r="G1119" i="1"/>
  <c r="R1118" i="1"/>
  <c r="Q1118" i="1"/>
  <c r="O1118" i="1"/>
  <c r="N1118" i="1"/>
  <c r="M1118" i="1"/>
  <c r="L1118" i="1"/>
  <c r="K1118" i="1"/>
  <c r="J1118" i="1"/>
  <c r="I1118" i="1"/>
  <c r="H1118" i="1"/>
  <c r="G1118" i="1"/>
  <c r="R1117" i="1"/>
  <c r="Q1117" i="1"/>
  <c r="O1117" i="1"/>
  <c r="N1117" i="1"/>
  <c r="M1117" i="1"/>
  <c r="L1117" i="1"/>
  <c r="K1117" i="1"/>
  <c r="J1117" i="1"/>
  <c r="I1117" i="1"/>
  <c r="H1117" i="1"/>
  <c r="G1117" i="1"/>
  <c r="R1116" i="1"/>
  <c r="Q1116" i="1"/>
  <c r="O1116" i="1"/>
  <c r="N1116" i="1"/>
  <c r="M1116" i="1"/>
  <c r="L1116" i="1"/>
  <c r="K1116" i="1"/>
  <c r="J1116" i="1"/>
  <c r="I1116" i="1"/>
  <c r="H1116" i="1"/>
  <c r="G1116" i="1"/>
  <c r="R1115" i="1"/>
  <c r="Q1115" i="1"/>
  <c r="O1115" i="1"/>
  <c r="N1115" i="1"/>
  <c r="M1115" i="1"/>
  <c r="L1115" i="1"/>
  <c r="K1115" i="1"/>
  <c r="J1115" i="1"/>
  <c r="I1115" i="1"/>
  <c r="H1115" i="1"/>
  <c r="G1115" i="1"/>
  <c r="R1114" i="1"/>
  <c r="Q1114" i="1"/>
  <c r="O1114" i="1"/>
  <c r="N1114" i="1"/>
  <c r="M1114" i="1"/>
  <c r="L1114" i="1"/>
  <c r="K1114" i="1"/>
  <c r="J1114" i="1"/>
  <c r="I1114" i="1"/>
  <c r="H1114" i="1"/>
  <c r="G1114" i="1"/>
  <c r="R1113" i="1"/>
  <c r="Q1113" i="1"/>
  <c r="O1113" i="1"/>
  <c r="N1113" i="1"/>
  <c r="M1113" i="1"/>
  <c r="L1113" i="1"/>
  <c r="K1113" i="1"/>
  <c r="J1113" i="1"/>
  <c r="I1113" i="1"/>
  <c r="H1113" i="1"/>
  <c r="G1113" i="1"/>
  <c r="R1112" i="1"/>
  <c r="Q1112" i="1"/>
  <c r="O1112" i="1"/>
  <c r="N1112" i="1"/>
  <c r="M1112" i="1"/>
  <c r="L1112" i="1"/>
  <c r="K1112" i="1"/>
  <c r="J1112" i="1"/>
  <c r="I1112" i="1"/>
  <c r="H1112" i="1"/>
  <c r="G1112" i="1"/>
  <c r="R1111" i="1"/>
  <c r="Q1111" i="1"/>
  <c r="O1111" i="1"/>
  <c r="N1111" i="1"/>
  <c r="M1111" i="1"/>
  <c r="L1111" i="1"/>
  <c r="K1111" i="1"/>
  <c r="J1111" i="1"/>
  <c r="I1111" i="1"/>
  <c r="H1111" i="1"/>
  <c r="G1111" i="1"/>
  <c r="R1110" i="1"/>
  <c r="Q1110" i="1"/>
  <c r="O1110" i="1"/>
  <c r="N1110" i="1"/>
  <c r="M1110" i="1"/>
  <c r="L1110" i="1"/>
  <c r="K1110" i="1"/>
  <c r="J1110" i="1"/>
  <c r="I1110" i="1"/>
  <c r="H1110" i="1"/>
  <c r="G1110" i="1"/>
  <c r="R1109" i="1"/>
  <c r="Q1109" i="1"/>
  <c r="O1109" i="1"/>
  <c r="N1109" i="1"/>
  <c r="M1109" i="1"/>
  <c r="L1109" i="1"/>
  <c r="K1109" i="1"/>
  <c r="J1109" i="1"/>
  <c r="I1109" i="1"/>
  <c r="H1109" i="1"/>
  <c r="G1109" i="1"/>
  <c r="R1108" i="1"/>
  <c r="Q1108" i="1"/>
  <c r="O1108" i="1"/>
  <c r="N1108" i="1"/>
  <c r="M1108" i="1"/>
  <c r="L1108" i="1"/>
  <c r="K1108" i="1"/>
  <c r="J1108" i="1"/>
  <c r="I1108" i="1"/>
  <c r="H1108" i="1"/>
  <c r="G1108" i="1"/>
  <c r="R1107" i="1"/>
  <c r="Q1107" i="1"/>
  <c r="O1107" i="1"/>
  <c r="N1107" i="1"/>
  <c r="M1107" i="1"/>
  <c r="L1107" i="1"/>
  <c r="K1107" i="1"/>
  <c r="J1107" i="1"/>
  <c r="I1107" i="1"/>
  <c r="H1107" i="1"/>
  <c r="G1107" i="1"/>
  <c r="R1106" i="1"/>
  <c r="Q1106" i="1"/>
  <c r="O1106" i="1"/>
  <c r="N1106" i="1"/>
  <c r="M1106" i="1"/>
  <c r="L1106" i="1"/>
  <c r="K1106" i="1"/>
  <c r="J1106" i="1"/>
  <c r="I1106" i="1"/>
  <c r="H1106" i="1"/>
  <c r="G1106" i="1"/>
  <c r="R1105" i="1"/>
  <c r="Q1105" i="1"/>
  <c r="O1105" i="1"/>
  <c r="N1105" i="1"/>
  <c r="M1105" i="1"/>
  <c r="L1105" i="1"/>
  <c r="K1105" i="1"/>
  <c r="J1105" i="1"/>
  <c r="I1105" i="1"/>
  <c r="H1105" i="1"/>
  <c r="G1105" i="1"/>
  <c r="R1104" i="1"/>
  <c r="Q1104" i="1"/>
  <c r="O1104" i="1"/>
  <c r="N1104" i="1"/>
  <c r="M1104" i="1"/>
  <c r="L1104" i="1"/>
  <c r="K1104" i="1"/>
  <c r="J1104" i="1"/>
  <c r="I1104" i="1"/>
  <c r="H1104" i="1"/>
  <c r="G1104" i="1"/>
  <c r="R1103" i="1"/>
  <c r="Q1103" i="1"/>
  <c r="O1103" i="1"/>
  <c r="N1103" i="1"/>
  <c r="M1103" i="1"/>
  <c r="L1103" i="1"/>
  <c r="K1103" i="1"/>
  <c r="J1103" i="1"/>
  <c r="I1103" i="1"/>
  <c r="H1103" i="1"/>
  <c r="G1103" i="1"/>
  <c r="R1102" i="1"/>
  <c r="Q1102" i="1"/>
  <c r="O1102" i="1"/>
  <c r="N1102" i="1"/>
  <c r="M1102" i="1"/>
  <c r="L1102" i="1"/>
  <c r="K1102" i="1"/>
  <c r="J1102" i="1"/>
  <c r="I1102" i="1"/>
  <c r="H1102" i="1"/>
  <c r="G1102" i="1"/>
  <c r="R1101" i="1"/>
  <c r="Q1101" i="1"/>
  <c r="O1101" i="1"/>
  <c r="N1101" i="1"/>
  <c r="M1101" i="1"/>
  <c r="L1101" i="1"/>
  <c r="K1101" i="1"/>
  <c r="J1101" i="1"/>
  <c r="I1101" i="1"/>
  <c r="H1101" i="1"/>
  <c r="G1101" i="1"/>
  <c r="R1100" i="1"/>
  <c r="Q1100" i="1"/>
  <c r="O1100" i="1"/>
  <c r="N1100" i="1"/>
  <c r="M1100" i="1"/>
  <c r="L1100" i="1"/>
  <c r="K1100" i="1"/>
  <c r="J1100" i="1"/>
  <c r="I1100" i="1"/>
  <c r="H1100" i="1"/>
  <c r="G1100" i="1"/>
  <c r="R1099" i="1"/>
  <c r="Q1099" i="1"/>
  <c r="O1099" i="1"/>
  <c r="N1099" i="1"/>
  <c r="M1099" i="1"/>
  <c r="L1099" i="1"/>
  <c r="K1099" i="1"/>
  <c r="J1099" i="1"/>
  <c r="I1099" i="1"/>
  <c r="H1099" i="1"/>
  <c r="G1099" i="1"/>
  <c r="R1098" i="1"/>
  <c r="Q1098" i="1"/>
  <c r="O1098" i="1"/>
  <c r="N1098" i="1"/>
  <c r="M1098" i="1"/>
  <c r="L1098" i="1"/>
  <c r="K1098" i="1"/>
  <c r="J1098" i="1"/>
  <c r="I1098" i="1"/>
  <c r="H1098" i="1"/>
  <c r="G1098" i="1"/>
  <c r="R1097" i="1"/>
  <c r="Q1097" i="1"/>
  <c r="O1097" i="1"/>
  <c r="N1097" i="1"/>
  <c r="M1097" i="1"/>
  <c r="L1097" i="1"/>
  <c r="K1097" i="1"/>
  <c r="J1097" i="1"/>
  <c r="I1097" i="1"/>
  <c r="H1097" i="1"/>
  <c r="G1097" i="1"/>
  <c r="R1096" i="1"/>
  <c r="Q1096" i="1"/>
  <c r="O1096" i="1"/>
  <c r="N1096" i="1"/>
  <c r="M1096" i="1"/>
  <c r="L1096" i="1"/>
  <c r="K1096" i="1"/>
  <c r="J1096" i="1"/>
  <c r="I1096" i="1"/>
  <c r="H1096" i="1"/>
  <c r="G1096" i="1"/>
  <c r="R1095" i="1"/>
  <c r="Q1095" i="1"/>
  <c r="O1095" i="1"/>
  <c r="N1095" i="1"/>
  <c r="M1095" i="1"/>
  <c r="L1095" i="1"/>
  <c r="K1095" i="1"/>
  <c r="J1095" i="1"/>
  <c r="I1095" i="1"/>
  <c r="H1095" i="1"/>
  <c r="G1095" i="1"/>
  <c r="R1094" i="1"/>
  <c r="Q1094" i="1"/>
  <c r="O1094" i="1"/>
  <c r="N1094" i="1"/>
  <c r="M1094" i="1"/>
  <c r="L1094" i="1"/>
  <c r="K1094" i="1"/>
  <c r="J1094" i="1"/>
  <c r="I1094" i="1"/>
  <c r="H1094" i="1"/>
  <c r="G1094" i="1"/>
  <c r="R1093" i="1"/>
  <c r="Q1093" i="1"/>
  <c r="O1093" i="1"/>
  <c r="N1093" i="1"/>
  <c r="M1093" i="1"/>
  <c r="L1093" i="1"/>
  <c r="K1093" i="1"/>
  <c r="J1093" i="1"/>
  <c r="I1093" i="1"/>
  <c r="H1093" i="1"/>
  <c r="G1093" i="1"/>
  <c r="R1092" i="1"/>
  <c r="Q1092" i="1"/>
  <c r="O1092" i="1"/>
  <c r="N1092" i="1"/>
  <c r="M1092" i="1"/>
  <c r="L1092" i="1"/>
  <c r="K1092" i="1"/>
  <c r="J1092" i="1"/>
  <c r="I1092" i="1"/>
  <c r="H1092" i="1"/>
  <c r="G1092" i="1"/>
  <c r="R1091" i="1"/>
  <c r="Q1091" i="1"/>
  <c r="O1091" i="1"/>
  <c r="N1091" i="1"/>
  <c r="M1091" i="1"/>
  <c r="L1091" i="1"/>
  <c r="K1091" i="1"/>
  <c r="J1091" i="1"/>
  <c r="I1091" i="1"/>
  <c r="H1091" i="1"/>
  <c r="G1091" i="1"/>
  <c r="R1090" i="1"/>
  <c r="Q1090" i="1"/>
  <c r="O1090" i="1"/>
  <c r="N1090" i="1"/>
  <c r="M1090" i="1"/>
  <c r="L1090" i="1"/>
  <c r="K1090" i="1"/>
  <c r="J1090" i="1"/>
  <c r="I1090" i="1"/>
  <c r="H1090" i="1"/>
  <c r="G1090" i="1"/>
  <c r="R1089" i="1"/>
  <c r="Q1089" i="1"/>
  <c r="O1089" i="1"/>
  <c r="N1089" i="1"/>
  <c r="M1089" i="1"/>
  <c r="L1089" i="1"/>
  <c r="K1089" i="1"/>
  <c r="J1089" i="1"/>
  <c r="I1089" i="1"/>
  <c r="H1089" i="1"/>
  <c r="G1089" i="1"/>
  <c r="R1088" i="1"/>
  <c r="Q1088" i="1"/>
  <c r="O1088" i="1"/>
  <c r="N1088" i="1"/>
  <c r="M1088" i="1"/>
  <c r="L1088" i="1"/>
  <c r="K1088" i="1"/>
  <c r="J1088" i="1"/>
  <c r="I1088" i="1"/>
  <c r="H1088" i="1"/>
  <c r="G1088" i="1"/>
  <c r="R1087" i="1"/>
  <c r="Q1087" i="1"/>
  <c r="O1087" i="1"/>
  <c r="N1087" i="1"/>
  <c r="M1087" i="1"/>
  <c r="L1087" i="1"/>
  <c r="K1087" i="1"/>
  <c r="J1087" i="1"/>
  <c r="I1087" i="1"/>
  <c r="H1087" i="1"/>
  <c r="G1087" i="1"/>
  <c r="R1086" i="1"/>
  <c r="Q1086" i="1"/>
  <c r="O1086" i="1"/>
  <c r="N1086" i="1"/>
  <c r="M1086" i="1"/>
  <c r="L1086" i="1"/>
  <c r="K1086" i="1"/>
  <c r="J1086" i="1"/>
  <c r="I1086" i="1"/>
  <c r="H1086" i="1"/>
  <c r="G1086" i="1"/>
  <c r="R1085" i="1"/>
  <c r="Q1085" i="1"/>
  <c r="O1085" i="1"/>
  <c r="N1085" i="1"/>
  <c r="M1085" i="1"/>
  <c r="L1085" i="1"/>
  <c r="K1085" i="1"/>
  <c r="J1085" i="1"/>
  <c r="I1085" i="1"/>
  <c r="H1085" i="1"/>
  <c r="G1085" i="1"/>
  <c r="R1084" i="1"/>
  <c r="Q1084" i="1"/>
  <c r="O1084" i="1"/>
  <c r="N1084" i="1"/>
  <c r="M1084" i="1"/>
  <c r="L1084" i="1"/>
  <c r="K1084" i="1"/>
  <c r="J1084" i="1"/>
  <c r="I1084" i="1"/>
  <c r="H1084" i="1"/>
  <c r="G1084" i="1"/>
  <c r="R1083" i="1"/>
  <c r="Q1083" i="1"/>
  <c r="O1083" i="1"/>
  <c r="N1083" i="1"/>
  <c r="M1083" i="1"/>
  <c r="L1083" i="1"/>
  <c r="K1083" i="1"/>
  <c r="J1083" i="1"/>
  <c r="I1083" i="1"/>
  <c r="H1083" i="1"/>
  <c r="G1083" i="1"/>
  <c r="R1082" i="1"/>
  <c r="Q1082" i="1"/>
  <c r="O1082" i="1"/>
  <c r="N1082" i="1"/>
  <c r="M1082" i="1"/>
  <c r="L1082" i="1"/>
  <c r="K1082" i="1"/>
  <c r="J1082" i="1"/>
  <c r="I1082" i="1"/>
  <c r="H1082" i="1"/>
  <c r="G1082" i="1"/>
  <c r="R1081" i="1"/>
  <c r="Q1081" i="1"/>
  <c r="O1081" i="1"/>
  <c r="N1081" i="1"/>
  <c r="M1081" i="1"/>
  <c r="L1081" i="1"/>
  <c r="K1081" i="1"/>
  <c r="J1081" i="1"/>
  <c r="I1081" i="1"/>
  <c r="H1081" i="1"/>
  <c r="G1081" i="1"/>
  <c r="R1080" i="1"/>
  <c r="Q1080" i="1"/>
  <c r="O1080" i="1"/>
  <c r="N1080" i="1"/>
  <c r="M1080" i="1"/>
  <c r="L1080" i="1"/>
  <c r="K1080" i="1"/>
  <c r="J1080" i="1"/>
  <c r="I1080" i="1"/>
  <c r="H1080" i="1"/>
  <c r="G1080" i="1"/>
  <c r="R1079" i="1"/>
  <c r="Q1079" i="1"/>
  <c r="O1079" i="1"/>
  <c r="N1079" i="1"/>
  <c r="M1079" i="1"/>
  <c r="L1079" i="1"/>
  <c r="K1079" i="1"/>
  <c r="J1079" i="1"/>
  <c r="I1079" i="1"/>
  <c r="H1079" i="1"/>
  <c r="G1079" i="1"/>
  <c r="R1078" i="1"/>
  <c r="Q1078" i="1"/>
  <c r="O1078" i="1"/>
  <c r="N1078" i="1"/>
  <c r="M1078" i="1"/>
  <c r="L1078" i="1"/>
  <c r="K1078" i="1"/>
  <c r="J1078" i="1"/>
  <c r="I1078" i="1"/>
  <c r="H1078" i="1"/>
  <c r="G1078" i="1"/>
  <c r="R1077" i="1"/>
  <c r="Q1077" i="1"/>
  <c r="O1077" i="1"/>
  <c r="N1077" i="1"/>
  <c r="M1077" i="1"/>
  <c r="L1077" i="1"/>
  <c r="K1077" i="1"/>
  <c r="J1077" i="1"/>
  <c r="I1077" i="1"/>
  <c r="H1077" i="1"/>
  <c r="G1077" i="1"/>
  <c r="R1076" i="1"/>
  <c r="Q1076" i="1"/>
  <c r="O1076" i="1"/>
  <c r="N1076" i="1"/>
  <c r="M1076" i="1"/>
  <c r="L1076" i="1"/>
  <c r="K1076" i="1"/>
  <c r="J1076" i="1"/>
  <c r="I1076" i="1"/>
  <c r="H1076" i="1"/>
  <c r="G1076" i="1"/>
  <c r="R1075" i="1"/>
  <c r="Q1075" i="1"/>
  <c r="O1075" i="1"/>
  <c r="N1075" i="1"/>
  <c r="M1075" i="1"/>
  <c r="L1075" i="1"/>
  <c r="K1075" i="1"/>
  <c r="J1075" i="1"/>
  <c r="I1075" i="1"/>
  <c r="H1075" i="1"/>
  <c r="G1075" i="1"/>
  <c r="R1074" i="1"/>
  <c r="Q1074" i="1"/>
  <c r="O1074" i="1"/>
  <c r="N1074" i="1"/>
  <c r="M1074" i="1"/>
  <c r="L1074" i="1"/>
  <c r="K1074" i="1"/>
  <c r="J1074" i="1"/>
  <c r="I1074" i="1"/>
  <c r="H1074" i="1"/>
  <c r="G1074" i="1"/>
  <c r="R1073" i="1"/>
  <c r="Q1073" i="1"/>
  <c r="O1073" i="1"/>
  <c r="N1073" i="1"/>
  <c r="M1073" i="1"/>
  <c r="L1073" i="1"/>
  <c r="K1073" i="1"/>
  <c r="J1073" i="1"/>
  <c r="I1073" i="1"/>
  <c r="H1073" i="1"/>
  <c r="G1073" i="1"/>
  <c r="R1072" i="1"/>
  <c r="Q1072" i="1"/>
  <c r="O1072" i="1"/>
  <c r="N1072" i="1"/>
  <c r="M1072" i="1"/>
  <c r="L1072" i="1"/>
  <c r="K1072" i="1"/>
  <c r="J1072" i="1"/>
  <c r="I1072" i="1"/>
  <c r="H1072" i="1"/>
  <c r="G1072" i="1"/>
  <c r="R1071" i="1"/>
  <c r="Q1071" i="1"/>
  <c r="O1071" i="1"/>
  <c r="N1071" i="1"/>
  <c r="M1071" i="1"/>
  <c r="L1071" i="1"/>
  <c r="K1071" i="1"/>
  <c r="J1071" i="1"/>
  <c r="I1071" i="1"/>
  <c r="H1071" i="1"/>
  <c r="G1071" i="1"/>
  <c r="R1070" i="1"/>
  <c r="Q1070" i="1"/>
  <c r="O1070" i="1"/>
  <c r="N1070" i="1"/>
  <c r="M1070" i="1"/>
  <c r="L1070" i="1"/>
  <c r="K1070" i="1"/>
  <c r="J1070" i="1"/>
  <c r="I1070" i="1"/>
  <c r="H1070" i="1"/>
  <c r="G1070" i="1"/>
  <c r="R1069" i="1"/>
  <c r="Q1069" i="1"/>
  <c r="O1069" i="1"/>
  <c r="N1069" i="1"/>
  <c r="M1069" i="1"/>
  <c r="L1069" i="1"/>
  <c r="K1069" i="1"/>
  <c r="J1069" i="1"/>
  <c r="I1069" i="1"/>
  <c r="H1069" i="1"/>
  <c r="G1069" i="1"/>
  <c r="R1068" i="1"/>
  <c r="Q1068" i="1"/>
  <c r="O1068" i="1"/>
  <c r="N1068" i="1"/>
  <c r="M1068" i="1"/>
  <c r="L1068" i="1"/>
  <c r="K1068" i="1"/>
  <c r="J1068" i="1"/>
  <c r="I1068" i="1"/>
  <c r="H1068" i="1"/>
  <c r="G1068" i="1"/>
  <c r="R1067" i="1"/>
  <c r="Q1067" i="1"/>
  <c r="O1067" i="1"/>
  <c r="N1067" i="1"/>
  <c r="M1067" i="1"/>
  <c r="L1067" i="1"/>
  <c r="K1067" i="1"/>
  <c r="J1067" i="1"/>
  <c r="I1067" i="1"/>
  <c r="H1067" i="1"/>
  <c r="G1067" i="1"/>
  <c r="R1066" i="1"/>
  <c r="Q1066" i="1"/>
  <c r="O1066" i="1"/>
  <c r="N1066" i="1"/>
  <c r="M1066" i="1"/>
  <c r="L1066" i="1"/>
  <c r="K1066" i="1"/>
  <c r="J1066" i="1"/>
  <c r="I1066" i="1"/>
  <c r="H1066" i="1"/>
  <c r="G1066" i="1"/>
  <c r="R1065" i="1"/>
  <c r="Q1065" i="1"/>
  <c r="O1065" i="1"/>
  <c r="N1065" i="1"/>
  <c r="M1065" i="1"/>
  <c r="L1065" i="1"/>
  <c r="K1065" i="1"/>
  <c r="J1065" i="1"/>
  <c r="I1065" i="1"/>
  <c r="H1065" i="1"/>
  <c r="G1065" i="1"/>
  <c r="R1064" i="1"/>
  <c r="Q1064" i="1"/>
  <c r="O1064" i="1"/>
  <c r="N1064" i="1"/>
  <c r="M1064" i="1"/>
  <c r="L1064" i="1"/>
  <c r="K1064" i="1"/>
  <c r="J1064" i="1"/>
  <c r="I1064" i="1"/>
  <c r="H1064" i="1"/>
  <c r="G1064" i="1"/>
  <c r="R1063" i="1"/>
  <c r="Q1063" i="1"/>
  <c r="O1063" i="1"/>
  <c r="N1063" i="1"/>
  <c r="M1063" i="1"/>
  <c r="L1063" i="1"/>
  <c r="K1063" i="1"/>
  <c r="J1063" i="1"/>
  <c r="I1063" i="1"/>
  <c r="H1063" i="1"/>
  <c r="G1063" i="1"/>
  <c r="R1062" i="1"/>
  <c r="Q1062" i="1"/>
  <c r="O1062" i="1"/>
  <c r="N1062" i="1"/>
  <c r="M1062" i="1"/>
  <c r="L1062" i="1"/>
  <c r="K1062" i="1"/>
  <c r="J1062" i="1"/>
  <c r="I1062" i="1"/>
  <c r="H1062" i="1"/>
  <c r="G1062" i="1"/>
  <c r="R1061" i="1"/>
  <c r="Q1061" i="1"/>
  <c r="O1061" i="1"/>
  <c r="N1061" i="1"/>
  <c r="M1061" i="1"/>
  <c r="L1061" i="1"/>
  <c r="K1061" i="1"/>
  <c r="J1061" i="1"/>
  <c r="I1061" i="1"/>
  <c r="H1061" i="1"/>
  <c r="G1061" i="1"/>
  <c r="R1060" i="1"/>
  <c r="Q1060" i="1"/>
  <c r="O1060" i="1"/>
  <c r="N1060" i="1"/>
  <c r="M1060" i="1"/>
  <c r="L1060" i="1"/>
  <c r="K1060" i="1"/>
  <c r="J1060" i="1"/>
  <c r="I1060" i="1"/>
  <c r="H1060" i="1"/>
  <c r="G1060" i="1"/>
  <c r="R1059" i="1"/>
  <c r="Q1059" i="1"/>
  <c r="O1059" i="1"/>
  <c r="N1059" i="1"/>
  <c r="M1059" i="1"/>
  <c r="L1059" i="1"/>
  <c r="K1059" i="1"/>
  <c r="J1059" i="1"/>
  <c r="I1059" i="1"/>
  <c r="H1059" i="1"/>
  <c r="G1059" i="1"/>
  <c r="R1058" i="1"/>
  <c r="Q1058" i="1"/>
  <c r="O1058" i="1"/>
  <c r="N1058" i="1"/>
  <c r="M1058" i="1"/>
  <c r="L1058" i="1"/>
  <c r="K1058" i="1"/>
  <c r="J1058" i="1"/>
  <c r="I1058" i="1"/>
  <c r="H1058" i="1"/>
  <c r="G1058" i="1"/>
  <c r="R1057" i="1"/>
  <c r="Q1057" i="1"/>
  <c r="O1057" i="1"/>
  <c r="N1057" i="1"/>
  <c r="M1057" i="1"/>
  <c r="L1057" i="1"/>
  <c r="K1057" i="1"/>
  <c r="J1057" i="1"/>
  <c r="I1057" i="1"/>
  <c r="H1057" i="1"/>
  <c r="G1057" i="1"/>
  <c r="R1056" i="1"/>
  <c r="Q1056" i="1"/>
  <c r="O1056" i="1"/>
  <c r="N1056" i="1"/>
  <c r="M1056" i="1"/>
  <c r="L1056" i="1"/>
  <c r="K1056" i="1"/>
  <c r="J1056" i="1"/>
  <c r="I1056" i="1"/>
  <c r="H1056" i="1"/>
  <c r="G1056" i="1"/>
  <c r="R1055" i="1"/>
  <c r="Q1055" i="1"/>
  <c r="O1055" i="1"/>
  <c r="N1055" i="1"/>
  <c r="M1055" i="1"/>
  <c r="L1055" i="1"/>
  <c r="K1055" i="1"/>
  <c r="J1055" i="1"/>
  <c r="I1055" i="1"/>
  <c r="H1055" i="1"/>
  <c r="G1055" i="1"/>
  <c r="R1054" i="1"/>
  <c r="Q1054" i="1"/>
  <c r="O1054" i="1"/>
  <c r="N1054" i="1"/>
  <c r="M1054" i="1"/>
  <c r="L1054" i="1"/>
  <c r="K1054" i="1"/>
  <c r="J1054" i="1"/>
  <c r="I1054" i="1"/>
  <c r="H1054" i="1"/>
  <c r="G1054" i="1"/>
  <c r="R1053" i="1"/>
  <c r="Q1053" i="1"/>
  <c r="O1053" i="1"/>
  <c r="N1053" i="1"/>
  <c r="M1053" i="1"/>
  <c r="L1053" i="1"/>
  <c r="K1053" i="1"/>
  <c r="J1053" i="1"/>
  <c r="I1053" i="1"/>
  <c r="H1053" i="1"/>
  <c r="G1053" i="1"/>
  <c r="R1052" i="1"/>
  <c r="Q1052" i="1"/>
  <c r="O1052" i="1"/>
  <c r="N1052" i="1"/>
  <c r="M1052" i="1"/>
  <c r="L1052" i="1"/>
  <c r="K1052" i="1"/>
  <c r="J1052" i="1"/>
  <c r="I1052" i="1"/>
  <c r="H1052" i="1"/>
  <c r="G1052" i="1"/>
  <c r="R1051" i="1"/>
  <c r="Q1051" i="1"/>
  <c r="O1051" i="1"/>
  <c r="N1051" i="1"/>
  <c r="M1051" i="1"/>
  <c r="L1051" i="1"/>
  <c r="K1051" i="1"/>
  <c r="J1051" i="1"/>
  <c r="I1051" i="1"/>
  <c r="H1051" i="1"/>
  <c r="G1051" i="1"/>
  <c r="R1050" i="1"/>
  <c r="Q1050" i="1"/>
  <c r="O1050" i="1"/>
  <c r="N1050" i="1"/>
  <c r="M1050" i="1"/>
  <c r="L1050" i="1"/>
  <c r="K1050" i="1"/>
  <c r="J1050" i="1"/>
  <c r="I1050" i="1"/>
  <c r="H1050" i="1"/>
  <c r="G1050" i="1"/>
  <c r="R1049" i="1"/>
  <c r="Q1049" i="1"/>
  <c r="O1049" i="1"/>
  <c r="N1049" i="1"/>
  <c r="M1049" i="1"/>
  <c r="L1049" i="1"/>
  <c r="K1049" i="1"/>
  <c r="J1049" i="1"/>
  <c r="I1049" i="1"/>
  <c r="H1049" i="1"/>
  <c r="G1049" i="1"/>
  <c r="R1048" i="1"/>
  <c r="Q1048" i="1"/>
  <c r="O1048" i="1"/>
  <c r="N1048" i="1"/>
  <c r="M1048" i="1"/>
  <c r="L1048" i="1"/>
  <c r="K1048" i="1"/>
  <c r="J1048" i="1"/>
  <c r="I1048" i="1"/>
  <c r="H1048" i="1"/>
  <c r="G1048" i="1"/>
  <c r="R1047" i="1"/>
  <c r="Q1047" i="1"/>
  <c r="O1047" i="1"/>
  <c r="N1047" i="1"/>
  <c r="M1047" i="1"/>
  <c r="L1047" i="1"/>
  <c r="K1047" i="1"/>
  <c r="J1047" i="1"/>
  <c r="I1047" i="1"/>
  <c r="H1047" i="1"/>
  <c r="G1047" i="1"/>
  <c r="R1046" i="1"/>
  <c r="Q1046" i="1"/>
  <c r="O1046" i="1"/>
  <c r="N1046" i="1"/>
  <c r="M1046" i="1"/>
  <c r="L1046" i="1"/>
  <c r="K1046" i="1"/>
  <c r="J1046" i="1"/>
  <c r="I1046" i="1"/>
  <c r="H1046" i="1"/>
  <c r="G1046" i="1"/>
  <c r="R1045" i="1"/>
  <c r="Q1045" i="1"/>
  <c r="O1045" i="1"/>
  <c r="N1045" i="1"/>
  <c r="M1045" i="1"/>
  <c r="L1045" i="1"/>
  <c r="K1045" i="1"/>
  <c r="J1045" i="1"/>
  <c r="I1045" i="1"/>
  <c r="H1045" i="1"/>
  <c r="G1045" i="1"/>
  <c r="R1044" i="1"/>
  <c r="Q1044" i="1"/>
  <c r="O1044" i="1"/>
  <c r="N1044" i="1"/>
  <c r="M1044" i="1"/>
  <c r="L1044" i="1"/>
  <c r="K1044" i="1"/>
  <c r="J1044" i="1"/>
  <c r="I1044" i="1"/>
  <c r="H1044" i="1"/>
  <c r="G1044" i="1"/>
  <c r="R1043" i="1"/>
  <c r="Q1043" i="1"/>
  <c r="O1043" i="1"/>
  <c r="N1043" i="1"/>
  <c r="M1043" i="1"/>
  <c r="L1043" i="1"/>
  <c r="K1043" i="1"/>
  <c r="J1043" i="1"/>
  <c r="I1043" i="1"/>
  <c r="H1043" i="1"/>
  <c r="G1043" i="1"/>
  <c r="R1042" i="1"/>
  <c r="Q1042" i="1"/>
  <c r="O1042" i="1"/>
  <c r="N1042" i="1"/>
  <c r="M1042" i="1"/>
  <c r="L1042" i="1"/>
  <c r="K1042" i="1"/>
  <c r="J1042" i="1"/>
  <c r="I1042" i="1"/>
  <c r="H1042" i="1"/>
  <c r="G1042" i="1"/>
  <c r="R1041" i="1"/>
  <c r="Q1041" i="1"/>
  <c r="O1041" i="1"/>
  <c r="N1041" i="1"/>
  <c r="M1041" i="1"/>
  <c r="L1041" i="1"/>
  <c r="K1041" i="1"/>
  <c r="J1041" i="1"/>
  <c r="I1041" i="1"/>
  <c r="H1041" i="1"/>
  <c r="G1041" i="1"/>
  <c r="R1040" i="1"/>
  <c r="Q1040" i="1"/>
  <c r="O1040" i="1"/>
  <c r="N1040" i="1"/>
  <c r="M1040" i="1"/>
  <c r="L1040" i="1"/>
  <c r="K1040" i="1"/>
  <c r="J1040" i="1"/>
  <c r="I1040" i="1"/>
  <c r="H1040" i="1"/>
  <c r="G1040" i="1"/>
  <c r="R1039" i="1"/>
  <c r="Q1039" i="1"/>
  <c r="O1039" i="1"/>
  <c r="N1039" i="1"/>
  <c r="M1039" i="1"/>
  <c r="L1039" i="1"/>
  <c r="K1039" i="1"/>
  <c r="J1039" i="1"/>
  <c r="I1039" i="1"/>
  <c r="H1039" i="1"/>
  <c r="G1039" i="1"/>
  <c r="R1038" i="1"/>
  <c r="Q1038" i="1"/>
  <c r="O1038" i="1"/>
  <c r="N1038" i="1"/>
  <c r="M1038" i="1"/>
  <c r="L1038" i="1"/>
  <c r="K1038" i="1"/>
  <c r="J1038" i="1"/>
  <c r="I1038" i="1"/>
  <c r="H1038" i="1"/>
  <c r="G1038" i="1"/>
  <c r="R1037" i="1"/>
  <c r="Q1037" i="1"/>
  <c r="O1037" i="1"/>
  <c r="N1037" i="1"/>
  <c r="M1037" i="1"/>
  <c r="L1037" i="1"/>
  <c r="K1037" i="1"/>
  <c r="J1037" i="1"/>
  <c r="I1037" i="1"/>
  <c r="H1037" i="1"/>
  <c r="G1037" i="1"/>
  <c r="R1036" i="1"/>
  <c r="Q1036" i="1"/>
  <c r="O1036" i="1"/>
  <c r="N1036" i="1"/>
  <c r="M1036" i="1"/>
  <c r="L1036" i="1"/>
  <c r="K1036" i="1"/>
  <c r="J1036" i="1"/>
  <c r="I1036" i="1"/>
  <c r="H1036" i="1"/>
  <c r="G1036" i="1"/>
  <c r="R1035" i="1"/>
  <c r="Q1035" i="1"/>
  <c r="O1035" i="1"/>
  <c r="N1035" i="1"/>
  <c r="M1035" i="1"/>
  <c r="L1035" i="1"/>
  <c r="K1035" i="1"/>
  <c r="J1035" i="1"/>
  <c r="I1035" i="1"/>
  <c r="H1035" i="1"/>
  <c r="G1035" i="1"/>
  <c r="R1034" i="1"/>
  <c r="Q1034" i="1"/>
  <c r="O1034" i="1"/>
  <c r="N1034" i="1"/>
  <c r="M1034" i="1"/>
  <c r="L1034" i="1"/>
  <c r="K1034" i="1"/>
  <c r="J1034" i="1"/>
  <c r="I1034" i="1"/>
  <c r="H1034" i="1"/>
  <c r="G1034" i="1"/>
  <c r="R1033" i="1"/>
  <c r="Q1033" i="1"/>
  <c r="O1033" i="1"/>
  <c r="N1033" i="1"/>
  <c r="M1033" i="1"/>
  <c r="L1033" i="1"/>
  <c r="K1033" i="1"/>
  <c r="J1033" i="1"/>
  <c r="I1033" i="1"/>
  <c r="H1033" i="1"/>
  <c r="G1033" i="1"/>
  <c r="R1032" i="1"/>
  <c r="Q1032" i="1"/>
  <c r="O1032" i="1"/>
  <c r="N1032" i="1"/>
  <c r="M1032" i="1"/>
  <c r="L1032" i="1"/>
  <c r="K1032" i="1"/>
  <c r="J1032" i="1"/>
  <c r="I1032" i="1"/>
  <c r="H1032" i="1"/>
  <c r="G1032" i="1"/>
  <c r="R1031" i="1"/>
  <c r="Q1031" i="1"/>
  <c r="O1031" i="1"/>
  <c r="N1031" i="1"/>
  <c r="M1031" i="1"/>
  <c r="L1031" i="1"/>
  <c r="K1031" i="1"/>
  <c r="J1031" i="1"/>
  <c r="I1031" i="1"/>
  <c r="H1031" i="1"/>
  <c r="G1031" i="1"/>
  <c r="R1030" i="1"/>
  <c r="Q1030" i="1"/>
  <c r="O1030" i="1"/>
  <c r="N1030" i="1"/>
  <c r="M1030" i="1"/>
  <c r="L1030" i="1"/>
  <c r="K1030" i="1"/>
  <c r="J1030" i="1"/>
  <c r="I1030" i="1"/>
  <c r="H1030" i="1"/>
  <c r="G1030" i="1"/>
  <c r="R1029" i="1"/>
  <c r="Q1029" i="1"/>
  <c r="O1029" i="1"/>
  <c r="N1029" i="1"/>
  <c r="M1029" i="1"/>
  <c r="L1029" i="1"/>
  <c r="K1029" i="1"/>
  <c r="J1029" i="1"/>
  <c r="I1029" i="1"/>
  <c r="H1029" i="1"/>
  <c r="G1029" i="1"/>
  <c r="R1028" i="1"/>
  <c r="Q1028" i="1"/>
  <c r="O1028" i="1"/>
  <c r="N1028" i="1"/>
  <c r="M1028" i="1"/>
  <c r="L1028" i="1"/>
  <c r="K1028" i="1"/>
  <c r="J1028" i="1"/>
  <c r="I1028" i="1"/>
  <c r="H1028" i="1"/>
  <c r="G1028" i="1"/>
  <c r="R1027" i="1"/>
  <c r="Q1027" i="1"/>
  <c r="O1027" i="1"/>
  <c r="N1027" i="1"/>
  <c r="M1027" i="1"/>
  <c r="L1027" i="1"/>
  <c r="K1027" i="1"/>
  <c r="J1027" i="1"/>
  <c r="I1027" i="1"/>
  <c r="H1027" i="1"/>
  <c r="G1027" i="1"/>
  <c r="R1026" i="1"/>
  <c r="Q1026" i="1"/>
  <c r="O1026" i="1"/>
  <c r="N1026" i="1"/>
  <c r="M1026" i="1"/>
  <c r="L1026" i="1"/>
  <c r="K1026" i="1"/>
  <c r="J1026" i="1"/>
  <c r="I1026" i="1"/>
  <c r="H1026" i="1"/>
  <c r="G1026" i="1"/>
  <c r="R1025" i="1"/>
  <c r="Q1025" i="1"/>
  <c r="O1025" i="1"/>
  <c r="N1025" i="1"/>
  <c r="M1025" i="1"/>
  <c r="L1025" i="1"/>
  <c r="K1025" i="1"/>
  <c r="J1025" i="1"/>
  <c r="I1025" i="1"/>
  <c r="H1025" i="1"/>
  <c r="G1025" i="1"/>
  <c r="R1024" i="1"/>
  <c r="Q1024" i="1"/>
  <c r="O1024" i="1"/>
  <c r="N1024" i="1"/>
  <c r="M1024" i="1"/>
  <c r="L1024" i="1"/>
  <c r="K1024" i="1"/>
  <c r="J1024" i="1"/>
  <c r="I1024" i="1"/>
  <c r="H1024" i="1"/>
  <c r="G1024" i="1"/>
  <c r="R1023" i="1"/>
  <c r="Q1023" i="1"/>
  <c r="O1023" i="1"/>
  <c r="N1023" i="1"/>
  <c r="M1023" i="1"/>
  <c r="L1023" i="1"/>
  <c r="K1023" i="1"/>
  <c r="J1023" i="1"/>
  <c r="I1023" i="1"/>
  <c r="H1023" i="1"/>
  <c r="G1023" i="1"/>
  <c r="R1022" i="1"/>
  <c r="Q1022" i="1"/>
  <c r="O1022" i="1"/>
  <c r="N1022" i="1"/>
  <c r="M1022" i="1"/>
  <c r="L1022" i="1"/>
  <c r="K1022" i="1"/>
  <c r="J1022" i="1"/>
  <c r="I1022" i="1"/>
  <c r="H1022" i="1"/>
  <c r="G1022" i="1"/>
  <c r="R1021" i="1"/>
  <c r="Q1021" i="1"/>
  <c r="P1021" i="1"/>
  <c r="O1021" i="1"/>
  <c r="N1021" i="1"/>
  <c r="M1021" i="1"/>
  <c r="L1021" i="1"/>
  <c r="K1021" i="1"/>
  <c r="J1021" i="1"/>
  <c r="I1021" i="1"/>
  <c r="H1021" i="1"/>
  <c r="G1021" i="1"/>
  <c r="R1020" i="1"/>
  <c r="Q1020" i="1"/>
  <c r="P1020" i="1"/>
  <c r="O1020" i="1"/>
  <c r="N1020" i="1"/>
  <c r="M1020" i="1"/>
  <c r="L1020" i="1"/>
  <c r="K1020" i="1"/>
  <c r="J1020" i="1"/>
  <c r="I1020" i="1"/>
  <c r="H1020" i="1"/>
  <c r="G1020" i="1"/>
  <c r="R1019" i="1"/>
  <c r="Q1019" i="1"/>
  <c r="P1019" i="1"/>
  <c r="O1019" i="1"/>
  <c r="N1019" i="1"/>
  <c r="M1019" i="1"/>
  <c r="L1019" i="1"/>
  <c r="K1019" i="1"/>
  <c r="J1019" i="1"/>
  <c r="I1019" i="1"/>
  <c r="H1019" i="1"/>
  <c r="G1019" i="1"/>
  <c r="R1018" i="1"/>
  <c r="Q1018" i="1"/>
  <c r="P1018" i="1"/>
  <c r="O1018" i="1"/>
  <c r="N1018" i="1"/>
  <c r="M1018" i="1"/>
  <c r="L1018" i="1"/>
  <c r="K1018" i="1"/>
  <c r="J1018" i="1"/>
  <c r="I1018" i="1"/>
  <c r="H1018" i="1"/>
  <c r="G1018" i="1"/>
  <c r="R1017" i="1"/>
  <c r="Q1017" i="1"/>
  <c r="P1017" i="1"/>
  <c r="O1017" i="1"/>
  <c r="N1017" i="1"/>
  <c r="M1017" i="1"/>
  <c r="L1017" i="1"/>
  <c r="K1017" i="1"/>
  <c r="J1017" i="1"/>
  <c r="I1017" i="1"/>
  <c r="H1017" i="1"/>
  <c r="G1017" i="1"/>
  <c r="R1016" i="1"/>
  <c r="Q1016" i="1"/>
  <c r="P1016" i="1"/>
  <c r="O1016" i="1"/>
  <c r="N1016" i="1"/>
  <c r="M1016" i="1"/>
  <c r="L1016" i="1"/>
  <c r="K1016" i="1"/>
  <c r="J1016" i="1"/>
  <c r="I1016" i="1"/>
  <c r="H1016" i="1"/>
  <c r="G1016" i="1"/>
  <c r="R1015" i="1"/>
  <c r="Q1015" i="1"/>
  <c r="P1015" i="1"/>
  <c r="O1015" i="1"/>
  <c r="N1015" i="1"/>
  <c r="M1015" i="1"/>
  <c r="L1015" i="1"/>
  <c r="K1015" i="1"/>
  <c r="J1015" i="1"/>
  <c r="I1015" i="1"/>
  <c r="H1015" i="1"/>
  <c r="G1015" i="1"/>
  <c r="R1014" i="1"/>
  <c r="Q1014" i="1"/>
  <c r="P1014" i="1"/>
  <c r="O1014" i="1"/>
  <c r="N1014" i="1"/>
  <c r="M1014" i="1"/>
  <c r="L1014" i="1"/>
  <c r="K1014" i="1"/>
  <c r="J1014" i="1"/>
  <c r="I1014" i="1"/>
  <c r="H1014" i="1"/>
  <c r="G1014" i="1"/>
  <c r="R1013" i="1"/>
  <c r="Q1013" i="1"/>
  <c r="P1013" i="1"/>
  <c r="O1013" i="1"/>
  <c r="N1013" i="1"/>
  <c r="M1013" i="1"/>
  <c r="L1013" i="1"/>
  <c r="K1013" i="1"/>
  <c r="J1013" i="1"/>
  <c r="I1013" i="1"/>
  <c r="H1013" i="1"/>
  <c r="G1013" i="1"/>
  <c r="R1012" i="1"/>
  <c r="Q1012" i="1"/>
  <c r="P1012" i="1"/>
  <c r="O1012" i="1"/>
  <c r="N1012" i="1"/>
  <c r="M1012" i="1"/>
  <c r="L1012" i="1"/>
  <c r="K1012" i="1"/>
  <c r="J1012" i="1"/>
  <c r="I1012" i="1"/>
  <c r="H1012" i="1"/>
  <c r="G1012" i="1"/>
  <c r="R1011" i="1"/>
  <c r="Q1011" i="1"/>
  <c r="P1011" i="1"/>
  <c r="O1011" i="1"/>
  <c r="N1011" i="1"/>
  <c r="M1011" i="1"/>
  <c r="L1011" i="1"/>
  <c r="K1011" i="1"/>
  <c r="J1011" i="1"/>
  <c r="I1011" i="1"/>
  <c r="H1011" i="1"/>
  <c r="G1011" i="1"/>
  <c r="R1010" i="1"/>
  <c r="Q1010" i="1"/>
  <c r="P1010" i="1"/>
  <c r="O1010" i="1"/>
  <c r="N1010" i="1"/>
  <c r="M1010" i="1"/>
  <c r="L1010" i="1"/>
  <c r="K1010" i="1"/>
  <c r="J1010" i="1"/>
  <c r="I1010" i="1"/>
  <c r="H1010" i="1"/>
  <c r="G1010" i="1"/>
  <c r="R1009" i="1"/>
  <c r="Q1009" i="1"/>
  <c r="P1009" i="1"/>
  <c r="O1009" i="1"/>
  <c r="N1009" i="1"/>
  <c r="M1009" i="1"/>
  <c r="L1009" i="1"/>
  <c r="K1009" i="1"/>
  <c r="J1009" i="1"/>
  <c r="I1009" i="1"/>
  <c r="H1009" i="1"/>
  <c r="G1009" i="1"/>
  <c r="R1008" i="1"/>
  <c r="Q1008" i="1"/>
  <c r="P1008" i="1"/>
  <c r="O1008" i="1"/>
  <c r="N1008" i="1"/>
  <c r="M1008" i="1"/>
  <c r="L1008" i="1"/>
  <c r="K1008" i="1"/>
  <c r="J1008" i="1"/>
  <c r="I1008" i="1"/>
  <c r="H1008" i="1"/>
  <c r="G1008" i="1"/>
  <c r="R1007" i="1"/>
  <c r="Q1007" i="1"/>
  <c r="P1007" i="1"/>
  <c r="O1007" i="1"/>
  <c r="N1007" i="1"/>
  <c r="M1007" i="1"/>
  <c r="L1007" i="1"/>
  <c r="K1007" i="1"/>
  <c r="J1007" i="1"/>
  <c r="I1007" i="1"/>
  <c r="H1007" i="1"/>
  <c r="G1007" i="1"/>
  <c r="R1006" i="1"/>
  <c r="Q1006" i="1"/>
  <c r="P1006" i="1"/>
  <c r="O1006" i="1"/>
  <c r="N1006" i="1"/>
  <c r="M1006" i="1"/>
  <c r="L1006" i="1"/>
  <c r="K1006" i="1"/>
  <c r="J1006" i="1"/>
  <c r="I1006" i="1"/>
  <c r="H1006" i="1"/>
  <c r="G1006" i="1"/>
  <c r="R1005" i="1"/>
  <c r="Q1005" i="1"/>
  <c r="P1005" i="1"/>
  <c r="O1005" i="1"/>
  <c r="N1005" i="1"/>
  <c r="M1005" i="1"/>
  <c r="L1005" i="1"/>
  <c r="K1005" i="1"/>
  <c r="J1005" i="1"/>
  <c r="I1005" i="1"/>
  <c r="H1005" i="1"/>
  <c r="G1005" i="1"/>
  <c r="R1004" i="1"/>
  <c r="Q1004" i="1"/>
  <c r="P1004" i="1"/>
  <c r="O1004" i="1"/>
  <c r="N1004" i="1"/>
  <c r="M1004" i="1"/>
  <c r="L1004" i="1"/>
  <c r="K1004" i="1"/>
  <c r="J1004" i="1"/>
  <c r="I1004" i="1"/>
  <c r="H1004" i="1"/>
  <c r="G1004" i="1"/>
  <c r="R1003" i="1"/>
  <c r="Q1003" i="1"/>
  <c r="P1003" i="1"/>
  <c r="O1003" i="1"/>
  <c r="N1003" i="1"/>
  <c r="M1003" i="1"/>
  <c r="L1003" i="1"/>
  <c r="K1003" i="1"/>
  <c r="J1003" i="1"/>
  <c r="I1003" i="1"/>
  <c r="H1003" i="1"/>
  <c r="G1003" i="1"/>
  <c r="R1002" i="1"/>
  <c r="Q1002" i="1"/>
  <c r="P1002" i="1"/>
  <c r="O1002" i="1"/>
  <c r="N1002" i="1"/>
  <c r="M1002" i="1"/>
  <c r="L1002" i="1"/>
  <c r="K1002" i="1"/>
  <c r="J1002" i="1"/>
  <c r="I1002" i="1"/>
  <c r="H1002" i="1"/>
  <c r="G1002" i="1"/>
  <c r="R1001" i="1"/>
  <c r="Q1001" i="1"/>
  <c r="P1001" i="1"/>
  <c r="O1001" i="1"/>
  <c r="N1001" i="1"/>
  <c r="M1001" i="1"/>
  <c r="L1001" i="1"/>
  <c r="K1001" i="1"/>
  <c r="J1001" i="1"/>
  <c r="I1001" i="1"/>
  <c r="H1001" i="1"/>
  <c r="G1001" i="1"/>
  <c r="R1000" i="1"/>
  <c r="Q1000" i="1"/>
  <c r="P1000" i="1"/>
  <c r="O1000" i="1"/>
  <c r="N1000" i="1"/>
  <c r="M1000" i="1"/>
  <c r="L1000" i="1"/>
  <c r="K1000" i="1"/>
  <c r="J1000" i="1"/>
  <c r="I1000" i="1"/>
  <c r="H1000" i="1"/>
  <c r="G1000" i="1"/>
  <c r="R999" i="1"/>
  <c r="Q999" i="1"/>
  <c r="P999" i="1"/>
  <c r="O999" i="1"/>
  <c r="N999" i="1"/>
  <c r="M999" i="1"/>
  <c r="L999" i="1"/>
  <c r="K999" i="1"/>
  <c r="J999" i="1"/>
  <c r="I999" i="1"/>
  <c r="H999" i="1"/>
  <c r="G999" i="1"/>
  <c r="R998" i="1"/>
  <c r="Q998" i="1"/>
  <c r="P998" i="1"/>
  <c r="O998" i="1"/>
  <c r="N998" i="1"/>
  <c r="M998" i="1"/>
  <c r="L998" i="1"/>
  <c r="K998" i="1"/>
  <c r="J998" i="1"/>
  <c r="I998" i="1"/>
  <c r="H998" i="1"/>
  <c r="G998" i="1"/>
  <c r="R997" i="1"/>
  <c r="Q997" i="1"/>
  <c r="P997" i="1"/>
  <c r="O997" i="1"/>
  <c r="N997" i="1"/>
  <c r="M997" i="1"/>
  <c r="L997" i="1"/>
  <c r="K997" i="1"/>
  <c r="J997" i="1"/>
  <c r="I997" i="1"/>
  <c r="H997" i="1"/>
  <c r="G997" i="1"/>
  <c r="R996" i="1"/>
  <c r="Q996" i="1"/>
  <c r="P996" i="1"/>
  <c r="O996" i="1"/>
  <c r="N996" i="1"/>
  <c r="M996" i="1"/>
  <c r="L996" i="1"/>
  <c r="K996" i="1"/>
  <c r="J996" i="1"/>
  <c r="I996" i="1"/>
  <c r="H996" i="1"/>
  <c r="G996" i="1"/>
  <c r="R995" i="1"/>
  <c r="Q995" i="1"/>
  <c r="P995" i="1"/>
  <c r="O995" i="1"/>
  <c r="N995" i="1"/>
  <c r="M995" i="1"/>
  <c r="L995" i="1"/>
  <c r="K995" i="1"/>
  <c r="J995" i="1"/>
  <c r="I995" i="1"/>
  <c r="H995" i="1"/>
  <c r="G995" i="1"/>
  <c r="R994" i="1"/>
  <c r="Q994" i="1"/>
  <c r="P994" i="1"/>
  <c r="O994" i="1"/>
  <c r="N994" i="1"/>
  <c r="M994" i="1"/>
  <c r="L994" i="1"/>
  <c r="K994" i="1"/>
  <c r="J994" i="1"/>
  <c r="I994" i="1"/>
  <c r="H994" i="1"/>
  <c r="G994" i="1"/>
  <c r="R993" i="1"/>
  <c r="Q993" i="1"/>
  <c r="P993" i="1"/>
  <c r="O993" i="1"/>
  <c r="N993" i="1"/>
  <c r="M993" i="1"/>
  <c r="L993" i="1"/>
  <c r="K993" i="1"/>
  <c r="J993" i="1"/>
  <c r="I993" i="1"/>
  <c r="H993" i="1"/>
  <c r="G993" i="1"/>
  <c r="R992" i="1"/>
  <c r="Q992" i="1"/>
  <c r="P992" i="1"/>
  <c r="O992" i="1"/>
  <c r="N992" i="1"/>
  <c r="M992" i="1"/>
  <c r="L992" i="1"/>
  <c r="K992" i="1"/>
  <c r="J992" i="1"/>
  <c r="I992" i="1"/>
  <c r="H992" i="1"/>
  <c r="G992" i="1"/>
  <c r="R991" i="1"/>
  <c r="Q991" i="1"/>
  <c r="P991" i="1"/>
  <c r="O991" i="1"/>
  <c r="N991" i="1"/>
  <c r="M991" i="1"/>
  <c r="L991" i="1"/>
  <c r="K991" i="1"/>
  <c r="J991" i="1"/>
  <c r="I991" i="1"/>
  <c r="H991" i="1"/>
  <c r="G991" i="1"/>
  <c r="R990" i="1"/>
  <c r="Q990" i="1"/>
  <c r="P990" i="1"/>
  <c r="O990" i="1"/>
  <c r="N990" i="1"/>
  <c r="M990" i="1"/>
  <c r="L990" i="1"/>
  <c r="K990" i="1"/>
  <c r="J990" i="1"/>
  <c r="I990" i="1"/>
  <c r="H990" i="1"/>
  <c r="G990" i="1"/>
  <c r="R989" i="1"/>
  <c r="Q989" i="1"/>
  <c r="P989" i="1"/>
  <c r="O989" i="1"/>
  <c r="N989" i="1"/>
  <c r="M989" i="1"/>
  <c r="L989" i="1"/>
  <c r="K989" i="1"/>
  <c r="J989" i="1"/>
  <c r="I989" i="1"/>
  <c r="H989" i="1"/>
  <c r="G989" i="1"/>
  <c r="R988" i="1"/>
  <c r="Q988" i="1"/>
  <c r="P988" i="1"/>
  <c r="O988" i="1"/>
  <c r="N988" i="1"/>
  <c r="M988" i="1"/>
  <c r="L988" i="1"/>
  <c r="K988" i="1"/>
  <c r="J988" i="1"/>
  <c r="I988" i="1"/>
  <c r="H988" i="1"/>
  <c r="G988" i="1"/>
  <c r="R987" i="1"/>
  <c r="Q987" i="1"/>
  <c r="P987" i="1"/>
  <c r="O987" i="1"/>
  <c r="N987" i="1"/>
  <c r="M987" i="1"/>
  <c r="L987" i="1"/>
  <c r="K987" i="1"/>
  <c r="J987" i="1"/>
  <c r="I987" i="1"/>
  <c r="H987" i="1"/>
  <c r="G987" i="1"/>
  <c r="R986" i="1"/>
  <c r="Q986" i="1"/>
  <c r="P986" i="1"/>
  <c r="O986" i="1"/>
  <c r="N986" i="1"/>
  <c r="M986" i="1"/>
  <c r="L986" i="1"/>
  <c r="K986" i="1"/>
  <c r="J986" i="1"/>
  <c r="I986" i="1"/>
  <c r="H986" i="1"/>
  <c r="G986" i="1"/>
  <c r="R985" i="1"/>
  <c r="Q985" i="1"/>
  <c r="P985" i="1"/>
  <c r="O985" i="1"/>
  <c r="N985" i="1"/>
  <c r="M985" i="1"/>
  <c r="L985" i="1"/>
  <c r="K985" i="1"/>
  <c r="J985" i="1"/>
  <c r="I985" i="1"/>
  <c r="H985" i="1"/>
  <c r="G985" i="1"/>
  <c r="R984" i="1"/>
  <c r="Q984" i="1"/>
  <c r="P984" i="1"/>
  <c r="O984" i="1"/>
  <c r="N984" i="1"/>
  <c r="M984" i="1"/>
  <c r="L984" i="1"/>
  <c r="K984" i="1"/>
  <c r="J984" i="1"/>
  <c r="I984" i="1"/>
  <c r="H984" i="1"/>
  <c r="G984" i="1"/>
  <c r="R983" i="1"/>
  <c r="Q983" i="1"/>
  <c r="P983" i="1"/>
  <c r="O983" i="1"/>
  <c r="N983" i="1"/>
  <c r="M983" i="1"/>
  <c r="L983" i="1"/>
  <c r="K983" i="1"/>
  <c r="J983" i="1"/>
  <c r="I983" i="1"/>
  <c r="H983" i="1"/>
  <c r="G983" i="1"/>
  <c r="R982" i="1"/>
  <c r="Q982" i="1"/>
  <c r="P982" i="1"/>
  <c r="O982" i="1"/>
  <c r="N982" i="1"/>
  <c r="M982" i="1"/>
  <c r="L982" i="1"/>
  <c r="K982" i="1"/>
  <c r="J982" i="1"/>
  <c r="I982" i="1"/>
  <c r="H982" i="1"/>
  <c r="G982" i="1"/>
  <c r="R981" i="1"/>
  <c r="Q981" i="1"/>
  <c r="P981" i="1"/>
  <c r="O981" i="1"/>
  <c r="N981" i="1"/>
  <c r="M981" i="1"/>
  <c r="L981" i="1"/>
  <c r="K981" i="1"/>
  <c r="J981" i="1"/>
  <c r="I981" i="1"/>
  <c r="H981" i="1"/>
  <c r="G981" i="1"/>
  <c r="R980" i="1"/>
  <c r="Q980" i="1"/>
  <c r="P980" i="1"/>
  <c r="O980" i="1"/>
  <c r="N980" i="1"/>
  <c r="M980" i="1"/>
  <c r="L980" i="1"/>
  <c r="K980" i="1"/>
  <c r="J980" i="1"/>
  <c r="I980" i="1"/>
  <c r="H980" i="1"/>
  <c r="G980" i="1"/>
  <c r="R979" i="1"/>
  <c r="Q979" i="1"/>
  <c r="P979" i="1"/>
  <c r="O979" i="1"/>
  <c r="N979" i="1"/>
  <c r="M979" i="1"/>
  <c r="L979" i="1"/>
  <c r="K979" i="1"/>
  <c r="J979" i="1"/>
  <c r="I979" i="1"/>
  <c r="H979" i="1"/>
  <c r="G979" i="1"/>
  <c r="R978" i="1"/>
  <c r="Q978" i="1"/>
  <c r="P978" i="1"/>
  <c r="O978" i="1"/>
  <c r="N978" i="1"/>
  <c r="M978" i="1"/>
  <c r="L978" i="1"/>
  <c r="K978" i="1"/>
  <c r="J978" i="1"/>
  <c r="I978" i="1"/>
  <c r="H978" i="1"/>
  <c r="G978" i="1"/>
  <c r="R977" i="1"/>
  <c r="Q977" i="1"/>
  <c r="P977" i="1"/>
  <c r="O977" i="1"/>
  <c r="N977" i="1"/>
  <c r="M977" i="1"/>
  <c r="L977" i="1"/>
  <c r="K977" i="1"/>
  <c r="J977" i="1"/>
  <c r="I977" i="1"/>
  <c r="H977" i="1"/>
  <c r="G977" i="1"/>
  <c r="R976" i="1"/>
  <c r="Q976" i="1"/>
  <c r="P976" i="1"/>
  <c r="O976" i="1"/>
  <c r="N976" i="1"/>
  <c r="M976" i="1"/>
  <c r="L976" i="1"/>
  <c r="K976" i="1"/>
  <c r="J976" i="1"/>
  <c r="I976" i="1"/>
  <c r="H976" i="1"/>
  <c r="G976" i="1"/>
  <c r="R975" i="1"/>
  <c r="Q975" i="1"/>
  <c r="P975" i="1"/>
  <c r="O975" i="1"/>
  <c r="N975" i="1"/>
  <c r="M975" i="1"/>
  <c r="L975" i="1"/>
  <c r="K975" i="1"/>
  <c r="J975" i="1"/>
  <c r="I975" i="1"/>
  <c r="H975" i="1"/>
  <c r="G975" i="1"/>
  <c r="R974" i="1"/>
  <c r="Q974" i="1"/>
  <c r="P974" i="1"/>
  <c r="O974" i="1"/>
  <c r="N974" i="1"/>
  <c r="M974" i="1"/>
  <c r="L974" i="1"/>
  <c r="K974" i="1"/>
  <c r="J974" i="1"/>
  <c r="I974" i="1"/>
  <c r="H974" i="1"/>
  <c r="G974" i="1"/>
  <c r="R973" i="1"/>
  <c r="Q973" i="1"/>
  <c r="P973" i="1"/>
  <c r="O973" i="1"/>
  <c r="N973" i="1"/>
  <c r="M973" i="1"/>
  <c r="L973" i="1"/>
  <c r="K973" i="1"/>
  <c r="J973" i="1"/>
  <c r="I973" i="1"/>
  <c r="H973" i="1"/>
  <c r="G973" i="1"/>
  <c r="R972" i="1"/>
  <c r="Q972" i="1"/>
  <c r="P972" i="1"/>
  <c r="O972" i="1"/>
  <c r="N972" i="1"/>
  <c r="M972" i="1"/>
  <c r="L972" i="1"/>
  <c r="K972" i="1"/>
  <c r="J972" i="1"/>
  <c r="I972" i="1"/>
  <c r="H972" i="1"/>
  <c r="G972" i="1"/>
  <c r="R971" i="1"/>
  <c r="Q971" i="1"/>
  <c r="P971" i="1"/>
  <c r="O971" i="1"/>
  <c r="N971" i="1"/>
  <c r="M971" i="1"/>
  <c r="L971" i="1"/>
  <c r="K971" i="1"/>
  <c r="J971" i="1"/>
  <c r="I971" i="1"/>
  <c r="H971" i="1"/>
  <c r="G971" i="1"/>
  <c r="R970" i="1"/>
  <c r="Q970" i="1"/>
  <c r="P970" i="1"/>
  <c r="O970" i="1"/>
  <c r="N970" i="1"/>
  <c r="M970" i="1"/>
  <c r="L970" i="1"/>
  <c r="K970" i="1"/>
  <c r="J970" i="1"/>
  <c r="I970" i="1"/>
  <c r="H970" i="1"/>
  <c r="G970" i="1"/>
  <c r="R969" i="1"/>
  <c r="Q969" i="1"/>
  <c r="P969" i="1"/>
  <c r="O969" i="1"/>
  <c r="N969" i="1"/>
  <c r="M969" i="1"/>
  <c r="L969" i="1"/>
  <c r="K969" i="1"/>
  <c r="J969" i="1"/>
  <c r="I969" i="1"/>
  <c r="H969" i="1"/>
  <c r="G969" i="1"/>
  <c r="R968" i="1"/>
  <c r="Q968" i="1"/>
  <c r="P968" i="1"/>
  <c r="O968" i="1"/>
  <c r="N968" i="1"/>
  <c r="M968" i="1"/>
  <c r="L968" i="1"/>
  <c r="K968" i="1"/>
  <c r="J968" i="1"/>
  <c r="I968" i="1"/>
  <c r="H968" i="1"/>
  <c r="G968" i="1"/>
  <c r="R967" i="1"/>
  <c r="Q967" i="1"/>
  <c r="P967" i="1"/>
  <c r="O967" i="1"/>
  <c r="N967" i="1"/>
  <c r="M967" i="1"/>
  <c r="L967" i="1"/>
  <c r="K967" i="1"/>
  <c r="J967" i="1"/>
  <c r="I967" i="1"/>
  <c r="H967" i="1"/>
  <c r="G967" i="1"/>
  <c r="R966" i="1"/>
  <c r="Q966" i="1"/>
  <c r="P966" i="1"/>
  <c r="O966" i="1"/>
  <c r="N966" i="1"/>
  <c r="M966" i="1"/>
  <c r="L966" i="1"/>
  <c r="K966" i="1"/>
  <c r="J966" i="1"/>
  <c r="I966" i="1"/>
  <c r="H966" i="1"/>
  <c r="G966" i="1"/>
  <c r="R965" i="1"/>
  <c r="Q965" i="1"/>
  <c r="P965" i="1"/>
  <c r="O965" i="1"/>
  <c r="N965" i="1"/>
  <c r="M965" i="1"/>
  <c r="L965" i="1"/>
  <c r="K965" i="1"/>
  <c r="J965" i="1"/>
  <c r="I965" i="1"/>
  <c r="H965" i="1"/>
  <c r="G965" i="1"/>
  <c r="R964" i="1"/>
  <c r="Q964" i="1"/>
  <c r="P964" i="1"/>
  <c r="O964" i="1"/>
  <c r="N964" i="1"/>
  <c r="M964" i="1"/>
  <c r="L964" i="1"/>
  <c r="K964" i="1"/>
  <c r="J964" i="1"/>
  <c r="I964" i="1"/>
  <c r="H964" i="1"/>
  <c r="G964" i="1"/>
  <c r="R963" i="1"/>
  <c r="Q963" i="1"/>
  <c r="P963" i="1"/>
  <c r="O963" i="1"/>
  <c r="N963" i="1"/>
  <c r="M963" i="1"/>
  <c r="L963" i="1"/>
  <c r="K963" i="1"/>
  <c r="J963" i="1"/>
  <c r="I963" i="1"/>
  <c r="H963" i="1"/>
  <c r="G963" i="1"/>
  <c r="R962" i="1"/>
  <c r="Q962" i="1"/>
  <c r="P962" i="1"/>
  <c r="O962" i="1"/>
  <c r="N962" i="1"/>
  <c r="M962" i="1"/>
  <c r="L962" i="1"/>
  <c r="K962" i="1"/>
  <c r="J962" i="1"/>
  <c r="I962" i="1"/>
  <c r="H962" i="1"/>
  <c r="G962" i="1"/>
  <c r="R961" i="1"/>
  <c r="Q961" i="1"/>
  <c r="P961" i="1"/>
  <c r="O961" i="1"/>
  <c r="N961" i="1"/>
  <c r="M961" i="1"/>
  <c r="L961" i="1"/>
  <c r="K961" i="1"/>
  <c r="J961" i="1"/>
  <c r="I961" i="1"/>
  <c r="H961" i="1"/>
  <c r="G961" i="1"/>
  <c r="R960" i="1"/>
  <c r="Q960" i="1"/>
  <c r="P960" i="1"/>
  <c r="O960" i="1"/>
  <c r="N960" i="1"/>
  <c r="M960" i="1"/>
  <c r="L960" i="1"/>
  <c r="K960" i="1"/>
  <c r="J960" i="1"/>
  <c r="I960" i="1"/>
  <c r="H960" i="1"/>
  <c r="G960" i="1"/>
  <c r="R959" i="1"/>
  <c r="Q959" i="1"/>
  <c r="P959" i="1"/>
  <c r="O959" i="1"/>
  <c r="N959" i="1"/>
  <c r="M959" i="1"/>
  <c r="L959" i="1"/>
  <c r="K959" i="1"/>
  <c r="J959" i="1"/>
  <c r="I959" i="1"/>
  <c r="H959" i="1"/>
  <c r="G959" i="1"/>
  <c r="R958" i="1"/>
  <c r="Q958" i="1"/>
  <c r="P958" i="1"/>
  <c r="O958" i="1"/>
  <c r="N958" i="1"/>
  <c r="M958" i="1"/>
  <c r="L958" i="1"/>
  <c r="K958" i="1"/>
  <c r="J958" i="1"/>
  <c r="I958" i="1"/>
  <c r="H958" i="1"/>
  <c r="G958" i="1"/>
  <c r="R957" i="1"/>
  <c r="Q957" i="1"/>
  <c r="P957" i="1"/>
  <c r="O957" i="1"/>
  <c r="N957" i="1"/>
  <c r="M957" i="1"/>
  <c r="L957" i="1"/>
  <c r="K957" i="1"/>
  <c r="J957" i="1"/>
  <c r="I957" i="1"/>
  <c r="H957" i="1"/>
  <c r="G957" i="1"/>
  <c r="R956" i="1"/>
  <c r="Q956" i="1"/>
  <c r="P956" i="1"/>
  <c r="O956" i="1"/>
  <c r="N956" i="1"/>
  <c r="M956" i="1"/>
  <c r="L956" i="1"/>
  <c r="K956" i="1"/>
  <c r="J956" i="1"/>
  <c r="I956" i="1"/>
  <c r="H956" i="1"/>
  <c r="G956" i="1"/>
  <c r="R955" i="1"/>
  <c r="Q955" i="1"/>
  <c r="P955" i="1"/>
  <c r="O955" i="1"/>
  <c r="N955" i="1"/>
  <c r="M955" i="1"/>
  <c r="L955" i="1"/>
  <c r="K955" i="1"/>
  <c r="J955" i="1"/>
  <c r="I955" i="1"/>
  <c r="H955" i="1"/>
  <c r="G955" i="1"/>
  <c r="R954" i="1"/>
  <c r="Q954" i="1"/>
  <c r="P954" i="1"/>
  <c r="O954" i="1"/>
  <c r="N954" i="1"/>
  <c r="M954" i="1"/>
  <c r="L954" i="1"/>
  <c r="K954" i="1"/>
  <c r="J954" i="1"/>
  <c r="I954" i="1"/>
  <c r="H954" i="1"/>
  <c r="G954" i="1"/>
  <c r="R953" i="1"/>
  <c r="Q953" i="1"/>
  <c r="P953" i="1"/>
  <c r="O953" i="1"/>
  <c r="N953" i="1"/>
  <c r="M953" i="1"/>
  <c r="L953" i="1"/>
  <c r="K953" i="1"/>
  <c r="J953" i="1"/>
  <c r="I953" i="1"/>
  <c r="H953" i="1"/>
  <c r="G953" i="1"/>
  <c r="R952" i="1"/>
  <c r="Q952" i="1"/>
  <c r="P952" i="1"/>
  <c r="O952" i="1"/>
  <c r="N952" i="1"/>
  <c r="M952" i="1"/>
  <c r="L952" i="1"/>
  <c r="K952" i="1"/>
  <c r="J952" i="1"/>
  <c r="I952" i="1"/>
  <c r="H952" i="1"/>
  <c r="G952" i="1"/>
  <c r="R951" i="1"/>
  <c r="Q951" i="1"/>
  <c r="P951" i="1"/>
  <c r="O951" i="1"/>
  <c r="N951" i="1"/>
  <c r="M951" i="1"/>
  <c r="L951" i="1"/>
  <c r="K951" i="1"/>
  <c r="J951" i="1"/>
  <c r="I951" i="1"/>
  <c r="H951" i="1"/>
  <c r="G951" i="1"/>
  <c r="R950" i="1"/>
  <c r="Q950" i="1"/>
  <c r="P950" i="1"/>
  <c r="O950" i="1"/>
  <c r="N950" i="1"/>
  <c r="M950" i="1"/>
  <c r="L950" i="1"/>
  <c r="K950" i="1"/>
  <c r="J950" i="1"/>
  <c r="I950" i="1"/>
  <c r="H950" i="1"/>
  <c r="G950" i="1"/>
  <c r="R949" i="1"/>
  <c r="Q949" i="1"/>
  <c r="P949" i="1"/>
  <c r="O949" i="1"/>
  <c r="N949" i="1"/>
  <c r="M949" i="1"/>
  <c r="L949" i="1"/>
  <c r="K949" i="1"/>
  <c r="J949" i="1"/>
  <c r="I949" i="1"/>
  <c r="H949" i="1"/>
  <c r="G949" i="1"/>
  <c r="R948" i="1"/>
  <c r="Q948" i="1"/>
  <c r="P948" i="1"/>
  <c r="O948" i="1"/>
  <c r="N948" i="1"/>
  <c r="M948" i="1"/>
  <c r="L948" i="1"/>
  <c r="K948" i="1"/>
  <c r="J948" i="1"/>
  <c r="I948" i="1"/>
  <c r="H948" i="1"/>
  <c r="G948" i="1"/>
  <c r="R947" i="1"/>
  <c r="Q947" i="1"/>
  <c r="P947" i="1"/>
  <c r="O947" i="1"/>
  <c r="N947" i="1"/>
  <c r="M947" i="1"/>
  <c r="L947" i="1"/>
  <c r="K947" i="1"/>
  <c r="J947" i="1"/>
  <c r="I947" i="1"/>
  <c r="H947" i="1"/>
  <c r="G947" i="1"/>
  <c r="R946" i="1"/>
  <c r="Q946" i="1"/>
  <c r="P946" i="1"/>
  <c r="O946" i="1"/>
  <c r="N946" i="1"/>
  <c r="M946" i="1"/>
  <c r="L946" i="1"/>
  <c r="K946" i="1"/>
  <c r="J946" i="1"/>
  <c r="I946" i="1"/>
  <c r="H946" i="1"/>
  <c r="G946" i="1"/>
  <c r="R945" i="1"/>
  <c r="Q945" i="1"/>
  <c r="P945" i="1"/>
  <c r="O945" i="1"/>
  <c r="N945" i="1"/>
  <c r="M945" i="1"/>
  <c r="L945" i="1"/>
  <c r="K945" i="1"/>
  <c r="J945" i="1"/>
  <c r="I945" i="1"/>
  <c r="H945" i="1"/>
  <c r="G945" i="1"/>
  <c r="R944" i="1"/>
  <c r="Q944" i="1"/>
  <c r="P944" i="1"/>
  <c r="O944" i="1"/>
  <c r="N944" i="1"/>
  <c r="M944" i="1"/>
  <c r="L944" i="1"/>
  <c r="K944" i="1"/>
  <c r="J944" i="1"/>
  <c r="I944" i="1"/>
  <c r="H944" i="1"/>
  <c r="G944" i="1"/>
  <c r="R943" i="1"/>
  <c r="Q943" i="1"/>
  <c r="P943" i="1"/>
  <c r="O943" i="1"/>
  <c r="N943" i="1"/>
  <c r="M943" i="1"/>
  <c r="L943" i="1"/>
  <c r="K943" i="1"/>
  <c r="J943" i="1"/>
  <c r="I943" i="1"/>
  <c r="H943" i="1"/>
  <c r="G943" i="1"/>
  <c r="R942" i="1"/>
  <c r="Q942" i="1"/>
  <c r="P942" i="1"/>
  <c r="O942" i="1"/>
  <c r="N942" i="1"/>
  <c r="M942" i="1"/>
  <c r="L942" i="1"/>
  <c r="K942" i="1"/>
  <c r="J942" i="1"/>
  <c r="I942" i="1"/>
  <c r="H942" i="1"/>
  <c r="G942" i="1"/>
  <c r="R941" i="1"/>
  <c r="Q941" i="1"/>
  <c r="P941" i="1"/>
  <c r="O941" i="1"/>
  <c r="N941" i="1"/>
  <c r="M941" i="1"/>
  <c r="L941" i="1"/>
  <c r="K941" i="1"/>
  <c r="J941" i="1"/>
  <c r="I941" i="1"/>
  <c r="H941" i="1"/>
  <c r="G941" i="1"/>
  <c r="R940" i="1"/>
  <c r="Q940" i="1"/>
  <c r="P940" i="1"/>
  <c r="O940" i="1"/>
  <c r="N940" i="1"/>
  <c r="M940" i="1"/>
  <c r="L940" i="1"/>
  <c r="K940" i="1"/>
  <c r="J940" i="1"/>
  <c r="I940" i="1"/>
  <c r="H940" i="1"/>
  <c r="G940" i="1"/>
  <c r="R939" i="1"/>
  <c r="Q939" i="1"/>
  <c r="P939" i="1"/>
  <c r="O939" i="1"/>
  <c r="N939" i="1"/>
  <c r="M939" i="1"/>
  <c r="L939" i="1"/>
  <c r="K939" i="1"/>
  <c r="J939" i="1"/>
  <c r="I939" i="1"/>
  <c r="H939" i="1"/>
  <c r="G939" i="1"/>
  <c r="R938" i="1"/>
  <c r="Q938" i="1"/>
  <c r="P938" i="1"/>
  <c r="O938" i="1"/>
  <c r="N938" i="1"/>
  <c r="M938" i="1"/>
  <c r="L938" i="1"/>
  <c r="K938" i="1"/>
  <c r="J938" i="1"/>
  <c r="I938" i="1"/>
  <c r="H938" i="1"/>
  <c r="G938" i="1"/>
  <c r="R937" i="1"/>
  <c r="Q937" i="1"/>
  <c r="P937" i="1"/>
  <c r="O937" i="1"/>
  <c r="N937" i="1"/>
  <c r="M937" i="1"/>
  <c r="L937" i="1"/>
  <c r="K937" i="1"/>
  <c r="J937" i="1"/>
  <c r="I937" i="1"/>
  <c r="H937" i="1"/>
  <c r="G937" i="1"/>
  <c r="R936" i="1"/>
  <c r="Q936" i="1"/>
  <c r="P936" i="1"/>
  <c r="O936" i="1"/>
  <c r="N936" i="1"/>
  <c r="M936" i="1"/>
  <c r="L936" i="1"/>
  <c r="K936" i="1"/>
  <c r="J936" i="1"/>
  <c r="I936" i="1"/>
  <c r="H936" i="1"/>
  <c r="G936" i="1"/>
  <c r="R935" i="1"/>
  <c r="Q935" i="1"/>
  <c r="P935" i="1"/>
  <c r="O935" i="1"/>
  <c r="N935" i="1"/>
  <c r="M935" i="1"/>
  <c r="L935" i="1"/>
  <c r="K935" i="1"/>
  <c r="J935" i="1"/>
  <c r="I935" i="1"/>
  <c r="H935" i="1"/>
  <c r="G935" i="1"/>
  <c r="R934" i="1"/>
  <c r="Q934" i="1"/>
  <c r="P934" i="1"/>
  <c r="O934" i="1"/>
  <c r="N934" i="1"/>
  <c r="M934" i="1"/>
  <c r="L934" i="1"/>
  <c r="K934" i="1"/>
  <c r="J934" i="1"/>
  <c r="I934" i="1"/>
  <c r="H934" i="1"/>
  <c r="G934" i="1"/>
  <c r="R933" i="1"/>
  <c r="Q933" i="1"/>
  <c r="P933" i="1"/>
  <c r="O933" i="1"/>
  <c r="N933" i="1"/>
  <c r="M933" i="1"/>
  <c r="L933" i="1"/>
  <c r="K933" i="1"/>
  <c r="J933" i="1"/>
  <c r="I933" i="1"/>
  <c r="H933" i="1"/>
  <c r="G933" i="1"/>
  <c r="R932" i="1"/>
  <c r="Q932" i="1"/>
  <c r="P932" i="1"/>
  <c r="O932" i="1"/>
  <c r="N932" i="1"/>
  <c r="M932" i="1"/>
  <c r="L932" i="1"/>
  <c r="K932" i="1"/>
  <c r="J932" i="1"/>
  <c r="I932" i="1"/>
  <c r="H932" i="1"/>
  <c r="G932" i="1"/>
  <c r="R931" i="1"/>
  <c r="Q931" i="1"/>
  <c r="P931" i="1"/>
  <c r="O931" i="1"/>
  <c r="N931" i="1"/>
  <c r="M931" i="1"/>
  <c r="L931" i="1"/>
  <c r="K931" i="1"/>
  <c r="J931" i="1"/>
  <c r="I931" i="1"/>
  <c r="H931" i="1"/>
  <c r="G931" i="1"/>
  <c r="R930" i="1"/>
  <c r="Q930" i="1"/>
  <c r="P930" i="1"/>
  <c r="O930" i="1"/>
  <c r="N930" i="1"/>
  <c r="M930" i="1"/>
  <c r="L930" i="1"/>
  <c r="K930" i="1"/>
  <c r="J930" i="1"/>
  <c r="I930" i="1"/>
  <c r="H930" i="1"/>
  <c r="G930" i="1"/>
  <c r="R929" i="1"/>
  <c r="Q929" i="1"/>
  <c r="P929" i="1"/>
  <c r="O929" i="1"/>
  <c r="N929" i="1"/>
  <c r="M929" i="1"/>
  <c r="L929" i="1"/>
  <c r="K929" i="1"/>
  <c r="J929" i="1"/>
  <c r="I929" i="1"/>
  <c r="H929" i="1"/>
  <c r="G929" i="1"/>
  <c r="R928" i="1"/>
  <c r="Q928" i="1"/>
  <c r="P928" i="1"/>
  <c r="O928" i="1"/>
  <c r="N928" i="1"/>
  <c r="M928" i="1"/>
  <c r="L928" i="1"/>
  <c r="K928" i="1"/>
  <c r="J928" i="1"/>
  <c r="I928" i="1"/>
  <c r="H928" i="1"/>
  <c r="G928" i="1"/>
  <c r="R927" i="1"/>
  <c r="Q927" i="1"/>
  <c r="P927" i="1"/>
  <c r="O927" i="1"/>
  <c r="N927" i="1"/>
  <c r="M927" i="1"/>
  <c r="L927" i="1"/>
  <c r="K927" i="1"/>
  <c r="J927" i="1"/>
  <c r="I927" i="1"/>
  <c r="H927" i="1"/>
  <c r="G927" i="1"/>
  <c r="R926" i="1"/>
  <c r="Q926" i="1"/>
  <c r="P926" i="1"/>
  <c r="O926" i="1"/>
  <c r="N926" i="1"/>
  <c r="M926" i="1"/>
  <c r="L926" i="1"/>
  <c r="K926" i="1"/>
  <c r="J926" i="1"/>
  <c r="I926" i="1"/>
  <c r="H926" i="1"/>
  <c r="G926" i="1"/>
  <c r="R925" i="1"/>
  <c r="Q925" i="1"/>
  <c r="P925" i="1"/>
  <c r="O925" i="1"/>
  <c r="N925" i="1"/>
  <c r="M925" i="1"/>
  <c r="L925" i="1"/>
  <c r="K925" i="1"/>
  <c r="J925" i="1"/>
  <c r="I925" i="1"/>
  <c r="H925" i="1"/>
  <c r="G925" i="1"/>
  <c r="R924" i="1"/>
  <c r="Q924" i="1"/>
  <c r="P924" i="1"/>
  <c r="O924" i="1"/>
  <c r="N924" i="1"/>
  <c r="M924" i="1"/>
  <c r="L924" i="1"/>
  <c r="K924" i="1"/>
  <c r="J924" i="1"/>
  <c r="I924" i="1"/>
  <c r="H924" i="1"/>
  <c r="G924" i="1"/>
  <c r="R923" i="1"/>
  <c r="Q923" i="1"/>
  <c r="P923" i="1"/>
  <c r="O923" i="1"/>
  <c r="N923" i="1"/>
  <c r="M923" i="1"/>
  <c r="L923" i="1"/>
  <c r="K923" i="1"/>
  <c r="J923" i="1"/>
  <c r="I923" i="1"/>
  <c r="H923" i="1"/>
  <c r="G923" i="1"/>
  <c r="R922" i="1"/>
  <c r="Q922" i="1"/>
  <c r="P922" i="1"/>
  <c r="O922" i="1"/>
  <c r="N922" i="1"/>
  <c r="M922" i="1"/>
  <c r="L922" i="1"/>
  <c r="K922" i="1"/>
  <c r="J922" i="1"/>
  <c r="I922" i="1"/>
  <c r="H922" i="1"/>
  <c r="G922" i="1"/>
  <c r="R921" i="1"/>
  <c r="Q921" i="1"/>
  <c r="P921" i="1"/>
  <c r="O921" i="1"/>
  <c r="N921" i="1"/>
  <c r="M921" i="1"/>
  <c r="L921" i="1"/>
  <c r="K921" i="1"/>
  <c r="J921" i="1"/>
  <c r="I921" i="1"/>
  <c r="H921" i="1"/>
  <c r="G921" i="1"/>
  <c r="R920" i="1"/>
  <c r="Q920" i="1"/>
  <c r="P920" i="1"/>
  <c r="O920" i="1"/>
  <c r="N920" i="1"/>
  <c r="M920" i="1"/>
  <c r="L920" i="1"/>
  <c r="K920" i="1"/>
  <c r="J920" i="1"/>
  <c r="I920" i="1"/>
  <c r="H920" i="1"/>
  <c r="G920" i="1"/>
  <c r="R919" i="1"/>
  <c r="Q919" i="1"/>
  <c r="P919" i="1"/>
  <c r="O919" i="1"/>
  <c r="N919" i="1"/>
  <c r="M919" i="1"/>
  <c r="L919" i="1"/>
  <c r="K919" i="1"/>
  <c r="J919" i="1"/>
  <c r="I919" i="1"/>
  <c r="H919" i="1"/>
  <c r="G919" i="1"/>
  <c r="R918" i="1"/>
  <c r="Q918" i="1"/>
  <c r="P918" i="1"/>
  <c r="O918" i="1"/>
  <c r="N918" i="1"/>
  <c r="M918" i="1"/>
  <c r="L918" i="1"/>
  <c r="K918" i="1"/>
  <c r="J918" i="1"/>
  <c r="I918" i="1"/>
  <c r="H918" i="1"/>
  <c r="G918" i="1"/>
  <c r="R917" i="1"/>
  <c r="Q917" i="1"/>
  <c r="P917" i="1"/>
  <c r="O917" i="1"/>
  <c r="N917" i="1"/>
  <c r="M917" i="1"/>
  <c r="L917" i="1"/>
  <c r="K917" i="1"/>
  <c r="J917" i="1"/>
  <c r="I917" i="1"/>
  <c r="H917" i="1"/>
  <c r="G917" i="1"/>
  <c r="R916" i="1"/>
  <c r="Q916" i="1"/>
  <c r="P916" i="1"/>
  <c r="O916" i="1"/>
  <c r="N916" i="1"/>
  <c r="M916" i="1"/>
  <c r="L916" i="1"/>
  <c r="K916" i="1"/>
  <c r="J916" i="1"/>
  <c r="I916" i="1"/>
  <c r="H916" i="1"/>
  <c r="G916" i="1"/>
  <c r="R915" i="1"/>
  <c r="Q915" i="1"/>
  <c r="P915" i="1"/>
  <c r="O915" i="1"/>
  <c r="N915" i="1"/>
  <c r="M915" i="1"/>
  <c r="L915" i="1"/>
  <c r="K915" i="1"/>
  <c r="J915" i="1"/>
  <c r="I915" i="1"/>
  <c r="H915" i="1"/>
  <c r="G915" i="1"/>
  <c r="R914" i="1"/>
  <c r="Q914" i="1"/>
  <c r="P914" i="1"/>
  <c r="O914" i="1"/>
  <c r="N914" i="1"/>
  <c r="M914" i="1"/>
  <c r="L914" i="1"/>
  <c r="K914" i="1"/>
  <c r="J914" i="1"/>
  <c r="I914" i="1"/>
  <c r="H914" i="1"/>
  <c r="G914" i="1"/>
  <c r="R913" i="1"/>
  <c r="Q913" i="1"/>
  <c r="P913" i="1"/>
  <c r="O913" i="1"/>
  <c r="N913" i="1"/>
  <c r="M913" i="1"/>
  <c r="L913" i="1"/>
  <c r="K913" i="1"/>
  <c r="J913" i="1"/>
  <c r="I913" i="1"/>
  <c r="H913" i="1"/>
  <c r="G913" i="1"/>
  <c r="R912" i="1"/>
  <c r="Q912" i="1"/>
  <c r="P912" i="1"/>
  <c r="O912" i="1"/>
  <c r="N912" i="1"/>
  <c r="M912" i="1"/>
  <c r="L912" i="1"/>
  <c r="K912" i="1"/>
  <c r="J912" i="1"/>
  <c r="I912" i="1"/>
  <c r="H912" i="1"/>
  <c r="G912" i="1"/>
  <c r="R911" i="1"/>
  <c r="Q911" i="1"/>
  <c r="P911" i="1"/>
  <c r="O911" i="1"/>
  <c r="N911" i="1"/>
  <c r="M911" i="1"/>
  <c r="L911" i="1"/>
  <c r="K911" i="1"/>
  <c r="J911" i="1"/>
  <c r="I911" i="1"/>
  <c r="H911" i="1"/>
  <c r="G911" i="1"/>
  <c r="R910" i="1"/>
  <c r="Q910" i="1"/>
  <c r="P910" i="1"/>
  <c r="O910" i="1"/>
  <c r="N910" i="1"/>
  <c r="M910" i="1"/>
  <c r="L910" i="1"/>
  <c r="K910" i="1"/>
  <c r="J910" i="1"/>
  <c r="I910" i="1"/>
  <c r="H910" i="1"/>
  <c r="G910" i="1"/>
  <c r="R909" i="1"/>
  <c r="Q909" i="1"/>
  <c r="P909" i="1"/>
  <c r="O909" i="1"/>
  <c r="N909" i="1"/>
  <c r="M909" i="1"/>
  <c r="L909" i="1"/>
  <c r="K909" i="1"/>
  <c r="J909" i="1"/>
  <c r="I909" i="1"/>
  <c r="H909" i="1"/>
  <c r="G909" i="1"/>
  <c r="R908" i="1"/>
  <c r="Q908" i="1"/>
  <c r="P908" i="1"/>
  <c r="O908" i="1"/>
  <c r="N908" i="1"/>
  <c r="M908" i="1"/>
  <c r="L908" i="1"/>
  <c r="K908" i="1"/>
  <c r="J908" i="1"/>
  <c r="I908" i="1"/>
  <c r="H908" i="1"/>
  <c r="G908" i="1"/>
  <c r="R907" i="1"/>
  <c r="Q907" i="1"/>
  <c r="P907" i="1"/>
  <c r="O907" i="1"/>
  <c r="N907" i="1"/>
  <c r="M907" i="1"/>
  <c r="L907" i="1"/>
  <c r="K907" i="1"/>
  <c r="J907" i="1"/>
  <c r="I907" i="1"/>
  <c r="H907" i="1"/>
  <c r="G907" i="1"/>
  <c r="R906" i="1"/>
  <c r="Q906" i="1"/>
  <c r="P906" i="1"/>
  <c r="O906" i="1"/>
  <c r="N906" i="1"/>
  <c r="M906" i="1"/>
  <c r="L906" i="1"/>
  <c r="K906" i="1"/>
  <c r="J906" i="1"/>
  <c r="I906" i="1"/>
  <c r="H906" i="1"/>
  <c r="G906" i="1"/>
  <c r="R905" i="1"/>
  <c r="Q905" i="1"/>
  <c r="P905" i="1"/>
  <c r="O905" i="1"/>
  <c r="N905" i="1"/>
  <c r="M905" i="1"/>
  <c r="L905" i="1"/>
  <c r="K905" i="1"/>
  <c r="J905" i="1"/>
  <c r="I905" i="1"/>
  <c r="H905" i="1"/>
  <c r="G905" i="1"/>
  <c r="R904" i="1"/>
  <c r="Q904" i="1"/>
  <c r="P904" i="1"/>
  <c r="O904" i="1"/>
  <c r="N904" i="1"/>
  <c r="M904" i="1"/>
  <c r="L904" i="1"/>
  <c r="K904" i="1"/>
  <c r="J904" i="1"/>
  <c r="I904" i="1"/>
  <c r="H904" i="1"/>
  <c r="G904" i="1"/>
  <c r="R903" i="1"/>
  <c r="Q903" i="1"/>
  <c r="P903" i="1"/>
  <c r="O903" i="1"/>
  <c r="N903" i="1"/>
  <c r="M903" i="1"/>
  <c r="L903" i="1"/>
  <c r="K903" i="1"/>
  <c r="J903" i="1"/>
  <c r="I903" i="1"/>
  <c r="H903" i="1"/>
  <c r="G903" i="1"/>
  <c r="R902" i="1"/>
  <c r="Q902" i="1"/>
  <c r="P902" i="1"/>
  <c r="O902" i="1"/>
  <c r="N902" i="1"/>
  <c r="M902" i="1"/>
  <c r="L902" i="1"/>
  <c r="K902" i="1"/>
  <c r="J902" i="1"/>
  <c r="I902" i="1"/>
  <c r="H902" i="1"/>
  <c r="G902" i="1"/>
  <c r="R901" i="1"/>
  <c r="Q901" i="1"/>
  <c r="P901" i="1"/>
  <c r="O901" i="1"/>
  <c r="N901" i="1"/>
  <c r="M901" i="1"/>
  <c r="L901" i="1"/>
  <c r="K901" i="1"/>
  <c r="J901" i="1"/>
  <c r="I901" i="1"/>
  <c r="H901" i="1"/>
  <c r="G901" i="1"/>
  <c r="R900" i="1"/>
  <c r="Q900" i="1"/>
  <c r="P900" i="1"/>
  <c r="O900" i="1"/>
  <c r="N900" i="1"/>
  <c r="M900" i="1"/>
  <c r="L900" i="1"/>
  <c r="K900" i="1"/>
  <c r="J900" i="1"/>
  <c r="I900" i="1"/>
  <c r="H900" i="1"/>
  <c r="G900" i="1"/>
  <c r="R899" i="1"/>
  <c r="Q899" i="1"/>
  <c r="P899" i="1"/>
  <c r="O899" i="1"/>
  <c r="N899" i="1"/>
  <c r="M899" i="1"/>
  <c r="L899" i="1"/>
  <c r="K899" i="1"/>
  <c r="J899" i="1"/>
  <c r="I899" i="1"/>
  <c r="H899" i="1"/>
  <c r="G899" i="1"/>
  <c r="R898" i="1"/>
  <c r="Q898" i="1"/>
  <c r="P898" i="1"/>
  <c r="O898" i="1"/>
  <c r="N898" i="1"/>
  <c r="M898" i="1"/>
  <c r="L898" i="1"/>
  <c r="K898" i="1"/>
  <c r="J898" i="1"/>
  <c r="I898" i="1"/>
  <c r="H898" i="1"/>
  <c r="G898" i="1"/>
  <c r="R897" i="1"/>
  <c r="Q897" i="1"/>
  <c r="P897" i="1"/>
  <c r="O897" i="1"/>
  <c r="N897" i="1"/>
  <c r="M897" i="1"/>
  <c r="L897" i="1"/>
  <c r="K897" i="1"/>
  <c r="J897" i="1"/>
  <c r="I897" i="1"/>
  <c r="H897" i="1"/>
  <c r="G897" i="1"/>
  <c r="R896" i="1"/>
  <c r="Q896" i="1"/>
  <c r="N896" i="1"/>
  <c r="M896" i="1"/>
  <c r="L896" i="1"/>
  <c r="K896" i="1"/>
  <c r="J896" i="1"/>
  <c r="I896" i="1"/>
  <c r="H896" i="1"/>
  <c r="G896" i="1"/>
  <c r="R895" i="1"/>
  <c r="Q895" i="1"/>
  <c r="N895" i="1"/>
  <c r="M895" i="1"/>
  <c r="L895" i="1"/>
  <c r="K895" i="1"/>
  <c r="J895" i="1"/>
  <c r="I895" i="1"/>
  <c r="H895" i="1"/>
  <c r="G895" i="1"/>
  <c r="R894" i="1"/>
  <c r="Q894" i="1"/>
  <c r="N894" i="1"/>
  <c r="M894" i="1"/>
  <c r="L894" i="1"/>
  <c r="K894" i="1"/>
  <c r="J894" i="1"/>
  <c r="I894" i="1"/>
  <c r="H894" i="1"/>
  <c r="G894" i="1"/>
  <c r="R893" i="1"/>
  <c r="Q893" i="1"/>
  <c r="N893" i="1"/>
  <c r="M893" i="1"/>
  <c r="L893" i="1"/>
  <c r="K893" i="1"/>
  <c r="J893" i="1"/>
  <c r="I893" i="1"/>
  <c r="H893" i="1"/>
  <c r="G893" i="1"/>
  <c r="R892" i="1"/>
  <c r="Q892" i="1"/>
  <c r="N892" i="1"/>
  <c r="M892" i="1"/>
  <c r="L892" i="1"/>
  <c r="K892" i="1"/>
  <c r="J892" i="1"/>
  <c r="I892" i="1"/>
  <c r="H892" i="1"/>
  <c r="G892" i="1"/>
  <c r="R891" i="1"/>
  <c r="Q891" i="1"/>
  <c r="N891" i="1"/>
  <c r="M891" i="1"/>
  <c r="L891" i="1"/>
  <c r="K891" i="1"/>
  <c r="J891" i="1"/>
  <c r="I891" i="1"/>
  <c r="H891" i="1"/>
  <c r="G891" i="1"/>
  <c r="R890" i="1"/>
  <c r="Q890" i="1"/>
  <c r="N890" i="1"/>
  <c r="M890" i="1"/>
  <c r="L890" i="1"/>
  <c r="K890" i="1"/>
  <c r="J890" i="1"/>
  <c r="I890" i="1"/>
  <c r="H890" i="1"/>
  <c r="G890" i="1"/>
  <c r="R889" i="1"/>
  <c r="Q889" i="1"/>
  <c r="N889" i="1"/>
  <c r="M889" i="1"/>
  <c r="L889" i="1"/>
  <c r="K889" i="1"/>
  <c r="J889" i="1"/>
  <c r="I889" i="1"/>
  <c r="H889" i="1"/>
  <c r="G889" i="1"/>
  <c r="R888" i="1"/>
  <c r="Q888" i="1"/>
  <c r="N888" i="1"/>
  <c r="M888" i="1"/>
  <c r="L888" i="1"/>
  <c r="K888" i="1"/>
  <c r="J888" i="1"/>
  <c r="I888" i="1"/>
  <c r="H888" i="1"/>
  <c r="G888" i="1"/>
  <c r="R887" i="1"/>
  <c r="Q887" i="1"/>
  <c r="N887" i="1"/>
  <c r="M887" i="1"/>
  <c r="L887" i="1"/>
  <c r="K887" i="1"/>
  <c r="J887" i="1"/>
  <c r="I887" i="1"/>
  <c r="H887" i="1"/>
  <c r="G887" i="1"/>
  <c r="R886" i="1"/>
  <c r="Q886" i="1"/>
  <c r="N886" i="1"/>
  <c r="M886" i="1"/>
  <c r="L886" i="1"/>
  <c r="K886" i="1"/>
  <c r="J886" i="1"/>
  <c r="I886" i="1"/>
  <c r="H886" i="1"/>
  <c r="G886" i="1"/>
  <c r="R885" i="1"/>
  <c r="Q885" i="1"/>
  <c r="N885" i="1"/>
  <c r="M885" i="1"/>
  <c r="L885" i="1"/>
  <c r="K885" i="1"/>
  <c r="J885" i="1"/>
  <c r="I885" i="1"/>
  <c r="H885" i="1"/>
  <c r="G885" i="1"/>
  <c r="R884" i="1"/>
  <c r="Q884" i="1"/>
  <c r="N884" i="1"/>
  <c r="M884" i="1"/>
  <c r="L884" i="1"/>
  <c r="K884" i="1"/>
  <c r="J884" i="1"/>
  <c r="I884" i="1"/>
  <c r="H884" i="1"/>
  <c r="G884" i="1"/>
  <c r="R883" i="1"/>
  <c r="Q883" i="1"/>
  <c r="N883" i="1"/>
  <c r="M883" i="1"/>
  <c r="L883" i="1"/>
  <c r="K883" i="1"/>
  <c r="J883" i="1"/>
  <c r="I883" i="1"/>
  <c r="H883" i="1"/>
  <c r="G883" i="1"/>
  <c r="R882" i="1"/>
  <c r="Q882" i="1"/>
  <c r="N882" i="1"/>
  <c r="M882" i="1"/>
  <c r="L882" i="1"/>
  <c r="K882" i="1"/>
  <c r="J882" i="1"/>
  <c r="I882" i="1"/>
  <c r="H882" i="1"/>
  <c r="G882" i="1"/>
  <c r="R881" i="1"/>
  <c r="Q881" i="1"/>
  <c r="N881" i="1"/>
  <c r="M881" i="1"/>
  <c r="L881" i="1"/>
  <c r="K881" i="1"/>
  <c r="J881" i="1"/>
  <c r="I881" i="1"/>
  <c r="H881" i="1"/>
  <c r="G881" i="1"/>
  <c r="R880" i="1"/>
  <c r="Q880" i="1"/>
  <c r="N880" i="1"/>
  <c r="M880" i="1"/>
  <c r="L880" i="1"/>
  <c r="K880" i="1"/>
  <c r="J880" i="1"/>
  <c r="I880" i="1"/>
  <c r="H880" i="1"/>
  <c r="G880" i="1"/>
  <c r="R879" i="1"/>
  <c r="Q879" i="1"/>
  <c r="N879" i="1"/>
  <c r="M879" i="1"/>
  <c r="L879" i="1"/>
  <c r="K879" i="1"/>
  <c r="J879" i="1"/>
  <c r="I879" i="1"/>
  <c r="H879" i="1"/>
  <c r="G879" i="1"/>
  <c r="R878" i="1"/>
  <c r="Q878" i="1"/>
  <c r="N878" i="1"/>
  <c r="M878" i="1"/>
  <c r="L878" i="1"/>
  <c r="K878" i="1"/>
  <c r="J878" i="1"/>
  <c r="I878" i="1"/>
  <c r="H878" i="1"/>
  <c r="G878" i="1"/>
  <c r="R877" i="1"/>
  <c r="Q877" i="1"/>
  <c r="N877" i="1"/>
  <c r="M877" i="1"/>
  <c r="L877" i="1"/>
  <c r="K877" i="1"/>
  <c r="J877" i="1"/>
  <c r="I877" i="1"/>
  <c r="H877" i="1"/>
  <c r="G877" i="1"/>
  <c r="R876" i="1"/>
  <c r="Q876" i="1"/>
  <c r="N876" i="1"/>
  <c r="M876" i="1"/>
  <c r="L876" i="1"/>
  <c r="K876" i="1"/>
  <c r="J876" i="1"/>
  <c r="I876" i="1"/>
  <c r="H876" i="1"/>
  <c r="G876" i="1"/>
  <c r="R875" i="1"/>
  <c r="Q875" i="1"/>
  <c r="N875" i="1"/>
  <c r="M875" i="1"/>
  <c r="L875" i="1"/>
  <c r="K875" i="1"/>
  <c r="J875" i="1"/>
  <c r="I875" i="1"/>
  <c r="H875" i="1"/>
  <c r="G875" i="1"/>
  <c r="R874" i="1"/>
  <c r="Q874" i="1"/>
  <c r="N874" i="1"/>
  <c r="M874" i="1"/>
  <c r="L874" i="1"/>
  <c r="K874" i="1"/>
  <c r="J874" i="1"/>
  <c r="I874" i="1"/>
  <c r="H874" i="1"/>
  <c r="G874" i="1"/>
  <c r="R873" i="1"/>
  <c r="Q873" i="1"/>
  <c r="N873" i="1"/>
  <c r="M873" i="1"/>
  <c r="L873" i="1"/>
  <c r="K873" i="1"/>
  <c r="J873" i="1"/>
  <c r="I873" i="1"/>
  <c r="H873" i="1"/>
  <c r="G873" i="1"/>
  <c r="R872" i="1"/>
  <c r="Q872" i="1"/>
  <c r="N872" i="1"/>
  <c r="M872" i="1"/>
  <c r="L872" i="1"/>
  <c r="K872" i="1"/>
  <c r="J872" i="1"/>
  <c r="I872" i="1"/>
  <c r="H872" i="1"/>
  <c r="G872" i="1"/>
  <c r="R871" i="1"/>
  <c r="Q871" i="1"/>
  <c r="N871" i="1"/>
  <c r="M871" i="1"/>
  <c r="L871" i="1"/>
  <c r="K871" i="1"/>
  <c r="J871" i="1"/>
  <c r="I871" i="1"/>
  <c r="H871" i="1"/>
  <c r="G871" i="1"/>
  <c r="R870" i="1"/>
  <c r="Q870" i="1"/>
  <c r="N870" i="1"/>
  <c r="M870" i="1"/>
  <c r="L870" i="1"/>
  <c r="K870" i="1"/>
  <c r="J870" i="1"/>
  <c r="I870" i="1"/>
  <c r="H870" i="1"/>
  <c r="G870" i="1"/>
  <c r="R869" i="1"/>
  <c r="Q869" i="1"/>
  <c r="N869" i="1"/>
  <c r="M869" i="1"/>
  <c r="L869" i="1"/>
  <c r="K869" i="1"/>
  <c r="J869" i="1"/>
  <c r="I869" i="1"/>
  <c r="H869" i="1"/>
  <c r="G869" i="1"/>
  <c r="R868" i="1"/>
  <c r="Q868" i="1"/>
  <c r="N868" i="1"/>
  <c r="M868" i="1"/>
  <c r="L868" i="1"/>
  <c r="K868" i="1"/>
  <c r="J868" i="1"/>
  <c r="I868" i="1"/>
  <c r="H868" i="1"/>
  <c r="G868" i="1"/>
  <c r="R867" i="1"/>
  <c r="Q867" i="1"/>
  <c r="N867" i="1"/>
  <c r="M867" i="1"/>
  <c r="L867" i="1"/>
  <c r="K867" i="1"/>
  <c r="J867" i="1"/>
  <c r="I867" i="1"/>
  <c r="H867" i="1"/>
  <c r="G867" i="1"/>
  <c r="R866" i="1"/>
  <c r="Q866" i="1"/>
  <c r="N866" i="1"/>
  <c r="M866" i="1"/>
  <c r="L866" i="1"/>
  <c r="K866" i="1"/>
  <c r="J866" i="1"/>
  <c r="I866" i="1"/>
  <c r="H866" i="1"/>
  <c r="G866" i="1"/>
  <c r="R865" i="1"/>
  <c r="Q865" i="1"/>
  <c r="N865" i="1"/>
  <c r="M865" i="1"/>
  <c r="L865" i="1"/>
  <c r="K865" i="1"/>
  <c r="J865" i="1"/>
  <c r="I865" i="1"/>
  <c r="H865" i="1"/>
  <c r="G865" i="1"/>
  <c r="R864" i="1"/>
  <c r="Q864" i="1"/>
  <c r="N864" i="1"/>
  <c r="M864" i="1"/>
  <c r="L864" i="1"/>
  <c r="K864" i="1"/>
  <c r="J864" i="1"/>
  <c r="I864" i="1"/>
  <c r="H864" i="1"/>
  <c r="G864" i="1"/>
  <c r="R863" i="1"/>
  <c r="Q863" i="1"/>
  <c r="N863" i="1"/>
  <c r="M863" i="1"/>
  <c r="L863" i="1"/>
  <c r="K863" i="1"/>
  <c r="J863" i="1"/>
  <c r="I863" i="1"/>
  <c r="H863" i="1"/>
  <c r="G863" i="1"/>
  <c r="R862" i="1"/>
  <c r="Q862" i="1"/>
  <c r="N862" i="1"/>
  <c r="M862" i="1"/>
  <c r="L862" i="1"/>
  <c r="K862" i="1"/>
  <c r="J862" i="1"/>
  <c r="I862" i="1"/>
  <c r="H862" i="1"/>
  <c r="G862" i="1"/>
  <c r="R861" i="1"/>
  <c r="Q861" i="1"/>
  <c r="N861" i="1"/>
  <c r="M861" i="1"/>
  <c r="L861" i="1"/>
  <c r="K861" i="1"/>
  <c r="J861" i="1"/>
  <c r="I861" i="1"/>
  <c r="H861" i="1"/>
  <c r="G861" i="1"/>
  <c r="R860" i="1"/>
  <c r="Q860" i="1"/>
  <c r="N860" i="1"/>
  <c r="M860" i="1"/>
  <c r="L860" i="1"/>
  <c r="K860" i="1"/>
  <c r="J860" i="1"/>
  <c r="I860" i="1"/>
  <c r="H860" i="1"/>
  <c r="G860" i="1"/>
  <c r="R859" i="1"/>
  <c r="Q859" i="1"/>
  <c r="N859" i="1"/>
  <c r="M859" i="1"/>
  <c r="L859" i="1"/>
  <c r="K859" i="1"/>
  <c r="J859" i="1"/>
  <c r="I859" i="1"/>
  <c r="H859" i="1"/>
  <c r="G859" i="1"/>
  <c r="R858" i="1"/>
  <c r="Q858" i="1"/>
  <c r="N858" i="1"/>
  <c r="M858" i="1"/>
  <c r="L858" i="1"/>
  <c r="K858" i="1"/>
  <c r="J858" i="1"/>
  <c r="I858" i="1"/>
  <c r="H858" i="1"/>
  <c r="G858" i="1"/>
  <c r="R857" i="1"/>
  <c r="Q857" i="1"/>
  <c r="N857" i="1"/>
  <c r="M857" i="1"/>
  <c r="L857" i="1"/>
  <c r="K857" i="1"/>
  <c r="J857" i="1"/>
  <c r="I857" i="1"/>
  <c r="H857" i="1"/>
  <c r="G857" i="1"/>
  <c r="R856" i="1"/>
  <c r="Q856" i="1"/>
  <c r="N856" i="1"/>
  <c r="M856" i="1"/>
  <c r="L856" i="1"/>
  <c r="K856" i="1"/>
  <c r="J856" i="1"/>
  <c r="I856" i="1"/>
  <c r="H856" i="1"/>
  <c r="G856" i="1"/>
  <c r="R855" i="1"/>
  <c r="Q855" i="1"/>
  <c r="N855" i="1"/>
  <c r="M855" i="1"/>
  <c r="L855" i="1"/>
  <c r="K855" i="1"/>
  <c r="J855" i="1"/>
  <c r="I855" i="1"/>
  <c r="H855" i="1"/>
  <c r="G855" i="1"/>
  <c r="R854" i="1"/>
  <c r="Q854" i="1"/>
  <c r="N854" i="1"/>
  <c r="M854" i="1"/>
  <c r="L854" i="1"/>
  <c r="K854" i="1"/>
  <c r="J854" i="1"/>
  <c r="I854" i="1"/>
  <c r="H854" i="1"/>
  <c r="G854" i="1"/>
  <c r="R853" i="1"/>
  <c r="Q853" i="1"/>
  <c r="N853" i="1"/>
  <c r="M853" i="1"/>
  <c r="L853" i="1"/>
  <c r="K853" i="1"/>
  <c r="J853" i="1"/>
  <c r="I853" i="1"/>
  <c r="H853" i="1"/>
  <c r="G853" i="1"/>
  <c r="R852" i="1"/>
  <c r="Q852" i="1"/>
  <c r="N852" i="1"/>
  <c r="M852" i="1"/>
  <c r="L852" i="1"/>
  <c r="K852" i="1"/>
  <c r="J852" i="1"/>
  <c r="I852" i="1"/>
  <c r="H852" i="1"/>
  <c r="G852" i="1"/>
  <c r="R851" i="1"/>
  <c r="Q851" i="1"/>
  <c r="N851" i="1"/>
  <c r="M851" i="1"/>
  <c r="L851" i="1"/>
  <c r="K851" i="1"/>
  <c r="J851" i="1"/>
  <c r="I851" i="1"/>
  <c r="H851" i="1"/>
  <c r="G851" i="1"/>
  <c r="R850" i="1"/>
  <c r="Q850" i="1"/>
  <c r="N850" i="1"/>
  <c r="M850" i="1"/>
  <c r="L850" i="1"/>
  <c r="K850" i="1"/>
  <c r="J850" i="1"/>
  <c r="I850" i="1"/>
  <c r="H850" i="1"/>
  <c r="G850" i="1"/>
  <c r="R849" i="1"/>
  <c r="Q849" i="1"/>
  <c r="N849" i="1"/>
  <c r="M849" i="1"/>
  <c r="L849" i="1"/>
  <c r="K849" i="1"/>
  <c r="J849" i="1"/>
  <c r="I849" i="1"/>
  <c r="H849" i="1"/>
  <c r="G849" i="1"/>
  <c r="R848" i="1"/>
  <c r="Q848" i="1"/>
  <c r="N848" i="1"/>
  <c r="M848" i="1"/>
  <c r="L848" i="1"/>
  <c r="K848" i="1"/>
  <c r="J848" i="1"/>
  <c r="I848" i="1"/>
  <c r="H848" i="1"/>
  <c r="G848" i="1"/>
  <c r="R847" i="1"/>
  <c r="Q847" i="1"/>
  <c r="N847" i="1"/>
  <c r="M847" i="1"/>
  <c r="L847" i="1"/>
  <c r="K847" i="1"/>
  <c r="J847" i="1"/>
  <c r="I847" i="1"/>
  <c r="H847" i="1"/>
  <c r="G847" i="1"/>
  <c r="R846" i="1"/>
  <c r="Q846" i="1"/>
  <c r="N846" i="1"/>
  <c r="M846" i="1"/>
  <c r="L846" i="1"/>
  <c r="K846" i="1"/>
  <c r="J846" i="1"/>
  <c r="I846" i="1"/>
  <c r="H846" i="1"/>
  <c r="G846" i="1"/>
  <c r="R845" i="1"/>
  <c r="Q845" i="1"/>
  <c r="N845" i="1"/>
  <c r="M845" i="1"/>
  <c r="L845" i="1"/>
  <c r="K845" i="1"/>
  <c r="J845" i="1"/>
  <c r="I845" i="1"/>
  <c r="H845" i="1"/>
  <c r="G845" i="1"/>
  <c r="R844" i="1"/>
  <c r="Q844" i="1"/>
  <c r="N844" i="1"/>
  <c r="M844" i="1"/>
  <c r="L844" i="1"/>
  <c r="K844" i="1"/>
  <c r="J844" i="1"/>
  <c r="I844" i="1"/>
  <c r="H844" i="1"/>
  <c r="G844" i="1"/>
  <c r="R843" i="1"/>
  <c r="Q843" i="1"/>
  <c r="N843" i="1"/>
  <c r="M843" i="1"/>
  <c r="L843" i="1"/>
  <c r="K843" i="1"/>
  <c r="J843" i="1"/>
  <c r="I843" i="1"/>
  <c r="H843" i="1"/>
  <c r="G843" i="1"/>
  <c r="R842" i="1"/>
  <c r="Q842" i="1"/>
  <c r="N842" i="1"/>
  <c r="M842" i="1"/>
  <c r="L842" i="1"/>
  <c r="K842" i="1"/>
  <c r="J842" i="1"/>
  <c r="I842" i="1"/>
  <c r="H842" i="1"/>
  <c r="G842" i="1"/>
  <c r="R841" i="1"/>
  <c r="Q841" i="1"/>
  <c r="N841" i="1"/>
  <c r="M841" i="1"/>
  <c r="L841" i="1"/>
  <c r="K841" i="1"/>
  <c r="J841" i="1"/>
  <c r="I841" i="1"/>
  <c r="H841" i="1"/>
  <c r="G841" i="1"/>
  <c r="R840" i="1"/>
  <c r="Q840" i="1"/>
  <c r="N840" i="1"/>
  <c r="M840" i="1"/>
  <c r="L840" i="1"/>
  <c r="K840" i="1"/>
  <c r="J840" i="1"/>
  <c r="I840" i="1"/>
  <c r="H840" i="1"/>
  <c r="G840" i="1"/>
  <c r="R839" i="1"/>
  <c r="Q839" i="1"/>
  <c r="N839" i="1"/>
  <c r="M839" i="1"/>
  <c r="L839" i="1"/>
  <c r="K839" i="1"/>
  <c r="J839" i="1"/>
  <c r="I839" i="1"/>
  <c r="H839" i="1"/>
  <c r="G839" i="1"/>
  <c r="R838" i="1"/>
  <c r="Q838" i="1"/>
  <c r="N838" i="1"/>
  <c r="M838" i="1"/>
  <c r="L838" i="1"/>
  <c r="K838" i="1"/>
  <c r="J838" i="1"/>
  <c r="I838" i="1"/>
  <c r="H838" i="1"/>
  <c r="G838" i="1"/>
  <c r="R837" i="1"/>
  <c r="Q837" i="1"/>
  <c r="N837" i="1"/>
  <c r="M837" i="1"/>
  <c r="L837" i="1"/>
  <c r="K837" i="1"/>
  <c r="J837" i="1"/>
  <c r="I837" i="1"/>
  <c r="H837" i="1"/>
  <c r="G837" i="1"/>
  <c r="R836" i="1"/>
  <c r="Q836" i="1"/>
  <c r="N836" i="1"/>
  <c r="M836" i="1"/>
  <c r="L836" i="1"/>
  <c r="K836" i="1"/>
  <c r="J836" i="1"/>
  <c r="I836" i="1"/>
  <c r="H836" i="1"/>
  <c r="G836" i="1"/>
  <c r="R835" i="1"/>
  <c r="Q835" i="1"/>
  <c r="N835" i="1"/>
  <c r="M835" i="1"/>
  <c r="L835" i="1"/>
  <c r="K835" i="1"/>
  <c r="J835" i="1"/>
  <c r="I835" i="1"/>
  <c r="H835" i="1"/>
  <c r="G835" i="1"/>
  <c r="R834" i="1"/>
  <c r="Q834" i="1"/>
  <c r="N834" i="1"/>
  <c r="M834" i="1"/>
  <c r="L834" i="1"/>
  <c r="K834" i="1"/>
  <c r="J834" i="1"/>
  <c r="I834" i="1"/>
  <c r="H834" i="1"/>
  <c r="G834" i="1"/>
  <c r="R833" i="1"/>
  <c r="Q833" i="1"/>
  <c r="N833" i="1"/>
  <c r="M833" i="1"/>
  <c r="L833" i="1"/>
  <c r="K833" i="1"/>
  <c r="J833" i="1"/>
  <c r="I833" i="1"/>
  <c r="H833" i="1"/>
  <c r="G833" i="1"/>
  <c r="R832" i="1"/>
  <c r="Q832" i="1"/>
  <c r="N832" i="1"/>
  <c r="M832" i="1"/>
  <c r="L832" i="1"/>
  <c r="K832" i="1"/>
  <c r="J832" i="1"/>
  <c r="I832" i="1"/>
  <c r="H832" i="1"/>
  <c r="G832" i="1"/>
  <c r="R831" i="1"/>
  <c r="Q831" i="1"/>
  <c r="O831" i="1"/>
  <c r="N831" i="1"/>
  <c r="M831" i="1"/>
  <c r="L831" i="1"/>
  <c r="K831" i="1"/>
  <c r="J831" i="1"/>
  <c r="I831" i="1"/>
  <c r="H831" i="1"/>
  <c r="G831" i="1"/>
  <c r="R830" i="1"/>
  <c r="Q830" i="1"/>
  <c r="O830" i="1"/>
  <c r="N830" i="1"/>
  <c r="M830" i="1"/>
  <c r="L830" i="1"/>
  <c r="K830" i="1"/>
  <c r="J830" i="1"/>
  <c r="I830" i="1"/>
  <c r="H830" i="1"/>
  <c r="G830" i="1"/>
  <c r="R829" i="1"/>
  <c r="Q829" i="1"/>
  <c r="O829" i="1"/>
  <c r="N829" i="1"/>
  <c r="M829" i="1"/>
  <c r="L829" i="1"/>
  <c r="K829" i="1"/>
  <c r="J829" i="1"/>
  <c r="I829" i="1"/>
  <c r="H829" i="1"/>
  <c r="G829" i="1"/>
  <c r="R828" i="1"/>
  <c r="Q828" i="1"/>
  <c r="O828" i="1"/>
  <c r="N828" i="1"/>
  <c r="M828" i="1"/>
  <c r="L828" i="1"/>
  <c r="K828" i="1"/>
  <c r="J828" i="1"/>
  <c r="I828" i="1"/>
  <c r="H828" i="1"/>
  <c r="G828" i="1"/>
  <c r="R827" i="1"/>
  <c r="Q827" i="1"/>
  <c r="O827" i="1"/>
  <c r="N827" i="1"/>
  <c r="M827" i="1"/>
  <c r="L827" i="1"/>
  <c r="K827" i="1"/>
  <c r="J827" i="1"/>
  <c r="I827" i="1"/>
  <c r="H827" i="1"/>
  <c r="G827" i="1"/>
  <c r="R826" i="1"/>
  <c r="Q826" i="1"/>
  <c r="O826" i="1"/>
  <c r="N826" i="1"/>
  <c r="M826" i="1"/>
  <c r="L826" i="1"/>
  <c r="K826" i="1"/>
  <c r="J826" i="1"/>
  <c r="I826" i="1"/>
  <c r="H826" i="1"/>
  <c r="G826" i="1"/>
  <c r="R825" i="1"/>
  <c r="Q825" i="1"/>
  <c r="O825" i="1"/>
  <c r="N825" i="1"/>
  <c r="M825" i="1"/>
  <c r="L825" i="1"/>
  <c r="K825" i="1"/>
  <c r="J825" i="1"/>
  <c r="I825" i="1"/>
  <c r="H825" i="1"/>
  <c r="G825" i="1"/>
  <c r="R824" i="1"/>
  <c r="Q824" i="1"/>
  <c r="O824" i="1"/>
  <c r="N824" i="1"/>
  <c r="M824" i="1"/>
  <c r="L824" i="1"/>
  <c r="K824" i="1"/>
  <c r="J824" i="1"/>
  <c r="I824" i="1"/>
  <c r="H824" i="1"/>
  <c r="G824" i="1"/>
  <c r="R823" i="1"/>
  <c r="Q823" i="1"/>
  <c r="O823" i="1"/>
  <c r="N823" i="1"/>
  <c r="M823" i="1"/>
  <c r="L823" i="1"/>
  <c r="K823" i="1"/>
  <c r="J823" i="1"/>
  <c r="I823" i="1"/>
  <c r="H823" i="1"/>
  <c r="G823" i="1"/>
  <c r="R822" i="1"/>
  <c r="Q822" i="1"/>
  <c r="O822" i="1"/>
  <c r="N822" i="1"/>
  <c r="M822" i="1"/>
  <c r="L822" i="1"/>
  <c r="K822" i="1"/>
  <c r="J822" i="1"/>
  <c r="I822" i="1"/>
  <c r="H822" i="1"/>
  <c r="G822" i="1"/>
  <c r="R821" i="1"/>
  <c r="Q821" i="1"/>
  <c r="O821" i="1"/>
  <c r="N821" i="1"/>
  <c r="M821" i="1"/>
  <c r="L821" i="1"/>
  <c r="K821" i="1"/>
  <c r="J821" i="1"/>
  <c r="I821" i="1"/>
  <c r="H821" i="1"/>
  <c r="G821" i="1"/>
  <c r="R820" i="1"/>
  <c r="Q820" i="1"/>
  <c r="O820" i="1"/>
  <c r="N820" i="1"/>
  <c r="M820" i="1"/>
  <c r="L820" i="1"/>
  <c r="K820" i="1"/>
  <c r="J820" i="1"/>
  <c r="I820" i="1"/>
  <c r="H820" i="1"/>
  <c r="G820" i="1"/>
  <c r="R819" i="1"/>
  <c r="Q819" i="1"/>
  <c r="O819" i="1"/>
  <c r="N819" i="1"/>
  <c r="M819" i="1"/>
  <c r="L819" i="1"/>
  <c r="K819" i="1"/>
  <c r="J819" i="1"/>
  <c r="I819" i="1"/>
  <c r="H819" i="1"/>
  <c r="G819" i="1"/>
  <c r="R818" i="1"/>
  <c r="Q818" i="1"/>
  <c r="O818" i="1"/>
  <c r="N818" i="1"/>
  <c r="M818" i="1"/>
  <c r="L818" i="1"/>
  <c r="K818" i="1"/>
  <c r="J818" i="1"/>
  <c r="I818" i="1"/>
  <c r="H818" i="1"/>
  <c r="G818" i="1"/>
  <c r="R817" i="1"/>
  <c r="Q817" i="1"/>
  <c r="O817" i="1"/>
  <c r="N817" i="1"/>
  <c r="M817" i="1"/>
  <c r="L817" i="1"/>
  <c r="K817" i="1"/>
  <c r="J817" i="1"/>
  <c r="I817" i="1"/>
  <c r="H817" i="1"/>
  <c r="G817" i="1"/>
  <c r="R816" i="1"/>
  <c r="Q816" i="1"/>
  <c r="O816" i="1"/>
  <c r="N816" i="1"/>
  <c r="M816" i="1"/>
  <c r="L816" i="1"/>
  <c r="K816" i="1"/>
  <c r="J816" i="1"/>
  <c r="I816" i="1"/>
  <c r="H816" i="1"/>
  <c r="G816" i="1"/>
  <c r="R815" i="1"/>
  <c r="Q815" i="1"/>
  <c r="O815" i="1"/>
  <c r="N815" i="1"/>
  <c r="M815" i="1"/>
  <c r="L815" i="1"/>
  <c r="K815" i="1"/>
  <c r="J815" i="1"/>
  <c r="I815" i="1"/>
  <c r="H815" i="1"/>
  <c r="G815" i="1"/>
  <c r="R814" i="1"/>
  <c r="Q814" i="1"/>
  <c r="O814" i="1"/>
  <c r="N814" i="1"/>
  <c r="M814" i="1"/>
  <c r="L814" i="1"/>
  <c r="K814" i="1"/>
  <c r="J814" i="1"/>
  <c r="I814" i="1"/>
  <c r="H814" i="1"/>
  <c r="G814" i="1"/>
  <c r="R813" i="1"/>
  <c r="Q813" i="1"/>
  <c r="O813" i="1"/>
  <c r="N813" i="1"/>
  <c r="M813" i="1"/>
  <c r="L813" i="1"/>
  <c r="K813" i="1"/>
  <c r="J813" i="1"/>
  <c r="I813" i="1"/>
  <c r="H813" i="1"/>
  <c r="G813" i="1"/>
  <c r="R812" i="1"/>
  <c r="Q812" i="1"/>
  <c r="O812" i="1"/>
  <c r="N812" i="1"/>
  <c r="M812" i="1"/>
  <c r="L812" i="1"/>
  <c r="K812" i="1"/>
  <c r="J812" i="1"/>
  <c r="I812" i="1"/>
  <c r="H812" i="1"/>
  <c r="G812" i="1"/>
  <c r="R811" i="1"/>
  <c r="Q811" i="1"/>
  <c r="O811" i="1"/>
  <c r="N811" i="1"/>
  <c r="M811" i="1"/>
  <c r="L811" i="1"/>
  <c r="K811" i="1"/>
  <c r="J811" i="1"/>
  <c r="I811" i="1"/>
  <c r="H811" i="1"/>
  <c r="G811" i="1"/>
  <c r="R810" i="1"/>
  <c r="Q810" i="1"/>
  <c r="O810" i="1"/>
  <c r="N810" i="1"/>
  <c r="M810" i="1"/>
  <c r="L810" i="1"/>
  <c r="K810" i="1"/>
  <c r="J810" i="1"/>
  <c r="I810" i="1"/>
  <c r="H810" i="1"/>
  <c r="G810" i="1"/>
  <c r="R809" i="1"/>
  <c r="Q809" i="1"/>
  <c r="O809" i="1"/>
  <c r="N809" i="1"/>
  <c r="M809" i="1"/>
  <c r="L809" i="1"/>
  <c r="K809" i="1"/>
  <c r="J809" i="1"/>
  <c r="I809" i="1"/>
  <c r="H809" i="1"/>
  <c r="G809" i="1"/>
  <c r="R808" i="1"/>
  <c r="Q808" i="1"/>
  <c r="O808" i="1"/>
  <c r="N808" i="1"/>
  <c r="M808" i="1"/>
  <c r="L808" i="1"/>
  <c r="K808" i="1"/>
  <c r="J808" i="1"/>
  <c r="I808" i="1"/>
  <c r="H808" i="1"/>
  <c r="G808" i="1"/>
  <c r="R807" i="1"/>
  <c r="Q807" i="1"/>
  <c r="O807" i="1"/>
  <c r="N807" i="1"/>
  <c r="M807" i="1"/>
  <c r="L807" i="1"/>
  <c r="K807" i="1"/>
  <c r="J807" i="1"/>
  <c r="I807" i="1"/>
  <c r="H807" i="1"/>
  <c r="G807" i="1"/>
  <c r="R806" i="1"/>
  <c r="Q806" i="1"/>
  <c r="O806" i="1"/>
  <c r="N806" i="1"/>
  <c r="M806" i="1"/>
  <c r="L806" i="1"/>
  <c r="K806" i="1"/>
  <c r="J806" i="1"/>
  <c r="I806" i="1"/>
  <c r="H806" i="1"/>
  <c r="G806" i="1"/>
  <c r="R805" i="1"/>
  <c r="Q805" i="1"/>
  <c r="O805" i="1"/>
  <c r="N805" i="1"/>
  <c r="M805" i="1"/>
  <c r="L805" i="1"/>
  <c r="K805" i="1"/>
  <c r="J805" i="1"/>
  <c r="I805" i="1"/>
  <c r="H805" i="1"/>
  <c r="G805" i="1"/>
  <c r="R804" i="1"/>
  <c r="Q804" i="1"/>
  <c r="O804" i="1"/>
  <c r="N804" i="1"/>
  <c r="M804" i="1"/>
  <c r="L804" i="1"/>
  <c r="K804" i="1"/>
  <c r="J804" i="1"/>
  <c r="I804" i="1"/>
  <c r="H804" i="1"/>
  <c r="G804" i="1"/>
  <c r="R803" i="1"/>
  <c r="Q803" i="1"/>
  <c r="O803" i="1"/>
  <c r="N803" i="1"/>
  <c r="M803" i="1"/>
  <c r="L803" i="1"/>
  <c r="K803" i="1"/>
  <c r="J803" i="1"/>
  <c r="I803" i="1"/>
  <c r="H803" i="1"/>
  <c r="G803" i="1"/>
  <c r="R802" i="1"/>
  <c r="Q802" i="1"/>
  <c r="O802" i="1"/>
  <c r="N802" i="1"/>
  <c r="M802" i="1"/>
  <c r="L802" i="1"/>
  <c r="K802" i="1"/>
  <c r="J802" i="1"/>
  <c r="I802" i="1"/>
  <c r="H802" i="1"/>
  <c r="G802" i="1"/>
  <c r="R801" i="1"/>
  <c r="Q801" i="1"/>
  <c r="O801" i="1"/>
  <c r="N801" i="1"/>
  <c r="M801" i="1"/>
  <c r="L801" i="1"/>
  <c r="K801" i="1"/>
  <c r="J801" i="1"/>
  <c r="I801" i="1"/>
  <c r="H801" i="1"/>
  <c r="G801" i="1"/>
  <c r="R800" i="1"/>
  <c r="Q800" i="1"/>
  <c r="O800" i="1"/>
  <c r="N800" i="1"/>
  <c r="M800" i="1"/>
  <c r="L800" i="1"/>
  <c r="K800" i="1"/>
  <c r="J800" i="1"/>
  <c r="I800" i="1"/>
  <c r="H800" i="1"/>
  <c r="G800" i="1"/>
  <c r="R799" i="1"/>
  <c r="Q799" i="1"/>
  <c r="O799" i="1"/>
  <c r="N799" i="1"/>
  <c r="M799" i="1"/>
  <c r="L799" i="1"/>
  <c r="K799" i="1"/>
  <c r="J799" i="1"/>
  <c r="I799" i="1"/>
  <c r="H799" i="1"/>
  <c r="G799" i="1"/>
  <c r="R798" i="1"/>
  <c r="Q798" i="1"/>
  <c r="O798" i="1"/>
  <c r="N798" i="1"/>
  <c r="M798" i="1"/>
  <c r="L798" i="1"/>
  <c r="K798" i="1"/>
  <c r="J798" i="1"/>
  <c r="I798" i="1"/>
  <c r="H798" i="1"/>
  <c r="G798" i="1"/>
  <c r="R797" i="1"/>
  <c r="Q797" i="1"/>
  <c r="O797" i="1"/>
  <c r="N797" i="1"/>
  <c r="M797" i="1"/>
  <c r="L797" i="1"/>
  <c r="K797" i="1"/>
  <c r="J797" i="1"/>
  <c r="I797" i="1"/>
  <c r="H797" i="1"/>
  <c r="G797" i="1"/>
  <c r="R796" i="1"/>
  <c r="Q796" i="1"/>
  <c r="O796" i="1"/>
  <c r="N796" i="1"/>
  <c r="M796" i="1"/>
  <c r="L796" i="1"/>
  <c r="K796" i="1"/>
  <c r="J796" i="1"/>
  <c r="I796" i="1"/>
  <c r="H796" i="1"/>
  <c r="G796" i="1"/>
  <c r="R795" i="1"/>
  <c r="Q795" i="1"/>
  <c r="O795" i="1"/>
  <c r="N795" i="1"/>
  <c r="M795" i="1"/>
  <c r="L795" i="1"/>
  <c r="K795" i="1"/>
  <c r="J795" i="1"/>
  <c r="I795" i="1"/>
  <c r="H795" i="1"/>
  <c r="G795" i="1"/>
  <c r="R794" i="1"/>
  <c r="Q794" i="1"/>
  <c r="O794" i="1"/>
  <c r="N794" i="1"/>
  <c r="M794" i="1"/>
  <c r="L794" i="1"/>
  <c r="K794" i="1"/>
  <c r="J794" i="1"/>
  <c r="I794" i="1"/>
  <c r="H794" i="1"/>
  <c r="G794" i="1"/>
  <c r="R793" i="1"/>
  <c r="Q793" i="1"/>
  <c r="O793" i="1"/>
  <c r="N793" i="1"/>
  <c r="M793" i="1"/>
  <c r="L793" i="1"/>
  <c r="K793" i="1"/>
  <c r="J793" i="1"/>
  <c r="I793" i="1"/>
  <c r="H793" i="1"/>
  <c r="G793" i="1"/>
  <c r="R792" i="1"/>
  <c r="Q792" i="1"/>
  <c r="O792" i="1"/>
  <c r="N792" i="1"/>
  <c r="M792" i="1"/>
  <c r="L792" i="1"/>
  <c r="K792" i="1"/>
  <c r="J792" i="1"/>
  <c r="I792" i="1"/>
  <c r="H792" i="1"/>
  <c r="G792" i="1"/>
  <c r="R791" i="1"/>
  <c r="Q791" i="1"/>
  <c r="O791" i="1"/>
  <c r="N791" i="1"/>
  <c r="M791" i="1"/>
  <c r="L791" i="1"/>
  <c r="K791" i="1"/>
  <c r="J791" i="1"/>
  <c r="I791" i="1"/>
  <c r="H791" i="1"/>
  <c r="G791" i="1"/>
  <c r="R790" i="1"/>
  <c r="Q790" i="1"/>
  <c r="O790" i="1"/>
  <c r="N790" i="1"/>
  <c r="M790" i="1"/>
  <c r="L790" i="1"/>
  <c r="K790" i="1"/>
  <c r="J790" i="1"/>
  <c r="I790" i="1"/>
  <c r="H790" i="1"/>
  <c r="G790" i="1"/>
  <c r="R789" i="1"/>
  <c r="Q789" i="1"/>
  <c r="O789" i="1"/>
  <c r="N789" i="1"/>
  <c r="M789" i="1"/>
  <c r="L789" i="1"/>
  <c r="K789" i="1"/>
  <c r="J789" i="1"/>
  <c r="I789" i="1"/>
  <c r="H789" i="1"/>
  <c r="G789" i="1"/>
  <c r="R788" i="1"/>
  <c r="Q788" i="1"/>
  <c r="O788" i="1"/>
  <c r="N788" i="1"/>
  <c r="M788" i="1"/>
  <c r="L788" i="1"/>
  <c r="K788" i="1"/>
  <c r="J788" i="1"/>
  <c r="I788" i="1"/>
  <c r="H788" i="1"/>
  <c r="G788" i="1"/>
  <c r="R787" i="1"/>
  <c r="Q787" i="1"/>
  <c r="O787" i="1"/>
  <c r="N787" i="1"/>
  <c r="M787" i="1"/>
  <c r="L787" i="1"/>
  <c r="K787" i="1"/>
  <c r="J787" i="1"/>
  <c r="I787" i="1"/>
  <c r="H787" i="1"/>
  <c r="G787" i="1"/>
  <c r="R786" i="1"/>
  <c r="Q786" i="1"/>
  <c r="O786" i="1"/>
  <c r="N786" i="1"/>
  <c r="M786" i="1"/>
  <c r="L786" i="1"/>
  <c r="K786" i="1"/>
  <c r="J786" i="1"/>
  <c r="I786" i="1"/>
  <c r="H786" i="1"/>
  <c r="G786" i="1"/>
  <c r="R785" i="1"/>
  <c r="Q785" i="1"/>
  <c r="O785" i="1"/>
  <c r="N785" i="1"/>
  <c r="M785" i="1"/>
  <c r="L785" i="1"/>
  <c r="K785" i="1"/>
  <c r="J785" i="1"/>
  <c r="I785" i="1"/>
  <c r="H785" i="1"/>
  <c r="G785" i="1"/>
  <c r="R784" i="1"/>
  <c r="Q784" i="1"/>
  <c r="O784" i="1"/>
  <c r="N784" i="1"/>
  <c r="M784" i="1"/>
  <c r="L784" i="1"/>
  <c r="K784" i="1"/>
  <c r="J784" i="1"/>
  <c r="I784" i="1"/>
  <c r="H784" i="1"/>
  <c r="G784" i="1"/>
  <c r="R783" i="1"/>
  <c r="Q783" i="1"/>
  <c r="O783" i="1"/>
  <c r="N783" i="1"/>
  <c r="M783" i="1"/>
  <c r="L783" i="1"/>
  <c r="K783" i="1"/>
  <c r="J783" i="1"/>
  <c r="I783" i="1"/>
  <c r="H783" i="1"/>
  <c r="G783" i="1"/>
  <c r="R782" i="1"/>
  <c r="Q782" i="1"/>
  <c r="O782" i="1"/>
  <c r="N782" i="1"/>
  <c r="M782" i="1"/>
  <c r="L782" i="1"/>
  <c r="K782" i="1"/>
  <c r="J782" i="1"/>
  <c r="I782" i="1"/>
  <c r="H782" i="1"/>
  <c r="G782" i="1"/>
  <c r="R781" i="1"/>
  <c r="Q781" i="1"/>
  <c r="O781" i="1"/>
  <c r="N781" i="1"/>
  <c r="M781" i="1"/>
  <c r="L781" i="1"/>
  <c r="K781" i="1"/>
  <c r="J781" i="1"/>
  <c r="I781" i="1"/>
  <c r="H781" i="1"/>
  <c r="G781" i="1"/>
  <c r="R780" i="1"/>
  <c r="Q780" i="1"/>
  <c r="O780" i="1"/>
  <c r="N780" i="1"/>
  <c r="M780" i="1"/>
  <c r="L780" i="1"/>
  <c r="K780" i="1"/>
  <c r="J780" i="1"/>
  <c r="I780" i="1"/>
  <c r="H780" i="1"/>
  <c r="G780" i="1"/>
  <c r="R779" i="1"/>
  <c r="Q779" i="1"/>
  <c r="O779" i="1"/>
  <c r="N779" i="1"/>
  <c r="M779" i="1"/>
  <c r="L779" i="1"/>
  <c r="K779" i="1"/>
  <c r="J779" i="1"/>
  <c r="I779" i="1"/>
  <c r="H779" i="1"/>
  <c r="G779" i="1"/>
  <c r="R778" i="1"/>
  <c r="Q778" i="1"/>
  <c r="O778" i="1"/>
  <c r="N778" i="1"/>
  <c r="M778" i="1"/>
  <c r="L778" i="1"/>
  <c r="K778" i="1"/>
  <c r="J778" i="1"/>
  <c r="I778" i="1"/>
  <c r="H778" i="1"/>
  <c r="G778" i="1"/>
  <c r="R777" i="1"/>
  <c r="Q777" i="1"/>
  <c r="O777" i="1"/>
  <c r="N777" i="1"/>
  <c r="M777" i="1"/>
  <c r="L777" i="1"/>
  <c r="K777" i="1"/>
  <c r="J777" i="1"/>
  <c r="I777" i="1"/>
  <c r="H777" i="1"/>
  <c r="G777" i="1"/>
  <c r="R776" i="1"/>
  <c r="Q776" i="1"/>
  <c r="O776" i="1"/>
  <c r="N776" i="1"/>
  <c r="M776" i="1"/>
  <c r="L776" i="1"/>
  <c r="K776" i="1"/>
  <c r="J776" i="1"/>
  <c r="I776" i="1"/>
  <c r="H776" i="1"/>
  <c r="G776" i="1"/>
  <c r="R775" i="1"/>
  <c r="Q775" i="1"/>
  <c r="O775" i="1"/>
  <c r="N775" i="1"/>
  <c r="M775" i="1"/>
  <c r="L775" i="1"/>
  <c r="K775" i="1"/>
  <c r="J775" i="1"/>
  <c r="I775" i="1"/>
  <c r="H775" i="1"/>
  <c r="G775" i="1"/>
  <c r="R774" i="1"/>
  <c r="Q774" i="1"/>
  <c r="O774" i="1"/>
  <c r="N774" i="1"/>
  <c r="M774" i="1"/>
  <c r="L774" i="1"/>
  <c r="K774" i="1"/>
  <c r="J774" i="1"/>
  <c r="I774" i="1"/>
  <c r="H774" i="1"/>
  <c r="G774" i="1"/>
  <c r="R773" i="1"/>
  <c r="Q773" i="1"/>
  <c r="O773" i="1"/>
  <c r="N773" i="1"/>
  <c r="M773" i="1"/>
  <c r="L773" i="1"/>
  <c r="K773" i="1"/>
  <c r="J773" i="1"/>
  <c r="I773" i="1"/>
  <c r="H773" i="1"/>
  <c r="G773" i="1"/>
  <c r="R772" i="1"/>
  <c r="Q772" i="1"/>
  <c r="O772" i="1"/>
  <c r="N772" i="1"/>
  <c r="M772" i="1"/>
  <c r="L772" i="1"/>
  <c r="K772" i="1"/>
  <c r="J772" i="1"/>
  <c r="I772" i="1"/>
  <c r="H772" i="1"/>
  <c r="G772" i="1"/>
  <c r="R771" i="1"/>
  <c r="Q771" i="1"/>
  <c r="O771" i="1"/>
  <c r="N771" i="1"/>
  <c r="M771" i="1"/>
  <c r="L771" i="1"/>
  <c r="K771" i="1"/>
  <c r="J771" i="1"/>
  <c r="I771" i="1"/>
  <c r="H771" i="1"/>
  <c r="G771" i="1"/>
  <c r="R770" i="1"/>
  <c r="Q770" i="1"/>
  <c r="O770" i="1"/>
  <c r="N770" i="1"/>
  <c r="M770" i="1"/>
  <c r="L770" i="1"/>
  <c r="K770" i="1"/>
  <c r="J770" i="1"/>
  <c r="I770" i="1"/>
  <c r="H770" i="1"/>
  <c r="G770" i="1"/>
  <c r="R769" i="1"/>
  <c r="Q769" i="1"/>
  <c r="O769" i="1"/>
  <c r="N769" i="1"/>
  <c r="M769" i="1"/>
  <c r="L769" i="1"/>
  <c r="K769" i="1"/>
  <c r="J769" i="1"/>
  <c r="I769" i="1"/>
  <c r="H769" i="1"/>
  <c r="G769" i="1"/>
  <c r="R768" i="1"/>
  <c r="Q768" i="1"/>
  <c r="O768" i="1"/>
  <c r="N768" i="1"/>
  <c r="M768" i="1"/>
  <c r="L768" i="1"/>
  <c r="K768" i="1"/>
  <c r="J768" i="1"/>
  <c r="I768" i="1"/>
  <c r="H768" i="1"/>
  <c r="G768" i="1"/>
  <c r="R767" i="1"/>
  <c r="Q767" i="1"/>
  <c r="O767" i="1"/>
  <c r="N767" i="1"/>
  <c r="M767" i="1"/>
  <c r="L767" i="1"/>
  <c r="K767" i="1"/>
  <c r="J767" i="1"/>
  <c r="I767" i="1"/>
  <c r="H767" i="1"/>
  <c r="G767" i="1"/>
  <c r="R766" i="1"/>
  <c r="Q766" i="1"/>
  <c r="O766" i="1"/>
  <c r="N766" i="1"/>
  <c r="M766" i="1"/>
  <c r="L766" i="1"/>
  <c r="K766" i="1"/>
  <c r="J766" i="1"/>
  <c r="I766" i="1"/>
  <c r="H766" i="1"/>
  <c r="G766" i="1"/>
  <c r="R765" i="1"/>
  <c r="Q765" i="1"/>
  <c r="O765" i="1"/>
  <c r="N765" i="1"/>
  <c r="M765" i="1"/>
  <c r="L765" i="1"/>
  <c r="K765" i="1"/>
  <c r="J765" i="1"/>
  <c r="I765" i="1"/>
  <c r="H765" i="1"/>
  <c r="G765" i="1"/>
  <c r="R764" i="1"/>
  <c r="Q764" i="1"/>
  <c r="O764" i="1"/>
  <c r="N764" i="1"/>
  <c r="M764" i="1"/>
  <c r="L764" i="1"/>
  <c r="K764" i="1"/>
  <c r="J764" i="1"/>
  <c r="I764" i="1"/>
  <c r="H764" i="1"/>
  <c r="G764" i="1"/>
  <c r="R763" i="1"/>
  <c r="Q763" i="1"/>
  <c r="O763" i="1"/>
  <c r="N763" i="1"/>
  <c r="M763" i="1"/>
  <c r="L763" i="1"/>
  <c r="K763" i="1"/>
  <c r="J763" i="1"/>
  <c r="I763" i="1"/>
  <c r="H763" i="1"/>
  <c r="G763" i="1"/>
  <c r="R762" i="1"/>
  <c r="Q762" i="1"/>
  <c r="O762" i="1"/>
  <c r="N762" i="1"/>
  <c r="M762" i="1"/>
  <c r="L762" i="1"/>
  <c r="K762" i="1"/>
  <c r="J762" i="1"/>
  <c r="I762" i="1"/>
  <c r="H762" i="1"/>
  <c r="G762" i="1"/>
  <c r="R761" i="1"/>
  <c r="Q761" i="1"/>
  <c r="O761" i="1"/>
  <c r="N761" i="1"/>
  <c r="M761" i="1"/>
  <c r="L761" i="1"/>
  <c r="K761" i="1"/>
  <c r="J761" i="1"/>
  <c r="I761" i="1"/>
  <c r="H761" i="1"/>
  <c r="G761" i="1"/>
  <c r="R760" i="1"/>
  <c r="Q760" i="1"/>
  <c r="O760" i="1"/>
  <c r="N760" i="1"/>
  <c r="M760" i="1"/>
  <c r="L760" i="1"/>
  <c r="K760" i="1"/>
  <c r="J760" i="1"/>
  <c r="I760" i="1"/>
  <c r="H760" i="1"/>
  <c r="G760" i="1"/>
  <c r="R759" i="1"/>
  <c r="Q759" i="1"/>
  <c r="O759" i="1"/>
  <c r="N759" i="1"/>
  <c r="M759" i="1"/>
  <c r="L759" i="1"/>
  <c r="K759" i="1"/>
  <c r="J759" i="1"/>
  <c r="I759" i="1"/>
  <c r="H759" i="1"/>
  <c r="G759" i="1"/>
  <c r="R758" i="1"/>
  <c r="Q758" i="1"/>
  <c r="O758" i="1"/>
  <c r="N758" i="1"/>
  <c r="M758" i="1"/>
  <c r="L758" i="1"/>
  <c r="K758" i="1"/>
  <c r="J758" i="1"/>
  <c r="I758" i="1"/>
  <c r="H758" i="1"/>
  <c r="G758" i="1"/>
  <c r="R757" i="1"/>
  <c r="Q757" i="1"/>
  <c r="O757" i="1"/>
  <c r="N757" i="1"/>
  <c r="M757" i="1"/>
  <c r="L757" i="1"/>
  <c r="K757" i="1"/>
  <c r="J757" i="1"/>
  <c r="I757" i="1"/>
  <c r="H757" i="1"/>
  <c r="G757" i="1"/>
  <c r="R756" i="1"/>
  <c r="Q756" i="1"/>
  <c r="O756" i="1"/>
  <c r="N756" i="1"/>
  <c r="M756" i="1"/>
  <c r="L756" i="1"/>
  <c r="K756" i="1"/>
  <c r="J756" i="1"/>
  <c r="I756" i="1"/>
  <c r="H756" i="1"/>
  <c r="G756" i="1"/>
  <c r="R755" i="1"/>
  <c r="Q755" i="1"/>
  <c r="O755" i="1"/>
  <c r="N755" i="1"/>
  <c r="M755" i="1"/>
  <c r="L755" i="1"/>
  <c r="K755" i="1"/>
  <c r="J755" i="1"/>
  <c r="I755" i="1"/>
  <c r="H755" i="1"/>
  <c r="G755" i="1"/>
  <c r="R754" i="1"/>
  <c r="Q754" i="1"/>
  <c r="O754" i="1"/>
  <c r="N754" i="1"/>
  <c r="M754" i="1"/>
  <c r="L754" i="1"/>
  <c r="K754" i="1"/>
  <c r="J754" i="1"/>
  <c r="I754" i="1"/>
  <c r="H754" i="1"/>
  <c r="G754" i="1"/>
  <c r="R753" i="1"/>
  <c r="Q753" i="1"/>
  <c r="O753" i="1"/>
  <c r="N753" i="1"/>
  <c r="M753" i="1"/>
  <c r="L753" i="1"/>
  <c r="K753" i="1"/>
  <c r="J753" i="1"/>
  <c r="I753" i="1"/>
  <c r="H753" i="1"/>
  <c r="G753" i="1"/>
  <c r="R752" i="1"/>
  <c r="Q752" i="1"/>
  <c r="O752" i="1"/>
  <c r="N752" i="1"/>
  <c r="M752" i="1"/>
  <c r="L752" i="1"/>
  <c r="K752" i="1"/>
  <c r="J752" i="1"/>
  <c r="I752" i="1"/>
  <c r="H752" i="1"/>
  <c r="G752" i="1"/>
  <c r="R751" i="1"/>
  <c r="Q751" i="1"/>
  <c r="O751" i="1"/>
  <c r="N751" i="1"/>
  <c r="M751" i="1"/>
  <c r="L751" i="1"/>
  <c r="K751" i="1"/>
  <c r="J751" i="1"/>
  <c r="I751" i="1"/>
  <c r="H751" i="1"/>
  <c r="G751" i="1"/>
  <c r="R750" i="1"/>
  <c r="Q750" i="1"/>
  <c r="O750" i="1"/>
  <c r="N750" i="1"/>
  <c r="M750" i="1"/>
  <c r="L750" i="1"/>
  <c r="K750" i="1"/>
  <c r="J750" i="1"/>
  <c r="I750" i="1"/>
  <c r="H750" i="1"/>
  <c r="G750" i="1"/>
  <c r="R749" i="1"/>
  <c r="Q749" i="1"/>
  <c r="O749" i="1"/>
  <c r="N749" i="1"/>
  <c r="M749" i="1"/>
  <c r="L749" i="1"/>
  <c r="K749" i="1"/>
  <c r="J749" i="1"/>
  <c r="I749" i="1"/>
  <c r="H749" i="1"/>
  <c r="G749" i="1"/>
  <c r="R748" i="1"/>
  <c r="Q748" i="1"/>
  <c r="O748" i="1"/>
  <c r="N748" i="1"/>
  <c r="M748" i="1"/>
  <c r="L748" i="1"/>
  <c r="K748" i="1"/>
  <c r="J748" i="1"/>
  <c r="I748" i="1"/>
  <c r="H748" i="1"/>
  <c r="G748" i="1"/>
  <c r="R747" i="1"/>
  <c r="Q747" i="1"/>
  <c r="O747" i="1"/>
  <c r="N747" i="1"/>
  <c r="M747" i="1"/>
  <c r="L747" i="1"/>
  <c r="K747" i="1"/>
  <c r="J747" i="1"/>
  <c r="I747" i="1"/>
  <c r="H747" i="1"/>
  <c r="G747" i="1"/>
  <c r="R746" i="1"/>
  <c r="Q746" i="1"/>
  <c r="O746" i="1"/>
  <c r="N746" i="1"/>
  <c r="M746" i="1"/>
  <c r="L746" i="1"/>
  <c r="K746" i="1"/>
  <c r="J746" i="1"/>
  <c r="I746" i="1"/>
  <c r="H746" i="1"/>
  <c r="G746" i="1"/>
  <c r="R745" i="1"/>
  <c r="Q745" i="1"/>
  <c r="O745" i="1"/>
  <c r="N745" i="1"/>
  <c r="M745" i="1"/>
  <c r="L745" i="1"/>
  <c r="K745" i="1"/>
  <c r="J745" i="1"/>
  <c r="I745" i="1"/>
  <c r="H745" i="1"/>
  <c r="G745" i="1"/>
  <c r="R744" i="1"/>
  <c r="Q744" i="1"/>
  <c r="O744" i="1"/>
  <c r="N744" i="1"/>
  <c r="M744" i="1"/>
  <c r="L744" i="1"/>
  <c r="K744" i="1"/>
  <c r="J744" i="1"/>
  <c r="I744" i="1"/>
  <c r="H744" i="1"/>
  <c r="G744" i="1"/>
  <c r="R743" i="1"/>
  <c r="Q743" i="1"/>
  <c r="O743" i="1"/>
  <c r="N743" i="1"/>
  <c r="M743" i="1"/>
  <c r="L743" i="1"/>
  <c r="K743" i="1"/>
  <c r="J743" i="1"/>
  <c r="I743" i="1"/>
  <c r="H743" i="1"/>
  <c r="G743" i="1"/>
  <c r="R742" i="1"/>
  <c r="Q742" i="1"/>
  <c r="O742" i="1"/>
  <c r="N742" i="1"/>
  <c r="M742" i="1"/>
  <c r="L742" i="1"/>
  <c r="K742" i="1"/>
  <c r="J742" i="1"/>
  <c r="I742" i="1"/>
  <c r="H742" i="1"/>
  <c r="G742" i="1"/>
  <c r="R741" i="1"/>
  <c r="Q741" i="1"/>
  <c r="O741" i="1"/>
  <c r="N741" i="1"/>
  <c r="M741" i="1"/>
  <c r="L741" i="1"/>
  <c r="K741" i="1"/>
  <c r="J741" i="1"/>
  <c r="I741" i="1"/>
  <c r="H741" i="1"/>
  <c r="G741" i="1"/>
  <c r="R740" i="1"/>
  <c r="Q740" i="1"/>
  <c r="O740" i="1"/>
  <c r="N740" i="1"/>
  <c r="M740" i="1"/>
  <c r="L740" i="1"/>
  <c r="K740" i="1"/>
  <c r="J740" i="1"/>
  <c r="I740" i="1"/>
  <c r="H740" i="1"/>
  <c r="G740" i="1"/>
  <c r="R739" i="1"/>
  <c r="Q739" i="1"/>
  <c r="O739" i="1"/>
  <c r="N739" i="1"/>
  <c r="M739" i="1"/>
  <c r="L739" i="1"/>
  <c r="K739" i="1"/>
  <c r="J739" i="1"/>
  <c r="I739" i="1"/>
  <c r="H739" i="1"/>
  <c r="G739" i="1"/>
  <c r="R738" i="1"/>
  <c r="Q738" i="1"/>
  <c r="O738" i="1"/>
  <c r="N738" i="1"/>
  <c r="M738" i="1"/>
  <c r="L738" i="1"/>
  <c r="K738" i="1"/>
  <c r="J738" i="1"/>
  <c r="I738" i="1"/>
  <c r="H738" i="1"/>
  <c r="G738" i="1"/>
  <c r="R737" i="1"/>
  <c r="Q737" i="1"/>
  <c r="O737" i="1"/>
  <c r="N737" i="1"/>
  <c r="M737" i="1"/>
  <c r="L737" i="1"/>
  <c r="K737" i="1"/>
  <c r="J737" i="1"/>
  <c r="I737" i="1"/>
  <c r="H737" i="1"/>
  <c r="G737" i="1"/>
  <c r="R736" i="1"/>
  <c r="Q736" i="1"/>
  <c r="O736" i="1"/>
  <c r="N736" i="1"/>
  <c r="M736" i="1"/>
  <c r="L736" i="1"/>
  <c r="K736" i="1"/>
  <c r="J736" i="1"/>
  <c r="I736" i="1"/>
  <c r="H736" i="1"/>
  <c r="G736" i="1"/>
  <c r="R735" i="1"/>
  <c r="Q735" i="1"/>
  <c r="O735" i="1"/>
  <c r="N735" i="1"/>
  <c r="M735" i="1"/>
  <c r="L735" i="1"/>
  <c r="K735" i="1"/>
  <c r="J735" i="1"/>
  <c r="I735" i="1"/>
  <c r="H735" i="1"/>
  <c r="G735" i="1"/>
  <c r="R734" i="1"/>
  <c r="Q734" i="1"/>
  <c r="O734" i="1"/>
  <c r="N734" i="1"/>
  <c r="M734" i="1"/>
  <c r="L734" i="1"/>
  <c r="K734" i="1"/>
  <c r="J734" i="1"/>
  <c r="I734" i="1"/>
  <c r="H734" i="1"/>
  <c r="G734" i="1"/>
  <c r="R733" i="1"/>
  <c r="Q733" i="1"/>
  <c r="O733" i="1"/>
  <c r="N733" i="1"/>
  <c r="M733" i="1"/>
  <c r="L733" i="1"/>
  <c r="K733" i="1"/>
  <c r="J733" i="1"/>
  <c r="I733" i="1"/>
  <c r="H733" i="1"/>
  <c r="G733" i="1"/>
  <c r="R732" i="1"/>
  <c r="Q732" i="1"/>
  <c r="O732" i="1"/>
  <c r="N732" i="1"/>
  <c r="M732" i="1"/>
  <c r="L732" i="1"/>
  <c r="K732" i="1"/>
  <c r="J732" i="1"/>
  <c r="I732" i="1"/>
  <c r="H732" i="1"/>
  <c r="G732" i="1"/>
  <c r="R731" i="1"/>
  <c r="Q731" i="1"/>
  <c r="O731" i="1"/>
  <c r="N731" i="1"/>
  <c r="M731" i="1"/>
  <c r="L731" i="1"/>
  <c r="K731" i="1"/>
  <c r="J731" i="1"/>
  <c r="I731" i="1"/>
  <c r="H731" i="1"/>
  <c r="G731" i="1"/>
  <c r="R730" i="1"/>
  <c r="Q730" i="1"/>
  <c r="O730" i="1"/>
  <c r="N730" i="1"/>
  <c r="M730" i="1"/>
  <c r="L730" i="1"/>
  <c r="K730" i="1"/>
  <c r="J730" i="1"/>
  <c r="I730" i="1"/>
  <c r="H730" i="1"/>
  <c r="G730" i="1"/>
  <c r="R729" i="1"/>
  <c r="Q729" i="1"/>
  <c r="O729" i="1"/>
  <c r="N729" i="1"/>
  <c r="M729" i="1"/>
  <c r="L729" i="1"/>
  <c r="K729" i="1"/>
  <c r="J729" i="1"/>
  <c r="I729" i="1"/>
  <c r="H729" i="1"/>
  <c r="G729" i="1"/>
  <c r="R728" i="1"/>
  <c r="Q728" i="1"/>
  <c r="O728" i="1"/>
  <c r="N728" i="1"/>
  <c r="M728" i="1"/>
  <c r="L728" i="1"/>
  <c r="K728" i="1"/>
  <c r="J728" i="1"/>
  <c r="I728" i="1"/>
  <c r="H728" i="1"/>
  <c r="G728" i="1"/>
  <c r="R727" i="1"/>
  <c r="Q727" i="1"/>
  <c r="O727" i="1"/>
  <c r="N727" i="1"/>
  <c r="M727" i="1"/>
  <c r="L727" i="1"/>
  <c r="K727" i="1"/>
  <c r="J727" i="1"/>
  <c r="I727" i="1"/>
  <c r="H727" i="1"/>
  <c r="G727" i="1"/>
  <c r="R726" i="1"/>
  <c r="Q726" i="1"/>
  <c r="O726" i="1"/>
  <c r="N726" i="1"/>
  <c r="M726" i="1"/>
  <c r="L726" i="1"/>
  <c r="K726" i="1"/>
  <c r="J726" i="1"/>
  <c r="I726" i="1"/>
  <c r="H726" i="1"/>
  <c r="G726" i="1"/>
  <c r="R725" i="1"/>
  <c r="Q725" i="1"/>
  <c r="O725" i="1"/>
  <c r="N725" i="1"/>
  <c r="M725" i="1"/>
  <c r="L725" i="1"/>
  <c r="K725" i="1"/>
  <c r="J725" i="1"/>
  <c r="I725" i="1"/>
  <c r="H725" i="1"/>
  <c r="G725" i="1"/>
  <c r="R724" i="1"/>
  <c r="Q724" i="1"/>
  <c r="O724" i="1"/>
  <c r="N724" i="1"/>
  <c r="M724" i="1"/>
  <c r="L724" i="1"/>
  <c r="K724" i="1"/>
  <c r="J724" i="1"/>
  <c r="I724" i="1"/>
  <c r="H724" i="1"/>
  <c r="G724" i="1"/>
  <c r="R723" i="1"/>
  <c r="Q723" i="1"/>
  <c r="O723" i="1"/>
  <c r="N723" i="1"/>
  <c r="M723" i="1"/>
  <c r="L723" i="1"/>
  <c r="K723" i="1"/>
  <c r="J723" i="1"/>
  <c r="I723" i="1"/>
  <c r="H723" i="1"/>
  <c r="G723" i="1"/>
  <c r="R722" i="1"/>
  <c r="Q722" i="1"/>
  <c r="O722" i="1"/>
  <c r="N722" i="1"/>
  <c r="M722" i="1"/>
  <c r="L722" i="1"/>
  <c r="K722" i="1"/>
  <c r="J722" i="1"/>
  <c r="I722" i="1"/>
  <c r="H722" i="1"/>
  <c r="G722" i="1"/>
  <c r="R721" i="1"/>
  <c r="Q721" i="1"/>
  <c r="O721" i="1"/>
  <c r="N721" i="1"/>
  <c r="M721" i="1"/>
  <c r="L721" i="1"/>
  <c r="K721" i="1"/>
  <c r="J721" i="1"/>
  <c r="I721" i="1"/>
  <c r="H721" i="1"/>
  <c r="G721" i="1"/>
  <c r="R720" i="1"/>
  <c r="Q720" i="1"/>
  <c r="O720" i="1"/>
  <c r="N720" i="1"/>
  <c r="M720" i="1"/>
  <c r="L720" i="1"/>
  <c r="K720" i="1"/>
  <c r="J720" i="1"/>
  <c r="I720" i="1"/>
  <c r="H720" i="1"/>
  <c r="G720" i="1"/>
  <c r="R719" i="1"/>
  <c r="Q719" i="1"/>
  <c r="O719" i="1"/>
  <c r="N719" i="1"/>
  <c r="M719" i="1"/>
  <c r="L719" i="1"/>
  <c r="K719" i="1"/>
  <c r="J719" i="1"/>
  <c r="I719" i="1"/>
  <c r="H719" i="1"/>
  <c r="G719" i="1"/>
  <c r="R718" i="1"/>
  <c r="Q718" i="1"/>
  <c r="O718" i="1"/>
  <c r="N718" i="1"/>
  <c r="M718" i="1"/>
  <c r="L718" i="1"/>
  <c r="K718" i="1"/>
  <c r="J718" i="1"/>
  <c r="I718" i="1"/>
  <c r="H718" i="1"/>
  <c r="G718" i="1"/>
  <c r="R717" i="1"/>
  <c r="Q717" i="1"/>
  <c r="O717" i="1"/>
  <c r="N717" i="1"/>
  <c r="M717" i="1"/>
  <c r="L717" i="1"/>
  <c r="K717" i="1"/>
  <c r="J717" i="1"/>
  <c r="I717" i="1"/>
  <c r="H717" i="1"/>
  <c r="G717" i="1"/>
  <c r="R716" i="1"/>
  <c r="Q716" i="1"/>
  <c r="O716" i="1"/>
  <c r="N716" i="1"/>
  <c r="M716" i="1"/>
  <c r="L716" i="1"/>
  <c r="K716" i="1"/>
  <c r="J716" i="1"/>
  <c r="I716" i="1"/>
  <c r="H716" i="1"/>
  <c r="G716" i="1"/>
  <c r="R715" i="1"/>
  <c r="Q715" i="1"/>
  <c r="O715" i="1"/>
  <c r="N715" i="1"/>
  <c r="M715" i="1"/>
  <c r="L715" i="1"/>
  <c r="K715" i="1"/>
  <c r="J715" i="1"/>
  <c r="I715" i="1"/>
  <c r="H715" i="1"/>
  <c r="G715" i="1"/>
  <c r="R714" i="1"/>
  <c r="Q714" i="1"/>
  <c r="O714" i="1"/>
  <c r="N714" i="1"/>
  <c r="M714" i="1"/>
  <c r="L714" i="1"/>
  <c r="K714" i="1"/>
  <c r="J714" i="1"/>
  <c r="I714" i="1"/>
  <c r="H714" i="1"/>
  <c r="G714" i="1"/>
  <c r="R713" i="1"/>
  <c r="Q713" i="1"/>
  <c r="O713" i="1"/>
  <c r="N713" i="1"/>
  <c r="M713" i="1"/>
  <c r="L713" i="1"/>
  <c r="K713" i="1"/>
  <c r="J713" i="1"/>
  <c r="I713" i="1"/>
  <c r="H713" i="1"/>
  <c r="G713" i="1"/>
  <c r="R712" i="1"/>
  <c r="Q712" i="1"/>
  <c r="O712" i="1"/>
  <c r="N712" i="1"/>
  <c r="M712" i="1"/>
  <c r="L712" i="1"/>
  <c r="K712" i="1"/>
  <c r="J712" i="1"/>
  <c r="I712" i="1"/>
  <c r="H712" i="1"/>
  <c r="G712" i="1"/>
  <c r="R711" i="1"/>
  <c r="Q711" i="1"/>
  <c r="O711" i="1"/>
  <c r="N711" i="1"/>
  <c r="M711" i="1"/>
  <c r="L711" i="1"/>
  <c r="K711" i="1"/>
  <c r="J711" i="1"/>
  <c r="I711" i="1"/>
  <c r="H711" i="1"/>
  <c r="G711" i="1"/>
  <c r="R710" i="1"/>
  <c r="Q710" i="1"/>
  <c r="O710" i="1"/>
  <c r="N710" i="1"/>
  <c r="M710" i="1"/>
  <c r="L710" i="1"/>
  <c r="K710" i="1"/>
  <c r="J710" i="1"/>
  <c r="I710" i="1"/>
  <c r="H710" i="1"/>
  <c r="G710" i="1"/>
  <c r="R709" i="1"/>
  <c r="Q709" i="1"/>
  <c r="O709" i="1"/>
  <c r="N709" i="1"/>
  <c r="M709" i="1"/>
  <c r="L709" i="1"/>
  <c r="K709" i="1"/>
  <c r="J709" i="1"/>
  <c r="I709" i="1"/>
  <c r="H709" i="1"/>
  <c r="G709" i="1"/>
  <c r="R708" i="1"/>
  <c r="Q708" i="1"/>
  <c r="O708" i="1"/>
  <c r="N708" i="1"/>
  <c r="M708" i="1"/>
  <c r="L708" i="1"/>
  <c r="K708" i="1"/>
  <c r="J708" i="1"/>
  <c r="I708" i="1"/>
  <c r="H708" i="1"/>
  <c r="G708" i="1"/>
  <c r="R707" i="1"/>
  <c r="Q707" i="1"/>
  <c r="O707" i="1"/>
  <c r="N707" i="1"/>
  <c r="M707" i="1"/>
  <c r="L707" i="1"/>
  <c r="K707" i="1"/>
  <c r="J707" i="1"/>
  <c r="I707" i="1"/>
  <c r="H707" i="1"/>
  <c r="G707" i="1"/>
  <c r="R706" i="1"/>
  <c r="Q706" i="1"/>
  <c r="O706" i="1"/>
  <c r="N706" i="1"/>
  <c r="M706" i="1"/>
  <c r="L706" i="1"/>
  <c r="K706" i="1"/>
  <c r="J706" i="1"/>
  <c r="I706" i="1"/>
  <c r="H706" i="1"/>
  <c r="G706" i="1"/>
  <c r="R705" i="1"/>
  <c r="Q705" i="1"/>
  <c r="O705" i="1"/>
  <c r="N705" i="1"/>
  <c r="M705" i="1"/>
  <c r="L705" i="1"/>
  <c r="K705" i="1"/>
  <c r="J705" i="1"/>
  <c r="I705" i="1"/>
  <c r="H705" i="1"/>
  <c r="G705" i="1"/>
  <c r="R704" i="1"/>
  <c r="Q704" i="1"/>
  <c r="O704" i="1"/>
  <c r="N704" i="1"/>
  <c r="M704" i="1"/>
  <c r="L704" i="1"/>
  <c r="K704" i="1"/>
  <c r="J704" i="1"/>
  <c r="I704" i="1"/>
  <c r="H704" i="1"/>
  <c r="G704" i="1"/>
  <c r="R703" i="1"/>
  <c r="Q703" i="1"/>
  <c r="O703" i="1"/>
  <c r="N703" i="1"/>
  <c r="M703" i="1"/>
  <c r="L703" i="1"/>
  <c r="K703" i="1"/>
  <c r="J703" i="1"/>
  <c r="I703" i="1"/>
  <c r="H703" i="1"/>
  <c r="G703" i="1"/>
  <c r="R702" i="1"/>
  <c r="Q702" i="1"/>
  <c r="O702" i="1"/>
  <c r="N702" i="1"/>
  <c r="M702" i="1"/>
  <c r="L702" i="1"/>
  <c r="K702" i="1"/>
  <c r="J702" i="1"/>
  <c r="I702" i="1"/>
  <c r="H702" i="1"/>
  <c r="G702" i="1"/>
  <c r="R701" i="1"/>
  <c r="Q701" i="1"/>
  <c r="O701" i="1"/>
  <c r="N701" i="1"/>
  <c r="M701" i="1"/>
  <c r="L701" i="1"/>
  <c r="K701" i="1"/>
  <c r="J701" i="1"/>
  <c r="I701" i="1"/>
  <c r="H701" i="1"/>
  <c r="G701" i="1"/>
  <c r="R700" i="1"/>
  <c r="Q700" i="1"/>
  <c r="O700" i="1"/>
  <c r="N700" i="1"/>
  <c r="M700" i="1"/>
  <c r="L700" i="1"/>
  <c r="K700" i="1"/>
  <c r="J700" i="1"/>
  <c r="I700" i="1"/>
  <c r="H700" i="1"/>
  <c r="G700" i="1"/>
  <c r="R699" i="1"/>
  <c r="Q699" i="1"/>
  <c r="O699" i="1"/>
  <c r="N699" i="1"/>
  <c r="M699" i="1"/>
  <c r="L699" i="1"/>
  <c r="K699" i="1"/>
  <c r="J699" i="1"/>
  <c r="I699" i="1"/>
  <c r="H699" i="1"/>
  <c r="G699" i="1"/>
  <c r="R698" i="1"/>
  <c r="Q698" i="1"/>
  <c r="O698" i="1"/>
  <c r="N698" i="1"/>
  <c r="M698" i="1"/>
  <c r="L698" i="1"/>
  <c r="K698" i="1"/>
  <c r="J698" i="1"/>
  <c r="I698" i="1"/>
  <c r="H698" i="1"/>
  <c r="G698" i="1"/>
  <c r="R697" i="1"/>
  <c r="Q697" i="1"/>
  <c r="O697" i="1"/>
  <c r="N697" i="1"/>
  <c r="M697" i="1"/>
  <c r="L697" i="1"/>
  <c r="K697" i="1"/>
  <c r="J697" i="1"/>
  <c r="I697" i="1"/>
  <c r="H697" i="1"/>
  <c r="G697" i="1"/>
  <c r="R696" i="1"/>
  <c r="Q696" i="1"/>
  <c r="O696" i="1"/>
  <c r="N696" i="1"/>
  <c r="M696" i="1"/>
  <c r="L696" i="1"/>
  <c r="K696" i="1"/>
  <c r="J696" i="1"/>
  <c r="I696" i="1"/>
  <c r="H696" i="1"/>
  <c r="G696" i="1"/>
  <c r="R695" i="1"/>
  <c r="Q695" i="1"/>
  <c r="O695" i="1"/>
  <c r="N695" i="1"/>
  <c r="M695" i="1"/>
  <c r="L695" i="1"/>
  <c r="K695" i="1"/>
  <c r="J695" i="1"/>
  <c r="I695" i="1"/>
  <c r="H695" i="1"/>
  <c r="G695" i="1"/>
  <c r="R694" i="1"/>
  <c r="Q694" i="1"/>
  <c r="O694" i="1"/>
  <c r="N694" i="1"/>
  <c r="M694" i="1"/>
  <c r="L694" i="1"/>
  <c r="K694" i="1"/>
  <c r="J694" i="1"/>
  <c r="I694" i="1"/>
  <c r="H694" i="1"/>
  <c r="G694" i="1"/>
  <c r="R693" i="1"/>
  <c r="Q693" i="1"/>
  <c r="O693" i="1"/>
  <c r="N693" i="1"/>
  <c r="M693" i="1"/>
  <c r="L693" i="1"/>
  <c r="K693" i="1"/>
  <c r="J693" i="1"/>
  <c r="I693" i="1"/>
  <c r="H693" i="1"/>
  <c r="G693" i="1"/>
  <c r="R692" i="1"/>
  <c r="Q692" i="1"/>
  <c r="O692" i="1"/>
  <c r="N692" i="1"/>
  <c r="M692" i="1"/>
  <c r="L692" i="1"/>
  <c r="K692" i="1"/>
  <c r="J692" i="1"/>
  <c r="I692" i="1"/>
  <c r="H692" i="1"/>
  <c r="G692" i="1"/>
  <c r="R691" i="1"/>
  <c r="Q691" i="1"/>
  <c r="O691" i="1"/>
  <c r="N691" i="1"/>
  <c r="M691" i="1"/>
  <c r="L691" i="1"/>
  <c r="K691" i="1"/>
  <c r="J691" i="1"/>
  <c r="I691" i="1"/>
  <c r="H691" i="1"/>
  <c r="G691" i="1"/>
  <c r="R690" i="1"/>
  <c r="Q690" i="1"/>
  <c r="O690" i="1"/>
  <c r="N690" i="1"/>
  <c r="M690" i="1"/>
  <c r="L690" i="1"/>
  <c r="K690" i="1"/>
  <c r="J690" i="1"/>
  <c r="I690" i="1"/>
  <c r="H690" i="1"/>
  <c r="G690" i="1"/>
  <c r="R689" i="1"/>
  <c r="Q689" i="1"/>
  <c r="O689" i="1"/>
  <c r="N689" i="1"/>
  <c r="M689" i="1"/>
  <c r="L689" i="1"/>
  <c r="K689" i="1"/>
  <c r="J689" i="1"/>
  <c r="I689" i="1"/>
  <c r="H689" i="1"/>
  <c r="G689" i="1"/>
  <c r="R688" i="1"/>
  <c r="Q688" i="1"/>
  <c r="O688" i="1"/>
  <c r="N688" i="1"/>
  <c r="M688" i="1"/>
  <c r="L688" i="1"/>
  <c r="K688" i="1"/>
  <c r="J688" i="1"/>
  <c r="I688" i="1"/>
  <c r="H688" i="1"/>
  <c r="G688" i="1"/>
  <c r="R687" i="1"/>
  <c r="Q687" i="1"/>
  <c r="O687" i="1"/>
  <c r="N687" i="1"/>
  <c r="M687" i="1"/>
  <c r="L687" i="1"/>
  <c r="K687" i="1"/>
  <c r="J687" i="1"/>
  <c r="I687" i="1"/>
  <c r="H687" i="1"/>
  <c r="G687" i="1"/>
  <c r="R686" i="1"/>
  <c r="Q686" i="1"/>
  <c r="O686" i="1"/>
  <c r="N686" i="1"/>
  <c r="M686" i="1"/>
  <c r="L686" i="1"/>
  <c r="K686" i="1"/>
  <c r="J686" i="1"/>
  <c r="I686" i="1"/>
  <c r="H686" i="1"/>
  <c r="G686" i="1"/>
  <c r="R685" i="1"/>
  <c r="Q685" i="1"/>
  <c r="O685" i="1"/>
  <c r="N685" i="1"/>
  <c r="M685" i="1"/>
  <c r="L685" i="1"/>
  <c r="K685" i="1"/>
  <c r="J685" i="1"/>
  <c r="I685" i="1"/>
  <c r="H685" i="1"/>
  <c r="G685" i="1"/>
  <c r="R684" i="1"/>
  <c r="Q684" i="1"/>
  <c r="O684" i="1"/>
  <c r="N684" i="1"/>
  <c r="M684" i="1"/>
  <c r="L684" i="1"/>
  <c r="K684" i="1"/>
  <c r="J684" i="1"/>
  <c r="I684" i="1"/>
  <c r="H684" i="1"/>
  <c r="G684" i="1"/>
  <c r="R683" i="1"/>
  <c r="Q683" i="1"/>
  <c r="O683" i="1"/>
  <c r="N683" i="1"/>
  <c r="M683" i="1"/>
  <c r="L683" i="1"/>
  <c r="K683" i="1"/>
  <c r="J683" i="1"/>
  <c r="I683" i="1"/>
  <c r="H683" i="1"/>
  <c r="G683" i="1"/>
  <c r="R682" i="1"/>
  <c r="Q682" i="1"/>
  <c r="O682" i="1"/>
  <c r="N682" i="1"/>
  <c r="M682" i="1"/>
  <c r="L682" i="1"/>
  <c r="K682" i="1"/>
  <c r="J682" i="1"/>
  <c r="I682" i="1"/>
  <c r="H682" i="1"/>
  <c r="G682" i="1"/>
  <c r="R681" i="1"/>
  <c r="Q681" i="1"/>
  <c r="O681" i="1"/>
  <c r="N681" i="1"/>
  <c r="M681" i="1"/>
  <c r="L681" i="1"/>
  <c r="K681" i="1"/>
  <c r="J681" i="1"/>
  <c r="I681" i="1"/>
  <c r="H681" i="1"/>
  <c r="G681" i="1"/>
  <c r="R680" i="1"/>
  <c r="Q680" i="1"/>
  <c r="O680" i="1"/>
  <c r="N680" i="1"/>
  <c r="M680" i="1"/>
  <c r="L680" i="1"/>
  <c r="K680" i="1"/>
  <c r="J680" i="1"/>
  <c r="I680" i="1"/>
  <c r="H680" i="1"/>
  <c r="G680" i="1"/>
  <c r="R679" i="1"/>
  <c r="Q679" i="1"/>
  <c r="O679" i="1"/>
  <c r="N679" i="1"/>
  <c r="M679" i="1"/>
  <c r="L679" i="1"/>
  <c r="K679" i="1"/>
  <c r="J679" i="1"/>
  <c r="I679" i="1"/>
  <c r="H679" i="1"/>
  <c r="G679" i="1"/>
  <c r="R678" i="1"/>
  <c r="Q678" i="1"/>
  <c r="O678" i="1"/>
  <c r="N678" i="1"/>
  <c r="M678" i="1"/>
  <c r="L678" i="1"/>
  <c r="K678" i="1"/>
  <c r="J678" i="1"/>
  <c r="I678" i="1"/>
  <c r="H678" i="1"/>
  <c r="G678" i="1"/>
  <c r="R677" i="1"/>
  <c r="Q677" i="1"/>
  <c r="O677" i="1"/>
  <c r="N677" i="1"/>
  <c r="M677" i="1"/>
  <c r="L677" i="1"/>
  <c r="K677" i="1"/>
  <c r="J677" i="1"/>
  <c r="I677" i="1"/>
  <c r="H677" i="1"/>
  <c r="G677" i="1"/>
  <c r="R676" i="1"/>
  <c r="Q676" i="1"/>
  <c r="O676" i="1"/>
  <c r="N676" i="1"/>
  <c r="M676" i="1"/>
  <c r="L676" i="1"/>
  <c r="K676" i="1"/>
  <c r="J676" i="1"/>
  <c r="I676" i="1"/>
  <c r="H676" i="1"/>
  <c r="G676" i="1"/>
  <c r="R675" i="1"/>
  <c r="Q675" i="1"/>
  <c r="O675" i="1"/>
  <c r="N675" i="1"/>
  <c r="M675" i="1"/>
  <c r="L675" i="1"/>
  <c r="K675" i="1"/>
  <c r="J675" i="1"/>
  <c r="I675" i="1"/>
  <c r="H675" i="1"/>
  <c r="G675" i="1"/>
  <c r="R674" i="1"/>
  <c r="Q674" i="1"/>
  <c r="O674" i="1"/>
  <c r="N674" i="1"/>
  <c r="M674" i="1"/>
  <c r="L674" i="1"/>
  <c r="K674" i="1"/>
  <c r="J674" i="1"/>
  <c r="I674" i="1"/>
  <c r="H674" i="1"/>
  <c r="G674" i="1"/>
  <c r="R673" i="1"/>
  <c r="Q673" i="1"/>
  <c r="O673" i="1"/>
  <c r="N673" i="1"/>
  <c r="M673" i="1"/>
  <c r="L673" i="1"/>
  <c r="K673" i="1"/>
  <c r="J673" i="1"/>
  <c r="I673" i="1"/>
  <c r="H673" i="1"/>
  <c r="G673" i="1"/>
  <c r="R672" i="1"/>
  <c r="Q672" i="1"/>
  <c r="O672" i="1"/>
  <c r="N672" i="1"/>
  <c r="M672" i="1"/>
  <c r="L672" i="1"/>
  <c r="K672" i="1"/>
  <c r="J672" i="1"/>
  <c r="I672" i="1"/>
  <c r="H672" i="1"/>
  <c r="G672" i="1"/>
  <c r="R671" i="1"/>
  <c r="Q671" i="1"/>
  <c r="O671" i="1"/>
  <c r="N671" i="1"/>
  <c r="M671" i="1"/>
  <c r="L671" i="1"/>
  <c r="K671" i="1"/>
  <c r="J671" i="1"/>
  <c r="I671" i="1"/>
  <c r="H671" i="1"/>
  <c r="G671" i="1"/>
  <c r="R670" i="1"/>
  <c r="Q670" i="1"/>
  <c r="O670" i="1"/>
  <c r="N670" i="1"/>
  <c r="M670" i="1"/>
  <c r="L670" i="1"/>
  <c r="K670" i="1"/>
  <c r="J670" i="1"/>
  <c r="I670" i="1"/>
  <c r="H670" i="1"/>
  <c r="G670" i="1"/>
  <c r="R669" i="1"/>
  <c r="Q669" i="1"/>
  <c r="O669" i="1"/>
  <c r="N669" i="1"/>
  <c r="M669" i="1"/>
  <c r="L669" i="1"/>
  <c r="K669" i="1"/>
  <c r="J669" i="1"/>
  <c r="I669" i="1"/>
  <c r="H669" i="1"/>
  <c r="G669" i="1"/>
  <c r="R668" i="1"/>
  <c r="Q668" i="1"/>
  <c r="O668" i="1"/>
  <c r="N668" i="1"/>
  <c r="M668" i="1"/>
  <c r="L668" i="1"/>
  <c r="K668" i="1"/>
  <c r="J668" i="1"/>
  <c r="I668" i="1"/>
  <c r="H668" i="1"/>
  <c r="G668" i="1"/>
  <c r="R667" i="1"/>
  <c r="Q667" i="1"/>
  <c r="O667" i="1"/>
  <c r="N667" i="1"/>
  <c r="M667" i="1"/>
  <c r="L667" i="1"/>
  <c r="K667" i="1"/>
  <c r="J667" i="1"/>
  <c r="I667" i="1"/>
  <c r="H667" i="1"/>
  <c r="G667" i="1"/>
  <c r="R666" i="1"/>
  <c r="Q666" i="1"/>
  <c r="O666" i="1"/>
  <c r="N666" i="1"/>
  <c r="M666" i="1"/>
  <c r="L666" i="1"/>
  <c r="K666" i="1"/>
  <c r="J666" i="1"/>
  <c r="I666" i="1"/>
  <c r="H666" i="1"/>
  <c r="G666" i="1"/>
  <c r="R665" i="1"/>
  <c r="Q665" i="1"/>
  <c r="O665" i="1"/>
  <c r="N665" i="1"/>
  <c r="M665" i="1"/>
  <c r="L665" i="1"/>
  <c r="K665" i="1"/>
  <c r="J665" i="1"/>
  <c r="I665" i="1"/>
  <c r="H665" i="1"/>
  <c r="G665" i="1"/>
  <c r="R664" i="1"/>
  <c r="Q664" i="1"/>
  <c r="O664" i="1"/>
  <c r="N664" i="1"/>
  <c r="M664" i="1"/>
  <c r="L664" i="1"/>
  <c r="K664" i="1"/>
  <c r="J664" i="1"/>
  <c r="I664" i="1"/>
  <c r="H664" i="1"/>
  <c r="G664" i="1"/>
  <c r="R663" i="1"/>
  <c r="Q663" i="1"/>
  <c r="O663" i="1"/>
  <c r="N663" i="1"/>
  <c r="M663" i="1"/>
  <c r="L663" i="1"/>
  <c r="K663" i="1"/>
  <c r="J663" i="1"/>
  <c r="I663" i="1"/>
  <c r="H663" i="1"/>
  <c r="G663" i="1"/>
  <c r="R662" i="1"/>
  <c r="Q662" i="1"/>
  <c r="O662" i="1"/>
  <c r="N662" i="1"/>
  <c r="M662" i="1"/>
  <c r="L662" i="1"/>
  <c r="K662" i="1"/>
  <c r="J662" i="1"/>
  <c r="I662" i="1"/>
  <c r="H662" i="1"/>
  <c r="G662" i="1"/>
  <c r="R661" i="1"/>
  <c r="Q661" i="1"/>
  <c r="O661" i="1"/>
  <c r="N661" i="1"/>
  <c r="M661" i="1"/>
  <c r="L661" i="1"/>
  <c r="K661" i="1"/>
  <c r="J661" i="1"/>
  <c r="I661" i="1"/>
  <c r="H661" i="1"/>
  <c r="G661" i="1"/>
  <c r="R660" i="1"/>
  <c r="Q660" i="1"/>
  <c r="O660" i="1"/>
  <c r="N660" i="1"/>
  <c r="M660" i="1"/>
  <c r="L660" i="1"/>
  <c r="K660" i="1"/>
  <c r="J660" i="1"/>
  <c r="I660" i="1"/>
  <c r="H660" i="1"/>
  <c r="G660" i="1"/>
  <c r="R659" i="1"/>
  <c r="Q659" i="1"/>
  <c r="O659" i="1"/>
  <c r="N659" i="1"/>
  <c r="M659" i="1"/>
  <c r="L659" i="1"/>
  <c r="K659" i="1"/>
  <c r="J659" i="1"/>
  <c r="I659" i="1"/>
  <c r="H659" i="1"/>
  <c r="G659" i="1"/>
  <c r="R658" i="1"/>
  <c r="Q658" i="1"/>
  <c r="O658" i="1"/>
  <c r="N658" i="1"/>
  <c r="M658" i="1"/>
  <c r="L658" i="1"/>
  <c r="K658" i="1"/>
  <c r="J658" i="1"/>
  <c r="I658" i="1"/>
  <c r="H658" i="1"/>
  <c r="G658" i="1"/>
  <c r="R657" i="1"/>
  <c r="Q657" i="1"/>
  <c r="O657" i="1"/>
  <c r="N657" i="1"/>
  <c r="M657" i="1"/>
  <c r="L657" i="1"/>
  <c r="K657" i="1"/>
  <c r="J657" i="1"/>
  <c r="I657" i="1"/>
  <c r="H657" i="1"/>
  <c r="G657" i="1"/>
  <c r="R656" i="1"/>
  <c r="Q656" i="1"/>
  <c r="O656" i="1"/>
  <c r="N656" i="1"/>
  <c r="M656" i="1"/>
  <c r="L656" i="1"/>
  <c r="K656" i="1"/>
  <c r="J656" i="1"/>
  <c r="I656" i="1"/>
  <c r="H656" i="1"/>
  <c r="G656" i="1"/>
  <c r="R655" i="1"/>
  <c r="Q655" i="1"/>
  <c r="O655" i="1"/>
  <c r="N655" i="1"/>
  <c r="M655" i="1"/>
  <c r="L655" i="1"/>
  <c r="K655" i="1"/>
  <c r="J655" i="1"/>
  <c r="I655" i="1"/>
  <c r="H655" i="1"/>
  <c r="G655" i="1"/>
  <c r="R654" i="1"/>
  <c r="Q654" i="1"/>
  <c r="O654" i="1"/>
  <c r="N654" i="1"/>
  <c r="M654" i="1"/>
  <c r="L654" i="1"/>
  <c r="K654" i="1"/>
  <c r="J654" i="1"/>
  <c r="I654" i="1"/>
  <c r="H654" i="1"/>
  <c r="G654" i="1"/>
  <c r="R653" i="1"/>
  <c r="Q653" i="1"/>
  <c r="O653" i="1"/>
  <c r="N653" i="1"/>
  <c r="M653" i="1"/>
  <c r="L653" i="1"/>
  <c r="K653" i="1"/>
  <c r="J653" i="1"/>
  <c r="I653" i="1"/>
  <c r="H653" i="1"/>
  <c r="G653" i="1"/>
  <c r="R652" i="1"/>
  <c r="Q652" i="1"/>
  <c r="O652" i="1"/>
  <c r="N652" i="1"/>
  <c r="M652" i="1"/>
  <c r="L652" i="1"/>
  <c r="K652" i="1"/>
  <c r="J652" i="1"/>
  <c r="I652" i="1"/>
  <c r="H652" i="1"/>
  <c r="G652" i="1"/>
  <c r="R651" i="1"/>
  <c r="Q651" i="1"/>
  <c r="O651" i="1"/>
  <c r="N651" i="1"/>
  <c r="M651" i="1"/>
  <c r="L651" i="1"/>
  <c r="K651" i="1"/>
  <c r="J651" i="1"/>
  <c r="I651" i="1"/>
  <c r="H651" i="1"/>
  <c r="G651" i="1"/>
  <c r="R650" i="1"/>
  <c r="Q650" i="1"/>
  <c r="O650" i="1"/>
  <c r="N650" i="1"/>
  <c r="M650" i="1"/>
  <c r="L650" i="1"/>
  <c r="K650" i="1"/>
  <c r="J650" i="1"/>
  <c r="I650" i="1"/>
  <c r="H650" i="1"/>
  <c r="G650" i="1"/>
  <c r="R649" i="1"/>
  <c r="Q649" i="1"/>
  <c r="O649" i="1"/>
  <c r="N649" i="1"/>
  <c r="M649" i="1"/>
  <c r="L649" i="1"/>
  <c r="K649" i="1"/>
  <c r="J649" i="1"/>
  <c r="I649" i="1"/>
  <c r="H649" i="1"/>
  <c r="G649" i="1"/>
  <c r="R648" i="1"/>
  <c r="Q648" i="1"/>
  <c r="O648" i="1"/>
  <c r="N648" i="1"/>
  <c r="M648" i="1"/>
  <c r="L648" i="1"/>
  <c r="K648" i="1"/>
  <c r="J648" i="1"/>
  <c r="I648" i="1"/>
  <c r="H648" i="1"/>
  <c r="G648" i="1"/>
  <c r="R647" i="1"/>
  <c r="Q647" i="1"/>
  <c r="O647" i="1"/>
  <c r="N647" i="1"/>
  <c r="M647" i="1"/>
  <c r="L647" i="1"/>
  <c r="K647" i="1"/>
  <c r="J647" i="1"/>
  <c r="I647" i="1"/>
  <c r="H647" i="1"/>
  <c r="G647" i="1"/>
  <c r="R646" i="1"/>
  <c r="Q646" i="1"/>
  <c r="O646" i="1"/>
  <c r="N646" i="1"/>
  <c r="M646" i="1"/>
  <c r="L646" i="1"/>
  <c r="K646" i="1"/>
  <c r="J646" i="1"/>
  <c r="I646" i="1"/>
  <c r="H646" i="1"/>
  <c r="G646" i="1"/>
  <c r="R645" i="1"/>
  <c r="Q645" i="1"/>
  <c r="P645" i="1"/>
  <c r="O645" i="1"/>
  <c r="N645" i="1"/>
  <c r="M645" i="1"/>
  <c r="L645" i="1"/>
  <c r="K645" i="1"/>
  <c r="J645" i="1"/>
  <c r="I645" i="1"/>
  <c r="H645" i="1"/>
  <c r="G645" i="1"/>
  <c r="R644" i="1"/>
  <c r="Q644" i="1"/>
  <c r="P644" i="1"/>
  <c r="O644" i="1"/>
  <c r="N644" i="1"/>
  <c r="M644" i="1"/>
  <c r="L644" i="1"/>
  <c r="K644" i="1"/>
  <c r="J644" i="1"/>
  <c r="I644" i="1"/>
  <c r="H644" i="1"/>
  <c r="G644" i="1"/>
  <c r="R643" i="1"/>
  <c r="Q643" i="1"/>
  <c r="P643" i="1"/>
  <c r="O643" i="1"/>
  <c r="N643" i="1"/>
  <c r="M643" i="1"/>
  <c r="L643" i="1"/>
  <c r="K643" i="1"/>
  <c r="J643" i="1"/>
  <c r="I643" i="1"/>
  <c r="H643" i="1"/>
  <c r="G643" i="1"/>
  <c r="R642" i="1"/>
  <c r="Q642" i="1"/>
  <c r="P642" i="1"/>
  <c r="O642" i="1"/>
  <c r="N642" i="1"/>
  <c r="M642" i="1"/>
  <c r="L642" i="1"/>
  <c r="K642" i="1"/>
  <c r="J642" i="1"/>
  <c r="I642" i="1"/>
  <c r="H642" i="1"/>
  <c r="G642" i="1"/>
  <c r="R641" i="1"/>
  <c r="Q641" i="1"/>
  <c r="P641" i="1"/>
  <c r="O641" i="1"/>
  <c r="N641" i="1"/>
  <c r="M641" i="1"/>
  <c r="L641" i="1"/>
  <c r="K641" i="1"/>
  <c r="J641" i="1"/>
  <c r="I641" i="1"/>
  <c r="H641" i="1"/>
  <c r="G641" i="1"/>
  <c r="R640" i="1"/>
  <c r="Q640" i="1"/>
  <c r="P640" i="1"/>
  <c r="O640" i="1"/>
  <c r="N640" i="1"/>
  <c r="M640" i="1"/>
  <c r="L640" i="1"/>
  <c r="K640" i="1"/>
  <c r="J640" i="1"/>
  <c r="I640" i="1"/>
  <c r="H640" i="1"/>
  <c r="G640" i="1"/>
  <c r="R639" i="1"/>
  <c r="Q639" i="1"/>
  <c r="P639" i="1"/>
  <c r="O639" i="1"/>
  <c r="N639" i="1"/>
  <c r="M639" i="1"/>
  <c r="L639" i="1"/>
  <c r="K639" i="1"/>
  <c r="J639" i="1"/>
  <c r="I639" i="1"/>
  <c r="H639" i="1"/>
  <c r="G639" i="1"/>
  <c r="R638" i="1"/>
  <c r="Q638" i="1"/>
  <c r="P638" i="1"/>
  <c r="O638" i="1"/>
  <c r="N638" i="1"/>
  <c r="M638" i="1"/>
  <c r="L638" i="1"/>
  <c r="K638" i="1"/>
  <c r="J638" i="1"/>
  <c r="I638" i="1"/>
  <c r="H638" i="1"/>
  <c r="G638" i="1"/>
  <c r="R637" i="1"/>
  <c r="Q637" i="1"/>
  <c r="P637" i="1"/>
  <c r="O637" i="1"/>
  <c r="N637" i="1"/>
  <c r="M637" i="1"/>
  <c r="L637" i="1"/>
  <c r="K637" i="1"/>
  <c r="J637" i="1"/>
  <c r="I637" i="1"/>
  <c r="H637" i="1"/>
  <c r="G637" i="1"/>
  <c r="R636" i="1"/>
  <c r="Q636" i="1"/>
  <c r="P636" i="1"/>
  <c r="O636" i="1"/>
  <c r="N636" i="1"/>
  <c r="M636" i="1"/>
  <c r="L636" i="1"/>
  <c r="K636" i="1"/>
  <c r="J636" i="1"/>
  <c r="I636" i="1"/>
  <c r="H636" i="1"/>
  <c r="G636" i="1"/>
  <c r="R635" i="1"/>
  <c r="Q635" i="1"/>
  <c r="P635" i="1"/>
  <c r="O635" i="1"/>
  <c r="N635" i="1"/>
  <c r="M635" i="1"/>
  <c r="L635" i="1"/>
  <c r="K635" i="1"/>
  <c r="J635" i="1"/>
  <c r="I635" i="1"/>
  <c r="H635" i="1"/>
  <c r="G635" i="1"/>
  <c r="R634" i="1"/>
  <c r="Q634" i="1"/>
  <c r="P634" i="1"/>
  <c r="O634" i="1"/>
  <c r="N634" i="1"/>
  <c r="M634" i="1"/>
  <c r="L634" i="1"/>
  <c r="K634" i="1"/>
  <c r="J634" i="1"/>
  <c r="I634" i="1"/>
  <c r="H634" i="1"/>
  <c r="G634" i="1"/>
  <c r="R633" i="1"/>
  <c r="Q633" i="1"/>
  <c r="P633" i="1"/>
  <c r="O633" i="1"/>
  <c r="N633" i="1"/>
  <c r="M633" i="1"/>
  <c r="L633" i="1"/>
  <c r="K633" i="1"/>
  <c r="J633" i="1"/>
  <c r="I633" i="1"/>
  <c r="H633" i="1"/>
  <c r="G633" i="1"/>
  <c r="R632" i="1"/>
  <c r="Q632" i="1"/>
  <c r="P632" i="1"/>
  <c r="O632" i="1"/>
  <c r="N632" i="1"/>
  <c r="M632" i="1"/>
  <c r="L632" i="1"/>
  <c r="K632" i="1"/>
  <c r="J632" i="1"/>
  <c r="I632" i="1"/>
  <c r="H632" i="1"/>
  <c r="G632" i="1"/>
  <c r="R631" i="1"/>
  <c r="Q631" i="1"/>
  <c r="P631" i="1"/>
  <c r="O631" i="1"/>
  <c r="N631" i="1"/>
  <c r="M631" i="1"/>
  <c r="L631" i="1"/>
  <c r="K631" i="1"/>
  <c r="J631" i="1"/>
  <c r="I631" i="1"/>
  <c r="H631" i="1"/>
  <c r="G631" i="1"/>
  <c r="R630" i="1"/>
  <c r="Q630" i="1"/>
  <c r="P630" i="1"/>
  <c r="O630" i="1"/>
  <c r="N630" i="1"/>
  <c r="M630" i="1"/>
  <c r="L630" i="1"/>
  <c r="K630" i="1"/>
  <c r="J630" i="1"/>
  <c r="I630" i="1"/>
  <c r="H630" i="1"/>
  <c r="G630" i="1"/>
  <c r="R629" i="1"/>
  <c r="Q629" i="1"/>
  <c r="P629" i="1"/>
  <c r="O629" i="1"/>
  <c r="N629" i="1"/>
  <c r="M629" i="1"/>
  <c r="L629" i="1"/>
  <c r="K629" i="1"/>
  <c r="J629" i="1"/>
  <c r="I629" i="1"/>
  <c r="H629" i="1"/>
  <c r="G629" i="1"/>
  <c r="R628" i="1"/>
  <c r="Q628" i="1"/>
  <c r="P628" i="1"/>
  <c r="O628" i="1"/>
  <c r="N628" i="1"/>
  <c r="M628" i="1"/>
  <c r="L628" i="1"/>
  <c r="K628" i="1"/>
  <c r="J628" i="1"/>
  <c r="I628" i="1"/>
  <c r="H628" i="1"/>
  <c r="G628" i="1"/>
  <c r="R627" i="1"/>
  <c r="Q627" i="1"/>
  <c r="P627" i="1"/>
  <c r="O627" i="1"/>
  <c r="N627" i="1"/>
  <c r="M627" i="1"/>
  <c r="L627" i="1"/>
  <c r="K627" i="1"/>
  <c r="J627" i="1"/>
  <c r="I627" i="1"/>
  <c r="H627" i="1"/>
  <c r="G627" i="1"/>
  <c r="R626" i="1"/>
  <c r="Q626" i="1"/>
  <c r="P626" i="1"/>
  <c r="O626" i="1"/>
  <c r="N626" i="1"/>
  <c r="M626" i="1"/>
  <c r="L626" i="1"/>
  <c r="K626" i="1"/>
  <c r="J626" i="1"/>
  <c r="I626" i="1"/>
  <c r="H626" i="1"/>
  <c r="G626" i="1"/>
  <c r="R625" i="1"/>
  <c r="Q625" i="1"/>
  <c r="P625" i="1"/>
  <c r="O625" i="1"/>
  <c r="N625" i="1"/>
  <c r="M625" i="1"/>
  <c r="L625" i="1"/>
  <c r="K625" i="1"/>
  <c r="J625" i="1"/>
  <c r="I625" i="1"/>
  <c r="H625" i="1"/>
  <c r="G625" i="1"/>
  <c r="R624" i="1"/>
  <c r="Q624" i="1"/>
  <c r="P624" i="1"/>
  <c r="O624" i="1"/>
  <c r="N624" i="1"/>
  <c r="M624" i="1"/>
  <c r="L624" i="1"/>
  <c r="K624" i="1"/>
  <c r="J624" i="1"/>
  <c r="I624" i="1"/>
  <c r="H624" i="1"/>
  <c r="G624" i="1"/>
  <c r="R623" i="1"/>
  <c r="Q623" i="1"/>
  <c r="P623" i="1"/>
  <c r="O623" i="1"/>
  <c r="N623" i="1"/>
  <c r="M623" i="1"/>
  <c r="L623" i="1"/>
  <c r="K623" i="1"/>
  <c r="J623" i="1"/>
  <c r="I623" i="1"/>
  <c r="H623" i="1"/>
  <c r="G623" i="1"/>
  <c r="R622" i="1"/>
  <c r="Q622" i="1"/>
  <c r="P622" i="1"/>
  <c r="O622" i="1"/>
  <c r="N622" i="1"/>
  <c r="M622" i="1"/>
  <c r="L622" i="1"/>
  <c r="K622" i="1"/>
  <c r="J622" i="1"/>
  <c r="I622" i="1"/>
  <c r="H622" i="1"/>
  <c r="G622" i="1"/>
  <c r="R621" i="1"/>
  <c r="Q621" i="1"/>
  <c r="P621" i="1"/>
  <c r="O621" i="1"/>
  <c r="N621" i="1"/>
  <c r="M621" i="1"/>
  <c r="L621" i="1"/>
  <c r="K621" i="1"/>
  <c r="J621" i="1"/>
  <c r="I621" i="1"/>
  <c r="H621" i="1"/>
  <c r="G621" i="1"/>
  <c r="R620" i="1"/>
  <c r="Q620" i="1"/>
  <c r="P620" i="1"/>
  <c r="O620" i="1"/>
  <c r="N620" i="1"/>
  <c r="M620" i="1"/>
  <c r="L620" i="1"/>
  <c r="K620" i="1"/>
  <c r="J620" i="1"/>
  <c r="I620" i="1"/>
  <c r="H620" i="1"/>
  <c r="G620" i="1"/>
  <c r="R619" i="1"/>
  <c r="Q619" i="1"/>
  <c r="P619" i="1"/>
  <c r="O619" i="1"/>
  <c r="N619" i="1"/>
  <c r="M619" i="1"/>
  <c r="L619" i="1"/>
  <c r="K619" i="1"/>
  <c r="J619" i="1"/>
  <c r="I619" i="1"/>
  <c r="H619" i="1"/>
  <c r="G619" i="1"/>
  <c r="R618" i="1"/>
  <c r="Q618" i="1"/>
  <c r="P618" i="1"/>
  <c r="O618" i="1"/>
  <c r="N618" i="1"/>
  <c r="M618" i="1"/>
  <c r="L618" i="1"/>
  <c r="K618" i="1"/>
  <c r="J618" i="1"/>
  <c r="I618" i="1"/>
  <c r="H618" i="1"/>
  <c r="G618" i="1"/>
  <c r="R617" i="1"/>
  <c r="Q617" i="1"/>
  <c r="P617" i="1"/>
  <c r="O617" i="1"/>
  <c r="N617" i="1"/>
  <c r="M617" i="1"/>
  <c r="L617" i="1"/>
  <c r="K617" i="1"/>
  <c r="J617" i="1"/>
  <c r="I617" i="1"/>
  <c r="H617" i="1"/>
  <c r="G617" i="1"/>
  <c r="R616" i="1"/>
  <c r="Q616" i="1"/>
  <c r="P616" i="1"/>
  <c r="O616" i="1"/>
  <c r="N616" i="1"/>
  <c r="M616" i="1"/>
  <c r="L616" i="1"/>
  <c r="K616" i="1"/>
  <c r="J616" i="1"/>
  <c r="I616" i="1"/>
  <c r="H616" i="1"/>
  <c r="G616" i="1"/>
  <c r="R615" i="1"/>
  <c r="Q615" i="1"/>
  <c r="P615" i="1"/>
  <c r="O615" i="1"/>
  <c r="N615" i="1"/>
  <c r="M615" i="1"/>
  <c r="L615" i="1"/>
  <c r="K615" i="1"/>
  <c r="J615" i="1"/>
  <c r="I615" i="1"/>
  <c r="H615" i="1"/>
  <c r="G615" i="1"/>
  <c r="R614" i="1"/>
  <c r="Q614" i="1"/>
  <c r="P614" i="1"/>
  <c r="O614" i="1"/>
  <c r="N614" i="1"/>
  <c r="M614" i="1"/>
  <c r="L614" i="1"/>
  <c r="K614" i="1"/>
  <c r="J614" i="1"/>
  <c r="I614" i="1"/>
  <c r="H614" i="1"/>
  <c r="G614" i="1"/>
  <c r="R613" i="1"/>
  <c r="Q613" i="1"/>
  <c r="P613" i="1"/>
  <c r="O613" i="1"/>
  <c r="N613" i="1"/>
  <c r="M613" i="1"/>
  <c r="L613" i="1"/>
  <c r="K613" i="1"/>
  <c r="J613" i="1"/>
  <c r="I613" i="1"/>
  <c r="H613" i="1"/>
  <c r="G613" i="1"/>
  <c r="R612" i="1"/>
  <c r="Q612" i="1"/>
  <c r="P612" i="1"/>
  <c r="O612" i="1"/>
  <c r="N612" i="1"/>
  <c r="M612" i="1"/>
  <c r="L612" i="1"/>
  <c r="K612" i="1"/>
  <c r="J612" i="1"/>
  <c r="I612" i="1"/>
  <c r="H612" i="1"/>
  <c r="G612" i="1"/>
  <c r="R611" i="1"/>
  <c r="Q611" i="1"/>
  <c r="P611" i="1"/>
  <c r="O611" i="1"/>
  <c r="N611" i="1"/>
  <c r="M611" i="1"/>
  <c r="L611" i="1"/>
  <c r="K611" i="1"/>
  <c r="J611" i="1"/>
  <c r="I611" i="1"/>
  <c r="H611" i="1"/>
  <c r="G611" i="1"/>
  <c r="R610" i="1"/>
  <c r="Q610" i="1"/>
  <c r="P610" i="1"/>
  <c r="O610" i="1"/>
  <c r="N610" i="1"/>
  <c r="M610" i="1"/>
  <c r="L610" i="1"/>
  <c r="K610" i="1"/>
  <c r="J610" i="1"/>
  <c r="I610" i="1"/>
  <c r="H610" i="1"/>
  <c r="G610" i="1"/>
  <c r="R609" i="1"/>
  <c r="Q609" i="1"/>
  <c r="P609" i="1"/>
  <c r="O609" i="1"/>
  <c r="N609" i="1"/>
  <c r="M609" i="1"/>
  <c r="L609" i="1"/>
  <c r="K609" i="1"/>
  <c r="J609" i="1"/>
  <c r="I609" i="1"/>
  <c r="H609" i="1"/>
  <c r="G609" i="1"/>
  <c r="R608" i="1"/>
  <c r="Q608" i="1"/>
  <c r="P608" i="1"/>
  <c r="O608" i="1"/>
  <c r="N608" i="1"/>
  <c r="M608" i="1"/>
  <c r="L608" i="1"/>
  <c r="K608" i="1"/>
  <c r="J608" i="1"/>
  <c r="I608" i="1"/>
  <c r="H608" i="1"/>
  <c r="G608" i="1"/>
  <c r="R607" i="1"/>
  <c r="Q607" i="1"/>
  <c r="P607" i="1"/>
  <c r="O607" i="1"/>
  <c r="N607" i="1"/>
  <c r="M607" i="1"/>
  <c r="L607" i="1"/>
  <c r="K607" i="1"/>
  <c r="J607" i="1"/>
  <c r="I607" i="1"/>
  <c r="H607" i="1"/>
  <c r="G607" i="1"/>
  <c r="R606" i="1"/>
  <c r="Q606" i="1"/>
  <c r="P606" i="1"/>
  <c r="O606" i="1"/>
  <c r="N606" i="1"/>
  <c r="M606" i="1"/>
  <c r="L606" i="1"/>
  <c r="K606" i="1"/>
  <c r="J606" i="1"/>
  <c r="I606" i="1"/>
  <c r="H606" i="1"/>
  <c r="G606" i="1"/>
  <c r="R605" i="1"/>
  <c r="Q605" i="1"/>
  <c r="P605" i="1"/>
  <c r="O605" i="1"/>
  <c r="N605" i="1"/>
  <c r="M605" i="1"/>
  <c r="L605" i="1"/>
  <c r="K605" i="1"/>
  <c r="J605" i="1"/>
  <c r="I605" i="1"/>
  <c r="H605" i="1"/>
  <c r="G605" i="1"/>
  <c r="R604" i="1"/>
  <c r="Q604" i="1"/>
  <c r="P604" i="1"/>
  <c r="O604" i="1"/>
  <c r="N604" i="1"/>
  <c r="M604" i="1"/>
  <c r="L604" i="1"/>
  <c r="K604" i="1"/>
  <c r="J604" i="1"/>
  <c r="I604" i="1"/>
  <c r="H604" i="1"/>
  <c r="G604" i="1"/>
  <c r="R603" i="1"/>
  <c r="Q603" i="1"/>
  <c r="P603" i="1"/>
  <c r="O603" i="1"/>
  <c r="N603" i="1"/>
  <c r="M603" i="1"/>
  <c r="L603" i="1"/>
  <c r="K603" i="1"/>
  <c r="J603" i="1"/>
  <c r="I603" i="1"/>
  <c r="H603" i="1"/>
  <c r="G603" i="1"/>
  <c r="R602" i="1"/>
  <c r="Q602" i="1"/>
  <c r="P602" i="1"/>
  <c r="O602" i="1"/>
  <c r="N602" i="1"/>
  <c r="M602" i="1"/>
  <c r="L602" i="1"/>
  <c r="K602" i="1"/>
  <c r="J602" i="1"/>
  <c r="I602" i="1"/>
  <c r="H602" i="1"/>
  <c r="G602" i="1"/>
  <c r="R601" i="1"/>
  <c r="Q601" i="1"/>
  <c r="P601" i="1"/>
  <c r="O601" i="1"/>
  <c r="N601" i="1"/>
  <c r="M601" i="1"/>
  <c r="L601" i="1"/>
  <c r="K601" i="1"/>
  <c r="J601" i="1"/>
  <c r="I601" i="1"/>
  <c r="H601" i="1"/>
  <c r="G601" i="1"/>
  <c r="R600" i="1"/>
  <c r="Q600" i="1"/>
  <c r="P600" i="1"/>
  <c r="O600" i="1"/>
  <c r="N600" i="1"/>
  <c r="M600" i="1"/>
  <c r="L600" i="1"/>
  <c r="K600" i="1"/>
  <c r="J600" i="1"/>
  <c r="I600" i="1"/>
  <c r="H600" i="1"/>
  <c r="G600" i="1"/>
  <c r="R599" i="1"/>
  <c r="Q599" i="1"/>
  <c r="P599" i="1"/>
  <c r="O599" i="1"/>
  <c r="N599" i="1"/>
  <c r="M599" i="1"/>
  <c r="L599" i="1"/>
  <c r="K599" i="1"/>
  <c r="J599" i="1"/>
  <c r="I599" i="1"/>
  <c r="H599" i="1"/>
  <c r="G599" i="1"/>
  <c r="R598" i="1"/>
  <c r="Q598" i="1"/>
  <c r="P598" i="1"/>
  <c r="O598" i="1"/>
  <c r="N598" i="1"/>
  <c r="M598" i="1"/>
  <c r="L598" i="1"/>
  <c r="K598" i="1"/>
  <c r="J598" i="1"/>
  <c r="I598" i="1"/>
  <c r="H598" i="1"/>
  <c r="G598" i="1"/>
  <c r="R597" i="1"/>
  <c r="Q597" i="1"/>
  <c r="P597" i="1"/>
  <c r="O597" i="1"/>
  <c r="N597" i="1"/>
  <c r="M597" i="1"/>
  <c r="L597" i="1"/>
  <c r="K597" i="1"/>
  <c r="J597" i="1"/>
  <c r="I597" i="1"/>
  <c r="H597" i="1"/>
  <c r="G597" i="1"/>
  <c r="R596" i="1"/>
  <c r="Q596" i="1"/>
  <c r="P596" i="1"/>
  <c r="O596" i="1"/>
  <c r="N596" i="1"/>
  <c r="M596" i="1"/>
  <c r="L596" i="1"/>
  <c r="K596" i="1"/>
  <c r="J596" i="1"/>
  <c r="I596" i="1"/>
  <c r="H596" i="1"/>
  <c r="G596" i="1"/>
  <c r="R595" i="1"/>
  <c r="Q595" i="1"/>
  <c r="P595" i="1"/>
  <c r="O595" i="1"/>
  <c r="N595" i="1"/>
  <c r="M595" i="1"/>
  <c r="L595" i="1"/>
  <c r="K595" i="1"/>
  <c r="J595" i="1"/>
  <c r="I595" i="1"/>
  <c r="H595" i="1"/>
  <c r="G595" i="1"/>
  <c r="R594" i="1"/>
  <c r="Q594" i="1"/>
  <c r="P594" i="1"/>
  <c r="O594" i="1"/>
  <c r="N594" i="1"/>
  <c r="M594" i="1"/>
  <c r="L594" i="1"/>
  <c r="K594" i="1"/>
  <c r="J594" i="1"/>
  <c r="I594" i="1"/>
  <c r="H594" i="1"/>
  <c r="G594" i="1"/>
  <c r="R593" i="1"/>
  <c r="Q593" i="1"/>
  <c r="P593" i="1"/>
  <c r="O593" i="1"/>
  <c r="N593" i="1"/>
  <c r="M593" i="1"/>
  <c r="L593" i="1"/>
  <c r="K593" i="1"/>
  <c r="J593" i="1"/>
  <c r="I593" i="1"/>
  <c r="H593" i="1"/>
  <c r="G593" i="1"/>
  <c r="R592" i="1"/>
  <c r="Q592" i="1"/>
  <c r="P592" i="1"/>
  <c r="O592" i="1"/>
  <c r="N592" i="1"/>
  <c r="M592" i="1"/>
  <c r="L592" i="1"/>
  <c r="K592" i="1"/>
  <c r="J592" i="1"/>
  <c r="I592" i="1"/>
  <c r="H592" i="1"/>
  <c r="G592" i="1"/>
  <c r="R591" i="1"/>
  <c r="Q591" i="1"/>
  <c r="P591" i="1"/>
  <c r="O591" i="1"/>
  <c r="N591" i="1"/>
  <c r="M591" i="1"/>
  <c r="L591" i="1"/>
  <c r="K591" i="1"/>
  <c r="J591" i="1"/>
  <c r="I591" i="1"/>
  <c r="H591" i="1"/>
  <c r="G591" i="1"/>
  <c r="R590" i="1"/>
  <c r="Q590" i="1"/>
  <c r="P590" i="1"/>
  <c r="O590" i="1"/>
  <c r="N590" i="1"/>
  <c r="M590" i="1"/>
  <c r="L590" i="1"/>
  <c r="K590" i="1"/>
  <c r="J590" i="1"/>
  <c r="I590" i="1"/>
  <c r="H590" i="1"/>
  <c r="G590" i="1"/>
  <c r="R589" i="1"/>
  <c r="Q589" i="1"/>
  <c r="P589" i="1"/>
  <c r="O589" i="1"/>
  <c r="N589" i="1"/>
  <c r="M589" i="1"/>
  <c r="L589" i="1"/>
  <c r="K589" i="1"/>
  <c r="J589" i="1"/>
  <c r="I589" i="1"/>
  <c r="H589" i="1"/>
  <c r="G589" i="1"/>
  <c r="R588" i="1"/>
  <c r="Q588" i="1"/>
  <c r="P588" i="1"/>
  <c r="O588" i="1"/>
  <c r="N588" i="1"/>
  <c r="M588" i="1"/>
  <c r="L588" i="1"/>
  <c r="K588" i="1"/>
  <c r="J588" i="1"/>
  <c r="I588" i="1"/>
  <c r="H588" i="1"/>
  <c r="G588" i="1"/>
  <c r="R587" i="1"/>
  <c r="Q587" i="1"/>
  <c r="P587" i="1"/>
  <c r="O587" i="1"/>
  <c r="N587" i="1"/>
  <c r="M587" i="1"/>
  <c r="L587" i="1"/>
  <c r="K587" i="1"/>
  <c r="J587" i="1"/>
  <c r="I587" i="1"/>
  <c r="H587" i="1"/>
  <c r="G587" i="1"/>
  <c r="R586" i="1"/>
  <c r="Q586" i="1"/>
  <c r="P586" i="1"/>
  <c r="O586" i="1"/>
  <c r="N586" i="1"/>
  <c r="M586" i="1"/>
  <c r="L586" i="1"/>
  <c r="K586" i="1"/>
  <c r="J586" i="1"/>
  <c r="I586" i="1"/>
  <c r="H586" i="1"/>
  <c r="G586" i="1"/>
  <c r="R585" i="1"/>
  <c r="Q585" i="1"/>
  <c r="P585" i="1"/>
  <c r="O585" i="1"/>
  <c r="N585" i="1"/>
  <c r="M585" i="1"/>
  <c r="L585" i="1"/>
  <c r="K585" i="1"/>
  <c r="J585" i="1"/>
  <c r="I585" i="1"/>
  <c r="H585" i="1"/>
  <c r="G585" i="1"/>
  <c r="R584" i="1"/>
  <c r="Q584" i="1"/>
  <c r="P584" i="1"/>
  <c r="O584" i="1"/>
  <c r="N584" i="1"/>
  <c r="M584" i="1"/>
  <c r="L584" i="1"/>
  <c r="K584" i="1"/>
  <c r="J584" i="1"/>
  <c r="I584" i="1"/>
  <c r="H584" i="1"/>
  <c r="G584" i="1"/>
  <c r="R583" i="1"/>
  <c r="Q583" i="1"/>
  <c r="P583" i="1"/>
  <c r="O583" i="1"/>
  <c r="N583" i="1"/>
  <c r="M583" i="1"/>
  <c r="L583" i="1"/>
  <c r="K583" i="1"/>
  <c r="J583" i="1"/>
  <c r="I583" i="1"/>
  <c r="H583" i="1"/>
  <c r="G583" i="1"/>
  <c r="R582" i="1"/>
  <c r="Q582" i="1"/>
  <c r="P582" i="1"/>
  <c r="O582" i="1"/>
  <c r="N582" i="1"/>
  <c r="M582" i="1"/>
  <c r="L582" i="1"/>
  <c r="K582" i="1"/>
  <c r="J582" i="1"/>
  <c r="I582" i="1"/>
  <c r="H582" i="1"/>
  <c r="G582" i="1"/>
  <c r="R581" i="1"/>
  <c r="Q581" i="1"/>
  <c r="P581" i="1"/>
  <c r="O581" i="1"/>
  <c r="N581" i="1"/>
  <c r="M581" i="1"/>
  <c r="L581" i="1"/>
  <c r="K581" i="1"/>
  <c r="J581" i="1"/>
  <c r="I581" i="1"/>
  <c r="H581" i="1"/>
  <c r="G581" i="1"/>
  <c r="R580" i="1"/>
  <c r="Q580" i="1"/>
  <c r="P580" i="1"/>
  <c r="O580" i="1"/>
  <c r="N580" i="1"/>
  <c r="M580" i="1"/>
  <c r="L580" i="1"/>
  <c r="K580" i="1"/>
  <c r="J580" i="1"/>
  <c r="I580" i="1"/>
  <c r="H580" i="1"/>
  <c r="G580" i="1"/>
  <c r="R579" i="1"/>
  <c r="Q579" i="1"/>
  <c r="P579" i="1"/>
  <c r="O579" i="1"/>
  <c r="N579" i="1"/>
  <c r="M579" i="1"/>
  <c r="L579" i="1"/>
  <c r="K579" i="1"/>
  <c r="J579" i="1"/>
  <c r="I579" i="1"/>
  <c r="H579" i="1"/>
  <c r="G579" i="1"/>
  <c r="R578" i="1"/>
  <c r="Q578" i="1"/>
  <c r="P578" i="1"/>
  <c r="O578" i="1"/>
  <c r="N578" i="1"/>
  <c r="M578" i="1"/>
  <c r="L578" i="1"/>
  <c r="K578" i="1"/>
  <c r="J578" i="1"/>
  <c r="I578" i="1"/>
  <c r="H578" i="1"/>
  <c r="G578" i="1"/>
  <c r="R577" i="1"/>
  <c r="Q577" i="1"/>
  <c r="P577" i="1"/>
  <c r="O577" i="1"/>
  <c r="N577" i="1"/>
  <c r="M577" i="1"/>
  <c r="L577" i="1"/>
  <c r="K577" i="1"/>
  <c r="J577" i="1"/>
  <c r="I577" i="1"/>
  <c r="H577" i="1"/>
  <c r="G577" i="1"/>
  <c r="R576" i="1"/>
  <c r="Q576" i="1"/>
  <c r="P576" i="1"/>
  <c r="O576" i="1"/>
  <c r="N576" i="1"/>
  <c r="M576" i="1"/>
  <c r="L576" i="1"/>
  <c r="K576" i="1"/>
  <c r="J576" i="1"/>
  <c r="I576" i="1"/>
  <c r="H576" i="1"/>
  <c r="G576" i="1"/>
  <c r="R575" i="1"/>
  <c r="Q575" i="1"/>
  <c r="P575" i="1"/>
  <c r="O575" i="1"/>
  <c r="N575" i="1"/>
  <c r="M575" i="1"/>
  <c r="L575" i="1"/>
  <c r="K575" i="1"/>
  <c r="J575" i="1"/>
  <c r="I575" i="1"/>
  <c r="H575" i="1"/>
  <c r="G575" i="1"/>
  <c r="R574" i="1"/>
  <c r="Q574" i="1"/>
  <c r="P574" i="1"/>
  <c r="O574" i="1"/>
  <c r="N574" i="1"/>
  <c r="M574" i="1"/>
  <c r="L574" i="1"/>
  <c r="K574" i="1"/>
  <c r="J574" i="1"/>
  <c r="I574" i="1"/>
  <c r="H574" i="1"/>
  <c r="G574" i="1"/>
  <c r="R573" i="1"/>
  <c r="Q573" i="1"/>
  <c r="P573" i="1"/>
  <c r="O573" i="1"/>
  <c r="N573" i="1"/>
  <c r="M573" i="1"/>
  <c r="L573" i="1"/>
  <c r="K573" i="1"/>
  <c r="J573" i="1"/>
  <c r="I573" i="1"/>
  <c r="H573" i="1"/>
  <c r="G573" i="1"/>
  <c r="R572" i="1"/>
  <c r="Q572" i="1"/>
  <c r="P572" i="1"/>
  <c r="O572" i="1"/>
  <c r="N572" i="1"/>
  <c r="M572" i="1"/>
  <c r="L572" i="1"/>
  <c r="K572" i="1"/>
  <c r="J572" i="1"/>
  <c r="I572" i="1"/>
  <c r="H572" i="1"/>
  <c r="G572" i="1"/>
  <c r="R571" i="1"/>
  <c r="Q571" i="1"/>
  <c r="P571" i="1"/>
  <c r="O571" i="1"/>
  <c r="N571" i="1"/>
  <c r="M571" i="1"/>
  <c r="L571" i="1"/>
  <c r="K571" i="1"/>
  <c r="J571" i="1"/>
  <c r="I571" i="1"/>
  <c r="H571" i="1"/>
  <c r="G571" i="1"/>
  <c r="R570" i="1"/>
  <c r="Q570" i="1"/>
  <c r="P570" i="1"/>
  <c r="O570" i="1"/>
  <c r="N570" i="1"/>
  <c r="M570" i="1"/>
  <c r="L570" i="1"/>
  <c r="K570" i="1"/>
  <c r="J570" i="1"/>
  <c r="I570" i="1"/>
  <c r="H570" i="1"/>
  <c r="G570" i="1"/>
  <c r="R569" i="1"/>
  <c r="Q569" i="1"/>
  <c r="P569" i="1"/>
  <c r="O569" i="1"/>
  <c r="N569" i="1"/>
  <c r="M569" i="1"/>
  <c r="L569" i="1"/>
  <c r="K569" i="1"/>
  <c r="J569" i="1"/>
  <c r="I569" i="1"/>
  <c r="H569" i="1"/>
  <c r="G569" i="1"/>
  <c r="R568" i="1"/>
  <c r="Q568" i="1"/>
  <c r="P568" i="1"/>
  <c r="O568" i="1"/>
  <c r="N568" i="1"/>
  <c r="M568" i="1"/>
  <c r="L568" i="1"/>
  <c r="K568" i="1"/>
  <c r="J568" i="1"/>
  <c r="I568" i="1"/>
  <c r="H568" i="1"/>
  <c r="G568" i="1"/>
  <c r="R567" i="1"/>
  <c r="Q567" i="1"/>
  <c r="P567" i="1"/>
  <c r="O567" i="1"/>
  <c r="N567" i="1"/>
  <c r="M567" i="1"/>
  <c r="L567" i="1"/>
  <c r="K567" i="1"/>
  <c r="J567" i="1"/>
  <c r="I567" i="1"/>
  <c r="H567" i="1"/>
  <c r="G567" i="1"/>
  <c r="R566" i="1"/>
  <c r="Q566" i="1"/>
  <c r="P566" i="1"/>
  <c r="O566" i="1"/>
  <c r="N566" i="1"/>
  <c r="M566" i="1"/>
  <c r="L566" i="1"/>
  <c r="K566" i="1"/>
  <c r="J566" i="1"/>
  <c r="I566" i="1"/>
  <c r="H566" i="1"/>
  <c r="G566" i="1"/>
  <c r="R565" i="1"/>
  <c r="Q565" i="1"/>
  <c r="P565" i="1"/>
  <c r="O565" i="1"/>
  <c r="N565" i="1"/>
  <c r="M565" i="1"/>
  <c r="L565" i="1"/>
  <c r="K565" i="1"/>
  <c r="J565" i="1"/>
  <c r="I565" i="1"/>
  <c r="H565" i="1"/>
  <c r="G565" i="1"/>
  <c r="R564" i="1"/>
  <c r="Q564" i="1"/>
  <c r="P564" i="1"/>
  <c r="O564" i="1"/>
  <c r="N564" i="1"/>
  <c r="M564" i="1"/>
  <c r="L564" i="1"/>
  <c r="K564" i="1"/>
  <c r="J564" i="1"/>
  <c r="I564" i="1"/>
  <c r="H564" i="1"/>
  <c r="G564" i="1"/>
  <c r="R563" i="1"/>
  <c r="Q563" i="1"/>
  <c r="P563" i="1"/>
  <c r="O563" i="1"/>
  <c r="N563" i="1"/>
  <c r="M563" i="1"/>
  <c r="L563" i="1"/>
  <c r="K563" i="1"/>
  <c r="J563" i="1"/>
  <c r="I563" i="1"/>
  <c r="H563" i="1"/>
  <c r="G563" i="1"/>
  <c r="R562" i="1"/>
  <c r="Q562" i="1"/>
  <c r="P562" i="1"/>
  <c r="O562" i="1"/>
  <c r="N562" i="1"/>
  <c r="M562" i="1"/>
  <c r="L562" i="1"/>
  <c r="K562" i="1"/>
  <c r="J562" i="1"/>
  <c r="I562" i="1"/>
  <c r="H562" i="1"/>
  <c r="G562" i="1"/>
  <c r="R561" i="1"/>
  <c r="Q561" i="1"/>
  <c r="P561" i="1"/>
  <c r="O561" i="1"/>
  <c r="N561" i="1"/>
  <c r="M561" i="1"/>
  <c r="L561" i="1"/>
  <c r="K561" i="1"/>
  <c r="J561" i="1"/>
  <c r="I561" i="1"/>
  <c r="H561" i="1"/>
  <c r="G561" i="1"/>
  <c r="R560" i="1"/>
  <c r="Q560" i="1"/>
  <c r="P560" i="1"/>
  <c r="O560" i="1"/>
  <c r="N560" i="1"/>
  <c r="M560" i="1"/>
  <c r="L560" i="1"/>
  <c r="K560" i="1"/>
  <c r="J560" i="1"/>
  <c r="I560" i="1"/>
  <c r="H560" i="1"/>
  <c r="G560" i="1"/>
  <c r="R559" i="1"/>
  <c r="Q559" i="1"/>
  <c r="P559" i="1"/>
  <c r="O559" i="1"/>
  <c r="N559" i="1"/>
  <c r="M559" i="1"/>
  <c r="L559" i="1"/>
  <c r="K559" i="1"/>
  <c r="J559" i="1"/>
  <c r="I559" i="1"/>
  <c r="H559" i="1"/>
  <c r="G559" i="1"/>
  <c r="R558" i="1"/>
  <c r="Q558" i="1"/>
  <c r="P558" i="1"/>
  <c r="O558" i="1"/>
  <c r="N558" i="1"/>
  <c r="M558" i="1"/>
  <c r="L558" i="1"/>
  <c r="K558" i="1"/>
  <c r="J558" i="1"/>
  <c r="I558" i="1"/>
  <c r="H558" i="1"/>
  <c r="G558" i="1"/>
  <c r="R557" i="1"/>
  <c r="Q557" i="1"/>
  <c r="P557" i="1"/>
  <c r="O557" i="1"/>
  <c r="N557" i="1"/>
  <c r="M557" i="1"/>
  <c r="L557" i="1"/>
  <c r="K557" i="1"/>
  <c r="J557" i="1"/>
  <c r="I557" i="1"/>
  <c r="H557" i="1"/>
  <c r="G557" i="1"/>
  <c r="R556" i="1"/>
  <c r="Q556" i="1"/>
  <c r="P556" i="1"/>
  <c r="O556" i="1"/>
  <c r="N556" i="1"/>
  <c r="M556" i="1"/>
  <c r="L556" i="1"/>
  <c r="K556" i="1"/>
  <c r="J556" i="1"/>
  <c r="I556" i="1"/>
  <c r="H556" i="1"/>
  <c r="G556" i="1"/>
  <c r="R555" i="1"/>
  <c r="Q555" i="1"/>
  <c r="P555" i="1"/>
  <c r="O555" i="1"/>
  <c r="N555" i="1"/>
  <c r="M555" i="1"/>
  <c r="L555" i="1"/>
  <c r="K555" i="1"/>
  <c r="J555" i="1"/>
  <c r="I555" i="1"/>
  <c r="H555" i="1"/>
  <c r="G555" i="1"/>
  <c r="R554" i="1"/>
  <c r="Q554" i="1"/>
  <c r="P554" i="1"/>
  <c r="O554" i="1"/>
  <c r="N554" i="1"/>
  <c r="M554" i="1"/>
  <c r="L554" i="1"/>
  <c r="K554" i="1"/>
  <c r="J554" i="1"/>
  <c r="I554" i="1"/>
  <c r="H554" i="1"/>
  <c r="G554" i="1"/>
  <c r="R553" i="1"/>
  <c r="Q553" i="1"/>
  <c r="P553" i="1"/>
  <c r="O553" i="1"/>
  <c r="N553" i="1"/>
  <c r="M553" i="1"/>
  <c r="L553" i="1"/>
  <c r="K553" i="1"/>
  <c r="J553" i="1"/>
  <c r="I553" i="1"/>
  <c r="H553" i="1"/>
  <c r="G553" i="1"/>
  <c r="R552" i="1"/>
  <c r="Q552" i="1"/>
  <c r="P552" i="1"/>
  <c r="O552" i="1"/>
  <c r="N552" i="1"/>
  <c r="M552" i="1"/>
  <c r="L552" i="1"/>
  <c r="K552" i="1"/>
  <c r="J552" i="1"/>
  <c r="I552" i="1"/>
  <c r="H552" i="1"/>
  <c r="G552" i="1"/>
  <c r="R551" i="1"/>
  <c r="Q551" i="1"/>
  <c r="P551" i="1"/>
  <c r="O551" i="1"/>
  <c r="N551" i="1"/>
  <c r="M551" i="1"/>
  <c r="L551" i="1"/>
  <c r="K551" i="1"/>
  <c r="J551" i="1"/>
  <c r="I551" i="1"/>
  <c r="H551" i="1"/>
  <c r="G551" i="1"/>
  <c r="R550" i="1"/>
  <c r="Q550" i="1"/>
  <c r="P550" i="1"/>
  <c r="O550" i="1"/>
  <c r="N550" i="1"/>
  <c r="M550" i="1"/>
  <c r="L550" i="1"/>
  <c r="K550" i="1"/>
  <c r="J550" i="1"/>
  <c r="I550" i="1"/>
  <c r="H550" i="1"/>
  <c r="G550" i="1"/>
  <c r="R549" i="1"/>
  <c r="Q549" i="1"/>
  <c r="P549" i="1"/>
  <c r="O549" i="1"/>
  <c r="N549" i="1"/>
  <c r="M549" i="1"/>
  <c r="L549" i="1"/>
  <c r="K549" i="1"/>
  <c r="J549" i="1"/>
  <c r="I549" i="1"/>
  <c r="H549" i="1"/>
  <c r="G549" i="1"/>
  <c r="R548" i="1"/>
  <c r="Q548" i="1"/>
  <c r="P548" i="1"/>
  <c r="O548" i="1"/>
  <c r="N548" i="1"/>
  <c r="M548" i="1"/>
  <c r="L548" i="1"/>
  <c r="K548" i="1"/>
  <c r="J548" i="1"/>
  <c r="I548" i="1"/>
  <c r="H548" i="1"/>
  <c r="G548" i="1"/>
  <c r="R547" i="1"/>
  <c r="Q547" i="1"/>
  <c r="P547" i="1"/>
  <c r="O547" i="1"/>
  <c r="N547" i="1"/>
  <c r="M547" i="1"/>
  <c r="L547" i="1"/>
  <c r="K547" i="1"/>
  <c r="J547" i="1"/>
  <c r="I547" i="1"/>
  <c r="H547" i="1"/>
  <c r="G547" i="1"/>
  <c r="R546" i="1"/>
  <c r="Q546" i="1"/>
  <c r="P546" i="1"/>
  <c r="O546" i="1"/>
  <c r="N546" i="1"/>
  <c r="M546" i="1"/>
  <c r="L546" i="1"/>
  <c r="K546" i="1"/>
  <c r="J546" i="1"/>
  <c r="I546" i="1"/>
  <c r="H546" i="1"/>
  <c r="G546" i="1"/>
  <c r="R545" i="1"/>
  <c r="Q545" i="1"/>
  <c r="P545" i="1"/>
  <c r="O545" i="1"/>
  <c r="N545" i="1"/>
  <c r="M545" i="1"/>
  <c r="L545" i="1"/>
  <c r="K545" i="1"/>
  <c r="J545" i="1"/>
  <c r="I545" i="1"/>
  <c r="H545" i="1"/>
  <c r="G545" i="1"/>
  <c r="R544" i="1"/>
  <c r="Q544" i="1"/>
  <c r="P544" i="1"/>
  <c r="O544" i="1"/>
  <c r="N544" i="1"/>
  <c r="M544" i="1"/>
  <c r="L544" i="1"/>
  <c r="K544" i="1"/>
  <c r="J544" i="1"/>
  <c r="I544" i="1"/>
  <c r="H544" i="1"/>
  <c r="G544" i="1"/>
  <c r="R543" i="1"/>
  <c r="Q543" i="1"/>
  <c r="P543" i="1"/>
  <c r="O543" i="1"/>
  <c r="N543" i="1"/>
  <c r="M543" i="1"/>
  <c r="L543" i="1"/>
  <c r="K543" i="1"/>
  <c r="J543" i="1"/>
  <c r="I543" i="1"/>
  <c r="H543" i="1"/>
  <c r="G543" i="1"/>
  <c r="R542" i="1"/>
  <c r="Q542" i="1"/>
  <c r="P542" i="1"/>
  <c r="O542" i="1"/>
  <c r="N542" i="1"/>
  <c r="M542" i="1"/>
  <c r="L542" i="1"/>
  <c r="K542" i="1"/>
  <c r="J542" i="1"/>
  <c r="I542" i="1"/>
  <c r="H542" i="1"/>
  <c r="G542" i="1"/>
  <c r="R541" i="1"/>
  <c r="Q541" i="1"/>
  <c r="P541" i="1"/>
  <c r="O541" i="1"/>
  <c r="N541" i="1"/>
  <c r="M541" i="1"/>
  <c r="L541" i="1"/>
  <c r="K541" i="1"/>
  <c r="J541" i="1"/>
  <c r="I541" i="1"/>
  <c r="H541" i="1"/>
  <c r="G541" i="1"/>
  <c r="R540" i="1"/>
  <c r="Q540" i="1"/>
  <c r="P540" i="1"/>
  <c r="O540" i="1"/>
  <c r="N540" i="1"/>
  <c r="M540" i="1"/>
  <c r="L540" i="1"/>
  <c r="K540" i="1"/>
  <c r="J540" i="1"/>
  <c r="I540" i="1"/>
  <c r="H540" i="1"/>
  <c r="G540" i="1"/>
  <c r="R539" i="1"/>
  <c r="Q539" i="1"/>
  <c r="P539" i="1"/>
  <c r="O539" i="1"/>
  <c r="N539" i="1"/>
  <c r="M539" i="1"/>
  <c r="L539" i="1"/>
  <c r="K539" i="1"/>
  <c r="J539" i="1"/>
  <c r="I539" i="1"/>
  <c r="H539" i="1"/>
  <c r="G539" i="1"/>
  <c r="R538" i="1"/>
  <c r="Q538" i="1"/>
  <c r="P538" i="1"/>
  <c r="O538" i="1"/>
  <c r="N538" i="1"/>
  <c r="M538" i="1"/>
  <c r="L538" i="1"/>
  <c r="K538" i="1"/>
  <c r="J538" i="1"/>
  <c r="I538" i="1"/>
  <c r="H538" i="1"/>
  <c r="G538" i="1"/>
  <c r="R537" i="1"/>
  <c r="Q537" i="1"/>
  <c r="P537" i="1"/>
  <c r="O537" i="1"/>
  <c r="N537" i="1"/>
  <c r="M537" i="1"/>
  <c r="L537" i="1"/>
  <c r="K537" i="1"/>
  <c r="J537" i="1"/>
  <c r="I537" i="1"/>
  <c r="H537" i="1"/>
  <c r="G537" i="1"/>
  <c r="R536" i="1"/>
  <c r="Q536" i="1"/>
  <c r="P536" i="1"/>
  <c r="O536" i="1"/>
  <c r="N536" i="1"/>
  <c r="M536" i="1"/>
  <c r="L536" i="1"/>
  <c r="K536" i="1"/>
  <c r="J536" i="1"/>
  <c r="I536" i="1"/>
  <c r="H536" i="1"/>
  <c r="G536" i="1"/>
  <c r="R535" i="1"/>
  <c r="Q535" i="1"/>
  <c r="P535" i="1"/>
  <c r="O535" i="1"/>
  <c r="N535" i="1"/>
  <c r="M535" i="1"/>
  <c r="L535" i="1"/>
  <c r="K535" i="1"/>
  <c r="J535" i="1"/>
  <c r="I535" i="1"/>
  <c r="H535" i="1"/>
  <c r="G535" i="1"/>
  <c r="R534" i="1"/>
  <c r="Q534" i="1"/>
  <c r="P534" i="1"/>
  <c r="O534" i="1"/>
  <c r="N534" i="1"/>
  <c r="M534" i="1"/>
  <c r="L534" i="1"/>
  <c r="K534" i="1"/>
  <c r="J534" i="1"/>
  <c r="I534" i="1"/>
  <c r="H534" i="1"/>
  <c r="G534" i="1"/>
  <c r="R533" i="1"/>
  <c r="Q533" i="1"/>
  <c r="P533" i="1"/>
  <c r="O533" i="1"/>
  <c r="N533" i="1"/>
  <c r="M533" i="1"/>
  <c r="L533" i="1"/>
  <c r="K533" i="1"/>
  <c r="J533" i="1"/>
  <c r="I533" i="1"/>
  <c r="H533" i="1"/>
  <c r="G533" i="1"/>
  <c r="R532" i="1"/>
  <c r="Q532" i="1"/>
  <c r="P532" i="1"/>
  <c r="O532" i="1"/>
  <c r="N532" i="1"/>
  <c r="M532" i="1"/>
  <c r="L532" i="1"/>
  <c r="K532" i="1"/>
  <c r="J532" i="1"/>
  <c r="I532" i="1"/>
  <c r="H532" i="1"/>
  <c r="G532" i="1"/>
  <c r="R531" i="1"/>
  <c r="Q531" i="1"/>
  <c r="P531" i="1"/>
  <c r="O531" i="1"/>
  <c r="N531" i="1"/>
  <c r="M531" i="1"/>
  <c r="L531" i="1"/>
  <c r="K531" i="1"/>
  <c r="J531" i="1"/>
  <c r="I531" i="1"/>
  <c r="H531" i="1"/>
  <c r="G531" i="1"/>
  <c r="R530" i="1"/>
  <c r="Q530" i="1"/>
  <c r="P530" i="1"/>
  <c r="O530" i="1"/>
  <c r="N530" i="1"/>
  <c r="M530" i="1"/>
  <c r="L530" i="1"/>
  <c r="K530" i="1"/>
  <c r="J530" i="1"/>
  <c r="I530" i="1"/>
  <c r="H530" i="1"/>
  <c r="G530" i="1"/>
  <c r="R529" i="1"/>
  <c r="Q529" i="1"/>
  <c r="P529" i="1"/>
  <c r="O529" i="1"/>
  <c r="N529" i="1"/>
  <c r="M529" i="1"/>
  <c r="L529" i="1"/>
  <c r="K529" i="1"/>
  <c r="J529" i="1"/>
  <c r="I529" i="1"/>
  <c r="H529" i="1"/>
  <c r="G529" i="1"/>
  <c r="R528" i="1"/>
  <c r="Q528" i="1"/>
  <c r="P528" i="1"/>
  <c r="O528" i="1"/>
  <c r="N528" i="1"/>
  <c r="M528" i="1"/>
  <c r="L528" i="1"/>
  <c r="K528" i="1"/>
  <c r="J528" i="1"/>
  <c r="I528" i="1"/>
  <c r="H528" i="1"/>
  <c r="G528" i="1"/>
  <c r="R527" i="1"/>
  <c r="Q527" i="1"/>
  <c r="P527" i="1"/>
  <c r="O527" i="1"/>
  <c r="N527" i="1"/>
  <c r="M527" i="1"/>
  <c r="L527" i="1"/>
  <c r="K527" i="1"/>
  <c r="J527" i="1"/>
  <c r="I527" i="1"/>
  <c r="H527" i="1"/>
  <c r="G527" i="1"/>
  <c r="R526" i="1"/>
  <c r="Q526" i="1"/>
  <c r="P526" i="1"/>
  <c r="O526" i="1"/>
  <c r="N526" i="1"/>
  <c r="M526" i="1"/>
  <c r="L526" i="1"/>
  <c r="K526" i="1"/>
  <c r="J526" i="1"/>
  <c r="I526" i="1"/>
  <c r="H526" i="1"/>
  <c r="G526" i="1"/>
  <c r="R525" i="1"/>
  <c r="Q525" i="1"/>
  <c r="P525" i="1"/>
  <c r="O525" i="1"/>
  <c r="N525" i="1"/>
  <c r="M525" i="1"/>
  <c r="L525" i="1"/>
  <c r="K525" i="1"/>
  <c r="J525" i="1"/>
  <c r="I525" i="1"/>
  <c r="H525" i="1"/>
  <c r="G525" i="1"/>
  <c r="R524" i="1"/>
  <c r="Q524" i="1"/>
  <c r="P524" i="1"/>
  <c r="O524" i="1"/>
  <c r="N524" i="1"/>
  <c r="M524" i="1"/>
  <c r="L524" i="1"/>
  <c r="K524" i="1"/>
  <c r="J524" i="1"/>
  <c r="I524" i="1"/>
  <c r="H524" i="1"/>
  <c r="G524" i="1"/>
  <c r="R523" i="1"/>
  <c r="Q523" i="1"/>
  <c r="P523" i="1"/>
  <c r="O523" i="1"/>
  <c r="N523" i="1"/>
  <c r="M523" i="1"/>
  <c r="L523" i="1"/>
  <c r="K523" i="1"/>
  <c r="J523" i="1"/>
  <c r="I523" i="1"/>
  <c r="H523" i="1"/>
  <c r="G523" i="1"/>
  <c r="R522" i="1"/>
  <c r="Q522" i="1"/>
  <c r="P522" i="1"/>
  <c r="O522" i="1"/>
  <c r="N522" i="1"/>
  <c r="M522" i="1"/>
  <c r="L522" i="1"/>
  <c r="K522" i="1"/>
  <c r="J522" i="1"/>
  <c r="I522" i="1"/>
  <c r="H522" i="1"/>
  <c r="G522" i="1"/>
  <c r="R521" i="1"/>
  <c r="Q521" i="1"/>
  <c r="P521" i="1"/>
  <c r="O521" i="1"/>
  <c r="N521" i="1"/>
  <c r="M521" i="1"/>
  <c r="L521" i="1"/>
  <c r="K521" i="1"/>
  <c r="J521" i="1"/>
  <c r="I521" i="1"/>
  <c r="H521" i="1"/>
  <c r="G521" i="1"/>
  <c r="R520" i="1"/>
  <c r="Q520" i="1"/>
  <c r="P520" i="1"/>
  <c r="O520" i="1"/>
  <c r="N520" i="1"/>
  <c r="M520" i="1"/>
  <c r="L520" i="1"/>
  <c r="K520" i="1"/>
  <c r="J520" i="1"/>
  <c r="I520" i="1"/>
  <c r="H520" i="1"/>
  <c r="G520" i="1"/>
  <c r="R519" i="1"/>
  <c r="Q519" i="1"/>
  <c r="P519" i="1"/>
  <c r="O519" i="1"/>
  <c r="N519" i="1"/>
  <c r="M519" i="1"/>
  <c r="L519" i="1"/>
  <c r="K519" i="1"/>
  <c r="J519" i="1"/>
  <c r="I519" i="1"/>
  <c r="H519" i="1"/>
  <c r="G519" i="1"/>
  <c r="R518" i="1"/>
  <c r="Q518" i="1"/>
  <c r="P518" i="1"/>
  <c r="O518" i="1"/>
  <c r="N518" i="1"/>
  <c r="M518" i="1"/>
  <c r="L518" i="1"/>
  <c r="K518" i="1"/>
  <c r="J518" i="1"/>
  <c r="I518" i="1"/>
  <c r="H518" i="1"/>
  <c r="G518" i="1"/>
  <c r="R517" i="1"/>
  <c r="Q517" i="1"/>
  <c r="P517" i="1"/>
  <c r="O517" i="1"/>
  <c r="N517" i="1"/>
  <c r="M517" i="1"/>
  <c r="L517" i="1"/>
  <c r="K517" i="1"/>
  <c r="J517" i="1"/>
  <c r="I517" i="1"/>
  <c r="H517" i="1"/>
  <c r="G517" i="1"/>
  <c r="R516" i="1"/>
  <c r="Q516" i="1"/>
  <c r="P516" i="1"/>
  <c r="O516" i="1"/>
  <c r="N516" i="1"/>
  <c r="M516" i="1"/>
  <c r="L516" i="1"/>
  <c r="K516" i="1"/>
  <c r="J516" i="1"/>
  <c r="I516" i="1"/>
  <c r="H516" i="1"/>
  <c r="G516" i="1"/>
  <c r="R515" i="1"/>
  <c r="Q515" i="1"/>
  <c r="P515" i="1"/>
  <c r="O515" i="1"/>
  <c r="N515" i="1"/>
  <c r="M515" i="1"/>
  <c r="L515" i="1"/>
  <c r="K515" i="1"/>
  <c r="J515" i="1"/>
  <c r="I515" i="1"/>
  <c r="H515" i="1"/>
  <c r="G515" i="1"/>
  <c r="R514" i="1"/>
  <c r="Q514" i="1"/>
  <c r="P514" i="1"/>
  <c r="O514" i="1"/>
  <c r="N514" i="1"/>
  <c r="M514" i="1"/>
  <c r="L514" i="1"/>
  <c r="K514" i="1"/>
  <c r="J514" i="1"/>
  <c r="I514" i="1"/>
  <c r="H514" i="1"/>
  <c r="G514" i="1"/>
  <c r="R513" i="1"/>
  <c r="Q513" i="1"/>
  <c r="P513" i="1"/>
  <c r="O513" i="1"/>
  <c r="N513" i="1"/>
  <c r="M513" i="1"/>
  <c r="L513" i="1"/>
  <c r="K513" i="1"/>
  <c r="J513" i="1"/>
  <c r="I513" i="1"/>
  <c r="H513" i="1"/>
  <c r="G513" i="1"/>
  <c r="R512" i="1"/>
  <c r="Q512" i="1"/>
  <c r="P512" i="1"/>
  <c r="O512" i="1"/>
  <c r="N512" i="1"/>
  <c r="M512" i="1"/>
  <c r="L512" i="1"/>
  <c r="K512" i="1"/>
  <c r="J512" i="1"/>
  <c r="I512" i="1"/>
  <c r="H512" i="1"/>
  <c r="G512" i="1"/>
  <c r="R511" i="1"/>
  <c r="Q511" i="1"/>
  <c r="P511" i="1"/>
  <c r="O511" i="1"/>
  <c r="N511" i="1"/>
  <c r="M511" i="1"/>
  <c r="L511" i="1"/>
  <c r="K511" i="1"/>
  <c r="J511" i="1"/>
  <c r="I511" i="1"/>
  <c r="H511" i="1"/>
  <c r="G511" i="1"/>
  <c r="R510" i="1"/>
  <c r="Q510" i="1"/>
  <c r="P510" i="1"/>
  <c r="O510" i="1"/>
  <c r="N510" i="1"/>
  <c r="M510" i="1"/>
  <c r="L510" i="1"/>
  <c r="K510" i="1"/>
  <c r="J510" i="1"/>
  <c r="I510" i="1"/>
  <c r="H510" i="1"/>
  <c r="G510" i="1"/>
  <c r="R509" i="1"/>
  <c r="Q509" i="1"/>
  <c r="P509" i="1"/>
  <c r="O509" i="1"/>
  <c r="N509" i="1"/>
  <c r="M509" i="1"/>
  <c r="L509" i="1"/>
  <c r="K509" i="1"/>
  <c r="J509" i="1"/>
  <c r="I509" i="1"/>
  <c r="H509" i="1"/>
  <c r="G509" i="1"/>
  <c r="R508" i="1"/>
  <c r="Q508" i="1"/>
  <c r="P508" i="1"/>
  <c r="O508" i="1"/>
  <c r="N508" i="1"/>
  <c r="M508" i="1"/>
  <c r="L508" i="1"/>
  <c r="K508" i="1"/>
  <c r="J508" i="1"/>
  <c r="I508" i="1"/>
  <c r="H508" i="1"/>
  <c r="G508" i="1"/>
  <c r="R507" i="1"/>
  <c r="Q507" i="1"/>
  <c r="P507" i="1"/>
  <c r="O507" i="1"/>
  <c r="N507" i="1"/>
  <c r="M507" i="1"/>
  <c r="L507" i="1"/>
  <c r="K507" i="1"/>
  <c r="J507" i="1"/>
  <c r="I507" i="1"/>
  <c r="H507" i="1"/>
  <c r="G507" i="1"/>
  <c r="R506" i="1"/>
  <c r="Q506" i="1"/>
  <c r="P506" i="1"/>
  <c r="O506" i="1"/>
  <c r="N506" i="1"/>
  <c r="M506" i="1"/>
  <c r="L506" i="1"/>
  <c r="K506" i="1"/>
  <c r="J506" i="1"/>
  <c r="I506" i="1"/>
  <c r="H506" i="1"/>
  <c r="G506" i="1"/>
  <c r="R505" i="1"/>
  <c r="Q505" i="1"/>
  <c r="P505" i="1"/>
  <c r="O505" i="1"/>
  <c r="N505" i="1"/>
  <c r="M505" i="1"/>
  <c r="L505" i="1"/>
  <c r="K505" i="1"/>
  <c r="J505" i="1"/>
  <c r="I505" i="1"/>
  <c r="H505" i="1"/>
  <c r="G505" i="1"/>
  <c r="R504" i="1"/>
  <c r="Q504" i="1"/>
  <c r="P504" i="1"/>
  <c r="O504" i="1"/>
  <c r="N504" i="1"/>
  <c r="M504" i="1"/>
  <c r="L504" i="1"/>
  <c r="K504" i="1"/>
  <c r="J504" i="1"/>
  <c r="I504" i="1"/>
  <c r="H504" i="1"/>
  <c r="G504" i="1"/>
  <c r="R503" i="1"/>
  <c r="Q503" i="1"/>
  <c r="P503" i="1"/>
  <c r="O503" i="1"/>
  <c r="N503" i="1"/>
  <c r="M503" i="1"/>
  <c r="L503" i="1"/>
  <c r="K503" i="1"/>
  <c r="J503" i="1"/>
  <c r="I503" i="1"/>
  <c r="H503" i="1"/>
  <c r="G503" i="1"/>
  <c r="R502" i="1"/>
  <c r="Q502" i="1"/>
  <c r="P502" i="1"/>
  <c r="O502" i="1"/>
  <c r="N502" i="1"/>
  <c r="M502" i="1"/>
  <c r="L502" i="1"/>
  <c r="K502" i="1"/>
  <c r="J502" i="1"/>
  <c r="I502" i="1"/>
  <c r="H502" i="1"/>
  <c r="G502" i="1"/>
  <c r="R501" i="1"/>
  <c r="Q501" i="1"/>
  <c r="P501" i="1"/>
  <c r="O501" i="1"/>
  <c r="N501" i="1"/>
  <c r="M501" i="1"/>
  <c r="L501" i="1"/>
  <c r="K501" i="1"/>
  <c r="J501" i="1"/>
  <c r="I501" i="1"/>
  <c r="H501" i="1"/>
  <c r="G501" i="1"/>
  <c r="R500" i="1"/>
  <c r="Q500" i="1"/>
  <c r="P500" i="1"/>
  <c r="O500" i="1"/>
  <c r="N500" i="1"/>
  <c r="M500" i="1"/>
  <c r="L500" i="1"/>
  <c r="K500" i="1"/>
  <c r="J500" i="1"/>
  <c r="I500" i="1"/>
  <c r="H500" i="1"/>
  <c r="G500" i="1"/>
  <c r="R499" i="1"/>
  <c r="Q499" i="1"/>
  <c r="P499" i="1"/>
  <c r="O499" i="1"/>
  <c r="N499" i="1"/>
  <c r="M499" i="1"/>
  <c r="L499" i="1"/>
  <c r="K499" i="1"/>
  <c r="J499" i="1"/>
  <c r="I499" i="1"/>
  <c r="H499" i="1"/>
  <c r="G499" i="1"/>
  <c r="R498" i="1"/>
  <c r="Q498" i="1"/>
  <c r="P498" i="1"/>
  <c r="O498" i="1"/>
  <c r="N498" i="1"/>
  <c r="M498" i="1"/>
  <c r="L498" i="1"/>
  <c r="K498" i="1"/>
  <c r="J498" i="1"/>
  <c r="I498" i="1"/>
  <c r="H498" i="1"/>
  <c r="G498" i="1"/>
  <c r="R497" i="1"/>
  <c r="Q497" i="1"/>
  <c r="P497" i="1"/>
  <c r="O497" i="1"/>
  <c r="N497" i="1"/>
  <c r="M497" i="1"/>
  <c r="L497" i="1"/>
  <c r="K497" i="1"/>
  <c r="J497" i="1"/>
  <c r="I497" i="1"/>
  <c r="H497" i="1"/>
  <c r="G497" i="1"/>
  <c r="R496" i="1"/>
  <c r="Q496" i="1"/>
  <c r="P496" i="1"/>
  <c r="O496" i="1"/>
  <c r="N496" i="1"/>
  <c r="M496" i="1"/>
  <c r="L496" i="1"/>
  <c r="K496" i="1"/>
  <c r="J496" i="1"/>
  <c r="I496" i="1"/>
  <c r="H496" i="1"/>
  <c r="G496" i="1"/>
  <c r="R495" i="1"/>
  <c r="Q495" i="1"/>
  <c r="P495" i="1"/>
  <c r="O495" i="1"/>
  <c r="N495" i="1"/>
  <c r="M495" i="1"/>
  <c r="L495" i="1"/>
  <c r="K495" i="1"/>
  <c r="J495" i="1"/>
  <c r="I495" i="1"/>
  <c r="H495" i="1"/>
  <c r="G495" i="1"/>
  <c r="R494" i="1"/>
  <c r="Q494" i="1"/>
  <c r="P494" i="1"/>
  <c r="O494" i="1"/>
  <c r="N494" i="1"/>
  <c r="M494" i="1"/>
  <c r="L494" i="1"/>
  <c r="K494" i="1"/>
  <c r="J494" i="1"/>
  <c r="I494" i="1"/>
  <c r="H494" i="1"/>
  <c r="G494" i="1"/>
  <c r="R493" i="1"/>
  <c r="Q493" i="1"/>
  <c r="P493" i="1"/>
  <c r="O493" i="1"/>
  <c r="N493" i="1"/>
  <c r="M493" i="1"/>
  <c r="L493" i="1"/>
  <c r="K493" i="1"/>
  <c r="J493" i="1"/>
  <c r="I493" i="1"/>
  <c r="H493" i="1"/>
  <c r="G493" i="1"/>
  <c r="R492" i="1"/>
  <c r="Q492" i="1"/>
  <c r="P492" i="1"/>
  <c r="O492" i="1"/>
  <c r="N492" i="1"/>
  <c r="M492" i="1"/>
  <c r="L492" i="1"/>
  <c r="K492" i="1"/>
  <c r="J492" i="1"/>
  <c r="I492" i="1"/>
  <c r="H492" i="1"/>
  <c r="G492" i="1"/>
  <c r="R491" i="1"/>
  <c r="Q491" i="1"/>
  <c r="P491" i="1"/>
  <c r="O491" i="1"/>
  <c r="N491" i="1"/>
  <c r="M491" i="1"/>
  <c r="L491" i="1"/>
  <c r="K491" i="1"/>
  <c r="J491" i="1"/>
  <c r="I491" i="1"/>
  <c r="H491" i="1"/>
  <c r="G491" i="1"/>
  <c r="R490" i="1"/>
  <c r="Q490" i="1"/>
  <c r="P490" i="1"/>
  <c r="O490" i="1"/>
  <c r="N490" i="1"/>
  <c r="M490" i="1"/>
  <c r="L490" i="1"/>
  <c r="K490" i="1"/>
  <c r="J490" i="1"/>
  <c r="I490" i="1"/>
  <c r="H490" i="1"/>
  <c r="G490" i="1"/>
  <c r="R489" i="1"/>
  <c r="Q489" i="1"/>
  <c r="P489" i="1"/>
  <c r="O489" i="1"/>
  <c r="N489" i="1"/>
  <c r="M489" i="1"/>
  <c r="L489" i="1"/>
  <c r="K489" i="1"/>
  <c r="J489" i="1"/>
  <c r="I489" i="1"/>
  <c r="H489" i="1"/>
  <c r="G489" i="1"/>
  <c r="R488" i="1"/>
  <c r="Q488" i="1"/>
  <c r="P488" i="1"/>
  <c r="O488" i="1"/>
  <c r="N488" i="1"/>
  <c r="M488" i="1"/>
  <c r="L488" i="1"/>
  <c r="K488" i="1"/>
  <c r="J488" i="1"/>
  <c r="I488" i="1"/>
  <c r="H488" i="1"/>
  <c r="G488" i="1"/>
  <c r="R487" i="1"/>
  <c r="Q487" i="1"/>
  <c r="P487" i="1"/>
  <c r="O487" i="1"/>
  <c r="N487" i="1"/>
  <c r="M487" i="1"/>
  <c r="L487" i="1"/>
  <c r="K487" i="1"/>
  <c r="J487" i="1"/>
  <c r="I487" i="1"/>
  <c r="H487" i="1"/>
  <c r="G487" i="1"/>
  <c r="R486" i="1"/>
  <c r="Q486" i="1"/>
  <c r="P486" i="1"/>
  <c r="O486" i="1"/>
  <c r="N486" i="1"/>
  <c r="M486" i="1"/>
  <c r="L486" i="1"/>
  <c r="K486" i="1"/>
  <c r="J486" i="1"/>
  <c r="I486" i="1"/>
  <c r="H486" i="1"/>
  <c r="G486" i="1"/>
  <c r="R485" i="1"/>
  <c r="Q485" i="1"/>
  <c r="P485" i="1"/>
  <c r="O485" i="1"/>
  <c r="N485" i="1"/>
  <c r="M485" i="1"/>
  <c r="L485" i="1"/>
  <c r="K485" i="1"/>
  <c r="J485" i="1"/>
  <c r="I485" i="1"/>
  <c r="H485" i="1"/>
  <c r="G485" i="1"/>
  <c r="R484" i="1"/>
  <c r="Q484" i="1"/>
  <c r="P484" i="1"/>
  <c r="O484" i="1"/>
  <c r="N484" i="1"/>
  <c r="M484" i="1"/>
  <c r="L484" i="1"/>
  <c r="K484" i="1"/>
  <c r="J484" i="1"/>
  <c r="I484" i="1"/>
  <c r="H484" i="1"/>
  <c r="G484" i="1"/>
  <c r="R483" i="1"/>
  <c r="Q483" i="1"/>
  <c r="P483" i="1"/>
  <c r="O483" i="1"/>
  <c r="N483" i="1"/>
  <c r="M483" i="1"/>
  <c r="L483" i="1"/>
  <c r="K483" i="1"/>
  <c r="J483" i="1"/>
  <c r="I483" i="1"/>
  <c r="H483" i="1"/>
  <c r="G483" i="1"/>
  <c r="R482" i="1"/>
  <c r="Q482" i="1"/>
  <c r="P482" i="1"/>
  <c r="O482" i="1"/>
  <c r="N482" i="1"/>
  <c r="M482" i="1"/>
  <c r="L482" i="1"/>
  <c r="K482" i="1"/>
  <c r="J482" i="1"/>
  <c r="I482" i="1"/>
  <c r="H482" i="1"/>
  <c r="G482" i="1"/>
  <c r="R481" i="1"/>
  <c r="Q481" i="1"/>
  <c r="P481" i="1"/>
  <c r="O481" i="1"/>
  <c r="N481" i="1"/>
  <c r="M481" i="1"/>
  <c r="L481" i="1"/>
  <c r="K481" i="1"/>
  <c r="J481" i="1"/>
  <c r="I481" i="1"/>
  <c r="H481" i="1"/>
  <c r="G481" i="1"/>
  <c r="R480" i="1"/>
  <c r="Q480" i="1"/>
  <c r="P480" i="1"/>
  <c r="O480" i="1"/>
  <c r="N480" i="1"/>
  <c r="M480" i="1"/>
  <c r="L480" i="1"/>
  <c r="K480" i="1"/>
  <c r="J480" i="1"/>
  <c r="I480" i="1"/>
  <c r="H480" i="1"/>
  <c r="G480" i="1"/>
  <c r="R479" i="1"/>
  <c r="Q479" i="1"/>
  <c r="P479" i="1"/>
  <c r="O479" i="1"/>
  <c r="N479" i="1"/>
  <c r="M479" i="1"/>
  <c r="L479" i="1"/>
  <c r="K479" i="1"/>
  <c r="J479" i="1"/>
  <c r="I479" i="1"/>
  <c r="H479" i="1"/>
  <c r="G479" i="1"/>
  <c r="R478" i="1"/>
  <c r="Q478" i="1"/>
  <c r="P478" i="1"/>
  <c r="O478" i="1"/>
  <c r="N478" i="1"/>
  <c r="M478" i="1"/>
  <c r="L478" i="1"/>
  <c r="K478" i="1"/>
  <c r="J478" i="1"/>
  <c r="I478" i="1"/>
  <c r="H478" i="1"/>
  <c r="G478" i="1"/>
  <c r="R477" i="1"/>
  <c r="Q477" i="1"/>
  <c r="P477" i="1"/>
  <c r="O477" i="1"/>
  <c r="N477" i="1"/>
  <c r="M477" i="1"/>
  <c r="L477" i="1"/>
  <c r="K477" i="1"/>
  <c r="J477" i="1"/>
  <c r="I477" i="1"/>
  <c r="H477" i="1"/>
  <c r="G477" i="1"/>
  <c r="R476" i="1"/>
  <c r="Q476" i="1"/>
  <c r="P476" i="1"/>
  <c r="O476" i="1"/>
  <c r="N476" i="1"/>
  <c r="M476" i="1"/>
  <c r="L476" i="1"/>
  <c r="K476" i="1"/>
  <c r="J476" i="1"/>
  <c r="I476" i="1"/>
  <c r="H476" i="1"/>
  <c r="G476" i="1"/>
  <c r="R475" i="1"/>
  <c r="Q475" i="1"/>
  <c r="P475" i="1"/>
  <c r="O475" i="1"/>
  <c r="N475" i="1"/>
  <c r="M475" i="1"/>
  <c r="L475" i="1"/>
  <c r="K475" i="1"/>
  <c r="J475" i="1"/>
  <c r="I475" i="1"/>
  <c r="H475" i="1"/>
  <c r="G475" i="1"/>
  <c r="R474" i="1"/>
  <c r="Q474" i="1"/>
  <c r="P474" i="1"/>
  <c r="O474" i="1"/>
  <c r="N474" i="1"/>
  <c r="M474" i="1"/>
  <c r="L474" i="1"/>
  <c r="K474" i="1"/>
  <c r="J474" i="1"/>
  <c r="I474" i="1"/>
  <c r="H474" i="1"/>
  <c r="G474" i="1"/>
  <c r="R473" i="1"/>
  <c r="Q473" i="1"/>
  <c r="P473" i="1"/>
  <c r="O473" i="1"/>
  <c r="N473" i="1"/>
  <c r="M473" i="1"/>
  <c r="L473" i="1"/>
  <c r="K473" i="1"/>
  <c r="J473" i="1"/>
  <c r="I473" i="1"/>
  <c r="H473" i="1"/>
  <c r="G473" i="1"/>
  <c r="R472" i="1"/>
  <c r="Q472" i="1"/>
  <c r="P472" i="1"/>
  <c r="O472" i="1"/>
  <c r="N472" i="1"/>
  <c r="M472" i="1"/>
  <c r="L472" i="1"/>
  <c r="K472" i="1"/>
  <c r="J472" i="1"/>
  <c r="I472" i="1"/>
  <c r="H472" i="1"/>
  <c r="G472" i="1"/>
  <c r="R471" i="1"/>
  <c r="Q471" i="1"/>
  <c r="P471" i="1"/>
  <c r="O471" i="1"/>
  <c r="N471" i="1"/>
  <c r="M471" i="1"/>
  <c r="L471" i="1"/>
  <c r="K471" i="1"/>
  <c r="J471" i="1"/>
  <c r="I471" i="1"/>
  <c r="H471" i="1"/>
  <c r="G471" i="1"/>
  <c r="R470" i="1"/>
  <c r="Q470" i="1"/>
  <c r="P470" i="1"/>
  <c r="O470" i="1"/>
  <c r="N470" i="1"/>
  <c r="M470" i="1"/>
  <c r="L470" i="1"/>
  <c r="K470" i="1"/>
  <c r="J470" i="1"/>
  <c r="I470" i="1"/>
  <c r="H470" i="1"/>
  <c r="G470" i="1"/>
  <c r="R469" i="1"/>
  <c r="Q469" i="1"/>
  <c r="O469" i="1"/>
  <c r="N469" i="1"/>
  <c r="M469" i="1"/>
  <c r="L469" i="1"/>
  <c r="K469" i="1"/>
  <c r="J469" i="1"/>
  <c r="I469" i="1"/>
  <c r="H469" i="1"/>
  <c r="G469" i="1"/>
  <c r="R468" i="1"/>
  <c r="Q468" i="1"/>
  <c r="O468" i="1"/>
  <c r="N468" i="1"/>
  <c r="M468" i="1"/>
  <c r="L468" i="1"/>
  <c r="K468" i="1"/>
  <c r="J468" i="1"/>
  <c r="I468" i="1"/>
  <c r="H468" i="1"/>
  <c r="G468" i="1"/>
  <c r="R467" i="1"/>
  <c r="Q467" i="1"/>
  <c r="O467" i="1"/>
  <c r="N467" i="1"/>
  <c r="M467" i="1"/>
  <c r="L467" i="1"/>
  <c r="K467" i="1"/>
  <c r="J467" i="1"/>
  <c r="I467" i="1"/>
  <c r="H467" i="1"/>
  <c r="G467" i="1"/>
  <c r="R466" i="1"/>
  <c r="Q466" i="1"/>
  <c r="O466" i="1"/>
  <c r="N466" i="1"/>
  <c r="M466" i="1"/>
  <c r="L466" i="1"/>
  <c r="K466" i="1"/>
  <c r="J466" i="1"/>
  <c r="I466" i="1"/>
  <c r="H466" i="1"/>
  <c r="G466" i="1"/>
  <c r="R465" i="1"/>
  <c r="Q465" i="1"/>
  <c r="O465" i="1"/>
  <c r="N465" i="1"/>
  <c r="M465" i="1"/>
  <c r="L465" i="1"/>
  <c r="K465" i="1"/>
  <c r="J465" i="1"/>
  <c r="I465" i="1"/>
  <c r="H465" i="1"/>
  <c r="G465" i="1"/>
  <c r="R464" i="1"/>
  <c r="Q464" i="1"/>
  <c r="O464" i="1"/>
  <c r="N464" i="1"/>
  <c r="M464" i="1"/>
  <c r="L464" i="1"/>
  <c r="K464" i="1"/>
  <c r="J464" i="1"/>
  <c r="I464" i="1"/>
  <c r="H464" i="1"/>
  <c r="G464" i="1"/>
  <c r="R463" i="1"/>
  <c r="Q463" i="1"/>
  <c r="P463" i="1"/>
  <c r="O463" i="1"/>
  <c r="N463" i="1"/>
  <c r="M463" i="1"/>
  <c r="L463" i="1"/>
  <c r="K463" i="1"/>
  <c r="J463" i="1"/>
  <c r="I463" i="1"/>
  <c r="H463" i="1"/>
  <c r="G463" i="1"/>
  <c r="R462" i="1"/>
  <c r="Q462" i="1"/>
  <c r="P462" i="1"/>
  <c r="O462" i="1"/>
  <c r="N462" i="1"/>
  <c r="M462" i="1"/>
  <c r="L462" i="1"/>
  <c r="K462" i="1"/>
  <c r="J462" i="1"/>
  <c r="I462" i="1"/>
  <c r="H462" i="1"/>
  <c r="G462" i="1"/>
  <c r="R461" i="1"/>
  <c r="Q461" i="1"/>
  <c r="P461" i="1"/>
  <c r="O461" i="1"/>
  <c r="N461" i="1"/>
  <c r="M461" i="1"/>
  <c r="L461" i="1"/>
  <c r="K461" i="1"/>
  <c r="J461" i="1"/>
  <c r="I461" i="1"/>
  <c r="H461" i="1"/>
  <c r="G461" i="1"/>
  <c r="R460" i="1"/>
  <c r="Q460" i="1"/>
  <c r="P460" i="1"/>
  <c r="O460" i="1"/>
  <c r="N460" i="1"/>
  <c r="M460" i="1"/>
  <c r="L460" i="1"/>
  <c r="K460" i="1"/>
  <c r="J460" i="1"/>
  <c r="I460" i="1"/>
  <c r="H460" i="1"/>
  <c r="G460" i="1"/>
  <c r="R459" i="1"/>
  <c r="Q459" i="1"/>
  <c r="P459" i="1"/>
  <c r="O459" i="1"/>
  <c r="N459" i="1"/>
  <c r="M459" i="1"/>
  <c r="L459" i="1"/>
  <c r="K459" i="1"/>
  <c r="J459" i="1"/>
  <c r="I459" i="1"/>
  <c r="H459" i="1"/>
  <c r="G459" i="1"/>
  <c r="R458" i="1"/>
  <c r="Q458" i="1"/>
  <c r="P458" i="1"/>
  <c r="O458" i="1"/>
  <c r="N458" i="1"/>
  <c r="M458" i="1"/>
  <c r="L458" i="1"/>
  <c r="K458" i="1"/>
  <c r="J458" i="1"/>
  <c r="I458" i="1"/>
  <c r="H458" i="1"/>
  <c r="G458" i="1"/>
  <c r="R457" i="1"/>
  <c r="Q457" i="1"/>
  <c r="P457" i="1"/>
  <c r="O457" i="1"/>
  <c r="N457" i="1"/>
  <c r="M457" i="1"/>
  <c r="L457" i="1"/>
  <c r="K457" i="1"/>
  <c r="J457" i="1"/>
  <c r="I457" i="1"/>
  <c r="H457" i="1"/>
  <c r="G457" i="1"/>
  <c r="R456" i="1"/>
  <c r="Q456" i="1"/>
  <c r="P456" i="1"/>
  <c r="O456" i="1"/>
  <c r="N456" i="1"/>
  <c r="M456" i="1"/>
  <c r="L456" i="1"/>
  <c r="K456" i="1"/>
  <c r="J456" i="1"/>
  <c r="I456" i="1"/>
  <c r="H456" i="1"/>
  <c r="G456" i="1"/>
  <c r="R455" i="1"/>
  <c r="Q455" i="1"/>
  <c r="P455" i="1"/>
  <c r="O455" i="1"/>
  <c r="N455" i="1"/>
  <c r="M455" i="1"/>
  <c r="L455" i="1"/>
  <c r="K455" i="1"/>
  <c r="J455" i="1"/>
  <c r="I455" i="1"/>
  <c r="H455" i="1"/>
  <c r="G455" i="1"/>
  <c r="R454" i="1"/>
  <c r="Q454" i="1"/>
  <c r="P454" i="1"/>
  <c r="O454" i="1"/>
  <c r="N454" i="1"/>
  <c r="M454" i="1"/>
  <c r="L454" i="1"/>
  <c r="K454" i="1"/>
  <c r="J454" i="1"/>
  <c r="I454" i="1"/>
  <c r="H454" i="1"/>
  <c r="G454" i="1"/>
  <c r="R453" i="1"/>
  <c r="Q453" i="1"/>
  <c r="P453" i="1"/>
  <c r="O453" i="1"/>
  <c r="N453" i="1"/>
  <c r="M453" i="1"/>
  <c r="L453" i="1"/>
  <c r="K453" i="1"/>
  <c r="J453" i="1"/>
  <c r="I453" i="1"/>
  <c r="H453" i="1"/>
  <c r="G453" i="1"/>
  <c r="R452" i="1"/>
  <c r="Q452" i="1"/>
  <c r="P452" i="1"/>
  <c r="O452" i="1"/>
  <c r="N452" i="1"/>
  <c r="M452" i="1"/>
  <c r="L452" i="1"/>
  <c r="K452" i="1"/>
  <c r="J452" i="1"/>
  <c r="I452" i="1"/>
  <c r="H452" i="1"/>
  <c r="G452" i="1"/>
  <c r="R451" i="1"/>
  <c r="Q451" i="1"/>
  <c r="O451" i="1"/>
  <c r="N451" i="1"/>
  <c r="M451" i="1"/>
  <c r="L451" i="1"/>
  <c r="K451" i="1"/>
  <c r="J451" i="1"/>
  <c r="I451" i="1"/>
  <c r="H451" i="1"/>
  <c r="G451" i="1"/>
  <c r="R450" i="1"/>
  <c r="Q450" i="1"/>
  <c r="O450" i="1"/>
  <c r="N450" i="1"/>
  <c r="M450" i="1"/>
  <c r="L450" i="1"/>
  <c r="K450" i="1"/>
  <c r="J450" i="1"/>
  <c r="I450" i="1"/>
  <c r="H450" i="1"/>
  <c r="G450" i="1"/>
  <c r="R449" i="1"/>
  <c r="Q449" i="1"/>
  <c r="O449" i="1"/>
  <c r="N449" i="1"/>
  <c r="M449" i="1"/>
  <c r="L449" i="1"/>
  <c r="K449" i="1"/>
  <c r="J449" i="1"/>
  <c r="I449" i="1"/>
  <c r="H449" i="1"/>
  <c r="G449" i="1"/>
  <c r="R448" i="1"/>
  <c r="Q448" i="1"/>
  <c r="O448" i="1"/>
  <c r="N448" i="1"/>
  <c r="M448" i="1"/>
  <c r="L448" i="1"/>
  <c r="K448" i="1"/>
  <c r="J448" i="1"/>
  <c r="I448" i="1"/>
  <c r="H448" i="1"/>
  <c r="G448" i="1"/>
  <c r="R447" i="1"/>
  <c r="Q447" i="1"/>
  <c r="O447" i="1"/>
  <c r="N447" i="1"/>
  <c r="M447" i="1"/>
  <c r="L447" i="1"/>
  <c r="K447" i="1"/>
  <c r="J447" i="1"/>
  <c r="I447" i="1"/>
  <c r="H447" i="1"/>
  <c r="G447" i="1"/>
  <c r="R446" i="1"/>
  <c r="Q446" i="1"/>
  <c r="O446" i="1"/>
  <c r="N446" i="1"/>
  <c r="M446" i="1"/>
  <c r="L446" i="1"/>
  <c r="K446" i="1"/>
  <c r="J446" i="1"/>
  <c r="I446" i="1"/>
  <c r="H446" i="1"/>
  <c r="G446" i="1"/>
  <c r="R445" i="1"/>
  <c r="Q445" i="1"/>
  <c r="P445" i="1"/>
  <c r="O445" i="1"/>
  <c r="N445" i="1"/>
  <c r="M445" i="1"/>
  <c r="L445" i="1"/>
  <c r="K445" i="1"/>
  <c r="J445" i="1"/>
  <c r="I445" i="1"/>
  <c r="H445" i="1"/>
  <c r="G445" i="1"/>
  <c r="R444" i="1"/>
  <c r="Q444" i="1"/>
  <c r="P444" i="1"/>
  <c r="O444" i="1"/>
  <c r="N444" i="1"/>
  <c r="M444" i="1"/>
  <c r="L444" i="1"/>
  <c r="K444" i="1"/>
  <c r="J444" i="1"/>
  <c r="I444" i="1"/>
  <c r="H444" i="1"/>
  <c r="G444" i="1"/>
  <c r="R443" i="1"/>
  <c r="Q443" i="1"/>
  <c r="P443" i="1"/>
  <c r="O443" i="1"/>
  <c r="N443" i="1"/>
  <c r="M443" i="1"/>
  <c r="L443" i="1"/>
  <c r="K443" i="1"/>
  <c r="J443" i="1"/>
  <c r="I443" i="1"/>
  <c r="H443" i="1"/>
  <c r="G443" i="1"/>
  <c r="R442" i="1"/>
  <c r="Q442" i="1"/>
  <c r="P442" i="1"/>
  <c r="O442" i="1"/>
  <c r="N442" i="1"/>
  <c r="M442" i="1"/>
  <c r="L442" i="1"/>
  <c r="K442" i="1"/>
  <c r="J442" i="1"/>
  <c r="I442" i="1"/>
  <c r="H442" i="1"/>
  <c r="G442" i="1"/>
  <c r="R441" i="1"/>
  <c r="Q441" i="1"/>
  <c r="P441" i="1"/>
  <c r="O441" i="1"/>
  <c r="N441" i="1"/>
  <c r="M441" i="1"/>
  <c r="L441" i="1"/>
  <c r="K441" i="1"/>
  <c r="J441" i="1"/>
  <c r="I441" i="1"/>
  <c r="H441" i="1"/>
  <c r="G441" i="1"/>
  <c r="R440" i="1"/>
  <c r="Q440" i="1"/>
  <c r="P440" i="1"/>
  <c r="O440" i="1"/>
  <c r="N440" i="1"/>
  <c r="M440" i="1"/>
  <c r="L440" i="1"/>
  <c r="K440" i="1"/>
  <c r="J440" i="1"/>
  <c r="I440" i="1"/>
  <c r="H440" i="1"/>
  <c r="G440" i="1"/>
  <c r="R439" i="1"/>
  <c r="Q439" i="1"/>
  <c r="P439" i="1"/>
  <c r="O439" i="1"/>
  <c r="N439" i="1"/>
  <c r="M439" i="1"/>
  <c r="L439" i="1"/>
  <c r="K439" i="1"/>
  <c r="J439" i="1"/>
  <c r="I439" i="1"/>
  <c r="H439" i="1"/>
  <c r="G439" i="1"/>
  <c r="R438" i="1"/>
  <c r="Q438" i="1"/>
  <c r="P438" i="1"/>
  <c r="O438" i="1"/>
  <c r="N438" i="1"/>
  <c r="M438" i="1"/>
  <c r="L438" i="1"/>
  <c r="K438" i="1"/>
  <c r="J438" i="1"/>
  <c r="I438" i="1"/>
  <c r="H438" i="1"/>
  <c r="G438" i="1"/>
  <c r="R437" i="1"/>
  <c r="Q437" i="1"/>
  <c r="P437" i="1"/>
  <c r="O437" i="1"/>
  <c r="N437" i="1"/>
  <c r="M437" i="1"/>
  <c r="L437" i="1"/>
  <c r="K437" i="1"/>
  <c r="J437" i="1"/>
  <c r="I437" i="1"/>
  <c r="H437" i="1"/>
  <c r="G437" i="1"/>
  <c r="R436" i="1"/>
  <c r="Q436" i="1"/>
  <c r="P436" i="1"/>
  <c r="O436" i="1"/>
  <c r="N436" i="1"/>
  <c r="M436" i="1"/>
  <c r="L436" i="1"/>
  <c r="K436" i="1"/>
  <c r="J436" i="1"/>
  <c r="I436" i="1"/>
  <c r="H436" i="1"/>
  <c r="G436" i="1"/>
  <c r="R435" i="1"/>
  <c r="Q435" i="1"/>
  <c r="P435" i="1"/>
  <c r="O435" i="1"/>
  <c r="N435" i="1"/>
  <c r="M435" i="1"/>
  <c r="L435" i="1"/>
  <c r="K435" i="1"/>
  <c r="J435" i="1"/>
  <c r="I435" i="1"/>
  <c r="H435" i="1"/>
  <c r="G435" i="1"/>
  <c r="R434" i="1"/>
  <c r="Q434" i="1"/>
  <c r="P434" i="1"/>
  <c r="O434" i="1"/>
  <c r="N434" i="1"/>
  <c r="M434" i="1"/>
  <c r="L434" i="1"/>
  <c r="K434" i="1"/>
  <c r="J434" i="1"/>
  <c r="I434" i="1"/>
  <c r="H434" i="1"/>
  <c r="G434" i="1"/>
  <c r="R433" i="1"/>
  <c r="Q433" i="1"/>
  <c r="P433" i="1"/>
  <c r="O433" i="1"/>
  <c r="N433" i="1"/>
  <c r="M433" i="1"/>
  <c r="L433" i="1"/>
  <c r="K433" i="1"/>
  <c r="J433" i="1"/>
  <c r="I433" i="1"/>
  <c r="H433" i="1"/>
  <c r="G433" i="1"/>
  <c r="R432" i="1"/>
  <c r="Q432" i="1"/>
  <c r="P432" i="1"/>
  <c r="O432" i="1"/>
  <c r="N432" i="1"/>
  <c r="M432" i="1"/>
  <c r="L432" i="1"/>
  <c r="K432" i="1"/>
  <c r="J432" i="1"/>
  <c r="I432" i="1"/>
  <c r="H432" i="1"/>
  <c r="G432" i="1"/>
  <c r="R431" i="1"/>
  <c r="Q431" i="1"/>
  <c r="P431" i="1"/>
  <c r="O431" i="1"/>
  <c r="N431" i="1"/>
  <c r="M431" i="1"/>
  <c r="L431" i="1"/>
  <c r="K431" i="1"/>
  <c r="J431" i="1"/>
  <c r="I431" i="1"/>
  <c r="H431" i="1"/>
  <c r="G431" i="1"/>
  <c r="R430" i="1"/>
  <c r="Q430" i="1"/>
  <c r="P430" i="1"/>
  <c r="O430" i="1"/>
  <c r="N430" i="1"/>
  <c r="M430" i="1"/>
  <c r="L430" i="1"/>
  <c r="K430" i="1"/>
  <c r="J430" i="1"/>
  <c r="I430" i="1"/>
  <c r="H430" i="1"/>
  <c r="G430" i="1"/>
  <c r="R429" i="1"/>
  <c r="Q429" i="1"/>
  <c r="P429" i="1"/>
  <c r="O429" i="1"/>
  <c r="N429" i="1"/>
  <c r="M429" i="1"/>
  <c r="L429" i="1"/>
  <c r="K429" i="1"/>
  <c r="J429" i="1"/>
  <c r="I429" i="1"/>
  <c r="H429" i="1"/>
  <c r="G429" i="1"/>
  <c r="R428" i="1"/>
  <c r="Q428" i="1"/>
  <c r="P428" i="1"/>
  <c r="O428" i="1"/>
  <c r="N428" i="1"/>
  <c r="M428" i="1"/>
  <c r="L428" i="1"/>
  <c r="K428" i="1"/>
  <c r="J428" i="1"/>
  <c r="I428" i="1"/>
  <c r="H428" i="1"/>
  <c r="G428" i="1"/>
  <c r="R427" i="1"/>
  <c r="Q427" i="1"/>
  <c r="O427" i="1"/>
  <c r="N427" i="1"/>
  <c r="M427" i="1"/>
  <c r="L427" i="1"/>
  <c r="K427" i="1"/>
  <c r="J427" i="1"/>
  <c r="I427" i="1"/>
  <c r="H427" i="1"/>
  <c r="G427" i="1"/>
  <c r="R426" i="1"/>
  <c r="Q426" i="1"/>
  <c r="O426" i="1"/>
  <c r="N426" i="1"/>
  <c r="M426" i="1"/>
  <c r="L426" i="1"/>
  <c r="K426" i="1"/>
  <c r="J426" i="1"/>
  <c r="I426" i="1"/>
  <c r="H426" i="1"/>
  <c r="G426" i="1"/>
  <c r="R425" i="1"/>
  <c r="Q425" i="1"/>
  <c r="O425" i="1"/>
  <c r="N425" i="1"/>
  <c r="M425" i="1"/>
  <c r="L425" i="1"/>
  <c r="K425" i="1"/>
  <c r="J425" i="1"/>
  <c r="I425" i="1"/>
  <c r="H425" i="1"/>
  <c r="G425" i="1"/>
  <c r="R424" i="1"/>
  <c r="Q424" i="1"/>
  <c r="O424" i="1"/>
  <c r="N424" i="1"/>
  <c r="M424" i="1"/>
  <c r="L424" i="1"/>
  <c r="K424" i="1"/>
  <c r="J424" i="1"/>
  <c r="I424" i="1"/>
  <c r="H424" i="1"/>
  <c r="G424" i="1"/>
  <c r="R423" i="1"/>
  <c r="Q423" i="1"/>
  <c r="O423" i="1"/>
  <c r="N423" i="1"/>
  <c r="M423" i="1"/>
  <c r="L423" i="1"/>
  <c r="K423" i="1"/>
  <c r="J423" i="1"/>
  <c r="I423" i="1"/>
  <c r="H423" i="1"/>
  <c r="G423" i="1"/>
  <c r="R422" i="1"/>
  <c r="Q422" i="1"/>
  <c r="O422" i="1"/>
  <c r="N422" i="1"/>
  <c r="M422" i="1"/>
  <c r="L422" i="1"/>
  <c r="K422" i="1"/>
  <c r="J422" i="1"/>
  <c r="I422" i="1"/>
  <c r="H422" i="1"/>
  <c r="G422" i="1"/>
  <c r="R421" i="1"/>
  <c r="Q421" i="1"/>
  <c r="P421" i="1"/>
  <c r="O421" i="1"/>
  <c r="N421" i="1"/>
  <c r="M421" i="1"/>
  <c r="L421" i="1"/>
  <c r="K421" i="1"/>
  <c r="J421" i="1"/>
  <c r="I421" i="1"/>
  <c r="H421" i="1"/>
  <c r="G421" i="1"/>
  <c r="R420" i="1"/>
  <c r="Q420" i="1"/>
  <c r="P420" i="1"/>
  <c r="O420" i="1"/>
  <c r="N420" i="1"/>
  <c r="M420" i="1"/>
  <c r="L420" i="1"/>
  <c r="K420" i="1"/>
  <c r="J420" i="1"/>
  <c r="I420" i="1"/>
  <c r="H420" i="1"/>
  <c r="G420" i="1"/>
  <c r="R419" i="1"/>
  <c r="Q419" i="1"/>
  <c r="P419" i="1"/>
  <c r="O419" i="1"/>
  <c r="N419" i="1"/>
  <c r="M419" i="1"/>
  <c r="L419" i="1"/>
  <c r="K419" i="1"/>
  <c r="J419" i="1"/>
  <c r="I419" i="1"/>
  <c r="H419" i="1"/>
  <c r="G419" i="1"/>
  <c r="R418" i="1"/>
  <c r="Q418" i="1"/>
  <c r="P418" i="1"/>
  <c r="O418" i="1"/>
  <c r="N418" i="1"/>
  <c r="M418" i="1"/>
  <c r="L418" i="1"/>
  <c r="K418" i="1"/>
  <c r="J418" i="1"/>
  <c r="I418" i="1"/>
  <c r="H418" i="1"/>
  <c r="G418" i="1"/>
  <c r="R417" i="1"/>
  <c r="Q417" i="1"/>
  <c r="P417" i="1"/>
  <c r="O417" i="1"/>
  <c r="N417" i="1"/>
  <c r="M417" i="1"/>
  <c r="L417" i="1"/>
  <c r="K417" i="1"/>
  <c r="J417" i="1"/>
  <c r="I417" i="1"/>
  <c r="H417" i="1"/>
  <c r="G417" i="1"/>
  <c r="R416" i="1"/>
  <c r="Q416" i="1"/>
  <c r="P416" i="1"/>
  <c r="O416" i="1"/>
  <c r="N416" i="1"/>
  <c r="M416" i="1"/>
  <c r="L416" i="1"/>
  <c r="K416" i="1"/>
  <c r="J416" i="1"/>
  <c r="I416" i="1"/>
  <c r="H416" i="1"/>
  <c r="G416" i="1"/>
  <c r="R415" i="1"/>
  <c r="Q415" i="1"/>
  <c r="P415" i="1"/>
  <c r="O415" i="1"/>
  <c r="N415" i="1"/>
  <c r="M415" i="1"/>
  <c r="L415" i="1"/>
  <c r="K415" i="1"/>
  <c r="J415" i="1"/>
  <c r="I415" i="1"/>
  <c r="H415" i="1"/>
  <c r="G415" i="1"/>
  <c r="R414" i="1"/>
  <c r="Q414" i="1"/>
  <c r="P414" i="1"/>
  <c r="O414" i="1"/>
  <c r="N414" i="1"/>
  <c r="M414" i="1"/>
  <c r="L414" i="1"/>
  <c r="K414" i="1"/>
  <c r="J414" i="1"/>
  <c r="I414" i="1"/>
  <c r="H414" i="1"/>
  <c r="G414" i="1"/>
  <c r="R413" i="1"/>
  <c r="Q413" i="1"/>
  <c r="P413" i="1"/>
  <c r="O413" i="1"/>
  <c r="N413" i="1"/>
  <c r="M413" i="1"/>
  <c r="L413" i="1"/>
  <c r="K413" i="1"/>
  <c r="J413" i="1"/>
  <c r="I413" i="1"/>
  <c r="H413" i="1"/>
  <c r="G413" i="1"/>
  <c r="R412" i="1"/>
  <c r="Q412" i="1"/>
  <c r="P412" i="1"/>
  <c r="O412" i="1"/>
  <c r="N412" i="1"/>
  <c r="M412" i="1"/>
  <c r="L412" i="1"/>
  <c r="K412" i="1"/>
  <c r="J412" i="1"/>
  <c r="I412" i="1"/>
  <c r="H412" i="1"/>
  <c r="G412" i="1"/>
  <c r="R411" i="1"/>
  <c r="Q411" i="1"/>
  <c r="P411" i="1"/>
  <c r="O411" i="1"/>
  <c r="N411" i="1"/>
  <c r="M411" i="1"/>
  <c r="L411" i="1"/>
  <c r="K411" i="1"/>
  <c r="J411" i="1"/>
  <c r="I411" i="1"/>
  <c r="H411" i="1"/>
  <c r="G411" i="1"/>
  <c r="R410" i="1"/>
  <c r="Q410" i="1"/>
  <c r="P410" i="1"/>
  <c r="O410" i="1"/>
  <c r="N410" i="1"/>
  <c r="M410" i="1"/>
  <c r="L410" i="1"/>
  <c r="K410" i="1"/>
  <c r="J410" i="1"/>
  <c r="I410" i="1"/>
  <c r="H410" i="1"/>
  <c r="G410" i="1"/>
  <c r="R409" i="1"/>
  <c r="Q409" i="1"/>
  <c r="P409" i="1"/>
  <c r="O409" i="1"/>
  <c r="N409" i="1"/>
  <c r="M409" i="1"/>
  <c r="L409" i="1"/>
  <c r="K409" i="1"/>
  <c r="J409" i="1"/>
  <c r="I409" i="1"/>
  <c r="H409" i="1"/>
  <c r="G409" i="1"/>
  <c r="R408" i="1"/>
  <c r="Q408" i="1"/>
  <c r="P408" i="1"/>
  <c r="O408" i="1"/>
  <c r="N408" i="1"/>
  <c r="M408" i="1"/>
  <c r="L408" i="1"/>
  <c r="K408" i="1"/>
  <c r="J408" i="1"/>
  <c r="I408" i="1"/>
  <c r="H408" i="1"/>
  <c r="G408" i="1"/>
  <c r="R407" i="1"/>
  <c r="Q407" i="1"/>
  <c r="P407" i="1"/>
  <c r="O407" i="1"/>
  <c r="N407" i="1"/>
  <c r="M407" i="1"/>
  <c r="L407" i="1"/>
  <c r="K407" i="1"/>
  <c r="J407" i="1"/>
  <c r="I407" i="1"/>
  <c r="H407" i="1"/>
  <c r="G407" i="1"/>
  <c r="R406" i="1"/>
  <c r="Q406" i="1"/>
  <c r="P406" i="1"/>
  <c r="O406" i="1"/>
  <c r="N406" i="1"/>
  <c r="M406" i="1"/>
  <c r="L406" i="1"/>
  <c r="K406" i="1"/>
  <c r="J406" i="1"/>
  <c r="I406" i="1"/>
  <c r="H406" i="1"/>
  <c r="G406" i="1"/>
  <c r="R405" i="1"/>
  <c r="Q405" i="1"/>
  <c r="P405" i="1"/>
  <c r="O405" i="1"/>
  <c r="N405" i="1"/>
  <c r="M405" i="1"/>
  <c r="L405" i="1"/>
  <c r="K405" i="1"/>
  <c r="J405" i="1"/>
  <c r="I405" i="1"/>
  <c r="H405" i="1"/>
  <c r="G405" i="1"/>
  <c r="R404" i="1"/>
  <c r="Q404" i="1"/>
  <c r="P404" i="1"/>
  <c r="O404" i="1"/>
  <c r="N404" i="1"/>
  <c r="M404" i="1"/>
  <c r="L404" i="1"/>
  <c r="K404" i="1"/>
  <c r="J404" i="1"/>
  <c r="I404" i="1"/>
  <c r="H404" i="1"/>
  <c r="G404" i="1"/>
  <c r="R403" i="1"/>
  <c r="Q403" i="1"/>
  <c r="O403" i="1"/>
  <c r="N403" i="1"/>
  <c r="M403" i="1"/>
  <c r="L403" i="1"/>
  <c r="K403" i="1"/>
  <c r="J403" i="1"/>
  <c r="I403" i="1"/>
  <c r="H403" i="1"/>
  <c r="G403" i="1"/>
  <c r="R402" i="1"/>
  <c r="Q402" i="1"/>
  <c r="O402" i="1"/>
  <c r="N402" i="1"/>
  <c r="M402" i="1"/>
  <c r="L402" i="1"/>
  <c r="K402" i="1"/>
  <c r="J402" i="1"/>
  <c r="I402" i="1"/>
  <c r="H402" i="1"/>
  <c r="G402" i="1"/>
  <c r="R401" i="1"/>
  <c r="Q401" i="1"/>
  <c r="O401" i="1"/>
  <c r="N401" i="1"/>
  <c r="M401" i="1"/>
  <c r="L401" i="1"/>
  <c r="K401" i="1"/>
  <c r="J401" i="1"/>
  <c r="I401" i="1"/>
  <c r="H401" i="1"/>
  <c r="G401" i="1"/>
  <c r="R400" i="1"/>
  <c r="Q400" i="1"/>
  <c r="O400" i="1"/>
  <c r="N400" i="1"/>
  <c r="M400" i="1"/>
  <c r="L400" i="1"/>
  <c r="K400" i="1"/>
  <c r="J400" i="1"/>
  <c r="I400" i="1"/>
  <c r="H400" i="1"/>
  <c r="G400" i="1"/>
  <c r="R399" i="1"/>
  <c r="Q399" i="1"/>
  <c r="O399" i="1"/>
  <c r="N399" i="1"/>
  <c r="M399" i="1"/>
  <c r="L399" i="1"/>
  <c r="K399" i="1"/>
  <c r="J399" i="1"/>
  <c r="I399" i="1"/>
  <c r="H399" i="1"/>
  <c r="G399" i="1"/>
  <c r="R398" i="1"/>
  <c r="Q398" i="1"/>
  <c r="O398" i="1"/>
  <c r="N398" i="1"/>
  <c r="M398" i="1"/>
  <c r="L398" i="1"/>
  <c r="K398" i="1"/>
  <c r="J398" i="1"/>
  <c r="I398" i="1"/>
  <c r="H398" i="1"/>
  <c r="G398" i="1"/>
  <c r="R397" i="1"/>
  <c r="Q397" i="1"/>
  <c r="P397" i="1"/>
  <c r="O397" i="1"/>
  <c r="N397" i="1"/>
  <c r="M397" i="1"/>
  <c r="L397" i="1"/>
  <c r="K397" i="1"/>
  <c r="J397" i="1"/>
  <c r="I397" i="1"/>
  <c r="H397" i="1"/>
  <c r="G397" i="1"/>
  <c r="R396" i="1"/>
  <c r="Q396" i="1"/>
  <c r="P396" i="1"/>
  <c r="O396" i="1"/>
  <c r="N396" i="1"/>
  <c r="M396" i="1"/>
  <c r="L396" i="1"/>
  <c r="K396" i="1"/>
  <c r="J396" i="1"/>
  <c r="I396" i="1"/>
  <c r="H396" i="1"/>
  <c r="G396" i="1"/>
  <c r="R395" i="1"/>
  <c r="Q395" i="1"/>
  <c r="P395" i="1"/>
  <c r="O395" i="1"/>
  <c r="N395" i="1"/>
  <c r="M395" i="1"/>
  <c r="L395" i="1"/>
  <c r="K395" i="1"/>
  <c r="J395" i="1"/>
  <c r="I395" i="1"/>
  <c r="H395" i="1"/>
  <c r="G395" i="1"/>
  <c r="R394" i="1"/>
  <c r="Q394" i="1"/>
  <c r="P394" i="1"/>
  <c r="O394" i="1"/>
  <c r="N394" i="1"/>
  <c r="M394" i="1"/>
  <c r="L394" i="1"/>
  <c r="K394" i="1"/>
  <c r="J394" i="1"/>
  <c r="I394" i="1"/>
  <c r="H394" i="1"/>
  <c r="G394" i="1"/>
  <c r="R393" i="1"/>
  <c r="Q393" i="1"/>
  <c r="P393" i="1"/>
  <c r="O393" i="1"/>
  <c r="N393" i="1"/>
  <c r="M393" i="1"/>
  <c r="L393" i="1"/>
  <c r="K393" i="1"/>
  <c r="J393" i="1"/>
  <c r="I393" i="1"/>
  <c r="H393" i="1"/>
  <c r="G393" i="1"/>
  <c r="R392" i="1"/>
  <c r="Q392" i="1"/>
  <c r="P392" i="1"/>
  <c r="O392" i="1"/>
  <c r="N392" i="1"/>
  <c r="M392" i="1"/>
  <c r="L392" i="1"/>
  <c r="K392" i="1"/>
  <c r="J392" i="1"/>
  <c r="I392" i="1"/>
  <c r="H392" i="1"/>
  <c r="G392" i="1"/>
  <c r="R391" i="1"/>
  <c r="Q391" i="1"/>
  <c r="P391" i="1"/>
  <c r="O391" i="1"/>
  <c r="N391" i="1"/>
  <c r="M391" i="1"/>
  <c r="L391" i="1"/>
  <c r="K391" i="1"/>
  <c r="J391" i="1"/>
  <c r="I391" i="1"/>
  <c r="H391" i="1"/>
  <c r="G391" i="1"/>
  <c r="R390" i="1"/>
  <c r="Q390" i="1"/>
  <c r="P390" i="1"/>
  <c r="O390" i="1"/>
  <c r="N390" i="1"/>
  <c r="M390" i="1"/>
  <c r="L390" i="1"/>
  <c r="K390" i="1"/>
  <c r="J390" i="1"/>
  <c r="I390" i="1"/>
  <c r="H390" i="1"/>
  <c r="G390" i="1"/>
  <c r="R389" i="1"/>
  <c r="Q389" i="1"/>
  <c r="P389" i="1"/>
  <c r="O389" i="1"/>
  <c r="N389" i="1"/>
  <c r="M389" i="1"/>
  <c r="L389" i="1"/>
  <c r="K389" i="1"/>
  <c r="J389" i="1"/>
  <c r="I389" i="1"/>
  <c r="H389" i="1"/>
  <c r="G389" i="1"/>
  <c r="R388" i="1"/>
  <c r="Q388" i="1"/>
  <c r="P388" i="1"/>
  <c r="O388" i="1"/>
  <c r="N388" i="1"/>
  <c r="M388" i="1"/>
  <c r="L388" i="1"/>
  <c r="K388" i="1"/>
  <c r="J388" i="1"/>
  <c r="I388" i="1"/>
  <c r="H388" i="1"/>
  <c r="G388" i="1"/>
  <c r="R387" i="1"/>
  <c r="Q387" i="1"/>
  <c r="P387" i="1"/>
  <c r="O387" i="1"/>
  <c r="N387" i="1"/>
  <c r="M387" i="1"/>
  <c r="L387" i="1"/>
  <c r="K387" i="1"/>
  <c r="J387" i="1"/>
  <c r="I387" i="1"/>
  <c r="H387" i="1"/>
  <c r="G387" i="1"/>
  <c r="R386" i="1"/>
  <c r="Q386" i="1"/>
  <c r="P386" i="1"/>
  <c r="O386" i="1"/>
  <c r="N386" i="1"/>
  <c r="M386" i="1"/>
  <c r="L386" i="1"/>
  <c r="K386" i="1"/>
  <c r="J386" i="1"/>
  <c r="I386" i="1"/>
  <c r="H386" i="1"/>
  <c r="G386" i="1"/>
  <c r="R385" i="1"/>
  <c r="Q385" i="1"/>
  <c r="P385" i="1"/>
  <c r="O385" i="1"/>
  <c r="N385" i="1"/>
  <c r="M385" i="1"/>
  <c r="L385" i="1"/>
  <c r="K385" i="1"/>
  <c r="J385" i="1"/>
  <c r="I385" i="1"/>
  <c r="H385" i="1"/>
  <c r="G385" i="1"/>
  <c r="R384" i="1"/>
  <c r="Q384" i="1"/>
  <c r="P384" i="1"/>
  <c r="O384" i="1"/>
  <c r="N384" i="1"/>
  <c r="M384" i="1"/>
  <c r="L384" i="1"/>
  <c r="K384" i="1"/>
  <c r="J384" i="1"/>
  <c r="I384" i="1"/>
  <c r="H384" i="1"/>
  <c r="G384" i="1"/>
  <c r="R383" i="1"/>
  <c r="Q383" i="1"/>
  <c r="P383" i="1"/>
  <c r="O383" i="1"/>
  <c r="N383" i="1"/>
  <c r="M383" i="1"/>
  <c r="L383" i="1"/>
  <c r="K383" i="1"/>
  <c r="J383" i="1"/>
  <c r="I383" i="1"/>
  <c r="H383" i="1"/>
  <c r="G383" i="1"/>
  <c r="R382" i="1"/>
  <c r="Q382" i="1"/>
  <c r="P382" i="1"/>
  <c r="O382" i="1"/>
  <c r="N382" i="1"/>
  <c r="M382" i="1"/>
  <c r="L382" i="1"/>
  <c r="K382" i="1"/>
  <c r="J382" i="1"/>
  <c r="I382" i="1"/>
  <c r="H382" i="1"/>
  <c r="G382" i="1"/>
  <c r="R381" i="1"/>
  <c r="Q381" i="1"/>
  <c r="P381" i="1"/>
  <c r="O381" i="1"/>
  <c r="N381" i="1"/>
  <c r="M381" i="1"/>
  <c r="L381" i="1"/>
  <c r="K381" i="1"/>
  <c r="J381" i="1"/>
  <c r="I381" i="1"/>
  <c r="H381" i="1"/>
  <c r="G381" i="1"/>
  <c r="R380" i="1"/>
  <c r="Q380" i="1"/>
  <c r="O380" i="1"/>
  <c r="N380" i="1"/>
  <c r="M380" i="1"/>
  <c r="L380" i="1"/>
  <c r="K380" i="1"/>
  <c r="J380" i="1"/>
  <c r="I380" i="1"/>
  <c r="H380" i="1"/>
  <c r="G380" i="1"/>
  <c r="R379" i="1"/>
  <c r="Q379" i="1"/>
  <c r="O379" i="1"/>
  <c r="N379" i="1"/>
  <c r="M379" i="1"/>
  <c r="L379" i="1"/>
  <c r="K379" i="1"/>
  <c r="J379" i="1"/>
  <c r="I379" i="1"/>
  <c r="H379" i="1"/>
  <c r="G379" i="1"/>
  <c r="R378" i="1"/>
  <c r="Q378" i="1"/>
  <c r="O378" i="1"/>
  <c r="N378" i="1"/>
  <c r="M378" i="1"/>
  <c r="L378" i="1"/>
  <c r="K378" i="1"/>
  <c r="J378" i="1"/>
  <c r="I378" i="1"/>
  <c r="H378" i="1"/>
  <c r="G378" i="1"/>
  <c r="R377" i="1"/>
  <c r="Q377" i="1"/>
  <c r="O377" i="1"/>
  <c r="N377" i="1"/>
  <c r="M377" i="1"/>
  <c r="L377" i="1"/>
  <c r="K377" i="1"/>
  <c r="J377" i="1"/>
  <c r="I377" i="1"/>
  <c r="H377" i="1"/>
  <c r="G377" i="1"/>
  <c r="R376" i="1"/>
  <c r="Q376" i="1"/>
  <c r="O376" i="1"/>
  <c r="N376" i="1"/>
  <c r="M376" i="1"/>
  <c r="L376" i="1"/>
  <c r="K376" i="1"/>
  <c r="J376" i="1"/>
  <c r="I376" i="1"/>
  <c r="H376" i="1"/>
  <c r="G376" i="1"/>
  <c r="R375" i="1"/>
  <c r="Q375" i="1"/>
  <c r="O375" i="1"/>
  <c r="N375" i="1"/>
  <c r="M375" i="1"/>
  <c r="L375" i="1"/>
  <c r="K375" i="1"/>
  <c r="J375" i="1"/>
  <c r="I375" i="1"/>
  <c r="H375" i="1"/>
  <c r="G375" i="1"/>
  <c r="R374" i="1"/>
  <c r="Q374" i="1"/>
  <c r="O374" i="1"/>
  <c r="N374" i="1"/>
  <c r="M374" i="1"/>
  <c r="L374" i="1"/>
  <c r="K374" i="1"/>
  <c r="J374" i="1"/>
  <c r="I374" i="1"/>
  <c r="H374" i="1"/>
  <c r="G374" i="1"/>
  <c r="R373" i="1"/>
  <c r="Q373" i="1"/>
  <c r="O373" i="1"/>
  <c r="N373" i="1"/>
  <c r="M373" i="1"/>
  <c r="L373" i="1"/>
  <c r="K373" i="1"/>
  <c r="J373" i="1"/>
  <c r="I373" i="1"/>
  <c r="H373" i="1"/>
  <c r="G373" i="1"/>
  <c r="R372" i="1"/>
  <c r="Q372" i="1"/>
  <c r="P372" i="1"/>
  <c r="O372" i="1"/>
  <c r="N372" i="1"/>
  <c r="M372" i="1"/>
  <c r="L372" i="1"/>
  <c r="K372" i="1"/>
  <c r="J372" i="1"/>
  <c r="I372" i="1"/>
  <c r="H372" i="1"/>
  <c r="G372" i="1"/>
  <c r="R371" i="1"/>
  <c r="Q371" i="1"/>
  <c r="P371" i="1"/>
  <c r="O371" i="1"/>
  <c r="N371" i="1"/>
  <c r="M371" i="1"/>
  <c r="L371" i="1"/>
  <c r="K371" i="1"/>
  <c r="J371" i="1"/>
  <c r="I371" i="1"/>
  <c r="H371" i="1"/>
  <c r="G371" i="1"/>
  <c r="R370" i="1"/>
  <c r="Q370" i="1"/>
  <c r="P370" i="1"/>
  <c r="O370" i="1"/>
  <c r="N370" i="1"/>
  <c r="M370" i="1"/>
  <c r="L370" i="1"/>
  <c r="K370" i="1"/>
  <c r="J370" i="1"/>
  <c r="I370" i="1"/>
  <c r="H370" i="1"/>
  <c r="G370" i="1"/>
  <c r="R369" i="1"/>
  <c r="Q369" i="1"/>
  <c r="P369" i="1"/>
  <c r="O369" i="1"/>
  <c r="N369" i="1"/>
  <c r="M369" i="1"/>
  <c r="L369" i="1"/>
  <c r="K369" i="1"/>
  <c r="J369" i="1"/>
  <c r="I369" i="1"/>
  <c r="H369" i="1"/>
  <c r="G369" i="1"/>
  <c r="R368" i="1"/>
  <c r="Q368" i="1"/>
  <c r="P368" i="1"/>
  <c r="O368" i="1"/>
  <c r="N368" i="1"/>
  <c r="M368" i="1"/>
  <c r="L368" i="1"/>
  <c r="K368" i="1"/>
  <c r="J368" i="1"/>
  <c r="I368" i="1"/>
  <c r="H368" i="1"/>
  <c r="G368" i="1"/>
  <c r="R367" i="1"/>
  <c r="Q367" i="1"/>
  <c r="P367" i="1"/>
  <c r="O367" i="1"/>
  <c r="N367" i="1"/>
  <c r="M367" i="1"/>
  <c r="L367" i="1"/>
  <c r="K367" i="1"/>
  <c r="J367" i="1"/>
  <c r="I367" i="1"/>
  <c r="H367" i="1"/>
  <c r="G367" i="1"/>
  <c r="R366" i="1"/>
  <c r="Q366" i="1"/>
  <c r="P366" i="1"/>
  <c r="O366" i="1"/>
  <c r="N366" i="1"/>
  <c r="M366" i="1"/>
  <c r="L366" i="1"/>
  <c r="K366" i="1"/>
  <c r="J366" i="1"/>
  <c r="I366" i="1"/>
  <c r="H366" i="1"/>
  <c r="G366" i="1"/>
  <c r="R365" i="1"/>
  <c r="Q365" i="1"/>
  <c r="P365" i="1"/>
  <c r="O365" i="1"/>
  <c r="N365" i="1"/>
  <c r="M365" i="1"/>
  <c r="L365" i="1"/>
  <c r="K365" i="1"/>
  <c r="J365" i="1"/>
  <c r="I365" i="1"/>
  <c r="H365" i="1"/>
  <c r="G365" i="1"/>
  <c r="R364" i="1"/>
  <c r="Q364" i="1"/>
  <c r="O364" i="1"/>
  <c r="N364" i="1"/>
  <c r="M364" i="1"/>
  <c r="L364" i="1"/>
  <c r="K364" i="1"/>
  <c r="J364" i="1"/>
  <c r="I364" i="1"/>
  <c r="H364" i="1"/>
  <c r="G364" i="1"/>
  <c r="R363" i="1"/>
  <c r="Q363" i="1"/>
  <c r="P363" i="1"/>
  <c r="O363" i="1"/>
  <c r="N363" i="1"/>
  <c r="M363" i="1"/>
  <c r="L363" i="1"/>
  <c r="K363" i="1"/>
  <c r="J363" i="1"/>
  <c r="I363" i="1"/>
  <c r="H363" i="1"/>
  <c r="G363" i="1"/>
  <c r="R362" i="1"/>
  <c r="Q362" i="1"/>
  <c r="O362" i="1"/>
  <c r="N362" i="1"/>
  <c r="M362" i="1"/>
  <c r="L362" i="1"/>
  <c r="K362" i="1"/>
  <c r="J362" i="1"/>
  <c r="I362" i="1"/>
  <c r="H362" i="1"/>
  <c r="G362" i="1"/>
  <c r="R361" i="1"/>
  <c r="Q361" i="1"/>
  <c r="P361" i="1"/>
  <c r="O361" i="1"/>
  <c r="N361" i="1"/>
  <c r="M361" i="1"/>
  <c r="L361" i="1"/>
  <c r="K361" i="1"/>
  <c r="J361" i="1"/>
  <c r="I361" i="1"/>
  <c r="H361" i="1"/>
  <c r="G361" i="1"/>
  <c r="R360" i="1"/>
  <c r="Q360" i="1"/>
  <c r="P360" i="1"/>
  <c r="O360" i="1"/>
  <c r="N360" i="1"/>
  <c r="M360" i="1"/>
  <c r="L360" i="1"/>
  <c r="K360" i="1"/>
  <c r="J360" i="1"/>
  <c r="I360" i="1"/>
  <c r="H360" i="1"/>
  <c r="G360" i="1"/>
  <c r="R359" i="1"/>
  <c r="Q359" i="1"/>
  <c r="P359" i="1"/>
  <c r="O359" i="1"/>
  <c r="N359" i="1"/>
  <c r="M359" i="1"/>
  <c r="L359" i="1"/>
  <c r="K359" i="1"/>
  <c r="J359" i="1"/>
  <c r="I359" i="1"/>
  <c r="H359" i="1"/>
  <c r="G359" i="1"/>
  <c r="R358" i="1"/>
  <c r="Q358" i="1"/>
  <c r="P358" i="1"/>
  <c r="O358" i="1"/>
  <c r="N358" i="1"/>
  <c r="M358" i="1"/>
  <c r="L358" i="1"/>
  <c r="K358" i="1"/>
  <c r="J358" i="1"/>
  <c r="I358" i="1"/>
  <c r="H358" i="1"/>
  <c r="G358" i="1"/>
  <c r="R357" i="1"/>
  <c r="Q357" i="1"/>
  <c r="P357" i="1"/>
  <c r="O357" i="1"/>
  <c r="N357" i="1"/>
  <c r="M357" i="1"/>
  <c r="L357" i="1"/>
  <c r="K357" i="1"/>
  <c r="J357" i="1"/>
  <c r="I357" i="1"/>
  <c r="H357" i="1"/>
  <c r="G357" i="1"/>
  <c r="R356" i="1"/>
  <c r="Q356" i="1"/>
  <c r="P356" i="1"/>
  <c r="O356" i="1"/>
  <c r="N356" i="1"/>
  <c r="M356" i="1"/>
  <c r="L356" i="1"/>
  <c r="K356" i="1"/>
  <c r="J356" i="1"/>
  <c r="I356" i="1"/>
  <c r="H356" i="1"/>
  <c r="G356" i="1"/>
  <c r="R355" i="1"/>
  <c r="Q355" i="1"/>
  <c r="P355" i="1"/>
  <c r="O355" i="1"/>
  <c r="N355" i="1"/>
  <c r="M355" i="1"/>
  <c r="L355" i="1"/>
  <c r="K355" i="1"/>
  <c r="J355" i="1"/>
  <c r="I355" i="1"/>
  <c r="H355" i="1"/>
  <c r="G355" i="1"/>
  <c r="R354" i="1"/>
  <c r="Q354" i="1"/>
  <c r="P354" i="1"/>
  <c r="O354" i="1"/>
  <c r="N354" i="1"/>
  <c r="M354" i="1"/>
  <c r="L354" i="1"/>
  <c r="K354" i="1"/>
  <c r="J354" i="1"/>
  <c r="I354" i="1"/>
  <c r="H354" i="1"/>
  <c r="G354" i="1"/>
  <c r="R353" i="1"/>
  <c r="Q353" i="1"/>
  <c r="P353" i="1"/>
  <c r="O353" i="1"/>
  <c r="N353" i="1"/>
  <c r="M353" i="1"/>
  <c r="L353" i="1"/>
  <c r="K353" i="1"/>
  <c r="J353" i="1"/>
  <c r="I353" i="1"/>
  <c r="H353" i="1"/>
  <c r="G353" i="1"/>
  <c r="R352" i="1"/>
  <c r="Q352" i="1"/>
  <c r="P352" i="1"/>
  <c r="O352" i="1"/>
  <c r="N352" i="1"/>
  <c r="M352" i="1"/>
  <c r="L352" i="1"/>
  <c r="K352" i="1"/>
  <c r="J352" i="1"/>
  <c r="I352" i="1"/>
  <c r="H352" i="1"/>
  <c r="G352" i="1"/>
  <c r="R351" i="1"/>
  <c r="Q351" i="1"/>
  <c r="P351" i="1"/>
  <c r="O351" i="1"/>
  <c r="N351" i="1"/>
  <c r="M351" i="1"/>
  <c r="L351" i="1"/>
  <c r="K351" i="1"/>
  <c r="J351" i="1"/>
  <c r="I351" i="1"/>
  <c r="H351" i="1"/>
  <c r="G351" i="1"/>
  <c r="R350" i="1"/>
  <c r="Q350" i="1"/>
  <c r="P350" i="1"/>
  <c r="O350" i="1"/>
  <c r="N350" i="1"/>
  <c r="M350" i="1"/>
  <c r="L350" i="1"/>
  <c r="K350" i="1"/>
  <c r="J350" i="1"/>
  <c r="I350" i="1"/>
  <c r="H350" i="1"/>
  <c r="G350" i="1"/>
  <c r="R349" i="1"/>
  <c r="Q349" i="1"/>
  <c r="P349" i="1"/>
  <c r="O349" i="1"/>
  <c r="N349" i="1"/>
  <c r="M349" i="1"/>
  <c r="L349" i="1"/>
  <c r="K349" i="1"/>
  <c r="J349" i="1"/>
  <c r="I349" i="1"/>
  <c r="H349" i="1"/>
  <c r="G349" i="1"/>
  <c r="R348" i="1"/>
  <c r="Q348" i="1"/>
  <c r="P348" i="1"/>
  <c r="O348" i="1"/>
  <c r="N348" i="1"/>
  <c r="M348" i="1"/>
  <c r="L348" i="1"/>
  <c r="K348" i="1"/>
  <c r="J348" i="1"/>
  <c r="I348" i="1"/>
  <c r="H348" i="1"/>
  <c r="G348" i="1"/>
  <c r="R347" i="1"/>
  <c r="Q347" i="1"/>
  <c r="P347" i="1"/>
  <c r="O347" i="1"/>
  <c r="N347" i="1"/>
  <c r="M347" i="1"/>
  <c r="L347" i="1"/>
  <c r="K347" i="1"/>
  <c r="J347" i="1"/>
  <c r="I347" i="1"/>
  <c r="H347" i="1"/>
  <c r="G347" i="1"/>
  <c r="R346" i="1"/>
  <c r="Q346" i="1"/>
  <c r="P346" i="1"/>
  <c r="O346" i="1"/>
  <c r="N346" i="1"/>
  <c r="M346" i="1"/>
  <c r="L346" i="1"/>
  <c r="K346" i="1"/>
  <c r="J346" i="1"/>
  <c r="I346" i="1"/>
  <c r="H346" i="1"/>
  <c r="G346" i="1"/>
  <c r="R345" i="1"/>
  <c r="Q345" i="1"/>
  <c r="P345" i="1"/>
  <c r="O345" i="1"/>
  <c r="N345" i="1"/>
  <c r="M345" i="1"/>
  <c r="L345" i="1"/>
  <c r="K345" i="1"/>
  <c r="J345" i="1"/>
  <c r="I345" i="1"/>
  <c r="H345" i="1"/>
  <c r="G345" i="1"/>
  <c r="R344" i="1"/>
  <c r="Q344" i="1"/>
  <c r="P344" i="1"/>
  <c r="O344" i="1"/>
  <c r="N344" i="1"/>
  <c r="M344" i="1"/>
  <c r="L344" i="1"/>
  <c r="K344" i="1"/>
  <c r="J344" i="1"/>
  <c r="I344" i="1"/>
  <c r="H344" i="1"/>
  <c r="G344" i="1"/>
  <c r="R343" i="1"/>
  <c r="Q343" i="1"/>
  <c r="P343" i="1"/>
  <c r="O343" i="1"/>
  <c r="N343" i="1"/>
  <c r="M343" i="1"/>
  <c r="L343" i="1"/>
  <c r="K343" i="1"/>
  <c r="J343" i="1"/>
  <c r="I343" i="1"/>
  <c r="H343" i="1"/>
  <c r="G343" i="1"/>
  <c r="R342" i="1"/>
  <c r="Q342" i="1"/>
  <c r="P342" i="1"/>
  <c r="O342" i="1"/>
  <c r="N342" i="1"/>
  <c r="M342" i="1"/>
  <c r="L342" i="1"/>
  <c r="K342" i="1"/>
  <c r="J342" i="1"/>
  <c r="I342" i="1"/>
  <c r="H342" i="1"/>
  <c r="G342" i="1"/>
  <c r="R341" i="1"/>
  <c r="Q341" i="1"/>
  <c r="P341" i="1"/>
  <c r="O341" i="1"/>
  <c r="N341" i="1"/>
  <c r="M341" i="1"/>
  <c r="L341" i="1"/>
  <c r="K341" i="1"/>
  <c r="J341" i="1"/>
  <c r="I341" i="1"/>
  <c r="H341" i="1"/>
  <c r="G341" i="1"/>
  <c r="R340" i="1"/>
  <c r="Q340" i="1"/>
  <c r="P340" i="1"/>
  <c r="O340" i="1"/>
  <c r="N340" i="1"/>
  <c r="M340" i="1"/>
  <c r="L340" i="1"/>
  <c r="K340" i="1"/>
  <c r="J340" i="1"/>
  <c r="I340" i="1"/>
  <c r="H340" i="1"/>
  <c r="G340" i="1"/>
  <c r="R339" i="1"/>
  <c r="Q339" i="1"/>
  <c r="P339" i="1"/>
  <c r="O339" i="1"/>
  <c r="N339" i="1"/>
  <c r="M339" i="1"/>
  <c r="L339" i="1"/>
  <c r="K339" i="1"/>
  <c r="J339" i="1"/>
  <c r="I339" i="1"/>
  <c r="H339" i="1"/>
  <c r="G339" i="1"/>
  <c r="R338" i="1"/>
  <c r="Q338" i="1"/>
  <c r="P338" i="1"/>
  <c r="O338" i="1"/>
  <c r="N338" i="1"/>
  <c r="M338" i="1"/>
  <c r="L338" i="1"/>
  <c r="K338" i="1"/>
  <c r="J338" i="1"/>
  <c r="I338" i="1"/>
  <c r="H338" i="1"/>
  <c r="G338" i="1"/>
  <c r="R337" i="1"/>
  <c r="Q337" i="1"/>
  <c r="P337" i="1"/>
  <c r="O337" i="1"/>
  <c r="N337" i="1"/>
  <c r="M337" i="1"/>
  <c r="L337" i="1"/>
  <c r="K337" i="1"/>
  <c r="J337" i="1"/>
  <c r="I337" i="1"/>
  <c r="H337" i="1"/>
  <c r="G337" i="1"/>
  <c r="R336" i="1"/>
  <c r="Q336" i="1"/>
  <c r="P336" i="1"/>
  <c r="O336" i="1"/>
  <c r="N336" i="1"/>
  <c r="M336" i="1"/>
  <c r="L336" i="1"/>
  <c r="K336" i="1"/>
  <c r="J336" i="1"/>
  <c r="I336" i="1"/>
  <c r="H336" i="1"/>
  <c r="G336" i="1"/>
  <c r="R335" i="1"/>
  <c r="Q335" i="1"/>
  <c r="P335" i="1"/>
  <c r="O335" i="1"/>
  <c r="N335" i="1"/>
  <c r="M335" i="1"/>
  <c r="L335" i="1"/>
  <c r="K335" i="1"/>
  <c r="J335" i="1"/>
  <c r="I335" i="1"/>
  <c r="H335" i="1"/>
  <c r="G335" i="1"/>
  <c r="R334" i="1"/>
  <c r="Q334" i="1"/>
  <c r="P334" i="1"/>
  <c r="O334" i="1"/>
  <c r="N334" i="1"/>
  <c r="M334" i="1"/>
  <c r="L334" i="1"/>
  <c r="K334" i="1"/>
  <c r="J334" i="1"/>
  <c r="I334" i="1"/>
  <c r="H334" i="1"/>
  <c r="G334" i="1"/>
  <c r="R333" i="1"/>
  <c r="Q333" i="1"/>
  <c r="P333" i="1"/>
  <c r="O333" i="1"/>
  <c r="N333" i="1"/>
  <c r="M333" i="1"/>
  <c r="L333" i="1"/>
  <c r="K333" i="1"/>
  <c r="J333" i="1"/>
  <c r="I333" i="1"/>
  <c r="H333" i="1"/>
  <c r="G333" i="1"/>
  <c r="R332" i="1"/>
  <c r="Q332" i="1"/>
  <c r="P332" i="1"/>
  <c r="O332" i="1"/>
  <c r="N332" i="1"/>
  <c r="M332" i="1"/>
  <c r="L332" i="1"/>
  <c r="K332" i="1"/>
  <c r="J332" i="1"/>
  <c r="I332" i="1"/>
  <c r="H332" i="1"/>
  <c r="G332" i="1"/>
  <c r="R331" i="1"/>
  <c r="Q331" i="1"/>
  <c r="P331" i="1"/>
  <c r="O331" i="1"/>
  <c r="N331" i="1"/>
  <c r="M331" i="1"/>
  <c r="L331" i="1"/>
  <c r="K331" i="1"/>
  <c r="J331" i="1"/>
  <c r="I331" i="1"/>
  <c r="H331" i="1"/>
  <c r="G331" i="1"/>
  <c r="R330" i="1"/>
  <c r="Q330" i="1"/>
  <c r="P330" i="1"/>
  <c r="O330" i="1"/>
  <c r="N330" i="1"/>
  <c r="M330" i="1"/>
  <c r="L330" i="1"/>
  <c r="K330" i="1"/>
  <c r="J330" i="1"/>
  <c r="I330" i="1"/>
  <c r="H330" i="1"/>
  <c r="G330" i="1"/>
  <c r="R329" i="1"/>
  <c r="Q329" i="1"/>
  <c r="P329" i="1"/>
  <c r="O329" i="1"/>
  <c r="N329" i="1"/>
  <c r="M329" i="1"/>
  <c r="L329" i="1"/>
  <c r="K329" i="1"/>
  <c r="J329" i="1"/>
  <c r="I329" i="1"/>
  <c r="H329" i="1"/>
  <c r="G329" i="1"/>
  <c r="R328" i="1"/>
  <c r="Q328" i="1"/>
  <c r="P328" i="1"/>
  <c r="O328" i="1"/>
  <c r="N328" i="1"/>
  <c r="M328" i="1"/>
  <c r="L328" i="1"/>
  <c r="K328" i="1"/>
  <c r="J328" i="1"/>
  <c r="I328" i="1"/>
  <c r="H328" i="1"/>
  <c r="G328" i="1"/>
  <c r="R327" i="1"/>
  <c r="Q327" i="1"/>
  <c r="P327" i="1"/>
  <c r="O327" i="1"/>
  <c r="N327" i="1"/>
  <c r="M327" i="1"/>
  <c r="L327" i="1"/>
  <c r="K327" i="1"/>
  <c r="J327" i="1"/>
  <c r="I327" i="1"/>
  <c r="H327" i="1"/>
  <c r="G327" i="1"/>
  <c r="R326" i="1"/>
  <c r="Q326" i="1"/>
  <c r="P326" i="1"/>
  <c r="O326" i="1"/>
  <c r="N326" i="1"/>
  <c r="M326" i="1"/>
  <c r="L326" i="1"/>
  <c r="K326" i="1"/>
  <c r="J326" i="1"/>
  <c r="I326" i="1"/>
  <c r="H326" i="1"/>
  <c r="G326" i="1"/>
  <c r="R325" i="1"/>
  <c r="Q325" i="1"/>
  <c r="P325" i="1"/>
  <c r="O325" i="1"/>
  <c r="N325" i="1"/>
  <c r="M325" i="1"/>
  <c r="L325" i="1"/>
  <c r="K325" i="1"/>
  <c r="J325" i="1"/>
  <c r="I325" i="1"/>
  <c r="H325" i="1"/>
  <c r="G325" i="1"/>
  <c r="R324" i="1"/>
  <c r="Q324" i="1"/>
  <c r="P324" i="1"/>
  <c r="O324" i="1"/>
  <c r="N324" i="1"/>
  <c r="M324" i="1"/>
  <c r="L324" i="1"/>
  <c r="K324" i="1"/>
  <c r="J324" i="1"/>
  <c r="I324" i="1"/>
  <c r="H324" i="1"/>
  <c r="G324" i="1"/>
  <c r="R323" i="1"/>
  <c r="Q323" i="1"/>
  <c r="P323" i="1"/>
  <c r="O323" i="1"/>
  <c r="N323" i="1"/>
  <c r="M323" i="1"/>
  <c r="L323" i="1"/>
  <c r="K323" i="1"/>
  <c r="J323" i="1"/>
  <c r="I323" i="1"/>
  <c r="H323" i="1"/>
  <c r="G323" i="1"/>
  <c r="R322" i="1"/>
  <c r="Q322" i="1"/>
  <c r="P322" i="1"/>
  <c r="O322" i="1"/>
  <c r="N322" i="1"/>
  <c r="M322" i="1"/>
  <c r="L322" i="1"/>
  <c r="K322" i="1"/>
  <c r="J322" i="1"/>
  <c r="I322" i="1"/>
  <c r="H322" i="1"/>
  <c r="G322" i="1"/>
  <c r="R321" i="1"/>
  <c r="Q321" i="1"/>
  <c r="P321" i="1"/>
  <c r="O321" i="1"/>
  <c r="N321" i="1"/>
  <c r="M321" i="1"/>
  <c r="L321" i="1"/>
  <c r="K321" i="1"/>
  <c r="J321" i="1"/>
  <c r="I321" i="1"/>
  <c r="H321" i="1"/>
  <c r="G321" i="1"/>
  <c r="R320" i="1"/>
  <c r="Q320" i="1"/>
  <c r="P320" i="1"/>
  <c r="O320" i="1"/>
  <c r="N320" i="1"/>
  <c r="M320" i="1"/>
  <c r="L320" i="1"/>
  <c r="K320" i="1"/>
  <c r="J320" i="1"/>
  <c r="I320" i="1"/>
  <c r="H320" i="1"/>
  <c r="G320" i="1"/>
  <c r="R319" i="1"/>
  <c r="Q319" i="1"/>
  <c r="P319" i="1"/>
  <c r="O319" i="1"/>
  <c r="N319" i="1"/>
  <c r="M319" i="1"/>
  <c r="L319" i="1"/>
  <c r="K319" i="1"/>
  <c r="J319" i="1"/>
  <c r="I319" i="1"/>
  <c r="H319" i="1"/>
  <c r="G319" i="1"/>
  <c r="R318" i="1"/>
  <c r="Q318" i="1"/>
  <c r="P318" i="1"/>
  <c r="O318" i="1"/>
  <c r="N318" i="1"/>
  <c r="M318" i="1"/>
  <c r="L318" i="1"/>
  <c r="K318" i="1"/>
  <c r="J318" i="1"/>
  <c r="I318" i="1"/>
  <c r="H318" i="1"/>
  <c r="G318" i="1"/>
  <c r="R317" i="1"/>
  <c r="Q317" i="1"/>
  <c r="P317" i="1"/>
  <c r="O317" i="1"/>
  <c r="N317" i="1"/>
  <c r="M317" i="1"/>
  <c r="L317" i="1"/>
  <c r="K317" i="1"/>
  <c r="J317" i="1"/>
  <c r="I317" i="1"/>
  <c r="H317" i="1"/>
  <c r="G317" i="1"/>
  <c r="R316" i="1"/>
  <c r="Q316" i="1"/>
  <c r="P316" i="1"/>
  <c r="O316" i="1"/>
  <c r="N316" i="1"/>
  <c r="M316" i="1"/>
  <c r="L316" i="1"/>
  <c r="K316" i="1"/>
  <c r="J316" i="1"/>
  <c r="I316" i="1"/>
  <c r="H316" i="1"/>
  <c r="G316" i="1"/>
  <c r="R315" i="1"/>
  <c r="Q315" i="1"/>
  <c r="P315" i="1"/>
  <c r="O315" i="1"/>
  <c r="N315" i="1"/>
  <c r="M315" i="1"/>
  <c r="L315" i="1"/>
  <c r="K315" i="1"/>
  <c r="J315" i="1"/>
  <c r="I315" i="1"/>
  <c r="H315" i="1"/>
  <c r="G315" i="1"/>
  <c r="R314" i="1"/>
  <c r="Q314" i="1"/>
  <c r="P314" i="1"/>
  <c r="O314" i="1"/>
  <c r="N314" i="1"/>
  <c r="M314" i="1"/>
  <c r="L314" i="1"/>
  <c r="K314" i="1"/>
  <c r="J314" i="1"/>
  <c r="I314" i="1"/>
  <c r="H314" i="1"/>
  <c r="G314" i="1"/>
  <c r="R313" i="1"/>
  <c r="Q313" i="1"/>
  <c r="P313" i="1"/>
  <c r="O313" i="1"/>
  <c r="N313" i="1"/>
  <c r="M313" i="1"/>
  <c r="L313" i="1"/>
  <c r="K313" i="1"/>
  <c r="J313" i="1"/>
  <c r="I313" i="1"/>
  <c r="H313" i="1"/>
  <c r="G313" i="1"/>
  <c r="R312" i="1"/>
  <c r="Q312" i="1"/>
  <c r="P312" i="1"/>
  <c r="O312" i="1"/>
  <c r="N312" i="1"/>
  <c r="M312" i="1"/>
  <c r="L312" i="1"/>
  <c r="K312" i="1"/>
  <c r="J312" i="1"/>
  <c r="I312" i="1"/>
  <c r="H312" i="1"/>
  <c r="G312" i="1"/>
  <c r="R311" i="1"/>
  <c r="Q311" i="1"/>
  <c r="P311" i="1"/>
  <c r="O311" i="1"/>
  <c r="N311" i="1"/>
  <c r="M311" i="1"/>
  <c r="L311" i="1"/>
  <c r="K311" i="1"/>
  <c r="J311" i="1"/>
  <c r="I311" i="1"/>
  <c r="H311" i="1"/>
  <c r="G311" i="1"/>
  <c r="R310" i="1"/>
  <c r="Q310" i="1"/>
  <c r="P310" i="1"/>
  <c r="O310" i="1"/>
  <c r="N310" i="1"/>
  <c r="M310" i="1"/>
  <c r="L310" i="1"/>
  <c r="K310" i="1"/>
  <c r="J310" i="1"/>
  <c r="I310" i="1"/>
  <c r="H310" i="1"/>
  <c r="G310" i="1"/>
  <c r="R309" i="1"/>
  <c r="Q309" i="1"/>
  <c r="P309" i="1"/>
  <c r="O309" i="1"/>
  <c r="N309" i="1"/>
  <c r="M309" i="1"/>
  <c r="L309" i="1"/>
  <c r="K309" i="1"/>
  <c r="J309" i="1"/>
  <c r="I309" i="1"/>
  <c r="H309" i="1"/>
  <c r="G309" i="1"/>
  <c r="R308" i="1"/>
  <c r="Q308" i="1"/>
  <c r="P308" i="1"/>
  <c r="O308" i="1"/>
  <c r="N308" i="1"/>
  <c r="M308" i="1"/>
  <c r="L308" i="1"/>
  <c r="K308" i="1"/>
  <c r="J308" i="1"/>
  <c r="I308" i="1"/>
  <c r="H308" i="1"/>
  <c r="G308" i="1"/>
  <c r="R307" i="1"/>
  <c r="Q307" i="1"/>
  <c r="P307" i="1"/>
  <c r="O307" i="1"/>
  <c r="N307" i="1"/>
  <c r="M307" i="1"/>
  <c r="L307" i="1"/>
  <c r="K307" i="1"/>
  <c r="J307" i="1"/>
  <c r="I307" i="1"/>
  <c r="H307" i="1"/>
  <c r="G307" i="1"/>
  <c r="R306" i="1"/>
  <c r="Q306" i="1"/>
  <c r="P306" i="1"/>
  <c r="O306" i="1"/>
  <c r="N306" i="1"/>
  <c r="M306" i="1"/>
  <c r="L306" i="1"/>
  <c r="K306" i="1"/>
  <c r="J306" i="1"/>
  <c r="I306" i="1"/>
  <c r="H306" i="1"/>
  <c r="G306" i="1"/>
  <c r="R305" i="1"/>
  <c r="Q305" i="1"/>
  <c r="P305" i="1"/>
  <c r="O305" i="1"/>
  <c r="N305" i="1"/>
  <c r="M305" i="1"/>
  <c r="L305" i="1"/>
  <c r="K305" i="1"/>
  <c r="J305" i="1"/>
  <c r="I305" i="1"/>
  <c r="H305" i="1"/>
  <c r="G305" i="1"/>
  <c r="R304" i="1"/>
  <c r="Q304" i="1"/>
  <c r="P304" i="1"/>
  <c r="O304" i="1"/>
  <c r="N304" i="1"/>
  <c r="M304" i="1"/>
  <c r="L304" i="1"/>
  <c r="K304" i="1"/>
  <c r="J304" i="1"/>
  <c r="I304" i="1"/>
  <c r="H304" i="1"/>
  <c r="G304" i="1"/>
  <c r="R303" i="1"/>
  <c r="Q303" i="1"/>
  <c r="P303" i="1"/>
  <c r="O303" i="1"/>
  <c r="N303" i="1"/>
  <c r="M303" i="1"/>
  <c r="L303" i="1"/>
  <c r="K303" i="1"/>
  <c r="J303" i="1"/>
  <c r="I303" i="1"/>
  <c r="H303" i="1"/>
  <c r="G303" i="1"/>
  <c r="R302" i="1"/>
  <c r="Q302" i="1"/>
  <c r="P302" i="1"/>
  <c r="O302" i="1"/>
  <c r="N302" i="1"/>
  <c r="M302" i="1"/>
  <c r="L302" i="1"/>
  <c r="K302" i="1"/>
  <c r="J302" i="1"/>
  <c r="I302" i="1"/>
  <c r="H302" i="1"/>
  <c r="G302" i="1"/>
  <c r="R301" i="1"/>
  <c r="Q301" i="1"/>
  <c r="P301" i="1"/>
  <c r="O301" i="1"/>
  <c r="N301" i="1"/>
  <c r="M301" i="1"/>
  <c r="L301" i="1"/>
  <c r="K301" i="1"/>
  <c r="J301" i="1"/>
  <c r="I301" i="1"/>
  <c r="H301" i="1"/>
  <c r="G301" i="1"/>
  <c r="R300" i="1"/>
  <c r="Q300" i="1"/>
  <c r="P300" i="1"/>
  <c r="O300" i="1"/>
  <c r="N300" i="1"/>
  <c r="M300" i="1"/>
  <c r="L300" i="1"/>
  <c r="K300" i="1"/>
  <c r="J300" i="1"/>
  <c r="I300" i="1"/>
  <c r="H300" i="1"/>
  <c r="G300" i="1"/>
  <c r="R299" i="1"/>
  <c r="Q299" i="1"/>
  <c r="P299" i="1"/>
  <c r="O299" i="1"/>
  <c r="N299" i="1"/>
  <c r="M299" i="1"/>
  <c r="L299" i="1"/>
  <c r="K299" i="1"/>
  <c r="J299" i="1"/>
  <c r="I299" i="1"/>
  <c r="H299" i="1"/>
  <c r="G299" i="1"/>
  <c r="R298" i="1"/>
  <c r="Q298" i="1"/>
  <c r="P298" i="1"/>
  <c r="O298" i="1"/>
  <c r="N298" i="1"/>
  <c r="M298" i="1"/>
  <c r="L298" i="1"/>
  <c r="K298" i="1"/>
  <c r="J298" i="1"/>
  <c r="I298" i="1"/>
  <c r="H298" i="1"/>
  <c r="G298" i="1"/>
  <c r="R297" i="1"/>
  <c r="Q297" i="1"/>
  <c r="P297" i="1"/>
  <c r="O297" i="1"/>
  <c r="N297" i="1"/>
  <c r="M297" i="1"/>
  <c r="L297" i="1"/>
  <c r="K297" i="1"/>
  <c r="J297" i="1"/>
  <c r="I297" i="1"/>
  <c r="H297" i="1"/>
  <c r="G297" i="1"/>
  <c r="R296" i="1"/>
  <c r="Q296" i="1"/>
  <c r="P296" i="1"/>
  <c r="O296" i="1"/>
  <c r="N296" i="1"/>
  <c r="M296" i="1"/>
  <c r="L296" i="1"/>
  <c r="K296" i="1"/>
  <c r="J296" i="1"/>
  <c r="I296" i="1"/>
  <c r="H296" i="1"/>
  <c r="G296" i="1"/>
  <c r="R295" i="1"/>
  <c r="Q295" i="1"/>
  <c r="P295" i="1"/>
  <c r="O295" i="1"/>
  <c r="N295" i="1"/>
  <c r="M295" i="1"/>
  <c r="L295" i="1"/>
  <c r="K295" i="1"/>
  <c r="J295" i="1"/>
  <c r="I295" i="1"/>
  <c r="H295" i="1"/>
  <c r="G295" i="1"/>
  <c r="R294" i="1"/>
  <c r="Q294" i="1"/>
  <c r="P294" i="1"/>
  <c r="O294" i="1"/>
  <c r="N294" i="1"/>
  <c r="M294" i="1"/>
  <c r="L294" i="1"/>
  <c r="K294" i="1"/>
  <c r="J294" i="1"/>
  <c r="I294" i="1"/>
  <c r="H294" i="1"/>
  <c r="G294" i="1"/>
  <c r="R293" i="1"/>
  <c r="Q293" i="1"/>
  <c r="P293" i="1"/>
  <c r="O293" i="1"/>
  <c r="N293" i="1"/>
  <c r="M293" i="1"/>
  <c r="L293" i="1"/>
  <c r="K293" i="1"/>
  <c r="J293" i="1"/>
  <c r="I293" i="1"/>
  <c r="H293" i="1"/>
  <c r="G293" i="1"/>
  <c r="R292" i="1"/>
  <c r="Q292" i="1"/>
  <c r="P292" i="1"/>
  <c r="O292" i="1"/>
  <c r="N292" i="1"/>
  <c r="M292" i="1"/>
  <c r="L292" i="1"/>
  <c r="K292" i="1"/>
  <c r="J292" i="1"/>
  <c r="I292" i="1"/>
  <c r="H292" i="1"/>
  <c r="G292" i="1"/>
  <c r="R291" i="1"/>
  <c r="Q291" i="1"/>
  <c r="P291" i="1"/>
  <c r="O291" i="1"/>
  <c r="N291" i="1"/>
  <c r="M291" i="1"/>
  <c r="L291" i="1"/>
  <c r="K291" i="1"/>
  <c r="J291" i="1"/>
  <c r="I291" i="1"/>
  <c r="H291" i="1"/>
  <c r="G291" i="1"/>
  <c r="R290" i="1"/>
  <c r="Q290" i="1"/>
  <c r="P290" i="1"/>
  <c r="O290" i="1"/>
  <c r="N290" i="1"/>
  <c r="M290" i="1"/>
  <c r="L290" i="1"/>
  <c r="K290" i="1"/>
  <c r="J290" i="1"/>
  <c r="I290" i="1"/>
  <c r="H290" i="1"/>
  <c r="G290" i="1"/>
  <c r="R289" i="1"/>
  <c r="Q289" i="1"/>
  <c r="P289" i="1"/>
  <c r="O289" i="1"/>
  <c r="N289" i="1"/>
  <c r="M289" i="1"/>
  <c r="L289" i="1"/>
  <c r="K289" i="1"/>
  <c r="J289" i="1"/>
  <c r="I289" i="1"/>
  <c r="H289" i="1"/>
  <c r="G289" i="1"/>
  <c r="R288" i="1"/>
  <c r="Q288" i="1"/>
  <c r="P288" i="1"/>
  <c r="O288" i="1"/>
  <c r="N288" i="1"/>
  <c r="M288" i="1"/>
  <c r="L288" i="1"/>
  <c r="K288" i="1"/>
  <c r="J288" i="1"/>
  <c r="I288" i="1"/>
  <c r="H288" i="1"/>
  <c r="G288" i="1"/>
  <c r="R287" i="1"/>
  <c r="Q287" i="1"/>
  <c r="O287" i="1"/>
  <c r="N287" i="1"/>
  <c r="M287" i="1"/>
  <c r="L287" i="1"/>
  <c r="K287" i="1"/>
  <c r="J287" i="1"/>
  <c r="I287" i="1"/>
  <c r="H287" i="1"/>
  <c r="G287" i="1"/>
  <c r="R286" i="1"/>
  <c r="Q286" i="1"/>
  <c r="O286" i="1"/>
  <c r="N286" i="1"/>
  <c r="M286" i="1"/>
  <c r="L286" i="1"/>
  <c r="K286" i="1"/>
  <c r="J286" i="1"/>
  <c r="I286" i="1"/>
  <c r="H286" i="1"/>
  <c r="G286" i="1"/>
  <c r="R285" i="1"/>
  <c r="Q285" i="1"/>
  <c r="O285" i="1"/>
  <c r="N285" i="1"/>
  <c r="M285" i="1"/>
  <c r="L285" i="1"/>
  <c r="K285" i="1"/>
  <c r="J285" i="1"/>
  <c r="I285" i="1"/>
  <c r="H285" i="1"/>
  <c r="G285" i="1"/>
  <c r="R284" i="1"/>
  <c r="Q284" i="1"/>
  <c r="O284" i="1"/>
  <c r="N284" i="1"/>
  <c r="M284" i="1"/>
  <c r="L284" i="1"/>
  <c r="K284" i="1"/>
  <c r="J284" i="1"/>
  <c r="I284" i="1"/>
  <c r="H284" i="1"/>
  <c r="G284" i="1"/>
  <c r="R283" i="1"/>
  <c r="Q283" i="1"/>
  <c r="O283" i="1"/>
  <c r="N283" i="1"/>
  <c r="M283" i="1"/>
  <c r="L283" i="1"/>
  <c r="K283" i="1"/>
  <c r="J283" i="1"/>
  <c r="I283" i="1"/>
  <c r="H283" i="1"/>
  <c r="G283" i="1"/>
  <c r="R282" i="1"/>
  <c r="Q282" i="1"/>
  <c r="O282" i="1"/>
  <c r="N282" i="1"/>
  <c r="M282" i="1"/>
  <c r="L282" i="1"/>
  <c r="K282" i="1"/>
  <c r="J282" i="1"/>
  <c r="I282" i="1"/>
  <c r="H282" i="1"/>
  <c r="G282" i="1"/>
  <c r="R281" i="1"/>
  <c r="Q281" i="1"/>
  <c r="O281" i="1"/>
  <c r="N281" i="1"/>
  <c r="M281" i="1"/>
  <c r="L281" i="1"/>
  <c r="K281" i="1"/>
  <c r="J281" i="1"/>
  <c r="I281" i="1"/>
  <c r="H281" i="1"/>
  <c r="G281" i="1"/>
  <c r="R280" i="1"/>
  <c r="Q280" i="1"/>
  <c r="O280" i="1"/>
  <c r="N280" i="1"/>
  <c r="M280" i="1"/>
  <c r="L280" i="1"/>
  <c r="K280" i="1"/>
  <c r="J280" i="1"/>
  <c r="I280" i="1"/>
  <c r="H280" i="1"/>
  <c r="G280" i="1"/>
  <c r="R279" i="1"/>
  <c r="Q279" i="1"/>
  <c r="O279" i="1"/>
  <c r="N279" i="1"/>
  <c r="M279" i="1"/>
  <c r="L279" i="1"/>
  <c r="K279" i="1"/>
  <c r="J279" i="1"/>
  <c r="I279" i="1"/>
  <c r="H279" i="1"/>
  <c r="G279" i="1"/>
  <c r="R278" i="1"/>
  <c r="Q278" i="1"/>
  <c r="O278" i="1"/>
  <c r="N278" i="1"/>
  <c r="M278" i="1"/>
  <c r="L278" i="1"/>
  <c r="K278" i="1"/>
  <c r="J278" i="1"/>
  <c r="I278" i="1"/>
  <c r="H278" i="1"/>
  <c r="G278" i="1"/>
  <c r="R277" i="1"/>
  <c r="Q277" i="1"/>
  <c r="P277" i="1"/>
  <c r="O277" i="1"/>
  <c r="N277" i="1"/>
  <c r="M277" i="1"/>
  <c r="L277" i="1"/>
  <c r="K277" i="1"/>
  <c r="J277" i="1"/>
  <c r="I277" i="1"/>
  <c r="H277" i="1"/>
  <c r="G277" i="1"/>
  <c r="R276" i="1"/>
  <c r="Q276" i="1"/>
  <c r="P276" i="1"/>
  <c r="O276" i="1"/>
  <c r="N276" i="1"/>
  <c r="M276" i="1"/>
  <c r="L276" i="1"/>
  <c r="K276" i="1"/>
  <c r="J276" i="1"/>
  <c r="I276" i="1"/>
  <c r="H276" i="1"/>
  <c r="G276" i="1"/>
  <c r="R275" i="1"/>
  <c r="Q275" i="1"/>
  <c r="P275" i="1"/>
  <c r="O275" i="1"/>
  <c r="N275" i="1"/>
  <c r="M275" i="1"/>
  <c r="L275" i="1"/>
  <c r="K275" i="1"/>
  <c r="J275" i="1"/>
  <c r="I275" i="1"/>
  <c r="H275" i="1"/>
  <c r="G275" i="1"/>
  <c r="R274" i="1"/>
  <c r="Q274" i="1"/>
  <c r="P274" i="1"/>
  <c r="O274" i="1"/>
  <c r="N274" i="1"/>
  <c r="M274" i="1"/>
  <c r="L274" i="1"/>
  <c r="K274" i="1"/>
  <c r="J274" i="1"/>
  <c r="I274" i="1"/>
  <c r="H274" i="1"/>
  <c r="G274" i="1"/>
  <c r="R273" i="1"/>
  <c r="Q273" i="1"/>
  <c r="P273" i="1"/>
  <c r="O273" i="1"/>
  <c r="N273" i="1"/>
  <c r="M273" i="1"/>
  <c r="L273" i="1"/>
  <c r="K273" i="1"/>
  <c r="J273" i="1"/>
  <c r="I273" i="1"/>
  <c r="H273" i="1"/>
  <c r="G273" i="1"/>
  <c r="R272" i="1"/>
  <c r="Q272" i="1"/>
  <c r="P272" i="1"/>
  <c r="O272" i="1"/>
  <c r="N272" i="1"/>
  <c r="M272" i="1"/>
  <c r="L272" i="1"/>
  <c r="K272" i="1"/>
  <c r="J272" i="1"/>
  <c r="I272" i="1"/>
  <c r="H272" i="1"/>
  <c r="G272" i="1"/>
  <c r="R271" i="1"/>
  <c r="Q271" i="1"/>
  <c r="P271" i="1"/>
  <c r="O271" i="1"/>
  <c r="N271" i="1"/>
  <c r="M271" i="1"/>
  <c r="L271" i="1"/>
  <c r="K271" i="1"/>
  <c r="J271" i="1"/>
  <c r="I271" i="1"/>
  <c r="H271" i="1"/>
  <c r="G271" i="1"/>
  <c r="R270" i="1"/>
  <c r="Q270" i="1"/>
  <c r="P270" i="1"/>
  <c r="O270" i="1"/>
  <c r="N270" i="1"/>
  <c r="M270" i="1"/>
  <c r="L270" i="1"/>
  <c r="K270" i="1"/>
  <c r="J270" i="1"/>
  <c r="I270" i="1"/>
  <c r="H270" i="1"/>
  <c r="G270" i="1"/>
  <c r="R269" i="1"/>
  <c r="Q269" i="1"/>
  <c r="P269" i="1"/>
  <c r="O269" i="1"/>
  <c r="N269" i="1"/>
  <c r="M269" i="1"/>
  <c r="L269" i="1"/>
  <c r="K269" i="1"/>
  <c r="J269" i="1"/>
  <c r="I269" i="1"/>
  <c r="H269" i="1"/>
  <c r="G269" i="1"/>
  <c r="R268" i="1"/>
  <c r="Q268" i="1"/>
  <c r="P268" i="1"/>
  <c r="O268" i="1"/>
  <c r="N268" i="1"/>
  <c r="M268" i="1"/>
  <c r="L268" i="1"/>
  <c r="K268" i="1"/>
  <c r="J268" i="1"/>
  <c r="I268" i="1"/>
  <c r="H268" i="1"/>
  <c r="G268" i="1"/>
  <c r="R267" i="1"/>
  <c r="Q267" i="1"/>
  <c r="P267" i="1"/>
  <c r="O267" i="1"/>
  <c r="N267" i="1"/>
  <c r="M267" i="1"/>
  <c r="L267" i="1"/>
  <c r="K267" i="1"/>
  <c r="J267" i="1"/>
  <c r="I267" i="1"/>
  <c r="H267" i="1"/>
  <c r="G267" i="1"/>
  <c r="R266" i="1"/>
  <c r="Q266" i="1"/>
  <c r="P266" i="1"/>
  <c r="O266" i="1"/>
  <c r="N266" i="1"/>
  <c r="M266" i="1"/>
  <c r="L266" i="1"/>
  <c r="K266" i="1"/>
  <c r="J266" i="1"/>
  <c r="I266" i="1"/>
  <c r="H266" i="1"/>
  <c r="G266" i="1"/>
  <c r="R265" i="1"/>
  <c r="Q265" i="1"/>
  <c r="P265" i="1"/>
  <c r="O265" i="1"/>
  <c r="N265" i="1"/>
  <c r="M265" i="1"/>
  <c r="L265" i="1"/>
  <c r="K265" i="1"/>
  <c r="J265" i="1"/>
  <c r="I265" i="1"/>
  <c r="H265" i="1"/>
  <c r="G265" i="1"/>
  <c r="R264" i="1"/>
  <c r="Q264" i="1"/>
  <c r="P264" i="1"/>
  <c r="O264" i="1"/>
  <c r="N264" i="1"/>
  <c r="M264" i="1"/>
  <c r="L264" i="1"/>
  <c r="K264" i="1"/>
  <c r="J264" i="1"/>
  <c r="I264" i="1"/>
  <c r="H264" i="1"/>
  <c r="G264" i="1"/>
  <c r="R263" i="1"/>
  <c r="Q263" i="1"/>
  <c r="P263" i="1"/>
  <c r="O263" i="1"/>
  <c r="N263" i="1"/>
  <c r="M263" i="1"/>
  <c r="L263" i="1"/>
  <c r="K263" i="1"/>
  <c r="J263" i="1"/>
  <c r="I263" i="1"/>
  <c r="H263" i="1"/>
  <c r="G263" i="1"/>
  <c r="R262" i="1"/>
  <c r="Q262" i="1"/>
  <c r="P262" i="1"/>
  <c r="O262" i="1"/>
  <c r="N262" i="1"/>
  <c r="M262" i="1"/>
  <c r="L262" i="1"/>
  <c r="K262" i="1"/>
  <c r="J262" i="1"/>
  <c r="I262" i="1"/>
  <c r="H262" i="1"/>
  <c r="G262" i="1"/>
  <c r="R261" i="1"/>
  <c r="Q261" i="1"/>
  <c r="P261" i="1"/>
  <c r="O261" i="1"/>
  <c r="N261" i="1"/>
  <c r="M261" i="1"/>
  <c r="L261" i="1"/>
  <c r="K261" i="1"/>
  <c r="J261" i="1"/>
  <c r="I261" i="1"/>
  <c r="H261" i="1"/>
  <c r="G261" i="1"/>
  <c r="R260" i="1"/>
  <c r="Q260" i="1"/>
  <c r="P260" i="1"/>
  <c r="O260" i="1"/>
  <c r="N260" i="1"/>
  <c r="M260" i="1"/>
  <c r="L260" i="1"/>
  <c r="K260" i="1"/>
  <c r="J260" i="1"/>
  <c r="I260" i="1"/>
  <c r="H260" i="1"/>
  <c r="G260" i="1"/>
  <c r="R259" i="1"/>
  <c r="Q259" i="1"/>
  <c r="P259" i="1"/>
  <c r="O259" i="1"/>
  <c r="N259" i="1"/>
  <c r="M259" i="1"/>
  <c r="L259" i="1"/>
  <c r="K259" i="1"/>
  <c r="J259" i="1"/>
  <c r="I259" i="1"/>
  <c r="H259" i="1"/>
  <c r="G259" i="1"/>
  <c r="R258" i="1"/>
  <c r="Q258" i="1"/>
  <c r="P258" i="1"/>
  <c r="O258" i="1"/>
  <c r="N258" i="1"/>
  <c r="M258" i="1"/>
  <c r="L258" i="1"/>
  <c r="K258" i="1"/>
  <c r="J258" i="1"/>
  <c r="I258" i="1"/>
  <c r="H258" i="1"/>
  <c r="G258" i="1"/>
  <c r="R257" i="1"/>
  <c r="Q257" i="1"/>
  <c r="P257" i="1"/>
  <c r="O257" i="1"/>
  <c r="N257" i="1"/>
  <c r="M257" i="1"/>
  <c r="L257" i="1"/>
  <c r="K257" i="1"/>
  <c r="J257" i="1"/>
  <c r="I257" i="1"/>
  <c r="H257" i="1"/>
  <c r="G257" i="1"/>
  <c r="R256" i="1"/>
  <c r="Q256" i="1"/>
  <c r="P256" i="1"/>
  <c r="O256" i="1"/>
  <c r="N256" i="1"/>
  <c r="M256" i="1"/>
  <c r="L256" i="1"/>
  <c r="K256" i="1"/>
  <c r="J256" i="1"/>
  <c r="I256" i="1"/>
  <c r="H256" i="1"/>
  <c r="G256" i="1"/>
  <c r="R255" i="1"/>
  <c r="Q255" i="1"/>
  <c r="P255" i="1"/>
  <c r="O255" i="1"/>
  <c r="N255" i="1"/>
  <c r="M255" i="1"/>
  <c r="L255" i="1"/>
  <c r="K255" i="1"/>
  <c r="J255" i="1"/>
  <c r="I255" i="1"/>
  <c r="H255" i="1"/>
  <c r="G255" i="1"/>
  <c r="R254" i="1"/>
  <c r="Q254" i="1"/>
  <c r="P254" i="1"/>
  <c r="O254" i="1"/>
  <c r="N254" i="1"/>
  <c r="M254" i="1"/>
  <c r="L254" i="1"/>
  <c r="K254" i="1"/>
  <c r="J254" i="1"/>
  <c r="I254" i="1"/>
  <c r="H254" i="1"/>
  <c r="G254" i="1"/>
  <c r="R253" i="1"/>
  <c r="Q253" i="1"/>
  <c r="P253" i="1"/>
  <c r="O253" i="1"/>
  <c r="N253" i="1"/>
  <c r="M253" i="1"/>
  <c r="L253" i="1"/>
  <c r="K253" i="1"/>
  <c r="J253" i="1"/>
  <c r="I253" i="1"/>
  <c r="H253" i="1"/>
  <c r="G253" i="1"/>
  <c r="R252" i="1"/>
  <c r="Q252" i="1"/>
  <c r="P252" i="1"/>
  <c r="O252" i="1"/>
  <c r="N252" i="1"/>
  <c r="M252" i="1"/>
  <c r="L252" i="1"/>
  <c r="K252" i="1"/>
  <c r="J252" i="1"/>
  <c r="I252" i="1"/>
  <c r="H252" i="1"/>
  <c r="G252" i="1"/>
  <c r="R251" i="1"/>
  <c r="Q251" i="1"/>
  <c r="P251" i="1"/>
  <c r="O251" i="1"/>
  <c r="N251" i="1"/>
  <c r="M251" i="1"/>
  <c r="L251" i="1"/>
  <c r="K251" i="1"/>
  <c r="J251" i="1"/>
  <c r="I251" i="1"/>
  <c r="H251" i="1"/>
  <c r="G251" i="1"/>
  <c r="R250" i="1"/>
  <c r="Q250" i="1"/>
  <c r="P250" i="1"/>
  <c r="O250" i="1"/>
  <c r="N250" i="1"/>
  <c r="M250" i="1"/>
  <c r="L250" i="1"/>
  <c r="K250" i="1"/>
  <c r="J250" i="1"/>
  <c r="I250" i="1"/>
  <c r="H250" i="1"/>
  <c r="G250" i="1"/>
  <c r="R249" i="1"/>
  <c r="Q249" i="1"/>
  <c r="P249" i="1"/>
  <c r="O249" i="1"/>
  <c r="N249" i="1"/>
  <c r="M249" i="1"/>
  <c r="L249" i="1"/>
  <c r="K249" i="1"/>
  <c r="J249" i="1"/>
  <c r="I249" i="1"/>
  <c r="H249" i="1"/>
  <c r="G249" i="1"/>
  <c r="R248" i="1"/>
  <c r="Q248" i="1"/>
  <c r="P248" i="1"/>
  <c r="O248" i="1"/>
  <c r="N248" i="1"/>
  <c r="M248" i="1"/>
  <c r="L248" i="1"/>
  <c r="K248" i="1"/>
  <c r="J248" i="1"/>
  <c r="I248" i="1"/>
  <c r="H248" i="1"/>
  <c r="G248" i="1"/>
  <c r="R247" i="1"/>
  <c r="Q247" i="1"/>
  <c r="O247" i="1"/>
  <c r="N247" i="1"/>
  <c r="M247" i="1"/>
  <c r="L247" i="1"/>
  <c r="K247" i="1"/>
  <c r="J247" i="1"/>
  <c r="I247" i="1"/>
  <c r="H247" i="1"/>
  <c r="G247" i="1"/>
  <c r="R246" i="1"/>
  <c r="Q246" i="1"/>
  <c r="O246" i="1"/>
  <c r="N246" i="1"/>
  <c r="M246" i="1"/>
  <c r="L246" i="1"/>
  <c r="K246" i="1"/>
  <c r="J246" i="1"/>
  <c r="I246" i="1"/>
  <c r="H246" i="1"/>
  <c r="G246" i="1"/>
  <c r="R245" i="1"/>
  <c r="Q245" i="1"/>
  <c r="O245" i="1"/>
  <c r="N245" i="1"/>
  <c r="M245" i="1"/>
  <c r="L245" i="1"/>
  <c r="K245" i="1"/>
  <c r="J245" i="1"/>
  <c r="I245" i="1"/>
  <c r="H245" i="1"/>
  <c r="G245" i="1"/>
  <c r="R244" i="1"/>
  <c r="Q244" i="1"/>
  <c r="O244" i="1"/>
  <c r="N244" i="1"/>
  <c r="M244" i="1"/>
  <c r="L244" i="1"/>
  <c r="K244" i="1"/>
  <c r="J244" i="1"/>
  <c r="I244" i="1"/>
  <c r="H244" i="1"/>
  <c r="G244" i="1"/>
  <c r="R243" i="1"/>
  <c r="Q243" i="1"/>
  <c r="O243" i="1"/>
  <c r="N243" i="1"/>
  <c r="M243" i="1"/>
  <c r="L243" i="1"/>
  <c r="K243" i="1"/>
  <c r="J243" i="1"/>
  <c r="I243" i="1"/>
  <c r="H243" i="1"/>
  <c r="G243" i="1"/>
  <c r="R242" i="1"/>
  <c r="Q242" i="1"/>
  <c r="O242" i="1"/>
  <c r="N242" i="1"/>
  <c r="M242" i="1"/>
  <c r="L242" i="1"/>
  <c r="K242" i="1"/>
  <c r="J242" i="1"/>
  <c r="I242" i="1"/>
  <c r="H242" i="1"/>
  <c r="G242" i="1"/>
  <c r="R241" i="1"/>
  <c r="Q241" i="1"/>
  <c r="O241" i="1"/>
  <c r="N241" i="1"/>
  <c r="M241" i="1"/>
  <c r="L241" i="1"/>
  <c r="K241" i="1"/>
  <c r="J241" i="1"/>
  <c r="I241" i="1"/>
  <c r="H241" i="1"/>
  <c r="G241" i="1"/>
  <c r="R240" i="1"/>
  <c r="Q240" i="1"/>
  <c r="O240" i="1"/>
  <c r="N240" i="1"/>
  <c r="M240" i="1"/>
  <c r="L240" i="1"/>
  <c r="K240" i="1"/>
  <c r="J240" i="1"/>
  <c r="I240" i="1"/>
  <c r="H240" i="1"/>
  <c r="G240" i="1"/>
  <c r="R239" i="1"/>
  <c r="Q239" i="1"/>
  <c r="O239" i="1"/>
  <c r="N239" i="1"/>
  <c r="M239" i="1"/>
  <c r="L239" i="1"/>
  <c r="K239" i="1"/>
  <c r="J239" i="1"/>
  <c r="I239" i="1"/>
  <c r="H239" i="1"/>
  <c r="G239" i="1"/>
  <c r="R238" i="1"/>
  <c r="Q238" i="1"/>
  <c r="O238" i="1"/>
  <c r="N238" i="1"/>
  <c r="M238" i="1"/>
  <c r="L238" i="1"/>
  <c r="K238" i="1"/>
  <c r="J238" i="1"/>
  <c r="I238" i="1"/>
  <c r="H238" i="1"/>
  <c r="G238" i="1"/>
  <c r="R237" i="1"/>
  <c r="Q237" i="1"/>
  <c r="P237" i="1"/>
  <c r="O237" i="1"/>
  <c r="N237" i="1"/>
  <c r="M237" i="1"/>
  <c r="L237" i="1"/>
  <c r="K237" i="1"/>
  <c r="J237" i="1"/>
  <c r="I237" i="1"/>
  <c r="H237" i="1"/>
  <c r="G237" i="1"/>
  <c r="R236" i="1"/>
  <c r="Q236" i="1"/>
  <c r="P236" i="1"/>
  <c r="O236" i="1"/>
  <c r="N236" i="1"/>
  <c r="M236" i="1"/>
  <c r="L236" i="1"/>
  <c r="K236" i="1"/>
  <c r="J236" i="1"/>
  <c r="I236" i="1"/>
  <c r="H236" i="1"/>
  <c r="G236" i="1"/>
  <c r="R235" i="1"/>
  <c r="Q235" i="1"/>
  <c r="P235" i="1"/>
  <c r="O235" i="1"/>
  <c r="N235" i="1"/>
  <c r="M235" i="1"/>
  <c r="L235" i="1"/>
  <c r="K235" i="1"/>
  <c r="J235" i="1"/>
  <c r="I235" i="1"/>
  <c r="H235" i="1"/>
  <c r="G235" i="1"/>
  <c r="R234" i="1"/>
  <c r="Q234" i="1"/>
  <c r="P234" i="1"/>
  <c r="O234" i="1"/>
  <c r="N234" i="1"/>
  <c r="M234" i="1"/>
  <c r="L234" i="1"/>
  <c r="K234" i="1"/>
  <c r="J234" i="1"/>
  <c r="I234" i="1"/>
  <c r="H234" i="1"/>
  <c r="G234" i="1"/>
  <c r="R233" i="1"/>
  <c r="Q233" i="1"/>
  <c r="P233" i="1"/>
  <c r="O233" i="1"/>
  <c r="N233" i="1"/>
  <c r="M233" i="1"/>
  <c r="L233" i="1"/>
  <c r="K233" i="1"/>
  <c r="J233" i="1"/>
  <c r="I233" i="1"/>
  <c r="H233" i="1"/>
  <c r="G233" i="1"/>
  <c r="R232" i="1"/>
  <c r="Q232" i="1"/>
  <c r="P232" i="1"/>
  <c r="O232" i="1"/>
  <c r="N232" i="1"/>
  <c r="M232" i="1"/>
  <c r="L232" i="1"/>
  <c r="K232" i="1"/>
  <c r="J232" i="1"/>
  <c r="I232" i="1"/>
  <c r="H232" i="1"/>
  <c r="G232" i="1"/>
  <c r="R231" i="1"/>
  <c r="Q231" i="1"/>
  <c r="P231" i="1"/>
  <c r="O231" i="1"/>
  <c r="N231" i="1"/>
  <c r="M231" i="1"/>
  <c r="L231" i="1"/>
  <c r="K231" i="1"/>
  <c r="J231" i="1"/>
  <c r="I231" i="1"/>
  <c r="H231" i="1"/>
  <c r="G231" i="1"/>
  <c r="R230" i="1"/>
  <c r="Q230" i="1"/>
  <c r="P230" i="1"/>
  <c r="O230" i="1"/>
  <c r="N230" i="1"/>
  <c r="M230" i="1"/>
  <c r="L230" i="1"/>
  <c r="K230" i="1"/>
  <c r="J230" i="1"/>
  <c r="I230" i="1"/>
  <c r="H230" i="1"/>
  <c r="G230" i="1"/>
  <c r="R229" i="1"/>
  <c r="Q229" i="1"/>
  <c r="P229" i="1"/>
  <c r="O229" i="1"/>
  <c r="N229" i="1"/>
  <c r="M229" i="1"/>
  <c r="L229" i="1"/>
  <c r="K229" i="1"/>
  <c r="J229" i="1"/>
  <c r="I229" i="1"/>
  <c r="H229" i="1"/>
  <c r="G229" i="1"/>
  <c r="R228" i="1"/>
  <c r="Q228" i="1"/>
  <c r="P228" i="1"/>
  <c r="O228" i="1"/>
  <c r="N228" i="1"/>
  <c r="M228" i="1"/>
  <c r="L228" i="1"/>
  <c r="K228" i="1"/>
  <c r="J228" i="1"/>
  <c r="I228" i="1"/>
  <c r="H228" i="1"/>
  <c r="G228" i="1"/>
  <c r="R227" i="1"/>
  <c r="Q227" i="1"/>
  <c r="P227" i="1"/>
  <c r="O227" i="1"/>
  <c r="N227" i="1"/>
  <c r="M227" i="1"/>
  <c r="L227" i="1"/>
  <c r="K227" i="1"/>
  <c r="J227" i="1"/>
  <c r="I227" i="1"/>
  <c r="H227" i="1"/>
  <c r="G227" i="1"/>
  <c r="R226" i="1"/>
  <c r="Q226" i="1"/>
  <c r="P226" i="1"/>
  <c r="O226" i="1"/>
  <c r="N226" i="1"/>
  <c r="M226" i="1"/>
  <c r="L226" i="1"/>
  <c r="K226" i="1"/>
  <c r="J226" i="1"/>
  <c r="I226" i="1"/>
  <c r="H226" i="1"/>
  <c r="G226" i="1"/>
  <c r="R225" i="1"/>
  <c r="Q225" i="1"/>
  <c r="P225" i="1"/>
  <c r="O225" i="1"/>
  <c r="N225" i="1"/>
  <c r="M225" i="1"/>
  <c r="L225" i="1"/>
  <c r="K225" i="1"/>
  <c r="J225" i="1"/>
  <c r="I225" i="1"/>
  <c r="H225" i="1"/>
  <c r="G225" i="1"/>
  <c r="R224" i="1"/>
  <c r="Q224" i="1"/>
  <c r="P224" i="1"/>
  <c r="O224" i="1"/>
  <c r="N224" i="1"/>
  <c r="M224" i="1"/>
  <c r="L224" i="1"/>
  <c r="K224" i="1"/>
  <c r="J224" i="1"/>
  <c r="I224" i="1"/>
  <c r="H224" i="1"/>
  <c r="G224" i="1"/>
  <c r="R223" i="1"/>
  <c r="Q223" i="1"/>
  <c r="P223" i="1"/>
  <c r="O223" i="1"/>
  <c r="N223" i="1"/>
  <c r="M223" i="1"/>
  <c r="L223" i="1"/>
  <c r="K223" i="1"/>
  <c r="J223" i="1"/>
  <c r="I223" i="1"/>
  <c r="H223" i="1"/>
  <c r="G223" i="1"/>
  <c r="R222" i="1"/>
  <c r="Q222" i="1"/>
  <c r="P222" i="1"/>
  <c r="O222" i="1"/>
  <c r="N222" i="1"/>
  <c r="M222" i="1"/>
  <c r="L222" i="1"/>
  <c r="K222" i="1"/>
  <c r="J222" i="1"/>
  <c r="I222" i="1"/>
  <c r="H222" i="1"/>
  <c r="G222" i="1"/>
  <c r="R221" i="1"/>
  <c r="Q221" i="1"/>
  <c r="P221" i="1"/>
  <c r="O221" i="1"/>
  <c r="N221" i="1"/>
  <c r="M221" i="1"/>
  <c r="L221" i="1"/>
  <c r="K221" i="1"/>
  <c r="J221" i="1"/>
  <c r="I221" i="1"/>
  <c r="H221" i="1"/>
  <c r="G221" i="1"/>
  <c r="R220" i="1"/>
  <c r="Q220" i="1"/>
  <c r="P220" i="1"/>
  <c r="O220" i="1"/>
  <c r="N220" i="1"/>
  <c r="M220" i="1"/>
  <c r="L220" i="1"/>
  <c r="K220" i="1"/>
  <c r="J220" i="1"/>
  <c r="I220" i="1"/>
  <c r="H220" i="1"/>
  <c r="G220" i="1"/>
  <c r="R219" i="1"/>
  <c r="Q219" i="1"/>
  <c r="P219" i="1"/>
  <c r="O219" i="1"/>
  <c r="N219" i="1"/>
  <c r="M219" i="1"/>
  <c r="L219" i="1"/>
  <c r="K219" i="1"/>
  <c r="J219" i="1"/>
  <c r="I219" i="1"/>
  <c r="H219" i="1"/>
  <c r="G219" i="1"/>
  <c r="R218" i="1"/>
  <c r="Q218" i="1"/>
  <c r="P218" i="1"/>
  <c r="O218" i="1"/>
  <c r="N218" i="1"/>
  <c r="M218" i="1"/>
  <c r="L218" i="1"/>
  <c r="K218" i="1"/>
  <c r="J218" i="1"/>
  <c r="I218" i="1"/>
  <c r="H218" i="1"/>
  <c r="G218" i="1"/>
  <c r="R217" i="1"/>
  <c r="Q217" i="1"/>
  <c r="P217" i="1"/>
  <c r="O217" i="1"/>
  <c r="N217" i="1"/>
  <c r="M217" i="1"/>
  <c r="L217" i="1"/>
  <c r="K217" i="1"/>
  <c r="J217" i="1"/>
  <c r="I217" i="1"/>
  <c r="H217" i="1"/>
  <c r="G217" i="1"/>
  <c r="R216" i="1"/>
  <c r="Q216" i="1"/>
  <c r="P216" i="1"/>
  <c r="O216" i="1"/>
  <c r="N216" i="1"/>
  <c r="M216" i="1"/>
  <c r="L216" i="1"/>
  <c r="K216" i="1"/>
  <c r="J216" i="1"/>
  <c r="I216" i="1"/>
  <c r="H216" i="1"/>
  <c r="G216" i="1"/>
  <c r="R215" i="1"/>
  <c r="Q215" i="1"/>
  <c r="P215" i="1"/>
  <c r="O215" i="1"/>
  <c r="N215" i="1"/>
  <c r="M215" i="1"/>
  <c r="L215" i="1"/>
  <c r="K215" i="1"/>
  <c r="J215" i="1"/>
  <c r="I215" i="1"/>
  <c r="H215" i="1"/>
  <c r="G215" i="1"/>
  <c r="R214" i="1"/>
  <c r="Q214" i="1"/>
  <c r="P214" i="1"/>
  <c r="O214" i="1"/>
  <c r="N214" i="1"/>
  <c r="M214" i="1"/>
  <c r="L214" i="1"/>
  <c r="K214" i="1"/>
  <c r="J214" i="1"/>
  <c r="I214" i="1"/>
  <c r="H214" i="1"/>
  <c r="G214" i="1"/>
  <c r="R213" i="1"/>
  <c r="Q213" i="1"/>
  <c r="P213" i="1"/>
  <c r="O213" i="1"/>
  <c r="N213" i="1"/>
  <c r="M213" i="1"/>
  <c r="L213" i="1"/>
  <c r="K213" i="1"/>
  <c r="J213" i="1"/>
  <c r="I213" i="1"/>
  <c r="H213" i="1"/>
  <c r="G213" i="1"/>
  <c r="R212" i="1"/>
  <c r="Q212" i="1"/>
  <c r="P212" i="1"/>
  <c r="O212" i="1"/>
  <c r="N212" i="1"/>
  <c r="M212" i="1"/>
  <c r="L212" i="1"/>
  <c r="K212" i="1"/>
  <c r="J212" i="1"/>
  <c r="I212" i="1"/>
  <c r="H212" i="1"/>
  <c r="G212" i="1"/>
  <c r="R211" i="1"/>
  <c r="Q211" i="1"/>
  <c r="P211" i="1"/>
  <c r="O211" i="1"/>
  <c r="N211" i="1"/>
  <c r="M211" i="1"/>
  <c r="L211" i="1"/>
  <c r="K211" i="1"/>
  <c r="J211" i="1"/>
  <c r="I211" i="1"/>
  <c r="H211" i="1"/>
  <c r="G211" i="1"/>
  <c r="R210" i="1"/>
  <c r="Q210" i="1"/>
  <c r="P210" i="1"/>
  <c r="O210" i="1"/>
  <c r="N210" i="1"/>
  <c r="M210" i="1"/>
  <c r="L210" i="1"/>
  <c r="K210" i="1"/>
  <c r="J210" i="1"/>
  <c r="I210" i="1"/>
  <c r="H210" i="1"/>
  <c r="G210" i="1"/>
  <c r="R209" i="1"/>
  <c r="Q209" i="1"/>
  <c r="P209" i="1"/>
  <c r="O209" i="1"/>
  <c r="N209" i="1"/>
  <c r="M209" i="1"/>
  <c r="L209" i="1"/>
  <c r="K209" i="1"/>
  <c r="J209" i="1"/>
  <c r="I209" i="1"/>
  <c r="H209" i="1"/>
  <c r="G209" i="1"/>
  <c r="R208" i="1"/>
  <c r="Q208" i="1"/>
  <c r="P208" i="1"/>
  <c r="O208" i="1"/>
  <c r="N208" i="1"/>
  <c r="M208" i="1"/>
  <c r="L208" i="1"/>
  <c r="K208" i="1"/>
  <c r="J208" i="1"/>
  <c r="I208" i="1"/>
  <c r="H208" i="1"/>
  <c r="G208" i="1"/>
  <c r="R207" i="1"/>
  <c r="Q207" i="1"/>
  <c r="P207" i="1"/>
  <c r="O207" i="1"/>
  <c r="N207" i="1"/>
  <c r="M207" i="1"/>
  <c r="L207" i="1"/>
  <c r="K207" i="1"/>
  <c r="J207" i="1"/>
  <c r="I207" i="1"/>
  <c r="H207" i="1"/>
  <c r="G207" i="1"/>
  <c r="R206" i="1"/>
  <c r="Q206" i="1"/>
  <c r="P206" i="1"/>
  <c r="O206" i="1"/>
  <c r="N206" i="1"/>
  <c r="M206" i="1"/>
  <c r="L206" i="1"/>
  <c r="K206" i="1"/>
  <c r="J206" i="1"/>
  <c r="I206" i="1"/>
  <c r="H206" i="1"/>
  <c r="G206" i="1"/>
  <c r="R205" i="1"/>
  <c r="Q205" i="1"/>
  <c r="P205" i="1"/>
  <c r="O205" i="1"/>
  <c r="N205" i="1"/>
  <c r="M205" i="1"/>
  <c r="L205" i="1"/>
  <c r="K205" i="1"/>
  <c r="J205" i="1"/>
  <c r="I205" i="1"/>
  <c r="H205" i="1"/>
  <c r="G205" i="1"/>
  <c r="R204" i="1"/>
  <c r="Q204" i="1"/>
  <c r="P204" i="1"/>
  <c r="O204" i="1"/>
  <c r="N204" i="1"/>
  <c r="M204" i="1"/>
  <c r="L204" i="1"/>
  <c r="K204" i="1"/>
  <c r="J204" i="1"/>
  <c r="I204" i="1"/>
  <c r="H204" i="1"/>
  <c r="G204" i="1"/>
  <c r="R203" i="1"/>
  <c r="Q203" i="1"/>
  <c r="P203" i="1"/>
  <c r="O203" i="1"/>
  <c r="N203" i="1"/>
  <c r="M203" i="1"/>
  <c r="L203" i="1"/>
  <c r="K203" i="1"/>
  <c r="J203" i="1"/>
  <c r="I203" i="1"/>
  <c r="H203" i="1"/>
  <c r="G203" i="1"/>
  <c r="R202" i="1"/>
  <c r="Q202" i="1"/>
  <c r="P202" i="1"/>
  <c r="O202" i="1"/>
  <c r="N202" i="1"/>
  <c r="M202" i="1"/>
  <c r="L202" i="1"/>
  <c r="K202" i="1"/>
  <c r="J202" i="1"/>
  <c r="I202" i="1"/>
  <c r="H202" i="1"/>
  <c r="G202" i="1"/>
  <c r="R201" i="1"/>
  <c r="Q201" i="1"/>
  <c r="P201" i="1"/>
  <c r="O201" i="1"/>
  <c r="N201" i="1"/>
  <c r="M201" i="1"/>
  <c r="L201" i="1"/>
  <c r="K201" i="1"/>
  <c r="J201" i="1"/>
  <c r="I201" i="1"/>
  <c r="H201" i="1"/>
  <c r="G201" i="1"/>
  <c r="R200" i="1"/>
  <c r="Q200" i="1"/>
  <c r="P200" i="1"/>
  <c r="O200" i="1"/>
  <c r="N200" i="1"/>
  <c r="M200" i="1"/>
  <c r="L200" i="1"/>
  <c r="K200" i="1"/>
  <c r="J200" i="1"/>
  <c r="I200" i="1"/>
  <c r="H200" i="1"/>
  <c r="G200" i="1"/>
  <c r="R199" i="1"/>
  <c r="Q199" i="1"/>
  <c r="P199" i="1"/>
  <c r="O199" i="1"/>
  <c r="N199" i="1"/>
  <c r="M199" i="1"/>
  <c r="L199" i="1"/>
  <c r="K199" i="1"/>
  <c r="J199" i="1"/>
  <c r="I199" i="1"/>
  <c r="H199" i="1"/>
  <c r="G199" i="1"/>
  <c r="R198" i="1"/>
  <c r="Q198" i="1"/>
  <c r="P198" i="1"/>
  <c r="O198" i="1"/>
  <c r="N198" i="1"/>
  <c r="M198" i="1"/>
  <c r="L198" i="1"/>
  <c r="K198" i="1"/>
  <c r="J198" i="1"/>
  <c r="I198" i="1"/>
  <c r="H198" i="1"/>
  <c r="G198" i="1"/>
  <c r="R197" i="1"/>
  <c r="Q197" i="1"/>
  <c r="P197" i="1"/>
  <c r="O197" i="1"/>
  <c r="N197" i="1"/>
  <c r="M197" i="1"/>
  <c r="L197" i="1"/>
  <c r="K197" i="1"/>
  <c r="J197" i="1"/>
  <c r="I197" i="1"/>
  <c r="H197" i="1"/>
  <c r="G197" i="1"/>
  <c r="R196" i="1"/>
  <c r="Q196" i="1"/>
  <c r="P196" i="1"/>
  <c r="O196" i="1"/>
  <c r="N196" i="1"/>
  <c r="M196" i="1"/>
  <c r="L196" i="1"/>
  <c r="K196" i="1"/>
  <c r="J196" i="1"/>
  <c r="I196" i="1"/>
  <c r="H196" i="1"/>
  <c r="G196" i="1"/>
  <c r="R195" i="1"/>
  <c r="Q195" i="1"/>
  <c r="P195" i="1"/>
  <c r="O195" i="1"/>
  <c r="N195" i="1"/>
  <c r="M195" i="1"/>
  <c r="L195" i="1"/>
  <c r="K195" i="1"/>
  <c r="J195" i="1"/>
  <c r="I195" i="1"/>
  <c r="H195" i="1"/>
  <c r="G195" i="1"/>
  <c r="R194" i="1"/>
  <c r="Q194" i="1"/>
  <c r="P194" i="1"/>
  <c r="O194" i="1"/>
  <c r="N194" i="1"/>
  <c r="M194" i="1"/>
  <c r="L194" i="1"/>
  <c r="K194" i="1"/>
  <c r="J194" i="1"/>
  <c r="I194" i="1"/>
  <c r="H194" i="1"/>
  <c r="G194" i="1"/>
  <c r="R193" i="1"/>
  <c r="Q193" i="1"/>
  <c r="P193" i="1"/>
  <c r="O193" i="1"/>
  <c r="N193" i="1"/>
  <c r="M193" i="1"/>
  <c r="L193" i="1"/>
  <c r="K193" i="1"/>
  <c r="J193" i="1"/>
  <c r="I193" i="1"/>
  <c r="H193" i="1"/>
  <c r="G193" i="1"/>
  <c r="R192" i="1"/>
  <c r="Q192" i="1"/>
  <c r="P192" i="1"/>
  <c r="O192" i="1"/>
  <c r="N192" i="1"/>
  <c r="M192" i="1"/>
  <c r="L192" i="1"/>
  <c r="K192" i="1"/>
  <c r="J192" i="1"/>
  <c r="I192" i="1"/>
  <c r="H192" i="1"/>
  <c r="G192" i="1"/>
  <c r="R191" i="1"/>
  <c r="Q191" i="1"/>
  <c r="P191" i="1"/>
  <c r="O191" i="1"/>
  <c r="N191" i="1"/>
  <c r="M191" i="1"/>
  <c r="L191" i="1"/>
  <c r="K191" i="1"/>
  <c r="J191" i="1"/>
  <c r="I191" i="1"/>
  <c r="H191" i="1"/>
  <c r="G191" i="1"/>
  <c r="R190" i="1"/>
  <c r="Q190" i="1"/>
  <c r="P190" i="1"/>
  <c r="O190" i="1"/>
  <c r="N190" i="1"/>
  <c r="M190" i="1"/>
  <c r="L190" i="1"/>
  <c r="K190" i="1"/>
  <c r="J190" i="1"/>
  <c r="I190" i="1"/>
  <c r="H190" i="1"/>
  <c r="G190" i="1"/>
  <c r="R189" i="1"/>
  <c r="Q189" i="1"/>
  <c r="P189" i="1"/>
  <c r="O189" i="1"/>
  <c r="N189" i="1"/>
  <c r="M189" i="1"/>
  <c r="L189" i="1"/>
  <c r="K189" i="1"/>
  <c r="J189" i="1"/>
  <c r="I189" i="1"/>
  <c r="H189" i="1"/>
  <c r="G189" i="1"/>
  <c r="R188" i="1"/>
  <c r="Q188" i="1"/>
  <c r="P188" i="1"/>
  <c r="O188" i="1"/>
  <c r="N188" i="1"/>
  <c r="M188" i="1"/>
  <c r="L188" i="1"/>
  <c r="K188" i="1"/>
  <c r="J188" i="1"/>
  <c r="I188" i="1"/>
  <c r="H188" i="1"/>
  <c r="G188" i="1"/>
  <c r="R187" i="1"/>
  <c r="Q187" i="1"/>
  <c r="P187" i="1"/>
  <c r="O187" i="1"/>
  <c r="N187" i="1"/>
  <c r="M187" i="1"/>
  <c r="L187" i="1"/>
  <c r="K187" i="1"/>
  <c r="J187" i="1"/>
  <c r="I187" i="1"/>
  <c r="H187" i="1"/>
  <c r="G187" i="1"/>
  <c r="R186" i="1"/>
  <c r="Q186" i="1"/>
  <c r="P186" i="1"/>
  <c r="O186" i="1"/>
  <c r="N186" i="1"/>
  <c r="M186" i="1"/>
  <c r="L186" i="1"/>
  <c r="K186" i="1"/>
  <c r="J186" i="1"/>
  <c r="I186" i="1"/>
  <c r="H186" i="1"/>
  <c r="G186" i="1"/>
  <c r="R185" i="1"/>
  <c r="Q185" i="1"/>
  <c r="P185" i="1"/>
  <c r="O185" i="1"/>
  <c r="N185" i="1"/>
  <c r="M185" i="1"/>
  <c r="L185" i="1"/>
  <c r="K185" i="1"/>
  <c r="J185" i="1"/>
  <c r="I185" i="1"/>
  <c r="H185" i="1"/>
  <c r="G185" i="1"/>
  <c r="R184" i="1"/>
  <c r="Q184" i="1"/>
  <c r="P184" i="1"/>
  <c r="O184" i="1"/>
  <c r="N184" i="1"/>
  <c r="M184" i="1"/>
  <c r="L184" i="1"/>
  <c r="K184" i="1"/>
  <c r="J184" i="1"/>
  <c r="I184" i="1"/>
  <c r="H184" i="1"/>
  <c r="G184" i="1"/>
  <c r="R183" i="1"/>
  <c r="Q183" i="1"/>
  <c r="P183" i="1"/>
  <c r="O183" i="1"/>
  <c r="N183" i="1"/>
  <c r="M183" i="1"/>
  <c r="L183" i="1"/>
  <c r="K183" i="1"/>
  <c r="J183" i="1"/>
  <c r="I183" i="1"/>
  <c r="H183" i="1"/>
  <c r="G183" i="1"/>
  <c r="R182" i="1"/>
  <c r="Q182" i="1"/>
  <c r="P182" i="1"/>
  <c r="O182" i="1"/>
  <c r="N182" i="1"/>
  <c r="M182" i="1"/>
  <c r="L182" i="1"/>
  <c r="K182" i="1"/>
  <c r="J182" i="1"/>
  <c r="I182" i="1"/>
  <c r="H182" i="1"/>
  <c r="G182" i="1"/>
  <c r="R181" i="1"/>
  <c r="Q181" i="1"/>
  <c r="P181" i="1"/>
  <c r="O181" i="1"/>
  <c r="N181" i="1"/>
  <c r="M181" i="1"/>
  <c r="L181" i="1"/>
  <c r="K181" i="1"/>
  <c r="J181" i="1"/>
  <c r="I181" i="1"/>
  <c r="H181" i="1"/>
  <c r="G181" i="1"/>
  <c r="R180" i="1"/>
  <c r="Q180" i="1"/>
  <c r="P180" i="1"/>
  <c r="O180" i="1"/>
  <c r="N180" i="1"/>
  <c r="M180" i="1"/>
  <c r="L180" i="1"/>
  <c r="K180" i="1"/>
  <c r="J180" i="1"/>
  <c r="I180" i="1"/>
  <c r="H180" i="1"/>
  <c r="G180" i="1"/>
  <c r="R179" i="1"/>
  <c r="Q179" i="1"/>
  <c r="P179" i="1"/>
  <c r="O179" i="1"/>
  <c r="N179" i="1"/>
  <c r="M179" i="1"/>
  <c r="L179" i="1"/>
  <c r="K179" i="1"/>
  <c r="J179" i="1"/>
  <c r="I179" i="1"/>
  <c r="H179" i="1"/>
  <c r="G179" i="1"/>
  <c r="R178" i="1"/>
  <c r="Q178" i="1"/>
  <c r="P178" i="1"/>
  <c r="O178" i="1"/>
  <c r="N178" i="1"/>
  <c r="M178" i="1"/>
  <c r="L178" i="1"/>
  <c r="K178" i="1"/>
  <c r="J178" i="1"/>
  <c r="I178" i="1"/>
  <c r="H178" i="1"/>
  <c r="G178" i="1"/>
  <c r="R177" i="1"/>
  <c r="Q177" i="1"/>
  <c r="P177" i="1"/>
  <c r="O177" i="1"/>
  <c r="N177" i="1"/>
  <c r="M177" i="1"/>
  <c r="L177" i="1"/>
  <c r="K177" i="1"/>
  <c r="J177" i="1"/>
  <c r="I177" i="1"/>
  <c r="H177" i="1"/>
  <c r="G177" i="1"/>
  <c r="R176" i="1"/>
  <c r="Q176" i="1"/>
  <c r="P176" i="1"/>
  <c r="O176" i="1"/>
  <c r="N176" i="1"/>
  <c r="M176" i="1"/>
  <c r="L176" i="1"/>
  <c r="K176" i="1"/>
  <c r="J176" i="1"/>
  <c r="I176" i="1"/>
  <c r="H176" i="1"/>
  <c r="G176" i="1"/>
  <c r="R175" i="1"/>
  <c r="Q175" i="1"/>
  <c r="P175" i="1"/>
  <c r="O175" i="1"/>
  <c r="N175" i="1"/>
  <c r="M175" i="1"/>
  <c r="L175" i="1"/>
  <c r="K175" i="1"/>
  <c r="J175" i="1"/>
  <c r="I175" i="1"/>
  <c r="H175" i="1"/>
  <c r="G175" i="1"/>
  <c r="R174" i="1"/>
  <c r="Q174" i="1"/>
  <c r="P174" i="1"/>
  <c r="O174" i="1"/>
  <c r="N174" i="1"/>
  <c r="M174" i="1"/>
  <c r="L174" i="1"/>
  <c r="K174" i="1"/>
  <c r="J174" i="1"/>
  <c r="I174" i="1"/>
  <c r="H174" i="1"/>
  <c r="G174" i="1"/>
  <c r="R173" i="1"/>
  <c r="Q173" i="1"/>
  <c r="P173" i="1"/>
  <c r="O173" i="1"/>
  <c r="N173" i="1"/>
  <c r="M173" i="1"/>
  <c r="L173" i="1"/>
  <c r="K173" i="1"/>
  <c r="J173" i="1"/>
  <c r="I173" i="1"/>
  <c r="H173" i="1"/>
  <c r="G173" i="1"/>
  <c r="R172" i="1"/>
  <c r="Q172" i="1"/>
  <c r="P172" i="1"/>
  <c r="O172" i="1"/>
  <c r="N172" i="1"/>
  <c r="M172" i="1"/>
  <c r="L172" i="1"/>
  <c r="K172" i="1"/>
  <c r="J172" i="1"/>
  <c r="I172" i="1"/>
  <c r="H172" i="1"/>
  <c r="G172" i="1"/>
  <c r="R171" i="1"/>
  <c r="Q171" i="1"/>
  <c r="P171" i="1"/>
  <c r="O171" i="1"/>
  <c r="N171" i="1"/>
  <c r="M171" i="1"/>
  <c r="L171" i="1"/>
  <c r="K171" i="1"/>
  <c r="J171" i="1"/>
  <c r="I171" i="1"/>
  <c r="H171" i="1"/>
  <c r="G171" i="1"/>
  <c r="R170" i="1"/>
  <c r="Q170" i="1"/>
  <c r="P170" i="1"/>
  <c r="O170" i="1"/>
  <c r="N170" i="1"/>
  <c r="M170" i="1"/>
  <c r="L170" i="1"/>
  <c r="K170" i="1"/>
  <c r="J170" i="1"/>
  <c r="I170" i="1"/>
  <c r="H170" i="1"/>
  <c r="G170" i="1"/>
  <c r="R169" i="1"/>
  <c r="Q169" i="1"/>
  <c r="P169" i="1"/>
  <c r="O169" i="1"/>
  <c r="N169" i="1"/>
  <c r="M169" i="1"/>
  <c r="L169" i="1"/>
  <c r="K169" i="1"/>
  <c r="J169" i="1"/>
  <c r="I169" i="1"/>
  <c r="H169" i="1"/>
  <c r="G169" i="1"/>
  <c r="R168" i="1"/>
  <c r="Q168" i="1"/>
  <c r="P168" i="1"/>
  <c r="O168" i="1"/>
  <c r="N168" i="1"/>
  <c r="M168" i="1"/>
  <c r="L168" i="1"/>
  <c r="K168" i="1"/>
  <c r="J168" i="1"/>
  <c r="I168" i="1"/>
  <c r="H168" i="1"/>
  <c r="G168" i="1"/>
  <c r="R167" i="1"/>
  <c r="Q167" i="1"/>
  <c r="P167" i="1"/>
  <c r="O167" i="1"/>
  <c r="N167" i="1"/>
  <c r="M167" i="1"/>
  <c r="L167" i="1"/>
  <c r="K167" i="1"/>
  <c r="J167" i="1"/>
  <c r="I167" i="1"/>
  <c r="H167" i="1"/>
  <c r="G167" i="1"/>
  <c r="R166" i="1"/>
  <c r="Q166" i="1"/>
  <c r="P166" i="1"/>
  <c r="O166" i="1"/>
  <c r="N166" i="1"/>
  <c r="M166" i="1"/>
  <c r="L166" i="1"/>
  <c r="K166" i="1"/>
  <c r="J166" i="1"/>
  <c r="I166" i="1"/>
  <c r="H166" i="1"/>
  <c r="G166" i="1"/>
  <c r="R165" i="1"/>
  <c r="Q165" i="1"/>
  <c r="P165" i="1"/>
  <c r="O165" i="1"/>
  <c r="N165" i="1"/>
  <c r="M165" i="1"/>
  <c r="L165" i="1"/>
  <c r="K165" i="1"/>
  <c r="J165" i="1"/>
  <c r="I165" i="1"/>
  <c r="H165" i="1"/>
  <c r="G165" i="1"/>
  <c r="R164" i="1"/>
  <c r="Q164" i="1"/>
  <c r="P164" i="1"/>
  <c r="O164" i="1"/>
  <c r="N164" i="1"/>
  <c r="M164" i="1"/>
  <c r="L164" i="1"/>
  <c r="K164" i="1"/>
  <c r="J164" i="1"/>
  <c r="I164" i="1"/>
  <c r="H164" i="1"/>
  <c r="G164" i="1"/>
  <c r="R163" i="1"/>
  <c r="Q163" i="1"/>
  <c r="P163" i="1"/>
  <c r="O163" i="1"/>
  <c r="N163" i="1"/>
  <c r="M163" i="1"/>
  <c r="L163" i="1"/>
  <c r="K163" i="1"/>
  <c r="J163" i="1"/>
  <c r="I163" i="1"/>
  <c r="H163" i="1"/>
  <c r="G163" i="1"/>
  <c r="R162" i="1"/>
  <c r="Q162" i="1"/>
  <c r="P162" i="1"/>
  <c r="O162" i="1"/>
  <c r="N162" i="1"/>
  <c r="M162" i="1"/>
  <c r="L162" i="1"/>
  <c r="K162" i="1"/>
  <c r="J162" i="1"/>
  <c r="I162" i="1"/>
  <c r="H162" i="1"/>
  <c r="G162" i="1"/>
  <c r="R161" i="1"/>
  <c r="Q161" i="1"/>
  <c r="P161" i="1"/>
  <c r="O161" i="1"/>
  <c r="N161" i="1"/>
  <c r="M161" i="1"/>
  <c r="L161" i="1"/>
  <c r="K161" i="1"/>
  <c r="J161" i="1"/>
  <c r="I161" i="1"/>
  <c r="H161" i="1"/>
  <c r="G161" i="1"/>
  <c r="R160" i="1"/>
  <c r="Q160" i="1"/>
  <c r="P160" i="1"/>
  <c r="O160" i="1"/>
  <c r="N160" i="1"/>
  <c r="M160" i="1"/>
  <c r="L160" i="1"/>
  <c r="K160" i="1"/>
  <c r="J160" i="1"/>
  <c r="I160" i="1"/>
  <c r="H160" i="1"/>
  <c r="G160" i="1"/>
  <c r="R159" i="1"/>
  <c r="Q159" i="1"/>
  <c r="P159" i="1"/>
  <c r="O159" i="1"/>
  <c r="N159" i="1"/>
  <c r="M159" i="1"/>
  <c r="L159" i="1"/>
  <c r="K159" i="1"/>
  <c r="J159" i="1"/>
  <c r="I159" i="1"/>
  <c r="H159" i="1"/>
  <c r="G159" i="1"/>
  <c r="R158" i="1"/>
  <c r="Q158" i="1"/>
  <c r="P158" i="1"/>
  <c r="O158" i="1"/>
  <c r="N158" i="1"/>
  <c r="M158" i="1"/>
  <c r="L158" i="1"/>
  <c r="K158" i="1"/>
  <c r="J158" i="1"/>
  <c r="I158" i="1"/>
  <c r="H158" i="1"/>
  <c r="G158" i="1"/>
  <c r="R157" i="1"/>
  <c r="Q157" i="1"/>
  <c r="P157" i="1"/>
  <c r="O157" i="1"/>
  <c r="N157" i="1"/>
  <c r="M157" i="1"/>
  <c r="L157" i="1"/>
  <c r="K157" i="1"/>
  <c r="J157" i="1"/>
  <c r="I157" i="1"/>
  <c r="H157" i="1"/>
  <c r="G157" i="1"/>
  <c r="R156" i="1"/>
  <c r="Q156" i="1"/>
  <c r="P156" i="1"/>
  <c r="O156" i="1"/>
  <c r="N156" i="1"/>
  <c r="M156" i="1"/>
  <c r="L156" i="1"/>
  <c r="K156" i="1"/>
  <c r="J156" i="1"/>
  <c r="I156" i="1"/>
  <c r="H156" i="1"/>
  <c r="G156" i="1"/>
  <c r="R155" i="1"/>
  <c r="Q155" i="1"/>
  <c r="P155" i="1"/>
  <c r="O155" i="1"/>
  <c r="N155" i="1"/>
  <c r="M155" i="1"/>
  <c r="L155" i="1"/>
  <c r="K155" i="1"/>
  <c r="J155" i="1"/>
  <c r="I155" i="1"/>
  <c r="H155" i="1"/>
  <c r="G155" i="1"/>
  <c r="R154" i="1"/>
  <c r="Q154" i="1"/>
  <c r="P154" i="1"/>
  <c r="O154" i="1"/>
  <c r="N154" i="1"/>
  <c r="M154" i="1"/>
  <c r="L154" i="1"/>
  <c r="K154" i="1"/>
  <c r="J154" i="1"/>
  <c r="I154" i="1"/>
  <c r="H154" i="1"/>
  <c r="G154" i="1"/>
  <c r="R153" i="1"/>
  <c r="Q153" i="1"/>
  <c r="P153" i="1"/>
  <c r="O153" i="1"/>
  <c r="N153" i="1"/>
  <c r="M153" i="1"/>
  <c r="L153" i="1"/>
  <c r="K153" i="1"/>
  <c r="J153" i="1"/>
  <c r="I153" i="1"/>
  <c r="H153" i="1"/>
  <c r="G153" i="1"/>
  <c r="R152" i="1"/>
  <c r="Q152" i="1"/>
  <c r="P152" i="1"/>
  <c r="O152" i="1"/>
  <c r="N152" i="1"/>
  <c r="M152" i="1"/>
  <c r="L152" i="1"/>
  <c r="K152" i="1"/>
  <c r="J152" i="1"/>
  <c r="I152" i="1"/>
  <c r="H152" i="1"/>
  <c r="G152" i="1"/>
  <c r="R151" i="1"/>
  <c r="Q151" i="1"/>
  <c r="P151" i="1"/>
  <c r="O151" i="1"/>
  <c r="N151" i="1"/>
  <c r="M151" i="1"/>
  <c r="L151" i="1"/>
  <c r="K151" i="1"/>
  <c r="J151" i="1"/>
  <c r="I151" i="1"/>
  <c r="H151" i="1"/>
  <c r="G151" i="1"/>
  <c r="R150" i="1"/>
  <c r="Q150" i="1"/>
  <c r="P150" i="1"/>
  <c r="O150" i="1"/>
  <c r="N150" i="1"/>
  <c r="M150" i="1"/>
  <c r="L150" i="1"/>
  <c r="K150" i="1"/>
  <c r="J150" i="1"/>
  <c r="I150" i="1"/>
  <c r="H150" i="1"/>
  <c r="G150" i="1"/>
  <c r="R149" i="1"/>
  <c r="Q149" i="1"/>
  <c r="P149" i="1"/>
  <c r="O149" i="1"/>
  <c r="N149" i="1"/>
  <c r="M149" i="1"/>
  <c r="L149" i="1"/>
  <c r="K149" i="1"/>
  <c r="J149" i="1"/>
  <c r="I149" i="1"/>
  <c r="H149" i="1"/>
  <c r="G149" i="1"/>
  <c r="R148" i="1"/>
  <c r="Q148" i="1"/>
  <c r="P148" i="1"/>
  <c r="O148" i="1"/>
  <c r="N148" i="1"/>
  <c r="M148" i="1"/>
  <c r="L148" i="1"/>
  <c r="K148" i="1"/>
  <c r="J148" i="1"/>
  <c r="I148" i="1"/>
  <c r="H148" i="1"/>
  <c r="G148" i="1"/>
  <c r="R147" i="1"/>
  <c r="Q147" i="1"/>
  <c r="P147" i="1"/>
  <c r="O147" i="1"/>
  <c r="N147" i="1"/>
  <c r="M147" i="1"/>
  <c r="L147" i="1"/>
  <c r="K147" i="1"/>
  <c r="J147" i="1"/>
  <c r="I147" i="1"/>
  <c r="H147" i="1"/>
  <c r="G147" i="1"/>
  <c r="R146" i="1"/>
  <c r="Q146" i="1"/>
  <c r="P146" i="1"/>
  <c r="O146" i="1"/>
  <c r="N146" i="1"/>
  <c r="M146" i="1"/>
  <c r="L146" i="1"/>
  <c r="K146" i="1"/>
  <c r="J146" i="1"/>
  <c r="I146" i="1"/>
  <c r="H146" i="1"/>
  <c r="G146" i="1"/>
  <c r="R145" i="1"/>
  <c r="Q145" i="1"/>
  <c r="P145" i="1"/>
  <c r="O145" i="1"/>
  <c r="N145" i="1"/>
  <c r="M145" i="1"/>
  <c r="L145" i="1"/>
  <c r="K145" i="1"/>
  <c r="J145" i="1"/>
  <c r="I145" i="1"/>
  <c r="H145" i="1"/>
  <c r="G145" i="1"/>
  <c r="R144" i="1"/>
  <c r="Q144" i="1"/>
  <c r="P144" i="1"/>
  <c r="O144" i="1"/>
  <c r="N144" i="1"/>
  <c r="M144" i="1"/>
  <c r="L144" i="1"/>
  <c r="K144" i="1"/>
  <c r="J144" i="1"/>
  <c r="I144" i="1"/>
  <c r="H144" i="1"/>
  <c r="G144" i="1"/>
  <c r="R143" i="1"/>
  <c r="Q143" i="1"/>
  <c r="P143" i="1"/>
  <c r="O143" i="1"/>
  <c r="N143" i="1"/>
  <c r="M143" i="1"/>
  <c r="L143" i="1"/>
  <c r="K143" i="1"/>
  <c r="J143" i="1"/>
  <c r="I143" i="1"/>
  <c r="H143" i="1"/>
  <c r="G143" i="1"/>
  <c r="R142" i="1"/>
  <c r="Q142" i="1"/>
  <c r="P142" i="1"/>
  <c r="O142" i="1"/>
  <c r="N142" i="1"/>
  <c r="M142" i="1"/>
  <c r="L142" i="1"/>
  <c r="K142" i="1"/>
  <c r="J142" i="1"/>
  <c r="I142" i="1"/>
  <c r="H142" i="1"/>
  <c r="G142" i="1"/>
  <c r="R141" i="1"/>
  <c r="Q141" i="1"/>
  <c r="P141" i="1"/>
  <c r="O141" i="1"/>
  <c r="N141" i="1"/>
  <c r="M141" i="1"/>
  <c r="L141" i="1"/>
  <c r="K141" i="1"/>
  <c r="J141" i="1"/>
  <c r="I141" i="1"/>
  <c r="H141" i="1"/>
  <c r="G141" i="1"/>
  <c r="R140" i="1"/>
  <c r="Q140" i="1"/>
  <c r="P140" i="1"/>
  <c r="O140" i="1"/>
  <c r="N140" i="1"/>
  <c r="M140" i="1"/>
  <c r="L140" i="1"/>
  <c r="K140" i="1"/>
  <c r="J140" i="1"/>
  <c r="I140" i="1"/>
  <c r="H140" i="1"/>
  <c r="G140" i="1"/>
  <c r="R139" i="1"/>
  <c r="Q139" i="1"/>
  <c r="P139" i="1"/>
  <c r="O139" i="1"/>
  <c r="N139" i="1"/>
  <c r="M139" i="1"/>
  <c r="L139" i="1"/>
  <c r="K139" i="1"/>
  <c r="J139" i="1"/>
  <c r="I139" i="1"/>
  <c r="H139" i="1"/>
  <c r="G139" i="1"/>
  <c r="R138" i="1"/>
  <c r="Q138" i="1"/>
  <c r="P138" i="1"/>
  <c r="O138" i="1"/>
  <c r="N138" i="1"/>
  <c r="M138" i="1"/>
  <c r="L138" i="1"/>
  <c r="K138" i="1"/>
  <c r="J138" i="1"/>
  <c r="I138" i="1"/>
  <c r="H138" i="1"/>
  <c r="G138" i="1"/>
  <c r="R137" i="1"/>
  <c r="Q137" i="1"/>
  <c r="P137" i="1"/>
  <c r="O137" i="1"/>
  <c r="N137" i="1"/>
  <c r="M137" i="1"/>
  <c r="L137" i="1"/>
  <c r="K137" i="1"/>
  <c r="J137" i="1"/>
  <c r="I137" i="1"/>
  <c r="H137" i="1"/>
  <c r="G137" i="1"/>
  <c r="R136" i="1"/>
  <c r="Q136" i="1"/>
  <c r="P136" i="1"/>
  <c r="O136" i="1"/>
  <c r="N136" i="1"/>
  <c r="M136" i="1"/>
  <c r="L136" i="1"/>
  <c r="K136" i="1"/>
  <c r="J136" i="1"/>
  <c r="I136" i="1"/>
  <c r="H136" i="1"/>
  <c r="G136" i="1"/>
  <c r="R135" i="1"/>
  <c r="Q135" i="1"/>
  <c r="P135" i="1"/>
  <c r="O135" i="1"/>
  <c r="N135" i="1"/>
  <c r="M135" i="1"/>
  <c r="L135" i="1"/>
  <c r="K135" i="1"/>
  <c r="J135" i="1"/>
  <c r="I135" i="1"/>
  <c r="H135" i="1"/>
  <c r="G135" i="1"/>
  <c r="R134" i="1"/>
  <c r="Q134" i="1"/>
  <c r="P134" i="1"/>
  <c r="O134" i="1"/>
  <c r="N134" i="1"/>
  <c r="M134" i="1"/>
  <c r="L134" i="1"/>
  <c r="K134" i="1"/>
  <c r="J134" i="1"/>
  <c r="I134" i="1"/>
  <c r="H134" i="1"/>
  <c r="G134" i="1"/>
  <c r="R133" i="1"/>
  <c r="Q133" i="1"/>
  <c r="P133" i="1"/>
  <c r="O133" i="1"/>
  <c r="N133" i="1"/>
  <c r="M133" i="1"/>
  <c r="L133" i="1"/>
  <c r="K133" i="1"/>
  <c r="J133" i="1"/>
  <c r="I133" i="1"/>
  <c r="H133" i="1"/>
  <c r="G133" i="1"/>
  <c r="R132" i="1"/>
  <c r="Q132" i="1"/>
  <c r="P132" i="1"/>
  <c r="O132" i="1"/>
  <c r="N132" i="1"/>
  <c r="M132" i="1"/>
  <c r="L132" i="1"/>
  <c r="K132" i="1"/>
  <c r="J132" i="1"/>
  <c r="I132" i="1"/>
  <c r="H132" i="1"/>
  <c r="G132" i="1"/>
  <c r="R131" i="1"/>
  <c r="Q131" i="1"/>
  <c r="P131" i="1"/>
  <c r="O131" i="1"/>
  <c r="N131" i="1"/>
  <c r="M131" i="1"/>
  <c r="L131" i="1"/>
  <c r="K131" i="1"/>
  <c r="J131" i="1"/>
  <c r="I131" i="1"/>
  <c r="H131" i="1"/>
  <c r="G131" i="1"/>
  <c r="R130" i="1"/>
  <c r="Q130" i="1"/>
  <c r="P130" i="1"/>
  <c r="O130" i="1"/>
  <c r="N130" i="1"/>
  <c r="M130" i="1"/>
  <c r="L130" i="1"/>
  <c r="K130" i="1"/>
  <c r="J130" i="1"/>
  <c r="I130" i="1"/>
  <c r="H130" i="1"/>
  <c r="G130" i="1"/>
  <c r="R129" i="1"/>
  <c r="Q129" i="1"/>
  <c r="P129" i="1"/>
  <c r="O129" i="1"/>
  <c r="N129" i="1"/>
  <c r="M129" i="1"/>
  <c r="L129" i="1"/>
  <c r="K129" i="1"/>
  <c r="J129" i="1"/>
  <c r="I129" i="1"/>
  <c r="H129" i="1"/>
  <c r="G129" i="1"/>
  <c r="R128" i="1"/>
  <c r="Q128" i="1"/>
  <c r="P128" i="1"/>
  <c r="O128" i="1"/>
  <c r="N128" i="1"/>
  <c r="M128" i="1"/>
  <c r="L128" i="1"/>
  <c r="K128" i="1"/>
  <c r="J128" i="1"/>
  <c r="I128" i="1"/>
  <c r="H128" i="1"/>
  <c r="G128" i="1"/>
  <c r="R127" i="1"/>
  <c r="Q127" i="1"/>
  <c r="O127" i="1"/>
  <c r="N127" i="1"/>
  <c r="M127" i="1"/>
  <c r="L127" i="1"/>
  <c r="K127" i="1"/>
  <c r="J127" i="1"/>
  <c r="I127" i="1"/>
  <c r="H127" i="1"/>
  <c r="G127" i="1"/>
  <c r="R126" i="1"/>
  <c r="Q126" i="1"/>
  <c r="O126" i="1"/>
  <c r="N126" i="1"/>
  <c r="M126" i="1"/>
  <c r="L126" i="1"/>
  <c r="K126" i="1"/>
  <c r="J126" i="1"/>
  <c r="I126" i="1"/>
  <c r="H126" i="1"/>
  <c r="G126" i="1"/>
  <c r="R125" i="1"/>
  <c r="Q125" i="1"/>
  <c r="O125" i="1"/>
  <c r="N125" i="1"/>
  <c r="M125" i="1"/>
  <c r="L125" i="1"/>
  <c r="K125" i="1"/>
  <c r="J125" i="1"/>
  <c r="I125" i="1"/>
  <c r="H125" i="1"/>
  <c r="G125" i="1"/>
  <c r="R124" i="1"/>
  <c r="Q124" i="1"/>
  <c r="O124" i="1"/>
  <c r="N124" i="1"/>
  <c r="M124" i="1"/>
  <c r="L124" i="1"/>
  <c r="K124" i="1"/>
  <c r="J124" i="1"/>
  <c r="I124" i="1"/>
  <c r="H124" i="1"/>
  <c r="G124" i="1"/>
  <c r="R123" i="1"/>
  <c r="Q123" i="1"/>
  <c r="O123" i="1"/>
  <c r="N123" i="1"/>
  <c r="M123" i="1"/>
  <c r="L123" i="1"/>
  <c r="K123" i="1"/>
  <c r="J123" i="1"/>
  <c r="I123" i="1"/>
  <c r="H123" i="1"/>
  <c r="G123" i="1"/>
  <c r="R122" i="1"/>
  <c r="Q122" i="1"/>
  <c r="O122" i="1"/>
  <c r="N122" i="1"/>
  <c r="M122" i="1"/>
  <c r="L122" i="1"/>
  <c r="K122" i="1"/>
  <c r="J122" i="1"/>
  <c r="I122" i="1"/>
  <c r="H122" i="1"/>
  <c r="G122" i="1"/>
  <c r="R121" i="1"/>
  <c r="Q121" i="1"/>
  <c r="O121" i="1"/>
  <c r="N121" i="1"/>
  <c r="M121" i="1"/>
  <c r="L121" i="1"/>
  <c r="K121" i="1"/>
  <c r="J121" i="1"/>
  <c r="I121" i="1"/>
  <c r="H121" i="1"/>
  <c r="G121" i="1"/>
  <c r="R120" i="1"/>
  <c r="Q120" i="1"/>
  <c r="O120" i="1"/>
  <c r="N120" i="1"/>
  <c r="M120" i="1"/>
  <c r="L120" i="1"/>
  <c r="K120" i="1"/>
  <c r="J120" i="1"/>
  <c r="I120" i="1"/>
  <c r="H120" i="1"/>
  <c r="G120" i="1"/>
  <c r="R119" i="1"/>
  <c r="Q119" i="1"/>
  <c r="O119" i="1"/>
  <c r="N119" i="1"/>
  <c r="M119" i="1"/>
  <c r="L119" i="1"/>
  <c r="K119" i="1"/>
  <c r="J119" i="1"/>
  <c r="I119" i="1"/>
  <c r="H119" i="1"/>
  <c r="G119" i="1"/>
  <c r="R118" i="1"/>
  <c r="Q118" i="1"/>
  <c r="O118" i="1"/>
  <c r="N118" i="1"/>
  <c r="M118" i="1"/>
  <c r="L118" i="1"/>
  <c r="K118" i="1"/>
  <c r="J118" i="1"/>
  <c r="I118" i="1"/>
  <c r="H118" i="1"/>
  <c r="G118" i="1"/>
  <c r="R117" i="1"/>
  <c r="Q117" i="1"/>
  <c r="P117" i="1"/>
  <c r="O117" i="1"/>
  <c r="N117" i="1"/>
  <c r="M117" i="1"/>
  <c r="L117" i="1"/>
  <c r="K117" i="1"/>
  <c r="J117" i="1"/>
  <c r="I117" i="1"/>
  <c r="H117" i="1"/>
  <c r="G117" i="1"/>
  <c r="R116" i="1"/>
  <c r="Q116" i="1"/>
  <c r="N116" i="1"/>
  <c r="M116" i="1"/>
  <c r="L116" i="1"/>
  <c r="K116" i="1"/>
  <c r="J116" i="1"/>
  <c r="I116" i="1"/>
  <c r="H116" i="1"/>
  <c r="G116" i="1"/>
  <c r="R115" i="1"/>
  <c r="Q115" i="1"/>
  <c r="P115" i="1"/>
  <c r="O115" i="1"/>
  <c r="N115" i="1"/>
  <c r="M115" i="1"/>
  <c r="L115" i="1"/>
  <c r="K115" i="1"/>
  <c r="J115" i="1"/>
  <c r="I115" i="1"/>
  <c r="H115" i="1"/>
  <c r="G115" i="1"/>
  <c r="R114" i="1"/>
  <c r="Q114" i="1"/>
  <c r="P114" i="1"/>
  <c r="O114" i="1"/>
  <c r="N114" i="1"/>
  <c r="M114" i="1"/>
  <c r="L114" i="1"/>
  <c r="K114" i="1"/>
  <c r="J114" i="1"/>
  <c r="I114" i="1"/>
  <c r="H114" i="1"/>
  <c r="G114" i="1"/>
  <c r="R113" i="1"/>
  <c r="Q113" i="1"/>
  <c r="N113" i="1"/>
  <c r="M113" i="1"/>
  <c r="L113" i="1"/>
  <c r="K113" i="1"/>
  <c r="J113" i="1"/>
  <c r="I113" i="1"/>
  <c r="H113" i="1"/>
  <c r="G113" i="1"/>
  <c r="R112" i="1"/>
  <c r="Q112" i="1"/>
  <c r="P112" i="1"/>
  <c r="O112" i="1"/>
  <c r="N112" i="1"/>
  <c r="M112" i="1"/>
  <c r="L112" i="1"/>
  <c r="K112" i="1"/>
  <c r="J112" i="1"/>
  <c r="I112" i="1"/>
  <c r="H112" i="1"/>
  <c r="G112" i="1"/>
  <c r="R111" i="1"/>
  <c r="Q111" i="1"/>
  <c r="P111" i="1"/>
  <c r="O111" i="1"/>
  <c r="N111" i="1"/>
  <c r="M111" i="1"/>
  <c r="L111" i="1"/>
  <c r="K111" i="1"/>
  <c r="J111" i="1"/>
  <c r="I111" i="1"/>
  <c r="H111" i="1"/>
  <c r="G111" i="1"/>
  <c r="R110" i="1"/>
  <c r="Q110" i="1"/>
  <c r="P110" i="1"/>
  <c r="O110" i="1"/>
  <c r="N110" i="1"/>
  <c r="M110" i="1"/>
  <c r="L110" i="1"/>
  <c r="K110" i="1"/>
  <c r="J110" i="1"/>
  <c r="I110" i="1"/>
  <c r="H110" i="1"/>
  <c r="G110" i="1"/>
  <c r="R109" i="1"/>
  <c r="Q109" i="1"/>
  <c r="N109" i="1"/>
  <c r="M109" i="1"/>
  <c r="L109" i="1"/>
  <c r="K109" i="1"/>
  <c r="J109" i="1"/>
  <c r="I109" i="1"/>
  <c r="H109" i="1"/>
  <c r="G109" i="1"/>
  <c r="R108" i="1"/>
  <c r="Q108" i="1"/>
  <c r="P108" i="1"/>
  <c r="O108" i="1"/>
  <c r="N108" i="1"/>
  <c r="M108" i="1"/>
  <c r="L108" i="1"/>
  <c r="K108" i="1"/>
  <c r="J108" i="1"/>
  <c r="I108" i="1"/>
  <c r="H108" i="1"/>
  <c r="G108" i="1"/>
  <c r="R107" i="1"/>
  <c r="Q107" i="1"/>
  <c r="N107" i="1"/>
  <c r="M107" i="1"/>
  <c r="L107" i="1"/>
  <c r="K107" i="1"/>
  <c r="J107" i="1"/>
  <c r="I107" i="1"/>
  <c r="H107" i="1"/>
  <c r="G107" i="1"/>
  <c r="R106" i="1"/>
  <c r="Q106" i="1"/>
  <c r="N106" i="1"/>
  <c r="M106" i="1"/>
  <c r="L106" i="1"/>
  <c r="K106" i="1"/>
  <c r="J106" i="1"/>
  <c r="I106" i="1"/>
  <c r="H106" i="1"/>
  <c r="G106" i="1"/>
  <c r="R105" i="1"/>
  <c r="Q105" i="1"/>
  <c r="N105" i="1"/>
  <c r="M105" i="1"/>
  <c r="L105" i="1"/>
  <c r="K105" i="1"/>
  <c r="J105" i="1"/>
  <c r="I105" i="1"/>
  <c r="H105" i="1"/>
  <c r="G105" i="1"/>
  <c r="R104" i="1"/>
  <c r="Q104" i="1"/>
  <c r="N104" i="1"/>
  <c r="M104" i="1"/>
  <c r="L104" i="1"/>
  <c r="K104" i="1"/>
  <c r="J104" i="1"/>
  <c r="I104" i="1"/>
  <c r="H104" i="1"/>
  <c r="G104" i="1"/>
  <c r="R103" i="1"/>
  <c r="Q103" i="1"/>
  <c r="N103" i="1"/>
  <c r="M103" i="1"/>
  <c r="L103" i="1"/>
  <c r="K103" i="1"/>
  <c r="J103" i="1"/>
  <c r="I103" i="1"/>
  <c r="H103" i="1"/>
  <c r="G103" i="1"/>
  <c r="R102" i="1"/>
  <c r="Q102" i="1"/>
  <c r="N102" i="1"/>
  <c r="M102" i="1"/>
  <c r="L102" i="1"/>
  <c r="K102" i="1"/>
  <c r="J102" i="1"/>
  <c r="I102" i="1"/>
  <c r="H102" i="1"/>
  <c r="G102" i="1"/>
  <c r="R101" i="1"/>
  <c r="Q101" i="1"/>
  <c r="N101" i="1"/>
  <c r="M101" i="1"/>
  <c r="L101" i="1"/>
  <c r="K101" i="1"/>
  <c r="J101" i="1"/>
  <c r="I101" i="1"/>
  <c r="H101" i="1"/>
  <c r="G101" i="1"/>
  <c r="R100" i="1"/>
  <c r="Q100" i="1"/>
  <c r="N100" i="1"/>
  <c r="M100" i="1"/>
  <c r="L100" i="1"/>
  <c r="K100" i="1"/>
  <c r="J100" i="1"/>
  <c r="I100" i="1"/>
  <c r="H100" i="1"/>
  <c r="G100" i="1"/>
  <c r="R99" i="1"/>
  <c r="Q99" i="1"/>
  <c r="N99" i="1"/>
  <c r="M99" i="1"/>
  <c r="L99" i="1"/>
  <c r="K99" i="1"/>
  <c r="J99" i="1"/>
  <c r="I99" i="1"/>
  <c r="H99" i="1"/>
  <c r="G99" i="1"/>
  <c r="R98" i="1"/>
  <c r="Q98" i="1"/>
  <c r="P98" i="1"/>
  <c r="O98" i="1"/>
  <c r="N98" i="1"/>
  <c r="M98" i="1"/>
  <c r="L98" i="1"/>
  <c r="K98" i="1"/>
  <c r="J98" i="1"/>
  <c r="I98" i="1"/>
  <c r="H98" i="1"/>
  <c r="G98" i="1"/>
  <c r="R97" i="1"/>
  <c r="Q97" i="1"/>
  <c r="P97" i="1"/>
  <c r="O97" i="1"/>
  <c r="N97" i="1"/>
  <c r="M97" i="1"/>
  <c r="L97" i="1"/>
  <c r="K97" i="1"/>
  <c r="J97" i="1"/>
  <c r="I97" i="1"/>
  <c r="H97" i="1"/>
  <c r="G97" i="1"/>
  <c r="R96" i="1"/>
  <c r="Q96" i="1"/>
  <c r="P96" i="1"/>
  <c r="O96" i="1"/>
  <c r="N96" i="1"/>
  <c r="M96" i="1"/>
  <c r="L96" i="1"/>
  <c r="K96" i="1"/>
  <c r="J96" i="1"/>
  <c r="I96" i="1"/>
  <c r="H96" i="1"/>
  <c r="G96" i="1"/>
  <c r="R95" i="1"/>
  <c r="Q95" i="1"/>
  <c r="P95" i="1"/>
  <c r="O95" i="1"/>
  <c r="N95" i="1"/>
  <c r="M95" i="1"/>
  <c r="L95" i="1"/>
  <c r="K95" i="1"/>
  <c r="J95" i="1"/>
  <c r="I95" i="1"/>
  <c r="H95" i="1"/>
  <c r="G95" i="1"/>
  <c r="R94" i="1"/>
  <c r="Q94" i="1"/>
  <c r="P94" i="1"/>
  <c r="O94" i="1"/>
  <c r="N94" i="1"/>
  <c r="M94" i="1"/>
  <c r="L94" i="1"/>
  <c r="K94" i="1"/>
  <c r="J94" i="1"/>
  <c r="I94" i="1"/>
  <c r="H94" i="1"/>
  <c r="G94" i="1"/>
  <c r="R93" i="1"/>
  <c r="Q93" i="1"/>
  <c r="P93" i="1"/>
  <c r="O93" i="1"/>
  <c r="N93" i="1"/>
  <c r="M93" i="1"/>
  <c r="L93" i="1"/>
  <c r="K93" i="1"/>
  <c r="J93" i="1"/>
  <c r="I93" i="1"/>
  <c r="H93" i="1"/>
  <c r="G93" i="1"/>
  <c r="R92" i="1"/>
  <c r="Q92" i="1"/>
  <c r="P92" i="1"/>
  <c r="O92" i="1"/>
  <c r="N92" i="1"/>
  <c r="M92" i="1"/>
  <c r="L92" i="1"/>
  <c r="K92" i="1"/>
  <c r="J92" i="1"/>
  <c r="I92" i="1"/>
  <c r="H92" i="1"/>
  <c r="G92" i="1"/>
  <c r="R91" i="1"/>
  <c r="Q91" i="1"/>
  <c r="P91" i="1"/>
  <c r="O91" i="1"/>
  <c r="N91" i="1"/>
  <c r="M91" i="1"/>
  <c r="L91" i="1"/>
  <c r="K91" i="1"/>
  <c r="J91" i="1"/>
  <c r="I91" i="1"/>
  <c r="H91" i="1"/>
  <c r="G91" i="1"/>
  <c r="R90" i="1"/>
  <c r="Q90" i="1"/>
  <c r="P90" i="1"/>
  <c r="O90" i="1"/>
  <c r="N90" i="1"/>
  <c r="M90" i="1"/>
  <c r="L90" i="1"/>
  <c r="K90" i="1"/>
  <c r="J90" i="1"/>
  <c r="I90" i="1"/>
  <c r="H90" i="1"/>
  <c r="G90" i="1"/>
  <c r="R89" i="1"/>
  <c r="Q89" i="1"/>
  <c r="P89" i="1"/>
  <c r="O89" i="1"/>
  <c r="N89" i="1"/>
  <c r="M89" i="1"/>
  <c r="L89" i="1"/>
  <c r="K89" i="1"/>
  <c r="J89" i="1"/>
  <c r="I89" i="1"/>
  <c r="H89" i="1"/>
  <c r="G89" i="1"/>
  <c r="R88" i="1"/>
  <c r="Q88" i="1"/>
  <c r="P88" i="1"/>
  <c r="O88" i="1"/>
  <c r="N88" i="1"/>
  <c r="M88" i="1"/>
  <c r="L88" i="1"/>
  <c r="K88" i="1"/>
  <c r="J88" i="1"/>
  <c r="I88" i="1"/>
  <c r="H88" i="1"/>
  <c r="G88" i="1"/>
  <c r="R87" i="1"/>
  <c r="Q87" i="1"/>
  <c r="P87" i="1"/>
  <c r="O87" i="1"/>
  <c r="N87" i="1"/>
  <c r="M87" i="1"/>
  <c r="L87" i="1"/>
  <c r="K87" i="1"/>
  <c r="J87" i="1"/>
  <c r="I87" i="1"/>
  <c r="H87" i="1"/>
  <c r="G87" i="1"/>
  <c r="R86" i="1"/>
  <c r="Q86" i="1"/>
  <c r="P86" i="1"/>
  <c r="O86" i="1"/>
  <c r="N86" i="1"/>
  <c r="M86" i="1"/>
  <c r="L86" i="1"/>
  <c r="K86" i="1"/>
  <c r="J86" i="1"/>
  <c r="I86" i="1"/>
  <c r="H86" i="1"/>
  <c r="G86" i="1"/>
  <c r="R85" i="1"/>
  <c r="Q85" i="1"/>
  <c r="P85" i="1"/>
  <c r="O85" i="1"/>
  <c r="N85" i="1"/>
  <c r="M85" i="1"/>
  <c r="L85" i="1"/>
  <c r="K85" i="1"/>
  <c r="J85" i="1"/>
  <c r="I85" i="1"/>
  <c r="H85" i="1"/>
  <c r="G85" i="1"/>
  <c r="R84" i="1"/>
  <c r="Q84" i="1"/>
  <c r="P84" i="1"/>
  <c r="O84" i="1"/>
  <c r="N84" i="1"/>
  <c r="M84" i="1"/>
  <c r="L84" i="1"/>
  <c r="K84" i="1"/>
  <c r="J84" i="1"/>
  <c r="I84" i="1"/>
  <c r="H84" i="1"/>
  <c r="G84" i="1"/>
  <c r="R83" i="1"/>
  <c r="Q83" i="1"/>
  <c r="P83" i="1"/>
  <c r="O83" i="1"/>
  <c r="N83" i="1"/>
  <c r="M83" i="1"/>
  <c r="L83" i="1"/>
  <c r="K83" i="1"/>
  <c r="J83" i="1"/>
  <c r="I83" i="1"/>
  <c r="H83" i="1"/>
  <c r="G83" i="1"/>
  <c r="R82" i="1"/>
  <c r="Q82" i="1"/>
  <c r="P82" i="1"/>
  <c r="O82" i="1"/>
  <c r="N82" i="1"/>
  <c r="M82" i="1"/>
  <c r="L82" i="1"/>
  <c r="K82" i="1"/>
  <c r="J82" i="1"/>
  <c r="I82" i="1"/>
  <c r="H82" i="1"/>
  <c r="G82" i="1"/>
  <c r="R81" i="1"/>
  <c r="Q81" i="1"/>
  <c r="P81" i="1"/>
  <c r="O81" i="1"/>
  <c r="N81" i="1"/>
  <c r="M81" i="1"/>
  <c r="L81" i="1"/>
  <c r="K81" i="1"/>
  <c r="J81" i="1"/>
  <c r="I81" i="1"/>
  <c r="H81" i="1"/>
  <c r="G81" i="1"/>
  <c r="R80" i="1"/>
  <c r="Q80" i="1"/>
  <c r="P80" i="1"/>
  <c r="O80" i="1"/>
  <c r="N80" i="1"/>
  <c r="M80" i="1"/>
  <c r="L80" i="1"/>
  <c r="K80" i="1"/>
  <c r="J80" i="1"/>
  <c r="I80" i="1"/>
  <c r="H80" i="1"/>
  <c r="G80" i="1"/>
  <c r="R79" i="1"/>
  <c r="Q79" i="1"/>
  <c r="P79" i="1"/>
  <c r="O79" i="1"/>
  <c r="N79" i="1"/>
  <c r="M79" i="1"/>
  <c r="L79" i="1"/>
  <c r="K79" i="1"/>
  <c r="J79" i="1"/>
  <c r="I79" i="1"/>
  <c r="H79" i="1"/>
  <c r="G79" i="1"/>
  <c r="R78" i="1"/>
  <c r="Q78" i="1"/>
  <c r="P78" i="1"/>
  <c r="O78" i="1"/>
  <c r="N78" i="1"/>
  <c r="M78" i="1"/>
  <c r="L78" i="1"/>
  <c r="K78" i="1"/>
  <c r="J78" i="1"/>
  <c r="I78" i="1"/>
  <c r="H78" i="1"/>
  <c r="G78" i="1"/>
  <c r="R77" i="1"/>
  <c r="Q77" i="1"/>
  <c r="P77" i="1"/>
  <c r="O77" i="1"/>
  <c r="N77" i="1"/>
  <c r="M77" i="1"/>
  <c r="L77" i="1"/>
  <c r="K77" i="1"/>
  <c r="J77" i="1"/>
  <c r="I77" i="1"/>
  <c r="H77" i="1"/>
  <c r="G77" i="1"/>
  <c r="R76" i="1"/>
  <c r="Q76" i="1"/>
  <c r="P76" i="1"/>
  <c r="O76" i="1"/>
  <c r="N76" i="1"/>
  <c r="M76" i="1"/>
  <c r="L76" i="1"/>
  <c r="K76" i="1"/>
  <c r="J76" i="1"/>
  <c r="I76" i="1"/>
  <c r="H76" i="1"/>
  <c r="G76" i="1"/>
  <c r="R75" i="1"/>
  <c r="Q75" i="1"/>
  <c r="P75" i="1"/>
  <c r="O75" i="1"/>
  <c r="N75" i="1"/>
  <c r="M75" i="1"/>
  <c r="L75" i="1"/>
  <c r="K75" i="1"/>
  <c r="J75" i="1"/>
  <c r="I75" i="1"/>
  <c r="H75" i="1"/>
  <c r="G75" i="1"/>
  <c r="R74" i="1"/>
  <c r="Q74" i="1"/>
  <c r="P74" i="1"/>
  <c r="O74" i="1"/>
  <c r="N74" i="1"/>
  <c r="M74" i="1"/>
  <c r="L74" i="1"/>
  <c r="K74" i="1"/>
  <c r="J74" i="1"/>
  <c r="I74" i="1"/>
  <c r="H74" i="1"/>
  <c r="G74" i="1"/>
  <c r="R73" i="1"/>
  <c r="Q73" i="1"/>
  <c r="P73" i="1"/>
  <c r="O73" i="1"/>
  <c r="N73" i="1"/>
  <c r="M73" i="1"/>
  <c r="L73" i="1"/>
  <c r="K73" i="1"/>
  <c r="J73" i="1"/>
  <c r="I73" i="1"/>
  <c r="H73" i="1"/>
  <c r="G73" i="1"/>
  <c r="R72" i="1"/>
  <c r="Q72" i="1"/>
  <c r="P72" i="1"/>
  <c r="O72" i="1"/>
  <c r="N72" i="1"/>
  <c r="M72" i="1"/>
  <c r="L72" i="1"/>
  <c r="K72" i="1"/>
  <c r="J72" i="1"/>
  <c r="I72" i="1"/>
  <c r="H72" i="1"/>
  <c r="G72" i="1"/>
  <c r="R71" i="1"/>
  <c r="Q71" i="1"/>
  <c r="P71" i="1"/>
  <c r="O71" i="1"/>
  <c r="N71" i="1"/>
  <c r="M71" i="1"/>
  <c r="L71" i="1"/>
  <c r="K71" i="1"/>
  <c r="J71" i="1"/>
  <c r="I71" i="1"/>
  <c r="H71" i="1"/>
  <c r="G71" i="1"/>
  <c r="R70" i="1"/>
  <c r="Q70" i="1"/>
  <c r="P70" i="1"/>
  <c r="O70" i="1"/>
  <c r="N70" i="1"/>
  <c r="M70" i="1"/>
  <c r="L70" i="1"/>
  <c r="K70" i="1"/>
  <c r="J70" i="1"/>
  <c r="I70" i="1"/>
  <c r="H70" i="1"/>
  <c r="G70" i="1"/>
  <c r="R69" i="1"/>
  <c r="Q69" i="1"/>
  <c r="P69" i="1"/>
  <c r="O69" i="1"/>
  <c r="N69" i="1"/>
  <c r="M69" i="1"/>
  <c r="L69" i="1"/>
  <c r="K69" i="1"/>
  <c r="J69" i="1"/>
  <c r="I69" i="1"/>
  <c r="H69" i="1"/>
  <c r="G69" i="1"/>
  <c r="R68" i="1"/>
  <c r="Q68" i="1"/>
  <c r="P68" i="1"/>
  <c r="O68" i="1"/>
  <c r="N68" i="1"/>
  <c r="M68" i="1"/>
  <c r="L68" i="1"/>
  <c r="K68" i="1"/>
  <c r="J68" i="1"/>
  <c r="I68" i="1"/>
  <c r="H68" i="1"/>
  <c r="G68" i="1"/>
  <c r="R67" i="1"/>
  <c r="Q67" i="1"/>
  <c r="P67" i="1"/>
  <c r="O67" i="1"/>
  <c r="N67" i="1"/>
  <c r="M67" i="1"/>
  <c r="L67" i="1"/>
  <c r="K67" i="1"/>
  <c r="J67" i="1"/>
  <c r="I67" i="1"/>
  <c r="H67" i="1"/>
  <c r="G67" i="1"/>
  <c r="R66" i="1"/>
  <c r="Q66" i="1"/>
  <c r="P66" i="1"/>
  <c r="O66" i="1"/>
  <c r="N66" i="1"/>
  <c r="M66" i="1"/>
  <c r="L66" i="1"/>
  <c r="K66" i="1"/>
  <c r="J66" i="1"/>
  <c r="I66" i="1"/>
  <c r="H66" i="1"/>
  <c r="G66" i="1"/>
  <c r="R65" i="1"/>
  <c r="Q65" i="1"/>
  <c r="P65" i="1"/>
  <c r="O65" i="1"/>
  <c r="N65" i="1"/>
  <c r="M65" i="1"/>
  <c r="L65" i="1"/>
  <c r="K65" i="1"/>
  <c r="J65" i="1"/>
  <c r="I65" i="1"/>
  <c r="H65" i="1"/>
  <c r="G65" i="1"/>
  <c r="R64" i="1"/>
  <c r="Q64" i="1"/>
  <c r="P64" i="1"/>
  <c r="O64" i="1"/>
  <c r="N64" i="1"/>
  <c r="M64" i="1"/>
  <c r="L64" i="1"/>
  <c r="K64" i="1"/>
  <c r="J64" i="1"/>
  <c r="I64" i="1"/>
  <c r="H64" i="1"/>
  <c r="G64" i="1"/>
  <c r="R63" i="1"/>
  <c r="Q63" i="1"/>
  <c r="P63" i="1"/>
  <c r="O63" i="1"/>
  <c r="N63" i="1"/>
  <c r="M63" i="1"/>
  <c r="L63" i="1"/>
  <c r="K63" i="1"/>
  <c r="J63" i="1"/>
  <c r="I63" i="1"/>
  <c r="H63" i="1"/>
  <c r="G63" i="1"/>
  <c r="R62" i="1"/>
  <c r="Q62" i="1"/>
  <c r="P62" i="1"/>
  <c r="O62" i="1"/>
  <c r="N62" i="1"/>
  <c r="M62" i="1"/>
  <c r="L62" i="1"/>
  <c r="K62" i="1"/>
  <c r="J62" i="1"/>
  <c r="I62" i="1"/>
  <c r="H62" i="1"/>
  <c r="G62" i="1"/>
  <c r="R61" i="1"/>
  <c r="Q61" i="1"/>
  <c r="P61" i="1"/>
  <c r="O61" i="1"/>
  <c r="N61" i="1"/>
  <c r="M61" i="1"/>
  <c r="L61" i="1"/>
  <c r="K61" i="1"/>
  <c r="J61" i="1"/>
  <c r="I61" i="1"/>
  <c r="H61" i="1"/>
  <c r="G61" i="1"/>
  <c r="R60" i="1"/>
  <c r="Q60" i="1"/>
  <c r="P60" i="1"/>
  <c r="O60" i="1"/>
  <c r="N60" i="1"/>
  <c r="M60" i="1"/>
  <c r="L60" i="1"/>
  <c r="K60" i="1"/>
  <c r="J60" i="1"/>
  <c r="I60" i="1"/>
  <c r="H60" i="1"/>
  <c r="G60" i="1"/>
  <c r="R59" i="1"/>
  <c r="Q59" i="1"/>
  <c r="P59" i="1"/>
  <c r="O59" i="1"/>
  <c r="N59" i="1"/>
  <c r="M59" i="1"/>
  <c r="L59" i="1"/>
  <c r="K59" i="1"/>
  <c r="J59" i="1"/>
  <c r="I59" i="1"/>
  <c r="H59" i="1"/>
  <c r="G59" i="1"/>
  <c r="R58" i="1"/>
  <c r="Q58" i="1"/>
  <c r="P58" i="1"/>
  <c r="O58" i="1"/>
  <c r="N58" i="1"/>
  <c r="M58" i="1"/>
  <c r="L58" i="1"/>
  <c r="K58" i="1"/>
  <c r="J58" i="1"/>
  <c r="I58" i="1"/>
  <c r="H58" i="1"/>
  <c r="G58" i="1"/>
  <c r="R57" i="1"/>
  <c r="Q57" i="1"/>
  <c r="N57" i="1"/>
  <c r="M57" i="1"/>
  <c r="L57" i="1"/>
  <c r="K57" i="1"/>
  <c r="J57" i="1"/>
  <c r="I57" i="1"/>
  <c r="H57" i="1"/>
  <c r="G57" i="1"/>
  <c r="R56" i="1"/>
  <c r="Q56" i="1"/>
  <c r="N56" i="1"/>
  <c r="M56" i="1"/>
  <c r="L56" i="1"/>
  <c r="K56" i="1"/>
  <c r="J56" i="1"/>
  <c r="I56" i="1"/>
  <c r="H56" i="1"/>
  <c r="G56" i="1"/>
  <c r="R55" i="1"/>
  <c r="Q55" i="1"/>
  <c r="N55" i="1"/>
  <c r="M55" i="1"/>
  <c r="L55" i="1"/>
  <c r="K55" i="1"/>
  <c r="J55" i="1"/>
  <c r="I55" i="1"/>
  <c r="H55" i="1"/>
  <c r="G55" i="1"/>
  <c r="R54" i="1"/>
  <c r="Q54" i="1"/>
  <c r="N54" i="1"/>
  <c r="M54" i="1"/>
  <c r="L54" i="1"/>
  <c r="K54" i="1"/>
  <c r="J54" i="1"/>
  <c r="I54" i="1"/>
  <c r="H54" i="1"/>
  <c r="G54" i="1"/>
  <c r="R53" i="1"/>
  <c r="Q53" i="1"/>
  <c r="N53" i="1"/>
  <c r="M53" i="1"/>
  <c r="L53" i="1"/>
  <c r="K53" i="1"/>
  <c r="J53" i="1"/>
  <c r="I53" i="1"/>
  <c r="H53" i="1"/>
  <c r="G53" i="1"/>
  <c r="R52" i="1"/>
  <c r="Q52" i="1"/>
  <c r="P52" i="1"/>
  <c r="O52" i="1"/>
  <c r="N52" i="1"/>
  <c r="M52" i="1"/>
  <c r="L52" i="1"/>
  <c r="K52" i="1"/>
  <c r="J52" i="1"/>
  <c r="I52" i="1"/>
  <c r="H52" i="1"/>
  <c r="G52" i="1"/>
  <c r="R51" i="1"/>
  <c r="Q51" i="1"/>
  <c r="P51" i="1"/>
  <c r="O51" i="1"/>
  <c r="N51" i="1"/>
  <c r="M51" i="1"/>
  <c r="L51" i="1"/>
  <c r="K51" i="1"/>
  <c r="J51" i="1"/>
  <c r="I51" i="1"/>
  <c r="H51" i="1"/>
  <c r="G51" i="1"/>
  <c r="R50" i="1"/>
  <c r="Q50" i="1"/>
  <c r="P50" i="1"/>
  <c r="O50" i="1"/>
  <c r="N50" i="1"/>
  <c r="M50" i="1"/>
  <c r="L50" i="1"/>
  <c r="K50" i="1"/>
  <c r="J50" i="1"/>
  <c r="I50" i="1"/>
  <c r="H50" i="1"/>
  <c r="G50" i="1"/>
  <c r="R49" i="1"/>
  <c r="Q49" i="1"/>
  <c r="P49" i="1"/>
  <c r="O49" i="1"/>
  <c r="N49" i="1"/>
  <c r="M49" i="1"/>
  <c r="L49" i="1"/>
  <c r="K49" i="1"/>
  <c r="J49" i="1"/>
  <c r="I49" i="1"/>
  <c r="H49" i="1"/>
  <c r="G49" i="1"/>
  <c r="R48" i="1"/>
  <c r="Q48" i="1"/>
  <c r="P48" i="1"/>
  <c r="O48" i="1"/>
  <c r="N48" i="1"/>
  <c r="M48" i="1"/>
  <c r="L48" i="1"/>
  <c r="K48" i="1"/>
  <c r="J48" i="1"/>
  <c r="I48" i="1"/>
  <c r="H48" i="1"/>
  <c r="G48" i="1"/>
  <c r="R47" i="1"/>
  <c r="Q47" i="1"/>
  <c r="N47" i="1"/>
  <c r="M47" i="1"/>
  <c r="L47" i="1"/>
  <c r="K47" i="1"/>
  <c r="J47" i="1"/>
  <c r="I47" i="1"/>
  <c r="H47" i="1"/>
  <c r="G47" i="1"/>
  <c r="R46" i="1"/>
  <c r="Q46" i="1"/>
  <c r="N46" i="1"/>
  <c r="M46" i="1"/>
  <c r="L46" i="1"/>
  <c r="K46" i="1"/>
  <c r="J46" i="1"/>
  <c r="I46" i="1"/>
  <c r="H46" i="1"/>
  <c r="G46" i="1"/>
  <c r="R45" i="1"/>
  <c r="Q45" i="1"/>
  <c r="N45" i="1"/>
  <c r="M45" i="1"/>
  <c r="L45" i="1"/>
  <c r="K45" i="1"/>
  <c r="J45" i="1"/>
  <c r="I45" i="1"/>
  <c r="H45" i="1"/>
  <c r="G45" i="1"/>
  <c r="R44" i="1"/>
  <c r="Q44" i="1"/>
  <c r="N44" i="1"/>
  <c r="M44" i="1"/>
  <c r="L44" i="1"/>
  <c r="K44" i="1"/>
  <c r="J44" i="1"/>
  <c r="I44" i="1"/>
  <c r="H44" i="1"/>
  <c r="G44" i="1"/>
  <c r="R43" i="1"/>
  <c r="Q43" i="1"/>
  <c r="N43" i="1"/>
  <c r="M43" i="1"/>
  <c r="L43" i="1"/>
  <c r="K43" i="1"/>
  <c r="J43" i="1"/>
  <c r="I43" i="1"/>
  <c r="H43" i="1"/>
  <c r="G43" i="1"/>
  <c r="R42" i="1"/>
  <c r="Q42" i="1"/>
  <c r="N42" i="1"/>
  <c r="M42" i="1"/>
  <c r="L42" i="1"/>
  <c r="K42" i="1"/>
  <c r="J42" i="1"/>
  <c r="I42" i="1"/>
  <c r="H42" i="1"/>
  <c r="G42" i="1"/>
  <c r="R41" i="1"/>
  <c r="Q41" i="1"/>
  <c r="N41" i="1"/>
  <c r="M41" i="1"/>
  <c r="L41" i="1"/>
  <c r="K41" i="1"/>
  <c r="J41" i="1"/>
  <c r="I41" i="1"/>
  <c r="H41" i="1"/>
  <c r="G41" i="1"/>
  <c r="R40" i="1"/>
  <c r="Q40" i="1"/>
  <c r="N40" i="1"/>
  <c r="M40" i="1"/>
  <c r="L40" i="1"/>
  <c r="K40" i="1"/>
  <c r="J40" i="1"/>
  <c r="I40" i="1"/>
  <c r="H40" i="1"/>
  <c r="G40" i="1"/>
  <c r="R39" i="1"/>
  <c r="Q39" i="1"/>
  <c r="N39" i="1"/>
  <c r="M39" i="1"/>
  <c r="L39" i="1"/>
  <c r="K39" i="1"/>
  <c r="J39" i="1"/>
  <c r="I39" i="1"/>
  <c r="H39" i="1"/>
  <c r="G39" i="1"/>
  <c r="R38" i="1"/>
  <c r="Q38" i="1"/>
  <c r="N38" i="1"/>
  <c r="M38" i="1"/>
  <c r="L38" i="1"/>
  <c r="K38" i="1"/>
  <c r="J38" i="1"/>
  <c r="I38" i="1"/>
  <c r="H38" i="1"/>
  <c r="G38" i="1"/>
  <c r="R37" i="1"/>
  <c r="Q37" i="1"/>
  <c r="N37" i="1"/>
  <c r="M37" i="1"/>
  <c r="L37" i="1"/>
  <c r="K37" i="1"/>
  <c r="J37" i="1"/>
  <c r="I37" i="1"/>
  <c r="H37" i="1"/>
  <c r="G37" i="1"/>
  <c r="R36" i="1"/>
  <c r="Q36" i="1"/>
  <c r="O36" i="1"/>
  <c r="N36" i="1"/>
  <c r="M36" i="1"/>
  <c r="L36" i="1"/>
  <c r="K36" i="1"/>
  <c r="J36" i="1"/>
  <c r="I36" i="1"/>
  <c r="H36" i="1"/>
  <c r="G36" i="1"/>
  <c r="R35" i="1"/>
  <c r="Q35" i="1"/>
  <c r="O35" i="1"/>
  <c r="N35" i="1"/>
  <c r="M35" i="1"/>
  <c r="L35" i="1"/>
  <c r="K35" i="1"/>
  <c r="J35" i="1"/>
  <c r="I35" i="1"/>
  <c r="H35" i="1"/>
  <c r="G35" i="1"/>
  <c r="R34" i="1"/>
  <c r="Q34" i="1"/>
  <c r="O34" i="1"/>
  <c r="N34" i="1"/>
  <c r="M34" i="1"/>
  <c r="L34" i="1"/>
  <c r="K34" i="1"/>
  <c r="J34" i="1"/>
  <c r="I34" i="1"/>
  <c r="H34" i="1"/>
  <c r="G34" i="1"/>
  <c r="R33" i="1"/>
  <c r="Q33" i="1"/>
  <c r="O33" i="1"/>
  <c r="N33" i="1"/>
  <c r="M33" i="1"/>
  <c r="L33" i="1"/>
  <c r="K33" i="1"/>
  <c r="J33" i="1"/>
  <c r="I33" i="1"/>
  <c r="H33" i="1"/>
  <c r="G33" i="1"/>
  <c r="R32" i="1"/>
  <c r="Q32" i="1"/>
  <c r="O32" i="1"/>
  <c r="N32" i="1"/>
  <c r="M32" i="1"/>
  <c r="L32" i="1"/>
  <c r="K32" i="1"/>
  <c r="J32" i="1"/>
  <c r="I32" i="1"/>
  <c r="H32" i="1"/>
  <c r="G32" i="1"/>
  <c r="R31" i="1"/>
  <c r="Q31" i="1"/>
  <c r="O31" i="1"/>
  <c r="N31" i="1"/>
  <c r="M31" i="1"/>
  <c r="L31" i="1"/>
  <c r="K31" i="1"/>
  <c r="J31" i="1"/>
  <c r="I31" i="1"/>
  <c r="H31" i="1"/>
  <c r="G31" i="1"/>
  <c r="R30" i="1"/>
  <c r="Q30" i="1"/>
  <c r="O30" i="1"/>
  <c r="N30" i="1"/>
  <c r="M30" i="1"/>
  <c r="L30" i="1"/>
  <c r="K30" i="1"/>
  <c r="J30" i="1"/>
  <c r="I30" i="1"/>
  <c r="H30" i="1"/>
  <c r="G30" i="1"/>
  <c r="R29" i="1"/>
  <c r="Q29" i="1"/>
  <c r="P29" i="1"/>
  <c r="O29" i="1"/>
  <c r="N29" i="1"/>
  <c r="M29" i="1"/>
  <c r="L29" i="1"/>
  <c r="K29" i="1"/>
  <c r="J29" i="1"/>
  <c r="I29" i="1"/>
  <c r="H29" i="1"/>
  <c r="G29" i="1"/>
  <c r="R28" i="1"/>
  <c r="Q28" i="1"/>
  <c r="P28" i="1"/>
  <c r="O28" i="1"/>
  <c r="N28" i="1"/>
  <c r="M28" i="1"/>
  <c r="L28" i="1"/>
  <c r="K28" i="1"/>
  <c r="J28" i="1"/>
  <c r="I28" i="1"/>
  <c r="H28" i="1"/>
  <c r="G28" i="1"/>
  <c r="R27" i="1"/>
  <c r="Q27" i="1"/>
  <c r="N27" i="1"/>
  <c r="M27" i="1"/>
  <c r="L27" i="1"/>
  <c r="K27" i="1"/>
  <c r="J27" i="1"/>
  <c r="I27" i="1"/>
  <c r="H27" i="1"/>
  <c r="G27" i="1"/>
  <c r="R26" i="1"/>
  <c r="Q26" i="1"/>
  <c r="N26" i="1"/>
  <c r="M26" i="1"/>
  <c r="L26" i="1"/>
  <c r="K26" i="1"/>
  <c r="J26" i="1"/>
  <c r="I26" i="1"/>
  <c r="H26" i="1"/>
  <c r="G26" i="1"/>
  <c r="R25" i="1"/>
  <c r="Q25" i="1"/>
  <c r="N25" i="1"/>
  <c r="M25" i="1"/>
  <c r="L25" i="1"/>
  <c r="K25" i="1"/>
  <c r="J25" i="1"/>
  <c r="I25" i="1"/>
  <c r="H25" i="1"/>
  <c r="G25" i="1"/>
  <c r="R24" i="1"/>
  <c r="Q24" i="1"/>
  <c r="N24" i="1"/>
  <c r="M24" i="1"/>
  <c r="L24" i="1"/>
  <c r="K24" i="1"/>
  <c r="J24" i="1"/>
  <c r="I24" i="1"/>
  <c r="H24" i="1"/>
  <c r="G24" i="1"/>
  <c r="R23" i="1"/>
  <c r="Q23" i="1"/>
  <c r="N23" i="1"/>
  <c r="M23" i="1"/>
  <c r="L23" i="1"/>
  <c r="K23" i="1"/>
  <c r="J23" i="1"/>
  <c r="I23" i="1"/>
  <c r="H23" i="1"/>
  <c r="G23" i="1"/>
  <c r="R22" i="1"/>
  <c r="Q22" i="1"/>
  <c r="N22" i="1"/>
  <c r="M22" i="1"/>
  <c r="L22" i="1"/>
  <c r="K22" i="1"/>
  <c r="J22" i="1"/>
  <c r="I22" i="1"/>
  <c r="H22" i="1"/>
  <c r="G22" i="1"/>
  <c r="R21" i="1"/>
  <c r="Q21" i="1"/>
  <c r="N21" i="1"/>
  <c r="M21" i="1"/>
  <c r="L21" i="1"/>
  <c r="K21" i="1"/>
  <c r="J21" i="1"/>
  <c r="I21" i="1"/>
  <c r="H21" i="1"/>
  <c r="G21" i="1"/>
  <c r="R20" i="1"/>
  <c r="Q20" i="1"/>
  <c r="O20" i="1"/>
  <c r="N20" i="1"/>
  <c r="M20" i="1"/>
  <c r="L20" i="1"/>
  <c r="K20" i="1"/>
  <c r="J20" i="1"/>
  <c r="I20" i="1"/>
  <c r="H20" i="1"/>
  <c r="G20" i="1"/>
  <c r="R19" i="1"/>
  <c r="Q19" i="1"/>
  <c r="P19" i="1"/>
  <c r="O19" i="1"/>
  <c r="N19" i="1"/>
  <c r="M19" i="1"/>
  <c r="L19" i="1"/>
  <c r="K19" i="1"/>
  <c r="J19" i="1"/>
  <c r="I19" i="1"/>
  <c r="H19" i="1"/>
  <c r="G19" i="1"/>
  <c r="R18" i="1"/>
  <c r="Q18" i="1"/>
  <c r="P18" i="1"/>
  <c r="O18" i="1"/>
  <c r="N18" i="1"/>
  <c r="M18" i="1"/>
  <c r="L18" i="1"/>
  <c r="K18" i="1"/>
  <c r="J18" i="1"/>
  <c r="I18" i="1"/>
  <c r="H18" i="1"/>
  <c r="G18" i="1"/>
  <c r="R17" i="1"/>
  <c r="Q17" i="1"/>
  <c r="O17" i="1"/>
  <c r="N17" i="1"/>
  <c r="M17" i="1"/>
  <c r="L17" i="1"/>
  <c r="K17" i="1"/>
  <c r="J17" i="1"/>
  <c r="I17" i="1"/>
  <c r="H17" i="1"/>
  <c r="G17" i="1"/>
  <c r="R16" i="1"/>
  <c r="Q16" i="1"/>
  <c r="P16" i="1"/>
  <c r="O16" i="1"/>
  <c r="N16" i="1"/>
  <c r="M16" i="1"/>
  <c r="L16" i="1"/>
  <c r="K16" i="1"/>
  <c r="J16" i="1"/>
  <c r="I16" i="1"/>
  <c r="H16" i="1"/>
  <c r="G16" i="1"/>
  <c r="R15" i="1"/>
  <c r="Q15" i="1"/>
  <c r="P15" i="1"/>
  <c r="O15" i="1"/>
  <c r="N15" i="1"/>
  <c r="M15" i="1"/>
  <c r="L15" i="1"/>
  <c r="K15" i="1"/>
  <c r="J15" i="1"/>
  <c r="I15" i="1"/>
  <c r="H15" i="1"/>
  <c r="G15" i="1"/>
  <c r="R14" i="1"/>
  <c r="Q14" i="1"/>
  <c r="O14" i="1"/>
  <c r="N14" i="1"/>
  <c r="M14" i="1"/>
  <c r="L14" i="1"/>
  <c r="K14" i="1"/>
  <c r="J14" i="1"/>
  <c r="I14" i="1"/>
  <c r="H14" i="1"/>
  <c r="G14" i="1"/>
  <c r="R13" i="1"/>
  <c r="Q13" i="1"/>
  <c r="P13" i="1"/>
  <c r="O13" i="1"/>
  <c r="N13" i="1"/>
  <c r="M13" i="1"/>
  <c r="L13" i="1"/>
  <c r="K13" i="1"/>
  <c r="J13" i="1"/>
  <c r="I13" i="1"/>
  <c r="H13" i="1"/>
  <c r="G13" i="1"/>
  <c r="R12" i="1"/>
  <c r="Q12" i="1"/>
  <c r="P12" i="1"/>
  <c r="O12" i="1"/>
  <c r="N12" i="1"/>
  <c r="M12" i="1"/>
  <c r="L12" i="1"/>
  <c r="K12" i="1"/>
  <c r="J12" i="1"/>
  <c r="I12" i="1"/>
  <c r="H12" i="1"/>
  <c r="G12" i="1"/>
  <c r="R11" i="1"/>
  <c r="Q11" i="1"/>
  <c r="P11" i="1"/>
  <c r="O11" i="1"/>
  <c r="N11" i="1"/>
  <c r="M11" i="1"/>
  <c r="L11" i="1"/>
  <c r="K11" i="1"/>
  <c r="J11" i="1"/>
  <c r="I11" i="1"/>
  <c r="H11" i="1"/>
  <c r="G11" i="1"/>
  <c r="R10" i="1"/>
  <c r="Q10" i="1"/>
  <c r="P10" i="1"/>
  <c r="O10" i="1"/>
  <c r="N10" i="1"/>
  <c r="M10" i="1"/>
  <c r="L10" i="1"/>
  <c r="K10" i="1"/>
  <c r="J10" i="1"/>
  <c r="I10" i="1"/>
  <c r="H10" i="1"/>
  <c r="G10" i="1"/>
  <c r="R9" i="1"/>
  <c r="Q9" i="1"/>
  <c r="N9" i="1"/>
  <c r="M9" i="1"/>
  <c r="L9" i="1"/>
  <c r="K9" i="1"/>
  <c r="J9" i="1"/>
  <c r="I9" i="1"/>
  <c r="H9" i="1"/>
  <c r="G9" i="1"/>
  <c r="R8" i="1"/>
  <c r="Q8" i="1"/>
  <c r="P8" i="1"/>
  <c r="O8" i="1"/>
  <c r="N8" i="1"/>
  <c r="M8" i="1"/>
  <c r="L8" i="1"/>
  <c r="K8" i="1"/>
  <c r="J8" i="1"/>
  <c r="I8" i="1"/>
  <c r="H8" i="1"/>
  <c r="G8" i="1"/>
  <c r="R7" i="1"/>
  <c r="Q7" i="1"/>
  <c r="P7" i="1"/>
  <c r="O7" i="1"/>
  <c r="N7" i="1"/>
  <c r="M7" i="1"/>
  <c r="L7" i="1"/>
  <c r="K7" i="1"/>
  <c r="J7" i="1"/>
  <c r="I7" i="1"/>
  <c r="H7" i="1"/>
  <c r="G7" i="1"/>
  <c r="R6" i="1"/>
  <c r="Q6" i="1"/>
  <c r="O6" i="1"/>
  <c r="N6" i="1"/>
  <c r="M6" i="1"/>
  <c r="L6" i="1"/>
  <c r="K6" i="1"/>
  <c r="J6" i="1"/>
  <c r="I6" i="1"/>
  <c r="H6" i="1"/>
  <c r="G6" i="1"/>
  <c r="R5" i="1"/>
  <c r="Q5" i="1"/>
  <c r="P5" i="1"/>
  <c r="O5" i="1"/>
  <c r="N5" i="1"/>
  <c r="M5" i="1"/>
  <c r="L5" i="1"/>
  <c r="K5" i="1"/>
  <c r="J5" i="1"/>
  <c r="I5" i="1"/>
  <c r="H5" i="1"/>
  <c r="G5" i="1"/>
  <c r="R4" i="1"/>
  <c r="Q4" i="1"/>
  <c r="N4" i="1"/>
  <c r="M4" i="1"/>
  <c r="L4" i="1"/>
  <c r="K4" i="1"/>
  <c r="J4" i="1"/>
  <c r="I4" i="1"/>
  <c r="H4" i="1"/>
  <c r="G4" i="1"/>
  <c r="R3" i="1"/>
  <c r="Q3" i="1"/>
  <c r="P3" i="1"/>
  <c r="O3" i="1"/>
  <c r="N3" i="1"/>
  <c r="M3" i="1"/>
  <c r="L3" i="1"/>
  <c r="K3" i="1"/>
  <c r="J3" i="1"/>
  <c r="I3" i="1"/>
  <c r="H3" i="1"/>
  <c r="G3" i="1"/>
  <c r="R2" i="1"/>
  <c r="Q2" i="1"/>
  <c r="P2" i="1"/>
  <c r="O2" i="1"/>
  <c r="N2" i="1"/>
  <c r="M2" i="1"/>
  <c r="L2" i="1"/>
  <c r="K2" i="1"/>
  <c r="J2" i="1"/>
  <c r="I2" i="1"/>
  <c r="H2" i="1"/>
  <c r="G2" i="1"/>
  <c r="J1491" i="1" l="1"/>
  <c r="J1494" i="1"/>
  <c r="P127" i="1"/>
  <c r="P126" i="1"/>
  <c r="P125" i="1"/>
  <c r="P124" i="1"/>
  <c r="P123" i="1"/>
  <c r="P122" i="1"/>
  <c r="P121" i="1"/>
  <c r="P120" i="1"/>
  <c r="P119" i="1"/>
  <c r="P118" i="1"/>
  <c r="P28" i="2"/>
  <c r="O104" i="1"/>
  <c r="O107" i="1"/>
  <c r="O106" i="1"/>
  <c r="O105" i="1"/>
  <c r="O103" i="1"/>
  <c r="O102" i="1"/>
  <c r="O101" i="1"/>
  <c r="O100" i="1"/>
  <c r="O99" i="1"/>
  <c r="P247" i="1"/>
  <c r="P246" i="1"/>
  <c r="P245" i="1"/>
  <c r="P244" i="1"/>
  <c r="P243" i="1"/>
  <c r="P242" i="1"/>
  <c r="P241" i="1"/>
  <c r="P240" i="1"/>
  <c r="P239" i="1"/>
  <c r="P238" i="1"/>
  <c r="P469" i="1"/>
  <c r="P468" i="1"/>
  <c r="P467" i="1"/>
  <c r="P466" i="1"/>
  <c r="P465" i="1"/>
  <c r="P464" i="1"/>
  <c r="P403" i="1"/>
  <c r="P402" i="1"/>
  <c r="P401" i="1"/>
  <c r="P400" i="1"/>
  <c r="P399" i="1"/>
  <c r="P398" i="1"/>
  <c r="P10" i="2"/>
  <c r="O43" i="1"/>
  <c r="O40" i="1"/>
  <c r="O37" i="1"/>
  <c r="O4" i="1"/>
  <c r="O42" i="1"/>
  <c r="O39" i="1"/>
  <c r="O41" i="1"/>
  <c r="O38" i="1"/>
  <c r="P19" i="2"/>
  <c r="O47" i="1"/>
  <c r="O46" i="1"/>
  <c r="O27" i="1"/>
  <c r="O26" i="1"/>
  <c r="O25" i="1"/>
  <c r="O24" i="1"/>
  <c r="O45" i="1"/>
  <c r="O44" i="1"/>
  <c r="P362" i="1"/>
  <c r="P287" i="1"/>
  <c r="P286" i="1"/>
  <c r="P285" i="1"/>
  <c r="P284" i="1"/>
  <c r="P283" i="1"/>
  <c r="P282" i="1"/>
  <c r="P281" i="1"/>
  <c r="P280" i="1"/>
  <c r="P279" i="1"/>
  <c r="P278" i="1"/>
  <c r="P21" i="2"/>
  <c r="O57" i="1"/>
  <c r="O56" i="1"/>
  <c r="O55" i="1"/>
  <c r="O54" i="1"/>
  <c r="O53" i="1"/>
  <c r="P17" i="2"/>
  <c r="O23" i="1"/>
  <c r="O22" i="1"/>
  <c r="O21" i="1"/>
  <c r="O116" i="1"/>
  <c r="P33" i="2"/>
  <c r="P113" i="1" s="1"/>
  <c r="O113" i="1"/>
  <c r="P451" i="1"/>
  <c r="P450" i="1"/>
  <c r="P449" i="1"/>
  <c r="P448" i="1"/>
  <c r="P447" i="1"/>
  <c r="P446" i="1"/>
  <c r="P29" i="2"/>
  <c r="P109" i="1" s="1"/>
  <c r="O109" i="1"/>
  <c r="P3" i="2"/>
  <c r="P9" i="1" s="1"/>
  <c r="O9" i="1"/>
  <c r="P427" i="1"/>
  <c r="P426" i="1"/>
  <c r="P425" i="1"/>
  <c r="P424" i="1"/>
  <c r="P423" i="1"/>
  <c r="P422" i="1"/>
  <c r="O1320" i="1"/>
  <c r="O1326" i="1"/>
  <c r="O1332" i="1"/>
  <c r="O1302" i="1"/>
  <c r="P9" i="2"/>
  <c r="O1345" i="1"/>
  <c r="O1339" i="1"/>
  <c r="O1333" i="1"/>
  <c r="O1327" i="1"/>
  <c r="O1321" i="1"/>
  <c r="O1315" i="1"/>
  <c r="O1309" i="1"/>
  <c r="O1303" i="1"/>
  <c r="O1297" i="1"/>
  <c r="O1291" i="1"/>
  <c r="O1285" i="1"/>
  <c r="O1279" i="1"/>
  <c r="O1273" i="1"/>
  <c r="O1346" i="1"/>
  <c r="O1340" i="1"/>
  <c r="O1334" i="1"/>
  <c r="O1328" i="1"/>
  <c r="O1322" i="1"/>
  <c r="O1316" i="1"/>
  <c r="O1310" i="1"/>
  <c r="O1304" i="1"/>
  <c r="O1298" i="1"/>
  <c r="O1292" i="1"/>
  <c r="O1286" i="1"/>
  <c r="O1280" i="1"/>
  <c r="O1274" i="1"/>
  <c r="O1347" i="1"/>
  <c r="O1341" i="1"/>
  <c r="O1335" i="1"/>
  <c r="O1329" i="1"/>
  <c r="O1323" i="1"/>
  <c r="O1317" i="1"/>
  <c r="O1311" i="1"/>
  <c r="O1305" i="1"/>
  <c r="O1299" i="1"/>
  <c r="O1293" i="1"/>
  <c r="O1287" i="1"/>
  <c r="O1281" i="1"/>
  <c r="O1275" i="1"/>
  <c r="O1348" i="1"/>
  <c r="O1342" i="1"/>
  <c r="O1336" i="1"/>
  <c r="O1330" i="1"/>
  <c r="O1324" i="1"/>
  <c r="O1318" i="1"/>
  <c r="O1312" i="1"/>
  <c r="O1306" i="1"/>
  <c r="O1300" i="1"/>
  <c r="O1294" i="1"/>
  <c r="O1288" i="1"/>
  <c r="O1282" i="1"/>
  <c r="O1276" i="1"/>
  <c r="O1349" i="1"/>
  <c r="O1343" i="1"/>
  <c r="O1337" i="1"/>
  <c r="O1331" i="1"/>
  <c r="O1325" i="1"/>
  <c r="O1319" i="1"/>
  <c r="O1313" i="1"/>
  <c r="O1307" i="1"/>
  <c r="O1301" i="1"/>
  <c r="O1295" i="1"/>
  <c r="O1289" i="1"/>
  <c r="O1283" i="1"/>
  <c r="O1277" i="1"/>
  <c r="J1489" i="1"/>
  <c r="J1492" i="1"/>
  <c r="J1495" i="1"/>
  <c r="J1490" i="1"/>
  <c r="P14" i="2"/>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P2" i="2"/>
  <c r="P14" i="1" s="1"/>
  <c r="O1494" i="1"/>
  <c r="O1495" i="1"/>
  <c r="O1489" i="1"/>
  <c r="O1490" i="1"/>
  <c r="O1491" i="1"/>
  <c r="O1492" i="1"/>
  <c r="O1493"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491" i="1" l="1"/>
  <c r="P1493" i="1"/>
  <c r="P1492" i="1"/>
  <c r="P1494" i="1"/>
  <c r="P107" i="1"/>
  <c r="P106" i="1"/>
  <c r="P105" i="1"/>
  <c r="P104" i="1"/>
  <c r="P103" i="1"/>
  <c r="P102" i="1"/>
  <c r="P101" i="1"/>
  <c r="P100" i="1"/>
  <c r="P99" i="1"/>
  <c r="P27" i="1"/>
  <c r="P26" i="1"/>
  <c r="P25" i="1"/>
  <c r="P24" i="1"/>
  <c r="P47" i="1"/>
  <c r="P46" i="1"/>
  <c r="P45" i="1"/>
  <c r="P44" i="1"/>
  <c r="P1489" i="1"/>
  <c r="P1495" i="1"/>
  <c r="P1490" i="1"/>
  <c r="P4" i="1"/>
  <c r="P43" i="1"/>
  <c r="P42" i="1"/>
  <c r="P41" i="1"/>
  <c r="P40" i="1"/>
  <c r="P39" i="1"/>
  <c r="P38" i="1"/>
  <c r="P37" i="1"/>
  <c r="P116" i="1"/>
  <c r="P22" i="1"/>
  <c r="P21" i="1"/>
  <c r="P23" i="1"/>
  <c r="P57" i="1"/>
  <c r="P56" i="1"/>
  <c r="P55" i="1"/>
  <c r="P54" i="1"/>
  <c r="P53"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380" i="1"/>
  <c r="P379" i="1"/>
  <c r="P378" i="1"/>
  <c r="P377" i="1"/>
  <c r="P376" i="1"/>
  <c r="P375" i="1"/>
  <c r="P374" i="1"/>
  <c r="P373" i="1"/>
  <c r="P6" i="1"/>
  <c r="P33"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P35" i="1"/>
  <c r="P32" i="1"/>
  <c r="P30" i="1"/>
  <c r="P36" i="1"/>
  <c r="P34" i="1"/>
  <c r="P31" i="1"/>
  <c r="P20" i="1"/>
  <c r="P17"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7" i="1"/>
  <c r="P851" i="1"/>
  <c r="P845" i="1"/>
  <c r="P839" i="1"/>
  <c r="P833" i="1"/>
  <c r="P858" i="1"/>
  <c r="P852" i="1"/>
  <c r="P846" i="1"/>
  <c r="P840" i="1"/>
  <c r="P834" i="1"/>
  <c r="P859" i="1"/>
  <c r="P853" i="1"/>
  <c r="P847" i="1"/>
  <c r="P841" i="1"/>
  <c r="P835" i="1"/>
  <c r="P854" i="1"/>
  <c r="P848" i="1"/>
  <c r="P842" i="1"/>
  <c r="P836" i="1"/>
  <c r="P855" i="1"/>
  <c r="P849" i="1"/>
  <c r="P843" i="1"/>
  <c r="P837"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856" i="1"/>
  <c r="P850" i="1"/>
  <c r="P844" i="1"/>
  <c r="P838" i="1"/>
  <c r="P832"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364" i="1"/>
</calcChain>
</file>

<file path=xl/sharedStrings.xml><?xml version="1.0" encoding="utf-8"?>
<sst xmlns="http://schemas.openxmlformats.org/spreadsheetml/2006/main" count="7904" uniqueCount="5390">
  <si>
    <t>id_quote</t>
  </si>
  <si>
    <t>quote_es</t>
  </si>
  <si>
    <t>quote_la</t>
  </si>
  <si>
    <t>quote_original</t>
  </si>
  <si>
    <t>author_es</t>
  </si>
  <si>
    <t>reference</t>
  </si>
  <si>
    <t>author_la</t>
  </si>
  <si>
    <t>bio_es</t>
  </si>
  <si>
    <t>bio_la</t>
  </si>
  <si>
    <t>iso3691</t>
  </si>
  <si>
    <t>language_es</t>
  </si>
  <si>
    <t>language_la</t>
  </si>
  <si>
    <t>nation_es</t>
  </si>
  <si>
    <t>nation_la</t>
  </si>
  <si>
    <t>age_es</t>
  </si>
  <si>
    <t>age_la</t>
  </si>
  <si>
    <t>image</t>
  </si>
  <si>
    <t>image_atr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</si>
  <si>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</si>
  <si>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</si>
  <si>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</si>
  <si>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</si>
  <si>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</si>
  <si>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</si>
  <si>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</si>
  <si>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</si>
  <si>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</si>
  <si>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</si>
  <si>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</si>
  <si>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</si>
  <si>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</si>
  <si>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</si>
  <si>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</si>
  <si>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</si>
  <si>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</si>
  <si>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</si>
  <si>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</si>
  <si>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</si>
  <si>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</si>
  <si>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</si>
  <si>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</si>
  <si>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</si>
  <si>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</si>
  <si>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</si>
  <si>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</si>
  <si>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</si>
  <si>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</si>
  <si>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</si>
  <si>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</si>
  <si>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</si>
  <si>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</si>
  <si>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</si>
  <si>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</si>
  <si>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</si>
  <si>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</si>
  <si>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</si>
  <si>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</si>
  <si>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</si>
  <si>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</si>
  <si>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</si>
  <si>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</si>
  <si>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</si>
  <si>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</si>
  <si>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</si>
  <si>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</si>
  <si>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</si>
  <si>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</si>
  <si>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</si>
  <si>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</si>
  <si>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</si>
  <si>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</si>
  <si>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</si>
  <si>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</si>
  <si>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</si>
  <si>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</si>
  <si>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</si>
  <si>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</si>
  <si>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</si>
  <si>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</si>
  <si>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</si>
  <si>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</si>
  <si>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</si>
  <si>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</si>
  <si>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</si>
  <si>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</si>
  <si>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</si>
  <si>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</si>
  <si>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</si>
  <si>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</si>
  <si>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</si>
  <si>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</si>
  <si>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</si>
  <si>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</si>
  <si>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</si>
  <si>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</si>
  <si>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</si>
  <si>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</si>
  <si>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</si>
  <si>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</si>
  <si>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</si>
  <si>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</si>
  <si>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</si>
  <si>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</si>
  <si>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</si>
  <si>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</si>
  <si>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</si>
  <si>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</si>
  <si>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</si>
  <si>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</si>
  <si>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</si>
  <si>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</si>
  <si>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</si>
  <si>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</si>
  <si>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</si>
  <si>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</si>
  <si>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</si>
  <si>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</si>
  <si>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</si>
  <si>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</si>
  <si>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</si>
  <si>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</si>
  <si>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</si>
  <si>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</si>
  <si>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</si>
  <si>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</si>
  <si>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</si>
  <si>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</si>
  <si>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</si>
  <si>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</si>
  <si>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</si>
  <si>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</si>
  <si>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</si>
  <si>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</si>
  <si>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</si>
  <si>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</si>
  <si>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</si>
  <si>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</si>
  <si>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</si>
  <si>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</si>
  <si>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</si>
  <si>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</si>
  <si>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</si>
  <si>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</si>
  <si>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</si>
  <si>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</si>
  <si>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</si>
  <si>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</si>
  <si>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</si>
  <si>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</si>
  <si>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</si>
  <si>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</si>
  <si>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</si>
  <si>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</si>
  <si>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</si>
  <si>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</si>
  <si>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</si>
  <si>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</si>
  <si>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</si>
  <si>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</si>
  <si>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</si>
  <si>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</si>
  <si>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</si>
  <si>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</si>
  <si>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</si>
  <si>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</si>
  <si>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</si>
  <si>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</si>
  <si>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</si>
  <si>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</si>
  <si>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</si>
  <si>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</si>
  <si>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</si>
  <si>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</si>
  <si>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</si>
  <si>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</si>
  <si>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</si>
  <si>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</si>
  <si>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</si>
  <si>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</si>
  <si>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</si>
  <si>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</si>
  <si>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</si>
  <si>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</si>
  <si>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</si>
  <si>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</si>
  <si>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</si>
  <si>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</si>
  <si>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</si>
  <si>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</si>
  <si>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</si>
  <si>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</si>
  <si>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</si>
  <si>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</si>
  <si>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</si>
  <si>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</si>
  <si>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</si>
  <si>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</si>
  <si>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</si>
  <si>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</si>
  <si>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</si>
  <si>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</si>
  <si>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</si>
  <si>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</si>
  <si>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</si>
  <si>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</si>
  <si>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</si>
  <si>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</si>
  <si>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</si>
  <si>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</si>
  <si>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</si>
  <si>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</si>
  <si>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</si>
  <si>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</si>
  <si>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</si>
  <si>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</si>
  <si>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</si>
  <si>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</si>
  <si>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</si>
  <si>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</si>
  <si>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</si>
  <si>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</si>
  <si>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</si>
  <si>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</si>
  <si>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</si>
  <si>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</si>
  <si>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</si>
  <si>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</si>
  <si>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</si>
  <si>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</si>
  <si>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</si>
  <si>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</si>
  <si>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</si>
  <si>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</si>
  <si>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</si>
  <si>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</si>
  <si>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</si>
  <si>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</si>
  <si>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</si>
  <si>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</si>
  <si>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</si>
  <si>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</si>
  <si>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</si>
  <si>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</si>
  <si>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</si>
  <si>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</si>
  <si>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</si>
  <si>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</si>
  <si>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</si>
  <si>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</si>
  <si>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</si>
  <si>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</si>
  <si>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</si>
  <si>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</si>
  <si>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</si>
  <si>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</si>
  <si>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</si>
  <si>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</si>
  <si>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</si>
  <si>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</si>
  <si>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</si>
  <si>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</si>
  <si>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</si>
  <si>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</si>
  <si>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</si>
  <si>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</si>
  <si>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</si>
  <si>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</si>
  <si>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</si>
  <si>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</si>
  <si>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</si>
  <si>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</si>
  <si>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</si>
  <si>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</si>
  <si>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</si>
  <si>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</si>
  <si>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</si>
  <si>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</si>
  <si>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</si>
  <si>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</si>
  <si>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</si>
  <si>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</si>
  <si>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</si>
  <si>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</si>
  <si>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</si>
  <si>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</si>
  <si>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</si>
  <si>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</si>
  <si>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</si>
  <si>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</si>
  <si>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</si>
  <si>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</si>
  <si>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</si>
  <si>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</si>
  <si>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</si>
  <si>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</si>
  <si>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</si>
  <si>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</si>
  <si>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</si>
  <si>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</si>
  <si>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</si>
  <si>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</si>
  <si>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</si>
  <si>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</si>
  <si>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</si>
  <si>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</si>
  <si>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</si>
  <si>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</si>
  <si>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</si>
  <si>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</si>
  <si>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</si>
  <si>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</si>
  <si>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</si>
  <si>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</si>
  <si>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</si>
  <si>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</si>
  <si>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</si>
  <si>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</si>
  <si>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</si>
  <si>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</si>
  <si>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</si>
  <si>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</si>
  <si>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</si>
  <si>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</si>
  <si>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</si>
  <si>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</si>
  <si>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</si>
  <si>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</si>
  <si>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</si>
  <si>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</si>
  <si>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</si>
  <si>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</si>
  <si>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</si>
  <si>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</si>
  <si>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</si>
  <si>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</si>
  <si>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</si>
  <si>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</si>
  <si>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</si>
  <si>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</si>
  <si>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</si>
  <si>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</si>
  <si>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</si>
  <si>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</si>
  <si>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</si>
  <si>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</si>
  <si>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</si>
  <si>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</si>
  <si>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</si>
  <si>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</si>
  <si>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</si>
  <si>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</si>
  <si>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</si>
  <si>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</si>
  <si>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</si>
  <si>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</si>
  <si>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</si>
  <si>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</si>
  <si>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</si>
  <si>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</si>
  <si>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</si>
  <si>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</si>
  <si>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</si>
  <si>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</si>
  <si>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</si>
  <si>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</si>
  <si>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</si>
  <si>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</si>
  <si>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</si>
  <si>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</si>
  <si>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</si>
  <si>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</si>
  <si>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</si>
  <si>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rPr>
        <sz val="10"/>
        <rFont val="Arial"/>
        <family val="2"/>
        <charset val="1"/>
      </rPr>
      <t xml:space="preserve">San Agustín,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</si>
  <si>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</si>
  <si>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</si>
  <si>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</si>
  <si>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</si>
  <si>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</si>
  <si>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</si>
  <si>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</si>
  <si>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</si>
  <si>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</si>
  <si>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</si>
  <si>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</si>
  <si>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</si>
  <si>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</si>
  <si>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</si>
  <si>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</si>
  <si>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</si>
  <si>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</si>
  <si>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</si>
  <si>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</si>
  <si>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</si>
  <si>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</si>
  <si>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</si>
  <si>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</si>
  <si>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</si>
  <si>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</si>
  <si>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</si>
  <si>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</si>
  <si>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</si>
  <si>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</si>
  <si>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</si>
  <si>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</si>
  <si>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</si>
  <si>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</si>
  <si>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</si>
  <si>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</si>
  <si>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</si>
  <si>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</si>
  <si>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</si>
  <si>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r>
      <rPr>
        <sz val="10"/>
        <rFont val="Arial"/>
        <family val="2"/>
        <charset val="1"/>
      </rPr>
      <t>Analecta (</t>
    </r>
    <r>
      <rPr>
        <sz val="10"/>
        <rFont val="Noto Sans CJK SC"/>
        <family val="2"/>
      </rPr>
      <t>論語</t>
    </r>
    <r>
      <rPr>
        <sz val="10"/>
        <rFont val="Arial"/>
        <family val="2"/>
        <charset val="1"/>
      </rPr>
      <t>), Liber II, Cap. XV</t>
    </r>
  </si>
  <si>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</si>
  <si>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</si>
  <si>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</si>
  <si>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</si>
  <si>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</si>
  <si>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</si>
  <si>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</si>
  <si>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</si>
  <si>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</si>
  <si>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</si>
  <si>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</si>
  <si>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</si>
  <si>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</si>
  <si>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</si>
  <si>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</si>
  <si>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</si>
  <si>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</si>
  <si>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</si>
  <si>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</si>
  <si>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</si>
  <si>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</si>
  <si>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</si>
  <si>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</si>
  <si>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</si>
  <si>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</si>
  <si>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</si>
  <si>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</si>
  <si>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</si>
  <si>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</si>
  <si>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</si>
  <si>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</si>
  <si>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</si>
  <si>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</si>
  <si>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</si>
  <si>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</si>
  <si>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</si>
  <si>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</si>
  <si>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</si>
  <si>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</si>
  <si>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</si>
  <si>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</si>
  <si>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</si>
  <si>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</si>
  <si>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</si>
  <si>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</si>
  <si>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</si>
  <si>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</si>
  <si>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</si>
  <si>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</si>
  <si>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</si>
  <si>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</si>
  <si>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</si>
  <si>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</si>
  <si>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</si>
  <si>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</si>
  <si>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</si>
  <si>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</si>
  <si>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</si>
  <si>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</si>
  <si>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</si>
  <si>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</si>
  <si>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</si>
  <si>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</si>
  <si>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</si>
  <si>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</si>
  <si>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</si>
  <si>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</si>
  <si>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</si>
  <si>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</si>
  <si>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</si>
  <si>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</si>
  <si>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</si>
  <si>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</si>
  <si>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</si>
  <si>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</si>
  <si>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</si>
  <si>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</si>
  <si>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</si>
  <si>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</si>
  <si>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</si>
  <si>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</si>
  <si>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</si>
  <si>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</si>
  <si>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</si>
  <si>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</si>
  <si>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</si>
  <si>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</si>
  <si>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</si>
  <si>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</si>
  <si>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</si>
  <si>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</si>
  <si>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</si>
  <si>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</si>
  <si>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</si>
  <si>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</si>
  <si>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</si>
  <si>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</si>
  <si>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</si>
  <si>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</si>
  <si>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</si>
  <si>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</si>
  <si>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</si>
  <si>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</si>
  <si>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</si>
  <si>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</si>
  <si>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</si>
  <si>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</si>
  <si>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</si>
  <si>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</si>
  <si>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</si>
  <si>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</si>
  <si>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</si>
  <si>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</si>
  <si>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</si>
  <si>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</si>
  <si>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</si>
  <si>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</si>
  <si>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</si>
  <si>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</si>
  <si>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</si>
  <si>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</si>
  <si>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</si>
  <si>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</si>
  <si>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</si>
  <si>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</si>
  <si>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</si>
  <si>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</si>
  <si>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</si>
  <si>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</si>
  <si>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</si>
  <si>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</si>
  <si>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</si>
  <si>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</si>
  <si>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</si>
  <si>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</si>
  <si>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</si>
  <si>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</si>
  <si>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</si>
  <si>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</si>
  <si>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</si>
  <si>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</si>
  <si>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</si>
  <si>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</si>
  <si>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</si>
  <si>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</si>
  <si>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</si>
  <si>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</si>
  <si>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</si>
  <si>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</si>
  <si>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</si>
  <si>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</si>
  <si>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</si>
  <si>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</si>
  <si>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</si>
  <si>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</si>
  <si>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</si>
  <si>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</si>
  <si>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</si>
  <si>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</si>
  <si>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</si>
  <si>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</si>
  <si>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</si>
  <si>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</si>
  <si>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</si>
  <si>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</si>
  <si>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</si>
  <si>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</si>
  <si>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</si>
  <si>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</si>
  <si>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</si>
  <si>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</si>
  <si>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</si>
  <si>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</si>
  <si>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</si>
  <si>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</si>
  <si>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</si>
  <si>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</si>
  <si>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</si>
  <si>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</si>
  <si>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</si>
  <si>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</si>
  <si>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</si>
  <si>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</si>
  <si>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</si>
  <si>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</si>
  <si>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</si>
  <si>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</si>
  <si>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</si>
  <si>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</si>
  <si>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</si>
  <si>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</si>
  <si>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</si>
  <si>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</si>
  <si>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</si>
  <si>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</si>
  <si>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</si>
  <si>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</si>
  <si>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</si>
  <si>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</si>
  <si>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</si>
  <si>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</si>
  <si>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</si>
  <si>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</si>
  <si>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</si>
  <si>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</si>
  <si>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</si>
  <si>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</si>
  <si>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</si>
  <si>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</si>
  <si>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</si>
  <si>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</si>
  <si>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</si>
  <si>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</si>
  <si>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</si>
  <si>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</si>
  <si>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</si>
  <si>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</si>
  <si>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</si>
  <si>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</si>
  <si>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</si>
  <si>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</si>
  <si>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</si>
  <si>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</si>
  <si>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</si>
  <si>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</si>
  <si>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</si>
  <si>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</si>
  <si>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</si>
  <si>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</si>
  <si>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</si>
  <si>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</si>
  <si>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</si>
  <si>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</si>
  <si>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</si>
  <si>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</si>
  <si>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</si>
  <si>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</si>
  <si>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</si>
  <si>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</si>
  <si>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</si>
  <si>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</si>
  <si>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</si>
  <si>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</si>
  <si>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</si>
  <si>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</si>
  <si>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</si>
  <si>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</si>
  <si>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</si>
  <si>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</si>
  <si>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</si>
  <si>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</si>
  <si>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</si>
  <si>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</si>
  <si>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</si>
  <si>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</si>
  <si>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</si>
  <si>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</si>
  <si>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</si>
  <si>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</si>
  <si>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</si>
  <si>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</si>
  <si>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</si>
  <si>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</si>
  <si>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</si>
  <si>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</si>
  <si>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</si>
  <si>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</si>
  <si>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</si>
  <si>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</si>
  <si>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</si>
  <si>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</si>
  <si>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</si>
  <si>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</si>
  <si>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</si>
  <si>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</si>
  <si>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</si>
  <si>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</si>
  <si>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</si>
  <si>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</si>
  <si>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</si>
  <si>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</si>
  <si>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</si>
  <si>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</si>
  <si>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</si>
  <si>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</si>
  <si>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</si>
  <si>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</si>
  <si>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</si>
  <si>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</si>
  <si>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</si>
  <si>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</si>
  <si>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</si>
  <si>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</si>
  <si>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</si>
  <si>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</si>
  <si>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</si>
  <si>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</si>
  <si>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</si>
  <si>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</si>
  <si>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</si>
  <si>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</si>
  <si>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</si>
  <si>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</si>
  <si>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</si>
  <si>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</si>
  <si>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</si>
  <si>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</si>
  <si>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</si>
  <si>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</si>
  <si>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</si>
  <si>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</si>
  <si>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</si>
  <si>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</si>
  <si>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</si>
  <si>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</si>
  <si>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</si>
  <si>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</si>
  <si>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</si>
  <si>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</si>
  <si>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</si>
  <si>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</si>
  <si>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</si>
  <si>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</si>
  <si>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</si>
  <si>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</si>
  <si>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</si>
  <si>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</si>
  <si>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</si>
  <si>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</si>
  <si>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</si>
  <si>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</si>
  <si>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</si>
  <si>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</si>
  <si>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</si>
  <si>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</si>
  <si>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</si>
  <si>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</si>
  <si>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</si>
  <si>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</si>
  <si>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</si>
  <si>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</si>
  <si>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</si>
  <si>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</si>
  <si>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</si>
  <si>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</si>
  <si>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</si>
  <si>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</si>
  <si>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</si>
  <si>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</si>
  <si>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</si>
  <si>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</si>
  <si>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</si>
  <si>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</si>
  <si>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</si>
  <si>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</si>
  <si>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</si>
  <si>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</si>
  <si>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</si>
  <si>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</si>
  <si>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</si>
  <si>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</si>
  <si>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</si>
  <si>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</si>
  <si>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</si>
  <si>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</si>
  <si>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</si>
  <si>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</si>
  <si>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</si>
  <si>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</si>
  <si>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</si>
  <si>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</si>
  <si>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</si>
  <si>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</si>
  <si>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</si>
  <si>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</si>
  <si>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</si>
  <si>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</si>
  <si>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</si>
  <si>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</si>
  <si>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</si>
  <si>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</si>
  <si>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</si>
  <si>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</si>
  <si>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</si>
  <si>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</si>
  <si>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</si>
  <si>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</si>
  <si>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</si>
  <si>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</si>
  <si>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</si>
  <si>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</si>
  <si>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</si>
  <si>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</si>
  <si>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</si>
  <si>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</si>
  <si>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</si>
  <si>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</si>
  <si>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</si>
  <si>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</si>
  <si>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</si>
  <si>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</si>
  <si>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</si>
  <si>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</si>
  <si>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</si>
  <si>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</si>
  <si>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</si>
  <si>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</si>
  <si>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</si>
  <si>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</si>
  <si>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</si>
  <si>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</si>
  <si>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</si>
  <si>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</si>
  <si>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</si>
  <si>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</si>
  <si>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</si>
  <si>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</si>
  <si>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</si>
  <si>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</si>
  <si>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</si>
  <si>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</si>
  <si>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</si>
  <si>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</si>
  <si>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</si>
  <si>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</si>
  <si>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</si>
  <si>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</si>
  <si>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</si>
  <si>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</si>
  <si>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</si>
  <si>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</si>
  <si>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</si>
  <si>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</si>
  <si>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</si>
  <si>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</si>
  <si>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</si>
  <si>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</si>
  <si>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</si>
  <si>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</si>
  <si>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</si>
  <si>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</si>
  <si>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</si>
  <si>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</si>
  <si>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</si>
  <si>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</si>
  <si>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</si>
  <si>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</si>
  <si>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</si>
  <si>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</si>
  <si>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</si>
  <si>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</si>
  <si>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</si>
  <si>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</si>
  <si>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</si>
  <si>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</si>
  <si>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</si>
  <si>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</si>
  <si>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</si>
  <si>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</si>
  <si>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</si>
  <si>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</si>
  <si>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</si>
  <si>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</si>
  <si>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</si>
  <si>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</si>
  <si>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</si>
  <si>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</si>
  <si>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</si>
  <si>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</si>
  <si>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</si>
  <si>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</si>
  <si>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</si>
  <si>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</si>
  <si>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</si>
  <si>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</si>
  <si>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</si>
  <si>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</si>
  <si>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</si>
  <si>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</si>
  <si>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</si>
  <si>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</si>
  <si>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</si>
  <si>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</si>
  <si>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</si>
  <si>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</si>
  <si>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</si>
  <si>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</si>
  <si>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</si>
  <si>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</si>
  <si>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</si>
  <si>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</si>
  <si>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</si>
  <si>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</si>
  <si>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</si>
  <si>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</si>
  <si>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</si>
  <si>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</si>
  <si>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</si>
  <si>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</si>
  <si>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</si>
  <si>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</si>
  <si>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</si>
  <si>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</si>
  <si>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</si>
  <si>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</si>
  <si>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</si>
  <si>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</si>
  <si>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</si>
  <si>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</si>
  <si>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</si>
  <si>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</si>
  <si>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</si>
  <si>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</si>
  <si>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</si>
  <si>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</si>
  <si>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</si>
  <si>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</si>
  <si>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</si>
  <si>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</si>
  <si>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</si>
  <si>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</si>
  <si>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</si>
  <si>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</si>
  <si>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</si>
  <si>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</si>
  <si>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</si>
  <si>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</si>
  <si>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</si>
  <si>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</si>
  <si>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</si>
  <si>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</si>
  <si>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</si>
  <si>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</si>
  <si>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</si>
  <si>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</si>
  <si>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</si>
  <si>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</si>
  <si>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</si>
  <si>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</si>
  <si>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</si>
  <si>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</si>
  <si>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</si>
  <si>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</si>
  <si>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</si>
  <si>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</si>
  <si>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</si>
  <si>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</si>
  <si>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</si>
  <si>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</si>
  <si>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</si>
  <si>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</si>
  <si>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</si>
  <si>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</si>
  <si>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</si>
  <si>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</si>
  <si>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</si>
  <si>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</si>
  <si>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</si>
  <si>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</si>
  <si>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</si>
  <si>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</si>
  <si>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</si>
  <si>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</si>
  <si>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</si>
  <si>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</si>
  <si>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</si>
  <si>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</si>
  <si>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</si>
  <si>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</si>
  <si>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</si>
  <si>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</si>
  <si>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</si>
  <si>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</si>
  <si>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</si>
  <si>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</si>
  <si>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</si>
  <si>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</si>
  <si>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</si>
  <si>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</si>
  <si>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</si>
  <si>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</si>
  <si>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</si>
  <si>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</si>
  <si>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</si>
  <si>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</si>
  <si>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</si>
  <si>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</si>
  <si>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</si>
  <si>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</si>
  <si>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</si>
  <si>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</si>
  <si>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</si>
  <si>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</si>
  <si>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</si>
  <si>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</si>
  <si>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</si>
  <si>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</si>
  <si>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</si>
  <si>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</si>
  <si>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</si>
  <si>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</si>
  <si>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</si>
  <si>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</si>
  <si>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</si>
  <si>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</si>
  <si>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</si>
  <si>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</si>
  <si>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</si>
  <si>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</si>
  <si>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</si>
  <si>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</si>
  <si>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</si>
  <si>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</si>
  <si>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</si>
  <si>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</si>
  <si>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</si>
  <si>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</si>
  <si>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</si>
  <si>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</si>
  <si>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</si>
  <si>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</si>
  <si>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</si>
  <si>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</si>
  <si>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</si>
  <si>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</si>
  <si>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</si>
  <si>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</si>
  <si>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</si>
  <si>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</si>
  <si>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</si>
  <si>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</si>
  <si>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</si>
  <si>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</si>
  <si>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</si>
  <si>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</si>
  <si>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</si>
  <si>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</si>
  <si>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</si>
  <si>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</si>
  <si>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</si>
  <si>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</si>
  <si>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</si>
  <si>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</si>
  <si>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</si>
  <si>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</si>
  <si>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</si>
  <si>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</si>
  <si>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</si>
  <si>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</si>
  <si>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</si>
  <si>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</si>
  <si>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</si>
  <si>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</si>
  <si>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</si>
  <si>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</si>
  <si>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</si>
  <si>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</si>
  <si>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</si>
  <si>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</si>
  <si>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</si>
  <si>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</si>
  <si>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</si>
  <si>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</si>
  <si>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</si>
  <si>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</si>
  <si>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</si>
  <si>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</si>
  <si>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</si>
  <si>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</si>
  <si>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</si>
  <si>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</si>
  <si>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</si>
  <si>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</si>
  <si>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</si>
  <si>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</si>
  <si>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</si>
  <si>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</si>
  <si>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</si>
  <si>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</si>
  <si>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</si>
  <si>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</si>
  <si>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</si>
  <si>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</si>
  <si>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</si>
  <si>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</si>
  <si>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</si>
  <si>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</si>
  <si>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</si>
  <si>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</si>
  <si>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</si>
  <si>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</si>
  <si>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</si>
  <si>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</si>
  <si>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</si>
  <si>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</si>
  <si>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</si>
  <si>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</si>
  <si>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</si>
  <si>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</si>
  <si>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</si>
  <si>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</si>
  <si>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</si>
  <si>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</si>
  <si>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</si>
  <si>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</si>
  <si>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</si>
  <si>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</si>
  <si>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</si>
  <si>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</si>
  <si>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</si>
  <si>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</si>
  <si>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</si>
  <si>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</si>
  <si>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</si>
  <si>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</si>
  <si>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</si>
  <si>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</si>
  <si>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</si>
  <si>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</si>
  <si>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</si>
  <si>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</si>
  <si>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</si>
  <si>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</si>
  <si>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</si>
  <si>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</si>
  <si>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</si>
  <si>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</si>
  <si>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</si>
  <si>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</si>
  <si>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</si>
  <si>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</si>
  <si>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</si>
  <si>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</si>
  <si>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</si>
  <si>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</si>
  <si>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</si>
  <si>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</si>
  <si>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</si>
  <si>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</si>
  <si>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</si>
  <si>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</si>
  <si>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</si>
  <si>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</si>
  <si>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</si>
  <si>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</si>
  <si>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</si>
  <si>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</si>
  <si>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</si>
  <si>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</si>
  <si>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</si>
  <si>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</si>
  <si>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</si>
  <si>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</si>
  <si>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</si>
  <si>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</si>
  <si>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</si>
  <si>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</si>
  <si>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</si>
  <si>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</si>
  <si>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</si>
  <si>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</si>
  <si>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</si>
  <si>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</si>
  <si>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</si>
  <si>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</si>
  <si>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</si>
  <si>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</si>
  <si>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</si>
  <si>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</si>
  <si>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</si>
  <si>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</si>
  <si>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</si>
  <si>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</si>
  <si>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</si>
  <si>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</si>
  <si>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</si>
  <si>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</si>
  <si>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</si>
  <si>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</si>
  <si>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</si>
  <si>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</si>
  <si>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</si>
  <si>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</si>
  <si>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</si>
  <si>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</si>
  <si>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</si>
  <si>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</si>
  <si>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</si>
  <si>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</si>
  <si>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</si>
  <si>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</si>
  <si>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</si>
  <si>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</si>
  <si>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</si>
  <si>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</si>
  <si>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</si>
  <si>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</si>
  <si>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</si>
  <si>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</si>
  <si>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</si>
  <si>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</si>
  <si>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</si>
  <si>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</si>
  <si>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</si>
  <si>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</si>
  <si>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</si>
  <si>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</si>
  <si>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</si>
  <si>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</si>
  <si>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</si>
  <si>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</si>
  <si>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</si>
  <si>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</si>
  <si>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</si>
  <si>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</si>
  <si>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</si>
  <si>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</si>
  <si>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</si>
  <si>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</si>
  <si>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</si>
  <si>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</si>
  <si>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</si>
  <si>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</si>
  <si>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</si>
  <si>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</si>
  <si>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</si>
  <si>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</si>
  <si>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</si>
  <si>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</si>
  <si>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</si>
  <si>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</si>
  <si>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</si>
  <si>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</si>
  <si>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</si>
  <si>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</si>
  <si>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</si>
  <si>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</si>
  <si>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</si>
  <si>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</si>
  <si>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</si>
  <si>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</si>
  <si>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</si>
  <si>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</si>
  <si>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</si>
  <si>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</si>
  <si>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</si>
  <si>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</si>
  <si>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</si>
  <si>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</si>
  <si>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</si>
  <si>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</si>
  <si>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</si>
  <si>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</si>
  <si>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</si>
  <si>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</si>
  <si>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</si>
  <si>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</si>
  <si>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</si>
  <si>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</si>
  <si>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</si>
  <si>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</si>
  <si>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</si>
  <si>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</si>
  <si>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</si>
  <si>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</si>
  <si>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</si>
  <si>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</si>
  <si>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</si>
  <si>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</si>
  <si>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</si>
  <si>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</si>
  <si>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</si>
  <si>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</si>
  <si>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</si>
  <si>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</si>
  <si>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</si>
  <si>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</si>
  <si>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</si>
  <si>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</si>
  <si>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</si>
  <si>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</si>
  <si>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</si>
  <si>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</si>
  <si>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</si>
  <si>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</si>
  <si>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</si>
  <si>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</si>
  <si>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</si>
  <si>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</si>
  <si>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</si>
  <si>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</si>
  <si>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</si>
  <si>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</si>
  <si>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</si>
  <si>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</si>
  <si>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</si>
  <si>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</si>
  <si>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</si>
  <si>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</si>
  <si>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</si>
  <si>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</si>
  <si>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</si>
  <si>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</si>
  <si>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</si>
  <si>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</si>
  <si>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</si>
  <si>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</si>
  <si>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</si>
  <si>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</si>
  <si>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</si>
  <si>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</si>
  <si>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</si>
  <si>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</si>
  <si>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</si>
  <si>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</si>
  <si>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</si>
  <si>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</si>
  <si>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</si>
  <si>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</si>
  <si>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</si>
  <si>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</si>
  <si>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</si>
  <si>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</si>
  <si>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</si>
  <si>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</si>
  <si>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</si>
  <si>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</si>
  <si>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</si>
  <si>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</si>
  <si>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</si>
  <si>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</si>
  <si>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</si>
  <si>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</si>
  <si>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</si>
  <si>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</si>
  <si>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</si>
  <si>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</si>
  <si>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</si>
  <si>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</si>
  <si>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</si>
  <si>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</si>
  <si>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</si>
  <si>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</si>
  <si>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</si>
  <si>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</si>
  <si>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</si>
  <si>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</si>
  <si>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</si>
  <si>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</si>
  <si>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</si>
  <si>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</si>
  <si>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</si>
  <si>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</si>
  <si>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</si>
  <si>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</si>
  <si>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</si>
  <si>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</si>
  <si>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</si>
  <si>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</si>
  <si>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</si>
  <si>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</si>
  <si>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</si>
  <si>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</si>
  <si>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</si>
  <si>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</si>
  <si>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</si>
  <si>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</si>
  <si>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</si>
  <si>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</si>
  <si>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</si>
  <si>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</si>
  <si>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</si>
  <si>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</si>
  <si>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</si>
  <si>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</si>
  <si>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</si>
  <si>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</si>
  <si>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</si>
  <si>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</si>
  <si>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</si>
  <si>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</si>
  <si>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</si>
  <si>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</si>
  <si>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</si>
  <si>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</si>
  <si>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</si>
  <si>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</si>
  <si>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</si>
  <si>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</si>
  <si>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</si>
  <si>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</si>
  <si>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</si>
  <si>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</si>
  <si>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</si>
  <si>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</si>
  <si>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</si>
  <si>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</si>
  <si>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</si>
  <si>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</si>
  <si>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</si>
  <si>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</si>
  <si>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</si>
  <si>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</si>
  <si>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</si>
  <si>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</si>
  <si>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</si>
  <si>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</si>
  <si>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</si>
  <si>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</si>
  <si>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</si>
  <si>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</si>
  <si>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</si>
  <si>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</si>
  <si>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</si>
  <si>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</si>
  <si>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</si>
  <si>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</si>
  <si>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</si>
  <si>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</si>
  <si>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</si>
  <si>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</si>
  <si>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</si>
  <si>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</si>
  <si>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</si>
  <si>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</si>
  <si>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</si>
  <si>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</si>
  <si>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</si>
  <si>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</si>
  <si>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</si>
  <si>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</si>
  <si>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</si>
  <si>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</si>
  <si>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</si>
  <si>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</si>
  <si>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</si>
  <si>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</si>
  <si>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</si>
  <si>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</si>
  <si>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</si>
  <si>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</si>
  <si>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</si>
  <si>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</si>
  <si>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</si>
  <si>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</si>
  <si>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</si>
  <si>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</si>
  <si>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</si>
  <si>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</si>
  <si>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</si>
  <si>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</si>
  <si>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</si>
  <si>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</si>
  <si>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</si>
  <si>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</si>
  <si>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</si>
  <si>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</si>
  <si>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</si>
  <si>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</si>
  <si>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</si>
  <si>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</si>
  <si>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</si>
  <si>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</si>
  <si>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</si>
  <si>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</si>
  <si>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</si>
  <si>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</si>
  <si>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</si>
  <si>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</si>
  <si>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</si>
  <si>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</si>
  <si>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</si>
  <si>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</si>
  <si>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</si>
  <si>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</si>
  <si>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</si>
  <si>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</si>
  <si>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</si>
  <si>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</si>
  <si>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</si>
  <si>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</si>
  <si>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</si>
  <si>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</si>
  <si>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</si>
  <si>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</si>
  <si>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</si>
  <si>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</si>
  <si>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</si>
  <si>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</si>
  <si>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</si>
  <si>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</si>
  <si>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</si>
  <si>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</si>
  <si>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</si>
  <si>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</si>
  <si>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</si>
  <si>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</si>
  <si>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</si>
  <si>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</si>
  <si>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</si>
  <si>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</si>
  <si>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</si>
  <si>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</si>
  <si>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</si>
  <si>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</si>
  <si>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</si>
  <si>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</si>
  <si>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</si>
  <si>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</si>
  <si>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</si>
  <si>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</si>
  <si>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</si>
  <si>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</si>
  <si>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</si>
  <si>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</si>
  <si>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</si>
  <si>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</si>
  <si>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</si>
  <si>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</si>
  <si>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</si>
  <si>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</si>
  <si>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</si>
  <si>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</si>
  <si>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</si>
  <si>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</si>
  <si>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</si>
  <si>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</si>
  <si>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</si>
  <si>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</si>
  <si>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</si>
  <si>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</si>
  <si>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</si>
  <si>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</si>
  <si>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</si>
  <si>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</si>
  <si>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</si>
  <si>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</si>
  <si>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</si>
  <si>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</si>
  <si>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</si>
  <si>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</si>
  <si>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</si>
  <si>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</si>
  <si>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</si>
  <si>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</si>
  <si>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</si>
  <si>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</si>
  <si>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</si>
  <si>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</si>
  <si>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</si>
  <si>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</si>
  <si>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</si>
  <si>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</si>
  <si>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</si>
  <si>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</si>
  <si>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</si>
  <si>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</si>
  <si>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</si>
  <si>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</si>
  <si>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</si>
  <si>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</si>
  <si>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</si>
  <si>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</si>
  <si>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</si>
  <si>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</si>
  <si>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</si>
  <si>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</si>
  <si>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</si>
  <si>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</si>
  <si>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</si>
  <si>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</si>
  <si>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</si>
  <si>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</si>
  <si>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</si>
  <si>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</si>
  <si>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</si>
  <si>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</si>
  <si>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</si>
  <si>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</si>
  <si>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</si>
  <si>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</si>
  <si>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</si>
  <si>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</si>
  <si>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</si>
  <si>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</si>
  <si>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</si>
  <si>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</si>
  <si>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</si>
  <si>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</si>
  <si>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</si>
  <si>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</si>
  <si>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</si>
  <si>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</si>
  <si>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</si>
  <si>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</si>
  <si>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</si>
  <si>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</si>
  <si>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</si>
  <si>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</si>
  <si>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</si>
  <si>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</si>
  <si>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</si>
  <si>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</si>
  <si>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</si>
  <si>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</si>
  <si>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</si>
  <si>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</si>
  <si>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</si>
  <si>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</si>
  <si>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</si>
  <si>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</si>
  <si>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</si>
  <si>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</si>
  <si>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</si>
  <si>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</si>
  <si>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</si>
  <si>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</si>
  <si>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</si>
  <si>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</si>
  <si>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</si>
  <si>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</si>
  <si>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</si>
  <si>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</si>
  <si>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</si>
  <si>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</si>
  <si>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</si>
  <si>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</si>
  <si>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</si>
  <si>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</si>
  <si>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</si>
  <si>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</si>
  <si>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</si>
  <si>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</si>
  <si>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</si>
  <si>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</si>
  <si>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</si>
  <si>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</si>
  <si>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</si>
  <si>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</si>
  <si>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</si>
  <si>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</si>
  <si>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</si>
  <si>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</si>
  <si>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</si>
  <si>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</si>
  <si>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</si>
  <si>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</si>
  <si>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</si>
  <si>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</si>
  <si>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</si>
  <si>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</si>
  <si>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</si>
  <si>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</si>
  <si>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</si>
  <si>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</si>
  <si>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</si>
  <si>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</si>
  <si>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</si>
  <si>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</si>
  <si>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</si>
  <si>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</si>
  <si>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</si>
  <si>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</si>
  <si>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</si>
  <si>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</si>
  <si>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</si>
  <si>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</si>
  <si>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</si>
  <si>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</si>
  <si>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</si>
  <si>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</si>
  <si>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</si>
  <si>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</si>
  <si>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</si>
  <si>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</si>
  <si>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</si>
  <si>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</si>
  <si>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</si>
  <si>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</si>
  <si>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</si>
  <si>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</si>
  <si>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</si>
  <si>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</si>
  <si>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</si>
  <si>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</si>
  <si>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</si>
  <si>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</si>
  <si>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</si>
  <si>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</si>
  <si>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</si>
  <si>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</si>
  <si>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</si>
  <si>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</si>
  <si>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</si>
  <si>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</si>
  <si>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</si>
  <si>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</si>
  <si>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</si>
  <si>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</si>
  <si>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</si>
  <si>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</si>
  <si>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</si>
  <si>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</si>
  <si>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</si>
  <si>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</si>
  <si>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</si>
  <si>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</si>
  <si>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</si>
  <si>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</si>
  <si>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</si>
  <si>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</si>
  <si>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</si>
  <si>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</si>
  <si>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</si>
  <si>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</si>
  <si>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</si>
  <si>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</si>
  <si>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</si>
  <si>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</si>
  <si>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</si>
  <si>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</si>
  <si>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</si>
  <si>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</si>
  <si>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</si>
  <si>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</si>
  <si>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</si>
  <si>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</si>
  <si>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</si>
  <si>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</si>
  <si>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</si>
  <si>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</si>
  <si>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</si>
  <si>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</si>
  <si>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</si>
  <si>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</si>
  <si>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</si>
  <si>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</si>
  <si>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</si>
  <si>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</si>
  <si>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</si>
  <si>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</si>
  <si>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</si>
  <si>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</si>
  <si>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</si>
  <si>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</si>
  <si>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</si>
  <si>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</si>
  <si>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</si>
  <si>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</si>
  <si>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</si>
  <si>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</si>
  <si>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</si>
  <si>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</si>
  <si>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</si>
  <si>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</si>
  <si>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</si>
  <si>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</si>
  <si>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</si>
  <si>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</si>
  <si>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</si>
  <si>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</si>
  <si>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</si>
  <si>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</si>
  <si>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</si>
  <si>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</si>
  <si>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</si>
  <si>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</si>
  <si>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</si>
  <si>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</si>
  <si>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</si>
  <si>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</si>
  <si>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</si>
  <si>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</si>
  <si>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</si>
  <si>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</si>
  <si>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</si>
  <si>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</si>
  <si>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</si>
  <si>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</si>
  <si>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</si>
  <si>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</si>
  <si>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Beato 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</si>
  <si>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</si>
  <si>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</si>
  <si>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</si>
  <si>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</si>
  <si>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</si>
  <si>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</si>
  <si>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</si>
  <si>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</si>
  <si>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</si>
  <si>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</si>
  <si>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</si>
  <si>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</si>
  <si>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</si>
  <si>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</si>
  <si>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</si>
  <si>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</si>
  <si>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</si>
  <si>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</si>
  <si>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</si>
  <si>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</si>
  <si>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</si>
  <si>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</si>
  <si>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</si>
  <si>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</si>
  <si>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</si>
  <si>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</si>
  <si>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</si>
  <si>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</si>
  <si>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</si>
  <si>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</si>
  <si>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</si>
  <si>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</si>
  <si>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</si>
  <si>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</si>
  <si>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</si>
  <si>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</si>
  <si>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</si>
  <si>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</si>
  <si>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</si>
  <si>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</si>
  <si>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</si>
  <si>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</si>
  <si>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</si>
  <si>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</si>
  <si>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</si>
  <si>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</si>
  <si>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</si>
  <si>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</si>
  <si>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</si>
  <si>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</si>
  <si>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</si>
  <si>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</si>
  <si>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</si>
  <si>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</si>
  <si>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</si>
  <si>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</si>
  <si>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</si>
  <si>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Cartas pedagógicas y ensayos sobre educación, 1951</t>
  </si>
  <si>
    <t>Para corregir no hay que temer. El peor maestro es el maestro con miedo</t>
  </si>
  <si>
    <t>Ad corrigendum non oportet timere. Pessimus magister est magister cum timore</t>
  </si>
  <si>
    <t>Tizas y pizarra: Reflexiones sobre educación, 1924</t>
  </si>
  <si>
    <t>La enseñanza de los niños es tal vez la forma más alta de buscar a Dios</t>
  </si>
  <si>
    <t>Doctrina puerorum fortasse forma altissima est quaerendi Deum</t>
  </si>
  <si>
    <t>Cartas pedagógicas, 1938</t>
  </si>
  <si>
    <t>El futuro de los niños es siempre hoy; mañana será tarde</t>
  </si>
  <si>
    <t>Futurum puerorum semper hodie est; cras erit sero</t>
  </si>
  <si>
    <t>Lecturas educativas y reflexiones sobre infancia, 1926</t>
  </si>
  <si>
    <t>Donde hay un niño hay una misión</t>
  </si>
  <si>
    <t>Ubi puer est ibi missio est</t>
  </si>
  <si>
    <t>Cartas y conferencias pedagógicas, 1940</t>
  </si>
  <si>
    <t>Dame el amor único de mi escuela</t>
  </si>
  <si>
    <t>Da mihi amorem unicum scholae meae</t>
  </si>
  <si>
    <t>Textos sobre enseñanza y vida escolar, 1925</t>
  </si>
  <si>
    <t>El maestro que trata de enseñar sin inspirar en el alumno el deseo de aprender</t>
  </si>
  <si>
    <t>Magister qui conatur docere quin desiderium discendi in discipulo inspiret</t>
  </si>
  <si>
    <t>Tizas y pizarra, 1924</t>
  </si>
  <si>
    <t>Todo para la escuela, todo para el niño</t>
  </si>
  <si>
    <t>Omnia pro schola, omnia pro puero</t>
  </si>
  <si>
    <t>Ensayos pedagógicos, 1930</t>
  </si>
  <si>
    <t>El amor a las niñas enseña más caminos a la que enseña que la pedagogía</t>
  </si>
  <si>
    <t>Amor ad puellas plures vias docet magistrae quam paedagogia</t>
  </si>
  <si>
    <t>Cartas pedagógicas y reflexiones, 1925</t>
  </si>
  <si>
    <t>Dame que alcance a hacer de una de mis niñas mi verso perfecto</t>
  </si>
  <si>
    <t>Da mihi ut possim ex una puellarum mearum versum meum perfectum facere</t>
  </si>
  <si>
    <t>Cartas a colegas y diarios de enseñanza, 1925-1930</t>
  </si>
  <si>
    <t>La inteligencia es la capacidad de resolver problemas o de crear productos valorados en un entorno cultural</t>
  </si>
  <si>
    <t>Intelligentia est capacitas problemata solvendi aut productus creandi qui in ambitu culturali aestimantur</t>
  </si>
  <si>
    <t>Intelligence is the ability to solve problems or to create products that are valued within a cultural setting</t>
  </si>
  <si>
    <t>Howard Gardner</t>
  </si>
  <si>
    <t>Frames of Mind: The Theory of Multiple Intelligences, 1983, p. 27</t>
  </si>
  <si>
    <t>Cada ser humano tiene una combinación única de inteligencias; este es el desafío educativo fundamental: estimular a cada alumno de una forma personalizada</t>
  </si>
  <si>
    <t>Unusquisque homo combinationem unicam intelligentiarum habet; hoc est provocatio educativa fundamentalis: stimulare quemque discipulum modo personali</t>
  </si>
  <si>
    <t>Each human being has a unique combination of intelligences. This is the fundamental educational challenge: to stimulate each learner in a personalized way</t>
  </si>
  <si>
    <t>Intelligence Reframed: Multiple Intelligences for the 21st Century, 1999, pp. 11-12</t>
  </si>
  <si>
    <t>No puede haber una única medida de la inteligencia, ya que hay muchas formas diferentes de ser inteligente</t>
  </si>
  <si>
    <t>Non potest esse unica mensura intelligentiae quia sunt multae formae diversae intelligentis esse</t>
  </si>
  <si>
    <t>There cannot be a single measure of intelligence because there are many different ways of being intelligent</t>
  </si>
  <si>
    <t>Frames of Mind, 1983, pp. 40-42</t>
  </si>
  <si>
    <t>Es de suma importancia que reconozcamos y alimentemos todas las inteligencias humanas</t>
  </si>
  <si>
    <t>Maximi momenti est ut omnes intelligentias humanas agnoscamus et nutriamus</t>
  </si>
  <si>
    <t>It is of paramount importance that we recognize and nurture all human intelligences</t>
  </si>
  <si>
    <t>Multiple Intelligences: The Theory in Practice, 1993, p. 10</t>
  </si>
  <si>
    <t>La pregunta no es qué tan inteligente eres, sino en qué eres inteligente</t>
  </si>
  <si>
    <t>Quaestio non est quam intelligens sis sed quo modo intelligens sis</t>
  </si>
  <si>
    <t>The question is not how intelligent you are, but in what way are you intelligent</t>
  </si>
  <si>
    <t>Intelligence Reframed, 1999, p. 15</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</si>
  <si>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</si>
  <si>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</si>
  <si>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</si>
  <si>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Creating Minds, 1993, p. 4</t>
  </si>
  <si>
    <t>La creatividad es tan importante como la alfabetización y debería ser tratada de la misma manera</t>
  </si>
  <si>
    <t>Creativitas tam gravis est quam litterarum cognitio et eodem modo tractari debet</t>
  </si>
  <si>
    <t>Creativity is as important as literacy and we should treat it with the same status</t>
  </si>
  <si>
    <t>Ken Robinson</t>
  </si>
  <si>
    <t>Out of Our Minds: Learning to be Creative, 2001, p. 17</t>
  </si>
  <si>
    <t>Si no estás preparado para equivocarte, nunca llegarás a nada original</t>
  </si>
  <si>
    <t>Si non paratus es errare numquam ad aliquid originale pervenies</t>
  </si>
  <si>
    <t>If you're not prepared to be wrong, you'll never come up with anything original</t>
  </si>
  <si>
    <t>TED Talk: Do Schools Kill Creativity?, 2006</t>
  </si>
  <si>
    <t>Las escuelas matan la creatividad</t>
  </si>
  <si>
    <t>Scholae creativitatem necant</t>
  </si>
  <si>
    <t>Schools kill creativity</t>
  </si>
  <si>
    <t>La imaginación es la fuente de todo logro humano</t>
  </si>
  <si>
    <t>Imaginatio fons omnis operis humani est</t>
  </si>
  <si>
    <t>Imagination is the source of every form of human achievement</t>
  </si>
  <si>
    <t>Out of Our Minds, 2001, p. 11</t>
  </si>
  <si>
    <t>Los niños de ahora harán trabajos que aún no están inventados</t>
  </si>
  <si>
    <t>Pueri nunc opera facient quae nondum inventa sunt</t>
  </si>
  <si>
    <t>Children now will do jobs that haven't been invented yet</t>
  </si>
  <si>
    <t>Out of Our Minds, 2001, p. 15</t>
  </si>
  <si>
    <t>La gente produce lo mejor cuando hace cosas que ama, cuando está en su elemento</t>
  </si>
  <si>
    <t>Homines optimum producunt cum faciunt quae amant, cum in suo elemento sunt</t>
  </si>
  <si>
    <t>People produce their best work when they're doing something they love, when they're in their element</t>
  </si>
  <si>
    <t>Out of Our Minds, 2001, p. 30</t>
  </si>
  <si>
    <t>No es acerca de estandarizar la educación, es acerca de subir el estándar de la educación</t>
  </si>
  <si>
    <t>Non de educatione standardizanda agitur sed de standardum educationis elevando</t>
  </si>
  <si>
    <t>It's not about standardizing education, it's about raising the standard of education</t>
  </si>
  <si>
    <t>La creatividad se aprende igual que se aprende a leer</t>
  </si>
  <si>
    <t>Creativitas discitur sicut discitur legere</t>
  </si>
  <si>
    <t>Creativity is learned just as you learn to read</t>
  </si>
  <si>
    <t>Out of Our Minds, 2001, p. 35</t>
  </si>
  <si>
    <t>La mayoría del aprendizaje humano se produce mediante la observación</t>
  </si>
  <si>
    <t>Maior pars apprehensionis humanae fit per observationem</t>
  </si>
  <si>
    <t>Most human learning occurs through observation</t>
  </si>
  <si>
    <t>Albert Bandura</t>
  </si>
  <si>
    <t>Social Learning Theory, 1977, p. 22</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</si>
  <si>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</si>
  <si>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</si>
  <si>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</si>
  <si>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Social Learning Theory, 1977, pp. 10-15</t>
  </si>
  <si>
    <t>La autoeficacia es la creencia en las propias capacidades para organizar y ejecutar las acciones requeridas</t>
  </si>
  <si>
    <t>Autoefficientia est fides in capacitatibus propriis ad actiones requisitas organizandas et exequendas</t>
  </si>
  <si>
    <t>Self-efficacy is the belief in one's capabilities to organize and execute the courses of action required</t>
  </si>
  <si>
    <t>Self-Efficacy: The Exercise of Control, 1997, pp. 3-4</t>
  </si>
  <si>
    <t>El aprendizaje sería sumamente laborioso si tuviéramos que confiar solo en los efectos de nuestras propias acciones</t>
  </si>
  <si>
    <t>Apprehensio summe laboriosa esset si solum in effectibus actionum nostrarum confidere deberemus</t>
  </si>
  <si>
    <t>Learning would be exceedingly laborious if we had to rely solely on the effects of our own actions</t>
  </si>
  <si>
    <t>Social Learning Theory, 1977, p. 21</t>
  </si>
  <si>
    <t>Para poder enseñar a los demás primero hay que hacer y conocer</t>
  </si>
  <si>
    <t>Ut alios docere possimus primum facere et cognoscere debemus</t>
  </si>
  <si>
    <t>To be able to teach others one must first do and know</t>
  </si>
  <si>
    <t>Los modelos son más que transmisores de información; proveen contextos sociales que influyen en el comportamiento</t>
  </si>
  <si>
    <t>Exempla plus quam transmissores informationis sunt; contextos sociales praebent qui in comportamentum influunt</t>
  </si>
  <si>
    <t>Models are more than transmitters of information; they provide social contexts that influence behavior</t>
  </si>
  <si>
    <t>Social Learning Theory, 1977, pp. 22-23</t>
  </si>
  <si>
    <t>La educación es lo que sobrevive cuando lo aprendido ha sido olvidado</t>
  </si>
  <si>
    <t>Educatio est id quod superest cum quod doctum est oblitum est</t>
  </si>
  <si>
    <t>Education is what survives when what has been learned has been forgotten</t>
  </si>
  <si>
    <t>B.F. Skinner</t>
  </si>
  <si>
    <t>The Science of Learning and the Art of Teaching, 1954</t>
  </si>
  <si>
    <t>Enseñamos con éxito cuando el estudiante aprende</t>
  </si>
  <si>
    <t>Cum successu docemus cum discipulus discit</t>
  </si>
  <si>
    <t>We teach successfully when the student learns</t>
  </si>
  <si>
    <t>The Technology of Teaching, 1968, p. 19</t>
  </si>
  <si>
    <t>El comportamiento es seguido por una consecuencia y la naturaleza de la consecuencia modifica la tendencia del organismo a repetir el comportamiento</t>
  </si>
  <si>
    <t>Comportamentum consequentia sequitur et natura consequentiae tendentiam organismi ad comportamentum repetendum modificat</t>
  </si>
  <si>
    <t>Behavior is followed by a consequence, and the nature of the consequence modifies the organism's tendency to repeat the behavior</t>
  </si>
  <si>
    <t>Science and Human Behavior, 1953, p. 56</t>
  </si>
  <si>
    <t>La forma en que se lleva a cabo el refuerzo positivo es más importante que la cantidad</t>
  </si>
  <si>
    <t>Modus quo confirmatio positiva fit gravior est quam quantitas</t>
  </si>
  <si>
    <t>The manner in which positive reinforcement is carried out is more important than the amount</t>
  </si>
  <si>
    <t>Science and Human Behavior, 1953, pp. 80-82</t>
  </si>
  <si>
    <t>No enseñamos a los estudiantes; solo les damos las condiciones bajo las cuales pueden aprender</t>
  </si>
  <si>
    <t>Non docemus discipulos; solum eis conditiones damus sub quibus discere possunt</t>
  </si>
  <si>
    <t>We do not teach students; we only give them the conditions under which they can learn</t>
  </si>
  <si>
    <t>The Technology of Teaching, 1968, pp. 9-10</t>
  </si>
  <si>
    <t>El comportamiento real es sencillamente la combinación de reacciones reflejas innatas y de respuestas aprendidas</t>
  </si>
  <si>
    <t>Comportamentum reale simpliciter combinatio reactionum reflexarum innatarum et responsionum doctarum est</t>
  </si>
  <si>
    <t>Actual behavior is simply the combination of innate reflex reactions and learned responses</t>
  </si>
  <si>
    <t>Science and Human Behavior, 1953, p. 35</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</si>
  <si>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</si>
  <si>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</si>
  <si>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</si>
  <si>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</si>
  <si>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Éducation et Philosophie, 1956, p. 23</t>
  </si>
  <si>
    <t>La educación es el arte de ayudar al joven a alcanzar la plenitud de su forma humana</t>
  </si>
  <si>
    <t>Educatio est ars adiuvandi iuvenem ad plenitudinem formae suae humanae attingendam</t>
  </si>
  <si>
    <t>L'éducation est l'art d'aider le jeune à atteindre la plénitude de sa forme humaine</t>
  </si>
  <si>
    <t>Éducation et Philosophie, 1956, p. 25</t>
  </si>
  <si>
    <t>El objeto de la educación no es formar esa abstracción platónica que es el hombre en sí mismo sino formar a un joven determinado</t>
  </si>
  <si>
    <t>Obiectum educationis non est formare abstractionem illam platonicam quae est homo in se sed formare iuvenem determinatum</t>
  </si>
  <si>
    <t>L'objet de l'éducation n'est pas de former cette abstraction platonicienne qu'est l'homme en soi mais de former un jeune déterminé</t>
  </si>
  <si>
    <t>Éducation et Philosophie, 1956, p. 27</t>
  </si>
  <si>
    <t>La educación del hombre es un despertar humano</t>
  </si>
  <si>
    <t>Educatio hominis est evocatio humana</t>
  </si>
  <si>
    <t>L'éducation de l'homme est un éveil humain</t>
  </si>
  <si>
    <t>Éducation et Philosophie, 1956, p. 29</t>
  </si>
  <si>
    <t>Liberar las buenas energías es el primer principio de la educación</t>
  </si>
  <si>
    <t>Liberare bonas energias primum principium educationis est</t>
  </si>
  <si>
    <t>Libérer les bonnes énergies est le premier principe de l'éducation</t>
  </si>
  <si>
    <t>Éducation et Philosophie, 1956, p. 31</t>
  </si>
  <si>
    <t>La educación no debe forjar individuos sino asistir al dinamismo propio de la persona</t>
  </si>
  <si>
    <t>Educatio non debet individua formare sed dynamismo proprio personae assistere</t>
  </si>
  <si>
    <t>L'éducation ne doit pas forger des individus mais assister le dynamisme propre de la personne</t>
  </si>
  <si>
    <t>Éducation et Philosophie, 1956, p. 33</t>
  </si>
  <si>
    <t>El deber del educador moderno no es talar selvas sino regar desiertos</t>
  </si>
  <si>
    <t>Officium educatoris moderni non est silvas caedere sed deserta irrigare</t>
  </si>
  <si>
    <t>The task of the modern educator is not to cut down jungles but to irrigate deserts</t>
  </si>
  <si>
    <t>C.S. Lewis</t>
  </si>
  <si>
    <t>The Abolition of Man, 1960, p. 18</t>
  </si>
  <si>
    <t>La defensa adecuada contra los sentimientos falsos es inculcar sentimientos justos</t>
  </si>
  <si>
    <t>Defensio apta contra sensus falsos est sensus iustos inculcare</t>
  </si>
  <si>
    <t>The right defence against false sentiments is to inculcate just sentiments</t>
  </si>
  <si>
    <t>The Abolition of Man, 1960, p. 20</t>
  </si>
  <si>
    <t>Hacemos hombres sin corazones y esperamos de ellos virtud y buen juicio</t>
  </si>
  <si>
    <t>Homines sine pectore facimus et ab eis virtutem et industriam exspectamus</t>
  </si>
  <si>
    <t>We make men without chests and expect of them virtue and enterprise</t>
  </si>
  <si>
    <t>The Abolition of Man, 1960, p. 21</t>
  </si>
  <si>
    <t>La educación sin valores por los cuales educar es pura vocación vacía</t>
  </si>
  <si>
    <t>Educatio sine valoribus pro quibus educare est merum exercitium vocale vacuum</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</si>
  <si>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</si>
  <si>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</si>
  <si>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</si>
  <si>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</si>
  <si>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The Abolition of Man, 1960, pp. 21-22</t>
  </si>
  <si>
    <t>El fin de la educación es conseguir que el alumno tenga predilecciones y aversiones por lo que corresponde</t>
  </si>
  <si>
    <t>Finis educationis est efficere ut discipulus dilectiones et aversiones pro eo quod convenit habeat</t>
  </si>
  <si>
    <t>The aim of education is to get the pupil to have likes and dislikes for what is fitting</t>
  </si>
  <si>
    <t>The Abolition of Man, 1960, p. 22</t>
  </si>
  <si>
    <t>La escuela no es un parque de atracciones</t>
  </si>
  <si>
    <t>Schola non est hortus voluptatum</t>
  </si>
  <si>
    <t>Gregorio Luri</t>
  </si>
  <si>
    <t>La escuela no es un parque de atracciones, 2013</t>
  </si>
  <si>
    <t>El saber riguroso no puede ser sino crítico mientras que la crítica sin rigor tiene mucho de pataleta</t>
  </si>
  <si>
    <t>Scientia rigorosa non potest nisi critica esse dum critica sine rigore multum irae infantilis habet</t>
  </si>
  <si>
    <t>La escuela no es un parque de atracciones, 2014</t>
  </si>
  <si>
    <t>Sin instrucción no hay pensamiento crítico</t>
  </si>
  <si>
    <t>Sine instructione non est cogitatio critica</t>
  </si>
  <si>
    <t>La escuela no es un parque de atracciones, 2015</t>
  </si>
  <si>
    <t>El maestro consciente de su papel de magister no es el guardián celoso de la autonomía infantil sino el amante celoso de lo mejor que un niño puede llegar a ser</t>
  </si>
  <si>
    <t>Magister conscius muneris sui non est custos zelotypus autonomiae puerilis sed amator zelotypus optimi quod puer esse potest</t>
  </si>
  <si>
    <t>La escuela no es un parque de atracciones, 2016</t>
  </si>
  <si>
    <t>Creo que a los niños hay que darle en la escuela lo que no les van a proporcionar en ninguna parte más y es conocimiento riguroso</t>
  </si>
  <si>
    <t>Credo pueris in schola dandum esse quod nusquam alibi accipient et est cognitio rigorosa</t>
  </si>
  <si>
    <t>La escuela no es un parque de atracciones, 2017</t>
  </si>
  <si>
    <t>El conocimiento riguroso es en sí mismo un fenomenal educador emocional</t>
  </si>
  <si>
    <t>Cognitio rigorosa in se ipsa est phenomenalis educator emotionalis</t>
  </si>
  <si>
    <t>La escuela no es un parque de atracciones, 2018</t>
  </si>
  <si>
    <t>Los profesores excelentes son evaluadores expertos de sus estudiantes</t>
  </si>
  <si>
    <t>Professores excellentes sunt aestimatores periti discipulorum suorum</t>
  </si>
  <si>
    <t>Excellent teachers are expert evaluators of their students</t>
  </si>
  <si>
    <t>John Hattie</t>
  </si>
  <si>
    <t>Visible Learning, 2009, p. 173</t>
  </si>
  <si>
    <t>El aprendizaje visible ocurre cuando los profesores ven el aprendizaje a través de los ojos de los estudiantes</t>
  </si>
  <si>
    <t>Apprehensio visibilis evenit cum professores apprehenionem per oculos discipulorum vident</t>
  </si>
  <si>
    <t>Visible learning occurs when teachers see learning through the eyes of students</t>
  </si>
  <si>
    <t>Conoce tu impacto</t>
  </si>
  <si>
    <t>Cognosce tuum impactum</t>
  </si>
  <si>
    <t>Know thy impact</t>
  </si>
  <si>
    <t>La retroalimentación es una de las influencias más poderosas en el aprendizaje</t>
  </si>
  <si>
    <t>Retroalimentatio una ex influxibus potentissimis in apprehensione est</t>
  </si>
  <si>
    <t>Feedback is one of the most powerful influences on learning</t>
  </si>
  <si>
    <t>Visible Learning, 2009, pp. 173-174</t>
  </si>
  <si>
    <t>Los maestros son los evaluadores de su propio efecto</t>
  </si>
  <si>
    <t>Magistri sunt aestimatores proprii effectus</t>
  </si>
  <si>
    <t>Teachers are the evaluators of their own effect</t>
  </si>
  <si>
    <t>El aprendizaje visible significa que el aprendizaje es el objetivo explícito</t>
  </si>
  <si>
    <t>Apprehensio visibilis significat apprehenionem obiectivum explicitum esse</t>
  </si>
  <si>
    <t>Visible learning means that learning is the explicit goal</t>
  </si>
  <si>
    <t>Visible Learning, 2009, p. 174</t>
  </si>
  <si>
    <t>La mente es un papel en blanco, vacío de caracteres, que se llena con la experiencia</t>
  </si>
  <si>
    <t>Mens est tabula rasa quae experientia impletur</t>
  </si>
  <si>
    <t>The mind is a white paper, void of all characters, filled by experience</t>
  </si>
  <si>
    <t>John Locke</t>
  </si>
  <si>
    <t>An Essay Concerning Human Understanding, 1690, Book II, Chapter I, Sec. 2</t>
  </si>
  <si>
    <t>El trabajo del maestro no consiste tanto en enseñar todo lo aprendible como en producir en el alumno amor y estima por el conocimiento</t>
  </si>
  <si>
    <t>Opus magistri non tam consistit in docendo omnia pretiosa quam in producendo in discipulo amore et aestimatione cognitionis</t>
  </si>
  <si>
    <t>The job of the teacher is not so much to teach all that is knowable, as to raise in him a love and esteem of knowledge</t>
  </si>
  <si>
    <t>Some Thoughts Concerning Education, 1693, Section 195</t>
  </si>
  <si>
    <t>No hay nada en el intelecto que no haya estado antes en los sentidos</t>
  </si>
  <si>
    <t>Nothing is in the intellect that was not first in the senses</t>
  </si>
  <si>
    <t>An Essay Concerning Human Understanding, 1690, Book II, Chapter I</t>
  </si>
  <si>
    <t>La lectura proporciona a la mente solo materiales de conocimiento; es pensar lo que hace que lo que leemos sea nuestro</t>
  </si>
  <si>
    <t>Lectio menti tantum materias cognitionis praebet; cogitare est quod facit ut quod legimus nostrum sit</t>
  </si>
  <si>
    <t>Reading furnishes the mind only with materials of knowledge; it is thinking makes what we read ours</t>
  </si>
  <si>
    <t>Of the Conduct of the Understanding, 1706, Section 42</t>
  </si>
  <si>
    <t>Considero que la verdadera causa de que los hombres no conozcan mejor las cosas es que se contentan con palabras</t>
  </si>
  <si>
    <t>Censeo veram causam cur homines res melius non cognoscant esse quod verbis contenti sunt</t>
  </si>
  <si>
    <t>I am apt to imagine that were the imperfections of language more thoroughly weighed, a great many of the controversies in the world would cease of themselves</t>
  </si>
  <si>
    <t>An Essay Concerning Human Understanding, 1690, Book III, Chapter IX, Sec. 21</t>
  </si>
  <si>
    <t>Las acciones de los hombres son los mejores intérpretes de sus pensamientos</t>
  </si>
  <si>
    <t>Actiones hominum sunt optimi interpretes cogitationum suarum</t>
  </si>
  <si>
    <t>The actions of men are the best interpreters of their thoughts</t>
  </si>
  <si>
    <t>An Essay Concerning Human Understanding, 1690, Book I, Chapter III, Sec. 3</t>
  </si>
  <si>
    <t>La verdadera educación consiste en abrir la mente, no en llenarla</t>
  </si>
  <si>
    <t>Vera educatio consistit in mente aperienda, non implenda</t>
  </si>
  <si>
    <t>True education consists in opening the mind, not in filling it</t>
  </si>
  <si>
    <t>Rabindranath Tagore</t>
  </si>
  <si>
    <t>The Religion of Man, 1917, p. 80</t>
  </si>
  <si>
    <t>La educación más alta es la que armoniza la vida con toda la existencia</t>
  </si>
  <si>
    <t>Educatio altissima est quae vitam cum omni existentia componit</t>
  </si>
  <si>
    <t>The highest education is that which does not merely give us information but makes our life in harmony with all existence</t>
  </si>
  <si>
    <t>The Religion of Man, 1917, p. 82</t>
  </si>
  <si>
    <t>No puedes cruzar el mar simplemente mirando el agua</t>
  </si>
  <si>
    <t>Non potes mare transire solum aquam spectando</t>
  </si>
  <si>
    <t>You can't cross the sea merely by staring at the water</t>
  </si>
  <si>
    <t>The Religion of Man, 1917, p. 88</t>
  </si>
  <si>
    <t>Un maestro nunca puede enseñar verdaderamente si deja de aprender</t>
  </si>
  <si>
    <t>Magister numquam vere docere potest nisi ipse adhuc discat</t>
  </si>
  <si>
    <t>A teacher can never truly teach unless he is still learning himself</t>
  </si>
  <si>
    <t>The Religion of Man, 1917, p. 91</t>
  </si>
  <si>
    <t>Los niños son artistas vivos; los adultos, artistas vividos</t>
  </si>
  <si>
    <t>Pueri sunt artifices vivi; adulti, artifices victi</t>
  </si>
  <si>
    <t>Children are living artists; adults are lived artists</t>
  </si>
  <si>
    <t>The Parrot's Training and Other Essays on Education, 1920</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</si>
  <si>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</si>
  <si>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</si>
  <si>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</si>
  <si>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</si>
  <si>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Learning, Creating, and Using Knowledge, 1998</t>
  </si>
  <si>
    <t>Los mapas conceptuales son herramientas para organizar y representar conocimiento</t>
  </si>
  <si>
    <t>Mappae conceptuales sunt instrumenta ad cognitionem organizandam et repraesentandam</t>
  </si>
  <si>
    <t>Concept maps are tools for organizing and representing knowledge</t>
  </si>
  <si>
    <t>Learning How to Learn, 1984</t>
  </si>
  <si>
    <t>El aprendizaje significativo ocurre cuando el estudiante relaciona conscientemente nuevos conceptos con conceptos que ya posee</t>
  </si>
  <si>
    <t>Apprehensio significativa evenit cum discipulus conscienter conceptus novos cum conceptibus iam possessis coniungit</t>
  </si>
  <si>
    <t>Meaningful learning occurs when the learner consciously relates new concepts to concepts already possessed</t>
  </si>
  <si>
    <t>Journal of Research in Science Teaching, 27(10), 1990</t>
  </si>
  <si>
    <t>Los mapas conceptuales ayudan al estudiante a ver el significado del material de aprendizaje</t>
  </si>
  <si>
    <t>Mappae conceptuales adiuvant discipulum videre significationem materiae discendae</t>
  </si>
  <si>
    <t>Concept maps help the student to see the meaning of learning material</t>
  </si>
  <si>
    <t>Aprender significativamente es aprender a aprender</t>
  </si>
  <si>
    <t>Discere significative est discere discere</t>
  </si>
  <si>
    <t>Learning meaningfully is learning to learn</t>
  </si>
  <si>
    <t>El factor más importante que influye en el aprendizaje es lo que el alumno ya sabe. Averígüelo y enséñele en consecuencia</t>
  </si>
  <si>
    <t>Maximum momentum quod in apprehensionem influit est id quod discipulus iam scit. Hoc investiga et secundum hoc doce</t>
  </si>
  <si>
    <t>The most important single factor influencing learning is what the learner already knows. Ascertain this and teach him accordingly</t>
  </si>
  <si>
    <t>David Ausubel</t>
  </si>
  <si>
    <t>Educational Psychology: A Cognitive View, 1968, p. 18</t>
  </si>
  <si>
    <t>El aprendizaje significativo ocurre cuando una nueva información se conecta con un concepto relevante preexistente</t>
  </si>
  <si>
    <t>Apprehensio significativa evenit cum nova informatio cum conceptu relevanti praeexistenti connectitur</t>
  </si>
  <si>
    <t>Meaningful learning occurs when new information connects with a relevant preexisting concept</t>
  </si>
  <si>
    <t>Educational Psychology: A Cognitive View, 1968, pp. 21-22</t>
  </si>
  <si>
    <t>La esencia del proceso de aprendizaje significativo: ideas simbólicas relacionadas no arbitrariamente con lo que el alumno ya sabe</t>
  </si>
  <si>
    <t>Essentia processus apprehensionis significativae: ideae symbolicae non arbitrarie cum eo quod discipulus iam scit relatae</t>
  </si>
  <si>
    <t>The essence of meaningful learning: symbolic ideas related non-arbitrarily to what the learner already knows</t>
  </si>
  <si>
    <t>Educational Psychology: A Cognitive View, 1968, p. 22</t>
  </si>
  <si>
    <t>El alumno debe manifestar disposición para relacionar sustancialmente el nuevo material con su estructura cognitiva</t>
  </si>
  <si>
    <t>Discipulus dispositionem manifestare debet ad novam materiam substantialiter cum structura sua cognitiva conectendam</t>
  </si>
  <si>
    <t>The learner must manifest willingness to relate the new material substantially to his cognitive structure</t>
  </si>
  <si>
    <t>Educational Psychology: A Cognitive View, 1968, p. 23</t>
  </si>
  <si>
    <t>Los organizadores previos facilitan la asimilación</t>
  </si>
  <si>
    <t>Organizatores praeii assimilationem facilitant</t>
  </si>
  <si>
    <t>Advance organizers facilitate assimilation</t>
  </si>
  <si>
    <t>Educational Psychology: A Cognitive View, 1968, pp. 23-24</t>
  </si>
  <si>
    <t>El aprendizaje por descubrimiento no es necesariamente significativo</t>
  </si>
  <si>
    <t>Apprehensio per inventionem non necessario significativa est</t>
  </si>
  <si>
    <t>Discovery learning is not necessarily meaningful</t>
  </si>
  <si>
    <t>Educational Psychology: A Cognitive View, 1968, p. 27</t>
  </si>
  <si>
    <t>La adquisición de un cuerpo de conocimiento claro, estable y organizado es la variable más significativa para adquirir nuevos conocimientos</t>
  </si>
  <si>
    <t>Acquisitio corporis cognitionis clari, stabilis et organizati est variabilis maxime significativa ad novas cognitiones acquirendas</t>
  </si>
  <si>
    <t>The acquisition of a clear, stable and organized body of knowledge is the most significant variable for acquiring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</si>
  <si>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</si>
  <si>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</si>
  <si>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</si>
  <si>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</si>
  <si>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</si>
  <si>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</si>
  <si>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</si>
  <si>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</si>
  <si>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</si>
  <si>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</si>
  <si>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</si>
  <si>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</si>
  <si>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</si>
  <si>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</si>
  <si>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</si>
  <si>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</si>
  <si>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</si>
  <si>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</si>
  <si>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</si>
  <si>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</si>
  <si>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</si>
  <si>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</si>
  <si>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</si>
  <si>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</si>
  <si>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</si>
  <si>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</si>
  <si>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</si>
  <si>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</si>
  <si>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</si>
  <si>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</si>
  <si>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</si>
  <si>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</si>
  <si>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</si>
  <si>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</si>
  <si>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</si>
  <si>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</si>
  <si>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</si>
  <si>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</si>
  <si>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</si>
  <si>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</si>
  <si>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</si>
  <si>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</si>
  <si>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</si>
  <si>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</si>
  <si>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</si>
  <si>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</si>
  <si>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</si>
  <si>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</si>
  <si>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</si>
  <si>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</si>
  <si>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</si>
  <si>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</si>
  <si>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</si>
  <si>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</si>
  <si>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</si>
  <si>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</si>
  <si>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</si>
  <si>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</si>
  <si>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</si>
  <si>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</si>
  <si>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</si>
  <si>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</si>
  <si>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</si>
  <si>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</si>
  <si>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</si>
  <si>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</si>
  <si>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</si>
  <si>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</si>
  <si>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</si>
  <si>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</si>
  <si>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</si>
  <si>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</si>
  <si>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</si>
  <si>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</si>
  <si>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</si>
  <si>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</si>
  <si>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</si>
  <si>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</si>
  <si>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</si>
  <si>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</si>
  <si>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</si>
  <si>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</si>
  <si>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</si>
  <si>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</si>
  <si>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</si>
  <si>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</si>
  <si>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</si>
  <si>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</si>
  <si>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</si>
  <si>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</si>
  <si>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</si>
  <si>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</si>
  <si>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</si>
  <si>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</si>
  <si>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</si>
  <si>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</si>
  <si>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</si>
  <si>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</si>
  <si>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</si>
  <si>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</si>
  <si>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</si>
  <si>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</si>
  <si>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</si>
  <si>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</si>
  <si>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</si>
  <si>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</si>
  <si>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</si>
  <si>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</si>
  <si>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</si>
  <si>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</si>
  <si>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</si>
  <si>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</si>
  <si>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</si>
  <si>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</si>
  <si>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</si>
  <si>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</si>
  <si>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</si>
  <si>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</si>
  <si>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</si>
  <si>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</si>
  <si>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</si>
  <si>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</si>
  <si>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</si>
  <si>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</si>
  <si>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</si>
  <si>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</si>
  <si>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</si>
  <si>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</si>
  <si>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</si>
  <si>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</si>
  <si>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</si>
  <si>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</si>
  <si>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</si>
  <si>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</si>
  <si>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</si>
  <si>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</si>
  <si>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</si>
  <si>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</si>
  <si>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</si>
  <si>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</si>
  <si>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</si>
  <si>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</si>
  <si>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</si>
  <si>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</si>
  <si>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</si>
  <si>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</si>
  <si>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</si>
  <si>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</si>
  <si>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</si>
  <si>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</si>
  <si>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</si>
  <si>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</si>
  <si>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</si>
  <si>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</si>
  <si>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</si>
  <si>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</si>
  <si>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</si>
  <si>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</si>
  <si>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</si>
  <si>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</si>
  <si>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</si>
  <si>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</si>
  <si>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</si>
  <si>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</si>
  <si>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</si>
  <si>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</si>
  <si>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</si>
  <si>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</si>
  <si>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</si>
  <si>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</si>
  <si>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</si>
  <si>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</si>
  <si>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</si>
  <si>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</si>
  <si>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</si>
  <si>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</si>
  <si>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</si>
  <si>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</si>
  <si>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</si>
  <si>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</si>
  <si>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</si>
  <si>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</si>
  <si>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</si>
  <si>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</si>
  <si>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</si>
  <si>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</si>
  <si>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</si>
  <si>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</si>
  <si>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</si>
  <si>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</si>
  <si>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</si>
  <si>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</si>
  <si>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</si>
  <si>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</si>
  <si>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</si>
  <si>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</si>
  <si>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</si>
  <si>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</si>
  <si>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</si>
  <si>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</si>
  <si>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</si>
  <si>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</si>
  <si>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</si>
  <si>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</si>
  <si>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</si>
  <si>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</si>
  <si>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</si>
  <si>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</si>
  <si>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</si>
  <si>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</si>
  <si>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</si>
  <si>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</si>
  <si>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</si>
  <si>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</si>
  <si>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</si>
  <si>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</si>
  <si>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</si>
  <si>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</si>
  <si>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</si>
  <si>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</si>
  <si>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</si>
  <si>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</si>
  <si>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</si>
  <si>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</si>
  <si>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</si>
  <si>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</si>
  <si>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</si>
  <si>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</si>
  <si>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</si>
  <si>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</si>
  <si>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</si>
  <si>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</si>
  <si>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</si>
  <si>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</si>
  <si>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</si>
  <si>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</si>
  <si>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</si>
  <si>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</si>
  <si>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</si>
  <si>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</si>
  <si>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</si>
  <si>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</si>
  <si>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</si>
  <si>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</si>
  <si>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</si>
  <si>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</si>
  <si>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</si>
  <si>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</si>
  <si>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</si>
  <si>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</si>
  <si>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</si>
  <si>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</si>
  <si>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</si>
  <si>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</si>
  <si>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</si>
  <si>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</si>
  <si>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</si>
  <si>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</si>
  <si>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</si>
  <si>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</si>
  <si>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</si>
  <si>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</si>
  <si>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</si>
  <si>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</si>
  <si>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</si>
  <si>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</si>
  <si>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</si>
  <si>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</si>
  <si>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</si>
  <si>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</si>
  <si>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</si>
  <si>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</si>
  <si>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</si>
  <si>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</si>
  <si>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</si>
  <si>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</si>
  <si>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</si>
  <si>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</si>
  <si>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</si>
  <si>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</si>
  <si>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</si>
  <si>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</si>
  <si>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</si>
  <si>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</si>
  <si>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</si>
  <si>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</si>
  <si>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</si>
  <si>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</si>
  <si>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</si>
  <si>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</si>
  <si>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</si>
  <si>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</si>
  <si>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</si>
  <si>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</si>
  <si>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</si>
  <si>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</si>
  <si>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</si>
  <si>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</si>
  <si>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</si>
  <si>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</si>
  <si>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</si>
  <si>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</si>
  <si>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</si>
  <si>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</si>
  <si>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</si>
  <si>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</si>
  <si>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</si>
  <si>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</si>
  <si>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</si>
  <si>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</si>
  <si>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</si>
  <si>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</si>
  <si>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</si>
  <si>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</si>
  <si>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</si>
  <si>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</si>
  <si>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</si>
  <si>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</si>
  <si>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</si>
  <si>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</si>
  <si>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</si>
  <si>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</si>
  <si>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</si>
  <si>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</si>
  <si>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</si>
  <si>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</si>
  <si>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</si>
  <si>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</si>
  <si>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</si>
  <si>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</si>
  <si>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</si>
  <si>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</si>
  <si>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</si>
  <si>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</si>
  <si>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</si>
  <si>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</si>
  <si>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</si>
  <si>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</si>
  <si>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</si>
  <si>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</si>
  <si>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</si>
  <si>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</si>
  <si>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</si>
  <si>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</si>
  <si>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</si>
  <si>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</si>
  <si>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</si>
  <si>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</si>
  <si>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</si>
  <si>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</si>
  <si>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</si>
  <si>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</si>
  <si>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</si>
  <si>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</si>
  <si>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</si>
  <si>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</si>
  <si>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</si>
  <si>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</si>
  <si>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</si>
  <si>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</si>
  <si>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</si>
  <si>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</si>
  <si>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</si>
  <si>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</si>
  <si>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</si>
  <si>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</si>
  <si>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</si>
  <si>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</si>
  <si>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</si>
  <si>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</si>
  <si>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</si>
  <si>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</si>
  <si>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</si>
  <si>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</si>
  <si>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</si>
  <si>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</si>
  <si>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</si>
  <si>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</si>
  <si>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</si>
  <si>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</si>
  <si>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</si>
  <si>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</si>
  <si>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</si>
  <si>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</si>
  <si>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</si>
  <si>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</si>
  <si>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</si>
  <si>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</si>
  <si>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</si>
  <si>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</si>
  <si>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</si>
  <si>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</si>
  <si>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</si>
  <si>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</si>
  <si>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</si>
  <si>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</si>
  <si>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</si>
  <si>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</si>
  <si>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</si>
  <si>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</si>
  <si>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</si>
  <si>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</si>
  <si>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</si>
  <si>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</si>
  <si>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</si>
  <si>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</si>
  <si>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</si>
  <si>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</si>
  <si>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</si>
  <si>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</si>
  <si>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</si>
  <si>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</si>
  <si>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</si>
  <si>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</si>
  <si>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</si>
  <si>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</si>
  <si>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</si>
  <si>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</si>
  <si>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</si>
  <si>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</si>
  <si>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</si>
  <si>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</si>
  <si>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</si>
  <si>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</si>
  <si>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</si>
  <si>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</si>
  <si>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</si>
  <si>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</si>
  <si>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</si>
  <si>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</si>
  <si>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</si>
  <si>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</si>
  <si>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</si>
  <si>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</si>
  <si>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</si>
  <si>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</si>
  <si>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</si>
  <si>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</si>
  <si>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</si>
  <si>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</si>
  <si>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</si>
  <si>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</si>
  <si>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</si>
  <si>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</si>
  <si>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</si>
  <si>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</si>
  <si>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</si>
  <si>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</si>
  <si>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</si>
  <si>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</si>
  <si>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</si>
  <si>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</si>
  <si>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</si>
  <si>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</si>
  <si>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</si>
  <si>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</si>
  <si>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</si>
  <si>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</si>
  <si>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</si>
  <si>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</si>
  <si>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</si>
  <si>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</si>
  <si>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</si>
  <si>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</si>
  <si>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</si>
  <si>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</si>
  <si>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</si>
  <si>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</si>
  <si>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</si>
  <si>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</si>
  <si>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</si>
  <si>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</si>
  <si>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</si>
  <si>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</si>
  <si>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</si>
  <si>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</si>
  <si>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</si>
  <si>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</si>
  <si>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</si>
  <si>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</si>
  <si>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</si>
  <si>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</si>
  <si>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</si>
  <si>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</si>
  <si>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</si>
  <si>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</si>
  <si>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</si>
  <si>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</si>
  <si>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</si>
  <si>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</si>
  <si>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</si>
  <si>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</si>
  <si>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</si>
  <si>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</si>
  <si>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</si>
  <si>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</si>
  <si>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</si>
  <si>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</si>
  <si>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</si>
  <si>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</si>
  <si>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</si>
  <si>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</si>
  <si>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</si>
  <si>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</si>
  <si>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</si>
  <si>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</si>
  <si>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</si>
  <si>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</si>
  <si>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</si>
  <si>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</si>
  <si>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</si>
  <si>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</si>
  <si>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</si>
  <si>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</si>
  <si>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</si>
  <si>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</si>
  <si>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</si>
  <si>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</si>
  <si>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</si>
  <si>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</si>
  <si>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</si>
  <si>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</si>
  <si>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</si>
  <si>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</si>
  <si>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</si>
  <si>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</si>
  <si>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</si>
  <si>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</si>
  <si>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</si>
  <si>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</si>
  <si>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</si>
  <si>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</si>
  <si>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</si>
  <si>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</si>
  <si>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</si>
  <si>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</si>
  <si>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</si>
  <si>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</si>
  <si>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</si>
  <si>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</si>
  <si>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</si>
  <si>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</si>
  <si>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</si>
  <si>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</si>
  <si>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</si>
  <si>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</si>
  <si>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</si>
  <si>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</si>
  <si>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</si>
  <si>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</si>
  <si>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</si>
  <si>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</si>
  <si>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</si>
  <si>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</si>
  <si>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</si>
  <si>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</si>
  <si>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</si>
  <si>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</si>
  <si>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</si>
  <si>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</si>
  <si>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</si>
  <si>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</si>
  <si>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</si>
  <si>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</si>
  <si>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</si>
  <si>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</si>
  <si>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</si>
  <si>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</si>
  <si>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</si>
  <si>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</si>
  <si>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</si>
  <si>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</si>
  <si>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</si>
  <si>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</si>
  <si>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</si>
  <si>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</si>
  <si>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</si>
  <si>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</si>
  <si>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</si>
  <si>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</si>
  <si>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</si>
  <si>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</si>
  <si>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</si>
  <si>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</si>
  <si>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</si>
  <si>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</si>
  <si>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</si>
  <si>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</si>
  <si>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</si>
  <si>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</si>
  <si>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</si>
  <si>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</si>
  <si>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</si>
  <si>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</si>
  <si>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</si>
  <si>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</si>
  <si>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</si>
  <si>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</si>
  <si>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</si>
  <si>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</si>
  <si>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</si>
  <si>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</si>
  <si>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</si>
  <si>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</si>
  <si>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</si>
  <si>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</si>
  <si>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</si>
  <si>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</si>
  <si>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</si>
  <si>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</si>
  <si>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</si>
  <si>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</si>
  <si>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</si>
  <si>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</si>
  <si>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</si>
  <si>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</si>
  <si>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</si>
  <si>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</si>
  <si>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</si>
  <si>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</si>
  <si>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</si>
  <si>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</si>
  <si>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</si>
  <si>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</si>
  <si>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</si>
  <si>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</si>
  <si>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</si>
  <si>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</si>
  <si>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</si>
  <si>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</si>
  <si>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</si>
  <si>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</si>
  <si>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</si>
  <si>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</si>
  <si>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</si>
  <si>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</si>
  <si>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</si>
  <si>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</si>
  <si>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</si>
  <si>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</si>
  <si>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</si>
  <si>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</si>
  <si>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</si>
  <si>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</si>
  <si>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</si>
  <si>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</si>
  <si>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</si>
  <si>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</si>
  <si>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</si>
  <si>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</si>
  <si>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</si>
  <si>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</si>
  <si>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</si>
  <si>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</si>
  <si>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</si>
  <si>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</si>
  <si>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</si>
  <si>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</si>
  <si>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</si>
  <si>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</si>
  <si>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</si>
  <si>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</si>
  <si>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</si>
  <si>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</si>
  <si>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</si>
  <si>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</si>
  <si>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</si>
  <si>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</si>
  <si>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</si>
  <si>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</si>
  <si>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</si>
  <si>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</si>
  <si>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</si>
  <si>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</si>
  <si>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</si>
  <si>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</si>
  <si>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</si>
  <si>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</si>
  <si>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</si>
  <si>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</si>
  <si>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</si>
  <si>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</si>
  <si>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</si>
  <si>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</si>
  <si>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</si>
  <si>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</si>
  <si>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</si>
  <si>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</si>
  <si>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</si>
  <si>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</si>
  <si>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</si>
  <si>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</si>
  <si>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</si>
  <si>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</si>
  <si>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</si>
  <si>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</si>
  <si>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</si>
  <si>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</si>
  <si>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</si>
  <si>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</si>
  <si>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</si>
  <si>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</si>
  <si>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</si>
  <si>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</si>
  <si>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</si>
  <si>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</si>
  <si>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</si>
  <si>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</si>
  <si>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</si>
  <si>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</si>
  <si>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</si>
  <si>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</si>
  <si>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</si>
  <si>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</si>
  <si>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</si>
  <si>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</si>
  <si>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</si>
  <si>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</si>
  <si>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</si>
  <si>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</si>
  <si>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</si>
  <si>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</si>
  <si>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</si>
  <si>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</si>
  <si>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</si>
  <si>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</si>
  <si>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</si>
  <si>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</si>
  <si>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</si>
  <si>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</si>
  <si>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</si>
  <si>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</si>
  <si>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</si>
  <si>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</si>
  <si>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</si>
  <si>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</si>
  <si>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</si>
  <si>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</si>
  <si>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</si>
  <si>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</si>
  <si>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</si>
  <si>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</si>
  <si>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</si>
  <si>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</si>
  <si>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</si>
  <si>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</si>
  <si>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</si>
  <si>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</si>
  <si>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</si>
  <si>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</si>
  <si>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</si>
  <si>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</si>
  <si>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</si>
  <si>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</si>
  <si>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</si>
  <si>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</si>
  <si>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</si>
  <si>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</si>
  <si>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</si>
  <si>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</si>
  <si>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</si>
  <si>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</si>
  <si>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</si>
  <si>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</si>
  <si>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</si>
  <si>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</si>
  <si>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</si>
  <si>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</si>
  <si>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</si>
  <si>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</si>
  <si>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</si>
  <si>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</si>
  <si>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</si>
  <si>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</si>
  <si>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</si>
  <si>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</si>
  <si>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</si>
  <si>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</si>
  <si>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</si>
  <si>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</si>
  <si>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</si>
  <si>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</si>
  <si>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</si>
  <si>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</si>
  <si>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</si>
  <si>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</si>
  <si>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</si>
  <si>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</si>
  <si>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</si>
  <si>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</si>
  <si>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</si>
  <si>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</si>
  <si>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</si>
  <si>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</si>
  <si>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</si>
  <si>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</si>
  <si>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</si>
  <si>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</si>
  <si>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</si>
  <si>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</si>
  <si>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</si>
  <si>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</si>
  <si>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</si>
  <si>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</si>
  <si>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</si>
  <si>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</si>
  <si>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</si>
  <si>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</si>
  <si>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</si>
  <si>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</si>
  <si>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</si>
  <si>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</si>
  <si>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</si>
  <si>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</si>
  <si>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</si>
  <si>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</si>
  <si>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</si>
  <si>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</si>
  <si>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</si>
  <si>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</si>
  <si>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</si>
  <si>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</si>
  <si>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</si>
  <si>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</si>
  <si>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</si>
  <si>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</si>
  <si>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</si>
  <si>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</si>
  <si>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</si>
  <si>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</si>
  <si>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</si>
  <si>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</si>
  <si>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</si>
  <si>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</si>
  <si>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</si>
  <si>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</si>
  <si>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</si>
  <si>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</si>
  <si>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</si>
  <si>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</si>
  <si>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</si>
  <si>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</si>
  <si>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</si>
  <si>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</si>
  <si>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</si>
  <si>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</si>
  <si>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</si>
  <si>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</si>
  <si>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</si>
  <si>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</si>
  <si>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</si>
  <si>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</si>
  <si>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</si>
  <si>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</si>
  <si>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</si>
  <si>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</si>
  <si>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</si>
  <si>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</si>
  <si>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</si>
  <si>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</si>
  <si>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</si>
  <si>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</si>
  <si>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</si>
  <si>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</si>
  <si>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</si>
  <si>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</si>
  <si>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</si>
  <si>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</si>
  <si>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</si>
  <si>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</si>
  <si>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</si>
  <si>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</si>
  <si>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</si>
  <si>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</si>
  <si>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</si>
  <si>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</si>
  <si>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</si>
  <si>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</si>
  <si>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</si>
  <si>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</si>
  <si>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</si>
  <si>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</si>
  <si>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</si>
  <si>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</si>
  <si>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</si>
  <si>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</si>
  <si>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</si>
  <si>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</si>
  <si>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</si>
  <si>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</si>
  <si>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</si>
  <si>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</si>
  <si>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</si>
  <si>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</si>
  <si>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</si>
  <si>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</si>
  <si>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</si>
  <si>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</si>
  <si>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</si>
  <si>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</si>
  <si>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</si>
  <si>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</si>
  <si>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</si>
  <si>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</si>
  <si>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</si>
  <si>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</si>
  <si>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</si>
  <si>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</si>
  <si>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</si>
  <si>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</si>
  <si>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</si>
  <si>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</si>
  <si>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</si>
  <si>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</si>
  <si>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</si>
  <si>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</si>
  <si>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</si>
  <si>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</si>
  <si>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</si>
  <si>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</si>
  <si>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</si>
  <si>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</si>
  <si>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</si>
  <si>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</si>
  <si>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</si>
  <si>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</si>
  <si>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</si>
  <si>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</si>
  <si>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</si>
  <si>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</si>
  <si>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</si>
  <si>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</si>
  <si>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</si>
  <si>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</si>
  <si>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</si>
  <si>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</si>
  <si>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</si>
  <si>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</si>
  <si>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</si>
  <si>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</si>
  <si>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</si>
  <si>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</si>
  <si>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</si>
  <si>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</si>
  <si>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</si>
  <si>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</si>
  <si>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</si>
  <si>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</si>
  <si>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</si>
  <si>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</si>
  <si>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</si>
  <si>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</si>
  <si>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</si>
  <si>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</si>
  <si>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</si>
  <si>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</si>
  <si>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</si>
  <si>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</si>
  <si>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</si>
  <si>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</si>
  <si>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</si>
  <si>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</si>
  <si>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</si>
  <si>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</si>
  <si>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</si>
  <si>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</si>
  <si>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</si>
  <si>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</si>
  <si>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</si>
  <si>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</si>
  <si>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</si>
  <si>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</si>
  <si>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</si>
  <si>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</si>
  <si>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</si>
  <si>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</si>
  <si>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</si>
  <si>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</si>
  <si>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</si>
  <si>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</si>
  <si>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</si>
  <si>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</si>
  <si>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</si>
  <si>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</si>
  <si>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</si>
  <si>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</si>
  <si>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</si>
  <si>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</si>
  <si>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</si>
  <si>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</si>
  <si>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</si>
  <si>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</si>
  <si>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</si>
  <si>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</si>
  <si>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</si>
  <si>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</si>
  <si>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</si>
  <si>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</si>
  <si>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</si>
  <si>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</si>
  <si>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</si>
  <si>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</si>
  <si>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</si>
  <si>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</si>
  <si>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</si>
  <si>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</si>
  <si>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</si>
  <si>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</si>
  <si>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</si>
  <si>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</si>
  <si>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</si>
  <si>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</si>
  <si>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</si>
  <si>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</si>
  <si>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</si>
  <si>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</si>
  <si>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</si>
  <si>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</si>
  <si>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</si>
  <si>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</si>
  <si>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</si>
  <si>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</si>
  <si>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</si>
  <si>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</si>
  <si>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</si>
  <si>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</si>
  <si>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</si>
  <si>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</si>
  <si>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</si>
  <si>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</si>
  <si>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</si>
  <si>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</si>
  <si>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</si>
  <si>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</si>
  <si>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</si>
  <si>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</si>
  <si>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</si>
  <si>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</si>
  <si>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</si>
  <si>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</si>
  <si>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</si>
  <si>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</si>
  <si>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</si>
  <si>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</si>
  <si>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</si>
  <si>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</si>
  <si>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</si>
  <si>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</si>
  <si>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</si>
  <si>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</si>
  <si>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</si>
  <si>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</si>
  <si>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</si>
  <si>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</si>
  <si>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</si>
  <si>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</si>
  <si>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</si>
  <si>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</si>
  <si>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</si>
  <si>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</si>
  <si>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</si>
  <si>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</si>
  <si>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</si>
  <si>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</si>
  <si>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</si>
  <si>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</si>
  <si>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</si>
  <si>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</si>
  <si>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</si>
  <si>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</si>
  <si>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</si>
  <si>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</si>
  <si>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</si>
  <si>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</si>
  <si>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</si>
  <si>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</si>
  <si>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</si>
  <si>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</si>
  <si>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</si>
  <si>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</si>
  <si>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</si>
  <si>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</si>
  <si>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</si>
  <si>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</si>
  <si>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</si>
  <si>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</si>
  <si>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</si>
  <si>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</si>
  <si>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</si>
  <si>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</si>
  <si>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</si>
  <si>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</si>
  <si>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</si>
  <si>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</si>
  <si>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</si>
  <si>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</si>
  <si>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</si>
  <si>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</si>
  <si>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</si>
  <si>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</si>
  <si>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</si>
  <si>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</si>
  <si>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</si>
  <si>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</si>
  <si>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</si>
  <si>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</si>
  <si>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</si>
  <si>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</si>
  <si>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</si>
  <si>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</si>
  <si>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</si>
  <si>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</si>
  <si>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</si>
  <si>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</si>
  <si>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</si>
  <si>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</si>
  <si>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</si>
  <si>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</si>
  <si>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</si>
  <si>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</si>
  <si>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</si>
  <si>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</si>
  <si>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</si>
  <si>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</si>
  <si>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</si>
  <si>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</si>
  <si>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</si>
  <si>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</si>
  <si>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</si>
  <si>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</si>
  <si>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</si>
  <si>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</si>
  <si>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</si>
  <si>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</si>
  <si>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</si>
  <si>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</si>
  <si>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</si>
  <si>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</si>
  <si>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</si>
  <si>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</si>
  <si>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</si>
  <si>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</si>
  <si>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</si>
  <si>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</si>
  <si>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</si>
  <si>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</si>
  <si>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</si>
  <si>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</si>
  <si>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</si>
  <si>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</si>
  <si>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</si>
  <si>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</si>
  <si>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</si>
  <si>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</si>
  <si>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</si>
  <si>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</si>
  <si>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</si>
  <si>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</si>
  <si>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</si>
  <si>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</si>
  <si>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</si>
  <si>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</si>
  <si>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</si>
  <si>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</si>
  <si>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</si>
  <si>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</si>
  <si>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</si>
  <si>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</si>
  <si>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</si>
  <si>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</si>
  <si>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</si>
  <si>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</si>
  <si>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</si>
  <si>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</si>
  <si>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</si>
  <si>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</si>
  <si>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</si>
  <si>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</si>
  <si>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</si>
  <si>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</si>
  <si>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</si>
  <si>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</si>
  <si>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</si>
  <si>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</si>
  <si>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</si>
  <si>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</si>
  <si>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</si>
  <si>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</si>
  <si>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</si>
  <si>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</si>
  <si>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</si>
  <si>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</si>
  <si>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</si>
  <si>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</si>
  <si>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</si>
  <si>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</si>
  <si>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</si>
  <si>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</si>
  <si>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</si>
  <si>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</si>
  <si>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</si>
  <si>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</si>
  <si>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</si>
  <si>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</si>
  <si>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</si>
  <si>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</si>
  <si>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</si>
  <si>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</si>
  <si>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</si>
  <si>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</si>
  <si>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</si>
  <si>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</si>
  <si>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</si>
  <si>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</si>
  <si>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</si>
  <si>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</si>
  <si>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</si>
  <si>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</si>
  <si>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</si>
  <si>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</si>
  <si>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</si>
  <si>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</si>
  <si>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</si>
  <si>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</si>
  <si>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</si>
  <si>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</si>
  <si>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</si>
  <si>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</si>
  <si>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</si>
  <si>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</si>
  <si>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</si>
  <si>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</si>
  <si>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</si>
  <si>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</si>
  <si>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</si>
  <si>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</si>
  <si>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</si>
  <si>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</si>
  <si>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</si>
  <si>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</si>
  <si>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</si>
  <si>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</si>
  <si>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</si>
  <si>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</si>
  <si>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</si>
  <si>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</si>
  <si>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</si>
  <si>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</si>
  <si>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</si>
  <si>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</si>
  <si>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</si>
  <si>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</si>
  <si>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</si>
  <si>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</si>
  <si>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</si>
  <si>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</si>
  <si>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</si>
  <si>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</si>
  <si>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</si>
  <si>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</si>
  <si>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</si>
  <si>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</si>
  <si>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</si>
  <si>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</si>
  <si>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</si>
  <si>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</si>
  <si>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</si>
  <si>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</si>
  <si>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</si>
  <si>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</si>
  <si>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</si>
  <si>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</si>
  <si>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</si>
  <si>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</si>
  <si>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</si>
  <si>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</si>
  <si>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</si>
  <si>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</si>
  <si>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</si>
  <si>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</si>
  <si>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</si>
  <si>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</si>
  <si>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</si>
  <si>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</si>
  <si>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</si>
  <si>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</si>
  <si>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</si>
  <si>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</si>
  <si>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</si>
  <si>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</si>
  <si>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</si>
  <si>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</si>
  <si>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</si>
  <si>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</si>
  <si>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</si>
  <si>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</si>
  <si>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</si>
  <si>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</si>
  <si>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</si>
  <si>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</si>
  <si>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</si>
  <si>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</si>
  <si>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</si>
  <si>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</si>
  <si>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</si>
  <si>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</si>
  <si>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</si>
  <si>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</si>
  <si>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</si>
  <si>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</si>
  <si>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</si>
  <si>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</si>
  <si>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</si>
  <si>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</si>
  <si>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</si>
  <si>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</si>
  <si>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</si>
  <si>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</si>
  <si>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</si>
  <si>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</si>
  <si>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</si>
  <si>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</si>
  <si>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</si>
  <si>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</si>
  <si>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</si>
  <si>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</si>
  <si>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</si>
  <si>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</si>
  <si>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</si>
  <si>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</si>
  <si>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</si>
  <si>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</si>
  <si>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</si>
  <si>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</si>
  <si>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</si>
  <si>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</si>
  <si>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</si>
  <si>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</si>
  <si>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</si>
  <si>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</si>
  <si>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</si>
  <si>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</si>
  <si>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</si>
  <si>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</si>
  <si>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</si>
  <si>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</si>
  <si>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</si>
  <si>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</si>
  <si>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</si>
  <si>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</si>
  <si>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</si>
  <si>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</si>
  <si>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</si>
  <si>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</si>
  <si>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</si>
  <si>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</si>
  <si>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</si>
  <si>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</si>
  <si>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</si>
  <si>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</si>
  <si>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</si>
  <si>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</si>
  <si>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</si>
  <si>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</si>
  <si>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</si>
  <si>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</si>
  <si>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</si>
  <si>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</si>
  <si>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</si>
  <si>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</si>
  <si>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</si>
  <si>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</si>
  <si>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</si>
  <si>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</si>
  <si>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</si>
  <si>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</si>
  <si>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</si>
  <si>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</si>
  <si>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</si>
  <si>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</si>
  <si>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</si>
  <si>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</si>
  <si>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</si>
  <si>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</si>
  <si>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</si>
  <si>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</si>
  <si>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</si>
  <si>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</si>
  <si>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</si>
  <si>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</si>
  <si>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</si>
  <si>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</si>
  <si>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</si>
  <si>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</si>
  <si>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</si>
  <si>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</si>
  <si>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</si>
  <si>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</si>
  <si>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</si>
  <si>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</si>
  <si>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</si>
  <si>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</si>
  <si>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</si>
  <si>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</si>
  <si>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</si>
  <si>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</si>
  <si>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</si>
  <si>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</si>
  <si>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</si>
  <si>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</si>
  <si>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</si>
  <si>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</si>
  <si>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</si>
  <si>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</si>
  <si>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</si>
  <si>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</si>
  <si>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</si>
  <si>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</si>
  <si>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</si>
  <si>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</si>
  <si>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</si>
  <si>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</si>
  <si>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</si>
  <si>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</si>
  <si>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</si>
  <si>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</si>
  <si>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</si>
  <si>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</si>
  <si>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</si>
  <si>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</si>
  <si>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</si>
  <si>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</si>
  <si>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</si>
  <si>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</si>
  <si>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</si>
  <si>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</si>
  <si>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</si>
  <si>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</si>
  <si>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</si>
  <si>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</si>
  <si>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</si>
  <si>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</si>
  <si>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</si>
  <si>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</si>
  <si>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</si>
  <si>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</si>
  <si>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</si>
  <si>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</si>
  <si>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</si>
  <si>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</si>
  <si>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</si>
  <si>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</si>
  <si>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</si>
  <si>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</si>
  <si>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</si>
  <si>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</si>
  <si>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</si>
  <si>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</si>
  <si>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</si>
  <si>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</si>
  <si>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</si>
  <si>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</si>
  <si>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</si>
  <si>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</si>
  <si>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</si>
  <si>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</si>
  <si>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</si>
  <si>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</si>
  <si>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</si>
  <si>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</si>
  <si>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</si>
  <si>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</si>
  <si>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</si>
  <si>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</si>
  <si>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</si>
  <si>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</si>
  <si>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</si>
  <si>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</si>
  <si>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</si>
  <si>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</si>
  <si>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</si>
  <si>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</si>
  <si>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</si>
  <si>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</si>
  <si>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</si>
  <si>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</si>
  <si>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</si>
  <si>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</si>
  <si>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</si>
  <si>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</si>
  <si>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</si>
  <si>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</si>
  <si>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</si>
  <si>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</si>
  <si>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</si>
  <si>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</si>
  <si>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</si>
  <si>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</si>
  <si>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</si>
  <si>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</si>
  <si>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</si>
  <si>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</si>
  <si>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</si>
  <si>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</si>
  <si>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</si>
  <si>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</si>
  <si>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</si>
  <si>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</si>
  <si>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</si>
  <si>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</si>
  <si>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</si>
  <si>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</si>
  <si>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</si>
  <si>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</si>
  <si>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</si>
  <si>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</si>
  <si>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</si>
  <si>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</si>
  <si>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</si>
  <si>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</si>
  <si>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</si>
  <si>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</si>
  <si>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</si>
  <si>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</si>
  <si>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</si>
  <si>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</si>
  <si>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</si>
  <si>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</si>
  <si>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</si>
  <si>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</si>
  <si>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</si>
  <si>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</si>
  <si>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</si>
  <si>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</si>
  <si>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</si>
  <si>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</si>
  <si>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</si>
  <si>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</si>
  <si>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</si>
  <si>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</si>
  <si>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</si>
  <si>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</si>
  <si>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</si>
  <si>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</si>
  <si>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</si>
  <si>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</si>
  <si>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</si>
  <si>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</si>
  <si>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</si>
  <si>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</si>
  <si>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</si>
  <si>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</si>
  <si>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</si>
  <si>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</si>
  <si>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</si>
  <si>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</si>
  <si>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</si>
  <si>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</si>
  <si>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</si>
  <si>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</si>
  <si>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</si>
  <si>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</si>
  <si>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</si>
  <si>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</si>
  <si>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</si>
  <si>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</si>
  <si>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</si>
  <si>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</si>
  <si>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</si>
  <si>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</si>
  <si>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</si>
  <si>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</si>
  <si>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</si>
  <si>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</si>
  <si>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</si>
  <si>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</si>
  <si>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</si>
  <si>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</si>
  <si>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</si>
  <si>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</si>
  <si>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</si>
  <si>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</si>
  <si>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</si>
  <si>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</si>
  <si>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</si>
  <si>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</si>
  <si>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</si>
  <si>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</si>
  <si>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</si>
  <si>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</si>
  <si>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</si>
  <si>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</si>
  <si>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</si>
  <si>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</si>
  <si>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</si>
  <si>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</si>
  <si>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</si>
  <si>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</si>
  <si>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</si>
  <si>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</si>
  <si>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</si>
  <si>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</si>
  <si>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</si>
  <si>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</si>
  <si>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</si>
  <si>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</si>
  <si>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</si>
  <si>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</si>
  <si>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</si>
  <si>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</si>
  <si>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</si>
  <si>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</si>
  <si>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</si>
  <si>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</si>
  <si>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</si>
  <si>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</si>
  <si>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</si>
  <si>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</si>
  <si>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</si>
  <si>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</si>
  <si>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</si>
  <si>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</si>
  <si>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</si>
  <si>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</si>
  <si>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</si>
  <si>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</si>
  <si>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</si>
  <si>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</si>
  <si>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</si>
  <si>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</si>
  <si>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</si>
  <si>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</si>
  <si>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</si>
  <si>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</si>
  <si>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</si>
  <si>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</si>
  <si>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</si>
  <si>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</si>
  <si>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</si>
  <si>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</si>
  <si>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</si>
  <si>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</si>
  <si>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</si>
  <si>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</si>
  <si>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</si>
  <si>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</si>
  <si>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</si>
  <si>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</si>
  <si>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</si>
  <si>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</si>
  <si>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</si>
  <si>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</si>
  <si>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</si>
  <si>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</si>
  <si>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</si>
  <si>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</si>
  <si>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</si>
  <si>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</si>
  <si>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</si>
  <si>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</si>
  <si>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</si>
  <si>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</si>
  <si>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</si>
  <si>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</si>
  <si>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</si>
  <si>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</si>
  <si>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</si>
  <si>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</si>
  <si>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</si>
  <si>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</si>
  <si>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</si>
  <si>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</si>
  <si>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</si>
  <si>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</si>
  <si>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</si>
  <si>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</si>
  <si>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</si>
  <si>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</si>
  <si>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</si>
  <si>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</si>
  <si>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</si>
  <si>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</si>
  <si>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</si>
  <si>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</si>
  <si>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</si>
  <si>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</si>
  <si>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</si>
  <si>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</si>
  <si>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</si>
  <si>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</si>
  <si>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</si>
  <si>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</si>
  <si>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</si>
  <si>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</si>
  <si>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</si>
  <si>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</si>
  <si>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</si>
  <si>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</si>
  <si>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</si>
  <si>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</si>
  <si>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</si>
  <si>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</si>
  <si>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</si>
  <si>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</si>
  <si>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</si>
  <si>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</si>
  <si>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</si>
  <si>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</si>
  <si>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</si>
  <si>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</si>
  <si>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</si>
  <si>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</si>
  <si>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</si>
  <si>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</si>
  <si>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</si>
  <si>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</si>
  <si>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</si>
  <si>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</si>
  <si>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</si>
  <si>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</si>
  <si>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</si>
  <si>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</si>
  <si>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</si>
  <si>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</si>
  <si>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</si>
  <si>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</si>
  <si>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</si>
  <si>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</si>
  <si>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</si>
  <si>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</si>
  <si>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</si>
  <si>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</si>
  <si>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</si>
  <si>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</si>
  <si>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</si>
  <si>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</si>
  <si>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</si>
  <si>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</si>
  <si>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</si>
  <si>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</si>
  <si>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</si>
  <si>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</si>
  <si>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</si>
  <si>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</si>
  <si>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</si>
  <si>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</si>
  <si>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</si>
  <si>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</si>
  <si>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</si>
  <si>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</si>
  <si>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</si>
  <si>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</si>
  <si>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</si>
  <si>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</si>
  <si>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</si>
  <si>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</si>
  <si>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</si>
  <si>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</si>
  <si>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</si>
  <si>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</si>
  <si>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</si>
  <si>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</si>
  <si>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</si>
  <si>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</si>
  <si>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</si>
  <si>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</si>
  <si>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</si>
  <si>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</si>
  <si>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</si>
  <si>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</si>
  <si>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</si>
  <si>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</si>
  <si>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</si>
  <si>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</si>
  <si>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</si>
  <si>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</si>
  <si>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</si>
  <si>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</si>
  <si>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</si>
  <si>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</si>
  <si>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</si>
  <si>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</si>
  <si>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</si>
  <si>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</si>
  <si>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</si>
  <si>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</si>
  <si>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</si>
  <si>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</si>
  <si>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</si>
  <si>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</si>
  <si>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</si>
  <si>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</si>
  <si>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</si>
  <si>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</si>
  <si>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</si>
  <si>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</si>
  <si>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</si>
  <si>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</si>
  <si>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</si>
  <si>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</si>
  <si>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</si>
  <si>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</si>
  <si>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</si>
  <si>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</si>
  <si>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</si>
  <si>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</si>
  <si>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</si>
  <si>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</si>
  <si>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</si>
  <si>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</si>
  <si>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</si>
  <si>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</si>
  <si>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</si>
  <si>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</si>
  <si>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</si>
  <si>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</si>
  <si>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</si>
  <si>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</si>
  <si>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</si>
  <si>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</si>
  <si>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</si>
  <si>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</si>
  <si>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</si>
  <si>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</si>
  <si>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</si>
  <si>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</si>
  <si>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</si>
  <si>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</si>
  <si>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</si>
  <si>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</si>
  <si>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</si>
  <si>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</si>
  <si>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</si>
  <si>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</si>
  <si>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</si>
  <si>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</si>
  <si>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</si>
  <si>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</si>
  <si>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</si>
  <si>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</si>
  <si>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</si>
  <si>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</si>
  <si>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</si>
  <si>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</si>
  <si>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</si>
  <si>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</si>
  <si>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</si>
  <si>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</si>
  <si>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</si>
  <si>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</si>
  <si>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</si>
  <si>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</si>
  <si>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</si>
  <si>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</si>
  <si>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</si>
  <si>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</si>
  <si>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</si>
  <si>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</si>
  <si>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</si>
  <si>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</si>
  <si>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</si>
  <si>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</si>
  <si>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</si>
  <si>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</si>
  <si>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</si>
  <si>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</si>
  <si>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</si>
  <si>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</si>
  <si>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</si>
  <si>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</si>
  <si>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</si>
  <si>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</si>
  <si>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</si>
  <si>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</si>
  <si>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</si>
  <si>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</si>
  <si>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</si>
  <si>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</si>
  <si>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</si>
  <si>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</si>
  <si>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</si>
  <si>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</si>
  <si>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</si>
  <si>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</si>
  <si>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</si>
  <si>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</si>
  <si>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</si>
  <si>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</si>
  <si>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</si>
  <si>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</si>
  <si>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</si>
  <si>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</si>
  <si>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</si>
  <si>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</si>
  <si>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</si>
  <si>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</si>
  <si>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</si>
  <si>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</si>
  <si>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</si>
  <si>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</si>
  <si>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</si>
  <si>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</si>
  <si>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</si>
  <si>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</si>
  <si>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</si>
  <si>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</si>
  <si>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</si>
  <si>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</si>
  <si>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</si>
  <si>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</si>
  <si>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</si>
  <si>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</si>
  <si>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</si>
  <si>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</si>
  <si>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</si>
  <si>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</si>
  <si>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</si>
  <si>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</si>
  <si>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</si>
  <si>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</si>
  <si>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</si>
  <si>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</si>
  <si>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</si>
  <si>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</si>
  <si>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</si>
  <si>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</si>
  <si>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</si>
  <si>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</si>
  <si>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</si>
  <si>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</si>
  <si>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</si>
  <si>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</si>
  <si>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</si>
  <si>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</si>
  <si>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</si>
  <si>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</si>
  <si>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</si>
  <si>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</si>
  <si>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</si>
  <si>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</si>
  <si>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</si>
  <si>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</si>
  <si>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</si>
  <si>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</si>
  <si>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</si>
  <si>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</si>
  <si>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</si>
  <si>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</si>
  <si>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</si>
  <si>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</si>
  <si>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</si>
  <si>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</si>
  <si>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</si>
  <si>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</si>
  <si>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</si>
  <si>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</si>
  <si>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</si>
  <si>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</si>
  <si>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</si>
  <si>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</si>
  <si>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</si>
  <si>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</si>
  <si>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</si>
  <si>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</si>
  <si>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</si>
  <si>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</si>
  <si>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</si>
  <si>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</si>
  <si>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</si>
  <si>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</si>
  <si>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</si>
  <si>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</si>
  <si>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</si>
  <si>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</si>
  <si>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</si>
  <si>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</si>
  <si>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</si>
  <si>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</si>
  <si>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</si>
  <si>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</si>
  <si>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</si>
  <si>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</si>
  <si>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</si>
  <si>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</si>
  <si>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</si>
  <si>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</si>
  <si>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</si>
  <si>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</si>
  <si>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</si>
  <si>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</si>
  <si>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</si>
  <si>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</si>
  <si>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Κύρου Παιδεία, Βιβλίον Α, κεφ. 6</t>
  </si>
  <si>
    <t>La alabanza es el más dulce de todos los sonidos</t>
  </si>
  <si>
    <t>Laus dulcissima omnium sonorum est</t>
  </si>
  <si>
    <t>Ἐπαίνος γλυκυτάτη πάντων φωνή ἐστιν</t>
  </si>
  <si>
    <t>Οἰκονομικός 14.10</t>
  </si>
  <si>
    <t>El hombre cuerdo y prudente sabe sacar provecho incluso de sus enemigos</t>
  </si>
  <si>
    <t>Homo sapiens et prudens etiam ex hostibus commodum extrahere novit</t>
  </si>
  <si>
    <t>Φρόνιμος ἀνὴρ καὶ ἐξ ἐχθρῶν ὠφελεῖσθαι οἶδεν</t>
  </si>
  <si>
    <t>Ἀπομνημονεύματα, Βιβλίον Γ, κεφ. 11</t>
  </si>
  <si>
    <t>Interrogar es enseñar</t>
  </si>
  <si>
    <t>Interrogare docere est</t>
  </si>
  <si>
    <t>Ἐρωτᾶν διδάσκειν ἐστίν</t>
  </si>
  <si>
    <t>Ἀπομνημονεύματα, Βιβλίον Α</t>
  </si>
  <si>
    <t>La obediencia voluntaria siempre es mejor que la forzada</t>
  </si>
  <si>
    <t>Oboedientia voluntaria semper melior est quam coacta</t>
  </si>
  <si>
    <t>Ἡ ἑκούσια πειθὼ κρείττων τῆς βιαίας</t>
  </si>
  <si>
    <t>Κύρου Παιδεία, Βιβλίον Β</t>
  </si>
  <si>
    <t>Lo que es bello y honesto los dioses no lo conceden sin trabajo</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</si>
  <si>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</si>
  <si>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</si>
  <si>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Οἰκονομικός 3.5</t>
  </si>
  <si>
    <t>Es difícil actuar libre de faltas, incluso si ninguna se comete</t>
  </si>
  <si>
    <t>Difficile est agere ut quis liber culpis videatur</t>
  </si>
  <si>
    <t>Χαλεπὸν ἀναμάρτητον εἶναι</t>
  </si>
  <si>
    <t>Ἀπομνημονεύματα 1.3</t>
  </si>
  <si>
    <t>Cada cual debe esforzarse como si fuera principal causante de la victoria</t>
  </si>
  <si>
    <t>Unusquisque laborare debet ut credat se praecipuam causam victoriae esse</t>
  </si>
  <si>
    <t>Ἕκαστον δεῖ οὕτω φιλοτιμεῖσθαι ὡς αὐτὸν μάλιστα αἴτιον τῆς νίκης</t>
  </si>
  <si>
    <t>Ἀνάβασις ΙΙ.6</t>
  </si>
  <si>
    <t>No puede existir un valor digno de alabanza si no va acompañado de prudencia</t>
  </si>
  <si>
    <t>Non potest existere virtus laude digna nisi prudentia comitetur</t>
  </si>
  <si>
    <t>Οὐκ ἔστιν ἐπαινετὴ ἀνδρεία ἄνευ φρονήσεως</t>
  </si>
  <si>
    <t>Κύρου Παιδεία, Βιβλίον Δ</t>
  </si>
  <si>
    <t>Muchos han sucumbido por proyectos demasiado grandes creyéndose fuertes</t>
  </si>
  <si>
    <t>Quam multi succubuerunt infortunio propter consilia nimis vasta tantum quia se fortes sentiebant</t>
  </si>
  <si>
    <t>Πόσοι ἀπώλοντο διὰ τὸ μεγάλα φρονεῖν ἰσχυροὶ ὄντες</t>
  </si>
  <si>
    <t>Κύρου Παιδεία, Βιβλίον Γ</t>
  </si>
  <si>
    <t>Consulta el ojo de tu enemigo pues es el primero que ve tus defectos</t>
  </si>
  <si>
    <t>Conspice oculum inimici tui primus enim vitia tua videt</t>
  </si>
  <si>
    <t>Σκέψαι τὸν ὀφθαλμὸν τοῦ ἐχθροῦ σου πρῶτος γὰρ τὰ ἐλαττώματά σου βλέπει</t>
  </si>
  <si>
    <t>Antístenes</t>
  </si>
  <si>
    <t>Διογένης Λαέρτιος, Βίοι καὶ γνῶμαι τῶν ἐν φιλοσοφίᾳ εὐδοκιμησάντων, Βιβλίον ΣΤ, frag. 55</t>
  </si>
  <si>
    <t>Los cuervos devoran a los muertos y los aduladores a los vivos</t>
  </si>
  <si>
    <t>Corvi mortuos devorant adulatores vivos</t>
  </si>
  <si>
    <t>Οἱ κόρακες τοὺς νεκροὺς κατεσθίουσιν οἱ κόλακες τοὺς ζῶντας</t>
  </si>
  <si>
    <t>Στοβαῖος, Ἀνθολόγιον, Α, 27</t>
  </si>
  <si>
    <t>Las pasiones tienen causas y no principios</t>
  </si>
  <si>
    <t>Passiones causas habent non principia</t>
  </si>
  <si>
    <t>Τὰ πάθη αἰτίας ἔχει οὐκ ἀρχάς</t>
  </si>
  <si>
    <t>Αὔλος Γέλλιος, Ἀττικαὶ Νύκτες, ΙΓ, 18</t>
  </si>
  <si>
    <t>Prefiero la locura a la voluptuosidad</t>
  </si>
  <si>
    <t>Mallem insanire quam voluptate frui</t>
  </si>
  <si>
    <t>Μᾶλλον ἂν μανείην ἢ ἡσθείην</t>
  </si>
  <si>
    <t>Διογένης Λαέρτιος, Βιβλίον ΣΤ, frag. 65</t>
  </si>
  <si>
    <t>Principio de la educación es el examen de los términos</t>
  </si>
  <si>
    <t>Principium educationis est examen nominum</t>
  </si>
  <si>
    <t>Ἀρχὴ παιδεύσεως ἡ τῶν ὀνομάτων ἐπίσκεψις</t>
  </si>
  <si>
    <t>Σέξτος Ἐμπειρικός, Πρὸς Μαθηματικούς, Β, 27</t>
  </si>
  <si>
    <t>No huyáis jamás del trabajo</t>
  </si>
  <si>
    <t>Ne fugiatis laborem</t>
  </si>
  <si>
    <t>Μὴ φεύγετε τὸν πόνον ἀγαθός ἐστι καὶ βελτίους ποιεῖ</t>
  </si>
  <si>
    <t>Διογένης Λαέρτιος, Βιβλίον ΣΤ, frag. 73</t>
  </si>
  <si>
    <t>La virtud se basta a sí misma para la felicidad</t>
  </si>
  <si>
    <t>Virtus sibi sufficiens ad felicitatem</t>
  </si>
  <si>
    <t>Ἀρετὴ αὔταρκες εἰς εὐδαιμονίαν</t>
  </si>
  <si>
    <t>Διογένης Λαέρτιος, Βιβλίον ΣΤ, frag. 12</t>
  </si>
  <si>
    <t>Si hablan mal de vosotros soportadlo con paciencia</t>
  </si>
  <si>
    <t>Si male de vobis loquuntur ferte patienter</t>
  </si>
  <si>
    <t>Εἰ κακῶς λέγουσιν ὑμᾶς φέρετε</t>
  </si>
  <si>
    <t>Στοβαῖος, Ἀνθολόγιον, Α, 33</t>
  </si>
  <si>
    <t>Cuidaos de que os alaben los malos</t>
  </si>
  <si>
    <t>Cavete ne vos mali laudent</t>
  </si>
  <si>
    <t>Φυλάξασθε μὴ ὑμᾶς πονηροὶ ἐπαινῶσιν</t>
  </si>
  <si>
    <t>Στοβαῖος, Α, 30</t>
  </si>
  <si>
    <t>Lo primero es desaprender el mal</t>
  </si>
  <si>
    <t>Primum opus est dediscere malum quod didicimus</t>
  </si>
  <si>
    <t>Πρῶτον ἔργον τὸ ἀπομανθάνειν τὸ κακὸν ὃ ἐμάθομεν</t>
  </si>
  <si>
    <t>Διογένης Λαέρτιος, Βιβλίον ΣΤ, frag. 67</t>
  </si>
  <si>
    <t>Cada alma es y se convierte en lo que contempla</t>
  </si>
  <si>
    <t>Quaeque anima est et fit quod contemplatur</t>
  </si>
  <si>
    <t>Ἑκάστη ψυχὴ ἐστι καὶ γίνεται ὃ θεωρεῖ</t>
  </si>
  <si>
    <t>Plotino</t>
  </si>
  <si>
    <t>Ἐννεάδες IV.3.10</t>
  </si>
  <si>
    <t>El alma humana encerrada en el cuerpo padece sufrimiento</t>
  </si>
  <si>
    <t>Anima humana in corpore clausa patitur</t>
  </si>
  <si>
    <t>Ἡ ἀνθρωπίνη ψυχὴ ἐν τῷ σώματι κλειομένη πάσχει</t>
  </si>
  <si>
    <t>Ἐννεάδες II.9.5</t>
  </si>
  <si>
    <t>Es debilidad no inquietarnos por males ajenos</t>
  </si>
  <si>
    <t>Infirmitas est non sollicitari malis alienis</t>
  </si>
  <si>
    <t>Ἀσθένεια φανερά ἐστι μὴ ἀγωνιᾶν</t>
  </si>
  <si>
    <t>Ἐννεάδες IV.3.14</t>
  </si>
  <si>
    <t>Estoy esforzándome por reconducir lo divino en nosotros</t>
  </si>
  <si>
    <t>Conor reducere divinum in nobis</t>
  </si>
  <si>
    <t>Πειρῶμαι ἀναγαγεῖν τὸ θεῖον ἐν ἡμῖν</t>
  </si>
  <si>
    <t>Ἐννεάδες VI.9.12</t>
  </si>
  <si>
    <t>La grandeza de espíritu consiste en despreciar las cosas de este mundo</t>
  </si>
  <si>
    <t>Magnitudo animi consistit in contemnendis rebus mundi huius</t>
  </si>
  <si>
    <t>Μεγαλοψυχία ἐν τῷ καταφρονεῖν</t>
  </si>
  <si>
    <t>Ἐννεάδες IV.3.19</t>
  </si>
  <si>
    <t>Morir es cambiar de cuerpo como actor cambia de traje</t>
  </si>
  <si>
    <t>Mori est corpus mutare sicut histrio vestem</t>
  </si>
  <si>
    <t>Ἀποθνήσκειν ἐστὶ μεταβάλλειν σῶμα ὥσπερ ὑποκριτὴς</t>
  </si>
  <si>
    <t>Ἐννεάδες III.8.7</t>
  </si>
  <si>
    <t>Nuestro afán no es estar libre del pecado sino ser Dios</t>
  </si>
  <si>
    <t>Studium nostrum non est sine peccato esse sed Deus esse</t>
  </si>
  <si>
    <t>Ἡ σπουδὴ ἡμῶν οὐκ ἐν τῷ ἀναμάρτητον εἶναι</t>
  </si>
  <si>
    <t>Ἐννεάδες VI.7.10</t>
  </si>
  <si>
    <t>Ser o pensar es lo mismo</t>
  </si>
  <si>
    <t>Esse aut cogitare idem est</t>
  </si>
  <si>
    <t>Εἶναι ἢ νοεῖν ταὐτόν ἐστι</t>
  </si>
  <si>
    <t>Ἐννεάδες V.5.1</t>
  </si>
  <si>
    <t>Todo cuerpo está en el alma</t>
  </si>
  <si>
    <t>Omne corpus in anima est</t>
  </si>
  <si>
    <t>Πᾶν σῶμα ἐν ψυχῇ ἀλλ᾽ οὐ πᾶσα ψυχὴ ἐν σώματι</t>
  </si>
  <si>
    <t>Ἐννεάδες II.4.8</t>
  </si>
  <si>
    <t>El Uno está en todas partes y en ninguna</t>
  </si>
  <si>
    <t>Unum ubique est et nusquam</t>
  </si>
  <si>
    <t>Τὸ Ἓν πανταχοῦ καὶ οὐδαμοῦ</t>
  </si>
  <si>
    <t>Ἐννεάδες VI.9.1</t>
  </si>
  <si>
    <t>La patria nuestra es de donde partimos</t>
  </si>
  <si>
    <t>Patria nostra est unde profecti sumus</t>
  </si>
  <si>
    <t>Ἡ πατρὶς ἡμῶν ἐκείνη ἐστὶν ὅθεν ἤλθομεν</t>
  </si>
  <si>
    <t>Ἐννεάδες IV.4.21</t>
  </si>
  <si>
    <t>El alma es palabra de la Inteligencia</t>
  </si>
  <si>
    <t>Anima verbum Intellectus est</t>
  </si>
  <si>
    <t>Ἡ ψυχὴ λόγος τοῦ Νοῦ ἐστιν ἐνέργεια ὅλη</t>
  </si>
  <si>
    <t>Ἐννεάδες V.3.8</t>
  </si>
  <si>
    <t>Allí arriba el hombre es todo ojo</t>
  </si>
  <si>
    <t>Ibi sursum homo totus oculus est</t>
  </si>
  <si>
    <t>Ἐκεῖ ἄνω ὁ ἄνθρωπος ὅλος ὀφθαλμός ἐστι</t>
  </si>
  <si>
    <t>Ἐννεάδες IV.4.6</t>
  </si>
  <si>
    <t>La belleza es el resplandor de la verdad</t>
  </si>
  <si>
    <t>Pulchritudo splendor veritatis est</t>
  </si>
  <si>
    <t>Τὸ κάλλος λαμπρότης τῆς ἀληθείας ἐστίν</t>
  </si>
  <si>
    <t>Ἐννεάδες IV.3.22</t>
  </si>
  <si>
    <t>Huye de todo lo corpóreo y corre hacia el Uno</t>
  </si>
  <si>
    <t>Fuge omne corporeum et curre ad Unum</t>
  </si>
  <si>
    <t>Φεῦγε πᾶν σωματικὸν καὶ τρέχε πρὸς τὸ Ἕν</t>
  </si>
  <si>
    <t>Ἐννεάδες VI.9.5</t>
  </si>
  <si>
    <t>El alma no puede recordar nada de Dios si antes no se hace semejante a Él</t>
  </si>
  <si>
    <t>Anima nihil de Deo meminisse potest nisi prius ei similis fiat</t>
  </si>
  <si>
    <t>Ἡ ψυχὴ οὐδὲν τοῦ Θεοῦ μνημονεῦσαι δύναται</t>
  </si>
  <si>
    <t>Ἐννεάδες V.8.6</t>
  </si>
  <si>
    <t>La virtud es suficiente para la felicidad</t>
  </si>
  <si>
    <t>Virtus sufficiens ad felicitatem est</t>
  </si>
  <si>
    <t>Ἡ ἀρετὴ ἱκανὴ πρὸς εὐδαιμονίαν ἄνευ ἐξωτερικῶν</t>
  </si>
  <si>
    <t>La vida allá arriba es fácil y la verdad es madre</t>
  </si>
  <si>
    <t>Vita ibi sursum facilis est et veritas mater</t>
  </si>
  <si>
    <t>Ἡ ζωὴ ἐκεῖ ἄνω ῥᾳδία καὶ ἡ ἀλήθεια μήτηρ τῶν ὄντων</t>
  </si>
  <si>
    <t>Ἐννεάδες IV.3.24</t>
  </si>
  <si>
    <t>Cerrar los ojos y despertar a otra manera de ver</t>
  </si>
  <si>
    <t>Claude oculos et evigila ad alium modum videndi</t>
  </si>
  <si>
    <t>Κλεῖσαι τοὺς ὀφθαλμοὺς καὶ ἐγερθῆναι εἰς ἄλλον τρόπον βλέποντα</t>
  </si>
  <si>
    <t>Ἐννεάδες V.4.11</t>
  </si>
  <si>
    <t>Así se hunde la mente en la profunda desesperación cuando las tormentas de la vida aumentan el peso de las preocupaciones terrenales</t>
  </si>
  <si>
    <t>Sic mens profunda desperatione demergitur cum vitae procellae terrenorum onerum pondus augent</t>
  </si>
  <si>
    <t>Sic mens in profundam desperationem mergitur cum vitae tempestates terrarum curarum pondus augent</t>
  </si>
  <si>
    <t>Boecio</t>
  </si>
  <si>
    <t>De Consolatione Philosophiae, sec. VI</t>
  </si>
  <si>
    <t>Que los hombres se compongan y vivan en paz, pongan el destino altivo bajo sus pies y miren impasibles la buena y la mala fortuna</t>
  </si>
  <si>
    <t>Ut homines se componant pacemque colant fatum superbum pedibus calcent bona malaque fortuna aequo animo intueantur</t>
  </si>
  <si>
    <t>Ut homines se componant et in pace vivant fatum superbum sub pedibus ponant et aequo animo bonam malamque fortunam spectent</t>
  </si>
  <si>
    <t>Ningún hombre es tan completamente feliz que algo en algún lugar no choque con su condición</t>
  </si>
  <si>
    <t>Nemo tam plene felix est quin aliquid alicubi condicioni suae repugnet</t>
  </si>
  <si>
    <t>Nullus homo tam omnino felix est ut aliquid alicubi cum condicione sua non pugnet</t>
  </si>
  <si>
    <t>¿Por qué entonces vosotros, hombres mortales, buscáis la felicidad fuera de vosotros mismos, cuando esta reside dentro de vosotros?</t>
  </si>
  <si>
    <t>Cur igitur mortales felicitatem extra vos quaeritis cum ea intus in vobis habitet</t>
  </si>
  <si>
    <t>Cur igitur vos homines mortales felicitatem extra vosmetipsos quaeritis cum haec intus in vobis resideat</t>
  </si>
  <si>
    <t>Si la felicidad es el bien supremo, la Fortuna, por su mutabilidad, no puede esperar conducir a la felicidad</t>
  </si>
  <si>
    <t>Si felicitas summum bonum est Fortuna propter mutabilitatem ad felicitatem perducere non potest</t>
  </si>
  <si>
    <t>Si felicitas summum bonum est Fortuna per mutabilitatem suam non potest sperare ad felicitatem ducere</t>
  </si>
  <si>
    <t>Muchos hombres han sido famosos en su tiempo, pero su memoria ha perecido porque no hubo historiadores que escribieran sobre ellos</t>
  </si>
  <si>
    <t>Multi homines suo aevo celebres fuere sed memoria eorum interiit quia scriptores defuere</t>
  </si>
  <si>
    <t>Multi homines suo tempore famosi fuerunt sed eorum memoria periit quia non fuerunt historici qui de eis scriberent</t>
  </si>
  <si>
    <t>El mundo en constante cambio mantiene una armonía, y los elementos mantienen la paz cuya naturaleza es guerrear</t>
  </si>
  <si>
    <t>Mundus continua mutatione harmoniam servat, elementa pacem tenent quorum natura est pugnare</t>
  </si>
  <si>
    <t>Mundus in constanti mutatione harmoniam servat et elementa pacem servant quorum natura est bellare</t>
  </si>
  <si>
    <t>El amor mantiene a las personas unidas por el vínculo sagrado y teje el santo lazo del puro amor</t>
  </si>
  <si>
    <t>Amor homines sacro foedere coniungit sanctumque vinculum puri amoris texet</t>
  </si>
  <si>
    <t>Amor personas coniunctas tenet sacro vinculo et sanctum nexum puri amoris nectit</t>
  </si>
  <si>
    <t>Oh, feliz raza de hombres, si el Amor que rige el cielo pudiera gobernar también vuestros corazones</t>
  </si>
  <si>
    <t>O felix mortalium genus si Amor qui caelum regit corda etiam vestra gubernaret</t>
  </si>
  <si>
    <t>O felix hominum genus si Amor qui caelum regit corda quoque vestra regere posset</t>
  </si>
  <si>
    <t>Quien desea sembrar en suelo virgen, primero debe despojar los campos de maleza y arbustos</t>
  </si>
  <si>
    <t>Qui in virgine solo serere vult prius agros zizaniis et vepribus purgare debet</t>
  </si>
  <si>
    <t>Qui seminare desiderat in solo virgine prius debet agros a herbis et fruticibus purgare</t>
  </si>
  <si>
    <t>En toda la dedicación con la que se afanan en innumerables empresas, los mortales transitan caminos diferentes, aunque todos luchan por alcanzar un mismo objetivo: la felicidad</t>
  </si>
  <si>
    <t>Omni studio quo innumeris negotiis laborant mortales diversa itinera pergunt, quamquam omnes ad eundem finem felicitatem contendant</t>
  </si>
  <si>
    <t>In omni dedicatione qua in innumeris inceptis laborant mortales vias diversas transeunt licet omnes pro eodem fine felicitate contendant</t>
  </si>
  <si>
    <t>La felicidad es un estado perfeccionado por la presencia de todo lo que es bueno</t>
  </si>
  <si>
    <t>Felicitas status perfectus est bonorum omnium congregatione perfectus</t>
  </si>
  <si>
    <t>Felicitas est status perfectus praesentia omnium quae bona sunt</t>
  </si>
  <si>
    <t>No hay duda de que estos caminos hacia la felicidad son desvíos y no pueden llevarnos al destino que prometen</t>
  </si>
  <si>
    <t>Haud dubium est has vias ad felicitatem devia esse nec posse nos quo promittunt perducere</t>
  </si>
  <si>
    <t>Non est dubium quin hae viae ad felicitatem diverticula sint nec possint nos ad destinationem quam promittunt ducere</t>
  </si>
  <si>
    <t>Dichoso el hombre cuyos ojos una vez pudieron percibir la resplandeciente fuente del bien</t>
  </si>
  <si>
    <t>Beatus homo cuius oculi splendorem fontis boni semel videre potuerunt</t>
  </si>
  <si>
    <t>Beatus homo cuius oculi semel lucentem fontem boni percipere potuerunt</t>
  </si>
  <si>
    <t>La mayor causa de mi tristeza es que, a pesar de contar con un buen timonel que guíe al mundo, el mal puede existir</t>
  </si>
  <si>
    <t>Maxima tristitiae meae causa est quod quamvis bonus rector mundum gubernet malum esse potest</t>
  </si>
  <si>
    <t>Maxima causa tristitiae meae est quod licet bonus gubernator mundum regat malum existere potest</t>
  </si>
  <si>
    <t>Los buenos son siempre fuertes y los malvados siempre humildes y débiles</t>
  </si>
  <si>
    <t>Boni semper validi, mali semper imbecilles ac debiles</t>
  </si>
  <si>
    <t>Boni semper fortes sunt et mali semper humiles et debiles</t>
  </si>
  <si>
    <t>La bondad misma se establece como una especie de recompensa común de la actividad humana</t>
  </si>
  <si>
    <t>Bonitas ipsa velut commune praemium humanae actionis constituitur</t>
  </si>
  <si>
    <t>Bonitas ipsa constituitur ut quaedam merces communis humanae activitatis</t>
  </si>
  <si>
    <t>Veamos lo que decreta la ley eterna: si has dirigido tu mente a cosas más elevadas, eres tú mismo quien te has llevado a un estado más excelente</t>
  </si>
  <si>
    <t>Videamus quid aeterna lex decernat si mentem ad altiora direxisti, te ipsum ad excellentiorem statum provexisti</t>
  </si>
  <si>
    <t>Videamus quid lex aeterna decernit si mentem tuam ad altiora direxisti tu ipse es qui te ad statum excellentiorem tulisti</t>
  </si>
  <si>
    <t>No existe tal cosa como la casualidad, y es una palabra completamente sin sentido</t>
  </si>
  <si>
    <t>Non est res talis ut casus et est vox plane sine mente</t>
  </si>
  <si>
    <t>Non existit talis res ut casus et est verbum omnino sine sensu</t>
  </si>
  <si>
    <t>Hay libertad, pues sería imposible que existiera alguna naturaleza racional sin ella</t>
  </si>
  <si>
    <t>Libertas est nam fieri non potest ut natura rationalis sine ea sit</t>
  </si>
  <si>
    <t>Est libertas nam impossibile esset ut natura rationalis aliqua sine ea existeret</t>
  </si>
  <si>
    <t>La voluntad es más noble que el intelecto porque el amor une mientras el conocimiento separa</t>
  </si>
  <si>
    <t>Voluntas nobilior est quam intellectus quia amor coniungit cognitio vero dividit</t>
  </si>
  <si>
    <t>Voluntas nobilior est intellectu quia amor unit dum cognitio separat</t>
  </si>
  <si>
    <t>Juan Duns Escoto</t>
  </si>
  <si>
    <t>Ordinatio, sec. XIII–XIV</t>
  </si>
  <si>
    <t>Dios no ama porque algo sea bueno, sino que algo es bueno porque Dios lo ama</t>
  </si>
  <si>
    <t>Deus non amat quia res bona est sed res bona est quia Deus eam amat</t>
  </si>
  <si>
    <t>Deus non amat quia aliquid bonum est sed aliquid bonum est quia Deus illud amat</t>
  </si>
  <si>
    <t>La libertad no consiste en poder elegir entre el bien y el mal, sino en la capacidad de autodeterminación</t>
  </si>
  <si>
    <t>Libertas non in electione inter bonum et malum consistit sed in capacitate se ipsum determinandi</t>
  </si>
  <si>
    <t>Libertas non consistit in potentia eligendi inter bonum et malum sed in capacitate autodeterminationis</t>
  </si>
  <si>
    <t>Todo lo que no es imposible puede ser realizado por Dios</t>
  </si>
  <si>
    <t>Quodcumque non implicat contradictionem a Deo fieri potest</t>
  </si>
  <si>
    <t>Omne quod non est impossibile potest a Deo fieri</t>
  </si>
  <si>
    <t>El ser se dice unívocamente de Dios y de las criaturas</t>
  </si>
  <si>
    <t>Ens univoce praedicatur de Deo et creaturis</t>
  </si>
  <si>
    <t>Ens univoce dicitur de Deo et de creaturis</t>
  </si>
  <si>
    <t>La materia no es pura potencia, sino que tiene su propia actualidad</t>
  </si>
  <si>
    <t>Materia non est pura potentialitas sed suam habet actualitatem</t>
  </si>
  <si>
    <t>Materia non est pura potentia sed habet propriam actualitatem</t>
  </si>
  <si>
    <t>Cristo habría venido aunque no hubiera habido pecado</t>
  </si>
  <si>
    <t>Christus incarnatus fuisset etiam si Adam non peccasset</t>
  </si>
  <si>
    <t>Christus venisset etsi peccatum non fuisset</t>
  </si>
  <si>
    <t>La Inmaculada Concepción es razonable: pues Dios pudo hacerlo, fue conveniente hacerlo, luego lo hizo</t>
  </si>
  <si>
    <t>Potuit decuit ergo fecit</t>
  </si>
  <si>
    <t>Immaculata Conceptio rationabilis est quia Deus potuit facere decuit facere ergo fecit</t>
  </si>
  <si>
    <t>Lo que es más perfecto debe atribuirse a María</t>
  </si>
  <si>
    <t>Quod excellentius est de Maria tenendum est</t>
  </si>
  <si>
    <t>Quod perfectius est Mariae attribuendum est</t>
  </si>
  <si>
    <t>La caridad perfecciona la voluntad, como la sabiduría perfecciona el intelecto</t>
  </si>
  <si>
    <t>Charitas voluntatem perficit sicut sapientia intellectum</t>
  </si>
  <si>
    <t>Caritas perficit voluntatem sicut sapientia perficit intellectum</t>
  </si>
  <si>
    <t>Cada individuo posee su propia haecceitas, que lo hace ser este y no otro</t>
  </si>
  <si>
    <t>Quodlibet individuum habet suam haecceitatem qua est hoc et non illud</t>
  </si>
  <si>
    <t>Unusquisque individuum propriam habet haecceitatem quae facit ipsum esse hoc et non aliud</t>
  </si>
  <si>
    <t>La ciencia teológica es práctica antes que especulativa</t>
  </si>
  <si>
    <t>Theologia magis practica est quam speculativa</t>
  </si>
  <si>
    <t>Scientia theologica practica est potius quam speculativa</t>
  </si>
  <si>
    <t>Dios ama con un amor de predilección a quien quiere amar</t>
  </si>
  <si>
    <t>Deus diligit amore electionis quemcumque vult</t>
  </si>
  <si>
    <t>Deus amat amore praedilectionis quem vult amare</t>
  </si>
  <si>
    <t>Las visiones que contemplé nunca las percibí durante el sueño, ni en el reposo, ni en el delirio</t>
  </si>
  <si>
    <t>Visiones quas contemplata sum numquam percepi in somno nec in quiete nec in delirio</t>
  </si>
  <si>
    <t>Hildegarda de Bingen</t>
  </si>
  <si>
    <t>Scivias, sec. XII</t>
  </si>
  <si>
    <t>Lo que no veo lo desconozco, puesto que no soy docta</t>
  </si>
  <si>
    <t>Quod non video ignoro quoniam non sum docta</t>
  </si>
  <si>
    <t>Escucha: hay un Rey en la montaña, sentado en su trono, rodeado por sus columnas</t>
  </si>
  <si>
    <t>Audi est Rex in monte sedens in throno suo circumdatus columnis suis</t>
  </si>
  <si>
    <t>El alma es sinfónica</t>
  </si>
  <si>
    <t>Anima symphonica est</t>
  </si>
  <si>
    <t>La creación entera está llamada a ser una sinfonía de alabanza al Creador</t>
  </si>
  <si>
    <t>Creatio tota vocata est ut sit symphonia laudis Creatori</t>
  </si>
  <si>
    <t>Oh fuego del Espíritu Santo, vida de la vida de toda criatura, santo eres al dar vida a las formas</t>
  </si>
  <si>
    <t>O ignis Spiritus Sancti vita vitae omnis creaturae sanctus es vivificando formas</t>
  </si>
  <si>
    <t>El ser humano es un instrumento de la sinfonía de Dios</t>
  </si>
  <si>
    <t>Homo instrumentum est symphoniae Dei</t>
  </si>
  <si>
    <t>La viriditas es el poder de reverdecimiento, la fuerza vital que Dios infunde en toda la creación</t>
  </si>
  <si>
    <t>Viriditas potestas revirescentiae est vis vitalis quam Deus in omnem creationem infundit</t>
  </si>
  <si>
    <t>El alma es el soplo de vida del cuerpo; el cuerpo es la sombra del alma</t>
  </si>
  <si>
    <t>Anima spiritus vitae corporis est, corpus umbra animae est</t>
  </si>
  <si>
    <t>Mujer luminosa: el cielo no tiene otra luz que la de la lámpara</t>
  </si>
  <si>
    <t>Mulier lucida caelum non habet aliam lucem quam lucernae</t>
  </si>
  <si>
    <t>La palabra profética es como el resplandor del relámpago</t>
  </si>
  <si>
    <t>Verbum propheticum est sicut splendor fulguris</t>
  </si>
  <si>
    <t>La naturaleza entera está al servicio del hombre, pero el hombre debe estar al servicio de Dios</t>
  </si>
  <si>
    <t>Natura tota in servitio hominis est, sed homo in servitio Dei esse debet</t>
  </si>
  <si>
    <t>Dios está en nosotros y nosotros estamos en Él</t>
  </si>
  <si>
    <t>Deus in nobis est et nos in Eo sumus</t>
  </si>
  <si>
    <t>Maestro Eckhart</t>
  </si>
  <si>
    <t>Sermones, sec. XIII–XIV</t>
  </si>
  <si>
    <t>El ojo con que veo a Dios es el mismo ojo con que Dios me ve</t>
  </si>
  <si>
    <t>Oculus quo Deum video idem oculus est quo Deus me videt</t>
  </si>
  <si>
    <t>Dios no está fuera de nosotros sino dentro de nosotros</t>
  </si>
  <si>
    <t>Deus non extra nos est sed intra nos est</t>
  </si>
  <si>
    <t>El silencio es el lenguaje de Dios</t>
  </si>
  <si>
    <t>Silentium lingua Dei est</t>
  </si>
  <si>
    <t>Aquí el fondo de Dios es mi fondo y mi fondo es el fondo de Dios</t>
  </si>
  <si>
    <t>Hic fundamentum Dei fundamentum meum est et fundamentum meum fundamentum Dei est</t>
  </si>
  <si>
    <t>Si el alma pudiera conocer a Dios sin el mundo, el mundo no habría sido creado jamás</t>
  </si>
  <si>
    <t>Si anima Deum sine mundo cognoscere posset, mundus numquam creatus fuisset</t>
  </si>
  <si>
    <t>El hombre que está establecido en la presencia de Dios no puede ser perturbado por nada</t>
  </si>
  <si>
    <t>Homo qui in praesentia Dei fundatus est non potest a re aliqua perturbari</t>
  </si>
  <si>
    <t>Cuando el alma alcanza la luz sin mezcla, entonces penetra en su insignificancia</t>
  </si>
  <si>
    <t>Cum anima lucem sine mixtura attingit, tunc in suam parvitatem penetrat</t>
  </si>
  <si>
    <t>Cada criatura es una palabra de Dios</t>
  </si>
  <si>
    <t>Omnis creatura verbum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</si>
  <si>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</si>
  <si>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</si>
  <si>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Quien busca a Dios sin modo lo comprende tal como es en sí mismo</t>
  </si>
  <si>
    <t>Qui Deum sine modo quaerit eum comprehendit sicuti in se ipso est</t>
  </si>
  <si>
    <t>Desde este fondo interior debes hacer todas tus obras sin porqué</t>
  </si>
  <si>
    <t>Ex hoc fundo interiori debes facere omnia opera tua sine quare</t>
  </si>
  <si>
    <t>Oh alma mía, sal fuera, Dios entra</t>
  </si>
  <si>
    <t>O anima mea exi foras Deus intrat</t>
  </si>
  <si>
    <t>La pobreza de espíritu significa no querer nada, no saber nada, no tener nada</t>
  </si>
  <si>
    <t>Paupertas spiritus significat nihil velle, nihil scire, nihil habere</t>
  </si>
  <si>
    <t>Dios nace en el alma cuando el alma muere en Dios</t>
  </si>
  <si>
    <t>Deus nascitur in anima cum anima moritur in Deo</t>
  </si>
  <si>
    <t>Lo más grande que el hombre puede abandonar es abandonarse a sí mismo</t>
  </si>
  <si>
    <t>Maximum quod homo relinquere potest est se ipsum relinquere</t>
  </si>
  <si>
    <t>Oigo las voces de muchísimos no cristianos que dicen: Danos maestros que nos enseñen la fe</t>
  </si>
  <si>
    <t>Audio voces plurimorum non Christianorum qui dicunt: Date nobis magistros qui nos fidem doceant</t>
  </si>
  <si>
    <t>San Francisco Javier</t>
  </si>
  <si>
    <t>Epistulae, sec. XVI</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</si>
  <si>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</si>
  <si>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</si>
  <si>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</si>
  <si>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</si>
  <si>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</si>
  <si>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</si>
  <si>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En todo amar y servir</t>
  </si>
  <si>
    <t>In omnibus amare et servire</t>
  </si>
  <si>
    <t>San Ignacio de Loyola</t>
  </si>
  <si>
    <t>Exercitia Spiritualia, sec. XVI</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</si>
  <si>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</si>
  <si>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</si>
  <si>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</si>
  <si>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</si>
  <si>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</si>
  <si>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</si>
  <si>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</si>
  <si>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</si>
  <si>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</si>
  <si>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</si>
  <si>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</si>
  <si>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</si>
  <si>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</si>
  <si>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</si>
  <si>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</si>
  <si>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</si>
  <si>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</si>
  <si>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</si>
  <si>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</si>
  <si>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</si>
  <si>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</si>
  <si>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</si>
  <si>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</si>
  <si>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</si>
  <si>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Para mayor gloria de Dios</t>
  </si>
  <si>
    <t>Ad maiorem Dei gloriam</t>
  </si>
  <si>
    <t>Todo hombre sabio ama a la esposa que ha elegido</t>
  </si>
  <si>
    <t>Omnis sapiens vir amat mulierem quam elegerit.</t>
  </si>
  <si>
    <t>Πᾶς σοφὸς ἀνὴρ φιλεῖ τὴν γυναῖκα ἣν ἐξελέξατο</t>
  </si>
  <si>
    <t>Homero</t>
  </si>
  <si>
    <t>Odisea</t>
  </si>
  <si>
    <t>La juventud tiene el genio vivo y el juicio débil</t>
  </si>
  <si>
    <t>Iuventus animum acutum habet et iudicium infirmum.</t>
  </si>
  <si>
    <t>Ἡ νεότης ἔχει τὸν νοῦν ὀξὺν καὶ τὴν κρίσιν ἀσθενῆ</t>
  </si>
  <si>
    <t>Ilíada</t>
  </si>
  <si>
    <t>No hay mejor aguijón que la necesidad</t>
  </si>
  <si>
    <t>Nihil melius est quam necessitas.</t>
  </si>
  <si>
    <t>Οὐδὲν κέντρον βέλτιον ἢ ἡ ἀνάγκη</t>
  </si>
  <si>
    <t>El sueño es el hermano gemelo de la muerte</t>
  </si>
  <si>
    <t>Somnus frater geminus mortis est.</t>
  </si>
  <si>
    <t>Ὁ ὕπνος ἀδελφὸς ὁ δίδυμος τοῦ θανάτου ἐστίν</t>
  </si>
  <si>
    <t>Ilíada, XVI, 672</t>
  </si>
  <si>
    <t>Nadie puede apresurarme a ir a Hades antes de mi tiempo</t>
  </si>
  <si>
    <t>Nemo me in Acheronta ante tempus meum properare potest.</t>
  </si>
  <si>
    <t>Οὐδεὶς δύναται με ἐπισπεύδειν εἰς Ἅιδην πρὸ τοῦ καιροῦ μου</t>
  </si>
  <si>
    <t>Ilíada, VI, 488</t>
  </si>
  <si>
    <t>Los inmortales inspirarán cantos agradables a los hombres</t>
  </si>
  <si>
    <t>Immortales canent carmina gratissima hominibus.</t>
  </si>
  <si>
    <t>Οἱ ἀθάνατοι ἐμπνεύσουσιν ᾠδὰς εὐαρέστους τοῖς ἀνθρώποις</t>
  </si>
  <si>
    <t>Odisea, XXIV</t>
  </si>
  <si>
    <t>Cristo es el camino y la puerta; Cristo es la escalera y el vehículo</t>
  </si>
  <si>
    <t>Christus est via et ostium; Christus est scala et vehiculum</t>
  </si>
  <si>
    <t>San Buenaventura</t>
  </si>
  <si>
    <t>Itinerarium Mentis in Deum, Prologus, cap. 7</t>
  </si>
  <si>
    <t>Quien, a pesar de tantos indicios, no vuelve la mirada hacia el Primer Principio, es necio</t>
  </si>
  <si>
    <t>Siquis non per multa indicia ad primum Principium respexit, stultus est</t>
  </si>
  <si>
    <t>Itinerarium Mentis in Deum, cap. 1</t>
  </si>
  <si>
    <t>Un espejo sin la sabiduría inspirada por Dios</t>
  </si>
  <si>
    <t>Speculum absque sapientia divinitus inspirata</t>
  </si>
  <si>
    <t>Itinerarium Mentis in Deum, Prologus</t>
  </si>
  <si>
    <t>Cristo es el propiciatorio sobre el arca de Dios</t>
  </si>
  <si>
    <t>Christus est propitiatorium super arcam Dei</t>
  </si>
  <si>
    <t>Itinerarium Mentis in Deum, cap. 7</t>
  </si>
  <si>
    <t>Esta, en verdad, se define como la primera clave de la sabiduría: la interrogación asidua o frecuente; pues dudando llegamos a la investigación, y al investigar percibimos la verdad</t>
  </si>
  <si>
    <t>Haec quippe prima sapientiae clavis definitur, assidua scilicet seu frequens interrogatio; dubitando enim ad inquisitionem venimus, inquirendo veritatem percipimus</t>
  </si>
  <si>
    <t>Pedro Abelardo</t>
  </si>
  <si>
    <t>Sic et Non, Prologue</t>
  </si>
  <si>
    <t>Decimos que la buena intención es, en sí, recta; pero la acción no lleva ninguna bondad en sí misma, sino que procede de una buena intención</t>
  </si>
  <si>
    <t>Bonam quippe intentionem, hoc est, rectam in se dicimus; operationem vero non quod boni aliquid in se suscipiat, sed quod ex bona intentione procedat</t>
  </si>
  <si>
    <t>Ethica seu Scito te ipsum, Libro 1</t>
  </si>
  <si>
    <t>He decidido ser feliz porque es bueno para la salud.</t>
  </si>
  <si>
    <t>Statui beatus esse quia saluti prodest.</t>
  </si>
  <si>
    <t>J'ai décidé d'être heureux parce que c'est bon pour la santé.</t>
  </si>
  <si>
    <t>Voltaire</t>
  </si>
  <si>
    <t>Correspondance (1761)</t>
  </si>
  <si>
    <t>Si Dios no existiera, sería necesario inventarlo.</t>
  </si>
  <si>
    <t>Si Deus non esset, eum invenire necesse esset.</t>
  </si>
  <si>
    <t>Si Dieu n'existait pas, il faudrait l'inventer.</t>
  </si>
  <si>
    <t>Épître à l'Auteur du Livre des Trois Imposteurs (1768)</t>
  </si>
  <si>
    <t>El sentido común no es tan común.</t>
  </si>
  <si>
    <t>Sensus communis non tam communis est.</t>
  </si>
  <si>
    <t>Le sens commun n'est pas si commun.</t>
  </si>
  <si>
    <t>Dictionnaire philosophique (1764)</t>
  </si>
  <si>
    <t>Quienes pueden hacerte creer absurdos pueden hacerte cometer atrocidades.</t>
  </si>
  <si>
    <t>Qui possunt facere ut absurda credas, possunt facere ut atrocia committas.</t>
  </si>
  <si>
    <t>Ceux qui peuvent vous faire croire à des absurdités, peuvent vous faire commettre des atrocités.</t>
  </si>
  <si>
    <t>Questions sur les Miracles (1765)</t>
  </si>
  <si>
    <t>Juzga a un hombre por sus preguntas en lugar de por sus respuestas.</t>
  </si>
  <si>
    <t>Hominem ex interrogationibus potius quam ex responsionibus iudica.</t>
  </si>
  <si>
    <t>Jugez un homme par ses questions plutôt que par ses réponses.</t>
  </si>
  <si>
    <t>Le ricanement de Voltaire</t>
  </si>
  <si>
    <t>Lo mejor es enemigo de lo bueno.</t>
  </si>
  <si>
    <t>Optimum bono inimicum est.</t>
  </si>
  <si>
    <t>Le mieux est l'ennemi du bien.</t>
  </si>
  <si>
    <t>La Bégueule (1772)</t>
  </si>
  <si>
    <t>A los vivos se les debe respeto, a los muertos solo se les debe la verdad.</t>
  </si>
  <si>
    <t>Vivis reverentia debetur, mortuis tantum veritas.</t>
  </si>
  <si>
    <t>Aux vivants, on doit le respect ; aux morts, on ne doit que la vérité.</t>
  </si>
  <si>
    <t>Lettres philosophiques (1733)</t>
  </si>
  <si>
    <t>El trabajo aleja de nosotros tres grandes males: el aburrimiento, el vicio y la necesidad.</t>
  </si>
  <si>
    <t>Labor a nobis tria magna mala depellit: taedium, vitium, et egestatem.</t>
  </si>
  <si>
    <t>Le travail éloigne de nous trois grands maux: l'ennui, le vice, et le besoin.</t>
  </si>
  <si>
    <t>Candide (1759)</t>
  </si>
  <si>
    <t>La ignorancia no es la falta de información, sino la incapacidad de procesarla.</t>
  </si>
  <si>
    <t>Ignorantia non est inopia indicii, sed impotentia id digerendi.</t>
  </si>
  <si>
    <t>Daniel Innerarity</t>
  </si>
  <si>
    <t>La sociedad del desconocimiento (2020)</t>
  </si>
  <si>
    <t>Atrévete a saber; comienza.</t>
  </si>
  <si>
    <t>Sapere aude; incipe.</t>
  </si>
  <si>
    <t>Epístolas, I, 2, 40.</t>
  </si>
  <si>
    <t>He levantado un monumento más duradero que el bronce.</t>
  </si>
  <si>
    <t>Exegi monumentum aere perennius.</t>
  </si>
  <si>
    <t>Odas, III, 30, 1.</t>
  </si>
  <si>
    <t>La virtud es el punto medio entre dos vicios.</t>
  </si>
  <si>
    <t>Virtus est medium vitiorum et utrimque reductum.</t>
  </si>
  <si>
    <t>Epístolas, I, 18, 9.</t>
  </si>
  <si>
    <t>Dulce y decoroso es morir por la patria.</t>
  </si>
  <si>
    <t>Dulce et decorum est pro patria mori.</t>
  </si>
  <si>
    <t>Odas, III, 2, 13.</t>
  </si>
  <si>
    <t>La pálida muerte llama con el mismo pie a las chozas de los pobres que a las torres de los reyes.</t>
  </si>
  <si>
    <t>Pallida Mors aequo pulsat pede pauperum tabernas regumque turres.</t>
  </si>
  <si>
    <t>Odas, I, 4, 13.</t>
  </si>
  <si>
    <t>Incluso en las desgracias, mantén el ánimo sereno.</t>
  </si>
  <si>
    <t>Aequam memento rebus in arduis servare mentem.</t>
  </si>
  <si>
    <t>Odas, II, 3, 1.</t>
  </si>
  <si>
    <t>La fuerza sin inteligencia se desploma bajo su propio peso.</t>
  </si>
  <si>
    <t>Vis consili expers mole ruit sua.</t>
  </si>
  <si>
    <t>Odas, III, 4, 65.</t>
  </si>
  <si>
    <t>Enamoraos de Jesucristo y de María Santísima y seréis felices.</t>
  </si>
  <si>
    <t>In amorem Iesu Christi et Mariae Sanctissimae incidite et felices eritis.</t>
  </si>
  <si>
    <t>Antonio María Claret</t>
  </si>
  <si>
    <t>Autobiografía</t>
  </si>
  <si>
    <t>El amor de Cristo nos apremia.</t>
  </si>
  <si>
    <t>Caritas Christi urget nos.</t>
  </si>
  <si>
    <t>Lema episcopal / 2 Corintios 5,14</t>
  </si>
  <si>
    <t>No busco lo que es vuestro, sino a vosotros.</t>
  </si>
  <si>
    <t>Non quaero quae vestra sunt, sed vos.</t>
  </si>
  <si>
    <t>2 Corintios 12,14 (citado en su misión)</t>
  </si>
  <si>
    <t>La oración es para el alma lo que el alimento para el cuerpo.</t>
  </si>
  <si>
    <t>Oratio est animae quod alimentum corpori.</t>
  </si>
  <si>
    <t>Escritos Espirituales</t>
  </si>
  <si>
    <t>Un hijo del Inmaculado Corazón de María es un hombre que arde en caridad.</t>
  </si>
  <si>
    <t>Filius Immaculati Cordis Mariae est vir qui caritate ardet.</t>
  </si>
  <si>
    <t>Definición del Misionero</t>
  </si>
  <si>
    <t>id_author</t>
  </si>
  <si>
    <t>year_birth</t>
  </si>
  <si>
    <t>year_death</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</si>
  <si>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</si>
  <si>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</si>
  <si>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</si>
  <si>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</si>
  <si>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</si>
  <si>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</si>
  <si>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</si>
  <si>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</si>
  <si>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</si>
  <si>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</si>
  <si>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</si>
  <si>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</si>
  <si>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</si>
  <si>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</si>
  <si>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</si>
  <si>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</si>
  <si>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</si>
  <si>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</si>
  <si>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</si>
  <si>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</si>
  <si>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</si>
  <si>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</si>
  <si>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</si>
  <si>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</si>
  <si>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</si>
  <si>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</si>
  <si>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</si>
  <si>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</si>
  <si>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</si>
  <si>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</si>
  <si>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</si>
  <si>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</si>
  <si>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</si>
  <si>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</si>
  <si>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</si>
  <si>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</si>
  <si>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</si>
  <si>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</si>
  <si>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</si>
  <si>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</si>
  <si>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</si>
  <si>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</si>
  <si>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</si>
  <si>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</si>
  <si>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</si>
  <si>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</si>
  <si>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</si>
  <si>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</si>
  <si>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</si>
  <si>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</si>
  <si>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</si>
  <si>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</si>
  <si>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</si>
  <si>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</si>
  <si>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</si>
  <si>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</si>
  <si>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</si>
  <si>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</si>
  <si>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</si>
  <si>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</si>
  <si>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</si>
  <si>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</si>
  <si>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</si>
  <si>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</si>
  <si>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</si>
  <si>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</si>
  <si>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</si>
  <si>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</si>
  <si>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</si>
  <si>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</si>
  <si>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</si>
  <si>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</si>
  <si>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</si>
  <si>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</si>
  <si>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</si>
  <si>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</si>
  <si>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</si>
  <si>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</si>
  <si>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</si>
  <si>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</si>
  <si>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</si>
  <si>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</si>
  <si>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</si>
  <si>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</si>
  <si>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</si>
  <si>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</si>
  <si>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</si>
  <si>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</si>
  <si>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</si>
  <si>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</si>
  <si>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</si>
  <si>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</si>
  <si>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</si>
  <si>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</si>
  <si>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</si>
  <si>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</si>
  <si>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</si>
  <si>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</si>
  <si>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</si>
  <si>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</si>
  <si>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</si>
  <si>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</si>
  <si>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</si>
  <si>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</si>
  <si>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</si>
  <si>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</si>
  <si>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</si>
  <si>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</si>
  <si>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</si>
  <si>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</si>
  <si>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</si>
  <si>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</si>
  <si>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</si>
  <si>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</si>
  <si>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</si>
  <si>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</si>
  <si>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</si>
  <si>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</si>
  <si>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</si>
  <si>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</si>
  <si>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</si>
  <si>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</si>
  <si>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</si>
  <si>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</si>
  <si>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</si>
  <si>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</si>
  <si>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</si>
  <si>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</si>
  <si>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</si>
  <si>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</si>
  <si>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</si>
  <si>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</si>
  <si>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</si>
  <si>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</si>
  <si>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</si>
  <si>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</si>
  <si>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</si>
  <si>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</si>
  <si>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</si>
  <si>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</si>
  <si>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</si>
  <si>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</si>
  <si>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</si>
  <si>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</si>
  <si>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</si>
  <si>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</si>
  <si>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</si>
  <si>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</si>
  <si>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</si>
  <si>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</si>
  <si>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</si>
  <si>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</si>
  <si>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</si>
  <si>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</si>
  <si>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</si>
  <si>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</si>
  <si>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</si>
  <si>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</si>
  <si>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</si>
  <si>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</si>
  <si>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</si>
  <si>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</si>
  <si>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</si>
  <si>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</si>
  <si>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</si>
  <si>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</si>
  <si>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</si>
  <si>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</si>
  <si>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</si>
  <si>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</si>
  <si>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</si>
  <si>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</si>
  <si>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</si>
  <si>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</si>
  <si>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</si>
  <si>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</si>
  <si>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</si>
  <si>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</si>
  <si>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</si>
  <si>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</si>
  <si>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</si>
  <si>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</si>
  <si>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</si>
  <si>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</si>
  <si>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</si>
  <si>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</si>
  <si>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</si>
  <si>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</si>
  <si>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</si>
  <si>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</si>
  <si>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</si>
  <si>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</si>
  <si>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</si>
  <si>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</si>
  <si>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</si>
  <si>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</si>
  <si>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</si>
  <si>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</si>
  <si>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</si>
  <si>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</si>
  <si>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</si>
  <si>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</si>
  <si>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</si>
  <si>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</si>
  <si>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</si>
  <si>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</si>
  <si>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</si>
  <si>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</si>
  <si>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</si>
  <si>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</si>
  <si>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</si>
  <si>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</si>
  <si>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</si>
  <si>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</si>
  <si>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</si>
  <si>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</si>
  <si>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</si>
  <si>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</si>
  <si>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</si>
  <si>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</si>
  <si>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</si>
  <si>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</si>
  <si>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</si>
  <si>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</si>
  <si>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</si>
  <si>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</si>
  <si>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</si>
  <si>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</si>
  <si>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</si>
  <si>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</si>
  <si>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</si>
  <si>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</si>
  <si>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</si>
  <si>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</si>
  <si>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</si>
  <si>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</si>
  <si>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</si>
  <si>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</si>
  <si>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</si>
  <si>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</si>
  <si>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</si>
  <si>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</si>
  <si>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</si>
  <si>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</si>
  <si>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</si>
  <si>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</si>
  <si>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</si>
  <si>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</si>
  <si>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</si>
  <si>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</si>
  <si>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</si>
  <si>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</si>
  <si>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</si>
  <si>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</si>
  <si>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</si>
  <si>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</si>
  <si>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</si>
  <si>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</si>
  <si>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</si>
  <si>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</si>
  <si>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</si>
  <si>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</si>
  <si>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</si>
  <si>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</si>
  <si>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</si>
  <si>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</si>
  <si>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</si>
  <si>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</si>
  <si>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</si>
  <si>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</si>
  <si>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</si>
  <si>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</si>
  <si>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</si>
  <si>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</si>
  <si>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</si>
  <si>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</si>
  <si>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</si>
  <si>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</si>
  <si>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</si>
  <si>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</si>
  <si>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</si>
  <si>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</si>
  <si>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</si>
  <si>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</si>
  <si>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</si>
  <si>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</si>
  <si>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</si>
  <si>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</si>
  <si>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</si>
  <si>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</si>
  <si>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</si>
  <si>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</si>
  <si>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</si>
  <si>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</si>
  <si>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</si>
  <si>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</si>
  <si>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</si>
  <si>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</si>
  <si>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</si>
  <si>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</si>
  <si>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</si>
  <si>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</si>
  <si>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</si>
  <si>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</si>
  <si>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</si>
  <si>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</si>
  <si>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</si>
  <si>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</si>
  <si>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</si>
  <si>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</si>
  <si>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</si>
  <si>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</si>
  <si>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</si>
  <si>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</si>
  <si>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</si>
  <si>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</si>
  <si>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</si>
  <si>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</si>
  <si>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</si>
  <si>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</si>
  <si>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</si>
  <si>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</si>
  <si>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</si>
  <si>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</si>
  <si>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</si>
  <si>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</si>
  <si>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</si>
  <si>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</si>
  <si>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</si>
  <si>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</si>
  <si>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</si>
  <si>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</si>
  <si>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</si>
  <si>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</si>
  <si>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</si>
  <si>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</si>
  <si>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</si>
  <si>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</si>
  <si>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</si>
  <si>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</si>
  <si>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</si>
  <si>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</si>
  <si>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</si>
  <si>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</si>
  <si>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</si>
  <si>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</si>
  <si>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</si>
  <si>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</si>
  <si>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</si>
  <si>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</si>
  <si>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</si>
  <si>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</si>
  <si>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</si>
  <si>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</si>
  <si>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</si>
  <si>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</si>
  <si>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</si>
  <si>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</si>
  <si>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</si>
  <si>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</si>
  <si>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</si>
  <si>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</si>
  <si>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</si>
  <si>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</si>
  <si>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</si>
  <si>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</si>
  <si>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</si>
  <si>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</si>
  <si>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</si>
  <si>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</si>
  <si>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</si>
  <si>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</si>
  <si>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</si>
  <si>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</si>
  <si>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</si>
  <si>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</si>
  <si>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</si>
  <si>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</si>
  <si>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</si>
  <si>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</si>
  <si>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</si>
  <si>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</si>
  <si>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</si>
  <si>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</si>
  <si>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</si>
  <si>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</si>
  <si>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</si>
  <si>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</si>
  <si>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</si>
  <si>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</si>
  <si>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</si>
  <si>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</si>
  <si>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</si>
  <si>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</si>
  <si>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</si>
  <si>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</si>
  <si>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</si>
  <si>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</si>
  <si>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</si>
  <si>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</si>
  <si>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</si>
  <si>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</si>
  <si>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</si>
  <si>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</si>
  <si>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</si>
  <si>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</si>
  <si>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</si>
  <si>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</si>
  <si>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</si>
  <si>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</si>
  <si>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</si>
  <si>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</si>
  <si>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</si>
  <si>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</si>
  <si>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</si>
  <si>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</si>
  <si>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</si>
  <si>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</si>
  <si>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</si>
  <si>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</si>
  <si>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</si>
  <si>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</si>
  <si>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</si>
  <si>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</si>
  <si>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</si>
  <si>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</si>
  <si>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</si>
  <si>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</si>
  <si>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</si>
  <si>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</si>
  <si>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</si>
  <si>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</si>
  <si>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</si>
  <si>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</si>
  <si>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</si>
  <si>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</si>
  <si>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</si>
  <si>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</si>
  <si>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</si>
  <si>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</si>
  <si>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</si>
  <si>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</si>
  <si>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</si>
  <si>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</si>
  <si>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</si>
  <si>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</si>
  <si>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</si>
  <si>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</si>
  <si>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</si>
  <si>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</si>
  <si>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</si>
  <si>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</si>
  <si>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</si>
  <si>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</si>
  <si>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</si>
  <si>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</si>
  <si>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</si>
  <si>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</si>
  <si>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</si>
  <si>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</si>
  <si>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</si>
  <si>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</si>
  <si>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</si>
  <si>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</si>
  <si>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</si>
  <si>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</si>
  <si>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</si>
  <si>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</si>
  <si>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</si>
  <si>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</si>
  <si>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</si>
  <si>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</si>
  <si>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</si>
  <si>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</si>
  <si>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</si>
  <si>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</si>
  <si>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</si>
  <si>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</si>
  <si>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</si>
  <si>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</si>
  <si>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</si>
  <si>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</si>
  <si>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</si>
  <si>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</si>
  <si>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</si>
  <si>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</si>
  <si>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</si>
  <si>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</si>
  <si>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</si>
  <si>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</si>
  <si>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</si>
  <si>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</si>
  <si>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</si>
  <si>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</si>
  <si>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</si>
  <si>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</si>
  <si>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</si>
  <si>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</si>
  <si>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</si>
  <si>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</si>
  <si>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</si>
  <si>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</si>
  <si>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</si>
  <si>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</si>
  <si>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https://i.ibb.co/7Nb8gNJ3/homero.png</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</si>
  <si>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</si>
  <si>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</si>
  <si>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</si>
  <si>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https://i.ibb.co/mF9zsdM5/bible.png</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</si>
  <si>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</si>
  <si>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</si>
  <si>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</si>
  <si>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</si>
  <si>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https://i.ibb.co/xqfZddf3/virgilio.png</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</si>
  <si>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</si>
  <si>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</si>
  <si>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</si>
  <si>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</si>
  <si>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https://i.ibb.co/kVL6ZPRF/roma.png</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</si>
  <si>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</si>
  <si>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</si>
  <si>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</si>
  <si>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https://i.ibb.co/x8MJCvrr/tacito.png</t>
  </si>
  <si>
    <t>Voltarius</t>
  </si>
  <si>
    <t>Escritor y filósofo francés, figura clave de la Ilustración y defensor de la libertad de expresión.</t>
  </si>
  <si>
    <t>Scriptor et philosophus Gallicus, clarissimus aetate Illuminationis et libertatis dicendi defensor.</t>
  </si>
  <si>
    <t>Lingua Gallica</t>
  </si>
  <si>
    <t>https://i.ibb.co/n8Mbf5tF/voltaire-alpha.png</t>
  </si>
  <si>
    <t>Filósofo y ensayista español, especialista en la filosofía política y la gobernanza de sociedades complejas.</t>
  </si>
  <si>
    <t>Philosophus et scriptor Hispanicus, peritus philosophiae politicae et moderationis societatum complexarum.</t>
  </si>
  <si>
    <t>https://i.ibb.co/ZzF5yhkV/innerarity-alpha.png</t>
  </si>
  <si>
    <t>Antonius Maria Claret</t>
  </si>
  <si>
    <t>Arzobispo español, misionero apostólico y fundador de los Misioneros Claretianos. Fue confesor de la Reina Isabel II y un prolífico escritor y editor, destacando por su celo evangelizador y su labor social en Cuba y España.</t>
  </si>
  <si>
    <t>Archiepiscopus Hispanicus, missionarius apostolicus et fundator Missionariorum Claretianorum. Fuit confessarius Reginae Isabellae II et scriptor fecundus, zelo evangelizandi et caritate erga pauperes in Cuba et Hispania clarus.</t>
  </si>
  <si>
    <t>https://i.ibb.co/pBJsk0pS/claret-alpha.png</t>
  </si>
  <si>
    <t>id_language</t>
  </si>
  <si>
    <t>es</t>
  </si>
  <si>
    <t>Lingua Hispanica</t>
  </si>
  <si>
    <t>en</t>
  </si>
  <si>
    <t>Lingua Anglica</t>
  </si>
  <si>
    <t>fr</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</si>
  <si>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</si>
  <si>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</si>
  <si>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</si>
  <si>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</si>
  <si>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</si>
  <si>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</si>
  <si>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</si>
  <si>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</si>
  <si>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</si>
  <si>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</si>
  <si>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</si>
  <si>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</si>
  <si>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</si>
  <si>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</si>
  <si>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</si>
  <si>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</si>
  <si>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</si>
  <si>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</si>
  <si>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</si>
  <si>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</si>
  <si>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</si>
  <si>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</si>
  <si>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</si>
  <si>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</si>
  <si>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</si>
  <si>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</si>
  <si>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</si>
  <si>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</si>
  <si>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</si>
  <si>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</si>
  <si>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</si>
  <si>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</si>
  <si>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</si>
  <si>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</si>
  <si>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</si>
  <si>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</si>
  <si>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</si>
  <si>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</si>
  <si>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</si>
  <si>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</si>
  <si>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</si>
  <si>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</si>
  <si>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</si>
  <si>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</si>
  <si>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</si>
  <si>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</si>
  <si>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</si>
  <si>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</si>
  <si>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</si>
  <si>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</si>
  <si>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</si>
  <si>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</si>
  <si>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</si>
  <si>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</si>
  <si>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</si>
  <si>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</si>
  <si>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</si>
  <si>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</si>
  <si>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</si>
  <si>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</si>
  <si>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</si>
  <si>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</si>
  <si>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</si>
  <si>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</si>
  <si>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</si>
  <si>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</si>
  <si>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</si>
  <si>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</si>
  <si>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</si>
  <si>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</si>
  <si>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</si>
  <si>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</si>
  <si>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</si>
  <si>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</si>
  <si>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</si>
  <si>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</si>
  <si>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</si>
  <si>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</si>
  <si>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</si>
  <si>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</si>
  <si>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</si>
  <si>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</si>
  <si>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</si>
  <si>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</si>
  <si>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</si>
  <si>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</si>
  <si>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</si>
  <si>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</si>
  <si>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</si>
  <si>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</si>
  <si>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</si>
  <si>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</si>
  <si>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</si>
  <si>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</si>
  <si>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</si>
  <si>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</si>
  <si>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</si>
  <si>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</si>
  <si>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</si>
  <si>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</si>
  <si>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</si>
  <si>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</si>
  <si>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</si>
  <si>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</si>
  <si>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</si>
  <si>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</si>
  <si>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</si>
  <si>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</si>
  <si>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</si>
  <si>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</si>
  <si>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</si>
  <si>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</si>
  <si>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</si>
  <si>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</si>
  <si>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</si>
  <si>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</si>
  <si>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</si>
  <si>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</si>
  <si>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</si>
  <si>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</si>
  <si>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</si>
  <si>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</si>
  <si>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</si>
  <si>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</si>
  <si>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</si>
  <si>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</si>
  <si>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</si>
  <si>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</si>
  <si>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</si>
  <si>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</si>
  <si>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</si>
  <si>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</si>
  <si>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</si>
  <si>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id_nation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</si>
  <si>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</si>
  <si>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</si>
  <si>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</si>
  <si>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</si>
  <si>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</si>
  <si>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</si>
  <si>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</si>
  <si>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</si>
  <si>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</si>
  <si>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</si>
  <si>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</si>
  <si>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</si>
  <si>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</si>
  <si>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</si>
  <si>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</si>
  <si>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</si>
  <si>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</si>
  <si>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</si>
  <si>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</si>
  <si>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</si>
  <si>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</si>
  <si>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</si>
  <si>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</si>
  <si>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</si>
  <si>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</si>
  <si>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</si>
  <si>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</si>
  <si>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</si>
  <si>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</si>
  <si>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</si>
  <si>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</si>
  <si>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</si>
  <si>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</si>
  <si>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</si>
  <si>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</si>
  <si>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</si>
  <si>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</si>
  <si>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</si>
  <si>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</si>
  <si>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</si>
  <si>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</si>
  <si>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</si>
  <si>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</si>
  <si>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</si>
  <si>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</si>
  <si>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</si>
  <si>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</si>
  <si>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</si>
  <si>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</si>
  <si>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</si>
  <si>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</si>
  <si>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</si>
  <si>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</si>
  <si>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id_age</t>
  </si>
  <si>
    <t>year_start</t>
  </si>
  <si>
    <t>year_end</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</si>
  <si>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</si>
  <si>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</si>
  <si>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</si>
  <si>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</si>
  <si>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</si>
  <si>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</si>
  <si>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</si>
  <si>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</si>
  <si>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</si>
  <si>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</si>
  <si>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</si>
  <si>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</si>
  <si>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</si>
  <si>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</si>
  <si>
    <t>Steve Wozniak</t>
  </si>
  <si>
    <t>Stephanus Wozniak</t>
  </si>
  <si>
    <t>NULL</t>
  </si>
  <si>
    <t>Ingeniero electrónico y cofundador de Apple, creador de la Apple I y II y defensor de la ingeniería creativa.</t>
  </si>
  <si>
    <t>Machinator electronicus et Apple co-conditor, creator Apple I et II et defensor machinationis creativae.</t>
  </si>
  <si>
    <t>Nunca confíes en un ordenador que no puedas tirar por la ventana (o en una herramienta que no se deje configurar).</t>
  </si>
  <si>
    <t>Numquam confide computatro quod e fenestra eicere non potes.</t>
  </si>
  <si>
    <t>Never trust a computer you can't throw out a window.</t>
  </si>
  <si>
    <t>Apple II User Guide (attributed)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</si>
</sst>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name val="Arial"/>
      <family val="2"/>
      <charset val="1"/>
    </font>
    <font>
      <u/>
      <sz val="10"/>
      <color theme="10"/>
      <name val="Arial"/>
      <family val="2"/>
      <charset val="1"/>
    </font>
    <font>
      <sz val="10"/>
      <name val="Noto Sans CJK SC"/>
      <family val="2"/>
      <charset val="1"/>
    </font>
    <font>
      <sz val="10"/>
      <name val="Noto Sans Devanagari"/>
      <family val="2"/>
      <charset val="1"/>
    </font>
    <font>
      <i/>
      <sz val="10"/>
      <name val="Arial"/>
      <family val="2"/>
      <charset val="1"/>
    </font>
    <font>
      <sz val="10"/>
      <name val="Noto Sans CJK SC"/>
      <family val="2"/>
    </font>
    <font>
      <sz val="10"/>
      <color rgb="FF1F1F1F"/>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Border="0" applyProtection="0"/>
  </cellStyleXfs>
  <cellXfs count="9">
    <xf numFmtId="0" fontId="0" fillId="0" borderId="0" xfId="0"/>
    <xf numFmtId="0" fontId="2" fillId="0" borderId="0" xfId="0" applyFont="1"/>
    <xf numFmtId="0" fontId="3" fillId="0" borderId="0" xfId="0" applyFont="1" applyAlignment="1">
      <alignment horizontal="left"/>
    </xf>
    <xf numFmtId="0" fontId="3" fillId="0" borderId="0" xfId="0" applyFont="1"/>
    <xf numFmtId="0" fontId="4" fillId="0" borderId="0" xfId="0" applyFont="1"/>
    <xf numFmtId="0" fontId="6" fillId="0" borderId="0" xfId="0" applyFont="1"/>
    <xf numFmtId="0" fontId="1" fillId="0" borderId="0" xfId="1" applyBorder="1" applyProtection="1"/>
    <xf numFmtId="0" fontId="0" fillId="0" borderId="0" xfId="0" applyAlignment="1">
      <alignment wrapText="1"/>
    </xf>
    <xf numFmtId="1" fontId="0" fillId="0" borderId="0" xfId="0" applyNumberFormat="1"/>
  </cellXfs>
  <cellStyles count="2">
    <cellStyle name="Hyperlink 1" xfId="1"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frasest" displayName="frasest" ref="A1:R1501" totalsRowShown="0">
  <autoFilter ref="A1:R1501" xr:uid="{00000000-0009-0000-0100-000003000000}"/>
  <tableColumns count="18">
    <tableColumn id="1" xr3:uid="{00000000-0010-0000-0000-000001000000}" name="id_quote"/>
    <tableColumn id="2" xr3:uid="{00000000-0010-0000-0000-000002000000}" name="quote_es"/>
    <tableColumn id="3" xr3:uid="{00000000-0010-0000-0000-000003000000}" name="quote_la"/>
    <tableColumn id="4" xr3:uid="{00000000-0010-0000-0000-000004000000}" name="quote_original"/>
    <tableColumn id="5" xr3:uid="{00000000-0010-0000-0000-000005000000}" name="author_es"/>
    <tableColumn id="6" xr3:uid="{00000000-0010-0000-0000-000006000000}" name="reference"/>
    <tableColumn id="7" xr3:uid="{00000000-0010-0000-0000-000007000000}" name="author_la"/>
    <tableColumn id="8" xr3:uid="{00000000-0010-0000-0000-000008000000}" name="bio_es"/>
    <tableColumn id="9" xr3:uid="{00000000-0010-0000-0000-000009000000}" name="bio_la"/>
    <tableColumn id="10" xr3:uid="{00000000-0010-0000-0000-00000A000000}" name="iso3691"/>
    <tableColumn id="11" xr3:uid="{00000000-0010-0000-0000-00000B000000}" name="language_es"/>
    <tableColumn id="12" xr3:uid="{00000000-0010-0000-0000-00000C000000}" name="language_la"/>
    <tableColumn id="13" xr3:uid="{00000000-0010-0000-0000-00000D000000}" name="nation_es"/>
    <tableColumn id="14" xr3:uid="{00000000-0010-0000-0000-00000E000000}" name="nation_la"/>
    <tableColumn id="15" xr3:uid="{00000000-0010-0000-0000-00000F000000}" name="age_es"/>
    <tableColumn id="16" xr3:uid="{00000000-0010-0000-0000-000010000000}" name="age_la"/>
    <tableColumn id="17" xr3:uid="{00000000-0010-0000-0000-000011000000}" name="image"/>
    <tableColumn id="18" xr3:uid="{00000000-0010-0000-0000-000012000000}" name="image_atr"/>
  </tableColumns>
  <tableStyleInfo name="TableStyleMedium1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autorest" displayName="autorest" ref="A1:P125" totalsRowShown="0">
  <autoFilter ref="A1:P125" xr:uid="{00000000-0009-0000-0100-000001000000}"/>
  <tableColumns count="16">
    <tableColumn id="1" xr3:uid="{00000000-0010-0000-0100-000001000000}" name="id_author"/>
    <tableColumn id="2" xr3:uid="{00000000-0010-0000-0100-000002000000}" name="author_es"/>
    <tableColumn id="3" xr3:uid="{00000000-0010-0000-0100-000003000000}" name="author_la"/>
    <tableColumn id="4" xr3:uid="{00000000-0010-0000-0100-000004000000}" name="year_birth"/>
    <tableColumn id="5" xr3:uid="{00000000-0010-0000-0100-000005000000}" name="year_death"/>
    <tableColumn id="6" xr3:uid="{00000000-0010-0000-0100-000006000000}" name="bio_es"/>
    <tableColumn id="7" xr3:uid="{00000000-0010-0000-0100-000007000000}" name="bio_la"/>
    <tableColumn id="8" xr3:uid="{00000000-0010-0000-0100-000008000000}" name="language_es"/>
    <tableColumn id="9" xr3:uid="{00000000-0010-0000-0100-000009000000}" name="nation_es"/>
    <tableColumn id="10" xr3:uid="{00000000-0010-0000-0100-00000A000000}" name="language_la"/>
    <tableColumn id="11" xr3:uid="{00000000-0010-0000-0100-00000B000000}" name="image"/>
    <tableColumn id="12" xr3:uid="{00000000-0010-0000-0100-00000C000000}" name="image_atr"/>
    <tableColumn id="13" xr3:uid="{00000000-0010-0000-0100-00000D000000}" name="iso3691"/>
    <tableColumn id="14" xr3:uid="{00000000-0010-0000-0100-00000E000000}" name="nation_la"/>
    <tableColumn id="15" xr3:uid="{00000000-0010-0000-0100-00000F000000}" name="age_es"/>
    <tableColumn id="16" xr3:uid="{00000000-0010-0000-0100-000010000000}" name="age_la"/>
  </tableColumns>
  <tableStyleInfo name="TableStyleMedium1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idiomast" displayName="idiomast" ref="A1:D54" totalsRowShown="0">
  <autoFilter ref="A1:D54" xr:uid="{00000000-0009-0000-0100-000004000000}"/>
  <tableColumns count="4">
    <tableColumn id="1" xr3:uid="{00000000-0010-0000-0200-000001000000}" name="id_language"/>
    <tableColumn id="2" xr3:uid="{00000000-0010-0000-0200-000002000000}" name="iso3691"/>
    <tableColumn id="3" xr3:uid="{00000000-0010-0000-0200-000003000000}" name="language_es"/>
    <tableColumn id="4" xr3:uid="{00000000-0010-0000-0200-000004000000}" name="language_l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nacionest" displayName="nacionest" ref="A1:C49" totalsRowShown="0">
  <autoFilter ref="A1:C49" xr:uid="{00000000-0009-0000-0100-000005000000}"/>
  <tableColumns count="3">
    <tableColumn id="1" xr3:uid="{00000000-0010-0000-0300-000001000000}" name="id_nation"/>
    <tableColumn id="2" xr3:uid="{00000000-0010-0000-0300-000002000000}" name="nation_es"/>
    <tableColumn id="3" xr3:uid="{00000000-0010-0000-0300-000003000000}" name="nation_l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4000000}" name="epocast" displayName="epocast" ref="A1:E7" totalsRowShown="0">
  <autoFilter ref="A1:E7" xr:uid="{00000000-0009-0000-0100-000002000000}"/>
  <tableColumns count="5">
    <tableColumn id="1" xr3:uid="{00000000-0010-0000-0400-000001000000}" name="id_age"/>
    <tableColumn id="2" xr3:uid="{00000000-0010-0000-0400-000002000000}" name="age_es"/>
    <tableColumn id="3" xr3:uid="{00000000-0010-0000-0400-000003000000}" name="age_la"/>
    <tableColumn id="4" xr3:uid="{00000000-0010-0000-0400-000004000000}" name="year_start"/>
    <tableColumn id="5" xr3:uid="{00000000-0010-0000-0400-000005000000}" name="year_end"/>
  </tableColumns>
  <tableStyleInfo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tjXTLg8/confucio.png" TargetMode="External"/><Relationship Id="rId18" Type="http://schemas.openxmlformats.org/officeDocument/2006/relationships/hyperlink" Target="https://i.ibb.co/9mGNtTcT/chesterton.png" TargetMode="External"/><Relationship Id="rId26" Type="http://schemas.openxmlformats.org/officeDocument/2006/relationships/hyperlink" Target="https://i.ibb.co/XkSxyZyF/einstein.png" TargetMode="External"/><Relationship Id="rId21" Type="http://schemas.openxmlformats.org/officeDocument/2006/relationships/hyperlink" Target="https://i.ibb.co/1fdqG2fh/arabia.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8DHGWSZc/parmenides.png" TargetMode="External"/><Relationship Id="rId17" Type="http://schemas.openxmlformats.org/officeDocument/2006/relationships/hyperlink" Target="https://i.ibb.co/N6jnVDp7/nietzsche.png" TargetMode="External"/><Relationship Id="rId25" Type="http://schemas.openxmlformats.org/officeDocument/2006/relationships/hyperlink" Target="https://i.ibb.co/hFVyv04H/gandhi.png" TargetMode="External"/><Relationship Id="rId33" Type="http://schemas.openxmlformats.org/officeDocument/2006/relationships/hyperlink" Target="https://i.ibb.co/MkxqpJ6j/calcuta.png" TargetMode="External"/><Relationship Id="rId38" Type="http://schemas.openxmlformats.org/officeDocument/2006/relationships/table" Target="../tables/table2.xml"/><Relationship Id="rId2" Type="http://schemas.openxmlformats.org/officeDocument/2006/relationships/hyperlink" Target="https://i.ibb.co/pjycYzXh/descartes.png" TargetMode="External"/><Relationship Id="rId16" Type="http://schemas.openxmlformats.org/officeDocument/2006/relationships/hyperlink" Target="https://i.ibb.co/wG8jHsv/tomasaquino.png" TargetMode="External"/><Relationship Id="rId20" Type="http://schemas.openxmlformats.org/officeDocument/2006/relationships/hyperlink" Target="https://i.ibb.co/20M9HWkV/lasalle.png" TargetMode="External"/><Relationship Id="rId29" Type="http://schemas.openxmlformats.org/officeDocument/2006/relationships/hyperlink" Target="https://i.ibb.co/d08LLy25/franklin.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7dbHBQ9X/juliocesar.png" TargetMode="External"/><Relationship Id="rId24" Type="http://schemas.openxmlformats.org/officeDocument/2006/relationships/hyperlink" Target="https://i.ibb.co/qYBzbNJH/mandela.png" TargetMode="External"/><Relationship Id="rId32" Type="http://schemas.openxmlformats.org/officeDocument/2006/relationships/hyperlink" Target="https://i.ibb.co/qYHNPQ2Z/camus.png" TargetMode="External"/><Relationship Id="rId37" Type="http://schemas.openxmlformats.org/officeDocument/2006/relationships/hyperlink" Target="https://i.ibb.co/kVL6ZPRF/roma.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35c3QS9J/seneca.png" TargetMode="External"/><Relationship Id="rId23" Type="http://schemas.openxmlformats.org/officeDocument/2006/relationships/hyperlink" Target="https://i.ibb.co/7d8RNgBb/cervantes.png" TargetMode="External"/><Relationship Id="rId28" Type="http://schemas.openxmlformats.org/officeDocument/2006/relationships/hyperlink" Target="https://i.ibb.co/C5cSzJyL/dewey.png" TargetMode="External"/><Relationship Id="rId36" Type="http://schemas.openxmlformats.org/officeDocument/2006/relationships/hyperlink" Target="https://i.ibb.co/0p8F8QbX/marcoaurelio.png" TargetMode="External"/><Relationship Id="rId10" Type="http://schemas.openxmlformats.org/officeDocument/2006/relationships/hyperlink" Target="https://i.ibb.co/1GSsmt8h/francia.png" TargetMode="External"/><Relationship Id="rId19" Type="http://schemas.openxmlformats.org/officeDocument/2006/relationships/hyperlink" Target="https://i.ibb.co/tMz7wVTz/juanpabloii.png" TargetMode="External"/><Relationship Id="rId31" Type="http://schemas.openxmlformats.org/officeDocument/2006/relationships/hyperlink" Target="https://i.ibb.co/G4YNT7DT/tibet.png" TargetMode="External"/><Relationship Id="rId4" Type="http://schemas.openxmlformats.org/officeDocument/2006/relationships/hyperlink" Target="https://i.ibb.co/chhLXqTZ/agustin.png" TargetMode="External"/><Relationship Id="rId9" Type="http://schemas.openxmlformats.org/officeDocument/2006/relationships/hyperlink" Target="https://i.ibb.co/svZg6Fc2/japon.png" TargetMode="External"/><Relationship Id="rId14" Type="http://schemas.openxmlformats.org/officeDocument/2006/relationships/hyperlink" Target="https://i.ibb.co/5xsVq8Sz/isidoro.png" TargetMode="External"/><Relationship Id="rId22" Type="http://schemas.openxmlformats.org/officeDocument/2006/relationships/hyperlink" Target="https://i.ibb.co/jFsMGCC/spengler.png" TargetMode="External"/><Relationship Id="rId27" Type="http://schemas.openxmlformats.org/officeDocument/2006/relationships/hyperlink" Target="https://i.ibb.co/GBYRvH9/king.png" TargetMode="External"/><Relationship Id="rId30" Type="http://schemas.openxmlformats.org/officeDocument/2006/relationships/hyperlink" Target="https://i.ibb.co/prKj8Gtz/davinci.png" TargetMode="External"/><Relationship Id="rId35" Type="http://schemas.openxmlformats.org/officeDocument/2006/relationships/hyperlink" Target="https://i.ibb.co/dsQnnqJw/epicuro.png" TargetMode="External"/><Relationship Id="rId8" Type="http://schemas.openxmlformats.org/officeDocument/2006/relationships/hyperlink" Target="https://i.ibb.co/qLfpZm6h/china.png" TargetMode="External"/><Relationship Id="rId3" Type="http://schemas.openxmlformats.org/officeDocument/2006/relationships/hyperlink" Target="https://i.ibb.co/xtWthbfv/bacon.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01"/>
  <sheetViews>
    <sheetView topLeftCell="A1462" zoomScaleNormal="100" workbookViewId="0">
      <selection activeCell="L1501" sqref="L1501"/>
    </sheetView>
  </sheetViews>
  <sheetFormatPr baseColWidth="10" defaultColWidth="11.5" defaultRowHeight="13"/>
  <cols>
    <col min="1" max="1" width="9.33203125" customWidth="1"/>
    <col min="2" max="2" width="122.33203125" customWidth="1"/>
    <col min="3" max="3" width="96.5" customWidth="1"/>
    <col min="4" max="4" width="122.33203125" customWidth="1"/>
    <col min="5" max="6" width="26.5" customWidth="1"/>
    <col min="7" max="9" width="32.6640625" customWidth="1"/>
    <col min="10" max="10" width="9.5" customWidth="1"/>
    <col min="11" max="11" width="12.5" customWidth="1"/>
    <col min="12" max="12" width="16.5" customWidth="1"/>
    <col min="13" max="13" width="14.33203125" customWidth="1"/>
    <col min="14" max="14" width="18.5" customWidth="1"/>
    <col min="15" max="15" width="18" customWidth="1"/>
    <col min="16" max="16" width="19.5" customWidth="1"/>
    <col min="18" max="18" width="13.33203125"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Row],[author_es]],autorest[author_es],autorest[author_la])</f>
        <v>Sententia Gallica</v>
      </c>
      <c r="H2" t="str">
        <f>_xlfn.XLOOKUP(frasest[[#This Row],[author_es]],autorest[author_es],autorest[bio_es])</f>
        <v>Refranes populares de la tradición oral francesa que transmiten observaciones sobre la vida, el trabajo y la conducta humana.</v>
      </c>
      <c r="I2" t="str">
        <f>_xlfn.XLOOKUP(frasest[[#This Row],[author_es]],autorest[author_es],autorest[bio_la])</f>
        <v>Collectio sententiarum Gallicarum.</v>
      </c>
      <c r="J2" t="str">
        <f>_xlfn.XLOOKUP(frasest[[#This Row],[author_es]],autorest[author_es],autorest[iso3691])</f>
        <v>fr</v>
      </c>
      <c r="K2" t="str">
        <f>_xlfn.XLOOKUP(frasest[[#This Row],[author_es]],autorest[author_es],autorest[language_es])</f>
        <v>Francés</v>
      </c>
      <c r="L2" t="str">
        <f>_xlfn.XLOOKUP(frasest[[#This Row],[author_es]],autorest[author_es],autorest[language_la])</f>
        <v>Lingua Gallica</v>
      </c>
      <c r="M2" t="str">
        <f>_xlfn.XLOOKUP(frasest[[#This Row],[author_es]],autorest[author_es],autorest[nation_es])</f>
        <v>Francia</v>
      </c>
      <c r="N2" t="str">
        <f>_xlfn.XLOOKUP(frasest[[#This Row],[author_es]],autorest[author_es],autorest[nation_la])</f>
        <v>Francia</v>
      </c>
      <c r="O2" t="str">
        <f>_xlfn.XLOOKUP(frasest[[#This Row],[author_es]],autorest[author_es],autorest[age_es])</f>
        <v>Epoca Desconocida</v>
      </c>
      <c r="P2" t="str">
        <f>_xlfn.XLOOKUP(frasest[[#This Row],[author_es]],autorest[author_es],autorest[age_la])</f>
        <v>Epocha Ignota</v>
      </c>
      <c r="Q2" t="str">
        <f>_xlfn.XLOOKUP(frasest[[#This Row],[author_es]],autorest[author_es],autorest[image])</f>
        <v>https://i.ibb.co/1GSsmt8h/francia.png</v>
      </c>
      <c r="R2">
        <f>_xlfn.XLOOKUP(frasest[[#This Row],[author_es]],autorest[author_es],autorest[image_atr])</f>
        <v>0</v>
      </c>
    </row>
    <row r="3" spans="1:18">
      <c r="A3">
        <v>2</v>
      </c>
      <c r="B3" t="s">
        <v>22</v>
      </c>
      <c r="C3" t="s">
        <v>23</v>
      </c>
      <c r="D3" t="s">
        <v>22</v>
      </c>
      <c r="E3" t="s">
        <v>24</v>
      </c>
      <c r="G3" t="str">
        <f>_xlfn.XLOOKUP(frasest[[#This Row],[author_es]],autorest[author_es],autorest[author_la])</f>
        <v>Sententia Hispanica</v>
      </c>
      <c r="H3" t="str">
        <f>_xlfn.XLOOKUP(frasest[[#This Row],[author_es]],autorest[author_es],autorest[bio_es])</f>
        <v>Refranes populares de la tradición oral hispana que expresan de forma breve y ingeniosa enseñanzas prácticas sobre la vida cotidiana.</v>
      </c>
      <c r="I3" t="str">
        <f>_xlfn.XLOOKUP(frasest[[#This Row],[author_es]],autorest[author_es],autorest[bio_la])</f>
        <v>Collectio sententiarum Hispanicarum.</v>
      </c>
      <c r="J3" t="str">
        <f>_xlfn.XLOOKUP(frasest[[#This Row],[author_es]],autorest[author_es],autorest[iso3691])</f>
        <v>es</v>
      </c>
      <c r="K3" t="str">
        <f>_xlfn.XLOOKUP(frasest[[#This Row],[author_es]],autorest[author_es],autorest[language_es])</f>
        <v>Español</v>
      </c>
      <c r="L3" t="str">
        <f>_xlfn.XLOOKUP(frasest[[#This Row],[author_es]],autorest[author_es],autorest[language_la])</f>
        <v>Lingua Hispanica</v>
      </c>
      <c r="M3" t="str">
        <f>_xlfn.XLOOKUP(frasest[[#This Row],[author_es]],autorest[author_es],autorest[nation_es])</f>
        <v>España</v>
      </c>
      <c r="N3" t="str">
        <f>_xlfn.XLOOKUP(frasest[[#This Row],[author_es]],autorest[author_es],autorest[nation_la])</f>
        <v>Hispania</v>
      </c>
      <c r="O3" t="str">
        <f>_xlfn.XLOOKUP(frasest[[#This Row],[author_es]],autorest[author_es],autorest[age_es])</f>
        <v>Epoca Desconocida</v>
      </c>
      <c r="P3" t="str">
        <f>_xlfn.XLOOKUP(frasest[[#This Row],[author_es]],autorest[author_es],autorest[age_la])</f>
        <v>Epocha Ignota</v>
      </c>
      <c r="Q3" t="str">
        <f>_xlfn.XLOOKUP(frasest[[#This Row],[author_es]],autorest[author_es],autorest[image])</f>
        <v>https://i.ibb.co/Y4f7TZWm/espa-a.png</v>
      </c>
      <c r="R3">
        <f>_xlfn.XLOOKUP(frasest[[#This Row],[author_es]],autorest[author_es],autorest[image_atr])</f>
        <v>0</v>
      </c>
    </row>
    <row r="4" spans="1:18">
      <c r="A4">
        <v>3</v>
      </c>
      <c r="B4" t="s">
        <v>25</v>
      </c>
      <c r="C4" t="s">
        <v>26</v>
      </c>
      <c r="D4" s="1" t="s">
        <v>27</v>
      </c>
      <c r="E4" t="s">
        <v>28</v>
      </c>
      <c r="G4" t="str">
        <f>_xlfn.XLOOKUP(frasest[[#This Row],[author_es]],autorest[author_es],autorest[author_la])</f>
        <v>Proverbium Iaponicum</v>
      </c>
      <c r="H4" t="str">
        <f>_xlfn.XLOOKUP(frasest[[#This Row],[author_es]],autorest[author_es],autorest[bio_es])</f>
        <v>Expresiones tradicionales de la cultura japonesa que resumen enseñanzas morales, filosóficas y prácticas derivadas del budismo, el sintoísmo y la experiencia popular.</v>
      </c>
      <c r="I4" t="str">
        <f>_xlfn.XLOOKUP(frasest[[#This Row],[author_es]],autorest[author_es],autorest[bio_la])</f>
        <v>Collectio sententiarum Iaponicarum.</v>
      </c>
      <c r="J4" t="str">
        <f>_xlfn.XLOOKUP(frasest[[#This Row],[author_es]],autorest[author_es],autorest[iso3691])</f>
        <v>ja</v>
      </c>
      <c r="K4" t="str">
        <f>_xlfn.XLOOKUP(frasest[[#This Row],[author_es]],autorest[author_es],autorest[language_es])</f>
        <v>Japonés</v>
      </c>
      <c r="L4" t="str">
        <f>_xlfn.XLOOKUP(frasest[[#This Row],[author_es]],autorest[author_es],autorest[language_la])</f>
        <v>Lingua Iaponica</v>
      </c>
      <c r="M4" t="str">
        <f>_xlfn.XLOOKUP(frasest[[#This Row],[author_es]],autorest[author_es],autorest[nation_es])</f>
        <v>Japón</v>
      </c>
      <c r="N4" t="str">
        <f>_xlfn.XLOOKUP(frasest[[#This Row],[author_es]],autorest[author_es],autorest[nation_la])</f>
        <v>Iaponia</v>
      </c>
      <c r="O4" t="str">
        <f>_xlfn.XLOOKUP(frasest[[#This Row],[author_es]],autorest[author_es],autorest[age_es])</f>
        <v>Epoca Desconocida</v>
      </c>
      <c r="P4" t="str">
        <f>_xlfn.XLOOKUP(frasest[[#This Row],[author_es]],autorest[author_es],autorest[age_la])</f>
        <v>Epocha Ignota</v>
      </c>
      <c r="Q4" t="str">
        <f>_xlfn.XLOOKUP(frasest[[#This Row],[author_es]],autorest[author_es],autorest[image])</f>
        <v>https://i.ibb.co/svZg6Fc2/japon.png</v>
      </c>
      <c r="R4">
        <f>_xlfn.XLOOKUP(frasest[[#This Row],[author_es]],autorest[author_es],autorest[image_atr])</f>
        <v>0</v>
      </c>
    </row>
    <row r="5" spans="1:18">
      <c r="A5">
        <v>4</v>
      </c>
      <c r="B5" t="s">
        <v>29</v>
      </c>
      <c r="C5" t="s">
        <v>30</v>
      </c>
      <c r="D5" t="s">
        <v>31</v>
      </c>
      <c r="E5" t="s">
        <v>32</v>
      </c>
      <c r="G5" t="str">
        <f>_xlfn.XLOOKUP(frasest[[#This Row],[author_es]],autorest[author_es],autorest[author_la])</f>
        <v>Sententia Russica</v>
      </c>
      <c r="H5" t="str">
        <f>_xlfn.XLOOKUP(frasest[[#This Row],[author_es]],autorest[author_es],autorest[bio_es])</f>
        <v>Dichos tradicionales del pueblo ruso que condensan la experiencia colectiva, el ingenio y la filosofía popular transmitida de generación en generación.</v>
      </c>
      <c r="I5" t="str">
        <f>_xlfn.XLOOKUP(frasest[[#This Row],[author_es]],autorest[author_es],autorest[bio_la])</f>
        <v>Collectio sententiarum Russicarum.</v>
      </c>
      <c r="J5" t="str">
        <f>_xlfn.XLOOKUP(frasest[[#This Row],[author_es]],autorest[author_es],autorest[iso3691])</f>
        <v>ru</v>
      </c>
      <c r="K5" t="str">
        <f>_xlfn.XLOOKUP(frasest[[#This Row],[author_es]],autorest[author_es],autorest[language_es])</f>
        <v>Ruso</v>
      </c>
      <c r="L5" t="str">
        <f>_xlfn.XLOOKUP(frasest[[#This Row],[author_es]],autorest[author_es],autorest[language_la])</f>
        <v>Lingua Russica</v>
      </c>
      <c r="M5" t="str">
        <f>_xlfn.XLOOKUP(frasest[[#This Row],[author_es]],autorest[author_es],autorest[nation_es])</f>
        <v>Rusia</v>
      </c>
      <c r="N5" t="str">
        <f>_xlfn.XLOOKUP(frasest[[#This Row],[author_es]],autorest[author_es],autorest[nation_la])</f>
        <v>Russia</v>
      </c>
      <c r="O5" t="str">
        <f>_xlfn.XLOOKUP(frasest[[#This Row],[author_es]],autorest[author_es],autorest[age_es])</f>
        <v>Epoca Desconocida</v>
      </c>
      <c r="P5" t="str">
        <f>_xlfn.XLOOKUP(frasest[[#This Row],[author_es]],autorest[author_es],autorest[age_la])</f>
        <v>Epocha Ignota</v>
      </c>
      <c r="Q5" t="str">
        <f>_xlfn.XLOOKUP(frasest[[#This Row],[author_es]],autorest[author_es],autorest[image])</f>
        <v>https://i.ibb.co/HLT9WZLw/rusia.png</v>
      </c>
      <c r="R5">
        <f>_xlfn.XLOOKUP(frasest[[#This Row],[author_es]],autorest[author_es],autorest[image_atr])</f>
        <v>0</v>
      </c>
    </row>
    <row r="6" spans="1:18">
      <c r="A6">
        <v>5</v>
      </c>
      <c r="B6" t="s">
        <v>33</v>
      </c>
      <c r="C6" t="s">
        <v>34</v>
      </c>
      <c r="D6" s="1" t="s">
        <v>35</v>
      </c>
      <c r="E6" t="s">
        <v>36</v>
      </c>
      <c r="G6" t="str">
        <f>_xlfn.XLOOKUP(frasest[[#This Row],[author_es]],autorest[author_es],autorest[author_la])</f>
        <v>Proverbium Sinense</v>
      </c>
      <c r="H6" t="str">
        <f>_xlfn.XLOOKUP(frasest[[#This Row],[author_es]],autorest[author_es],autorest[bio_es])</f>
        <v>Conjunto de proverbios tradicionales de la cultura china que transmiten sabiduría popular, valores morales y enseñanzas prácticas transmitidas oralmente durante siglos.</v>
      </c>
      <c r="I6" t="str">
        <f>_xlfn.XLOOKUP(frasest[[#This Row],[author_es]],autorest[author_es],autorest[bio_la])</f>
        <v>Collectio sententiarum Sinensium, magnopere in cultura tradita.</v>
      </c>
      <c r="J6" t="str">
        <f>_xlfn.XLOOKUP(frasest[[#This Row],[author_es]],autorest[author_es],autorest[iso3691])</f>
        <v>zh</v>
      </c>
      <c r="K6" t="str">
        <f>_xlfn.XLOOKUP(frasest[[#This Row],[author_es]],autorest[author_es],autorest[language_es])</f>
        <v>Chino</v>
      </c>
      <c r="L6" t="str">
        <f>_xlfn.XLOOKUP(frasest[[#This Row],[author_es]],autorest[author_es],autorest[language_la])</f>
        <v>Lingua Sinica</v>
      </c>
      <c r="M6" t="str">
        <f>_xlfn.XLOOKUP(frasest[[#This Row],[author_es]],autorest[author_es],autorest[nation_es])</f>
        <v>China</v>
      </c>
      <c r="N6" t="str">
        <f>_xlfn.XLOOKUP(frasest[[#This Row],[author_es]],autorest[author_es],autorest[nation_la])</f>
        <v>Sinae</v>
      </c>
      <c r="O6" t="str">
        <f>_xlfn.XLOOKUP(frasest[[#This Row],[author_es]],autorest[author_es],autorest[age_es])</f>
        <v>Epoca Desconocida</v>
      </c>
      <c r="P6" t="str">
        <f>_xlfn.XLOOKUP(frasest[[#This Row],[author_es]],autorest[author_es],autorest[age_la])</f>
        <v>Epocha Ignota</v>
      </c>
      <c r="Q6" t="str">
        <f>_xlfn.XLOOKUP(frasest[[#This Row],[author_es]],autorest[author_es],autorest[image])</f>
        <v>https://i.ibb.co/qLfpZm6h/china.png</v>
      </c>
      <c r="R6">
        <f>_xlfn.XLOOKUP(frasest[[#This Row],[author_es]],autorest[author_es],autorest[image_atr])</f>
        <v>0</v>
      </c>
    </row>
    <row r="7" spans="1:18" ht="18">
      <c r="A7">
        <v>6</v>
      </c>
      <c r="B7" t="s">
        <v>37</v>
      </c>
      <c r="C7" t="s">
        <v>38</v>
      </c>
      <c r="D7" s="2" t="s">
        <v>39</v>
      </c>
      <c r="E7" t="s">
        <v>40</v>
      </c>
      <c r="F7" t="s">
        <v>41</v>
      </c>
      <c r="G7" t="str">
        <f>_xlfn.XLOOKUP(frasest[[#This Row],[author_es]],autorest[author_es],autorest[author_la])</f>
        <v>Biblia Sacra</v>
      </c>
      <c r="H7"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Row],[author_es]],autorest[author_es],autorest[iso3691])</f>
        <v>he</v>
      </c>
      <c r="K7" t="str">
        <f>_xlfn.XLOOKUP(frasest[[#This Row],[author_es]],autorest[author_es],autorest[language_es])</f>
        <v>Hebreo</v>
      </c>
      <c r="L7" t="str">
        <f>_xlfn.XLOOKUP(frasest[[#This Row],[author_es]],autorest[author_es],autorest[language_la])</f>
        <v>Lingua Hebraica</v>
      </c>
      <c r="M7" t="str">
        <f>_xlfn.XLOOKUP(frasest[[#This Row],[author_es]],autorest[author_es],autorest[nation_es])</f>
        <v>Israel</v>
      </c>
      <c r="N7" t="str">
        <f>_xlfn.XLOOKUP(frasest[[#This Row],[author_es]],autorest[author_es],autorest[nation_la])</f>
        <v>Israel</v>
      </c>
      <c r="O7" t="str">
        <f>_xlfn.XLOOKUP(frasest[[#This Row],[author_es]],autorest[author_es],autorest[age_es])</f>
        <v>Edad Antigua</v>
      </c>
      <c r="P7" t="str">
        <f>_xlfn.XLOOKUP(frasest[[#This Row],[author_es]],autorest[author_es],autorest[age_la])</f>
        <v>Antiquitas</v>
      </c>
      <c r="Q7" t="str">
        <f>_xlfn.XLOOKUP(frasest[[#This Row],[author_es]],autorest[author_es],autorest[image])</f>
        <v>https://i.ibb.co/mF9zsdM5/bible.png</v>
      </c>
      <c r="R7">
        <f>_xlfn.XLOOKUP(frasest[[#This Row],[author_es]],autorest[author_es],autorest[image_atr])</f>
        <v>0</v>
      </c>
    </row>
    <row r="8" spans="1:18">
      <c r="A8">
        <v>7</v>
      </c>
      <c r="B8" t="s">
        <v>42</v>
      </c>
      <c r="C8" t="s">
        <v>43</v>
      </c>
      <c r="D8" t="s">
        <v>44</v>
      </c>
      <c r="E8" t="s">
        <v>40</v>
      </c>
      <c r="F8" t="s">
        <v>45</v>
      </c>
      <c r="G8" t="str">
        <f>_xlfn.XLOOKUP(frasest[[#This Row],[author_es]],autorest[author_es],autorest[author_la])</f>
        <v>Biblia Sacra</v>
      </c>
      <c r="H8"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Row],[author_es]],autorest[author_es],autorest[iso3691])</f>
        <v>he</v>
      </c>
      <c r="K8" t="str">
        <f>_xlfn.XLOOKUP(frasest[[#This Row],[author_es]],autorest[author_es],autorest[language_es])</f>
        <v>Hebreo</v>
      </c>
      <c r="L8" t="str">
        <f>_xlfn.XLOOKUP(frasest[[#This Row],[author_es]],autorest[author_es],autorest[language_la])</f>
        <v>Lingua Hebraica</v>
      </c>
      <c r="M8" t="str">
        <f>_xlfn.XLOOKUP(frasest[[#This Row],[author_es]],autorest[author_es],autorest[nation_es])</f>
        <v>Israel</v>
      </c>
      <c r="N8" t="str">
        <f>_xlfn.XLOOKUP(frasest[[#This Row],[author_es]],autorest[author_es],autorest[nation_la])</f>
        <v>Israel</v>
      </c>
      <c r="O8" t="str">
        <f>_xlfn.XLOOKUP(frasest[[#This Row],[author_es]],autorest[author_es],autorest[age_es])</f>
        <v>Edad Antigua</v>
      </c>
      <c r="P8" t="str">
        <f>_xlfn.XLOOKUP(frasest[[#This Row],[author_es]],autorest[author_es],autorest[age_la])</f>
        <v>Antiquitas</v>
      </c>
      <c r="Q8" t="str">
        <f>_xlfn.XLOOKUP(frasest[[#This Row],[author_es]],autorest[author_es],autorest[image])</f>
        <v>https://i.ibb.co/mF9zsdM5/bible.png</v>
      </c>
      <c r="R8">
        <f>_xlfn.XLOOKUP(frasest[[#This Row],[author_es]],autorest[author_es],autorest[image_atr])</f>
        <v>0</v>
      </c>
    </row>
    <row r="9" spans="1:18">
      <c r="A9">
        <v>8</v>
      </c>
      <c r="B9" t="s">
        <v>46</v>
      </c>
      <c r="C9" t="s">
        <v>47</v>
      </c>
      <c r="D9" t="s">
        <v>48</v>
      </c>
      <c r="E9" t="s">
        <v>49</v>
      </c>
      <c r="F9" t="s">
        <v>50</v>
      </c>
      <c r="G9" t="str">
        <f>_xlfn.XLOOKUP(frasest[[#This Row],[author_es]],autorest[author_es],autorest[author_la])</f>
        <v>Renatus Cartesius</v>
      </c>
      <c r="H9" t="str">
        <f>_xlfn.XLOOKUP(frasest[[#This Row],[author_es]],autorest[author_es],autorest[bio_es])</f>
        <v>Filósofo y matemático francés.</v>
      </c>
      <c r="I9" t="str">
        <f>_xlfn.XLOOKUP(frasest[[#This Row],[author_es]],autorest[author_es],autorest[bio_la])</f>
        <v>Philosophus et mathematicus Francogallicus.</v>
      </c>
      <c r="J9" t="str">
        <f>_xlfn.XLOOKUP(frasest[[#This Row],[author_es]],autorest[author_es],autorest[iso3691])</f>
        <v>la</v>
      </c>
      <c r="K9" t="str">
        <f>_xlfn.XLOOKUP(frasest[[#This Row],[author_es]],autorest[author_es],autorest[language_es])</f>
        <v>Latín</v>
      </c>
      <c r="L9" t="str">
        <f>_xlfn.XLOOKUP(frasest[[#This Row],[author_es]],autorest[author_es],autorest[language_la])</f>
        <v>Lingua Latina</v>
      </c>
      <c r="M9" t="str">
        <f>_xlfn.XLOOKUP(frasest[[#This Row],[author_es]],autorest[author_es],autorest[nation_es])</f>
        <v>Francia</v>
      </c>
      <c r="N9" t="str">
        <f>_xlfn.XLOOKUP(frasest[[#This Row],[author_es]],autorest[author_es],autorest[nation_la])</f>
        <v>Francia</v>
      </c>
      <c r="O9" t="str">
        <f>_xlfn.XLOOKUP(frasest[[#This Row],[author_es]],autorest[author_es],autorest[age_es])</f>
        <v>Edad Moderna</v>
      </c>
      <c r="P9" t="str">
        <f>_xlfn.XLOOKUP(frasest[[#This Row],[author_es]],autorest[author_es],autorest[age_la])</f>
        <v>Nova Aetas</v>
      </c>
      <c r="Q9" t="str">
        <f>_xlfn.XLOOKUP(frasest[[#This Row],[author_es]],autorest[author_es],autorest[image])</f>
        <v>https://i.ibb.co/pjycYzXh/descartes.png</v>
      </c>
      <c r="R9">
        <f>_xlfn.XLOOKUP(frasest[[#This Row],[author_es]],autorest[author_es],autorest[image_atr])</f>
        <v>0</v>
      </c>
    </row>
    <row r="10" spans="1:18">
      <c r="A10">
        <v>9</v>
      </c>
      <c r="B10" t="s">
        <v>51</v>
      </c>
      <c r="C10" t="s">
        <v>52</v>
      </c>
      <c r="D10" t="s">
        <v>52</v>
      </c>
      <c r="E10" t="s">
        <v>53</v>
      </c>
      <c r="F10" t="s">
        <v>54</v>
      </c>
      <c r="G10" t="str">
        <f>_xlfn.XLOOKUP(frasest[[#This Row],[author_es]],autorest[author_es],autorest[author_la])</f>
        <v>Franciscus Bacon</v>
      </c>
      <c r="H10" t="str">
        <f>_xlfn.XLOOKUP(frasest[[#This Row],[author_es]],autorest[author_es],autorest[bio_es])</f>
        <v>Filósofo y estadista inglés, autor de "El conocimiento es poder".</v>
      </c>
      <c r="I10" t="str">
        <f>_xlfn.XLOOKUP(frasest[[#This Row],[author_es]],autorest[author_es],autorest[bio_la])</f>
        <v>Philosophus et civis Anglicus, auctor "Scientia potentia est".</v>
      </c>
      <c r="J10" t="str">
        <f>_xlfn.XLOOKUP(frasest[[#This Row],[author_es]],autorest[author_es],autorest[iso3691])</f>
        <v>en</v>
      </c>
      <c r="K10" t="str">
        <f>_xlfn.XLOOKUP(frasest[[#This Row],[author_es]],autorest[author_es],autorest[language_es])</f>
        <v>Inglés</v>
      </c>
      <c r="L10" t="str">
        <f>_xlfn.XLOOKUP(frasest[[#This Row],[author_es]],autorest[author_es],autorest[language_la])</f>
        <v>Lingua Anglica</v>
      </c>
      <c r="M10" t="str">
        <f>_xlfn.XLOOKUP(frasest[[#This Row],[author_es]],autorest[author_es],autorest[nation_es])</f>
        <v>Reino Unido</v>
      </c>
      <c r="N10" t="str">
        <f>_xlfn.XLOOKUP(frasest[[#This Row],[author_es]],autorest[author_es],autorest[nation_la])</f>
        <v>Regnum Unitum</v>
      </c>
      <c r="O10" t="str">
        <f>_xlfn.XLOOKUP(frasest[[#This Row],[author_es]],autorest[author_es],autorest[age_es])</f>
        <v>Edad Moderna</v>
      </c>
      <c r="P10" t="str">
        <f>_xlfn.XLOOKUP(frasest[[#This Row],[author_es]],autorest[author_es],autorest[age_la])</f>
        <v>Nova Aetas</v>
      </c>
      <c r="Q10" t="str">
        <f>_xlfn.XLOOKUP(frasest[[#This Row],[author_es]],autorest[author_es],autorest[image])</f>
        <v>https://i.ibb.co/xtWthbfv/bacon.png</v>
      </c>
      <c r="R10">
        <f>_xlfn.XLOOKUP(frasest[[#This Row],[author_es]],autorest[author_es],autorest[image_atr])</f>
        <v>0</v>
      </c>
    </row>
    <row r="11" spans="1:18">
      <c r="A11">
        <v>10</v>
      </c>
      <c r="B11" t="s">
        <v>55</v>
      </c>
      <c r="C11" t="s">
        <v>56</v>
      </c>
      <c r="D11" t="s">
        <v>56</v>
      </c>
      <c r="E11" t="s">
        <v>57</v>
      </c>
      <c r="F11" t="s">
        <v>58</v>
      </c>
      <c r="G11" t="str">
        <f>_xlfn.XLOOKUP(frasest[[#This Row],[author_es]],autorest[author_es],autorest[author_la])</f>
        <v>Aurelius Augustinus</v>
      </c>
      <c r="H11" t="str">
        <f>_xlfn.XLOOKUP(frasest[[#This Row],[author_es]],autorest[author_es],autorest[bio_es])</f>
        <v>Filósofo y teólogo cristiano.</v>
      </c>
      <c r="I11" t="str">
        <f>_xlfn.XLOOKUP(frasest[[#This Row],[author_es]],autorest[author_es],autorest[bio_la])</f>
        <v>Philosophus et theologus Christianus.</v>
      </c>
      <c r="J11" t="str">
        <f>_xlfn.XLOOKUP(frasest[[#This Row],[author_es]],autorest[author_es],autorest[iso3691])</f>
        <v>la</v>
      </c>
      <c r="K11" t="str">
        <f>_xlfn.XLOOKUP(frasest[[#This Row],[author_es]],autorest[author_es],autorest[language_es])</f>
        <v>Latín</v>
      </c>
      <c r="L11" t="str">
        <f>_xlfn.XLOOKUP(frasest[[#This Row],[author_es]],autorest[author_es],autorest[language_la])</f>
        <v>Lingua Latina</v>
      </c>
      <c r="M11" t="str">
        <f>_xlfn.XLOOKUP(frasest[[#This Row],[author_es]],autorest[author_es],autorest[nation_es])</f>
        <v>Roma</v>
      </c>
      <c r="N11" t="str">
        <f>_xlfn.XLOOKUP(frasest[[#This Row],[author_es]],autorest[author_es],autorest[nation_la])</f>
        <v>Roma</v>
      </c>
      <c r="O11" t="str">
        <f>_xlfn.XLOOKUP(frasest[[#This Row],[author_es]],autorest[author_es],autorest[age_es])</f>
        <v>Edad Antigua</v>
      </c>
      <c r="P11" t="str">
        <f>_xlfn.XLOOKUP(frasest[[#This Row],[author_es]],autorest[author_es],autorest[age_la])</f>
        <v>Antiquitas</v>
      </c>
      <c r="Q11" t="str">
        <f>_xlfn.XLOOKUP(frasest[[#This Row],[author_es]],autorest[author_es],autorest[image])</f>
        <v>https://i.ibb.co/chhLXqTZ/agustin.png</v>
      </c>
      <c r="R11">
        <f>_xlfn.XLOOKUP(frasest[[#This Row],[author_es]],autorest[author_es],autorest[image_atr])</f>
        <v>0</v>
      </c>
    </row>
    <row r="12" spans="1:18">
      <c r="A12">
        <v>11</v>
      </c>
      <c r="B12" t="s">
        <v>59</v>
      </c>
      <c r="C12" t="s">
        <v>60</v>
      </c>
      <c r="D12" t="s">
        <v>61</v>
      </c>
      <c r="E12" t="s">
        <v>62</v>
      </c>
      <c r="F12" t="s">
        <v>63</v>
      </c>
      <c r="G12" t="str">
        <f>_xlfn.XLOOKUP(frasest[[#This Row],[author_es]],autorest[author_es],autorest[author_la])</f>
        <v>Daleus Carnegieus</v>
      </c>
      <c r="H12" t="str">
        <f>_xlfn.XLOOKUP(frasest[[#This Row],[author_es]],autorest[author_es],autorest[bio_es])</f>
        <v>Escritor y conferencista estadounidense, autor de libros de desarrollo personal.</v>
      </c>
      <c r="I12" t="str">
        <f>_xlfn.XLOOKUP(frasest[[#This Row],[author_es]],autorest[author_es],autorest[bio_la])</f>
        <v>Scriba et orator Americanus, auctor librorum de progressu personali.</v>
      </c>
      <c r="J12" t="str">
        <f>_xlfn.XLOOKUP(frasest[[#This Row],[author_es]],autorest[author_es],autorest[iso3691])</f>
        <v>en</v>
      </c>
      <c r="K12" t="str">
        <f>_xlfn.XLOOKUP(frasest[[#This Row],[author_es]],autorest[author_es],autorest[language_es])</f>
        <v>Inglés</v>
      </c>
      <c r="L12" t="str">
        <f>_xlfn.XLOOKUP(frasest[[#This Row],[author_es]],autorest[author_es],autorest[language_la])</f>
        <v>Lingua Anglica</v>
      </c>
      <c r="M12" t="str">
        <f>_xlfn.XLOOKUP(frasest[[#This Row],[author_es]],autorest[author_es],autorest[nation_es])</f>
        <v>Estados Unidos</v>
      </c>
      <c r="N12" t="str">
        <f>_xlfn.XLOOKUP(frasest[[#This Row],[author_es]],autorest[author_es],autorest[nation_la])</f>
        <v>Civitates Foederatae Americae</v>
      </c>
      <c r="O12" t="str">
        <f>_xlfn.XLOOKUP(frasest[[#This Row],[author_es]],autorest[author_es],autorest[age_es])</f>
        <v>Edad Contemporánea</v>
      </c>
      <c r="P12" t="str">
        <f>_xlfn.XLOOKUP(frasest[[#This Row],[author_es]],autorest[author_es],autorest[age_la])</f>
        <v>Aetas Contemporanea</v>
      </c>
      <c r="Q12" t="str">
        <f>_xlfn.XLOOKUP(frasest[[#This Row],[author_es]],autorest[author_es],autorest[image])</f>
        <v>https://i.ibb.co/BFB74pj/carnegie.png</v>
      </c>
      <c r="R12">
        <f>_xlfn.XLOOKUP(frasest[[#This Row],[author_es]],autorest[author_es],autorest[image_atr])</f>
        <v>0</v>
      </c>
    </row>
    <row r="13" spans="1:18">
      <c r="A13">
        <v>12</v>
      </c>
      <c r="B13" t="s">
        <v>64</v>
      </c>
      <c r="C13" t="s">
        <v>65</v>
      </c>
      <c r="D13" t="s">
        <v>64</v>
      </c>
      <c r="E13" t="s">
        <v>24</v>
      </c>
      <c r="G13" t="str">
        <f>_xlfn.XLOOKUP(frasest[[#This Row],[author_es]],autorest[author_es],autorest[author_la])</f>
        <v>Sententia Hispanica</v>
      </c>
      <c r="H13" t="str">
        <f>_xlfn.XLOOKUP(frasest[[#This Row],[author_es]],autorest[author_es],autorest[bio_es])</f>
        <v>Refranes populares de la tradición oral hispana que expresan de forma breve y ingeniosa enseñanzas prácticas sobre la vida cotidiana.</v>
      </c>
      <c r="I13" t="str">
        <f>_xlfn.XLOOKUP(frasest[[#This Row],[author_es]],autorest[author_es],autorest[bio_la])</f>
        <v>Collectio sententiarum Hispanicarum.</v>
      </c>
      <c r="J13" t="str">
        <f>_xlfn.XLOOKUP(frasest[[#This Row],[author_es]],autorest[author_es],autorest[iso3691])</f>
        <v>es</v>
      </c>
      <c r="K13" t="str">
        <f>_xlfn.XLOOKUP(frasest[[#This Row],[author_es]],autorest[author_es],autorest[language_es])</f>
        <v>Español</v>
      </c>
      <c r="L13" t="str">
        <f>_xlfn.XLOOKUP(frasest[[#This Row],[author_es]],autorest[author_es],autorest[language_la])</f>
        <v>Lingua Hispanica</v>
      </c>
      <c r="M13" t="str">
        <f>_xlfn.XLOOKUP(frasest[[#This Row],[author_es]],autorest[author_es],autorest[nation_es])</f>
        <v>España</v>
      </c>
      <c r="N13" t="str">
        <f>_xlfn.XLOOKUP(frasest[[#This Row],[author_es]],autorest[author_es],autorest[nation_la])</f>
        <v>Hispania</v>
      </c>
      <c r="O13" t="str">
        <f>_xlfn.XLOOKUP(frasest[[#This Row],[author_es]],autorest[author_es],autorest[age_es])</f>
        <v>Epoca Desconocida</v>
      </c>
      <c r="P13" t="str">
        <f>_xlfn.XLOOKUP(frasest[[#This Row],[author_es]],autorest[author_es],autorest[age_la])</f>
        <v>Epocha Ignota</v>
      </c>
      <c r="Q13" t="str">
        <f>_xlfn.XLOOKUP(frasest[[#This Row],[author_es]],autorest[author_es],autorest[image])</f>
        <v>https://i.ibb.co/Y4f7TZWm/espa-a.png</v>
      </c>
      <c r="R13">
        <f>_xlfn.XLOOKUP(frasest[[#This Row],[author_es]],autorest[author_es],autorest[image_atr])</f>
        <v>0</v>
      </c>
    </row>
    <row r="14" spans="1:18">
      <c r="A14">
        <v>13</v>
      </c>
      <c r="B14" t="s">
        <v>66</v>
      </c>
      <c r="C14" t="s">
        <v>67</v>
      </c>
      <c r="D14" t="s">
        <v>67</v>
      </c>
      <c r="E14" t="s">
        <v>68</v>
      </c>
      <c r="F14" t="s">
        <v>69</v>
      </c>
      <c r="G14" t="str">
        <f>_xlfn.XLOOKUP(frasest[[#This Row],[author_es]],autorest[author_es],autorest[author_la])</f>
        <v>Quintus Horatius Flaccus</v>
      </c>
      <c r="H14" t="str">
        <f>_xlfn.XLOOKUP(frasest[[#This Row],[author_es]],autorest[author_es],autorest[bio_es])</f>
        <v>Poeta lírico romano, autor de "Carpe diem".</v>
      </c>
      <c r="I14" t="str">
        <f>_xlfn.XLOOKUP(frasest[[#This Row],[author_es]],autorest[author_es],autorest[bio_la])</f>
        <v>Poeta lyricus Romanus, auctor "Carpe diem".</v>
      </c>
      <c r="J14" t="str">
        <f>_xlfn.XLOOKUP(frasest[[#This Row],[author_es]],autorest[author_es],autorest[iso3691])</f>
        <v>la</v>
      </c>
      <c r="K14" t="str">
        <f>_xlfn.XLOOKUP(frasest[[#This Row],[author_es]],autorest[author_es],autorest[language_es])</f>
        <v>Latín</v>
      </c>
      <c r="L14" t="str">
        <f>_xlfn.XLOOKUP(frasest[[#This Row],[author_es]],autorest[author_es],autorest[language_la])</f>
        <v>Lingua Latina</v>
      </c>
      <c r="M14" t="str">
        <f>_xlfn.XLOOKUP(frasest[[#This Row],[author_es]],autorest[author_es],autorest[nation_es])</f>
        <v>Roma</v>
      </c>
      <c r="N14" t="str">
        <f>_xlfn.XLOOKUP(frasest[[#This Row],[author_es]],autorest[author_es],autorest[nation_la])</f>
        <v>Roma</v>
      </c>
      <c r="O14" t="str">
        <f>_xlfn.XLOOKUP(frasest[[#This Row],[author_es]],autorest[author_es],autorest[age_es])</f>
        <v>Edad Antigua</v>
      </c>
      <c r="P14" t="str">
        <f>_xlfn.XLOOKUP(frasest[[#This Row],[author_es]],autorest[author_es],autorest[age_la])</f>
        <v>Antiquitas</v>
      </c>
      <c r="Q14" t="str">
        <f>_xlfn.XLOOKUP(frasest[[#This Row],[author_es]],autorest[author_es],autorest[image])</f>
        <v>https://i.ibb.co/KjBfHkQ2/horacio.png</v>
      </c>
      <c r="R14">
        <f>_xlfn.XLOOKUP(frasest[[#This Row],[author_es]],autorest[author_es],autorest[image_atr])</f>
        <v>0</v>
      </c>
    </row>
    <row r="15" spans="1:18">
      <c r="A15">
        <v>14</v>
      </c>
      <c r="B15" t="s">
        <v>70</v>
      </c>
      <c r="C15" t="s">
        <v>71</v>
      </c>
      <c r="D15" t="s">
        <v>72</v>
      </c>
      <c r="E15" t="s">
        <v>73</v>
      </c>
      <c r="F15" t="s">
        <v>74</v>
      </c>
      <c r="G15" t="str">
        <f>_xlfn.XLOOKUP(frasest[[#This Row],[author_es]],autorest[author_es],autorest[author_la])</f>
        <v>Gulielmus Shakespeare</v>
      </c>
      <c r="H15" t="str">
        <f>_xlfn.XLOOKUP(frasest[[#This Row],[author_es]],autorest[author_es],autorest[bio_es])</f>
        <v>Dramaturgo y poeta inglés, autor de Hamlet.</v>
      </c>
      <c r="I15" t="str">
        <f>_xlfn.XLOOKUP(frasest[[#This Row],[author_es]],autorest[author_es],autorest[bio_la])</f>
        <v>Dramaturgus et poeta Anglicus, auctor "Hamlet".</v>
      </c>
      <c r="J15" t="str">
        <f>_xlfn.XLOOKUP(frasest[[#This Row],[author_es]],autorest[author_es],autorest[iso3691])</f>
        <v>en</v>
      </c>
      <c r="K15" t="str">
        <f>_xlfn.XLOOKUP(frasest[[#This Row],[author_es]],autorest[author_es],autorest[language_es])</f>
        <v>Inglés</v>
      </c>
      <c r="L15" t="str">
        <f>_xlfn.XLOOKUP(frasest[[#This Row],[author_es]],autorest[author_es],autorest[language_la])</f>
        <v>Lingua Anglica</v>
      </c>
      <c r="M15" t="str">
        <f>_xlfn.XLOOKUP(frasest[[#This Row],[author_es]],autorest[author_es],autorest[nation_es])</f>
        <v>Reino Unido</v>
      </c>
      <c r="N15" t="str">
        <f>_xlfn.XLOOKUP(frasest[[#This Row],[author_es]],autorest[author_es],autorest[nation_la])</f>
        <v>Regnum Unitum</v>
      </c>
      <c r="O15" t="str">
        <f>_xlfn.XLOOKUP(frasest[[#This Row],[author_es]],autorest[author_es],autorest[age_es])</f>
        <v>Edad Moderna</v>
      </c>
      <c r="P15" t="str">
        <f>_xlfn.XLOOKUP(frasest[[#This Row],[author_es]],autorest[author_es],autorest[age_la])</f>
        <v>Nova Aetas</v>
      </c>
      <c r="Q15" t="str">
        <f>_xlfn.XLOOKUP(frasest[[#This Row],[author_es]],autorest[author_es],autorest[image])</f>
        <v>https://i.ibb.co/MDGnQ1yJ/shakespeare.png</v>
      </c>
      <c r="R15">
        <f>_xlfn.XLOOKUP(frasest[[#This Row],[author_es]],autorest[author_es],autorest[image_atr])</f>
        <v>0</v>
      </c>
    </row>
    <row r="16" spans="1:18">
      <c r="A16">
        <v>15</v>
      </c>
      <c r="B16" t="s">
        <v>75</v>
      </c>
      <c r="C16" t="s">
        <v>76</v>
      </c>
      <c r="D16" t="s">
        <v>75</v>
      </c>
      <c r="E16" t="s">
        <v>24</v>
      </c>
      <c r="G16" t="str">
        <f>_xlfn.XLOOKUP(frasest[[#This Row],[author_es]],autorest[author_es],autorest[author_la])</f>
        <v>Sententia Hispanica</v>
      </c>
      <c r="H16" t="str">
        <f>_xlfn.XLOOKUP(frasest[[#This Row],[author_es]],autorest[author_es],autorest[bio_es])</f>
        <v>Refranes populares de la tradición oral hispana que expresan de forma breve y ingeniosa enseñanzas prácticas sobre la vida cotidiana.</v>
      </c>
      <c r="I16" t="str">
        <f>_xlfn.XLOOKUP(frasest[[#This Row],[author_es]],autorest[author_es],autorest[bio_la])</f>
        <v>Collectio sententiarum Hispanicarum.</v>
      </c>
      <c r="J16" t="str">
        <f>_xlfn.XLOOKUP(frasest[[#This Row],[author_es]],autorest[author_es],autorest[iso3691])</f>
        <v>es</v>
      </c>
      <c r="K16" t="str">
        <f>_xlfn.XLOOKUP(frasest[[#This Row],[author_es]],autorest[author_es],autorest[language_es])</f>
        <v>Español</v>
      </c>
      <c r="L16" t="str">
        <f>_xlfn.XLOOKUP(frasest[[#This Row],[author_es]],autorest[author_es],autorest[language_la])</f>
        <v>Lingua Hispanica</v>
      </c>
      <c r="M16" t="str">
        <f>_xlfn.XLOOKUP(frasest[[#This Row],[author_es]],autorest[author_es],autorest[nation_es])</f>
        <v>España</v>
      </c>
      <c r="N16" t="str">
        <f>_xlfn.XLOOKUP(frasest[[#This Row],[author_es]],autorest[author_es],autorest[nation_la])</f>
        <v>Hispania</v>
      </c>
      <c r="O16" t="str">
        <f>_xlfn.XLOOKUP(frasest[[#This Row],[author_es]],autorest[author_es],autorest[age_es])</f>
        <v>Epoca Desconocida</v>
      </c>
      <c r="P16" t="str">
        <f>_xlfn.XLOOKUP(frasest[[#This Row],[author_es]],autorest[author_es],autorest[age_la])</f>
        <v>Epocha Ignota</v>
      </c>
      <c r="Q16" t="str">
        <f>_xlfn.XLOOKUP(frasest[[#This Row],[author_es]],autorest[author_es],autorest[image])</f>
        <v>https://i.ibb.co/Y4f7TZWm/espa-a.png</v>
      </c>
      <c r="R16">
        <f>_xlfn.XLOOKUP(frasest[[#This Row],[author_es]],autorest[author_es],autorest[image_atr])</f>
        <v>0</v>
      </c>
    </row>
    <row r="17" spans="1:18">
      <c r="A17">
        <v>16</v>
      </c>
      <c r="B17" t="s">
        <v>77</v>
      </c>
      <c r="C17" t="s">
        <v>78</v>
      </c>
      <c r="D17" s="1" t="s">
        <v>79</v>
      </c>
      <c r="E17" t="s">
        <v>36</v>
      </c>
      <c r="G17" t="str">
        <f>_xlfn.XLOOKUP(frasest[[#This Row],[author_es]],autorest[author_es],autorest[author_la])</f>
        <v>Proverbium Sinense</v>
      </c>
      <c r="H17" t="str">
        <f>_xlfn.XLOOKUP(frasest[[#This Row],[author_es]],autorest[author_es],autorest[bio_es])</f>
        <v>Conjunto de proverbios tradicionales de la cultura china que transmiten sabiduría popular, valores morales y enseñanzas prácticas transmitidas oralmente durante siglos.</v>
      </c>
      <c r="I17" t="str">
        <f>_xlfn.XLOOKUP(frasest[[#This Row],[author_es]],autorest[author_es],autorest[bio_la])</f>
        <v>Collectio sententiarum Sinensium, magnopere in cultura tradita.</v>
      </c>
      <c r="J17" t="str">
        <f>_xlfn.XLOOKUP(frasest[[#This Row],[author_es]],autorest[author_es],autorest[iso3691])</f>
        <v>zh</v>
      </c>
      <c r="K17" t="str">
        <f>_xlfn.XLOOKUP(frasest[[#This Row],[author_es]],autorest[author_es],autorest[language_es])</f>
        <v>Chino</v>
      </c>
      <c r="L17" t="str">
        <f>_xlfn.XLOOKUP(frasest[[#This Row],[author_es]],autorest[author_es],autorest[language_la])</f>
        <v>Lingua Sinica</v>
      </c>
      <c r="M17" t="str">
        <f>_xlfn.XLOOKUP(frasest[[#This Row],[author_es]],autorest[author_es],autorest[nation_es])</f>
        <v>China</v>
      </c>
      <c r="N17" t="str">
        <f>_xlfn.XLOOKUP(frasest[[#This Row],[author_es]],autorest[author_es],autorest[nation_la])</f>
        <v>Sinae</v>
      </c>
      <c r="O17" t="str">
        <f>_xlfn.XLOOKUP(frasest[[#This Row],[author_es]],autorest[author_es],autorest[age_es])</f>
        <v>Epoca Desconocida</v>
      </c>
      <c r="P17" t="str">
        <f>_xlfn.XLOOKUP(frasest[[#This Row],[author_es]],autorest[author_es],autorest[age_la])</f>
        <v>Epocha Ignota</v>
      </c>
      <c r="Q17" t="str">
        <f>_xlfn.XLOOKUP(frasest[[#This Row],[author_es]],autorest[author_es],autorest[image])</f>
        <v>https://i.ibb.co/qLfpZm6h/china.png</v>
      </c>
      <c r="R17">
        <f>_xlfn.XLOOKUP(frasest[[#This Row],[author_es]],autorest[author_es],autorest[image_atr])</f>
        <v>0</v>
      </c>
    </row>
    <row r="18" spans="1:18">
      <c r="A18">
        <v>17</v>
      </c>
      <c r="B18" t="s">
        <v>80</v>
      </c>
      <c r="C18" t="s">
        <v>81</v>
      </c>
      <c r="D18" t="s">
        <v>81</v>
      </c>
      <c r="E18" t="s">
        <v>82</v>
      </c>
      <c r="F18" t="s">
        <v>83</v>
      </c>
      <c r="G18" t="str">
        <f>_xlfn.XLOOKUP(frasest[[#This Row],[author_es]],autorest[author_es],autorest[author_la])</f>
        <v>Gaius Iulius Caesar</v>
      </c>
      <c r="H18" t="str">
        <f>_xlfn.XLOOKUP(frasest[[#This Row],[author_es]],autorest[author_es],autorest[bio_es])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Row],[author_es]],autorest[author_es],autorest[bio_la])</f>
        <v>Politicus, miles et scriptor Romanus. Finitum Rei Publicae et ascensus Imperii. Galliam vicit, Rubiconem transiit anno 49 a.C., bellum civile incepit, dictator perpetuus factus. Interfectus est die 15 Martii 44 a.C.</v>
      </c>
      <c r="J18" t="str">
        <f>_xlfn.XLOOKUP(frasest[[#This Row],[author_es]],autorest[author_es],autorest[iso3691])</f>
        <v>la</v>
      </c>
      <c r="K18" t="str">
        <f>_xlfn.XLOOKUP(frasest[[#This Row],[author_es]],autorest[author_es],autorest[language_es])</f>
        <v>Latín</v>
      </c>
      <c r="L18" t="str">
        <f>_xlfn.XLOOKUP(frasest[[#This Row],[author_es]],autorest[author_es],autorest[language_la])</f>
        <v>Lingua Latina</v>
      </c>
      <c r="M18" t="str">
        <f>_xlfn.XLOOKUP(frasest[[#This Row],[author_es]],autorest[author_es],autorest[nation_es])</f>
        <v>Roma</v>
      </c>
      <c r="N18" t="str">
        <f>_xlfn.XLOOKUP(frasest[[#This Row],[author_es]],autorest[author_es],autorest[nation_la])</f>
        <v>Roma</v>
      </c>
      <c r="O18" t="str">
        <f>_xlfn.XLOOKUP(frasest[[#This Row],[author_es]],autorest[author_es],autorest[age_es])</f>
        <v>Edad Antigua</v>
      </c>
      <c r="P18" t="str">
        <f>_xlfn.XLOOKUP(frasest[[#This Row],[author_es]],autorest[author_es],autorest[age_la])</f>
        <v>Antiquitas</v>
      </c>
      <c r="Q18" t="str">
        <f>_xlfn.XLOOKUP(frasest[[#This Row],[author_es]],autorest[author_es],autorest[image])</f>
        <v>https://i.ibb.co/7dbHBQ9X/juliocesar.png</v>
      </c>
      <c r="R18">
        <f>_xlfn.XLOOKUP(frasest[[#This Row],[author_es]],autorest[author_es],autorest[image_atr])</f>
        <v>0</v>
      </c>
    </row>
    <row r="19" spans="1:18">
      <c r="A19">
        <v>18</v>
      </c>
      <c r="B19" t="s">
        <v>84</v>
      </c>
      <c r="C19" t="s">
        <v>85</v>
      </c>
      <c r="D19" t="s">
        <v>86</v>
      </c>
      <c r="E19" t="s">
        <v>87</v>
      </c>
      <c r="F19" t="s">
        <v>88</v>
      </c>
      <c r="G19" t="str">
        <f>_xlfn.XLOOKUP(frasest[[#This Row],[author_es]],autorest[author_es],autorest[author_la])</f>
        <v>Parmenides</v>
      </c>
      <c r="H19" t="str">
        <f>_xlfn.XLOOKUP(frasest[[#This Row],[author_es]],autorest[author_es],autorest[bio_es])</f>
        <v>Filósofo presocrático griego, fundador de la escuela eleática. Defendió la idea de la permanencia del ser y que nada surge de la nada.</v>
      </c>
      <c r="I19" t="str">
        <f>_xlfn.XLOOKUP(frasest[[#This Row],[author_es]],autorest[author_es],autorest[bio_la])</f>
        <v>Philosophus Praesocraticus Graecus, schola Eleatica conditor. Ideam constantiae entis defendit, nihil ex nihilo oriri.</v>
      </c>
      <c r="J19" t="str">
        <f>_xlfn.XLOOKUP(frasest[[#This Row],[author_es]],autorest[author_es],autorest[iso3691])</f>
        <v>la</v>
      </c>
      <c r="K19" t="str">
        <f>_xlfn.XLOOKUP(frasest[[#This Row],[author_es]],autorest[author_es],autorest[language_es])</f>
        <v>Latín</v>
      </c>
      <c r="L19" t="str">
        <f>_xlfn.XLOOKUP(frasest[[#This Row],[author_es]],autorest[author_es],autorest[language_la])</f>
        <v>Lingua Latina</v>
      </c>
      <c r="M19" t="str">
        <f>_xlfn.XLOOKUP(frasest[[#This Row],[author_es]],autorest[author_es],autorest[nation_es])</f>
        <v>Grecia</v>
      </c>
      <c r="N19" t="str">
        <f>_xlfn.XLOOKUP(frasest[[#This Row],[author_es]],autorest[author_es],autorest[nation_la])</f>
        <v>Graecia</v>
      </c>
      <c r="O19" t="str">
        <f>_xlfn.XLOOKUP(frasest[[#This Row],[author_es]],autorest[author_es],autorest[age_es])</f>
        <v>Edad Antigua</v>
      </c>
      <c r="P19" t="str">
        <f>_xlfn.XLOOKUP(frasest[[#This Row],[author_es]],autorest[author_es],autorest[age_la])</f>
        <v>Antiquitas</v>
      </c>
      <c r="Q19" t="str">
        <f>_xlfn.XLOOKUP(frasest[[#This Row],[author_es]],autorest[author_es],autorest[image])</f>
        <v>https://i.ibb.co/8DHGWSZc/parmenides.png</v>
      </c>
      <c r="R19">
        <f>_xlfn.XLOOKUP(frasest[[#This Row],[author_es]],autorest[author_es],autorest[image_atr])</f>
        <v>0</v>
      </c>
    </row>
    <row r="20" spans="1:18">
      <c r="A20">
        <v>19</v>
      </c>
      <c r="B20" t="s">
        <v>89</v>
      </c>
      <c r="C20" t="s">
        <v>90</v>
      </c>
      <c r="D20" s="1" t="s">
        <v>91</v>
      </c>
      <c r="E20" t="s">
        <v>36</v>
      </c>
      <c r="G20" t="str">
        <f>_xlfn.XLOOKUP(frasest[[#This Row],[author_es]],autorest[author_es],autorest[author_la])</f>
        <v>Proverbium Sinense</v>
      </c>
      <c r="H20" t="str">
        <f>_xlfn.XLOOKUP(frasest[[#This Row],[author_es]],autorest[author_es],autorest[bio_es])</f>
        <v>Conjunto de proverbios tradicionales de la cultura china que transmiten sabiduría popular, valores morales y enseñanzas prácticas transmitidas oralmente durante siglos.</v>
      </c>
      <c r="I20" t="str">
        <f>_xlfn.XLOOKUP(frasest[[#This Row],[author_es]],autorest[author_es],autorest[bio_la])</f>
        <v>Collectio sententiarum Sinensium, magnopere in cultura tradita.</v>
      </c>
      <c r="J20" t="str">
        <f>_xlfn.XLOOKUP(frasest[[#This Row],[author_es]],autorest[author_es],autorest[iso3691])</f>
        <v>zh</v>
      </c>
      <c r="K20" t="str">
        <f>_xlfn.XLOOKUP(frasest[[#This Row],[author_es]],autorest[author_es],autorest[language_es])</f>
        <v>Chino</v>
      </c>
      <c r="L20" t="str">
        <f>_xlfn.XLOOKUP(frasest[[#This Row],[author_es]],autorest[author_es],autorest[language_la])</f>
        <v>Lingua Sinica</v>
      </c>
      <c r="M20" t="str">
        <f>_xlfn.XLOOKUP(frasest[[#This Row],[author_es]],autorest[author_es],autorest[nation_es])</f>
        <v>China</v>
      </c>
      <c r="N20" t="str">
        <f>_xlfn.XLOOKUP(frasest[[#This Row],[author_es]],autorest[author_es],autorest[nation_la])</f>
        <v>Sinae</v>
      </c>
      <c r="O20" t="str">
        <f>_xlfn.XLOOKUP(frasest[[#This Row],[author_es]],autorest[author_es],autorest[age_es])</f>
        <v>Epoca Desconocida</v>
      </c>
      <c r="P20" t="str">
        <f>_xlfn.XLOOKUP(frasest[[#This Row],[author_es]],autorest[author_es],autorest[age_la])</f>
        <v>Epocha Ignota</v>
      </c>
      <c r="Q20" t="str">
        <f>_xlfn.XLOOKUP(frasest[[#This Row],[author_es]],autorest[author_es],autorest[image])</f>
        <v>https://i.ibb.co/qLfpZm6h/china.png</v>
      </c>
      <c r="R20">
        <f>_xlfn.XLOOKUP(frasest[[#This Row],[author_es]],autorest[author_es],autorest[image_atr])</f>
        <v>0</v>
      </c>
    </row>
    <row r="21" spans="1:18">
      <c r="A21">
        <v>20</v>
      </c>
      <c r="B21" t="s">
        <v>92</v>
      </c>
      <c r="C21" t="s">
        <v>93</v>
      </c>
      <c r="D21" s="1" t="s">
        <v>94</v>
      </c>
      <c r="E21" t="s">
        <v>95</v>
      </c>
      <c r="F21" t="s">
        <v>96</v>
      </c>
      <c r="G21" t="str">
        <f>_xlfn.XLOOKUP(frasest[[#This Row],[author_es]],autorest[author_es],autorest[author_la])</f>
        <v>Confucius</v>
      </c>
      <c r="H21" t="str">
        <f>_xlfn.XLOOKUP(frasest[[#This Row],[author_es]],autorest[author_es],autorest[bio_es])</f>
        <v>Filósofo y maestro chino, fundador del confucianismo. Sus enseñanzas influyeron profundamente en la cultura, ética y política de China.</v>
      </c>
      <c r="I21" t="str">
        <f>_xlfn.XLOOKUP(frasest[[#This Row],[author_es]],autorest[author_es],autorest[bio_la])</f>
        <v>Philosophus et magister Sinensis, confucianismi conditor. Doctrinae eius in culturam, ethicam et politicam Sinensem profunde influentes.</v>
      </c>
      <c r="J21" t="str">
        <f>_xlfn.XLOOKUP(frasest[[#This Row],[author_es]],autorest[author_es],autorest[iso3691])</f>
        <v>zh</v>
      </c>
      <c r="K21" t="str">
        <f>_xlfn.XLOOKUP(frasest[[#This Row],[author_es]],autorest[author_es],autorest[language_es])</f>
        <v>Chino</v>
      </c>
      <c r="L21" t="str">
        <f>_xlfn.XLOOKUP(frasest[[#This Row],[author_es]],autorest[author_es],autorest[language_la])</f>
        <v>Lingua Sinica</v>
      </c>
      <c r="M21" t="str">
        <f>_xlfn.XLOOKUP(frasest[[#This Row],[author_es]],autorest[author_es],autorest[nation_es])</f>
        <v>China</v>
      </c>
      <c r="N21" t="str">
        <f>_xlfn.XLOOKUP(frasest[[#This Row],[author_es]],autorest[author_es],autorest[nation_la])</f>
        <v>Sinae</v>
      </c>
      <c r="O21" t="str">
        <f>_xlfn.XLOOKUP(frasest[[#This Row],[author_es]],autorest[author_es],autorest[age_es])</f>
        <v>Edad Antigua</v>
      </c>
      <c r="P21" t="str">
        <f>_xlfn.XLOOKUP(frasest[[#This Row],[author_es]],autorest[author_es],autorest[age_la])</f>
        <v>Antiquitas</v>
      </c>
      <c r="Q21" t="str">
        <f>_xlfn.XLOOKUP(frasest[[#This Row],[author_es]],autorest[author_es],autorest[image])</f>
        <v>https://i.ibb.co/tjXTLg8/confucio.png</v>
      </c>
      <c r="R21">
        <f>_xlfn.XLOOKUP(frasest[[#This Row],[author_es]],autorest[author_es],autorest[image_atr])</f>
        <v>0</v>
      </c>
    </row>
    <row r="22" spans="1:18">
      <c r="A22">
        <v>21</v>
      </c>
      <c r="B22" t="s">
        <v>97</v>
      </c>
      <c r="C22" t="s">
        <v>98</v>
      </c>
      <c r="D22" s="1" t="s">
        <v>99</v>
      </c>
      <c r="E22" t="s">
        <v>95</v>
      </c>
      <c r="F22" t="s">
        <v>100</v>
      </c>
      <c r="G22" t="str">
        <f>_xlfn.XLOOKUP(frasest[[#This Row],[author_es]],autorest[author_es],autorest[author_la])</f>
        <v>Confucius</v>
      </c>
      <c r="H22" t="str">
        <f>_xlfn.XLOOKUP(frasest[[#This Row],[author_es]],autorest[author_es],autorest[bio_es])</f>
        <v>Filósofo y maestro chino, fundador del confucianismo. Sus enseñanzas influyeron profundamente en la cultura, ética y política de China.</v>
      </c>
      <c r="I22" t="str">
        <f>_xlfn.XLOOKUP(frasest[[#This Row],[author_es]],autorest[author_es],autorest[bio_la])</f>
        <v>Philosophus et magister Sinensis, confucianismi conditor. Doctrinae eius in culturam, ethicam et politicam Sinensem profunde influentes.</v>
      </c>
      <c r="J22" t="str">
        <f>_xlfn.XLOOKUP(frasest[[#This Row],[author_es]],autorest[author_es],autorest[iso3691])</f>
        <v>zh</v>
      </c>
      <c r="K22" t="str">
        <f>_xlfn.XLOOKUP(frasest[[#This Row],[author_es]],autorest[author_es],autorest[language_es])</f>
        <v>Chino</v>
      </c>
      <c r="L22" t="str">
        <f>_xlfn.XLOOKUP(frasest[[#This Row],[author_es]],autorest[author_es],autorest[language_la])</f>
        <v>Lingua Sinica</v>
      </c>
      <c r="M22" t="str">
        <f>_xlfn.XLOOKUP(frasest[[#This Row],[author_es]],autorest[author_es],autorest[nation_es])</f>
        <v>China</v>
      </c>
      <c r="N22" t="str">
        <f>_xlfn.XLOOKUP(frasest[[#This Row],[author_es]],autorest[author_es],autorest[nation_la])</f>
        <v>Sinae</v>
      </c>
      <c r="O22" t="str">
        <f>_xlfn.XLOOKUP(frasest[[#This Row],[author_es]],autorest[author_es],autorest[age_es])</f>
        <v>Edad Antigua</v>
      </c>
      <c r="P22" t="str">
        <f>_xlfn.XLOOKUP(frasest[[#This Row],[author_es]],autorest[author_es],autorest[age_la])</f>
        <v>Antiquitas</v>
      </c>
      <c r="Q22" t="str">
        <f>_xlfn.XLOOKUP(frasest[[#This Row],[author_es]],autorest[author_es],autorest[image])</f>
        <v>https://i.ibb.co/tjXTLg8/confucio.png</v>
      </c>
      <c r="R22">
        <f>_xlfn.XLOOKUP(frasest[[#This Row],[author_es]],autorest[author_es],autorest[image_atr])</f>
        <v>0</v>
      </c>
    </row>
    <row r="23" spans="1:18">
      <c r="A23">
        <v>22</v>
      </c>
      <c r="B23" t="s">
        <v>101</v>
      </c>
      <c r="C23" t="s">
        <v>102</v>
      </c>
      <c r="D23" s="1" t="s">
        <v>103</v>
      </c>
      <c r="E23" t="s">
        <v>95</v>
      </c>
      <c r="F23" t="s">
        <v>104</v>
      </c>
      <c r="G23" t="str">
        <f>_xlfn.XLOOKUP(frasest[[#This Row],[author_es]],autorest[author_es],autorest[author_la])</f>
        <v>Confucius</v>
      </c>
      <c r="H23" t="str">
        <f>_xlfn.XLOOKUP(frasest[[#This Row],[author_es]],autorest[author_es],autorest[bio_es])</f>
        <v>Filósofo y maestro chino, fundador del confucianismo. Sus enseñanzas influyeron profundamente en la cultura, ética y política de China.</v>
      </c>
      <c r="I23" t="str">
        <f>_xlfn.XLOOKUP(frasest[[#This Row],[author_es]],autorest[author_es],autorest[bio_la])</f>
        <v>Philosophus et magister Sinensis, confucianismi conditor. Doctrinae eius in culturam, ethicam et politicam Sinensem profunde influentes.</v>
      </c>
      <c r="J23" t="str">
        <f>_xlfn.XLOOKUP(frasest[[#This Row],[author_es]],autorest[author_es],autorest[iso3691])</f>
        <v>zh</v>
      </c>
      <c r="K23" t="str">
        <f>_xlfn.XLOOKUP(frasest[[#This Row],[author_es]],autorest[author_es],autorest[language_es])</f>
        <v>Chino</v>
      </c>
      <c r="L23" t="str">
        <f>_xlfn.XLOOKUP(frasest[[#This Row],[author_es]],autorest[author_es],autorest[language_la])</f>
        <v>Lingua Sinica</v>
      </c>
      <c r="M23" t="str">
        <f>_xlfn.XLOOKUP(frasest[[#This Row],[author_es]],autorest[author_es],autorest[nation_es])</f>
        <v>China</v>
      </c>
      <c r="N23" t="str">
        <f>_xlfn.XLOOKUP(frasest[[#This Row],[author_es]],autorest[author_es],autorest[nation_la])</f>
        <v>Sinae</v>
      </c>
      <c r="O23" t="str">
        <f>_xlfn.XLOOKUP(frasest[[#This Row],[author_es]],autorest[author_es],autorest[age_es])</f>
        <v>Edad Antigua</v>
      </c>
      <c r="P23" t="str">
        <f>_xlfn.XLOOKUP(frasest[[#This Row],[author_es]],autorest[author_es],autorest[age_la])</f>
        <v>Antiquitas</v>
      </c>
      <c r="Q23" t="str">
        <f>_xlfn.XLOOKUP(frasest[[#This Row],[author_es]],autorest[author_es],autorest[image])</f>
        <v>https://i.ibb.co/tjXTLg8/confucio.png</v>
      </c>
      <c r="R23">
        <f>_xlfn.XLOOKUP(frasest[[#This Row],[author_es]],autorest[author_es],autorest[image_atr])</f>
        <v>0</v>
      </c>
    </row>
    <row r="24" spans="1:18">
      <c r="A24">
        <v>23</v>
      </c>
      <c r="B24" t="s">
        <v>105</v>
      </c>
      <c r="C24" t="s">
        <v>106</v>
      </c>
      <c r="D24" t="s">
        <v>106</v>
      </c>
      <c r="E24" t="s">
        <v>107</v>
      </c>
      <c r="F24" t="s">
        <v>108</v>
      </c>
      <c r="G24" t="str">
        <f>_xlfn.XLOOKUP(frasest[[#This Row],[author_es]],autorest[author_es],autorest[author_la])</f>
        <v>Lucius Annaeus Seneca</v>
      </c>
      <c r="H24" t="str">
        <f>_xlfn.XLOOKUP(frasest[[#This Row],[author_es]],autorest[author_es],autorest[bio_es])</f>
        <v>Filósofo, escritor y político romano, representante del estoicismo. Autor de numerosas cartas y tratados morales.</v>
      </c>
      <c r="I24" t="str">
        <f>_xlfn.XLOOKUP(frasest[[#This Row],[author_es]],autorest[author_es],autorest[bio_la])</f>
        <v>Philosophus, scriptor et politicus Romanus, stoicismus repraesentans. Multas epistulas et tractatus morales scripsit.</v>
      </c>
      <c r="J24" t="str">
        <f>_xlfn.XLOOKUP(frasest[[#This Row],[author_es]],autorest[author_es],autorest[iso3691])</f>
        <v>la</v>
      </c>
      <c r="K24" t="str">
        <f>_xlfn.XLOOKUP(frasest[[#This Row],[author_es]],autorest[author_es],autorest[language_es])</f>
        <v>Latín</v>
      </c>
      <c r="L24" t="str">
        <f>_xlfn.XLOOKUP(frasest[[#This Row],[author_es]],autorest[author_es],autorest[language_la])</f>
        <v>Lingua Latina</v>
      </c>
      <c r="M24" t="str">
        <f>_xlfn.XLOOKUP(frasest[[#This Row],[author_es]],autorest[author_es],autorest[nation_es])</f>
        <v>Roma</v>
      </c>
      <c r="N24" t="str">
        <f>_xlfn.XLOOKUP(frasest[[#This Row],[author_es]],autorest[author_es],autorest[nation_la])</f>
        <v>Roma</v>
      </c>
      <c r="O24" t="str">
        <f>_xlfn.XLOOKUP(frasest[[#This Row],[author_es]],autorest[author_es],autorest[age_es])</f>
        <v>Edad Antigua</v>
      </c>
      <c r="P24" t="str">
        <f>_xlfn.XLOOKUP(frasest[[#This Row],[author_es]],autorest[author_es],autorest[age_la])</f>
        <v>Antiquitas</v>
      </c>
      <c r="Q24" t="str">
        <f>_xlfn.XLOOKUP(frasest[[#This Row],[author_es]],autorest[author_es],autorest[image])</f>
        <v>https://i.ibb.co/35c3QS9J/seneca.png</v>
      </c>
      <c r="R24">
        <f>_xlfn.XLOOKUP(frasest[[#This Row],[author_es]],autorest[author_es],autorest[image_atr])</f>
        <v>0</v>
      </c>
    </row>
    <row r="25" spans="1:18">
      <c r="A25">
        <v>24</v>
      </c>
      <c r="B25" t="s">
        <v>109</v>
      </c>
      <c r="C25" t="s">
        <v>110</v>
      </c>
      <c r="D25" t="s">
        <v>110</v>
      </c>
      <c r="E25" t="s">
        <v>107</v>
      </c>
      <c r="F25" t="s">
        <v>111</v>
      </c>
      <c r="G25" t="str">
        <f>_xlfn.XLOOKUP(frasest[[#This Row],[author_es]],autorest[author_es],autorest[author_la])</f>
        <v>Lucius Annaeus Seneca</v>
      </c>
      <c r="H25" t="str">
        <f>_xlfn.XLOOKUP(frasest[[#This Row],[author_es]],autorest[author_es],autorest[bio_es])</f>
        <v>Filósofo, escritor y político romano, representante del estoicismo. Autor de numerosas cartas y tratados morales.</v>
      </c>
      <c r="I25" t="str">
        <f>_xlfn.XLOOKUP(frasest[[#This Row],[author_es]],autorest[author_es],autorest[bio_la])</f>
        <v>Philosophus, scriptor et politicus Romanus, stoicismus repraesentans. Multas epistulas et tractatus morales scripsit.</v>
      </c>
      <c r="J25" t="str">
        <f>_xlfn.XLOOKUP(frasest[[#This Row],[author_es]],autorest[author_es],autorest[iso3691])</f>
        <v>la</v>
      </c>
      <c r="K25" t="str">
        <f>_xlfn.XLOOKUP(frasest[[#This Row],[author_es]],autorest[author_es],autorest[language_es])</f>
        <v>Latín</v>
      </c>
      <c r="L25" t="str">
        <f>_xlfn.XLOOKUP(frasest[[#This Row],[author_es]],autorest[author_es],autorest[language_la])</f>
        <v>Lingua Latina</v>
      </c>
      <c r="M25" t="str">
        <f>_xlfn.XLOOKUP(frasest[[#This Row],[author_es]],autorest[author_es],autorest[nation_es])</f>
        <v>Roma</v>
      </c>
      <c r="N25" t="str">
        <f>_xlfn.XLOOKUP(frasest[[#This Row],[author_es]],autorest[author_es],autorest[nation_la])</f>
        <v>Roma</v>
      </c>
      <c r="O25" t="str">
        <f>_xlfn.XLOOKUP(frasest[[#This Row],[author_es]],autorest[author_es],autorest[age_es])</f>
        <v>Edad Antigua</v>
      </c>
      <c r="P25" t="str">
        <f>_xlfn.XLOOKUP(frasest[[#This Row],[author_es]],autorest[author_es],autorest[age_la])</f>
        <v>Antiquitas</v>
      </c>
      <c r="Q25" t="str">
        <f>_xlfn.XLOOKUP(frasest[[#This Row],[author_es]],autorest[author_es],autorest[image])</f>
        <v>https://i.ibb.co/35c3QS9J/seneca.png</v>
      </c>
      <c r="R25">
        <f>_xlfn.XLOOKUP(frasest[[#This Row],[author_es]],autorest[author_es],autorest[image_atr])</f>
        <v>0</v>
      </c>
    </row>
    <row r="26" spans="1:18">
      <c r="A26">
        <v>25</v>
      </c>
      <c r="B26" t="s">
        <v>112</v>
      </c>
      <c r="C26" t="s">
        <v>113</v>
      </c>
      <c r="D26" t="s">
        <v>114</v>
      </c>
      <c r="E26" t="s">
        <v>107</v>
      </c>
      <c r="F26" t="s">
        <v>115</v>
      </c>
      <c r="G26" t="str">
        <f>_xlfn.XLOOKUP(frasest[[#This Row],[author_es]],autorest[author_es],autorest[author_la])</f>
        <v>Lucius Annaeus Seneca</v>
      </c>
      <c r="H26" t="str">
        <f>_xlfn.XLOOKUP(frasest[[#This Row],[author_es]],autorest[author_es],autorest[bio_es])</f>
        <v>Filósofo, escritor y político romano, representante del estoicismo. Autor de numerosas cartas y tratados morales.</v>
      </c>
      <c r="I26" t="str">
        <f>_xlfn.XLOOKUP(frasest[[#This Row],[author_es]],autorest[author_es],autorest[bio_la])</f>
        <v>Philosophus, scriptor et politicus Romanus, stoicismus repraesentans. Multas epistulas et tractatus morales scripsit.</v>
      </c>
      <c r="J26" t="str">
        <f>_xlfn.XLOOKUP(frasest[[#This Row],[author_es]],autorest[author_es],autorest[iso3691])</f>
        <v>la</v>
      </c>
      <c r="K26" t="str">
        <f>_xlfn.XLOOKUP(frasest[[#This Row],[author_es]],autorest[author_es],autorest[language_es])</f>
        <v>Latín</v>
      </c>
      <c r="L26" t="str">
        <f>_xlfn.XLOOKUP(frasest[[#This Row],[author_es]],autorest[author_es],autorest[language_la])</f>
        <v>Lingua Latina</v>
      </c>
      <c r="M26" t="str">
        <f>_xlfn.XLOOKUP(frasest[[#This Row],[author_es]],autorest[author_es],autorest[nation_es])</f>
        <v>Roma</v>
      </c>
      <c r="N26" t="str">
        <f>_xlfn.XLOOKUP(frasest[[#This Row],[author_es]],autorest[author_es],autorest[nation_la])</f>
        <v>Roma</v>
      </c>
      <c r="O26" t="str">
        <f>_xlfn.XLOOKUP(frasest[[#This Row],[author_es]],autorest[author_es],autorest[age_es])</f>
        <v>Edad Antigua</v>
      </c>
      <c r="P26" t="str">
        <f>_xlfn.XLOOKUP(frasest[[#This Row],[author_es]],autorest[author_es],autorest[age_la])</f>
        <v>Antiquitas</v>
      </c>
      <c r="Q26" t="str">
        <f>_xlfn.XLOOKUP(frasest[[#This Row],[author_es]],autorest[author_es],autorest[image])</f>
        <v>https://i.ibb.co/35c3QS9J/seneca.png</v>
      </c>
      <c r="R26">
        <f>_xlfn.XLOOKUP(frasest[[#This Row],[author_es]],autorest[author_es],autorest[image_atr])</f>
        <v>0</v>
      </c>
    </row>
    <row r="27" spans="1:18">
      <c r="A27">
        <v>26</v>
      </c>
      <c r="B27" t="s">
        <v>116</v>
      </c>
      <c r="C27" t="s">
        <v>117</v>
      </c>
      <c r="D27" t="s">
        <v>118</v>
      </c>
      <c r="E27" t="s">
        <v>107</v>
      </c>
      <c r="F27" t="s">
        <v>119</v>
      </c>
      <c r="G27" t="str">
        <f>_xlfn.XLOOKUP(frasest[[#This Row],[author_es]],autorest[author_es],autorest[author_la])</f>
        <v>Lucius Annaeus Seneca</v>
      </c>
      <c r="H27" t="str">
        <f>_xlfn.XLOOKUP(frasest[[#This Row],[author_es]],autorest[author_es],autorest[bio_es])</f>
        <v>Filósofo, escritor y político romano, representante del estoicismo. Autor de numerosas cartas y tratados morales.</v>
      </c>
      <c r="I27" t="str">
        <f>_xlfn.XLOOKUP(frasest[[#This Row],[author_es]],autorest[author_es],autorest[bio_la])</f>
        <v>Philosophus, scriptor et politicus Romanus, stoicismus repraesentans. Multas epistulas et tractatus morales scripsit.</v>
      </c>
      <c r="J27" t="str">
        <f>_xlfn.XLOOKUP(frasest[[#This Row],[author_es]],autorest[author_es],autorest[iso3691])</f>
        <v>la</v>
      </c>
      <c r="K27" t="str">
        <f>_xlfn.XLOOKUP(frasest[[#This Row],[author_es]],autorest[author_es],autorest[language_es])</f>
        <v>Latín</v>
      </c>
      <c r="L27" t="str">
        <f>_xlfn.XLOOKUP(frasest[[#This Row],[author_es]],autorest[author_es],autorest[language_la])</f>
        <v>Lingua Latina</v>
      </c>
      <c r="M27" t="str">
        <f>_xlfn.XLOOKUP(frasest[[#This Row],[author_es]],autorest[author_es],autorest[nation_es])</f>
        <v>Roma</v>
      </c>
      <c r="N27" t="str">
        <f>_xlfn.XLOOKUP(frasest[[#This Row],[author_es]],autorest[author_es],autorest[nation_la])</f>
        <v>Roma</v>
      </c>
      <c r="O27" t="str">
        <f>_xlfn.XLOOKUP(frasest[[#This Row],[author_es]],autorest[author_es],autorest[age_es])</f>
        <v>Edad Antigua</v>
      </c>
      <c r="P27" t="str">
        <f>_xlfn.XLOOKUP(frasest[[#This Row],[author_es]],autorest[author_es],autorest[age_la])</f>
        <v>Antiquitas</v>
      </c>
      <c r="Q27" t="str">
        <f>_xlfn.XLOOKUP(frasest[[#This Row],[author_es]],autorest[author_es],autorest[image])</f>
        <v>https://i.ibb.co/35c3QS9J/seneca.png</v>
      </c>
      <c r="R27">
        <f>_xlfn.XLOOKUP(frasest[[#This Row],[author_es]],autorest[author_es],autorest[image_atr])</f>
        <v>0</v>
      </c>
    </row>
    <row r="28" spans="1:18">
      <c r="A28">
        <v>27</v>
      </c>
      <c r="B28" t="s">
        <v>120</v>
      </c>
      <c r="C28" t="s">
        <v>121</v>
      </c>
      <c r="D28" t="s">
        <v>121</v>
      </c>
      <c r="E28" t="s">
        <v>122</v>
      </c>
      <c r="F28" t="s">
        <v>123</v>
      </c>
      <c r="G28" t="str">
        <f>_xlfn.XLOOKUP(frasest[[#This Row],[author_es]],autorest[author_es],autorest[author_la])</f>
        <v>Publius Cornelius Tacitus</v>
      </c>
      <c r="H28" t="str">
        <f>_xlfn.XLOOKUP(frasest[[#This Row],[author_es]],autorest[author_es],autorest[bio_es])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Row],[author_es]],autorest[author_es],autorest[bio_la])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Row],[author_es]],autorest[author_es],autorest[iso3691])</f>
        <v>la</v>
      </c>
      <c r="K28" t="str">
        <f>_xlfn.XLOOKUP(frasest[[#This Row],[author_es]],autorest[author_es],autorest[language_es])</f>
        <v>Latín</v>
      </c>
      <c r="L28" t="str">
        <f>_xlfn.XLOOKUP(frasest[[#This Row],[author_es]],autorest[author_es],autorest[language_la])</f>
        <v>Lingua Latina</v>
      </c>
      <c r="M28" t="str">
        <f>_xlfn.XLOOKUP(frasest[[#This Row],[author_es]],autorest[author_es],autorest[nation_es])</f>
        <v>Roma</v>
      </c>
      <c r="N28" t="str">
        <f>_xlfn.XLOOKUP(frasest[[#This Row],[author_es]],autorest[author_es],autorest[nation_la])</f>
        <v>Roma</v>
      </c>
      <c r="O28" t="str">
        <f>_xlfn.XLOOKUP(frasest[[#This Row],[author_es]],autorest[author_es],autorest[age_es])</f>
        <v>Edad Antigua</v>
      </c>
      <c r="P28" t="str">
        <f>_xlfn.XLOOKUP(frasest[[#This Row],[author_es]],autorest[author_es],autorest[age_la])</f>
        <v>Antiquitas</v>
      </c>
      <c r="Q28" t="str">
        <f>_xlfn.XLOOKUP(frasest[[#This Row],[author_es]],autorest[author_es],autorest[image])</f>
        <v>https://i.ibb.co/x8MJCvrr/tacito.png</v>
      </c>
      <c r="R28">
        <f>_xlfn.XLOOKUP(frasest[[#This Row],[author_es]],autorest[author_es],autorest[image_atr])</f>
        <v>0</v>
      </c>
    </row>
    <row r="29" spans="1:18">
      <c r="A29">
        <v>28</v>
      </c>
      <c r="B29" t="s">
        <v>124</v>
      </c>
      <c r="C29" t="s">
        <v>125</v>
      </c>
      <c r="D29" t="s">
        <v>126</v>
      </c>
      <c r="E29" t="s">
        <v>53</v>
      </c>
      <c r="F29" t="s">
        <v>54</v>
      </c>
      <c r="G29" t="str">
        <f>_xlfn.XLOOKUP(frasest[[#This Row],[author_es]],autorest[author_es],autorest[author_la])</f>
        <v>Franciscus Bacon</v>
      </c>
      <c r="H29" t="str">
        <f>_xlfn.XLOOKUP(frasest[[#This Row],[author_es]],autorest[author_es],autorest[bio_es])</f>
        <v>Filósofo y estadista inglés, autor de "El conocimiento es poder".</v>
      </c>
      <c r="I29" t="str">
        <f>_xlfn.XLOOKUP(frasest[[#This Row],[author_es]],autorest[author_es],autorest[bio_la])</f>
        <v>Philosophus et civis Anglicus, auctor "Scientia potentia est".</v>
      </c>
      <c r="J29" t="str">
        <f>_xlfn.XLOOKUP(frasest[[#This Row],[author_es]],autorest[author_es],autorest[iso3691])</f>
        <v>en</v>
      </c>
      <c r="K29" t="str">
        <f>_xlfn.XLOOKUP(frasest[[#This Row],[author_es]],autorest[author_es],autorest[language_es])</f>
        <v>Inglés</v>
      </c>
      <c r="L29" t="str">
        <f>_xlfn.XLOOKUP(frasest[[#This Row],[author_es]],autorest[author_es],autorest[language_la])</f>
        <v>Lingua Anglica</v>
      </c>
      <c r="M29" t="str">
        <f>_xlfn.XLOOKUP(frasest[[#This Row],[author_es]],autorest[author_es],autorest[nation_es])</f>
        <v>Reino Unido</v>
      </c>
      <c r="N29" t="str">
        <f>_xlfn.XLOOKUP(frasest[[#This Row],[author_es]],autorest[author_es],autorest[nation_la])</f>
        <v>Regnum Unitum</v>
      </c>
      <c r="O29" t="str">
        <f>_xlfn.XLOOKUP(frasest[[#This Row],[author_es]],autorest[author_es],autorest[age_es])</f>
        <v>Edad Moderna</v>
      </c>
      <c r="P29" t="str">
        <f>_xlfn.XLOOKUP(frasest[[#This Row],[author_es]],autorest[author_es],autorest[age_la])</f>
        <v>Nova Aetas</v>
      </c>
      <c r="Q29" t="str">
        <f>_xlfn.XLOOKUP(frasest[[#This Row],[author_es]],autorest[author_es],autorest[image])</f>
        <v>https://i.ibb.co/xtWthbfv/bacon.png</v>
      </c>
      <c r="R29">
        <f>_xlfn.XLOOKUP(frasest[[#This Row],[author_es]],autorest[author_es],autorest[image_atr])</f>
        <v>0</v>
      </c>
    </row>
    <row r="30" spans="1:18">
      <c r="A30">
        <v>29</v>
      </c>
      <c r="B30" t="s">
        <v>127</v>
      </c>
      <c r="C30" t="s">
        <v>128</v>
      </c>
      <c r="D30" s="1" t="s">
        <v>129</v>
      </c>
      <c r="E30" t="s">
        <v>36</v>
      </c>
      <c r="G30" t="str">
        <f>_xlfn.XLOOKUP(frasest[[#This Row],[author_es]],autorest[author_es],autorest[author_la])</f>
        <v>Proverbium Sinense</v>
      </c>
      <c r="H30" t="str">
        <f>_xlfn.XLOOKUP(frasest[[#This Row],[author_es]],autorest[author_es],autorest[bio_es])</f>
        <v>Conjunto de proverbios tradicionales de la cultura china que transmiten sabiduría popular, valores morales y enseñanzas prácticas transmitidas oralmente durante siglos.</v>
      </c>
      <c r="I30" t="str">
        <f>_xlfn.XLOOKUP(frasest[[#This Row],[author_es]],autorest[author_es],autorest[bio_la])</f>
        <v>Collectio sententiarum Sinensium, magnopere in cultura tradita.</v>
      </c>
      <c r="J30" t="str">
        <f>_xlfn.XLOOKUP(frasest[[#This Row],[author_es]],autorest[author_es],autorest[iso3691])</f>
        <v>zh</v>
      </c>
      <c r="K30" t="str">
        <f>_xlfn.XLOOKUP(frasest[[#This Row],[author_es]],autorest[author_es],autorest[language_es])</f>
        <v>Chino</v>
      </c>
      <c r="L30" t="str">
        <f>_xlfn.XLOOKUP(frasest[[#This Row],[author_es]],autorest[author_es],autorest[language_la])</f>
        <v>Lingua Sinica</v>
      </c>
      <c r="M30" t="str">
        <f>_xlfn.XLOOKUP(frasest[[#This Row],[author_es]],autorest[author_es],autorest[nation_es])</f>
        <v>China</v>
      </c>
      <c r="N30" t="str">
        <f>_xlfn.XLOOKUP(frasest[[#This Row],[author_es]],autorest[author_es],autorest[nation_la])</f>
        <v>Sinae</v>
      </c>
      <c r="O30" t="str">
        <f>_xlfn.XLOOKUP(frasest[[#This Row],[author_es]],autorest[author_es],autorest[age_es])</f>
        <v>Epoca Desconocida</v>
      </c>
      <c r="P30" t="str">
        <f>_xlfn.XLOOKUP(frasest[[#This Row],[author_es]],autorest[author_es],autorest[age_la])</f>
        <v>Epocha Ignota</v>
      </c>
      <c r="Q30" t="str">
        <f>_xlfn.XLOOKUP(frasest[[#This Row],[author_es]],autorest[author_es],autorest[image])</f>
        <v>https://i.ibb.co/qLfpZm6h/china.png</v>
      </c>
      <c r="R30">
        <f>_xlfn.XLOOKUP(frasest[[#This Row],[author_es]],autorest[author_es],autorest[image_atr])</f>
        <v>0</v>
      </c>
    </row>
    <row r="31" spans="1:18">
      <c r="A31">
        <v>30</v>
      </c>
      <c r="B31" t="s">
        <v>130</v>
      </c>
      <c r="C31" t="s">
        <v>131</v>
      </c>
      <c r="D31" s="1" t="s">
        <v>132</v>
      </c>
      <c r="E31" t="s">
        <v>36</v>
      </c>
      <c r="G31" t="str">
        <f>_xlfn.XLOOKUP(frasest[[#This Row],[author_es]],autorest[author_es],autorest[author_la])</f>
        <v>Proverbium Sinense</v>
      </c>
      <c r="H31" t="str">
        <f>_xlfn.XLOOKUP(frasest[[#This Row],[author_es]],autorest[author_es],autorest[bio_es])</f>
        <v>Conjunto de proverbios tradicionales de la cultura china que transmiten sabiduría popular, valores morales y enseñanzas prácticas transmitidas oralmente durante siglos.</v>
      </c>
      <c r="I31" t="str">
        <f>_xlfn.XLOOKUP(frasest[[#This Row],[author_es]],autorest[author_es],autorest[bio_la])</f>
        <v>Collectio sententiarum Sinensium, magnopere in cultura tradita.</v>
      </c>
      <c r="J31" t="str">
        <f>_xlfn.XLOOKUP(frasest[[#This Row],[author_es]],autorest[author_es],autorest[iso3691])</f>
        <v>zh</v>
      </c>
      <c r="K31" t="str">
        <f>_xlfn.XLOOKUP(frasest[[#This Row],[author_es]],autorest[author_es],autorest[language_es])</f>
        <v>Chino</v>
      </c>
      <c r="L31" t="str">
        <f>_xlfn.XLOOKUP(frasest[[#This Row],[author_es]],autorest[author_es],autorest[language_la])</f>
        <v>Lingua Sinica</v>
      </c>
      <c r="M31" t="str">
        <f>_xlfn.XLOOKUP(frasest[[#This Row],[author_es]],autorest[author_es],autorest[nation_es])</f>
        <v>China</v>
      </c>
      <c r="N31" t="str">
        <f>_xlfn.XLOOKUP(frasest[[#This Row],[author_es]],autorest[author_es],autorest[nation_la])</f>
        <v>Sinae</v>
      </c>
      <c r="O31" t="str">
        <f>_xlfn.XLOOKUP(frasest[[#This Row],[author_es]],autorest[author_es],autorest[age_es])</f>
        <v>Epoca Desconocida</v>
      </c>
      <c r="P31" t="str">
        <f>_xlfn.XLOOKUP(frasest[[#This Row],[author_es]],autorest[author_es],autorest[age_la])</f>
        <v>Epocha Ignota</v>
      </c>
      <c r="Q31" t="str">
        <f>_xlfn.XLOOKUP(frasest[[#This Row],[author_es]],autorest[author_es],autorest[image])</f>
        <v>https://i.ibb.co/qLfpZm6h/china.png</v>
      </c>
      <c r="R31">
        <f>_xlfn.XLOOKUP(frasest[[#This Row],[author_es]],autorest[author_es],autorest[image_atr])</f>
        <v>0</v>
      </c>
    </row>
    <row r="32" spans="1:18">
      <c r="A32">
        <v>31</v>
      </c>
      <c r="B32" t="s">
        <v>133</v>
      </c>
      <c r="C32" t="s">
        <v>134</v>
      </c>
      <c r="D32" s="1" t="s">
        <v>135</v>
      </c>
      <c r="E32" t="s">
        <v>36</v>
      </c>
      <c r="G32" t="str">
        <f>_xlfn.XLOOKUP(frasest[[#This Row],[author_es]],autorest[author_es],autorest[author_la])</f>
        <v>Proverbium Sinense</v>
      </c>
      <c r="H32" t="str">
        <f>_xlfn.XLOOKUP(frasest[[#This Row],[author_es]],autorest[author_es],autorest[bio_es])</f>
        <v>Conjunto de proverbios tradicionales de la cultura china que transmiten sabiduría popular, valores morales y enseñanzas prácticas transmitidas oralmente durante siglos.</v>
      </c>
      <c r="I32" t="str">
        <f>_xlfn.XLOOKUP(frasest[[#This Row],[author_es]],autorest[author_es],autorest[bio_la])</f>
        <v>Collectio sententiarum Sinensium, magnopere in cultura tradita.</v>
      </c>
      <c r="J32" t="str">
        <f>_xlfn.XLOOKUP(frasest[[#This Row],[author_es]],autorest[author_es],autorest[iso3691])</f>
        <v>zh</v>
      </c>
      <c r="K32" t="str">
        <f>_xlfn.XLOOKUP(frasest[[#This Row],[author_es]],autorest[author_es],autorest[language_es])</f>
        <v>Chino</v>
      </c>
      <c r="L32" t="str">
        <f>_xlfn.XLOOKUP(frasest[[#This Row],[author_es]],autorest[author_es],autorest[language_la])</f>
        <v>Lingua Sinica</v>
      </c>
      <c r="M32" t="str">
        <f>_xlfn.XLOOKUP(frasest[[#This Row],[author_es]],autorest[author_es],autorest[nation_es])</f>
        <v>China</v>
      </c>
      <c r="N32" t="str">
        <f>_xlfn.XLOOKUP(frasest[[#This Row],[author_es]],autorest[author_es],autorest[nation_la])</f>
        <v>Sinae</v>
      </c>
      <c r="O32" t="str">
        <f>_xlfn.XLOOKUP(frasest[[#This Row],[author_es]],autorest[author_es],autorest[age_es])</f>
        <v>Epoca Desconocida</v>
      </c>
      <c r="P32" t="str">
        <f>_xlfn.XLOOKUP(frasest[[#This Row],[author_es]],autorest[author_es],autorest[age_la])</f>
        <v>Epocha Ignota</v>
      </c>
      <c r="Q32" t="str">
        <f>_xlfn.XLOOKUP(frasest[[#This Row],[author_es]],autorest[author_es],autorest[image])</f>
        <v>https://i.ibb.co/qLfpZm6h/china.png</v>
      </c>
      <c r="R32">
        <f>_xlfn.XLOOKUP(frasest[[#This Row],[author_es]],autorest[author_es],autorest[image_atr])</f>
        <v>0</v>
      </c>
    </row>
    <row r="33" spans="1:18">
      <c r="A33">
        <v>32</v>
      </c>
      <c r="B33" t="s">
        <v>136</v>
      </c>
      <c r="C33" t="s">
        <v>137</v>
      </c>
      <c r="D33" s="1" t="s">
        <v>138</v>
      </c>
      <c r="E33" t="s">
        <v>36</v>
      </c>
      <c r="G33" t="str">
        <f>_xlfn.XLOOKUP(frasest[[#This Row],[author_es]],autorest[author_es],autorest[author_la])</f>
        <v>Proverbium Sinense</v>
      </c>
      <c r="H33" t="str">
        <f>_xlfn.XLOOKUP(frasest[[#This Row],[author_es]],autorest[author_es],autorest[bio_es])</f>
        <v>Conjunto de proverbios tradicionales de la cultura china que transmiten sabiduría popular, valores morales y enseñanzas prácticas transmitidas oralmente durante siglos.</v>
      </c>
      <c r="I33" t="str">
        <f>_xlfn.XLOOKUP(frasest[[#This Row],[author_es]],autorest[author_es],autorest[bio_la])</f>
        <v>Collectio sententiarum Sinensium, magnopere in cultura tradita.</v>
      </c>
      <c r="J33" t="str">
        <f>_xlfn.XLOOKUP(frasest[[#This Row],[author_es]],autorest[author_es],autorest[iso3691])</f>
        <v>zh</v>
      </c>
      <c r="K33" t="str">
        <f>_xlfn.XLOOKUP(frasest[[#This Row],[author_es]],autorest[author_es],autorest[language_es])</f>
        <v>Chino</v>
      </c>
      <c r="L33" t="str">
        <f>_xlfn.XLOOKUP(frasest[[#This Row],[author_es]],autorest[author_es],autorest[language_la])</f>
        <v>Lingua Sinica</v>
      </c>
      <c r="M33" t="str">
        <f>_xlfn.XLOOKUP(frasest[[#This Row],[author_es]],autorest[author_es],autorest[nation_es])</f>
        <v>China</v>
      </c>
      <c r="N33" t="str">
        <f>_xlfn.XLOOKUP(frasest[[#This Row],[author_es]],autorest[author_es],autorest[nation_la])</f>
        <v>Sinae</v>
      </c>
      <c r="O33" t="str">
        <f>_xlfn.XLOOKUP(frasest[[#This Row],[author_es]],autorest[author_es],autorest[age_es])</f>
        <v>Epoca Desconocida</v>
      </c>
      <c r="P33" t="str">
        <f>_xlfn.XLOOKUP(frasest[[#This Row],[author_es]],autorest[author_es],autorest[age_la])</f>
        <v>Epocha Ignota</v>
      </c>
      <c r="Q33" t="str">
        <f>_xlfn.XLOOKUP(frasest[[#This Row],[author_es]],autorest[author_es],autorest[image])</f>
        <v>https://i.ibb.co/qLfpZm6h/china.png</v>
      </c>
      <c r="R33">
        <f>_xlfn.XLOOKUP(frasest[[#This Row],[author_es]],autorest[author_es],autorest[image_atr])</f>
        <v>0</v>
      </c>
    </row>
    <row r="34" spans="1:18">
      <c r="A34">
        <v>33</v>
      </c>
      <c r="B34" t="s">
        <v>139</v>
      </c>
      <c r="C34" t="s">
        <v>140</v>
      </c>
      <c r="D34" s="1" t="s">
        <v>141</v>
      </c>
      <c r="E34" t="s">
        <v>36</v>
      </c>
      <c r="G34" t="str">
        <f>_xlfn.XLOOKUP(frasest[[#This Row],[author_es]],autorest[author_es],autorest[author_la])</f>
        <v>Proverbium Sinense</v>
      </c>
      <c r="H34" t="str">
        <f>_xlfn.XLOOKUP(frasest[[#This Row],[author_es]],autorest[author_es],autorest[bio_es])</f>
        <v>Conjunto de proverbios tradicionales de la cultura china que transmiten sabiduría popular, valores morales y enseñanzas prácticas transmitidas oralmente durante siglos.</v>
      </c>
      <c r="I34" t="str">
        <f>_xlfn.XLOOKUP(frasest[[#This Row],[author_es]],autorest[author_es],autorest[bio_la])</f>
        <v>Collectio sententiarum Sinensium, magnopere in cultura tradita.</v>
      </c>
      <c r="J34" t="str">
        <f>_xlfn.XLOOKUP(frasest[[#This Row],[author_es]],autorest[author_es],autorest[iso3691])</f>
        <v>zh</v>
      </c>
      <c r="K34" t="str">
        <f>_xlfn.XLOOKUP(frasest[[#This Row],[author_es]],autorest[author_es],autorest[language_es])</f>
        <v>Chino</v>
      </c>
      <c r="L34" t="str">
        <f>_xlfn.XLOOKUP(frasest[[#This Row],[author_es]],autorest[author_es],autorest[language_la])</f>
        <v>Lingua Sinica</v>
      </c>
      <c r="M34" t="str">
        <f>_xlfn.XLOOKUP(frasest[[#This Row],[author_es]],autorest[author_es],autorest[nation_es])</f>
        <v>China</v>
      </c>
      <c r="N34" t="str">
        <f>_xlfn.XLOOKUP(frasest[[#This Row],[author_es]],autorest[author_es],autorest[nation_la])</f>
        <v>Sinae</v>
      </c>
      <c r="O34" t="str">
        <f>_xlfn.XLOOKUP(frasest[[#This Row],[author_es]],autorest[author_es],autorest[age_es])</f>
        <v>Epoca Desconocida</v>
      </c>
      <c r="P34" t="str">
        <f>_xlfn.XLOOKUP(frasest[[#This Row],[author_es]],autorest[author_es],autorest[age_la])</f>
        <v>Epocha Ignota</v>
      </c>
      <c r="Q34" t="str">
        <f>_xlfn.XLOOKUP(frasest[[#This Row],[author_es]],autorest[author_es],autorest[image])</f>
        <v>https://i.ibb.co/qLfpZm6h/china.png</v>
      </c>
      <c r="R34">
        <f>_xlfn.XLOOKUP(frasest[[#This Row],[author_es]],autorest[author_es],autorest[image_atr])</f>
        <v>0</v>
      </c>
    </row>
    <row r="35" spans="1:18">
      <c r="A35">
        <v>34</v>
      </c>
      <c r="B35" t="s">
        <v>97</v>
      </c>
      <c r="C35" t="s">
        <v>98</v>
      </c>
      <c r="D35" s="1" t="s">
        <v>142</v>
      </c>
      <c r="E35" t="s">
        <v>36</v>
      </c>
      <c r="G35" t="str">
        <f>_xlfn.XLOOKUP(frasest[[#This Row],[author_es]],autorest[author_es],autorest[author_la])</f>
        <v>Proverbium Sinense</v>
      </c>
      <c r="H35" t="str">
        <f>_xlfn.XLOOKUP(frasest[[#This Row],[author_es]],autorest[author_es],autorest[bio_es])</f>
        <v>Conjunto de proverbios tradicionales de la cultura china que transmiten sabiduría popular, valores morales y enseñanzas prácticas transmitidas oralmente durante siglos.</v>
      </c>
      <c r="I35" t="str">
        <f>_xlfn.XLOOKUP(frasest[[#This Row],[author_es]],autorest[author_es],autorest[bio_la])</f>
        <v>Collectio sententiarum Sinensium, magnopere in cultura tradita.</v>
      </c>
      <c r="J35" t="str">
        <f>_xlfn.XLOOKUP(frasest[[#This Row],[author_es]],autorest[author_es],autorest[iso3691])</f>
        <v>zh</v>
      </c>
      <c r="K35" t="str">
        <f>_xlfn.XLOOKUP(frasest[[#This Row],[author_es]],autorest[author_es],autorest[language_es])</f>
        <v>Chino</v>
      </c>
      <c r="L35" t="str">
        <f>_xlfn.XLOOKUP(frasest[[#This Row],[author_es]],autorest[author_es],autorest[language_la])</f>
        <v>Lingua Sinica</v>
      </c>
      <c r="M35" t="str">
        <f>_xlfn.XLOOKUP(frasest[[#This Row],[author_es]],autorest[author_es],autorest[nation_es])</f>
        <v>China</v>
      </c>
      <c r="N35" t="str">
        <f>_xlfn.XLOOKUP(frasest[[#This Row],[author_es]],autorest[author_es],autorest[nation_la])</f>
        <v>Sinae</v>
      </c>
      <c r="O35" t="str">
        <f>_xlfn.XLOOKUP(frasest[[#This Row],[author_es]],autorest[author_es],autorest[age_es])</f>
        <v>Epoca Desconocida</v>
      </c>
      <c r="P35" t="str">
        <f>_xlfn.XLOOKUP(frasest[[#This Row],[author_es]],autorest[author_es],autorest[age_la])</f>
        <v>Epocha Ignota</v>
      </c>
      <c r="Q35" t="str">
        <f>_xlfn.XLOOKUP(frasest[[#This Row],[author_es]],autorest[author_es],autorest[image])</f>
        <v>https://i.ibb.co/qLfpZm6h/china.png</v>
      </c>
      <c r="R35">
        <f>_xlfn.XLOOKUP(frasest[[#This Row],[author_es]],autorest[author_es],autorest[image_atr])</f>
        <v>0</v>
      </c>
    </row>
    <row r="36" spans="1:18">
      <c r="A36">
        <v>35</v>
      </c>
      <c r="B36" t="s">
        <v>143</v>
      </c>
      <c r="C36" t="s">
        <v>144</v>
      </c>
      <c r="D36" s="1" t="s">
        <v>145</v>
      </c>
      <c r="E36" t="s">
        <v>36</v>
      </c>
      <c r="G36" t="str">
        <f>_xlfn.XLOOKUP(frasest[[#This Row],[author_es]],autorest[author_es],autorest[author_la])</f>
        <v>Proverbium Sinense</v>
      </c>
      <c r="H36" t="str">
        <f>_xlfn.XLOOKUP(frasest[[#This Row],[author_es]],autorest[author_es],autorest[bio_es])</f>
        <v>Conjunto de proverbios tradicionales de la cultura china que transmiten sabiduría popular, valores morales y enseñanzas prácticas transmitidas oralmente durante siglos.</v>
      </c>
      <c r="I36" t="str">
        <f>_xlfn.XLOOKUP(frasest[[#This Row],[author_es]],autorest[author_es],autorest[bio_la])</f>
        <v>Collectio sententiarum Sinensium, magnopere in cultura tradita.</v>
      </c>
      <c r="J36" t="str">
        <f>_xlfn.XLOOKUP(frasest[[#This Row],[author_es]],autorest[author_es],autorest[iso3691])</f>
        <v>zh</v>
      </c>
      <c r="K36" t="str">
        <f>_xlfn.XLOOKUP(frasest[[#This Row],[author_es]],autorest[author_es],autorest[language_es])</f>
        <v>Chino</v>
      </c>
      <c r="L36" t="str">
        <f>_xlfn.XLOOKUP(frasest[[#This Row],[author_es]],autorest[author_es],autorest[language_la])</f>
        <v>Lingua Sinica</v>
      </c>
      <c r="M36" t="str">
        <f>_xlfn.XLOOKUP(frasest[[#This Row],[author_es]],autorest[author_es],autorest[nation_es])</f>
        <v>China</v>
      </c>
      <c r="N36" t="str">
        <f>_xlfn.XLOOKUP(frasest[[#This Row],[author_es]],autorest[author_es],autorest[nation_la])</f>
        <v>Sinae</v>
      </c>
      <c r="O36" t="str">
        <f>_xlfn.XLOOKUP(frasest[[#This Row],[author_es]],autorest[author_es],autorest[age_es])</f>
        <v>Epoca Desconocida</v>
      </c>
      <c r="P36" t="str">
        <f>_xlfn.XLOOKUP(frasest[[#This Row],[author_es]],autorest[author_es],autorest[age_la])</f>
        <v>Epocha Ignota</v>
      </c>
      <c r="Q36" t="str">
        <f>_xlfn.XLOOKUP(frasest[[#This Row],[author_es]],autorest[author_es],autorest[image])</f>
        <v>https://i.ibb.co/qLfpZm6h/china.png</v>
      </c>
      <c r="R36">
        <f>_xlfn.XLOOKUP(frasest[[#This Row],[author_es]],autorest[author_es],autorest[image_atr])</f>
        <v>0</v>
      </c>
    </row>
    <row r="37" spans="1:18">
      <c r="A37">
        <v>36</v>
      </c>
      <c r="B37" t="s">
        <v>146</v>
      </c>
      <c r="C37" t="s">
        <v>147</v>
      </c>
      <c r="D37" s="1" t="s">
        <v>148</v>
      </c>
      <c r="E37" t="s">
        <v>28</v>
      </c>
      <c r="G37" t="str">
        <f>_xlfn.XLOOKUP(frasest[[#This Row],[author_es]],autorest[author_es],autorest[author_la])</f>
        <v>Proverbium Iaponicum</v>
      </c>
      <c r="H37" t="str">
        <f>_xlfn.XLOOKUP(frasest[[#This Row],[author_es]],autorest[author_es],autorest[bio_es])</f>
        <v>Expresiones tradicionales de la cultura japonesa que resumen enseñanzas morales, filosóficas y prácticas derivadas del budismo, el sintoísmo y la experiencia popular.</v>
      </c>
      <c r="I37" t="str">
        <f>_xlfn.XLOOKUP(frasest[[#This Row],[author_es]],autorest[author_es],autorest[bio_la])</f>
        <v>Collectio sententiarum Iaponicarum.</v>
      </c>
      <c r="J37" t="str">
        <f>_xlfn.XLOOKUP(frasest[[#This Row],[author_es]],autorest[author_es],autorest[iso3691])</f>
        <v>ja</v>
      </c>
      <c r="K37" t="str">
        <f>_xlfn.XLOOKUP(frasest[[#This Row],[author_es]],autorest[author_es],autorest[language_es])</f>
        <v>Japonés</v>
      </c>
      <c r="L37" t="str">
        <f>_xlfn.XLOOKUP(frasest[[#This Row],[author_es]],autorest[author_es],autorest[language_la])</f>
        <v>Lingua Iaponica</v>
      </c>
      <c r="M37" t="str">
        <f>_xlfn.XLOOKUP(frasest[[#This Row],[author_es]],autorest[author_es],autorest[nation_es])</f>
        <v>Japón</v>
      </c>
      <c r="N37" t="str">
        <f>_xlfn.XLOOKUP(frasest[[#This Row],[author_es]],autorest[author_es],autorest[nation_la])</f>
        <v>Iaponia</v>
      </c>
      <c r="O37" t="str">
        <f>_xlfn.XLOOKUP(frasest[[#This Row],[author_es]],autorest[author_es],autorest[age_es])</f>
        <v>Epoca Desconocida</v>
      </c>
      <c r="P37" t="str">
        <f>_xlfn.XLOOKUP(frasest[[#This Row],[author_es]],autorest[author_es],autorest[age_la])</f>
        <v>Epocha Ignota</v>
      </c>
      <c r="Q37" t="str">
        <f>_xlfn.XLOOKUP(frasest[[#This Row],[author_es]],autorest[author_es],autorest[image])</f>
        <v>https://i.ibb.co/svZg6Fc2/japon.png</v>
      </c>
      <c r="R37">
        <f>_xlfn.XLOOKUP(frasest[[#This Row],[author_es]],autorest[author_es],autorest[image_atr])</f>
        <v>0</v>
      </c>
    </row>
    <row r="38" spans="1:18">
      <c r="A38">
        <v>37</v>
      </c>
      <c r="B38" t="s">
        <v>149</v>
      </c>
      <c r="C38" t="s">
        <v>150</v>
      </c>
      <c r="D38" s="1" t="s">
        <v>151</v>
      </c>
      <c r="E38" t="s">
        <v>28</v>
      </c>
      <c r="G38" t="str">
        <f>_xlfn.XLOOKUP(frasest[[#This Row],[author_es]],autorest[author_es],autorest[author_la])</f>
        <v>Proverbium Iaponicum</v>
      </c>
      <c r="H38" t="str">
        <f>_xlfn.XLOOKUP(frasest[[#This Row],[author_es]],autorest[author_es],autorest[bio_es])</f>
        <v>Expresiones tradicionales de la cultura japonesa que resumen enseñanzas morales, filosóficas y prácticas derivadas del budismo, el sintoísmo y la experiencia popular.</v>
      </c>
      <c r="I38" t="str">
        <f>_xlfn.XLOOKUP(frasest[[#This Row],[author_es]],autorest[author_es],autorest[bio_la])</f>
        <v>Collectio sententiarum Iaponicarum.</v>
      </c>
      <c r="J38" t="str">
        <f>_xlfn.XLOOKUP(frasest[[#This Row],[author_es]],autorest[author_es],autorest[iso3691])</f>
        <v>ja</v>
      </c>
      <c r="K38" t="str">
        <f>_xlfn.XLOOKUP(frasest[[#This Row],[author_es]],autorest[author_es],autorest[language_es])</f>
        <v>Japonés</v>
      </c>
      <c r="L38" t="str">
        <f>_xlfn.XLOOKUP(frasest[[#This Row],[author_es]],autorest[author_es],autorest[language_la])</f>
        <v>Lingua Iaponica</v>
      </c>
      <c r="M38" t="str">
        <f>_xlfn.XLOOKUP(frasest[[#This Row],[author_es]],autorest[author_es],autorest[nation_es])</f>
        <v>Japón</v>
      </c>
      <c r="N38" t="str">
        <f>_xlfn.XLOOKUP(frasest[[#This Row],[author_es]],autorest[author_es],autorest[nation_la])</f>
        <v>Iaponia</v>
      </c>
      <c r="O38" t="str">
        <f>_xlfn.XLOOKUP(frasest[[#This Row],[author_es]],autorest[author_es],autorest[age_es])</f>
        <v>Epoca Desconocida</v>
      </c>
      <c r="P38" t="str">
        <f>_xlfn.XLOOKUP(frasest[[#This Row],[author_es]],autorest[author_es],autorest[age_la])</f>
        <v>Epocha Ignota</v>
      </c>
      <c r="Q38" t="str">
        <f>_xlfn.XLOOKUP(frasest[[#This Row],[author_es]],autorest[author_es],autorest[image])</f>
        <v>https://i.ibb.co/svZg6Fc2/japon.png</v>
      </c>
      <c r="R38">
        <f>_xlfn.XLOOKUP(frasest[[#This Row],[author_es]],autorest[author_es],autorest[image_atr])</f>
        <v>0</v>
      </c>
    </row>
    <row r="39" spans="1:18">
      <c r="A39">
        <v>38</v>
      </c>
      <c r="B39" t="s">
        <v>152</v>
      </c>
      <c r="C39" t="s">
        <v>153</v>
      </c>
      <c r="D39" s="1" t="s">
        <v>154</v>
      </c>
      <c r="E39" t="s">
        <v>28</v>
      </c>
      <c r="G39" t="str">
        <f>_xlfn.XLOOKUP(frasest[[#This Row],[author_es]],autorest[author_es],autorest[author_la])</f>
        <v>Proverbium Iaponicum</v>
      </c>
      <c r="H39" t="str">
        <f>_xlfn.XLOOKUP(frasest[[#This Row],[author_es]],autorest[author_es],autorest[bio_es])</f>
        <v>Expresiones tradicionales de la cultura japonesa que resumen enseñanzas morales, filosóficas y prácticas derivadas del budismo, el sintoísmo y la experiencia popular.</v>
      </c>
      <c r="I39" t="str">
        <f>_xlfn.XLOOKUP(frasest[[#This Row],[author_es]],autorest[author_es],autorest[bio_la])</f>
        <v>Collectio sententiarum Iaponicarum.</v>
      </c>
      <c r="J39" t="str">
        <f>_xlfn.XLOOKUP(frasest[[#This Row],[author_es]],autorest[author_es],autorest[iso3691])</f>
        <v>ja</v>
      </c>
      <c r="K39" t="str">
        <f>_xlfn.XLOOKUP(frasest[[#This Row],[author_es]],autorest[author_es],autorest[language_es])</f>
        <v>Japonés</v>
      </c>
      <c r="L39" t="str">
        <f>_xlfn.XLOOKUP(frasest[[#This Row],[author_es]],autorest[author_es],autorest[language_la])</f>
        <v>Lingua Iaponica</v>
      </c>
      <c r="M39" t="str">
        <f>_xlfn.XLOOKUP(frasest[[#This Row],[author_es]],autorest[author_es],autorest[nation_es])</f>
        <v>Japón</v>
      </c>
      <c r="N39" t="str">
        <f>_xlfn.XLOOKUP(frasest[[#This Row],[author_es]],autorest[author_es],autorest[nation_la])</f>
        <v>Iaponia</v>
      </c>
      <c r="O39" t="str">
        <f>_xlfn.XLOOKUP(frasest[[#This Row],[author_es]],autorest[author_es],autorest[age_es])</f>
        <v>Epoca Desconocida</v>
      </c>
      <c r="P39" t="str">
        <f>_xlfn.XLOOKUP(frasest[[#This Row],[author_es]],autorest[author_es],autorest[age_la])</f>
        <v>Epocha Ignota</v>
      </c>
      <c r="Q39" t="str">
        <f>_xlfn.XLOOKUP(frasest[[#This Row],[author_es]],autorest[author_es],autorest[image])</f>
        <v>https://i.ibb.co/svZg6Fc2/japon.png</v>
      </c>
      <c r="R39">
        <f>_xlfn.XLOOKUP(frasest[[#This Row],[author_es]],autorest[author_es],autorest[image_atr])</f>
        <v>0</v>
      </c>
    </row>
    <row r="40" spans="1:18">
      <c r="A40">
        <v>39</v>
      </c>
      <c r="B40" t="s">
        <v>155</v>
      </c>
      <c r="C40" t="s">
        <v>156</v>
      </c>
      <c r="D40" s="1" t="s">
        <v>157</v>
      </c>
      <c r="E40" t="s">
        <v>28</v>
      </c>
      <c r="G40" t="str">
        <f>_xlfn.XLOOKUP(frasest[[#This Row],[author_es]],autorest[author_es],autorest[author_la])</f>
        <v>Proverbium Iaponicum</v>
      </c>
      <c r="H40" t="str">
        <f>_xlfn.XLOOKUP(frasest[[#This Row],[author_es]],autorest[author_es],autorest[bio_es])</f>
        <v>Expresiones tradicionales de la cultura japonesa que resumen enseñanzas morales, filosóficas y prácticas derivadas del budismo, el sintoísmo y la experiencia popular.</v>
      </c>
      <c r="I40" t="str">
        <f>_xlfn.XLOOKUP(frasest[[#This Row],[author_es]],autorest[author_es],autorest[bio_la])</f>
        <v>Collectio sententiarum Iaponicarum.</v>
      </c>
      <c r="J40" t="str">
        <f>_xlfn.XLOOKUP(frasest[[#This Row],[author_es]],autorest[author_es],autorest[iso3691])</f>
        <v>ja</v>
      </c>
      <c r="K40" t="str">
        <f>_xlfn.XLOOKUP(frasest[[#This Row],[author_es]],autorest[author_es],autorest[language_es])</f>
        <v>Japonés</v>
      </c>
      <c r="L40" t="str">
        <f>_xlfn.XLOOKUP(frasest[[#This Row],[author_es]],autorest[author_es],autorest[language_la])</f>
        <v>Lingua Iaponica</v>
      </c>
      <c r="M40" t="str">
        <f>_xlfn.XLOOKUP(frasest[[#This Row],[author_es]],autorest[author_es],autorest[nation_es])</f>
        <v>Japón</v>
      </c>
      <c r="N40" t="str">
        <f>_xlfn.XLOOKUP(frasest[[#This Row],[author_es]],autorest[author_es],autorest[nation_la])</f>
        <v>Iaponia</v>
      </c>
      <c r="O40" t="str">
        <f>_xlfn.XLOOKUP(frasest[[#This Row],[author_es]],autorest[author_es],autorest[age_es])</f>
        <v>Epoca Desconocida</v>
      </c>
      <c r="P40" t="str">
        <f>_xlfn.XLOOKUP(frasest[[#This Row],[author_es]],autorest[author_es],autorest[age_la])</f>
        <v>Epocha Ignota</v>
      </c>
      <c r="Q40" t="str">
        <f>_xlfn.XLOOKUP(frasest[[#This Row],[author_es]],autorest[author_es],autorest[image])</f>
        <v>https://i.ibb.co/svZg6Fc2/japon.png</v>
      </c>
      <c r="R40">
        <f>_xlfn.XLOOKUP(frasest[[#This Row],[author_es]],autorest[author_es],autorest[image_atr])</f>
        <v>0</v>
      </c>
    </row>
    <row r="41" spans="1:18">
      <c r="A41">
        <v>40</v>
      </c>
      <c r="B41" t="s">
        <v>158</v>
      </c>
      <c r="C41" t="s">
        <v>159</v>
      </c>
      <c r="D41" s="1" t="s">
        <v>160</v>
      </c>
      <c r="E41" t="s">
        <v>28</v>
      </c>
      <c r="G41" t="str">
        <f>_xlfn.XLOOKUP(frasest[[#This Row],[author_es]],autorest[author_es],autorest[author_la])</f>
        <v>Proverbium Iaponicum</v>
      </c>
      <c r="H41" t="str">
        <f>_xlfn.XLOOKUP(frasest[[#This Row],[author_es]],autorest[author_es],autorest[bio_es])</f>
        <v>Expresiones tradicionales de la cultura japonesa que resumen enseñanzas morales, filosóficas y prácticas derivadas del budismo, el sintoísmo y la experiencia popular.</v>
      </c>
      <c r="I41" t="str">
        <f>_xlfn.XLOOKUP(frasest[[#This Row],[author_es]],autorest[author_es],autorest[bio_la])</f>
        <v>Collectio sententiarum Iaponicarum.</v>
      </c>
      <c r="J41" t="str">
        <f>_xlfn.XLOOKUP(frasest[[#This Row],[author_es]],autorest[author_es],autorest[iso3691])</f>
        <v>ja</v>
      </c>
      <c r="K41" t="str">
        <f>_xlfn.XLOOKUP(frasest[[#This Row],[author_es]],autorest[author_es],autorest[language_es])</f>
        <v>Japonés</v>
      </c>
      <c r="L41" t="str">
        <f>_xlfn.XLOOKUP(frasest[[#This Row],[author_es]],autorest[author_es],autorest[language_la])</f>
        <v>Lingua Iaponica</v>
      </c>
      <c r="M41" t="str">
        <f>_xlfn.XLOOKUP(frasest[[#This Row],[author_es]],autorest[author_es],autorest[nation_es])</f>
        <v>Japón</v>
      </c>
      <c r="N41" t="str">
        <f>_xlfn.XLOOKUP(frasest[[#This Row],[author_es]],autorest[author_es],autorest[nation_la])</f>
        <v>Iaponia</v>
      </c>
      <c r="O41" t="str">
        <f>_xlfn.XLOOKUP(frasest[[#This Row],[author_es]],autorest[author_es],autorest[age_es])</f>
        <v>Epoca Desconocida</v>
      </c>
      <c r="P41" t="str">
        <f>_xlfn.XLOOKUP(frasest[[#This Row],[author_es]],autorest[author_es],autorest[age_la])</f>
        <v>Epocha Ignota</v>
      </c>
      <c r="Q41" t="str">
        <f>_xlfn.XLOOKUP(frasest[[#This Row],[author_es]],autorest[author_es],autorest[image])</f>
        <v>https://i.ibb.co/svZg6Fc2/japon.png</v>
      </c>
      <c r="R41">
        <f>_xlfn.XLOOKUP(frasest[[#This Row],[author_es]],autorest[author_es],autorest[image_atr])</f>
        <v>0</v>
      </c>
    </row>
    <row r="42" spans="1:18">
      <c r="A42">
        <v>41</v>
      </c>
      <c r="B42" t="s">
        <v>161</v>
      </c>
      <c r="C42" t="s">
        <v>162</v>
      </c>
      <c r="D42" s="1" t="s">
        <v>163</v>
      </c>
      <c r="E42" t="s">
        <v>28</v>
      </c>
      <c r="G42" t="str">
        <f>_xlfn.XLOOKUP(frasest[[#This Row],[author_es]],autorest[author_es],autorest[author_la])</f>
        <v>Proverbium Iaponicum</v>
      </c>
      <c r="H42" t="str">
        <f>_xlfn.XLOOKUP(frasest[[#This Row],[author_es]],autorest[author_es],autorest[bio_es])</f>
        <v>Expresiones tradicionales de la cultura japonesa que resumen enseñanzas morales, filosóficas y prácticas derivadas del budismo, el sintoísmo y la experiencia popular.</v>
      </c>
      <c r="I42" t="str">
        <f>_xlfn.XLOOKUP(frasest[[#This Row],[author_es]],autorest[author_es],autorest[bio_la])</f>
        <v>Collectio sententiarum Iaponicarum.</v>
      </c>
      <c r="J42" t="str">
        <f>_xlfn.XLOOKUP(frasest[[#This Row],[author_es]],autorest[author_es],autorest[iso3691])</f>
        <v>ja</v>
      </c>
      <c r="K42" t="str">
        <f>_xlfn.XLOOKUP(frasest[[#This Row],[author_es]],autorest[author_es],autorest[language_es])</f>
        <v>Japonés</v>
      </c>
      <c r="L42" t="str">
        <f>_xlfn.XLOOKUP(frasest[[#This Row],[author_es]],autorest[author_es],autorest[language_la])</f>
        <v>Lingua Iaponica</v>
      </c>
      <c r="M42" t="str">
        <f>_xlfn.XLOOKUP(frasest[[#This Row],[author_es]],autorest[author_es],autorest[nation_es])</f>
        <v>Japón</v>
      </c>
      <c r="N42" t="str">
        <f>_xlfn.XLOOKUP(frasest[[#This Row],[author_es]],autorest[author_es],autorest[nation_la])</f>
        <v>Iaponia</v>
      </c>
      <c r="O42" t="str">
        <f>_xlfn.XLOOKUP(frasest[[#This Row],[author_es]],autorest[author_es],autorest[age_es])</f>
        <v>Epoca Desconocida</v>
      </c>
      <c r="P42" t="str">
        <f>_xlfn.XLOOKUP(frasest[[#This Row],[author_es]],autorest[author_es],autorest[age_la])</f>
        <v>Epocha Ignota</v>
      </c>
      <c r="Q42" t="str">
        <f>_xlfn.XLOOKUP(frasest[[#This Row],[author_es]],autorest[author_es],autorest[image])</f>
        <v>https://i.ibb.co/svZg6Fc2/japon.png</v>
      </c>
      <c r="R42">
        <f>_xlfn.XLOOKUP(frasest[[#This Row],[author_es]],autorest[author_es],autorest[image_atr])</f>
        <v>0</v>
      </c>
    </row>
    <row r="43" spans="1:18">
      <c r="A43">
        <v>42</v>
      </c>
      <c r="B43" t="s">
        <v>164</v>
      </c>
      <c r="C43" t="s">
        <v>165</v>
      </c>
      <c r="D43" s="1" t="s">
        <v>166</v>
      </c>
      <c r="E43" t="s">
        <v>28</v>
      </c>
      <c r="G43" t="str">
        <f>_xlfn.XLOOKUP(frasest[[#This Row],[author_es]],autorest[author_es],autorest[author_la])</f>
        <v>Proverbium Iaponicum</v>
      </c>
      <c r="H43" t="str">
        <f>_xlfn.XLOOKUP(frasest[[#This Row],[author_es]],autorest[author_es],autorest[bio_es])</f>
        <v>Expresiones tradicionales de la cultura japonesa que resumen enseñanzas morales, filosóficas y prácticas derivadas del budismo, el sintoísmo y la experiencia popular.</v>
      </c>
      <c r="I43" t="str">
        <f>_xlfn.XLOOKUP(frasest[[#This Row],[author_es]],autorest[author_es],autorest[bio_la])</f>
        <v>Collectio sententiarum Iaponicarum.</v>
      </c>
      <c r="J43" t="str">
        <f>_xlfn.XLOOKUP(frasest[[#This Row],[author_es]],autorest[author_es],autorest[iso3691])</f>
        <v>ja</v>
      </c>
      <c r="K43" t="str">
        <f>_xlfn.XLOOKUP(frasest[[#This Row],[author_es]],autorest[author_es],autorest[language_es])</f>
        <v>Japonés</v>
      </c>
      <c r="L43" t="str">
        <f>_xlfn.XLOOKUP(frasest[[#This Row],[author_es]],autorest[author_es],autorest[language_la])</f>
        <v>Lingua Iaponica</v>
      </c>
      <c r="M43" t="str">
        <f>_xlfn.XLOOKUP(frasest[[#This Row],[author_es]],autorest[author_es],autorest[nation_es])</f>
        <v>Japón</v>
      </c>
      <c r="N43" t="str">
        <f>_xlfn.XLOOKUP(frasest[[#This Row],[author_es]],autorest[author_es],autorest[nation_la])</f>
        <v>Iaponia</v>
      </c>
      <c r="O43" t="str">
        <f>_xlfn.XLOOKUP(frasest[[#This Row],[author_es]],autorest[author_es],autorest[age_es])</f>
        <v>Epoca Desconocida</v>
      </c>
      <c r="P43" t="str">
        <f>_xlfn.XLOOKUP(frasest[[#This Row],[author_es]],autorest[author_es],autorest[age_la])</f>
        <v>Epocha Ignota</v>
      </c>
      <c r="Q43" t="str">
        <f>_xlfn.XLOOKUP(frasest[[#This Row],[author_es]],autorest[author_es],autorest[image])</f>
        <v>https://i.ibb.co/svZg6Fc2/japon.png</v>
      </c>
      <c r="R43">
        <f>_xlfn.XLOOKUP(frasest[[#This Row],[author_es]],autorest[author_es],autorest[image_atr])</f>
        <v>0</v>
      </c>
    </row>
    <row r="44" spans="1:18">
      <c r="A44">
        <v>43</v>
      </c>
      <c r="B44" t="s">
        <v>167</v>
      </c>
      <c r="C44" t="s">
        <v>106</v>
      </c>
      <c r="D44" t="s">
        <v>106</v>
      </c>
      <c r="E44" t="s">
        <v>107</v>
      </c>
      <c r="F44" t="s">
        <v>108</v>
      </c>
      <c r="G44" t="str">
        <f>_xlfn.XLOOKUP(frasest[[#This Row],[author_es]],autorest[author_es],autorest[author_la])</f>
        <v>Lucius Annaeus Seneca</v>
      </c>
      <c r="H44" t="str">
        <f>_xlfn.XLOOKUP(frasest[[#This Row],[author_es]],autorest[author_es],autorest[bio_es])</f>
        <v>Filósofo, escritor y político romano, representante del estoicismo. Autor de numerosas cartas y tratados morales.</v>
      </c>
      <c r="I44" t="str">
        <f>_xlfn.XLOOKUP(frasest[[#This Row],[author_es]],autorest[author_es],autorest[bio_la])</f>
        <v>Philosophus, scriptor et politicus Romanus, stoicismus repraesentans. Multas epistulas et tractatus morales scripsit.</v>
      </c>
      <c r="J44" t="str">
        <f>_xlfn.XLOOKUP(frasest[[#This Row],[author_es]],autorest[author_es],autorest[iso3691])</f>
        <v>la</v>
      </c>
      <c r="K44" t="str">
        <f>_xlfn.XLOOKUP(frasest[[#This Row],[author_es]],autorest[author_es],autorest[language_es])</f>
        <v>Latín</v>
      </c>
      <c r="L44" t="str">
        <f>_xlfn.XLOOKUP(frasest[[#This Row],[author_es]],autorest[author_es],autorest[language_la])</f>
        <v>Lingua Latina</v>
      </c>
      <c r="M44" t="str">
        <f>_xlfn.XLOOKUP(frasest[[#This Row],[author_es]],autorest[author_es],autorest[nation_es])</f>
        <v>Roma</v>
      </c>
      <c r="N44" t="str">
        <f>_xlfn.XLOOKUP(frasest[[#This Row],[author_es]],autorest[author_es],autorest[nation_la])</f>
        <v>Roma</v>
      </c>
      <c r="O44" t="str">
        <f>_xlfn.XLOOKUP(frasest[[#This Row],[author_es]],autorest[author_es],autorest[age_es])</f>
        <v>Edad Antigua</v>
      </c>
      <c r="P44" t="str">
        <f>_xlfn.XLOOKUP(frasest[[#This Row],[author_es]],autorest[author_es],autorest[age_la])</f>
        <v>Antiquitas</v>
      </c>
      <c r="Q44" t="str">
        <f>_xlfn.XLOOKUP(frasest[[#This Row],[author_es]],autorest[author_es],autorest[image])</f>
        <v>https://i.ibb.co/35c3QS9J/seneca.png</v>
      </c>
      <c r="R44">
        <f>_xlfn.XLOOKUP(frasest[[#This Row],[author_es]],autorest[author_es],autorest[image_atr])</f>
        <v>0</v>
      </c>
    </row>
    <row r="45" spans="1:18">
      <c r="A45">
        <v>44</v>
      </c>
      <c r="B45" t="s">
        <v>168</v>
      </c>
      <c r="C45" t="s">
        <v>110</v>
      </c>
      <c r="D45" t="s">
        <v>110</v>
      </c>
      <c r="E45" t="s">
        <v>107</v>
      </c>
      <c r="F45" t="s">
        <v>111</v>
      </c>
      <c r="G45" t="str">
        <f>_xlfn.XLOOKUP(frasest[[#This Row],[author_es]],autorest[author_es],autorest[author_la])</f>
        <v>Lucius Annaeus Seneca</v>
      </c>
      <c r="H45" t="str">
        <f>_xlfn.XLOOKUP(frasest[[#This Row],[author_es]],autorest[author_es],autorest[bio_es])</f>
        <v>Filósofo, escritor y político romano, representante del estoicismo. Autor de numerosas cartas y tratados morales.</v>
      </c>
      <c r="I45" t="str">
        <f>_xlfn.XLOOKUP(frasest[[#This Row],[author_es]],autorest[author_es],autorest[bio_la])</f>
        <v>Philosophus, scriptor et politicus Romanus, stoicismus repraesentans. Multas epistulas et tractatus morales scripsit.</v>
      </c>
      <c r="J45" t="str">
        <f>_xlfn.XLOOKUP(frasest[[#This Row],[author_es]],autorest[author_es],autorest[iso3691])</f>
        <v>la</v>
      </c>
      <c r="K45" t="str">
        <f>_xlfn.XLOOKUP(frasest[[#This Row],[author_es]],autorest[author_es],autorest[language_es])</f>
        <v>Latín</v>
      </c>
      <c r="L45" t="str">
        <f>_xlfn.XLOOKUP(frasest[[#This Row],[author_es]],autorest[author_es],autorest[language_la])</f>
        <v>Lingua Latina</v>
      </c>
      <c r="M45" t="str">
        <f>_xlfn.XLOOKUP(frasest[[#This Row],[author_es]],autorest[author_es],autorest[nation_es])</f>
        <v>Roma</v>
      </c>
      <c r="N45" t="str">
        <f>_xlfn.XLOOKUP(frasest[[#This Row],[author_es]],autorest[author_es],autorest[nation_la])</f>
        <v>Roma</v>
      </c>
      <c r="O45" t="str">
        <f>_xlfn.XLOOKUP(frasest[[#This Row],[author_es]],autorest[author_es],autorest[age_es])</f>
        <v>Edad Antigua</v>
      </c>
      <c r="P45" t="str">
        <f>_xlfn.XLOOKUP(frasest[[#This Row],[author_es]],autorest[author_es],autorest[age_la])</f>
        <v>Antiquitas</v>
      </c>
      <c r="Q45" t="str">
        <f>_xlfn.XLOOKUP(frasest[[#This Row],[author_es]],autorest[author_es],autorest[image])</f>
        <v>https://i.ibb.co/35c3QS9J/seneca.png</v>
      </c>
      <c r="R45">
        <f>_xlfn.XLOOKUP(frasest[[#This Row],[author_es]],autorest[author_es],autorest[image_atr])</f>
        <v>0</v>
      </c>
    </row>
    <row r="46" spans="1:18">
      <c r="A46">
        <v>45</v>
      </c>
      <c r="B46" t="s">
        <v>169</v>
      </c>
      <c r="C46" t="s">
        <v>113</v>
      </c>
      <c r="D46" t="s">
        <v>113</v>
      </c>
      <c r="E46" t="s">
        <v>107</v>
      </c>
      <c r="F46" t="s">
        <v>115</v>
      </c>
      <c r="G46" t="str">
        <f>_xlfn.XLOOKUP(frasest[[#This Row],[author_es]],autorest[author_es],autorest[author_la])</f>
        <v>Lucius Annaeus Seneca</v>
      </c>
      <c r="H46" t="str">
        <f>_xlfn.XLOOKUP(frasest[[#This Row],[author_es]],autorest[author_es],autorest[bio_es])</f>
        <v>Filósofo, escritor y político romano, representante del estoicismo. Autor de numerosas cartas y tratados morales.</v>
      </c>
      <c r="I46" t="str">
        <f>_xlfn.XLOOKUP(frasest[[#This Row],[author_es]],autorest[author_es],autorest[bio_la])</f>
        <v>Philosophus, scriptor et politicus Romanus, stoicismus repraesentans. Multas epistulas et tractatus morales scripsit.</v>
      </c>
      <c r="J46" t="str">
        <f>_xlfn.XLOOKUP(frasest[[#This Row],[author_es]],autorest[author_es],autorest[iso3691])</f>
        <v>la</v>
      </c>
      <c r="K46" t="str">
        <f>_xlfn.XLOOKUP(frasest[[#This Row],[author_es]],autorest[author_es],autorest[language_es])</f>
        <v>Latín</v>
      </c>
      <c r="L46" t="str">
        <f>_xlfn.XLOOKUP(frasest[[#This Row],[author_es]],autorest[author_es],autorest[language_la])</f>
        <v>Lingua Latina</v>
      </c>
      <c r="M46" t="str">
        <f>_xlfn.XLOOKUP(frasest[[#This Row],[author_es]],autorest[author_es],autorest[nation_es])</f>
        <v>Roma</v>
      </c>
      <c r="N46" t="str">
        <f>_xlfn.XLOOKUP(frasest[[#This Row],[author_es]],autorest[author_es],autorest[nation_la])</f>
        <v>Roma</v>
      </c>
      <c r="O46" t="str">
        <f>_xlfn.XLOOKUP(frasest[[#This Row],[author_es]],autorest[author_es],autorest[age_es])</f>
        <v>Edad Antigua</v>
      </c>
      <c r="P46" t="str">
        <f>_xlfn.XLOOKUP(frasest[[#This Row],[author_es]],autorest[author_es],autorest[age_la])</f>
        <v>Antiquitas</v>
      </c>
      <c r="Q46" t="str">
        <f>_xlfn.XLOOKUP(frasest[[#This Row],[author_es]],autorest[author_es],autorest[image])</f>
        <v>https://i.ibb.co/35c3QS9J/seneca.png</v>
      </c>
      <c r="R46">
        <f>_xlfn.XLOOKUP(frasest[[#This Row],[author_es]],autorest[author_es],autorest[image_atr])</f>
        <v>0</v>
      </c>
    </row>
    <row r="47" spans="1:18">
      <c r="A47">
        <v>46</v>
      </c>
      <c r="B47" t="s">
        <v>116</v>
      </c>
      <c r="C47" t="s">
        <v>118</v>
      </c>
      <c r="D47" t="s">
        <v>118</v>
      </c>
      <c r="E47" t="s">
        <v>107</v>
      </c>
      <c r="F47" t="s">
        <v>119</v>
      </c>
      <c r="G47" t="str">
        <f>_xlfn.XLOOKUP(frasest[[#This Row],[author_es]],autorest[author_es],autorest[author_la])</f>
        <v>Lucius Annaeus Seneca</v>
      </c>
      <c r="H47" t="str">
        <f>_xlfn.XLOOKUP(frasest[[#This Row],[author_es]],autorest[author_es],autorest[bio_es])</f>
        <v>Filósofo, escritor y político romano, representante del estoicismo. Autor de numerosas cartas y tratados morales.</v>
      </c>
      <c r="I47" t="str">
        <f>_xlfn.XLOOKUP(frasest[[#This Row],[author_es]],autorest[author_es],autorest[bio_la])</f>
        <v>Philosophus, scriptor et politicus Romanus, stoicismus repraesentans. Multas epistulas et tractatus morales scripsit.</v>
      </c>
      <c r="J47" t="str">
        <f>_xlfn.XLOOKUP(frasest[[#This Row],[author_es]],autorest[author_es],autorest[iso3691])</f>
        <v>la</v>
      </c>
      <c r="K47" t="str">
        <f>_xlfn.XLOOKUP(frasest[[#This Row],[author_es]],autorest[author_es],autorest[language_es])</f>
        <v>Latín</v>
      </c>
      <c r="L47" t="str">
        <f>_xlfn.XLOOKUP(frasest[[#This Row],[author_es]],autorest[author_es],autorest[language_la])</f>
        <v>Lingua Latina</v>
      </c>
      <c r="M47" t="str">
        <f>_xlfn.XLOOKUP(frasest[[#This Row],[author_es]],autorest[author_es],autorest[nation_es])</f>
        <v>Roma</v>
      </c>
      <c r="N47" t="str">
        <f>_xlfn.XLOOKUP(frasest[[#This Row],[author_es]],autorest[author_es],autorest[nation_la])</f>
        <v>Roma</v>
      </c>
      <c r="O47" t="str">
        <f>_xlfn.XLOOKUP(frasest[[#This Row],[author_es]],autorest[author_es],autorest[age_es])</f>
        <v>Edad Antigua</v>
      </c>
      <c r="P47" t="str">
        <f>_xlfn.XLOOKUP(frasest[[#This Row],[author_es]],autorest[author_es],autorest[age_la])</f>
        <v>Antiquitas</v>
      </c>
      <c r="Q47" t="str">
        <f>_xlfn.XLOOKUP(frasest[[#This Row],[author_es]],autorest[author_es],autorest[image])</f>
        <v>https://i.ibb.co/35c3QS9J/seneca.png</v>
      </c>
      <c r="R47">
        <f>_xlfn.XLOOKUP(frasest[[#This Row],[author_es]],autorest[author_es],autorest[image_atr])</f>
        <v>0</v>
      </c>
    </row>
    <row r="48" spans="1:18">
      <c r="A48">
        <v>47</v>
      </c>
      <c r="B48" t="s">
        <v>170</v>
      </c>
      <c r="C48" t="s">
        <v>171</v>
      </c>
      <c r="D48" t="s">
        <v>171</v>
      </c>
      <c r="E48" t="s">
        <v>172</v>
      </c>
      <c r="F48" t="s">
        <v>173</v>
      </c>
      <c r="G48" t="str">
        <f>_xlfn.XLOOKUP(frasest[[#This Row],[author_es]],autorest[author_es],autorest[author_la])</f>
        <v>Thomas Aquinas</v>
      </c>
      <c r="H48" t="str">
        <f>_xlfn.XLOOKUP(frasest[[#This Row],[author_es]],autorest[author_es],autorest[bio_es])</f>
        <v>Filósofo y teólogo italiano, representante de la Escolástica. Autor de la "Summa Theologica".</v>
      </c>
      <c r="I48" t="str">
        <f>_xlfn.XLOOKUP(frasest[[#This Row],[author_es]],autorest[author_es],autorest[bio_la])</f>
        <v>Philosophus et theologus Italicus, Scholasticae repraesentans. Auctor "Summa Theologica".</v>
      </c>
      <c r="J48" t="str">
        <f>_xlfn.XLOOKUP(frasest[[#This Row],[author_es]],autorest[author_es],autorest[iso3691])</f>
        <v>la</v>
      </c>
      <c r="K48" t="str">
        <f>_xlfn.XLOOKUP(frasest[[#This Row],[author_es]],autorest[author_es],autorest[language_es])</f>
        <v>Latín</v>
      </c>
      <c r="L48" t="str">
        <f>_xlfn.XLOOKUP(frasest[[#This Row],[author_es]],autorest[author_es],autorest[language_la])</f>
        <v>Lingua Latina</v>
      </c>
      <c r="M48" t="str">
        <f>_xlfn.XLOOKUP(frasest[[#This Row],[author_es]],autorest[author_es],autorest[nation_es])</f>
        <v>Italia</v>
      </c>
      <c r="N48" t="str">
        <f>_xlfn.XLOOKUP(frasest[[#This Row],[author_es]],autorest[author_es],autorest[nation_la])</f>
        <v>Italia</v>
      </c>
      <c r="O48" t="str">
        <f>_xlfn.XLOOKUP(frasest[[#This Row],[author_es]],autorest[author_es],autorest[age_es])</f>
        <v>Edad Media</v>
      </c>
      <c r="P48" t="str">
        <f>_xlfn.XLOOKUP(frasest[[#This Row],[author_es]],autorest[author_es],autorest[age_la])</f>
        <v>Medium Aevum</v>
      </c>
      <c r="Q48" t="str">
        <f>_xlfn.XLOOKUP(frasest[[#This Row],[author_es]],autorest[author_es],autorest[image])</f>
        <v>https://i.ibb.co/wG8jHsv/tomasaquino.png</v>
      </c>
      <c r="R48">
        <f>_xlfn.XLOOKUP(frasest[[#This Row],[author_es]],autorest[author_es],autorest[image_atr])</f>
        <v>0</v>
      </c>
    </row>
    <row r="49" spans="1:18">
      <c r="A49">
        <v>48</v>
      </c>
      <c r="B49" t="s">
        <v>174</v>
      </c>
      <c r="C49" t="s">
        <v>175</v>
      </c>
      <c r="D49" t="s">
        <v>175</v>
      </c>
      <c r="E49" t="s">
        <v>172</v>
      </c>
      <c r="F49" t="s">
        <v>176</v>
      </c>
      <c r="G49" t="str">
        <f>_xlfn.XLOOKUP(frasest[[#This Row],[author_es]],autorest[author_es],autorest[author_la])</f>
        <v>Thomas Aquinas</v>
      </c>
      <c r="H49" t="str">
        <f>_xlfn.XLOOKUP(frasest[[#This Row],[author_es]],autorest[author_es],autorest[bio_es])</f>
        <v>Filósofo y teólogo italiano, representante de la Escolástica. Autor de la "Summa Theologica".</v>
      </c>
      <c r="I49" t="str">
        <f>_xlfn.XLOOKUP(frasest[[#This Row],[author_es]],autorest[author_es],autorest[bio_la])</f>
        <v>Philosophus et theologus Italicus, Scholasticae repraesentans. Auctor "Summa Theologica".</v>
      </c>
      <c r="J49" t="str">
        <f>_xlfn.XLOOKUP(frasest[[#This Row],[author_es]],autorest[author_es],autorest[iso3691])</f>
        <v>la</v>
      </c>
      <c r="K49" t="str">
        <f>_xlfn.XLOOKUP(frasest[[#This Row],[author_es]],autorest[author_es],autorest[language_es])</f>
        <v>Latín</v>
      </c>
      <c r="L49" t="str">
        <f>_xlfn.XLOOKUP(frasest[[#This Row],[author_es]],autorest[author_es],autorest[language_la])</f>
        <v>Lingua Latina</v>
      </c>
      <c r="M49" t="str">
        <f>_xlfn.XLOOKUP(frasest[[#This Row],[author_es]],autorest[author_es],autorest[nation_es])</f>
        <v>Italia</v>
      </c>
      <c r="N49" t="str">
        <f>_xlfn.XLOOKUP(frasest[[#This Row],[author_es]],autorest[author_es],autorest[nation_la])</f>
        <v>Italia</v>
      </c>
      <c r="O49" t="str">
        <f>_xlfn.XLOOKUP(frasest[[#This Row],[author_es]],autorest[author_es],autorest[age_es])</f>
        <v>Edad Media</v>
      </c>
      <c r="P49" t="str">
        <f>_xlfn.XLOOKUP(frasest[[#This Row],[author_es]],autorest[author_es],autorest[age_la])</f>
        <v>Medium Aevum</v>
      </c>
      <c r="Q49" t="str">
        <f>_xlfn.XLOOKUP(frasest[[#This Row],[author_es]],autorest[author_es],autorest[image])</f>
        <v>https://i.ibb.co/wG8jHsv/tomasaquino.png</v>
      </c>
      <c r="R49">
        <f>_xlfn.XLOOKUP(frasest[[#This Row],[author_es]],autorest[author_es],autorest[image_atr])</f>
        <v>0</v>
      </c>
    </row>
    <row r="50" spans="1:18">
      <c r="A50">
        <v>49</v>
      </c>
      <c r="B50" t="s">
        <v>177</v>
      </c>
      <c r="C50" t="s">
        <v>178</v>
      </c>
      <c r="D50" t="s">
        <v>178</v>
      </c>
      <c r="E50" t="s">
        <v>172</v>
      </c>
      <c r="F50" t="s">
        <v>179</v>
      </c>
      <c r="G50" t="str">
        <f>_xlfn.XLOOKUP(frasest[[#This Row],[author_es]],autorest[author_es],autorest[author_la])</f>
        <v>Thomas Aquinas</v>
      </c>
      <c r="H50" t="str">
        <f>_xlfn.XLOOKUP(frasest[[#This Row],[author_es]],autorest[author_es],autorest[bio_es])</f>
        <v>Filósofo y teólogo italiano, representante de la Escolástica. Autor de la "Summa Theologica".</v>
      </c>
      <c r="I50" t="str">
        <f>_xlfn.XLOOKUP(frasest[[#This Row],[author_es]],autorest[author_es],autorest[bio_la])</f>
        <v>Philosophus et theologus Italicus, Scholasticae repraesentans. Auctor "Summa Theologica".</v>
      </c>
      <c r="J50" t="str">
        <f>_xlfn.XLOOKUP(frasest[[#This Row],[author_es]],autorest[author_es],autorest[iso3691])</f>
        <v>la</v>
      </c>
      <c r="K50" t="str">
        <f>_xlfn.XLOOKUP(frasest[[#This Row],[author_es]],autorest[author_es],autorest[language_es])</f>
        <v>Latín</v>
      </c>
      <c r="L50" t="str">
        <f>_xlfn.XLOOKUP(frasest[[#This Row],[author_es]],autorest[author_es],autorest[language_la])</f>
        <v>Lingua Latina</v>
      </c>
      <c r="M50" t="str">
        <f>_xlfn.XLOOKUP(frasest[[#This Row],[author_es]],autorest[author_es],autorest[nation_es])</f>
        <v>Italia</v>
      </c>
      <c r="N50" t="str">
        <f>_xlfn.XLOOKUP(frasest[[#This Row],[author_es]],autorest[author_es],autorest[nation_la])</f>
        <v>Italia</v>
      </c>
      <c r="O50" t="str">
        <f>_xlfn.XLOOKUP(frasest[[#This Row],[author_es]],autorest[author_es],autorest[age_es])</f>
        <v>Edad Media</v>
      </c>
      <c r="P50" t="str">
        <f>_xlfn.XLOOKUP(frasest[[#This Row],[author_es]],autorest[author_es],autorest[age_la])</f>
        <v>Medium Aevum</v>
      </c>
      <c r="Q50" t="str">
        <f>_xlfn.XLOOKUP(frasest[[#This Row],[author_es]],autorest[author_es],autorest[image])</f>
        <v>https://i.ibb.co/wG8jHsv/tomasaquino.png</v>
      </c>
      <c r="R50">
        <f>_xlfn.XLOOKUP(frasest[[#This Row],[author_es]],autorest[author_es],autorest[image_atr])</f>
        <v>0</v>
      </c>
    </row>
    <row r="51" spans="1:18">
      <c r="A51">
        <v>50</v>
      </c>
      <c r="B51" t="s">
        <v>180</v>
      </c>
      <c r="C51" t="s">
        <v>181</v>
      </c>
      <c r="D51" t="s">
        <v>181</v>
      </c>
      <c r="E51" t="s">
        <v>172</v>
      </c>
      <c r="F51" t="s">
        <v>182</v>
      </c>
      <c r="G51" t="str">
        <f>_xlfn.XLOOKUP(frasest[[#This Row],[author_es]],autorest[author_es],autorest[author_la])</f>
        <v>Thomas Aquinas</v>
      </c>
      <c r="H51" t="str">
        <f>_xlfn.XLOOKUP(frasest[[#This Row],[author_es]],autorest[author_es],autorest[bio_es])</f>
        <v>Filósofo y teólogo italiano, representante de la Escolástica. Autor de la "Summa Theologica".</v>
      </c>
      <c r="I51" t="str">
        <f>_xlfn.XLOOKUP(frasest[[#This Row],[author_es]],autorest[author_es],autorest[bio_la])</f>
        <v>Philosophus et theologus Italicus, Scholasticae repraesentans. Auctor "Summa Theologica".</v>
      </c>
      <c r="J51" t="str">
        <f>_xlfn.XLOOKUP(frasest[[#This Row],[author_es]],autorest[author_es],autorest[iso3691])</f>
        <v>la</v>
      </c>
      <c r="K51" t="str">
        <f>_xlfn.XLOOKUP(frasest[[#This Row],[author_es]],autorest[author_es],autorest[language_es])</f>
        <v>Latín</v>
      </c>
      <c r="L51" t="str">
        <f>_xlfn.XLOOKUP(frasest[[#This Row],[author_es]],autorest[author_es],autorest[language_la])</f>
        <v>Lingua Latina</v>
      </c>
      <c r="M51" t="str">
        <f>_xlfn.XLOOKUP(frasest[[#This Row],[author_es]],autorest[author_es],autorest[nation_es])</f>
        <v>Italia</v>
      </c>
      <c r="N51" t="str">
        <f>_xlfn.XLOOKUP(frasest[[#This Row],[author_es]],autorest[author_es],autorest[nation_la])</f>
        <v>Italia</v>
      </c>
      <c r="O51" t="str">
        <f>_xlfn.XLOOKUP(frasest[[#This Row],[author_es]],autorest[author_es],autorest[age_es])</f>
        <v>Edad Media</v>
      </c>
      <c r="P51" t="str">
        <f>_xlfn.XLOOKUP(frasest[[#This Row],[author_es]],autorest[author_es],autorest[age_la])</f>
        <v>Medium Aevum</v>
      </c>
      <c r="Q51" t="str">
        <f>_xlfn.XLOOKUP(frasest[[#This Row],[author_es]],autorest[author_es],autorest[image])</f>
        <v>https://i.ibb.co/wG8jHsv/tomasaquino.png</v>
      </c>
      <c r="R51">
        <f>_xlfn.XLOOKUP(frasest[[#This Row],[author_es]],autorest[author_es],autorest[image_atr])</f>
        <v>0</v>
      </c>
    </row>
    <row r="52" spans="1:18">
      <c r="A52">
        <v>51</v>
      </c>
      <c r="B52" t="s">
        <v>183</v>
      </c>
      <c r="C52" t="s">
        <v>184</v>
      </c>
      <c r="D52" t="s">
        <v>184</v>
      </c>
      <c r="E52" t="s">
        <v>172</v>
      </c>
      <c r="F52" t="s">
        <v>185</v>
      </c>
      <c r="G52" t="str">
        <f>_xlfn.XLOOKUP(frasest[[#This Row],[author_es]],autorest[author_es],autorest[author_la])</f>
        <v>Thomas Aquinas</v>
      </c>
      <c r="H52" t="str">
        <f>_xlfn.XLOOKUP(frasest[[#This Row],[author_es]],autorest[author_es],autorest[bio_es])</f>
        <v>Filósofo y teólogo italiano, representante de la Escolástica. Autor de la "Summa Theologica".</v>
      </c>
      <c r="I52" t="str">
        <f>_xlfn.XLOOKUP(frasest[[#This Row],[author_es]],autorest[author_es],autorest[bio_la])</f>
        <v>Philosophus et theologus Italicus, Scholasticae repraesentans. Auctor "Summa Theologica".</v>
      </c>
      <c r="J52" t="str">
        <f>_xlfn.XLOOKUP(frasest[[#This Row],[author_es]],autorest[author_es],autorest[iso3691])</f>
        <v>la</v>
      </c>
      <c r="K52" t="str">
        <f>_xlfn.XLOOKUP(frasest[[#This Row],[author_es]],autorest[author_es],autorest[language_es])</f>
        <v>Latín</v>
      </c>
      <c r="L52" t="str">
        <f>_xlfn.XLOOKUP(frasest[[#This Row],[author_es]],autorest[author_es],autorest[language_la])</f>
        <v>Lingua Latina</v>
      </c>
      <c r="M52" t="str">
        <f>_xlfn.XLOOKUP(frasest[[#This Row],[author_es]],autorest[author_es],autorest[nation_es])</f>
        <v>Italia</v>
      </c>
      <c r="N52" t="str">
        <f>_xlfn.XLOOKUP(frasest[[#This Row],[author_es]],autorest[author_es],autorest[nation_la])</f>
        <v>Italia</v>
      </c>
      <c r="O52" t="str">
        <f>_xlfn.XLOOKUP(frasest[[#This Row],[author_es]],autorest[author_es],autorest[age_es])</f>
        <v>Edad Media</v>
      </c>
      <c r="P52" t="str">
        <f>_xlfn.XLOOKUP(frasest[[#This Row],[author_es]],autorest[author_es],autorest[age_la])</f>
        <v>Medium Aevum</v>
      </c>
      <c r="Q52" t="str">
        <f>_xlfn.XLOOKUP(frasest[[#This Row],[author_es]],autorest[author_es],autorest[image])</f>
        <v>https://i.ibb.co/wG8jHsv/tomasaquino.png</v>
      </c>
      <c r="R52">
        <f>_xlfn.XLOOKUP(frasest[[#This Row],[author_es]],autorest[author_es],autorest[image_atr])</f>
        <v>0</v>
      </c>
    </row>
    <row r="53" spans="1:18">
      <c r="A53">
        <v>52</v>
      </c>
      <c r="B53" t="s">
        <v>186</v>
      </c>
      <c r="C53" t="s">
        <v>187</v>
      </c>
      <c r="D53" t="s">
        <v>188</v>
      </c>
      <c r="E53" t="s">
        <v>189</v>
      </c>
      <c r="F53" t="s">
        <v>190</v>
      </c>
      <c r="G53" t="str">
        <f>_xlfn.XLOOKUP(frasest[[#This Row],[author_es]],autorest[author_es],autorest[author_la])</f>
        <v>Friedrich Nietzsche</v>
      </c>
      <c r="H53" t="str">
        <f>_xlfn.XLOOKUP(frasest[[#This Row],[author_es]],autorest[author_es],autorest[bio_es])</f>
        <v>Filósofo, poeta y filólogo alemán. Autor de obras como "Así habló Zaratustra" y "Más allá del bien y del mal".</v>
      </c>
      <c r="I53" t="str">
        <f>_xlfn.XLOOKUP(frasest[[#This Row],[author_es]],autorest[author_es],autorest[bio_la])</f>
        <v>Philosophus, poeta et philologus Germanicus, auctor operum ut "Ita loquutus est Zarathustra" et "Ultra bonum et malum".</v>
      </c>
      <c r="J53" t="str">
        <f>_xlfn.XLOOKUP(frasest[[#This Row],[author_es]],autorest[author_es],autorest[iso3691])</f>
        <v>de</v>
      </c>
      <c r="K53" t="str">
        <f>_xlfn.XLOOKUP(frasest[[#This Row],[author_es]],autorest[author_es],autorest[language_es])</f>
        <v>Alemán</v>
      </c>
      <c r="L53" t="str">
        <f>_xlfn.XLOOKUP(frasest[[#This Row],[author_es]],autorest[author_es],autorest[language_la])</f>
        <v>Lingua Germanica</v>
      </c>
      <c r="M53" t="str">
        <f>_xlfn.XLOOKUP(frasest[[#This Row],[author_es]],autorest[author_es],autorest[nation_es])</f>
        <v>Alemania</v>
      </c>
      <c r="N53" t="str">
        <f>_xlfn.XLOOKUP(frasest[[#This Row],[author_es]],autorest[author_es],autorest[nation_la])</f>
        <v>Germania</v>
      </c>
      <c r="O53" t="str">
        <f>_xlfn.XLOOKUP(frasest[[#This Row],[author_es]],autorest[author_es],autorest[age_es])</f>
        <v>Edad Contemporánea</v>
      </c>
      <c r="P53" t="str">
        <f>_xlfn.XLOOKUP(frasest[[#This Row],[author_es]],autorest[author_es],autorest[age_la])</f>
        <v>Aetas Contemporanea</v>
      </c>
      <c r="Q53" t="str">
        <f>_xlfn.XLOOKUP(frasest[[#This Row],[author_es]],autorest[author_es],autorest[image])</f>
        <v>https://i.ibb.co/N6jnVDp7/nietzsche.png</v>
      </c>
      <c r="R53">
        <f>_xlfn.XLOOKUP(frasest[[#This Row],[author_es]],autorest[author_es],autorest[image_atr])</f>
        <v>0</v>
      </c>
    </row>
    <row r="54" spans="1:18">
      <c r="A54">
        <v>53</v>
      </c>
      <c r="B54" t="s">
        <v>191</v>
      </c>
      <c r="C54" t="s">
        <v>192</v>
      </c>
      <c r="D54" t="s">
        <v>193</v>
      </c>
      <c r="E54" t="s">
        <v>189</v>
      </c>
      <c r="F54" t="s">
        <v>194</v>
      </c>
      <c r="G54" t="str">
        <f>_xlfn.XLOOKUP(frasest[[#This Row],[author_es]],autorest[author_es],autorest[author_la])</f>
        <v>Friedrich Nietzsche</v>
      </c>
      <c r="H54" t="str">
        <f>_xlfn.XLOOKUP(frasest[[#This Row],[author_es]],autorest[author_es],autorest[bio_es])</f>
        <v>Filósofo, poeta y filólogo alemán. Autor de obras como "Así habló Zaratustra" y "Más allá del bien y del mal".</v>
      </c>
      <c r="I54" t="str">
        <f>_xlfn.XLOOKUP(frasest[[#This Row],[author_es]],autorest[author_es],autorest[bio_la])</f>
        <v>Philosophus, poeta et philologus Germanicus, auctor operum ut "Ita loquutus est Zarathustra" et "Ultra bonum et malum".</v>
      </c>
      <c r="J54" t="str">
        <f>_xlfn.XLOOKUP(frasest[[#This Row],[author_es]],autorest[author_es],autorest[iso3691])</f>
        <v>de</v>
      </c>
      <c r="K54" t="str">
        <f>_xlfn.XLOOKUP(frasest[[#This Row],[author_es]],autorest[author_es],autorest[language_es])</f>
        <v>Alemán</v>
      </c>
      <c r="L54" t="str">
        <f>_xlfn.XLOOKUP(frasest[[#This Row],[author_es]],autorest[author_es],autorest[language_la])</f>
        <v>Lingua Germanica</v>
      </c>
      <c r="M54" t="str">
        <f>_xlfn.XLOOKUP(frasest[[#This Row],[author_es]],autorest[author_es],autorest[nation_es])</f>
        <v>Alemania</v>
      </c>
      <c r="N54" t="str">
        <f>_xlfn.XLOOKUP(frasest[[#This Row],[author_es]],autorest[author_es],autorest[nation_la])</f>
        <v>Germania</v>
      </c>
      <c r="O54" t="str">
        <f>_xlfn.XLOOKUP(frasest[[#This Row],[author_es]],autorest[author_es],autorest[age_es])</f>
        <v>Edad Contemporánea</v>
      </c>
      <c r="P54" t="str">
        <f>_xlfn.XLOOKUP(frasest[[#This Row],[author_es]],autorest[author_es],autorest[age_la])</f>
        <v>Aetas Contemporanea</v>
      </c>
      <c r="Q54" t="str">
        <f>_xlfn.XLOOKUP(frasest[[#This Row],[author_es]],autorest[author_es],autorest[image])</f>
        <v>https://i.ibb.co/N6jnVDp7/nietzsche.png</v>
      </c>
      <c r="R54">
        <f>_xlfn.XLOOKUP(frasest[[#This Row],[author_es]],autorest[author_es],autorest[image_atr])</f>
        <v>0</v>
      </c>
    </row>
    <row r="55" spans="1:18">
      <c r="A55">
        <v>54</v>
      </c>
      <c r="B55" t="s">
        <v>195</v>
      </c>
      <c r="C55" t="s">
        <v>196</v>
      </c>
      <c r="D55" t="s">
        <v>197</v>
      </c>
      <c r="E55" t="s">
        <v>189</v>
      </c>
      <c r="F55" t="s">
        <v>198</v>
      </c>
      <c r="G55" t="str">
        <f>_xlfn.XLOOKUP(frasest[[#This Row],[author_es]],autorest[author_es],autorest[author_la])</f>
        <v>Friedrich Nietzsche</v>
      </c>
      <c r="H55" t="str">
        <f>_xlfn.XLOOKUP(frasest[[#This Row],[author_es]],autorest[author_es],autorest[bio_es])</f>
        <v>Filósofo, poeta y filólogo alemán. Autor de obras como "Así habló Zaratustra" y "Más allá del bien y del mal".</v>
      </c>
      <c r="I55" t="str">
        <f>_xlfn.XLOOKUP(frasest[[#This Row],[author_es]],autorest[author_es],autorest[bio_la])</f>
        <v>Philosophus, poeta et philologus Germanicus, auctor operum ut "Ita loquutus est Zarathustra" et "Ultra bonum et malum".</v>
      </c>
      <c r="J55" t="str">
        <f>_xlfn.XLOOKUP(frasest[[#This Row],[author_es]],autorest[author_es],autorest[iso3691])</f>
        <v>de</v>
      </c>
      <c r="K55" t="str">
        <f>_xlfn.XLOOKUP(frasest[[#This Row],[author_es]],autorest[author_es],autorest[language_es])</f>
        <v>Alemán</v>
      </c>
      <c r="L55" t="str">
        <f>_xlfn.XLOOKUP(frasest[[#This Row],[author_es]],autorest[author_es],autorest[language_la])</f>
        <v>Lingua Germanica</v>
      </c>
      <c r="M55" t="str">
        <f>_xlfn.XLOOKUP(frasest[[#This Row],[author_es]],autorest[author_es],autorest[nation_es])</f>
        <v>Alemania</v>
      </c>
      <c r="N55" t="str">
        <f>_xlfn.XLOOKUP(frasest[[#This Row],[author_es]],autorest[author_es],autorest[nation_la])</f>
        <v>Germania</v>
      </c>
      <c r="O55" t="str">
        <f>_xlfn.XLOOKUP(frasest[[#This Row],[author_es]],autorest[author_es],autorest[age_es])</f>
        <v>Edad Contemporánea</v>
      </c>
      <c r="P55" t="str">
        <f>_xlfn.XLOOKUP(frasest[[#This Row],[author_es]],autorest[author_es],autorest[age_la])</f>
        <v>Aetas Contemporanea</v>
      </c>
      <c r="Q55" t="str">
        <f>_xlfn.XLOOKUP(frasest[[#This Row],[author_es]],autorest[author_es],autorest[image])</f>
        <v>https://i.ibb.co/N6jnVDp7/nietzsche.png</v>
      </c>
      <c r="R55">
        <f>_xlfn.XLOOKUP(frasest[[#This Row],[author_es]],autorest[author_es],autorest[image_atr])</f>
        <v>0</v>
      </c>
    </row>
    <row r="56" spans="1:18">
      <c r="A56">
        <v>55</v>
      </c>
      <c r="B56" t="s">
        <v>199</v>
      </c>
      <c r="C56" t="s">
        <v>200</v>
      </c>
      <c r="D56" t="s">
        <v>201</v>
      </c>
      <c r="E56" t="s">
        <v>189</v>
      </c>
      <c r="F56" t="s">
        <v>202</v>
      </c>
      <c r="G56" t="str">
        <f>_xlfn.XLOOKUP(frasest[[#This Row],[author_es]],autorest[author_es],autorest[author_la])</f>
        <v>Friedrich Nietzsche</v>
      </c>
      <c r="H56" t="str">
        <f>_xlfn.XLOOKUP(frasest[[#This Row],[author_es]],autorest[author_es],autorest[bio_es])</f>
        <v>Filósofo, poeta y filólogo alemán. Autor de obras como "Así habló Zaratustra" y "Más allá del bien y del mal".</v>
      </c>
      <c r="I56" t="str">
        <f>_xlfn.XLOOKUP(frasest[[#This Row],[author_es]],autorest[author_es],autorest[bio_la])</f>
        <v>Philosophus, poeta et philologus Germanicus, auctor operum ut "Ita loquutus est Zarathustra" et "Ultra bonum et malum".</v>
      </c>
      <c r="J56" t="str">
        <f>_xlfn.XLOOKUP(frasest[[#This Row],[author_es]],autorest[author_es],autorest[iso3691])</f>
        <v>de</v>
      </c>
      <c r="K56" t="str">
        <f>_xlfn.XLOOKUP(frasest[[#This Row],[author_es]],autorest[author_es],autorest[language_es])</f>
        <v>Alemán</v>
      </c>
      <c r="L56" t="str">
        <f>_xlfn.XLOOKUP(frasest[[#This Row],[author_es]],autorest[author_es],autorest[language_la])</f>
        <v>Lingua Germanica</v>
      </c>
      <c r="M56" t="str">
        <f>_xlfn.XLOOKUP(frasest[[#This Row],[author_es]],autorest[author_es],autorest[nation_es])</f>
        <v>Alemania</v>
      </c>
      <c r="N56" t="str">
        <f>_xlfn.XLOOKUP(frasest[[#This Row],[author_es]],autorest[author_es],autorest[nation_la])</f>
        <v>Germania</v>
      </c>
      <c r="O56" t="str">
        <f>_xlfn.XLOOKUP(frasest[[#This Row],[author_es]],autorest[author_es],autorest[age_es])</f>
        <v>Edad Contemporánea</v>
      </c>
      <c r="P56" t="str">
        <f>_xlfn.XLOOKUP(frasest[[#This Row],[author_es]],autorest[author_es],autorest[age_la])</f>
        <v>Aetas Contemporanea</v>
      </c>
      <c r="Q56" t="str">
        <f>_xlfn.XLOOKUP(frasest[[#This Row],[author_es]],autorest[author_es],autorest[image])</f>
        <v>https://i.ibb.co/N6jnVDp7/nietzsche.png</v>
      </c>
      <c r="R56">
        <f>_xlfn.XLOOKUP(frasest[[#This Row],[author_es]],autorest[author_es],autorest[image_atr])</f>
        <v>0</v>
      </c>
    </row>
    <row r="57" spans="1:18">
      <c r="A57">
        <v>56</v>
      </c>
      <c r="B57" t="s">
        <v>203</v>
      </c>
      <c r="C57" t="s">
        <v>204</v>
      </c>
      <c r="D57" t="s">
        <v>205</v>
      </c>
      <c r="E57" t="s">
        <v>189</v>
      </c>
      <c r="F57" t="s">
        <v>206</v>
      </c>
      <c r="G57" t="str">
        <f>_xlfn.XLOOKUP(frasest[[#This Row],[author_es]],autorest[author_es],autorest[author_la])</f>
        <v>Friedrich Nietzsche</v>
      </c>
      <c r="H57" t="str">
        <f>_xlfn.XLOOKUP(frasest[[#This Row],[author_es]],autorest[author_es],autorest[bio_es])</f>
        <v>Filósofo, poeta y filólogo alemán. Autor de obras como "Así habló Zaratustra" y "Más allá del bien y del mal".</v>
      </c>
      <c r="I57" t="str">
        <f>_xlfn.XLOOKUP(frasest[[#This Row],[author_es]],autorest[author_es],autorest[bio_la])</f>
        <v>Philosophus, poeta et philologus Germanicus, auctor operum ut "Ita loquutus est Zarathustra" et "Ultra bonum et malum".</v>
      </c>
      <c r="J57" t="str">
        <f>_xlfn.XLOOKUP(frasest[[#This Row],[author_es]],autorest[author_es],autorest[iso3691])</f>
        <v>de</v>
      </c>
      <c r="K57" t="str">
        <f>_xlfn.XLOOKUP(frasest[[#This Row],[author_es]],autorest[author_es],autorest[language_es])</f>
        <v>Alemán</v>
      </c>
      <c r="L57" t="str">
        <f>_xlfn.XLOOKUP(frasest[[#This Row],[author_es]],autorest[author_es],autorest[language_la])</f>
        <v>Lingua Germanica</v>
      </c>
      <c r="M57" t="str">
        <f>_xlfn.XLOOKUP(frasest[[#This Row],[author_es]],autorest[author_es],autorest[nation_es])</f>
        <v>Alemania</v>
      </c>
      <c r="N57" t="str">
        <f>_xlfn.XLOOKUP(frasest[[#This Row],[author_es]],autorest[author_es],autorest[nation_la])</f>
        <v>Germania</v>
      </c>
      <c r="O57" t="str">
        <f>_xlfn.XLOOKUP(frasest[[#This Row],[author_es]],autorest[author_es],autorest[age_es])</f>
        <v>Edad Contemporánea</v>
      </c>
      <c r="P57" t="str">
        <f>_xlfn.XLOOKUP(frasest[[#This Row],[author_es]],autorest[author_es],autorest[age_la])</f>
        <v>Aetas Contemporanea</v>
      </c>
      <c r="Q57" t="str">
        <f>_xlfn.XLOOKUP(frasest[[#This Row],[author_es]],autorest[author_es],autorest[image])</f>
        <v>https://i.ibb.co/N6jnVDp7/nietzsche.png</v>
      </c>
      <c r="R57">
        <f>_xlfn.XLOOKUP(frasest[[#This Row],[author_es]],autorest[author_es],autorest[image_atr])</f>
        <v>0</v>
      </c>
    </row>
    <row r="58" spans="1:18">
      <c r="A58">
        <v>57</v>
      </c>
      <c r="B58" t="s">
        <v>207</v>
      </c>
      <c r="C58" t="s">
        <v>208</v>
      </c>
      <c r="D58" t="s">
        <v>209</v>
      </c>
      <c r="E58" t="s">
        <v>210</v>
      </c>
      <c r="F58" t="s">
        <v>211</v>
      </c>
      <c r="G58" t="str">
        <f>_xlfn.XLOOKUP(frasest[[#This Row],[author_es]],autorest[author_es],autorest[author_la])</f>
        <v>Gilbert Keith Chesterton</v>
      </c>
      <c r="H58" t="str">
        <f>_xlfn.XLOOKUP(frasest[[#This Row],[author_es]],autorest[author_es],autorest[bio_es])</f>
        <v>Escritor, poeta, filósofo y periodista inglés. Famoso por sus ensayos, cuentos de misterio y defensa del cristianismo.</v>
      </c>
      <c r="I58" t="str">
        <f>_xlfn.XLOOKUP(frasest[[#This Row],[author_es]],autorest[author_es],autorest[bio_la])</f>
        <v>Scriba, poeta, philosophus et diurnarius Anglicus. Notus pro essayis, fabulis mysteriis et Christianismi defensione.</v>
      </c>
      <c r="J58" t="str">
        <f>_xlfn.XLOOKUP(frasest[[#This Row],[author_es]],autorest[author_es],autorest[iso3691])</f>
        <v>en</v>
      </c>
      <c r="K58" t="str">
        <f>_xlfn.XLOOKUP(frasest[[#This Row],[author_es]],autorest[author_es],autorest[language_es])</f>
        <v>Inglés</v>
      </c>
      <c r="L58" t="str">
        <f>_xlfn.XLOOKUP(frasest[[#This Row],[author_es]],autorest[author_es],autorest[language_la])</f>
        <v>Lingua Anglica</v>
      </c>
      <c r="M58" t="str">
        <f>_xlfn.XLOOKUP(frasest[[#This Row],[author_es]],autorest[author_es],autorest[nation_es])</f>
        <v>Reino Unido</v>
      </c>
      <c r="N58" t="str">
        <f>_xlfn.XLOOKUP(frasest[[#This Row],[author_es]],autorest[author_es],autorest[nation_la])</f>
        <v>Regnum Unitum</v>
      </c>
      <c r="O58" t="str">
        <f>_xlfn.XLOOKUP(frasest[[#This Row],[author_es]],autorest[author_es],autorest[age_es])</f>
        <v>Edad Contemporánea</v>
      </c>
      <c r="P58" t="str">
        <f>_xlfn.XLOOKUP(frasest[[#This Row],[author_es]],autorest[author_es],autorest[age_la])</f>
        <v>Aetas Contemporanea</v>
      </c>
      <c r="Q58" t="str">
        <f>_xlfn.XLOOKUP(frasest[[#This Row],[author_es]],autorest[author_es],autorest[image])</f>
        <v>https://i.ibb.co/9mGNtTcT/chesterton.png</v>
      </c>
      <c r="R58">
        <f>_xlfn.XLOOKUP(frasest[[#This Row],[author_es]],autorest[author_es],autorest[image_atr])</f>
        <v>0</v>
      </c>
    </row>
    <row r="59" spans="1:18">
      <c r="A59">
        <v>58</v>
      </c>
      <c r="B59" t="s">
        <v>212</v>
      </c>
      <c r="C59" t="s">
        <v>213</v>
      </c>
      <c r="D59" t="s">
        <v>214</v>
      </c>
      <c r="E59" t="s">
        <v>210</v>
      </c>
      <c r="F59" t="s">
        <v>215</v>
      </c>
      <c r="G59" t="str">
        <f>_xlfn.XLOOKUP(frasest[[#This Row],[author_es]],autorest[author_es],autorest[author_la])</f>
        <v>Gilbert Keith Chesterton</v>
      </c>
      <c r="H59" t="str">
        <f>_xlfn.XLOOKUP(frasest[[#This Row],[author_es]],autorest[author_es],autorest[bio_es])</f>
        <v>Escritor, poeta, filósofo y periodista inglés. Famoso por sus ensayos, cuentos de misterio y defensa del cristianismo.</v>
      </c>
      <c r="I59" t="str">
        <f>_xlfn.XLOOKUP(frasest[[#This Row],[author_es]],autorest[author_es],autorest[bio_la])</f>
        <v>Scriba, poeta, philosophus et diurnarius Anglicus. Notus pro essayis, fabulis mysteriis et Christianismi defensione.</v>
      </c>
      <c r="J59" t="str">
        <f>_xlfn.XLOOKUP(frasest[[#This Row],[author_es]],autorest[author_es],autorest[iso3691])</f>
        <v>en</v>
      </c>
      <c r="K59" t="str">
        <f>_xlfn.XLOOKUP(frasest[[#This Row],[author_es]],autorest[author_es],autorest[language_es])</f>
        <v>Inglés</v>
      </c>
      <c r="L59" t="str">
        <f>_xlfn.XLOOKUP(frasest[[#This Row],[author_es]],autorest[author_es],autorest[language_la])</f>
        <v>Lingua Anglica</v>
      </c>
      <c r="M59" t="str">
        <f>_xlfn.XLOOKUP(frasest[[#This Row],[author_es]],autorest[author_es],autorest[nation_es])</f>
        <v>Reino Unido</v>
      </c>
      <c r="N59" t="str">
        <f>_xlfn.XLOOKUP(frasest[[#This Row],[author_es]],autorest[author_es],autorest[nation_la])</f>
        <v>Regnum Unitum</v>
      </c>
      <c r="O59" t="str">
        <f>_xlfn.XLOOKUP(frasest[[#This Row],[author_es]],autorest[author_es],autorest[age_es])</f>
        <v>Edad Contemporánea</v>
      </c>
      <c r="P59" t="str">
        <f>_xlfn.XLOOKUP(frasest[[#This Row],[author_es]],autorest[author_es],autorest[age_la])</f>
        <v>Aetas Contemporanea</v>
      </c>
      <c r="Q59" t="str">
        <f>_xlfn.XLOOKUP(frasest[[#This Row],[author_es]],autorest[author_es],autorest[image])</f>
        <v>https://i.ibb.co/9mGNtTcT/chesterton.png</v>
      </c>
      <c r="R59">
        <f>_xlfn.XLOOKUP(frasest[[#This Row],[author_es]],autorest[author_es],autorest[image_atr])</f>
        <v>0</v>
      </c>
    </row>
    <row r="60" spans="1:18">
      <c r="A60">
        <v>59</v>
      </c>
      <c r="B60" t="s">
        <v>216</v>
      </c>
      <c r="C60" t="s">
        <v>217</v>
      </c>
      <c r="D60" t="s">
        <v>218</v>
      </c>
      <c r="E60" t="s">
        <v>210</v>
      </c>
      <c r="F60" t="s">
        <v>211</v>
      </c>
      <c r="G60" t="str">
        <f>_xlfn.XLOOKUP(frasest[[#This Row],[author_es]],autorest[author_es],autorest[author_la])</f>
        <v>Gilbert Keith Chesterton</v>
      </c>
      <c r="H60" t="str">
        <f>_xlfn.XLOOKUP(frasest[[#This Row],[author_es]],autorest[author_es],autorest[bio_es])</f>
        <v>Escritor, poeta, filósofo y periodista inglés. Famoso por sus ensayos, cuentos de misterio y defensa del cristianismo.</v>
      </c>
      <c r="I60" t="str">
        <f>_xlfn.XLOOKUP(frasest[[#This Row],[author_es]],autorest[author_es],autorest[bio_la])</f>
        <v>Scriba, poeta, philosophus et diurnarius Anglicus. Notus pro essayis, fabulis mysteriis et Christianismi defensione.</v>
      </c>
      <c r="J60" t="str">
        <f>_xlfn.XLOOKUP(frasest[[#This Row],[author_es]],autorest[author_es],autorest[iso3691])</f>
        <v>en</v>
      </c>
      <c r="K60" t="str">
        <f>_xlfn.XLOOKUP(frasest[[#This Row],[author_es]],autorest[author_es],autorest[language_es])</f>
        <v>Inglés</v>
      </c>
      <c r="L60" t="str">
        <f>_xlfn.XLOOKUP(frasest[[#This Row],[author_es]],autorest[author_es],autorest[language_la])</f>
        <v>Lingua Anglica</v>
      </c>
      <c r="M60" t="str">
        <f>_xlfn.XLOOKUP(frasest[[#This Row],[author_es]],autorest[author_es],autorest[nation_es])</f>
        <v>Reino Unido</v>
      </c>
      <c r="N60" t="str">
        <f>_xlfn.XLOOKUP(frasest[[#This Row],[author_es]],autorest[author_es],autorest[nation_la])</f>
        <v>Regnum Unitum</v>
      </c>
      <c r="O60" t="str">
        <f>_xlfn.XLOOKUP(frasest[[#This Row],[author_es]],autorest[author_es],autorest[age_es])</f>
        <v>Edad Contemporánea</v>
      </c>
      <c r="P60" t="str">
        <f>_xlfn.XLOOKUP(frasest[[#This Row],[author_es]],autorest[author_es],autorest[age_la])</f>
        <v>Aetas Contemporanea</v>
      </c>
      <c r="Q60" t="str">
        <f>_xlfn.XLOOKUP(frasest[[#This Row],[author_es]],autorest[author_es],autorest[image])</f>
        <v>https://i.ibb.co/9mGNtTcT/chesterton.png</v>
      </c>
      <c r="R60">
        <f>_xlfn.XLOOKUP(frasest[[#This Row],[author_es]],autorest[author_es],autorest[image_atr])</f>
        <v>0</v>
      </c>
    </row>
    <row r="61" spans="1:18">
      <c r="A61">
        <v>60</v>
      </c>
      <c r="B61" t="s">
        <v>219</v>
      </c>
      <c r="C61" t="s">
        <v>220</v>
      </c>
      <c r="D61" t="s">
        <v>221</v>
      </c>
      <c r="E61" t="s">
        <v>210</v>
      </c>
      <c r="F61" t="s">
        <v>222</v>
      </c>
      <c r="G61" t="str">
        <f>_xlfn.XLOOKUP(frasest[[#This Row],[author_es]],autorest[author_es],autorest[author_la])</f>
        <v>Gilbert Keith Chesterton</v>
      </c>
      <c r="H61" t="str">
        <f>_xlfn.XLOOKUP(frasest[[#This Row],[author_es]],autorest[author_es],autorest[bio_es])</f>
        <v>Escritor, poeta, filósofo y periodista inglés. Famoso por sus ensayos, cuentos de misterio y defensa del cristianismo.</v>
      </c>
      <c r="I61" t="str">
        <f>_xlfn.XLOOKUP(frasest[[#This Row],[author_es]],autorest[author_es],autorest[bio_la])</f>
        <v>Scriba, poeta, philosophus et diurnarius Anglicus. Notus pro essayis, fabulis mysteriis et Christianismi defensione.</v>
      </c>
      <c r="J61" t="str">
        <f>_xlfn.XLOOKUP(frasest[[#This Row],[author_es]],autorest[author_es],autorest[iso3691])</f>
        <v>en</v>
      </c>
      <c r="K61" t="str">
        <f>_xlfn.XLOOKUP(frasest[[#This Row],[author_es]],autorest[author_es],autorest[language_es])</f>
        <v>Inglés</v>
      </c>
      <c r="L61" t="str">
        <f>_xlfn.XLOOKUP(frasest[[#This Row],[author_es]],autorest[author_es],autorest[language_la])</f>
        <v>Lingua Anglica</v>
      </c>
      <c r="M61" t="str">
        <f>_xlfn.XLOOKUP(frasest[[#This Row],[author_es]],autorest[author_es],autorest[nation_es])</f>
        <v>Reino Unido</v>
      </c>
      <c r="N61" t="str">
        <f>_xlfn.XLOOKUP(frasest[[#This Row],[author_es]],autorest[author_es],autorest[nation_la])</f>
        <v>Regnum Unitum</v>
      </c>
      <c r="O61" t="str">
        <f>_xlfn.XLOOKUP(frasest[[#This Row],[author_es]],autorest[author_es],autorest[age_es])</f>
        <v>Edad Contemporánea</v>
      </c>
      <c r="P61" t="str">
        <f>_xlfn.XLOOKUP(frasest[[#This Row],[author_es]],autorest[author_es],autorest[age_la])</f>
        <v>Aetas Contemporanea</v>
      </c>
      <c r="Q61" t="str">
        <f>_xlfn.XLOOKUP(frasest[[#This Row],[author_es]],autorest[author_es],autorest[image])</f>
        <v>https://i.ibb.co/9mGNtTcT/chesterton.png</v>
      </c>
      <c r="R61">
        <f>_xlfn.XLOOKUP(frasest[[#This Row],[author_es]],autorest[author_es],autorest[image_atr])</f>
        <v>0</v>
      </c>
    </row>
    <row r="62" spans="1:18">
      <c r="A62">
        <v>61</v>
      </c>
      <c r="B62" t="s">
        <v>223</v>
      </c>
      <c r="C62" t="s">
        <v>224</v>
      </c>
      <c r="D62" t="s">
        <v>225</v>
      </c>
      <c r="E62" t="s">
        <v>210</v>
      </c>
      <c r="F62" t="s">
        <v>226</v>
      </c>
      <c r="G62" t="str">
        <f>_xlfn.XLOOKUP(frasest[[#This Row],[author_es]],autorest[author_es],autorest[author_la])</f>
        <v>Gilbert Keith Chesterton</v>
      </c>
      <c r="H62" t="str">
        <f>_xlfn.XLOOKUP(frasest[[#This Row],[author_es]],autorest[author_es],autorest[bio_es])</f>
        <v>Escritor, poeta, filósofo y periodista inglés. Famoso por sus ensayos, cuentos de misterio y defensa del cristianismo.</v>
      </c>
      <c r="I62" t="str">
        <f>_xlfn.XLOOKUP(frasest[[#This Row],[author_es]],autorest[author_es],autorest[bio_la])</f>
        <v>Scriba, poeta, philosophus et diurnarius Anglicus. Notus pro essayis, fabulis mysteriis et Christianismi defensione.</v>
      </c>
      <c r="J62" t="str">
        <f>_xlfn.XLOOKUP(frasest[[#This Row],[author_es]],autorest[author_es],autorest[iso3691])</f>
        <v>en</v>
      </c>
      <c r="K62" t="str">
        <f>_xlfn.XLOOKUP(frasest[[#This Row],[author_es]],autorest[author_es],autorest[language_es])</f>
        <v>Inglés</v>
      </c>
      <c r="L62" t="str">
        <f>_xlfn.XLOOKUP(frasest[[#This Row],[author_es]],autorest[author_es],autorest[language_la])</f>
        <v>Lingua Anglica</v>
      </c>
      <c r="M62" t="str">
        <f>_xlfn.XLOOKUP(frasest[[#This Row],[author_es]],autorest[author_es],autorest[nation_es])</f>
        <v>Reino Unido</v>
      </c>
      <c r="N62" t="str">
        <f>_xlfn.XLOOKUP(frasest[[#This Row],[author_es]],autorest[author_es],autorest[nation_la])</f>
        <v>Regnum Unitum</v>
      </c>
      <c r="O62" t="str">
        <f>_xlfn.XLOOKUP(frasest[[#This Row],[author_es]],autorest[author_es],autorest[age_es])</f>
        <v>Edad Contemporánea</v>
      </c>
      <c r="P62" t="str">
        <f>_xlfn.XLOOKUP(frasest[[#This Row],[author_es]],autorest[author_es],autorest[age_la])</f>
        <v>Aetas Contemporanea</v>
      </c>
      <c r="Q62" t="str">
        <f>_xlfn.XLOOKUP(frasest[[#This Row],[author_es]],autorest[author_es],autorest[image])</f>
        <v>https://i.ibb.co/9mGNtTcT/chesterton.png</v>
      </c>
      <c r="R62">
        <f>_xlfn.XLOOKUP(frasest[[#This Row],[author_es]],autorest[author_es],autorest[image_atr])</f>
        <v>0</v>
      </c>
    </row>
    <row r="63" spans="1:18">
      <c r="A63">
        <v>62</v>
      </c>
      <c r="B63" t="s">
        <v>227</v>
      </c>
      <c r="C63" t="s">
        <v>228</v>
      </c>
      <c r="D63" t="s">
        <v>229</v>
      </c>
      <c r="E63" t="s">
        <v>230</v>
      </c>
      <c r="F63" t="s">
        <v>231</v>
      </c>
      <c r="G63" t="str">
        <f>_xlfn.XLOOKUP(frasest[[#This Row],[author_es]],autorest[author_es],autorest[author_la])</f>
        <v>Ioannes Paulus II</v>
      </c>
      <c r="H63" t="str">
        <f>_xlfn.XLOOKUP(frasest[[#This Row],[author_es]],autorest[author_es],autorest[bio_es])</f>
        <v>Papa de la Iglesia Católica desde 1978 hasta 2005. Destacado por su labor pastoral, defensa de la vida y los derechos humanos.</v>
      </c>
      <c r="I63" t="str">
        <f>_xlfn.XLOOKUP(frasest[[#This Row],[author_es]],autorest[author_es],autorest[bio_la])</f>
        <v>Papa Ecclesiae Catholicae ab anno 1978 usque 2005. Labor pastoral, vitae tutela et iura humana praecipuus.</v>
      </c>
      <c r="J63" t="str">
        <f>_xlfn.XLOOKUP(frasest[[#This Row],[author_es]],autorest[author_es],autorest[iso3691])</f>
        <v>la</v>
      </c>
      <c r="K63" t="str">
        <f>_xlfn.XLOOKUP(frasest[[#This Row],[author_es]],autorest[author_es],autorest[language_es])</f>
        <v>Latín</v>
      </c>
      <c r="L63" t="str">
        <f>_xlfn.XLOOKUP(frasest[[#This Row],[author_es]],autorest[author_es],autorest[language_la])</f>
        <v>Lingua Latina</v>
      </c>
      <c r="M63" t="str">
        <f>_xlfn.XLOOKUP(frasest[[#This Row],[author_es]],autorest[author_es],autorest[nation_es])</f>
        <v>Polonia</v>
      </c>
      <c r="N63" t="str">
        <f>_xlfn.XLOOKUP(frasest[[#This Row],[author_es]],autorest[author_es],autorest[nation_la])</f>
        <v>Polonia</v>
      </c>
      <c r="O63" t="str">
        <f>_xlfn.XLOOKUP(frasest[[#This Row],[author_es]],autorest[author_es],autorest[age_es])</f>
        <v>Edad Contemporánea</v>
      </c>
      <c r="P63" t="str">
        <f>_xlfn.XLOOKUP(frasest[[#This Row],[author_es]],autorest[author_es],autorest[age_la])</f>
        <v>Aetas Contemporanea</v>
      </c>
      <c r="Q63" t="str">
        <f>_xlfn.XLOOKUP(frasest[[#This Row],[author_es]],autorest[author_es],autorest[image])</f>
        <v>https://i.ibb.co/tMz7wVTz/juanpabloii.png</v>
      </c>
      <c r="R63">
        <f>_xlfn.XLOOKUP(frasest[[#This Row],[author_es]],autorest[author_es],autorest[image_atr])</f>
        <v>0</v>
      </c>
    </row>
    <row r="64" spans="1:18">
      <c r="A64">
        <v>63</v>
      </c>
      <c r="B64" t="s">
        <v>232</v>
      </c>
      <c r="C64" t="s">
        <v>233</v>
      </c>
      <c r="D64" t="s">
        <v>233</v>
      </c>
      <c r="E64" t="s">
        <v>230</v>
      </c>
      <c r="F64" t="s">
        <v>234</v>
      </c>
      <c r="G64" t="str">
        <f>_xlfn.XLOOKUP(frasest[[#This Row],[author_es]],autorest[author_es],autorest[author_la])</f>
        <v>Ioannes Paulus II</v>
      </c>
      <c r="H64" t="str">
        <f>_xlfn.XLOOKUP(frasest[[#This Row],[author_es]],autorest[author_es],autorest[bio_es])</f>
        <v>Papa de la Iglesia Católica desde 1978 hasta 2005. Destacado por su labor pastoral, defensa de la vida y los derechos humanos.</v>
      </c>
      <c r="I64" t="str">
        <f>_xlfn.XLOOKUP(frasest[[#This Row],[author_es]],autorest[author_es],autorest[bio_la])</f>
        <v>Papa Ecclesiae Catholicae ab anno 1978 usque 2005. Labor pastoral, vitae tutela et iura humana praecipuus.</v>
      </c>
      <c r="J64" t="str">
        <f>_xlfn.XLOOKUP(frasest[[#This Row],[author_es]],autorest[author_es],autorest[iso3691])</f>
        <v>la</v>
      </c>
      <c r="K64" t="str">
        <f>_xlfn.XLOOKUP(frasest[[#This Row],[author_es]],autorest[author_es],autorest[language_es])</f>
        <v>Latín</v>
      </c>
      <c r="L64" t="str">
        <f>_xlfn.XLOOKUP(frasest[[#This Row],[author_es]],autorest[author_es],autorest[language_la])</f>
        <v>Lingua Latina</v>
      </c>
      <c r="M64" t="str">
        <f>_xlfn.XLOOKUP(frasest[[#This Row],[author_es]],autorest[author_es],autorest[nation_es])</f>
        <v>Polonia</v>
      </c>
      <c r="N64" t="str">
        <f>_xlfn.XLOOKUP(frasest[[#This Row],[author_es]],autorest[author_es],autorest[nation_la])</f>
        <v>Polonia</v>
      </c>
      <c r="O64" t="str">
        <f>_xlfn.XLOOKUP(frasest[[#This Row],[author_es]],autorest[author_es],autorest[age_es])</f>
        <v>Edad Contemporánea</v>
      </c>
      <c r="P64" t="str">
        <f>_xlfn.XLOOKUP(frasest[[#This Row],[author_es]],autorest[author_es],autorest[age_la])</f>
        <v>Aetas Contemporanea</v>
      </c>
      <c r="Q64" t="str">
        <f>_xlfn.XLOOKUP(frasest[[#This Row],[author_es]],autorest[author_es],autorest[image])</f>
        <v>https://i.ibb.co/tMz7wVTz/juanpabloii.png</v>
      </c>
      <c r="R64">
        <f>_xlfn.XLOOKUP(frasest[[#This Row],[author_es]],autorest[author_es],autorest[image_atr])</f>
        <v>0</v>
      </c>
    </row>
    <row r="65" spans="1:18">
      <c r="A65">
        <v>64</v>
      </c>
      <c r="B65" t="s">
        <v>235</v>
      </c>
      <c r="C65" t="s">
        <v>236</v>
      </c>
      <c r="D65" t="s">
        <v>236</v>
      </c>
      <c r="E65" t="s">
        <v>230</v>
      </c>
      <c r="F65" t="s">
        <v>237</v>
      </c>
      <c r="G65" t="str">
        <f>_xlfn.XLOOKUP(frasest[[#This Row],[author_es]],autorest[author_es],autorest[author_la])</f>
        <v>Ioannes Paulus II</v>
      </c>
      <c r="H65" t="str">
        <f>_xlfn.XLOOKUP(frasest[[#This Row],[author_es]],autorest[author_es],autorest[bio_es])</f>
        <v>Papa de la Iglesia Católica desde 1978 hasta 2005. Destacado por su labor pastoral, defensa de la vida y los derechos humanos.</v>
      </c>
      <c r="I65" t="str">
        <f>_xlfn.XLOOKUP(frasest[[#This Row],[author_es]],autorest[author_es],autorest[bio_la])</f>
        <v>Papa Ecclesiae Catholicae ab anno 1978 usque 2005. Labor pastoral, vitae tutela et iura humana praecipuus.</v>
      </c>
      <c r="J65" t="str">
        <f>_xlfn.XLOOKUP(frasest[[#This Row],[author_es]],autorest[author_es],autorest[iso3691])</f>
        <v>la</v>
      </c>
      <c r="K65" t="str">
        <f>_xlfn.XLOOKUP(frasest[[#This Row],[author_es]],autorest[author_es],autorest[language_es])</f>
        <v>Latín</v>
      </c>
      <c r="L65" t="str">
        <f>_xlfn.XLOOKUP(frasest[[#This Row],[author_es]],autorest[author_es],autorest[language_la])</f>
        <v>Lingua Latina</v>
      </c>
      <c r="M65" t="str">
        <f>_xlfn.XLOOKUP(frasest[[#This Row],[author_es]],autorest[author_es],autorest[nation_es])</f>
        <v>Polonia</v>
      </c>
      <c r="N65" t="str">
        <f>_xlfn.XLOOKUP(frasest[[#This Row],[author_es]],autorest[author_es],autorest[nation_la])</f>
        <v>Polonia</v>
      </c>
      <c r="O65" t="str">
        <f>_xlfn.XLOOKUP(frasest[[#This Row],[author_es]],autorest[author_es],autorest[age_es])</f>
        <v>Edad Contemporánea</v>
      </c>
      <c r="P65" t="str">
        <f>_xlfn.XLOOKUP(frasest[[#This Row],[author_es]],autorest[author_es],autorest[age_la])</f>
        <v>Aetas Contemporanea</v>
      </c>
      <c r="Q65" t="str">
        <f>_xlfn.XLOOKUP(frasest[[#This Row],[author_es]],autorest[author_es],autorest[image])</f>
        <v>https://i.ibb.co/tMz7wVTz/juanpabloii.png</v>
      </c>
      <c r="R65">
        <f>_xlfn.XLOOKUP(frasest[[#This Row],[author_es]],autorest[author_es],autorest[image_atr])</f>
        <v>0</v>
      </c>
    </row>
    <row r="66" spans="1:18">
      <c r="A66">
        <v>65</v>
      </c>
      <c r="B66" t="s">
        <v>238</v>
      </c>
      <c r="C66" t="s">
        <v>239</v>
      </c>
      <c r="D66" t="s">
        <v>239</v>
      </c>
      <c r="E66" t="s">
        <v>230</v>
      </c>
      <c r="F66" t="s">
        <v>240</v>
      </c>
      <c r="G66" t="str">
        <f>_xlfn.XLOOKUP(frasest[[#This Row],[author_es]],autorest[author_es],autorest[author_la])</f>
        <v>Ioannes Paulus II</v>
      </c>
      <c r="H66" t="str">
        <f>_xlfn.XLOOKUP(frasest[[#This Row],[author_es]],autorest[author_es],autorest[bio_es])</f>
        <v>Papa de la Iglesia Católica desde 1978 hasta 2005. Destacado por su labor pastoral, defensa de la vida y los derechos humanos.</v>
      </c>
      <c r="I66" t="str">
        <f>_xlfn.XLOOKUP(frasest[[#This Row],[author_es]],autorest[author_es],autorest[bio_la])</f>
        <v>Papa Ecclesiae Catholicae ab anno 1978 usque 2005. Labor pastoral, vitae tutela et iura humana praecipuus.</v>
      </c>
      <c r="J66" t="str">
        <f>_xlfn.XLOOKUP(frasest[[#This Row],[author_es]],autorest[author_es],autorest[iso3691])</f>
        <v>la</v>
      </c>
      <c r="K66" t="str">
        <f>_xlfn.XLOOKUP(frasest[[#This Row],[author_es]],autorest[author_es],autorest[language_es])</f>
        <v>Latín</v>
      </c>
      <c r="L66" t="str">
        <f>_xlfn.XLOOKUP(frasest[[#This Row],[author_es]],autorest[author_es],autorest[language_la])</f>
        <v>Lingua Latina</v>
      </c>
      <c r="M66" t="str">
        <f>_xlfn.XLOOKUP(frasest[[#This Row],[author_es]],autorest[author_es],autorest[nation_es])</f>
        <v>Polonia</v>
      </c>
      <c r="N66" t="str">
        <f>_xlfn.XLOOKUP(frasest[[#This Row],[author_es]],autorest[author_es],autorest[nation_la])</f>
        <v>Polonia</v>
      </c>
      <c r="O66" t="str">
        <f>_xlfn.XLOOKUP(frasest[[#This Row],[author_es]],autorest[author_es],autorest[age_es])</f>
        <v>Edad Contemporánea</v>
      </c>
      <c r="P66" t="str">
        <f>_xlfn.XLOOKUP(frasest[[#This Row],[author_es]],autorest[author_es],autorest[age_la])</f>
        <v>Aetas Contemporanea</v>
      </c>
      <c r="Q66" t="str">
        <f>_xlfn.XLOOKUP(frasest[[#This Row],[author_es]],autorest[author_es],autorest[image])</f>
        <v>https://i.ibb.co/tMz7wVTz/juanpabloii.png</v>
      </c>
      <c r="R66">
        <f>_xlfn.XLOOKUP(frasest[[#This Row],[author_es]],autorest[author_es],autorest[image_atr])</f>
        <v>0</v>
      </c>
    </row>
    <row r="67" spans="1:18">
      <c r="A67">
        <v>66</v>
      </c>
      <c r="B67" t="s">
        <v>241</v>
      </c>
      <c r="C67" t="s">
        <v>242</v>
      </c>
      <c r="D67" t="s">
        <v>243</v>
      </c>
      <c r="E67" t="s">
        <v>230</v>
      </c>
      <c r="F67" t="s">
        <v>244</v>
      </c>
      <c r="G67" t="str">
        <f>_xlfn.XLOOKUP(frasest[[#This Row],[author_es]],autorest[author_es],autorest[author_la])</f>
        <v>Ioannes Paulus II</v>
      </c>
      <c r="H67" t="str">
        <f>_xlfn.XLOOKUP(frasest[[#This Row],[author_es]],autorest[author_es],autorest[bio_es])</f>
        <v>Papa de la Iglesia Católica desde 1978 hasta 2005. Destacado por su labor pastoral, defensa de la vida y los derechos humanos.</v>
      </c>
      <c r="I67" t="str">
        <f>_xlfn.XLOOKUP(frasest[[#This Row],[author_es]],autorest[author_es],autorest[bio_la])</f>
        <v>Papa Ecclesiae Catholicae ab anno 1978 usque 2005. Labor pastoral, vitae tutela et iura humana praecipuus.</v>
      </c>
      <c r="J67" t="str">
        <f>_xlfn.XLOOKUP(frasest[[#This Row],[author_es]],autorest[author_es],autorest[iso3691])</f>
        <v>la</v>
      </c>
      <c r="K67" t="str">
        <f>_xlfn.XLOOKUP(frasest[[#This Row],[author_es]],autorest[author_es],autorest[language_es])</f>
        <v>Latín</v>
      </c>
      <c r="L67" t="str">
        <f>_xlfn.XLOOKUP(frasest[[#This Row],[author_es]],autorest[author_es],autorest[language_la])</f>
        <v>Lingua Latina</v>
      </c>
      <c r="M67" t="str">
        <f>_xlfn.XLOOKUP(frasest[[#This Row],[author_es]],autorest[author_es],autorest[nation_es])</f>
        <v>Polonia</v>
      </c>
      <c r="N67" t="str">
        <f>_xlfn.XLOOKUP(frasest[[#This Row],[author_es]],autorest[author_es],autorest[nation_la])</f>
        <v>Polonia</v>
      </c>
      <c r="O67" t="str">
        <f>_xlfn.XLOOKUP(frasest[[#This Row],[author_es]],autorest[author_es],autorest[age_es])</f>
        <v>Edad Contemporánea</v>
      </c>
      <c r="P67" t="str">
        <f>_xlfn.XLOOKUP(frasest[[#This Row],[author_es]],autorest[author_es],autorest[age_la])</f>
        <v>Aetas Contemporanea</v>
      </c>
      <c r="Q67" t="str">
        <f>_xlfn.XLOOKUP(frasest[[#This Row],[author_es]],autorest[author_es],autorest[image])</f>
        <v>https://i.ibb.co/tMz7wVTz/juanpabloii.png</v>
      </c>
      <c r="R67">
        <f>_xlfn.XLOOKUP(frasest[[#This Row],[author_es]],autorest[author_es],autorest[image_atr])</f>
        <v>0</v>
      </c>
    </row>
    <row r="68" spans="1:18">
      <c r="A68">
        <v>67</v>
      </c>
      <c r="B68" t="s">
        <v>245</v>
      </c>
      <c r="C68" t="s">
        <v>246</v>
      </c>
      <c r="D68" t="s">
        <v>246</v>
      </c>
      <c r="E68" t="s">
        <v>230</v>
      </c>
      <c r="F68" t="s">
        <v>247</v>
      </c>
      <c r="G68" t="str">
        <f>_xlfn.XLOOKUP(frasest[[#This Row],[author_es]],autorest[author_es],autorest[author_la])</f>
        <v>Ioannes Paulus II</v>
      </c>
      <c r="H68" t="str">
        <f>_xlfn.XLOOKUP(frasest[[#This Row],[author_es]],autorest[author_es],autorest[bio_es])</f>
        <v>Papa de la Iglesia Católica desde 1978 hasta 2005. Destacado por su labor pastoral, defensa de la vida y los derechos humanos.</v>
      </c>
      <c r="I68" t="str">
        <f>_xlfn.XLOOKUP(frasest[[#This Row],[author_es]],autorest[author_es],autorest[bio_la])</f>
        <v>Papa Ecclesiae Catholicae ab anno 1978 usque 2005. Labor pastoral, vitae tutela et iura humana praecipuus.</v>
      </c>
      <c r="J68" t="str">
        <f>_xlfn.XLOOKUP(frasest[[#This Row],[author_es]],autorest[author_es],autorest[iso3691])</f>
        <v>la</v>
      </c>
      <c r="K68" t="str">
        <f>_xlfn.XLOOKUP(frasest[[#This Row],[author_es]],autorest[author_es],autorest[language_es])</f>
        <v>Latín</v>
      </c>
      <c r="L68" t="str">
        <f>_xlfn.XLOOKUP(frasest[[#This Row],[author_es]],autorest[author_es],autorest[language_la])</f>
        <v>Lingua Latina</v>
      </c>
      <c r="M68" t="str">
        <f>_xlfn.XLOOKUP(frasest[[#This Row],[author_es]],autorest[author_es],autorest[nation_es])</f>
        <v>Polonia</v>
      </c>
      <c r="N68" t="str">
        <f>_xlfn.XLOOKUP(frasest[[#This Row],[author_es]],autorest[author_es],autorest[nation_la])</f>
        <v>Polonia</v>
      </c>
      <c r="O68" t="str">
        <f>_xlfn.XLOOKUP(frasest[[#This Row],[author_es]],autorest[author_es],autorest[age_es])</f>
        <v>Edad Contemporánea</v>
      </c>
      <c r="P68" t="str">
        <f>_xlfn.XLOOKUP(frasest[[#This Row],[author_es]],autorest[author_es],autorest[age_la])</f>
        <v>Aetas Contemporanea</v>
      </c>
      <c r="Q68" t="str">
        <f>_xlfn.XLOOKUP(frasest[[#This Row],[author_es]],autorest[author_es],autorest[image])</f>
        <v>https://i.ibb.co/tMz7wVTz/juanpabloii.png</v>
      </c>
      <c r="R68">
        <f>_xlfn.XLOOKUP(frasest[[#This Row],[author_es]],autorest[author_es],autorest[image_atr])</f>
        <v>0</v>
      </c>
    </row>
    <row r="69" spans="1:18">
      <c r="A69">
        <v>68</v>
      </c>
      <c r="B69" t="s">
        <v>248</v>
      </c>
      <c r="C69" t="s">
        <v>249</v>
      </c>
      <c r="D69" t="s">
        <v>249</v>
      </c>
      <c r="E69" t="s">
        <v>230</v>
      </c>
      <c r="F69" t="s">
        <v>250</v>
      </c>
      <c r="G69" t="str">
        <f>_xlfn.XLOOKUP(frasest[[#This Row],[author_es]],autorest[author_es],autorest[author_la])</f>
        <v>Ioannes Paulus II</v>
      </c>
      <c r="H69" t="str">
        <f>_xlfn.XLOOKUP(frasest[[#This Row],[author_es]],autorest[author_es],autorest[bio_es])</f>
        <v>Papa de la Iglesia Católica desde 1978 hasta 2005. Destacado por su labor pastoral, defensa de la vida y los derechos humanos.</v>
      </c>
      <c r="I69" t="str">
        <f>_xlfn.XLOOKUP(frasest[[#This Row],[author_es]],autorest[author_es],autorest[bio_la])</f>
        <v>Papa Ecclesiae Catholicae ab anno 1978 usque 2005. Labor pastoral, vitae tutela et iura humana praecipuus.</v>
      </c>
      <c r="J69" t="str">
        <f>_xlfn.XLOOKUP(frasest[[#This Row],[author_es]],autorest[author_es],autorest[iso3691])</f>
        <v>la</v>
      </c>
      <c r="K69" t="str">
        <f>_xlfn.XLOOKUP(frasest[[#This Row],[author_es]],autorest[author_es],autorest[language_es])</f>
        <v>Latín</v>
      </c>
      <c r="L69" t="str">
        <f>_xlfn.XLOOKUP(frasest[[#This Row],[author_es]],autorest[author_es],autorest[language_la])</f>
        <v>Lingua Latina</v>
      </c>
      <c r="M69" t="str">
        <f>_xlfn.XLOOKUP(frasest[[#This Row],[author_es]],autorest[author_es],autorest[nation_es])</f>
        <v>Polonia</v>
      </c>
      <c r="N69" t="str">
        <f>_xlfn.XLOOKUP(frasest[[#This Row],[author_es]],autorest[author_es],autorest[nation_la])</f>
        <v>Polonia</v>
      </c>
      <c r="O69" t="str">
        <f>_xlfn.XLOOKUP(frasest[[#This Row],[author_es]],autorest[author_es],autorest[age_es])</f>
        <v>Edad Contemporánea</v>
      </c>
      <c r="P69" t="str">
        <f>_xlfn.XLOOKUP(frasest[[#This Row],[author_es]],autorest[author_es],autorest[age_la])</f>
        <v>Aetas Contemporanea</v>
      </c>
      <c r="Q69" t="str">
        <f>_xlfn.XLOOKUP(frasest[[#This Row],[author_es]],autorest[author_es],autorest[image])</f>
        <v>https://i.ibb.co/tMz7wVTz/juanpabloii.png</v>
      </c>
      <c r="R69">
        <f>_xlfn.XLOOKUP(frasest[[#This Row],[author_es]],autorest[author_es],autorest[image_atr])</f>
        <v>0</v>
      </c>
    </row>
    <row r="70" spans="1:18">
      <c r="A70">
        <v>69</v>
      </c>
      <c r="B70" t="s">
        <v>251</v>
      </c>
      <c r="C70" t="s">
        <v>252</v>
      </c>
      <c r="D70" t="s">
        <v>253</v>
      </c>
      <c r="E70" t="s">
        <v>230</v>
      </c>
      <c r="F70" t="s">
        <v>234</v>
      </c>
      <c r="G70" t="str">
        <f>_xlfn.XLOOKUP(frasest[[#This Row],[author_es]],autorest[author_es],autorest[author_la])</f>
        <v>Ioannes Paulus II</v>
      </c>
      <c r="H70" t="str">
        <f>_xlfn.XLOOKUP(frasest[[#This Row],[author_es]],autorest[author_es],autorest[bio_es])</f>
        <v>Papa de la Iglesia Católica desde 1978 hasta 2005. Destacado por su labor pastoral, defensa de la vida y los derechos humanos.</v>
      </c>
      <c r="I70" t="str">
        <f>_xlfn.XLOOKUP(frasest[[#This Row],[author_es]],autorest[author_es],autorest[bio_la])</f>
        <v>Papa Ecclesiae Catholicae ab anno 1978 usque 2005. Labor pastoral, vitae tutela et iura humana praecipuus.</v>
      </c>
      <c r="J70" t="str">
        <f>_xlfn.XLOOKUP(frasest[[#This Row],[author_es]],autorest[author_es],autorest[iso3691])</f>
        <v>la</v>
      </c>
      <c r="K70" t="str">
        <f>_xlfn.XLOOKUP(frasest[[#This Row],[author_es]],autorest[author_es],autorest[language_es])</f>
        <v>Latín</v>
      </c>
      <c r="L70" t="str">
        <f>_xlfn.XLOOKUP(frasest[[#This Row],[author_es]],autorest[author_es],autorest[language_la])</f>
        <v>Lingua Latina</v>
      </c>
      <c r="M70" t="str">
        <f>_xlfn.XLOOKUP(frasest[[#This Row],[author_es]],autorest[author_es],autorest[nation_es])</f>
        <v>Polonia</v>
      </c>
      <c r="N70" t="str">
        <f>_xlfn.XLOOKUP(frasest[[#This Row],[author_es]],autorest[author_es],autorest[nation_la])</f>
        <v>Polonia</v>
      </c>
      <c r="O70" t="str">
        <f>_xlfn.XLOOKUP(frasest[[#This Row],[author_es]],autorest[author_es],autorest[age_es])</f>
        <v>Edad Contemporánea</v>
      </c>
      <c r="P70" t="str">
        <f>_xlfn.XLOOKUP(frasest[[#This Row],[author_es]],autorest[author_es],autorest[age_la])</f>
        <v>Aetas Contemporanea</v>
      </c>
      <c r="Q70" t="str">
        <f>_xlfn.XLOOKUP(frasest[[#This Row],[author_es]],autorest[author_es],autorest[image])</f>
        <v>https://i.ibb.co/tMz7wVTz/juanpabloii.png</v>
      </c>
      <c r="R70">
        <f>_xlfn.XLOOKUP(frasest[[#This Row],[author_es]],autorest[author_es],autorest[image_atr])</f>
        <v>0</v>
      </c>
    </row>
    <row r="71" spans="1:18">
      <c r="A71">
        <v>70</v>
      </c>
      <c r="B71" t="s">
        <v>254</v>
      </c>
      <c r="C71" t="s">
        <v>255</v>
      </c>
      <c r="D71" t="s">
        <v>255</v>
      </c>
      <c r="E71" t="s">
        <v>230</v>
      </c>
      <c r="F71" t="s">
        <v>256</v>
      </c>
      <c r="G71" t="str">
        <f>_xlfn.XLOOKUP(frasest[[#This Row],[author_es]],autorest[author_es],autorest[author_la])</f>
        <v>Ioannes Paulus II</v>
      </c>
      <c r="H71" t="str">
        <f>_xlfn.XLOOKUP(frasest[[#This Row],[author_es]],autorest[author_es],autorest[bio_es])</f>
        <v>Papa de la Iglesia Católica desde 1978 hasta 2005. Destacado por su labor pastoral, defensa de la vida y los derechos humanos.</v>
      </c>
      <c r="I71" t="str">
        <f>_xlfn.XLOOKUP(frasest[[#This Row],[author_es]],autorest[author_es],autorest[bio_la])</f>
        <v>Papa Ecclesiae Catholicae ab anno 1978 usque 2005. Labor pastoral, vitae tutela et iura humana praecipuus.</v>
      </c>
      <c r="J71" t="str">
        <f>_xlfn.XLOOKUP(frasest[[#This Row],[author_es]],autorest[author_es],autorest[iso3691])</f>
        <v>la</v>
      </c>
      <c r="K71" t="str">
        <f>_xlfn.XLOOKUP(frasest[[#This Row],[author_es]],autorest[author_es],autorest[language_es])</f>
        <v>Latín</v>
      </c>
      <c r="L71" t="str">
        <f>_xlfn.XLOOKUP(frasest[[#This Row],[author_es]],autorest[author_es],autorest[language_la])</f>
        <v>Lingua Latina</v>
      </c>
      <c r="M71" t="str">
        <f>_xlfn.XLOOKUP(frasest[[#This Row],[author_es]],autorest[author_es],autorest[nation_es])</f>
        <v>Polonia</v>
      </c>
      <c r="N71" t="str">
        <f>_xlfn.XLOOKUP(frasest[[#This Row],[author_es]],autorest[author_es],autorest[nation_la])</f>
        <v>Polonia</v>
      </c>
      <c r="O71" t="str">
        <f>_xlfn.XLOOKUP(frasest[[#This Row],[author_es]],autorest[author_es],autorest[age_es])</f>
        <v>Edad Contemporánea</v>
      </c>
      <c r="P71" t="str">
        <f>_xlfn.XLOOKUP(frasest[[#This Row],[author_es]],autorest[author_es],autorest[age_la])</f>
        <v>Aetas Contemporanea</v>
      </c>
      <c r="Q71" t="str">
        <f>_xlfn.XLOOKUP(frasest[[#This Row],[author_es]],autorest[author_es],autorest[image])</f>
        <v>https://i.ibb.co/tMz7wVTz/juanpabloii.png</v>
      </c>
      <c r="R71">
        <f>_xlfn.XLOOKUP(frasest[[#This Row],[author_es]],autorest[author_es],autorest[image_atr])</f>
        <v>0</v>
      </c>
    </row>
    <row r="72" spans="1:18">
      <c r="A72">
        <v>71</v>
      </c>
      <c r="B72" t="s">
        <v>257</v>
      </c>
      <c r="C72" t="s">
        <v>258</v>
      </c>
      <c r="D72" t="s">
        <v>258</v>
      </c>
      <c r="E72" t="s">
        <v>230</v>
      </c>
      <c r="F72" t="s">
        <v>259</v>
      </c>
      <c r="G72" t="str">
        <f>_xlfn.XLOOKUP(frasest[[#This Row],[author_es]],autorest[author_es],autorest[author_la])</f>
        <v>Ioannes Paulus II</v>
      </c>
      <c r="H72" t="str">
        <f>_xlfn.XLOOKUP(frasest[[#This Row],[author_es]],autorest[author_es],autorest[bio_es])</f>
        <v>Papa de la Iglesia Católica desde 1978 hasta 2005. Destacado por su labor pastoral, defensa de la vida y los derechos humanos.</v>
      </c>
      <c r="I72" t="str">
        <f>_xlfn.XLOOKUP(frasest[[#This Row],[author_es]],autorest[author_es],autorest[bio_la])</f>
        <v>Papa Ecclesiae Catholicae ab anno 1978 usque 2005. Labor pastoral, vitae tutela et iura humana praecipuus.</v>
      </c>
      <c r="J72" t="str">
        <f>_xlfn.XLOOKUP(frasest[[#This Row],[author_es]],autorest[author_es],autorest[iso3691])</f>
        <v>la</v>
      </c>
      <c r="K72" t="str">
        <f>_xlfn.XLOOKUP(frasest[[#This Row],[author_es]],autorest[author_es],autorest[language_es])</f>
        <v>Latín</v>
      </c>
      <c r="L72" t="str">
        <f>_xlfn.XLOOKUP(frasest[[#This Row],[author_es]],autorest[author_es],autorest[language_la])</f>
        <v>Lingua Latina</v>
      </c>
      <c r="M72" t="str">
        <f>_xlfn.XLOOKUP(frasest[[#This Row],[author_es]],autorest[author_es],autorest[nation_es])</f>
        <v>Polonia</v>
      </c>
      <c r="N72" t="str">
        <f>_xlfn.XLOOKUP(frasest[[#This Row],[author_es]],autorest[author_es],autorest[nation_la])</f>
        <v>Polonia</v>
      </c>
      <c r="O72" t="str">
        <f>_xlfn.XLOOKUP(frasest[[#This Row],[author_es]],autorest[author_es],autorest[age_es])</f>
        <v>Edad Contemporánea</v>
      </c>
      <c r="P72" t="str">
        <f>_xlfn.XLOOKUP(frasest[[#This Row],[author_es]],autorest[author_es],autorest[age_la])</f>
        <v>Aetas Contemporanea</v>
      </c>
      <c r="Q72" t="str">
        <f>_xlfn.XLOOKUP(frasest[[#This Row],[author_es]],autorest[author_es],autorest[image])</f>
        <v>https://i.ibb.co/tMz7wVTz/juanpabloii.png</v>
      </c>
      <c r="R72">
        <f>_xlfn.XLOOKUP(frasest[[#This Row],[author_es]],autorest[author_es],autorest[image_atr])</f>
        <v>0</v>
      </c>
    </row>
    <row r="73" spans="1:18">
      <c r="A73">
        <v>72</v>
      </c>
      <c r="B73" t="s">
        <v>260</v>
      </c>
      <c r="C73" t="s">
        <v>261</v>
      </c>
      <c r="D73" t="s">
        <v>261</v>
      </c>
      <c r="E73" t="s">
        <v>262</v>
      </c>
      <c r="F73" t="s">
        <v>263</v>
      </c>
      <c r="G73" t="str">
        <f>_xlfn.XLOOKUP(frasest[[#This Row],[author_es]],autorest[author_es],autorest[author_la])</f>
        <v>Sanctus Ioannes Baptista de La Salle</v>
      </c>
      <c r="H73" t="str">
        <f>_xlfn.XLOOKUP(frasest[[#This Row],[author_es]],autorest[author_es],autorest[bio_es])</f>
        <v>Sacerdote francés y fundador de los Hermanos de las Escuelas Cristianas, dedicados a la educación cristiana de los jóvenes, especialmente pobres.</v>
      </c>
      <c r="I73" t="str">
        <f>_xlfn.XLOOKUP(frasest[[#This Row],[author_es]],autorest[author_es],autorest[bio_la])</f>
        <v>Sacerdos Francogallicus, fratres Scholarium Christianorum fundator. Iuvenes praecipue pauperes educavit.</v>
      </c>
      <c r="J73" t="str">
        <f>_xlfn.XLOOKUP(frasest[[#This Row],[author_es]],autorest[author_es],autorest[iso3691])</f>
        <v>la</v>
      </c>
      <c r="K73" t="str">
        <f>_xlfn.XLOOKUP(frasest[[#This Row],[author_es]],autorest[author_es],autorest[language_es])</f>
        <v>Latín</v>
      </c>
      <c r="L73" t="str">
        <f>_xlfn.XLOOKUP(frasest[[#This Row],[author_es]],autorest[author_es],autorest[language_la])</f>
        <v>Lingua Latina</v>
      </c>
      <c r="M73" t="str">
        <f>_xlfn.XLOOKUP(frasest[[#This Row],[author_es]],autorest[author_es],autorest[nation_es])</f>
        <v>Francia</v>
      </c>
      <c r="N73" t="str">
        <f>_xlfn.XLOOKUP(frasest[[#This Row],[author_es]],autorest[author_es],autorest[nation_la])</f>
        <v>Francia</v>
      </c>
      <c r="O73" t="str">
        <f>_xlfn.XLOOKUP(frasest[[#This Row],[author_es]],autorest[author_es],autorest[age_es])</f>
        <v>Edad Moderna</v>
      </c>
      <c r="P73" t="str">
        <f>_xlfn.XLOOKUP(frasest[[#This Row],[author_es]],autorest[author_es],autorest[age_la])</f>
        <v>Nova Aetas</v>
      </c>
      <c r="Q73" t="str">
        <f>_xlfn.XLOOKUP(frasest[[#This Row],[author_es]],autorest[author_es],autorest[image])</f>
        <v>https://i.ibb.co/20M9HWkV/lasalle.png</v>
      </c>
      <c r="R73">
        <f>_xlfn.XLOOKUP(frasest[[#This Row],[author_es]],autorest[author_es],autorest[image_atr])</f>
        <v>0</v>
      </c>
    </row>
    <row r="74" spans="1:18" ht="18">
      <c r="A74">
        <v>73</v>
      </c>
      <c r="B74" t="s">
        <v>264</v>
      </c>
      <c r="C74" t="s">
        <v>265</v>
      </c>
      <c r="D74" s="3" t="s">
        <v>266</v>
      </c>
      <c r="E74" t="s">
        <v>267</v>
      </c>
      <c r="G74" t="str">
        <f>_xlfn.XLOOKUP(frasest[[#This Row],[author_es]],autorest[author_es],autorest[author_la])</f>
        <v>Proverbium Arabica</v>
      </c>
      <c r="H74" t="str">
        <f>_xlfn.XLOOKUP(frasest[[#This Row],[author_es]],autorest[author_es],autorest[bio_es])</f>
        <v>Proverbios tradicionales de la cultura árabe que transmiten valores de hospitalidad, honor, paciencia y sabiduría práctica.</v>
      </c>
      <c r="I74" t="str">
        <f>_xlfn.XLOOKUP(frasest[[#This Row],[author_es]],autorest[author_es],autorest[bio_la])</f>
        <v>Collectio sententiarum Arabicarum.</v>
      </c>
      <c r="J74" t="str">
        <f>_xlfn.XLOOKUP(frasest[[#This Row],[author_es]],autorest[author_es],autorest[iso3691])</f>
        <v>ar</v>
      </c>
      <c r="K74" t="str">
        <f>_xlfn.XLOOKUP(frasest[[#This Row],[author_es]],autorest[author_es],autorest[language_es])</f>
        <v>Árabe</v>
      </c>
      <c r="L74" t="str">
        <f>_xlfn.XLOOKUP(frasest[[#This Row],[author_es]],autorest[author_es],autorest[language_la])</f>
        <v>Lingua Arabica</v>
      </c>
      <c r="M74" t="str">
        <f>_xlfn.XLOOKUP(frasest[[#This Row],[author_es]],autorest[author_es],autorest[nation_es])</f>
        <v>Arabia Saudita</v>
      </c>
      <c r="N74" t="str">
        <f>_xlfn.XLOOKUP(frasest[[#This Row],[author_es]],autorest[author_es],autorest[nation_la])</f>
        <v>Arabia Saudita</v>
      </c>
      <c r="O74" t="str">
        <f>_xlfn.XLOOKUP(frasest[[#This Row],[author_es]],autorest[author_es],autorest[age_es])</f>
        <v>Epoca Desconocida</v>
      </c>
      <c r="P74" t="str">
        <f>_xlfn.XLOOKUP(frasest[[#This Row],[author_es]],autorest[author_es],autorest[age_la])</f>
        <v>Epocha Ignota</v>
      </c>
      <c r="Q74" t="str">
        <f>_xlfn.XLOOKUP(frasest[[#This Row],[author_es]],autorest[author_es],autorest[image])</f>
        <v>https://i.ibb.co/1fdqG2fh/arabia.png</v>
      </c>
      <c r="R74">
        <f>_xlfn.XLOOKUP(frasest[[#This Row],[author_es]],autorest[author_es],autorest[image_atr])</f>
        <v>0</v>
      </c>
    </row>
    <row r="75" spans="1:18" ht="18">
      <c r="A75">
        <v>74</v>
      </c>
      <c r="B75" t="s">
        <v>268</v>
      </c>
      <c r="C75" t="s">
        <v>269</v>
      </c>
      <c r="D75" s="3" t="s">
        <v>270</v>
      </c>
      <c r="E75" t="s">
        <v>267</v>
      </c>
      <c r="G75" t="str">
        <f>_xlfn.XLOOKUP(frasest[[#This Row],[author_es]],autorest[author_es],autorest[author_la])</f>
        <v>Proverbium Arabica</v>
      </c>
      <c r="H75" t="str">
        <f>_xlfn.XLOOKUP(frasest[[#This Row],[author_es]],autorest[author_es],autorest[bio_es])</f>
        <v>Proverbios tradicionales de la cultura árabe que transmiten valores de hospitalidad, honor, paciencia y sabiduría práctica.</v>
      </c>
      <c r="I75" t="str">
        <f>_xlfn.XLOOKUP(frasest[[#This Row],[author_es]],autorest[author_es],autorest[bio_la])</f>
        <v>Collectio sententiarum Arabicarum.</v>
      </c>
      <c r="J75" t="str">
        <f>_xlfn.XLOOKUP(frasest[[#This Row],[author_es]],autorest[author_es],autorest[iso3691])</f>
        <v>ar</v>
      </c>
      <c r="K75" t="str">
        <f>_xlfn.XLOOKUP(frasest[[#This Row],[author_es]],autorest[author_es],autorest[language_es])</f>
        <v>Árabe</v>
      </c>
      <c r="L75" t="str">
        <f>_xlfn.XLOOKUP(frasest[[#This Row],[author_es]],autorest[author_es],autorest[language_la])</f>
        <v>Lingua Arabica</v>
      </c>
      <c r="M75" t="str">
        <f>_xlfn.XLOOKUP(frasest[[#This Row],[author_es]],autorest[author_es],autorest[nation_es])</f>
        <v>Arabia Saudita</v>
      </c>
      <c r="N75" t="str">
        <f>_xlfn.XLOOKUP(frasest[[#This Row],[author_es]],autorest[author_es],autorest[nation_la])</f>
        <v>Arabia Saudita</v>
      </c>
      <c r="O75" t="str">
        <f>_xlfn.XLOOKUP(frasest[[#This Row],[author_es]],autorest[author_es],autorest[age_es])</f>
        <v>Epoca Desconocida</v>
      </c>
      <c r="P75" t="str">
        <f>_xlfn.XLOOKUP(frasest[[#This Row],[author_es]],autorest[author_es],autorest[age_la])</f>
        <v>Epocha Ignota</v>
      </c>
      <c r="Q75" t="str">
        <f>_xlfn.XLOOKUP(frasest[[#This Row],[author_es]],autorest[author_es],autorest[image])</f>
        <v>https://i.ibb.co/1fdqG2fh/arabia.png</v>
      </c>
      <c r="R75">
        <f>_xlfn.XLOOKUP(frasest[[#This Row],[author_es]],autorest[author_es],autorest[image_atr])</f>
        <v>0</v>
      </c>
    </row>
    <row r="76" spans="1:18" ht="18">
      <c r="A76">
        <v>75</v>
      </c>
      <c r="B76" t="s">
        <v>271</v>
      </c>
      <c r="C76" t="s">
        <v>272</v>
      </c>
      <c r="D76" s="3" t="s">
        <v>273</v>
      </c>
      <c r="E76" t="s">
        <v>267</v>
      </c>
      <c r="G76" t="str">
        <f>_xlfn.XLOOKUP(frasest[[#This Row],[author_es]],autorest[author_es],autorest[author_la])</f>
        <v>Proverbium Arabica</v>
      </c>
      <c r="H76" t="str">
        <f>_xlfn.XLOOKUP(frasest[[#This Row],[author_es]],autorest[author_es],autorest[bio_es])</f>
        <v>Proverbios tradicionales de la cultura árabe que transmiten valores de hospitalidad, honor, paciencia y sabiduría práctica.</v>
      </c>
      <c r="I76" t="str">
        <f>_xlfn.XLOOKUP(frasest[[#This Row],[author_es]],autorest[author_es],autorest[bio_la])</f>
        <v>Collectio sententiarum Arabicarum.</v>
      </c>
      <c r="J76" t="str">
        <f>_xlfn.XLOOKUP(frasest[[#This Row],[author_es]],autorest[author_es],autorest[iso3691])</f>
        <v>ar</v>
      </c>
      <c r="K76" t="str">
        <f>_xlfn.XLOOKUP(frasest[[#This Row],[author_es]],autorest[author_es],autorest[language_es])</f>
        <v>Árabe</v>
      </c>
      <c r="L76" t="str">
        <f>_xlfn.XLOOKUP(frasest[[#This Row],[author_es]],autorest[author_es],autorest[language_la])</f>
        <v>Lingua Arabica</v>
      </c>
      <c r="M76" t="str">
        <f>_xlfn.XLOOKUP(frasest[[#This Row],[author_es]],autorest[author_es],autorest[nation_es])</f>
        <v>Arabia Saudita</v>
      </c>
      <c r="N76" t="str">
        <f>_xlfn.XLOOKUP(frasest[[#This Row],[author_es]],autorest[author_es],autorest[nation_la])</f>
        <v>Arabia Saudita</v>
      </c>
      <c r="O76" t="str">
        <f>_xlfn.XLOOKUP(frasest[[#This Row],[author_es]],autorest[author_es],autorest[age_es])</f>
        <v>Epoca Desconocida</v>
      </c>
      <c r="P76" t="str">
        <f>_xlfn.XLOOKUP(frasest[[#This Row],[author_es]],autorest[author_es],autorest[age_la])</f>
        <v>Epocha Ignota</v>
      </c>
      <c r="Q76" t="str">
        <f>_xlfn.XLOOKUP(frasest[[#This Row],[author_es]],autorest[author_es],autorest[image])</f>
        <v>https://i.ibb.co/1fdqG2fh/arabia.png</v>
      </c>
      <c r="R76">
        <f>_xlfn.XLOOKUP(frasest[[#This Row],[author_es]],autorest[author_es],autorest[image_atr])</f>
        <v>0</v>
      </c>
    </row>
    <row r="77" spans="1:18" ht="18">
      <c r="A77">
        <v>76</v>
      </c>
      <c r="B77" t="s">
        <v>274</v>
      </c>
      <c r="C77" t="s">
        <v>275</v>
      </c>
      <c r="D77" s="3" t="s">
        <v>276</v>
      </c>
      <c r="E77" t="s">
        <v>267</v>
      </c>
      <c r="G77" t="str">
        <f>_xlfn.XLOOKUP(frasest[[#This Row],[author_es]],autorest[author_es],autorest[author_la])</f>
        <v>Proverbium Arabica</v>
      </c>
      <c r="H77" t="str">
        <f>_xlfn.XLOOKUP(frasest[[#This Row],[author_es]],autorest[author_es],autorest[bio_es])</f>
        <v>Proverbios tradicionales de la cultura árabe que transmiten valores de hospitalidad, honor, paciencia y sabiduría práctica.</v>
      </c>
      <c r="I77" t="str">
        <f>_xlfn.XLOOKUP(frasest[[#This Row],[author_es]],autorest[author_es],autorest[bio_la])</f>
        <v>Collectio sententiarum Arabicarum.</v>
      </c>
      <c r="J77" t="str">
        <f>_xlfn.XLOOKUP(frasest[[#This Row],[author_es]],autorest[author_es],autorest[iso3691])</f>
        <v>ar</v>
      </c>
      <c r="K77" t="str">
        <f>_xlfn.XLOOKUP(frasest[[#This Row],[author_es]],autorest[author_es],autorest[language_es])</f>
        <v>Árabe</v>
      </c>
      <c r="L77" t="str">
        <f>_xlfn.XLOOKUP(frasest[[#This Row],[author_es]],autorest[author_es],autorest[language_la])</f>
        <v>Lingua Arabica</v>
      </c>
      <c r="M77" t="str">
        <f>_xlfn.XLOOKUP(frasest[[#This Row],[author_es]],autorest[author_es],autorest[nation_es])</f>
        <v>Arabia Saudita</v>
      </c>
      <c r="N77" t="str">
        <f>_xlfn.XLOOKUP(frasest[[#This Row],[author_es]],autorest[author_es],autorest[nation_la])</f>
        <v>Arabia Saudita</v>
      </c>
      <c r="O77" t="str">
        <f>_xlfn.XLOOKUP(frasest[[#This Row],[author_es]],autorest[author_es],autorest[age_es])</f>
        <v>Epoca Desconocida</v>
      </c>
      <c r="P77" t="str">
        <f>_xlfn.XLOOKUP(frasest[[#This Row],[author_es]],autorest[author_es],autorest[age_la])</f>
        <v>Epocha Ignota</v>
      </c>
      <c r="Q77" t="str">
        <f>_xlfn.XLOOKUP(frasest[[#This Row],[author_es]],autorest[author_es],autorest[image])</f>
        <v>https://i.ibb.co/1fdqG2fh/arabia.png</v>
      </c>
      <c r="R77">
        <f>_xlfn.XLOOKUP(frasest[[#This Row],[author_es]],autorest[author_es],autorest[image_atr])</f>
        <v>0</v>
      </c>
    </row>
    <row r="78" spans="1:18" ht="18">
      <c r="A78">
        <v>77</v>
      </c>
      <c r="B78" t="s">
        <v>277</v>
      </c>
      <c r="C78" t="s">
        <v>278</v>
      </c>
      <c r="D78" s="3" t="s">
        <v>279</v>
      </c>
      <c r="E78" t="s">
        <v>267</v>
      </c>
      <c r="G78" t="str">
        <f>_xlfn.XLOOKUP(frasest[[#This Row],[author_es]],autorest[author_es],autorest[author_la])</f>
        <v>Proverbium Arabica</v>
      </c>
      <c r="H78" t="str">
        <f>_xlfn.XLOOKUP(frasest[[#This Row],[author_es]],autorest[author_es],autorest[bio_es])</f>
        <v>Proverbios tradicionales de la cultura árabe que transmiten valores de hospitalidad, honor, paciencia y sabiduría práctica.</v>
      </c>
      <c r="I78" t="str">
        <f>_xlfn.XLOOKUP(frasest[[#This Row],[author_es]],autorest[author_es],autorest[bio_la])</f>
        <v>Collectio sententiarum Arabicarum.</v>
      </c>
      <c r="J78" t="str">
        <f>_xlfn.XLOOKUP(frasest[[#This Row],[author_es]],autorest[author_es],autorest[iso3691])</f>
        <v>ar</v>
      </c>
      <c r="K78" t="str">
        <f>_xlfn.XLOOKUP(frasest[[#This Row],[author_es]],autorest[author_es],autorest[language_es])</f>
        <v>Árabe</v>
      </c>
      <c r="L78" t="str">
        <f>_xlfn.XLOOKUP(frasest[[#This Row],[author_es]],autorest[author_es],autorest[language_la])</f>
        <v>Lingua Arabica</v>
      </c>
      <c r="M78" t="str">
        <f>_xlfn.XLOOKUP(frasest[[#This Row],[author_es]],autorest[author_es],autorest[nation_es])</f>
        <v>Arabia Saudita</v>
      </c>
      <c r="N78" t="str">
        <f>_xlfn.XLOOKUP(frasest[[#This Row],[author_es]],autorest[author_es],autorest[nation_la])</f>
        <v>Arabia Saudita</v>
      </c>
      <c r="O78" t="str">
        <f>_xlfn.XLOOKUP(frasest[[#This Row],[author_es]],autorest[author_es],autorest[age_es])</f>
        <v>Epoca Desconocida</v>
      </c>
      <c r="P78" t="str">
        <f>_xlfn.XLOOKUP(frasest[[#This Row],[author_es]],autorest[author_es],autorest[age_la])</f>
        <v>Epocha Ignota</v>
      </c>
      <c r="Q78" t="str">
        <f>_xlfn.XLOOKUP(frasest[[#This Row],[author_es]],autorest[author_es],autorest[image])</f>
        <v>https://i.ibb.co/1fdqG2fh/arabia.png</v>
      </c>
      <c r="R78">
        <f>_xlfn.XLOOKUP(frasest[[#This Row],[author_es]],autorest[author_es],autorest[image_atr])</f>
        <v>0</v>
      </c>
    </row>
    <row r="79" spans="1:18" ht="18">
      <c r="A79">
        <v>78</v>
      </c>
      <c r="B79" t="s">
        <v>280</v>
      </c>
      <c r="C79" t="s">
        <v>281</v>
      </c>
      <c r="D79" s="3" t="s">
        <v>282</v>
      </c>
      <c r="E79" t="s">
        <v>267</v>
      </c>
      <c r="G79" t="str">
        <f>_xlfn.XLOOKUP(frasest[[#This Row],[author_es]],autorest[author_es],autorest[author_la])</f>
        <v>Proverbium Arabica</v>
      </c>
      <c r="H79" t="str">
        <f>_xlfn.XLOOKUP(frasest[[#This Row],[author_es]],autorest[author_es],autorest[bio_es])</f>
        <v>Proverbios tradicionales de la cultura árabe que transmiten valores de hospitalidad, honor, paciencia y sabiduría práctica.</v>
      </c>
      <c r="I79" t="str">
        <f>_xlfn.XLOOKUP(frasest[[#This Row],[author_es]],autorest[author_es],autorest[bio_la])</f>
        <v>Collectio sententiarum Arabicarum.</v>
      </c>
      <c r="J79" t="str">
        <f>_xlfn.XLOOKUP(frasest[[#This Row],[author_es]],autorest[author_es],autorest[iso3691])</f>
        <v>ar</v>
      </c>
      <c r="K79" t="str">
        <f>_xlfn.XLOOKUP(frasest[[#This Row],[author_es]],autorest[author_es],autorest[language_es])</f>
        <v>Árabe</v>
      </c>
      <c r="L79" t="str">
        <f>_xlfn.XLOOKUP(frasest[[#This Row],[author_es]],autorest[author_es],autorest[language_la])</f>
        <v>Lingua Arabica</v>
      </c>
      <c r="M79" t="str">
        <f>_xlfn.XLOOKUP(frasest[[#This Row],[author_es]],autorest[author_es],autorest[nation_es])</f>
        <v>Arabia Saudita</v>
      </c>
      <c r="N79" t="str">
        <f>_xlfn.XLOOKUP(frasest[[#This Row],[author_es]],autorest[author_es],autorest[nation_la])</f>
        <v>Arabia Saudita</v>
      </c>
      <c r="O79" t="str">
        <f>_xlfn.XLOOKUP(frasest[[#This Row],[author_es]],autorest[author_es],autorest[age_es])</f>
        <v>Epoca Desconocida</v>
      </c>
      <c r="P79" t="str">
        <f>_xlfn.XLOOKUP(frasest[[#This Row],[author_es]],autorest[author_es],autorest[age_la])</f>
        <v>Epocha Ignota</v>
      </c>
      <c r="Q79" t="str">
        <f>_xlfn.XLOOKUP(frasest[[#This Row],[author_es]],autorest[author_es],autorest[image])</f>
        <v>https://i.ibb.co/1fdqG2fh/arabia.png</v>
      </c>
      <c r="R79">
        <f>_xlfn.XLOOKUP(frasest[[#This Row],[author_es]],autorest[author_es],autorest[image_atr])</f>
        <v>0</v>
      </c>
    </row>
    <row r="80" spans="1:18" ht="18">
      <c r="A80">
        <v>79</v>
      </c>
      <c r="B80" t="s">
        <v>283</v>
      </c>
      <c r="C80" t="s">
        <v>284</v>
      </c>
      <c r="D80" s="3" t="s">
        <v>285</v>
      </c>
      <c r="E80" t="s">
        <v>267</v>
      </c>
      <c r="G80" t="str">
        <f>_xlfn.XLOOKUP(frasest[[#This Row],[author_es]],autorest[author_es],autorest[author_la])</f>
        <v>Proverbium Arabica</v>
      </c>
      <c r="H80" t="str">
        <f>_xlfn.XLOOKUP(frasest[[#This Row],[author_es]],autorest[author_es],autorest[bio_es])</f>
        <v>Proverbios tradicionales de la cultura árabe que transmiten valores de hospitalidad, honor, paciencia y sabiduría práctica.</v>
      </c>
      <c r="I80" t="str">
        <f>_xlfn.XLOOKUP(frasest[[#This Row],[author_es]],autorest[author_es],autorest[bio_la])</f>
        <v>Collectio sententiarum Arabicarum.</v>
      </c>
      <c r="J80" t="str">
        <f>_xlfn.XLOOKUP(frasest[[#This Row],[author_es]],autorest[author_es],autorest[iso3691])</f>
        <v>ar</v>
      </c>
      <c r="K80" t="str">
        <f>_xlfn.XLOOKUP(frasest[[#This Row],[author_es]],autorest[author_es],autorest[language_es])</f>
        <v>Árabe</v>
      </c>
      <c r="L80" t="str">
        <f>_xlfn.XLOOKUP(frasest[[#This Row],[author_es]],autorest[author_es],autorest[language_la])</f>
        <v>Lingua Arabica</v>
      </c>
      <c r="M80" t="str">
        <f>_xlfn.XLOOKUP(frasest[[#This Row],[author_es]],autorest[author_es],autorest[nation_es])</f>
        <v>Arabia Saudita</v>
      </c>
      <c r="N80" t="str">
        <f>_xlfn.XLOOKUP(frasest[[#This Row],[author_es]],autorest[author_es],autorest[nation_la])</f>
        <v>Arabia Saudita</v>
      </c>
      <c r="O80" t="str">
        <f>_xlfn.XLOOKUP(frasest[[#This Row],[author_es]],autorest[author_es],autorest[age_es])</f>
        <v>Epoca Desconocida</v>
      </c>
      <c r="P80" t="str">
        <f>_xlfn.XLOOKUP(frasest[[#This Row],[author_es]],autorest[author_es],autorest[age_la])</f>
        <v>Epocha Ignota</v>
      </c>
      <c r="Q80" t="str">
        <f>_xlfn.XLOOKUP(frasest[[#This Row],[author_es]],autorest[author_es],autorest[image])</f>
        <v>https://i.ibb.co/1fdqG2fh/arabia.png</v>
      </c>
      <c r="R80">
        <f>_xlfn.XLOOKUP(frasest[[#This Row],[author_es]],autorest[author_es],autorest[image_atr])</f>
        <v>0</v>
      </c>
    </row>
    <row r="81" spans="1:18" ht="18">
      <c r="A81">
        <v>80</v>
      </c>
      <c r="B81" t="s">
        <v>286</v>
      </c>
      <c r="C81" t="s">
        <v>287</v>
      </c>
      <c r="D81" s="3" t="s">
        <v>288</v>
      </c>
      <c r="E81" t="s">
        <v>267</v>
      </c>
      <c r="G81" t="str">
        <f>_xlfn.XLOOKUP(frasest[[#This Row],[author_es]],autorest[author_es],autorest[author_la])</f>
        <v>Proverbium Arabica</v>
      </c>
      <c r="H81" t="str">
        <f>_xlfn.XLOOKUP(frasest[[#This Row],[author_es]],autorest[author_es],autorest[bio_es])</f>
        <v>Proverbios tradicionales de la cultura árabe que transmiten valores de hospitalidad, honor, paciencia y sabiduría práctica.</v>
      </c>
      <c r="I81" t="str">
        <f>_xlfn.XLOOKUP(frasest[[#This Row],[author_es]],autorest[author_es],autorest[bio_la])</f>
        <v>Collectio sententiarum Arabicarum.</v>
      </c>
      <c r="J81" t="str">
        <f>_xlfn.XLOOKUP(frasest[[#This Row],[author_es]],autorest[author_es],autorest[iso3691])</f>
        <v>ar</v>
      </c>
      <c r="K81" t="str">
        <f>_xlfn.XLOOKUP(frasest[[#This Row],[author_es]],autorest[author_es],autorest[language_es])</f>
        <v>Árabe</v>
      </c>
      <c r="L81" t="str">
        <f>_xlfn.XLOOKUP(frasest[[#This Row],[author_es]],autorest[author_es],autorest[language_la])</f>
        <v>Lingua Arabica</v>
      </c>
      <c r="M81" t="str">
        <f>_xlfn.XLOOKUP(frasest[[#This Row],[author_es]],autorest[author_es],autorest[nation_es])</f>
        <v>Arabia Saudita</v>
      </c>
      <c r="N81" t="str">
        <f>_xlfn.XLOOKUP(frasest[[#This Row],[author_es]],autorest[author_es],autorest[nation_la])</f>
        <v>Arabia Saudita</v>
      </c>
      <c r="O81" t="str">
        <f>_xlfn.XLOOKUP(frasest[[#This Row],[author_es]],autorest[author_es],autorest[age_es])</f>
        <v>Epoca Desconocida</v>
      </c>
      <c r="P81" t="str">
        <f>_xlfn.XLOOKUP(frasest[[#This Row],[author_es]],autorest[author_es],autorest[age_la])</f>
        <v>Epocha Ignota</v>
      </c>
      <c r="Q81" t="str">
        <f>_xlfn.XLOOKUP(frasest[[#This Row],[author_es]],autorest[author_es],autorest[image])</f>
        <v>https://i.ibb.co/1fdqG2fh/arabia.png</v>
      </c>
      <c r="R81">
        <f>_xlfn.XLOOKUP(frasest[[#This Row],[author_es]],autorest[author_es],autorest[image_atr])</f>
        <v>0</v>
      </c>
    </row>
    <row r="82" spans="1:18" ht="18">
      <c r="A82">
        <v>81</v>
      </c>
      <c r="B82" t="s">
        <v>289</v>
      </c>
      <c r="C82" t="s">
        <v>290</v>
      </c>
      <c r="D82" s="3" t="s">
        <v>291</v>
      </c>
      <c r="E82" t="s">
        <v>267</v>
      </c>
      <c r="G82" t="str">
        <f>_xlfn.XLOOKUP(frasest[[#This Row],[author_es]],autorest[author_es],autorest[author_la])</f>
        <v>Proverbium Arabica</v>
      </c>
      <c r="H82" t="str">
        <f>_xlfn.XLOOKUP(frasest[[#This Row],[author_es]],autorest[author_es],autorest[bio_es])</f>
        <v>Proverbios tradicionales de la cultura árabe que transmiten valores de hospitalidad, honor, paciencia y sabiduría práctica.</v>
      </c>
      <c r="I82" t="str">
        <f>_xlfn.XLOOKUP(frasest[[#This Row],[author_es]],autorest[author_es],autorest[bio_la])</f>
        <v>Collectio sententiarum Arabicarum.</v>
      </c>
      <c r="J82" t="str">
        <f>_xlfn.XLOOKUP(frasest[[#This Row],[author_es]],autorest[author_es],autorest[iso3691])</f>
        <v>ar</v>
      </c>
      <c r="K82" t="str">
        <f>_xlfn.XLOOKUP(frasest[[#This Row],[author_es]],autorest[author_es],autorest[language_es])</f>
        <v>Árabe</v>
      </c>
      <c r="L82" t="str">
        <f>_xlfn.XLOOKUP(frasest[[#This Row],[author_es]],autorest[author_es],autorest[language_la])</f>
        <v>Lingua Arabica</v>
      </c>
      <c r="M82" t="str">
        <f>_xlfn.XLOOKUP(frasest[[#This Row],[author_es]],autorest[author_es],autorest[nation_es])</f>
        <v>Arabia Saudita</v>
      </c>
      <c r="N82" t="str">
        <f>_xlfn.XLOOKUP(frasest[[#This Row],[author_es]],autorest[author_es],autorest[nation_la])</f>
        <v>Arabia Saudita</v>
      </c>
      <c r="O82" t="str">
        <f>_xlfn.XLOOKUP(frasest[[#This Row],[author_es]],autorest[author_es],autorest[age_es])</f>
        <v>Epoca Desconocida</v>
      </c>
      <c r="P82" t="str">
        <f>_xlfn.XLOOKUP(frasest[[#This Row],[author_es]],autorest[author_es],autorest[age_la])</f>
        <v>Epocha Ignota</v>
      </c>
      <c r="Q82" t="str">
        <f>_xlfn.XLOOKUP(frasest[[#This Row],[author_es]],autorest[author_es],autorest[image])</f>
        <v>https://i.ibb.co/1fdqG2fh/arabia.png</v>
      </c>
      <c r="R82">
        <f>_xlfn.XLOOKUP(frasest[[#This Row],[author_es]],autorest[author_es],autorest[image_atr])</f>
        <v>0</v>
      </c>
    </row>
    <row r="83" spans="1:18" ht="18">
      <c r="A83">
        <v>82</v>
      </c>
      <c r="B83" t="s">
        <v>292</v>
      </c>
      <c r="C83" t="s">
        <v>293</v>
      </c>
      <c r="D83" s="3" t="s">
        <v>294</v>
      </c>
      <c r="E83" t="s">
        <v>267</v>
      </c>
      <c r="G83" t="str">
        <f>_xlfn.XLOOKUP(frasest[[#This Row],[author_es]],autorest[author_es],autorest[author_la])</f>
        <v>Proverbium Arabica</v>
      </c>
      <c r="H83" t="str">
        <f>_xlfn.XLOOKUP(frasest[[#This Row],[author_es]],autorest[author_es],autorest[bio_es])</f>
        <v>Proverbios tradicionales de la cultura árabe que transmiten valores de hospitalidad, honor, paciencia y sabiduría práctica.</v>
      </c>
      <c r="I83" t="str">
        <f>_xlfn.XLOOKUP(frasest[[#This Row],[author_es]],autorest[author_es],autorest[bio_la])</f>
        <v>Collectio sententiarum Arabicarum.</v>
      </c>
      <c r="J83" t="str">
        <f>_xlfn.XLOOKUP(frasest[[#This Row],[author_es]],autorest[author_es],autorest[iso3691])</f>
        <v>ar</v>
      </c>
      <c r="K83" t="str">
        <f>_xlfn.XLOOKUP(frasest[[#This Row],[author_es]],autorest[author_es],autorest[language_es])</f>
        <v>Árabe</v>
      </c>
      <c r="L83" t="str">
        <f>_xlfn.XLOOKUP(frasest[[#This Row],[author_es]],autorest[author_es],autorest[language_la])</f>
        <v>Lingua Arabica</v>
      </c>
      <c r="M83" t="str">
        <f>_xlfn.XLOOKUP(frasest[[#This Row],[author_es]],autorest[author_es],autorest[nation_es])</f>
        <v>Arabia Saudita</v>
      </c>
      <c r="N83" t="str">
        <f>_xlfn.XLOOKUP(frasest[[#This Row],[author_es]],autorest[author_es],autorest[nation_la])</f>
        <v>Arabia Saudita</v>
      </c>
      <c r="O83" t="str">
        <f>_xlfn.XLOOKUP(frasest[[#This Row],[author_es]],autorest[author_es],autorest[age_es])</f>
        <v>Epoca Desconocida</v>
      </c>
      <c r="P83" t="str">
        <f>_xlfn.XLOOKUP(frasest[[#This Row],[author_es]],autorest[author_es],autorest[age_la])</f>
        <v>Epocha Ignota</v>
      </c>
      <c r="Q83" t="str">
        <f>_xlfn.XLOOKUP(frasest[[#This Row],[author_es]],autorest[author_es],autorest[image])</f>
        <v>https://i.ibb.co/1fdqG2fh/arabia.png</v>
      </c>
      <c r="R83">
        <f>_xlfn.XLOOKUP(frasest[[#This Row],[author_es]],autorest[author_es],autorest[image_atr])</f>
        <v>0</v>
      </c>
    </row>
    <row r="84" spans="1:18" ht="18">
      <c r="A84">
        <v>83</v>
      </c>
      <c r="B84" t="s">
        <v>295</v>
      </c>
      <c r="C84" t="s">
        <v>296</v>
      </c>
      <c r="D84" s="3" t="s">
        <v>297</v>
      </c>
      <c r="E84" t="s">
        <v>298</v>
      </c>
      <c r="G84" t="str">
        <f>_xlfn.XLOOKUP(frasest[[#This Row],[author_es]],autorest[author_es],autorest[author_la])</f>
        <v>Proverbium Indica</v>
      </c>
      <c r="H84" t="str">
        <f>_xlfn.XLOOKUP(frasest[[#This Row],[author_es]],autorest[author_es],autorest[bio_es])</f>
        <v>Dichos tradicionales de la India que reflejan principios espirituales, filosóficos y morales influidos por el hinduismo y las tradiciones védicas.</v>
      </c>
      <c r="I84" t="str">
        <f>_xlfn.XLOOKUP(frasest[[#This Row],[author_es]],autorest[author_es],autorest[bio_la])</f>
        <v>Collectio sententiarum Indicarum.</v>
      </c>
      <c r="J84" t="str">
        <f>_xlfn.XLOOKUP(frasest[[#This Row],[author_es]],autorest[author_es],autorest[iso3691])</f>
        <v>hi</v>
      </c>
      <c r="K84" t="str">
        <f>_xlfn.XLOOKUP(frasest[[#This Row],[author_es]],autorest[author_es],autorest[language_es])</f>
        <v>Hindi</v>
      </c>
      <c r="L84" t="str">
        <f>_xlfn.XLOOKUP(frasest[[#This Row],[author_es]],autorest[author_es],autorest[language_la])</f>
        <v>Lingua Indica</v>
      </c>
      <c r="M84" t="str">
        <f>_xlfn.XLOOKUP(frasest[[#This Row],[author_es]],autorest[author_es],autorest[nation_es])</f>
        <v>India</v>
      </c>
      <c r="N84" t="str">
        <f>_xlfn.XLOOKUP(frasest[[#This Row],[author_es]],autorest[author_es],autorest[nation_la])</f>
        <v>India</v>
      </c>
      <c r="O84" t="str">
        <f>_xlfn.XLOOKUP(frasest[[#This Row],[author_es]],autorest[author_es],autorest[age_es])</f>
        <v>Epoca Desconocida</v>
      </c>
      <c r="P84" t="str">
        <f>_xlfn.XLOOKUP(frasest[[#This Row],[author_es]],autorest[author_es],autorest[age_la])</f>
        <v>Epocha Ignota</v>
      </c>
      <c r="Q84" t="str">
        <f>_xlfn.XLOOKUP(frasest[[#This Row],[author_es]],autorest[author_es],autorest[image])</f>
        <v>https://i.ibb.co/84cDNBHX/india.png</v>
      </c>
      <c r="R84">
        <f>_xlfn.XLOOKUP(frasest[[#This Row],[author_es]],autorest[author_es],autorest[image_atr])</f>
        <v>0</v>
      </c>
    </row>
    <row r="85" spans="1:18" ht="18">
      <c r="A85">
        <v>84</v>
      </c>
      <c r="B85" t="s">
        <v>299</v>
      </c>
      <c r="C85" t="s">
        <v>300</v>
      </c>
      <c r="D85" s="3" t="s">
        <v>301</v>
      </c>
      <c r="E85" t="s">
        <v>298</v>
      </c>
      <c r="G85" t="str">
        <f>_xlfn.XLOOKUP(frasest[[#This Row],[author_es]],autorest[author_es],autorest[author_la])</f>
        <v>Proverbium Indica</v>
      </c>
      <c r="H85" t="str">
        <f>_xlfn.XLOOKUP(frasest[[#This Row],[author_es]],autorest[author_es],autorest[bio_es])</f>
        <v>Dichos tradicionales de la India que reflejan principios espirituales, filosóficos y morales influidos por el hinduismo y las tradiciones védicas.</v>
      </c>
      <c r="I85" t="str">
        <f>_xlfn.XLOOKUP(frasest[[#This Row],[author_es]],autorest[author_es],autorest[bio_la])</f>
        <v>Collectio sententiarum Indicarum.</v>
      </c>
      <c r="J85" t="str">
        <f>_xlfn.XLOOKUP(frasest[[#This Row],[author_es]],autorest[author_es],autorest[iso3691])</f>
        <v>hi</v>
      </c>
      <c r="K85" t="str">
        <f>_xlfn.XLOOKUP(frasest[[#This Row],[author_es]],autorest[author_es],autorest[language_es])</f>
        <v>Hindi</v>
      </c>
      <c r="L85" t="str">
        <f>_xlfn.XLOOKUP(frasest[[#This Row],[author_es]],autorest[author_es],autorest[language_la])</f>
        <v>Lingua Indica</v>
      </c>
      <c r="M85" t="str">
        <f>_xlfn.XLOOKUP(frasest[[#This Row],[author_es]],autorest[author_es],autorest[nation_es])</f>
        <v>India</v>
      </c>
      <c r="N85" t="str">
        <f>_xlfn.XLOOKUP(frasest[[#This Row],[author_es]],autorest[author_es],autorest[nation_la])</f>
        <v>India</v>
      </c>
      <c r="O85" t="str">
        <f>_xlfn.XLOOKUP(frasest[[#This Row],[author_es]],autorest[author_es],autorest[age_es])</f>
        <v>Epoca Desconocida</v>
      </c>
      <c r="P85" t="str">
        <f>_xlfn.XLOOKUP(frasest[[#This Row],[author_es]],autorest[author_es],autorest[age_la])</f>
        <v>Epocha Ignota</v>
      </c>
      <c r="Q85" t="str">
        <f>_xlfn.XLOOKUP(frasest[[#This Row],[author_es]],autorest[author_es],autorest[image])</f>
        <v>https://i.ibb.co/84cDNBHX/india.png</v>
      </c>
      <c r="R85">
        <f>_xlfn.XLOOKUP(frasest[[#This Row],[author_es]],autorest[author_es],autorest[image_atr])</f>
        <v>0</v>
      </c>
    </row>
    <row r="86" spans="1:18" ht="18">
      <c r="A86">
        <v>85</v>
      </c>
      <c r="B86" t="s">
        <v>302</v>
      </c>
      <c r="C86" t="s">
        <v>303</v>
      </c>
      <c r="D86" s="3" t="s">
        <v>304</v>
      </c>
      <c r="E86" t="s">
        <v>298</v>
      </c>
      <c r="G86" t="str">
        <f>_xlfn.XLOOKUP(frasest[[#This Row],[author_es]],autorest[author_es],autorest[author_la])</f>
        <v>Proverbium Indica</v>
      </c>
      <c r="H86" t="str">
        <f>_xlfn.XLOOKUP(frasest[[#This Row],[author_es]],autorest[author_es],autorest[bio_es])</f>
        <v>Dichos tradicionales de la India que reflejan principios espirituales, filosóficos y morales influidos por el hinduismo y las tradiciones védicas.</v>
      </c>
      <c r="I86" t="str">
        <f>_xlfn.XLOOKUP(frasest[[#This Row],[author_es]],autorest[author_es],autorest[bio_la])</f>
        <v>Collectio sententiarum Indicarum.</v>
      </c>
      <c r="J86" t="str">
        <f>_xlfn.XLOOKUP(frasest[[#This Row],[author_es]],autorest[author_es],autorest[iso3691])</f>
        <v>hi</v>
      </c>
      <c r="K86" t="str">
        <f>_xlfn.XLOOKUP(frasest[[#This Row],[author_es]],autorest[author_es],autorest[language_es])</f>
        <v>Hindi</v>
      </c>
      <c r="L86" t="str">
        <f>_xlfn.XLOOKUP(frasest[[#This Row],[author_es]],autorest[author_es],autorest[language_la])</f>
        <v>Lingua Indica</v>
      </c>
      <c r="M86" t="str">
        <f>_xlfn.XLOOKUP(frasest[[#This Row],[author_es]],autorest[author_es],autorest[nation_es])</f>
        <v>India</v>
      </c>
      <c r="N86" t="str">
        <f>_xlfn.XLOOKUP(frasest[[#This Row],[author_es]],autorest[author_es],autorest[nation_la])</f>
        <v>India</v>
      </c>
      <c r="O86" t="str">
        <f>_xlfn.XLOOKUP(frasest[[#This Row],[author_es]],autorest[author_es],autorest[age_es])</f>
        <v>Epoca Desconocida</v>
      </c>
      <c r="P86" t="str">
        <f>_xlfn.XLOOKUP(frasest[[#This Row],[author_es]],autorest[author_es],autorest[age_la])</f>
        <v>Epocha Ignota</v>
      </c>
      <c r="Q86" t="str">
        <f>_xlfn.XLOOKUP(frasest[[#This Row],[author_es]],autorest[author_es],autorest[image])</f>
        <v>https://i.ibb.co/84cDNBHX/india.png</v>
      </c>
      <c r="R86">
        <f>_xlfn.XLOOKUP(frasest[[#This Row],[author_es]],autorest[author_es],autorest[image_atr])</f>
        <v>0</v>
      </c>
    </row>
    <row r="87" spans="1:18" ht="18">
      <c r="A87">
        <v>86</v>
      </c>
      <c r="B87" t="s">
        <v>305</v>
      </c>
      <c r="C87" t="s">
        <v>306</v>
      </c>
      <c r="D87" s="3" t="s">
        <v>307</v>
      </c>
      <c r="E87" t="s">
        <v>298</v>
      </c>
      <c r="G87" t="str">
        <f>_xlfn.XLOOKUP(frasest[[#This Row],[author_es]],autorest[author_es],autorest[author_la])</f>
        <v>Proverbium Indica</v>
      </c>
      <c r="H87" t="str">
        <f>_xlfn.XLOOKUP(frasest[[#This Row],[author_es]],autorest[author_es],autorest[bio_es])</f>
        <v>Dichos tradicionales de la India que reflejan principios espirituales, filosóficos y morales influidos por el hinduismo y las tradiciones védicas.</v>
      </c>
      <c r="I87" t="str">
        <f>_xlfn.XLOOKUP(frasest[[#This Row],[author_es]],autorest[author_es],autorest[bio_la])</f>
        <v>Collectio sententiarum Indicarum.</v>
      </c>
      <c r="J87" t="str">
        <f>_xlfn.XLOOKUP(frasest[[#This Row],[author_es]],autorest[author_es],autorest[iso3691])</f>
        <v>hi</v>
      </c>
      <c r="K87" t="str">
        <f>_xlfn.XLOOKUP(frasest[[#This Row],[author_es]],autorest[author_es],autorest[language_es])</f>
        <v>Hindi</v>
      </c>
      <c r="L87" t="str">
        <f>_xlfn.XLOOKUP(frasest[[#This Row],[author_es]],autorest[author_es],autorest[language_la])</f>
        <v>Lingua Indica</v>
      </c>
      <c r="M87" t="str">
        <f>_xlfn.XLOOKUP(frasest[[#This Row],[author_es]],autorest[author_es],autorest[nation_es])</f>
        <v>India</v>
      </c>
      <c r="N87" t="str">
        <f>_xlfn.XLOOKUP(frasest[[#This Row],[author_es]],autorest[author_es],autorest[nation_la])</f>
        <v>India</v>
      </c>
      <c r="O87" t="str">
        <f>_xlfn.XLOOKUP(frasest[[#This Row],[author_es]],autorest[author_es],autorest[age_es])</f>
        <v>Epoca Desconocida</v>
      </c>
      <c r="P87" t="str">
        <f>_xlfn.XLOOKUP(frasest[[#This Row],[author_es]],autorest[author_es],autorest[age_la])</f>
        <v>Epocha Ignota</v>
      </c>
      <c r="Q87" t="str">
        <f>_xlfn.XLOOKUP(frasest[[#This Row],[author_es]],autorest[author_es],autorest[image])</f>
        <v>https://i.ibb.co/84cDNBHX/india.png</v>
      </c>
      <c r="R87">
        <f>_xlfn.XLOOKUP(frasest[[#This Row],[author_es]],autorest[author_es],autorest[image_atr])</f>
        <v>0</v>
      </c>
    </row>
    <row r="88" spans="1:18" ht="18">
      <c r="A88">
        <v>87</v>
      </c>
      <c r="B88" t="s">
        <v>308</v>
      </c>
      <c r="C88" t="s">
        <v>309</v>
      </c>
      <c r="D88" s="3" t="s">
        <v>310</v>
      </c>
      <c r="E88" t="s">
        <v>298</v>
      </c>
      <c r="G88" t="str">
        <f>_xlfn.XLOOKUP(frasest[[#This Row],[author_es]],autorest[author_es],autorest[author_la])</f>
        <v>Proverbium Indica</v>
      </c>
      <c r="H88" t="str">
        <f>_xlfn.XLOOKUP(frasest[[#This Row],[author_es]],autorest[author_es],autorest[bio_es])</f>
        <v>Dichos tradicionales de la India que reflejan principios espirituales, filosóficos y morales influidos por el hinduismo y las tradiciones védicas.</v>
      </c>
      <c r="I88" t="str">
        <f>_xlfn.XLOOKUP(frasest[[#This Row],[author_es]],autorest[author_es],autorest[bio_la])</f>
        <v>Collectio sententiarum Indicarum.</v>
      </c>
      <c r="J88" t="str">
        <f>_xlfn.XLOOKUP(frasest[[#This Row],[author_es]],autorest[author_es],autorest[iso3691])</f>
        <v>hi</v>
      </c>
      <c r="K88" t="str">
        <f>_xlfn.XLOOKUP(frasest[[#This Row],[author_es]],autorest[author_es],autorest[language_es])</f>
        <v>Hindi</v>
      </c>
      <c r="L88" t="str">
        <f>_xlfn.XLOOKUP(frasest[[#This Row],[author_es]],autorest[author_es],autorest[language_la])</f>
        <v>Lingua Indica</v>
      </c>
      <c r="M88" t="str">
        <f>_xlfn.XLOOKUP(frasest[[#This Row],[author_es]],autorest[author_es],autorest[nation_es])</f>
        <v>India</v>
      </c>
      <c r="N88" t="str">
        <f>_xlfn.XLOOKUP(frasest[[#This Row],[author_es]],autorest[author_es],autorest[nation_la])</f>
        <v>India</v>
      </c>
      <c r="O88" t="str">
        <f>_xlfn.XLOOKUP(frasest[[#This Row],[author_es]],autorest[author_es],autorest[age_es])</f>
        <v>Epoca Desconocida</v>
      </c>
      <c r="P88" t="str">
        <f>_xlfn.XLOOKUP(frasest[[#This Row],[author_es]],autorest[author_es],autorest[age_la])</f>
        <v>Epocha Ignota</v>
      </c>
      <c r="Q88" t="str">
        <f>_xlfn.XLOOKUP(frasest[[#This Row],[author_es]],autorest[author_es],autorest[image])</f>
        <v>https://i.ibb.co/84cDNBHX/india.png</v>
      </c>
      <c r="R88">
        <f>_xlfn.XLOOKUP(frasest[[#This Row],[author_es]],autorest[author_es],autorest[image_atr])</f>
        <v>0</v>
      </c>
    </row>
    <row r="89" spans="1:18" ht="18">
      <c r="A89">
        <v>88</v>
      </c>
      <c r="B89" t="s">
        <v>311</v>
      </c>
      <c r="C89" t="s">
        <v>312</v>
      </c>
      <c r="D89" s="3" t="s">
        <v>313</v>
      </c>
      <c r="E89" t="s">
        <v>298</v>
      </c>
      <c r="G89" t="str">
        <f>_xlfn.XLOOKUP(frasest[[#This Row],[author_es]],autorest[author_es],autorest[author_la])</f>
        <v>Proverbium Indica</v>
      </c>
      <c r="H89" t="str">
        <f>_xlfn.XLOOKUP(frasest[[#This Row],[author_es]],autorest[author_es],autorest[bio_es])</f>
        <v>Dichos tradicionales de la India que reflejan principios espirituales, filosóficos y morales influidos por el hinduismo y las tradiciones védicas.</v>
      </c>
      <c r="I89" t="str">
        <f>_xlfn.XLOOKUP(frasest[[#This Row],[author_es]],autorest[author_es],autorest[bio_la])</f>
        <v>Collectio sententiarum Indicarum.</v>
      </c>
      <c r="J89" t="str">
        <f>_xlfn.XLOOKUP(frasest[[#This Row],[author_es]],autorest[author_es],autorest[iso3691])</f>
        <v>hi</v>
      </c>
      <c r="K89" t="str">
        <f>_xlfn.XLOOKUP(frasest[[#This Row],[author_es]],autorest[author_es],autorest[language_es])</f>
        <v>Hindi</v>
      </c>
      <c r="L89" t="str">
        <f>_xlfn.XLOOKUP(frasest[[#This Row],[author_es]],autorest[author_es],autorest[language_la])</f>
        <v>Lingua Indica</v>
      </c>
      <c r="M89" t="str">
        <f>_xlfn.XLOOKUP(frasest[[#This Row],[author_es]],autorest[author_es],autorest[nation_es])</f>
        <v>India</v>
      </c>
      <c r="N89" t="str">
        <f>_xlfn.XLOOKUP(frasest[[#This Row],[author_es]],autorest[author_es],autorest[nation_la])</f>
        <v>India</v>
      </c>
      <c r="O89" t="str">
        <f>_xlfn.XLOOKUP(frasest[[#This Row],[author_es]],autorest[author_es],autorest[age_es])</f>
        <v>Epoca Desconocida</v>
      </c>
      <c r="P89" t="str">
        <f>_xlfn.XLOOKUP(frasest[[#This Row],[author_es]],autorest[author_es],autorest[age_la])</f>
        <v>Epocha Ignota</v>
      </c>
      <c r="Q89" t="str">
        <f>_xlfn.XLOOKUP(frasest[[#This Row],[author_es]],autorest[author_es],autorest[image])</f>
        <v>https://i.ibb.co/84cDNBHX/india.png</v>
      </c>
      <c r="R89">
        <f>_xlfn.XLOOKUP(frasest[[#This Row],[author_es]],autorest[author_es],autorest[image_atr])</f>
        <v>0</v>
      </c>
    </row>
    <row r="90" spans="1:18" ht="18">
      <c r="A90">
        <v>89</v>
      </c>
      <c r="B90" t="s">
        <v>314</v>
      </c>
      <c r="C90" t="s">
        <v>315</v>
      </c>
      <c r="D90" s="3" t="s">
        <v>316</v>
      </c>
      <c r="E90" t="s">
        <v>298</v>
      </c>
      <c r="G90" t="str">
        <f>_xlfn.XLOOKUP(frasest[[#This Row],[author_es]],autorest[author_es],autorest[author_la])</f>
        <v>Proverbium Indica</v>
      </c>
      <c r="H90" t="str">
        <f>_xlfn.XLOOKUP(frasest[[#This Row],[author_es]],autorest[author_es],autorest[bio_es])</f>
        <v>Dichos tradicionales de la India que reflejan principios espirituales, filosóficos y morales influidos por el hinduismo y las tradiciones védicas.</v>
      </c>
      <c r="I90" t="str">
        <f>_xlfn.XLOOKUP(frasest[[#This Row],[author_es]],autorest[author_es],autorest[bio_la])</f>
        <v>Collectio sententiarum Indicarum.</v>
      </c>
      <c r="J90" t="str">
        <f>_xlfn.XLOOKUP(frasest[[#This Row],[author_es]],autorest[author_es],autorest[iso3691])</f>
        <v>hi</v>
      </c>
      <c r="K90" t="str">
        <f>_xlfn.XLOOKUP(frasest[[#This Row],[author_es]],autorest[author_es],autorest[language_es])</f>
        <v>Hindi</v>
      </c>
      <c r="L90" t="str">
        <f>_xlfn.XLOOKUP(frasest[[#This Row],[author_es]],autorest[author_es],autorest[language_la])</f>
        <v>Lingua Indica</v>
      </c>
      <c r="M90" t="str">
        <f>_xlfn.XLOOKUP(frasest[[#This Row],[author_es]],autorest[author_es],autorest[nation_es])</f>
        <v>India</v>
      </c>
      <c r="N90" t="str">
        <f>_xlfn.XLOOKUP(frasest[[#This Row],[author_es]],autorest[author_es],autorest[nation_la])</f>
        <v>India</v>
      </c>
      <c r="O90" t="str">
        <f>_xlfn.XLOOKUP(frasest[[#This Row],[author_es]],autorest[author_es],autorest[age_es])</f>
        <v>Epoca Desconocida</v>
      </c>
      <c r="P90" t="str">
        <f>_xlfn.XLOOKUP(frasest[[#This Row],[author_es]],autorest[author_es],autorest[age_la])</f>
        <v>Epocha Ignota</v>
      </c>
      <c r="Q90" t="str">
        <f>_xlfn.XLOOKUP(frasest[[#This Row],[author_es]],autorest[author_es],autorest[image])</f>
        <v>https://i.ibb.co/84cDNBHX/india.png</v>
      </c>
      <c r="R90">
        <f>_xlfn.XLOOKUP(frasest[[#This Row],[author_es]],autorest[author_es],autorest[image_atr])</f>
        <v>0</v>
      </c>
    </row>
    <row r="91" spans="1:18" ht="18">
      <c r="A91">
        <v>90</v>
      </c>
      <c r="B91" t="s">
        <v>317</v>
      </c>
      <c r="C91" t="s">
        <v>318</v>
      </c>
      <c r="D91" s="3" t="s">
        <v>319</v>
      </c>
      <c r="E91" t="s">
        <v>298</v>
      </c>
      <c r="G91" t="str">
        <f>_xlfn.XLOOKUP(frasest[[#This Row],[author_es]],autorest[author_es],autorest[author_la])</f>
        <v>Proverbium Indica</v>
      </c>
      <c r="H91" t="str">
        <f>_xlfn.XLOOKUP(frasest[[#This Row],[author_es]],autorest[author_es],autorest[bio_es])</f>
        <v>Dichos tradicionales de la India que reflejan principios espirituales, filosóficos y morales influidos por el hinduismo y las tradiciones védicas.</v>
      </c>
      <c r="I91" t="str">
        <f>_xlfn.XLOOKUP(frasest[[#This Row],[author_es]],autorest[author_es],autorest[bio_la])</f>
        <v>Collectio sententiarum Indicarum.</v>
      </c>
      <c r="J91" t="str">
        <f>_xlfn.XLOOKUP(frasest[[#This Row],[author_es]],autorest[author_es],autorest[iso3691])</f>
        <v>hi</v>
      </c>
      <c r="K91" t="str">
        <f>_xlfn.XLOOKUP(frasest[[#This Row],[author_es]],autorest[author_es],autorest[language_es])</f>
        <v>Hindi</v>
      </c>
      <c r="L91" t="str">
        <f>_xlfn.XLOOKUP(frasest[[#This Row],[author_es]],autorest[author_es],autorest[language_la])</f>
        <v>Lingua Indica</v>
      </c>
      <c r="M91" t="str">
        <f>_xlfn.XLOOKUP(frasest[[#This Row],[author_es]],autorest[author_es],autorest[nation_es])</f>
        <v>India</v>
      </c>
      <c r="N91" t="str">
        <f>_xlfn.XLOOKUP(frasest[[#This Row],[author_es]],autorest[author_es],autorest[nation_la])</f>
        <v>India</v>
      </c>
      <c r="O91" t="str">
        <f>_xlfn.XLOOKUP(frasest[[#This Row],[author_es]],autorest[author_es],autorest[age_es])</f>
        <v>Epoca Desconocida</v>
      </c>
      <c r="P91" t="str">
        <f>_xlfn.XLOOKUP(frasest[[#This Row],[author_es]],autorest[author_es],autorest[age_la])</f>
        <v>Epocha Ignota</v>
      </c>
      <c r="Q91" t="str">
        <f>_xlfn.XLOOKUP(frasest[[#This Row],[author_es]],autorest[author_es],autorest[image])</f>
        <v>https://i.ibb.co/84cDNBHX/india.png</v>
      </c>
      <c r="R91">
        <f>_xlfn.XLOOKUP(frasest[[#This Row],[author_es]],autorest[author_es],autorest[image_atr])</f>
        <v>0</v>
      </c>
    </row>
    <row r="92" spans="1:18" ht="18">
      <c r="A92">
        <v>91</v>
      </c>
      <c r="B92" t="s">
        <v>320</v>
      </c>
      <c r="C92" t="s">
        <v>321</v>
      </c>
      <c r="D92" s="3" t="s">
        <v>322</v>
      </c>
      <c r="E92" t="s">
        <v>298</v>
      </c>
      <c r="G92" t="str">
        <f>_xlfn.XLOOKUP(frasest[[#This Row],[author_es]],autorest[author_es],autorest[author_la])</f>
        <v>Proverbium Indica</v>
      </c>
      <c r="H92" t="str">
        <f>_xlfn.XLOOKUP(frasest[[#This Row],[author_es]],autorest[author_es],autorest[bio_es])</f>
        <v>Dichos tradicionales de la India que reflejan principios espirituales, filosóficos y morales influidos por el hinduismo y las tradiciones védicas.</v>
      </c>
      <c r="I92" t="str">
        <f>_xlfn.XLOOKUP(frasest[[#This Row],[author_es]],autorest[author_es],autorest[bio_la])</f>
        <v>Collectio sententiarum Indicarum.</v>
      </c>
      <c r="J92" t="str">
        <f>_xlfn.XLOOKUP(frasest[[#This Row],[author_es]],autorest[author_es],autorest[iso3691])</f>
        <v>hi</v>
      </c>
      <c r="K92" t="str">
        <f>_xlfn.XLOOKUP(frasest[[#This Row],[author_es]],autorest[author_es],autorest[language_es])</f>
        <v>Hindi</v>
      </c>
      <c r="L92" t="str">
        <f>_xlfn.XLOOKUP(frasest[[#This Row],[author_es]],autorest[author_es],autorest[language_la])</f>
        <v>Lingua Indica</v>
      </c>
      <c r="M92" t="str">
        <f>_xlfn.XLOOKUP(frasest[[#This Row],[author_es]],autorest[author_es],autorest[nation_es])</f>
        <v>India</v>
      </c>
      <c r="N92" t="str">
        <f>_xlfn.XLOOKUP(frasest[[#This Row],[author_es]],autorest[author_es],autorest[nation_la])</f>
        <v>India</v>
      </c>
      <c r="O92" t="str">
        <f>_xlfn.XLOOKUP(frasest[[#This Row],[author_es]],autorest[author_es],autorest[age_es])</f>
        <v>Epoca Desconocida</v>
      </c>
      <c r="P92" t="str">
        <f>_xlfn.XLOOKUP(frasest[[#This Row],[author_es]],autorest[author_es],autorest[age_la])</f>
        <v>Epocha Ignota</v>
      </c>
      <c r="Q92" t="str">
        <f>_xlfn.XLOOKUP(frasest[[#This Row],[author_es]],autorest[author_es],autorest[image])</f>
        <v>https://i.ibb.co/84cDNBHX/india.png</v>
      </c>
      <c r="R92">
        <f>_xlfn.XLOOKUP(frasest[[#This Row],[author_es]],autorest[author_es],autorest[image_atr])</f>
        <v>0</v>
      </c>
    </row>
    <row r="93" spans="1:18" ht="18">
      <c r="A93">
        <v>92</v>
      </c>
      <c r="B93" t="s">
        <v>323</v>
      </c>
      <c r="C93" t="s">
        <v>324</v>
      </c>
      <c r="D93" s="3" t="s">
        <v>325</v>
      </c>
      <c r="E93" t="s">
        <v>298</v>
      </c>
      <c r="G93" t="str">
        <f>_xlfn.XLOOKUP(frasest[[#This Row],[author_es]],autorest[author_es],autorest[author_la])</f>
        <v>Proverbium Indica</v>
      </c>
      <c r="H93" t="str">
        <f>_xlfn.XLOOKUP(frasest[[#This Row],[author_es]],autorest[author_es],autorest[bio_es])</f>
        <v>Dichos tradicionales de la India que reflejan principios espirituales, filosóficos y morales influidos por el hinduismo y las tradiciones védicas.</v>
      </c>
      <c r="I93" t="str">
        <f>_xlfn.XLOOKUP(frasest[[#This Row],[author_es]],autorest[author_es],autorest[bio_la])</f>
        <v>Collectio sententiarum Indicarum.</v>
      </c>
      <c r="J93" t="str">
        <f>_xlfn.XLOOKUP(frasest[[#This Row],[author_es]],autorest[author_es],autorest[iso3691])</f>
        <v>hi</v>
      </c>
      <c r="K93" t="str">
        <f>_xlfn.XLOOKUP(frasest[[#This Row],[author_es]],autorest[author_es],autorest[language_es])</f>
        <v>Hindi</v>
      </c>
      <c r="L93" t="str">
        <f>_xlfn.XLOOKUP(frasest[[#This Row],[author_es]],autorest[author_es],autorest[language_la])</f>
        <v>Lingua Indica</v>
      </c>
      <c r="M93" t="str">
        <f>_xlfn.XLOOKUP(frasest[[#This Row],[author_es]],autorest[author_es],autorest[nation_es])</f>
        <v>India</v>
      </c>
      <c r="N93" t="str">
        <f>_xlfn.XLOOKUP(frasest[[#This Row],[author_es]],autorest[author_es],autorest[nation_la])</f>
        <v>India</v>
      </c>
      <c r="O93" t="str">
        <f>_xlfn.XLOOKUP(frasest[[#This Row],[author_es]],autorest[author_es],autorest[age_es])</f>
        <v>Epoca Desconocida</v>
      </c>
      <c r="P93" t="str">
        <f>_xlfn.XLOOKUP(frasest[[#This Row],[author_es]],autorest[author_es],autorest[age_la])</f>
        <v>Epocha Ignota</v>
      </c>
      <c r="Q93" t="str">
        <f>_xlfn.XLOOKUP(frasest[[#This Row],[author_es]],autorest[author_es],autorest[image])</f>
        <v>https://i.ibb.co/84cDNBHX/india.png</v>
      </c>
      <c r="R93">
        <f>_xlfn.XLOOKUP(frasest[[#This Row],[author_es]],autorest[author_es],autorest[image_atr])</f>
        <v>0</v>
      </c>
    </row>
    <row r="94" spans="1:18">
      <c r="A94">
        <v>93</v>
      </c>
      <c r="B94" t="s">
        <v>326</v>
      </c>
      <c r="C94" t="s">
        <v>327</v>
      </c>
      <c r="D94" t="s">
        <v>328</v>
      </c>
      <c r="E94" t="s">
        <v>329</v>
      </c>
      <c r="F94" t="s">
        <v>330</v>
      </c>
      <c r="G94" t="str">
        <f>_xlfn.XLOOKUP(frasest[[#This Row],[author_es]],autorest[author_es],autorest[author_la])</f>
        <v>Oswaldus Spengler</v>
      </c>
      <c r="H94" t="str">
        <f>_xlfn.XLOOKUP(frasest[[#This Row],[author_es]],autorest[author_es],autorest[bio_es])</f>
        <v>Filósofo e historiador alemán, autor de "La decadencia de Occidente".</v>
      </c>
      <c r="I94" t="str">
        <f>_xlfn.XLOOKUP(frasest[[#This Row],[author_es]],autorest[author_es],autorest[bio_la])</f>
        <v>Philosophus et historicus Germanicus, auctor "Occidentis Decadentia".</v>
      </c>
      <c r="J94" t="str">
        <f>_xlfn.XLOOKUP(frasest[[#This Row],[author_es]],autorest[author_es],autorest[iso3691])</f>
        <v>de</v>
      </c>
      <c r="K94" t="str">
        <f>_xlfn.XLOOKUP(frasest[[#This Row],[author_es]],autorest[author_es],autorest[language_es])</f>
        <v>Alemán</v>
      </c>
      <c r="L94" t="str">
        <f>_xlfn.XLOOKUP(frasest[[#This Row],[author_es]],autorest[author_es],autorest[language_la])</f>
        <v>Lingua Germanica</v>
      </c>
      <c r="M94" t="str">
        <f>_xlfn.XLOOKUP(frasest[[#This Row],[author_es]],autorest[author_es],autorest[nation_es])</f>
        <v>Alemania</v>
      </c>
      <c r="N94" t="str">
        <f>_xlfn.XLOOKUP(frasest[[#This Row],[author_es]],autorest[author_es],autorest[nation_la])</f>
        <v>Germania</v>
      </c>
      <c r="O94" t="str">
        <f>_xlfn.XLOOKUP(frasest[[#This Row],[author_es]],autorest[author_es],autorest[age_es])</f>
        <v>Edad Contemporánea</v>
      </c>
      <c r="P94" t="str">
        <f>_xlfn.XLOOKUP(frasest[[#This Row],[author_es]],autorest[author_es],autorest[age_la])</f>
        <v>Aetas Contemporanea</v>
      </c>
      <c r="Q94" t="str">
        <f>_xlfn.XLOOKUP(frasest[[#This Row],[author_es]],autorest[author_es],autorest[image])</f>
        <v>https://i.ibb.co/jFsMGCC/spengler.png</v>
      </c>
      <c r="R94">
        <f>_xlfn.XLOOKUP(frasest[[#This Row],[author_es]],autorest[author_es],autorest[image_atr])</f>
        <v>0</v>
      </c>
    </row>
    <row r="95" spans="1:18">
      <c r="A95">
        <v>94</v>
      </c>
      <c r="B95" t="s">
        <v>331</v>
      </c>
      <c r="C95" t="s">
        <v>332</v>
      </c>
      <c r="D95" t="s">
        <v>333</v>
      </c>
      <c r="E95" t="s">
        <v>329</v>
      </c>
      <c r="F95" t="s">
        <v>330</v>
      </c>
      <c r="G95" t="str">
        <f>_xlfn.XLOOKUP(frasest[[#This Row],[author_es]],autorest[author_es],autorest[author_la])</f>
        <v>Oswaldus Spengler</v>
      </c>
      <c r="H95" t="str">
        <f>_xlfn.XLOOKUP(frasest[[#This Row],[author_es]],autorest[author_es],autorest[bio_es])</f>
        <v>Filósofo e historiador alemán, autor de "La decadencia de Occidente".</v>
      </c>
      <c r="I95" t="str">
        <f>_xlfn.XLOOKUP(frasest[[#This Row],[author_es]],autorest[author_es],autorest[bio_la])</f>
        <v>Philosophus et historicus Germanicus, auctor "Occidentis Decadentia".</v>
      </c>
      <c r="J95" t="str">
        <f>_xlfn.XLOOKUP(frasest[[#This Row],[author_es]],autorest[author_es],autorest[iso3691])</f>
        <v>de</v>
      </c>
      <c r="K95" t="str">
        <f>_xlfn.XLOOKUP(frasest[[#This Row],[author_es]],autorest[author_es],autorest[language_es])</f>
        <v>Alemán</v>
      </c>
      <c r="L95" t="str">
        <f>_xlfn.XLOOKUP(frasest[[#This Row],[author_es]],autorest[author_es],autorest[language_la])</f>
        <v>Lingua Germanica</v>
      </c>
      <c r="M95" t="str">
        <f>_xlfn.XLOOKUP(frasest[[#This Row],[author_es]],autorest[author_es],autorest[nation_es])</f>
        <v>Alemania</v>
      </c>
      <c r="N95" t="str">
        <f>_xlfn.XLOOKUP(frasest[[#This Row],[author_es]],autorest[author_es],autorest[nation_la])</f>
        <v>Germania</v>
      </c>
      <c r="O95" t="str">
        <f>_xlfn.XLOOKUP(frasest[[#This Row],[author_es]],autorest[author_es],autorest[age_es])</f>
        <v>Edad Contemporánea</v>
      </c>
      <c r="P95" t="str">
        <f>_xlfn.XLOOKUP(frasest[[#This Row],[author_es]],autorest[author_es],autorest[age_la])</f>
        <v>Aetas Contemporanea</v>
      </c>
      <c r="Q95" t="str">
        <f>_xlfn.XLOOKUP(frasest[[#This Row],[author_es]],autorest[author_es],autorest[image])</f>
        <v>https://i.ibb.co/jFsMGCC/spengler.png</v>
      </c>
      <c r="R95">
        <f>_xlfn.XLOOKUP(frasest[[#This Row],[author_es]],autorest[author_es],autorest[image_atr])</f>
        <v>0</v>
      </c>
    </row>
    <row r="96" spans="1:18">
      <c r="A96">
        <v>95</v>
      </c>
      <c r="B96" t="s">
        <v>334</v>
      </c>
      <c r="C96" t="s">
        <v>335</v>
      </c>
      <c r="D96" t="s">
        <v>336</v>
      </c>
      <c r="E96" t="s">
        <v>329</v>
      </c>
      <c r="F96" t="s">
        <v>330</v>
      </c>
      <c r="G96" t="str">
        <f>_xlfn.XLOOKUP(frasest[[#This Row],[author_es]],autorest[author_es],autorest[author_la])</f>
        <v>Oswaldus Spengler</v>
      </c>
      <c r="H96" t="str">
        <f>_xlfn.XLOOKUP(frasest[[#This Row],[author_es]],autorest[author_es],autorest[bio_es])</f>
        <v>Filósofo e historiador alemán, autor de "La decadencia de Occidente".</v>
      </c>
      <c r="I96" t="str">
        <f>_xlfn.XLOOKUP(frasest[[#This Row],[author_es]],autorest[author_es],autorest[bio_la])</f>
        <v>Philosophus et historicus Germanicus, auctor "Occidentis Decadentia".</v>
      </c>
      <c r="J96" t="str">
        <f>_xlfn.XLOOKUP(frasest[[#This Row],[author_es]],autorest[author_es],autorest[iso3691])</f>
        <v>de</v>
      </c>
      <c r="K96" t="str">
        <f>_xlfn.XLOOKUP(frasest[[#This Row],[author_es]],autorest[author_es],autorest[language_es])</f>
        <v>Alemán</v>
      </c>
      <c r="L96" t="str">
        <f>_xlfn.XLOOKUP(frasest[[#This Row],[author_es]],autorest[author_es],autorest[language_la])</f>
        <v>Lingua Germanica</v>
      </c>
      <c r="M96" t="str">
        <f>_xlfn.XLOOKUP(frasest[[#This Row],[author_es]],autorest[author_es],autorest[nation_es])</f>
        <v>Alemania</v>
      </c>
      <c r="N96" t="str">
        <f>_xlfn.XLOOKUP(frasest[[#This Row],[author_es]],autorest[author_es],autorest[nation_la])</f>
        <v>Germania</v>
      </c>
      <c r="O96" t="str">
        <f>_xlfn.XLOOKUP(frasest[[#This Row],[author_es]],autorest[author_es],autorest[age_es])</f>
        <v>Edad Contemporánea</v>
      </c>
      <c r="P96" t="str">
        <f>_xlfn.XLOOKUP(frasest[[#This Row],[author_es]],autorest[author_es],autorest[age_la])</f>
        <v>Aetas Contemporanea</v>
      </c>
      <c r="Q96" t="str">
        <f>_xlfn.XLOOKUP(frasest[[#This Row],[author_es]],autorest[author_es],autorest[image])</f>
        <v>https://i.ibb.co/jFsMGCC/spengler.png</v>
      </c>
      <c r="R96">
        <f>_xlfn.XLOOKUP(frasest[[#This Row],[author_es]],autorest[author_es],autorest[image_atr])</f>
        <v>0</v>
      </c>
    </row>
    <row r="97" spans="1:18">
      <c r="A97">
        <v>96</v>
      </c>
      <c r="B97" t="s">
        <v>337</v>
      </c>
      <c r="C97" t="s">
        <v>338</v>
      </c>
      <c r="D97" t="s">
        <v>339</v>
      </c>
      <c r="E97" t="s">
        <v>329</v>
      </c>
      <c r="F97" t="s">
        <v>340</v>
      </c>
      <c r="G97" t="str">
        <f>_xlfn.XLOOKUP(frasest[[#This Row],[author_es]],autorest[author_es],autorest[author_la])</f>
        <v>Oswaldus Spengler</v>
      </c>
      <c r="H97" t="str">
        <f>_xlfn.XLOOKUP(frasest[[#This Row],[author_es]],autorest[author_es],autorest[bio_es])</f>
        <v>Filósofo e historiador alemán, autor de "La decadencia de Occidente".</v>
      </c>
      <c r="I97" t="str">
        <f>_xlfn.XLOOKUP(frasest[[#This Row],[author_es]],autorest[author_es],autorest[bio_la])</f>
        <v>Philosophus et historicus Germanicus, auctor "Occidentis Decadentia".</v>
      </c>
      <c r="J97" t="str">
        <f>_xlfn.XLOOKUP(frasest[[#This Row],[author_es]],autorest[author_es],autorest[iso3691])</f>
        <v>de</v>
      </c>
      <c r="K97" t="str">
        <f>_xlfn.XLOOKUP(frasest[[#This Row],[author_es]],autorest[author_es],autorest[language_es])</f>
        <v>Alemán</v>
      </c>
      <c r="L97" t="str">
        <f>_xlfn.XLOOKUP(frasest[[#This Row],[author_es]],autorest[author_es],autorest[language_la])</f>
        <v>Lingua Germanica</v>
      </c>
      <c r="M97" t="str">
        <f>_xlfn.XLOOKUP(frasest[[#This Row],[author_es]],autorest[author_es],autorest[nation_es])</f>
        <v>Alemania</v>
      </c>
      <c r="N97" t="str">
        <f>_xlfn.XLOOKUP(frasest[[#This Row],[author_es]],autorest[author_es],autorest[nation_la])</f>
        <v>Germania</v>
      </c>
      <c r="O97" t="str">
        <f>_xlfn.XLOOKUP(frasest[[#This Row],[author_es]],autorest[author_es],autorest[age_es])</f>
        <v>Edad Contemporánea</v>
      </c>
      <c r="P97" t="str">
        <f>_xlfn.XLOOKUP(frasest[[#This Row],[author_es]],autorest[author_es],autorest[age_la])</f>
        <v>Aetas Contemporanea</v>
      </c>
      <c r="Q97" t="str">
        <f>_xlfn.XLOOKUP(frasest[[#This Row],[author_es]],autorest[author_es],autorest[image])</f>
        <v>https://i.ibb.co/jFsMGCC/spengler.png</v>
      </c>
      <c r="R97">
        <f>_xlfn.XLOOKUP(frasest[[#This Row],[author_es]],autorest[author_es],autorest[image_atr])</f>
        <v>0</v>
      </c>
    </row>
    <row r="98" spans="1:18">
      <c r="A98">
        <v>97</v>
      </c>
      <c r="B98" t="s">
        <v>341</v>
      </c>
      <c r="C98" t="s">
        <v>342</v>
      </c>
      <c r="D98" t="s">
        <v>343</v>
      </c>
      <c r="E98" t="s">
        <v>329</v>
      </c>
      <c r="F98" t="s">
        <v>330</v>
      </c>
      <c r="G98" t="str">
        <f>_xlfn.XLOOKUP(frasest[[#This Row],[author_es]],autorest[author_es],autorest[author_la])</f>
        <v>Oswaldus Spengler</v>
      </c>
      <c r="H98" t="str">
        <f>_xlfn.XLOOKUP(frasest[[#This Row],[author_es]],autorest[author_es],autorest[bio_es])</f>
        <v>Filósofo e historiador alemán, autor de "La decadencia de Occidente".</v>
      </c>
      <c r="I98" t="str">
        <f>_xlfn.XLOOKUP(frasest[[#This Row],[author_es]],autorest[author_es],autorest[bio_la])</f>
        <v>Philosophus et historicus Germanicus, auctor "Occidentis Decadentia".</v>
      </c>
      <c r="J98" t="str">
        <f>_xlfn.XLOOKUP(frasest[[#This Row],[author_es]],autorest[author_es],autorest[iso3691])</f>
        <v>de</v>
      </c>
      <c r="K98" t="str">
        <f>_xlfn.XLOOKUP(frasest[[#This Row],[author_es]],autorest[author_es],autorest[language_es])</f>
        <v>Alemán</v>
      </c>
      <c r="L98" t="str">
        <f>_xlfn.XLOOKUP(frasest[[#This Row],[author_es]],autorest[author_es],autorest[language_la])</f>
        <v>Lingua Germanica</v>
      </c>
      <c r="M98" t="str">
        <f>_xlfn.XLOOKUP(frasest[[#This Row],[author_es]],autorest[author_es],autorest[nation_es])</f>
        <v>Alemania</v>
      </c>
      <c r="N98" t="str">
        <f>_xlfn.XLOOKUP(frasest[[#This Row],[author_es]],autorest[author_es],autorest[nation_la])</f>
        <v>Germania</v>
      </c>
      <c r="O98" t="str">
        <f>_xlfn.XLOOKUP(frasest[[#This Row],[author_es]],autorest[author_es],autorest[age_es])</f>
        <v>Edad Contemporánea</v>
      </c>
      <c r="P98" t="str">
        <f>_xlfn.XLOOKUP(frasest[[#This Row],[author_es]],autorest[author_es],autorest[age_la])</f>
        <v>Aetas Contemporanea</v>
      </c>
      <c r="Q98" t="str">
        <f>_xlfn.XLOOKUP(frasest[[#This Row],[author_es]],autorest[author_es],autorest[image])</f>
        <v>https://i.ibb.co/jFsMGCC/spengler.png</v>
      </c>
      <c r="R98">
        <f>_xlfn.XLOOKUP(frasest[[#This Row],[author_es]],autorest[author_es],autorest[image_atr])</f>
        <v>0</v>
      </c>
    </row>
    <row r="99" spans="1:18">
      <c r="A99">
        <v>98</v>
      </c>
      <c r="B99" t="s">
        <v>344</v>
      </c>
      <c r="C99" t="s">
        <v>345</v>
      </c>
      <c r="D99" t="s">
        <v>344</v>
      </c>
      <c r="E99" t="s">
        <v>346</v>
      </c>
      <c r="F99" t="s">
        <v>347</v>
      </c>
      <c r="G99" t="str">
        <f>_xlfn.XLOOKUP(frasest[[#This Row],[author_es]],autorest[author_es],autorest[author_la])</f>
        <v>Michael Cervantes</v>
      </c>
      <c r="H99" t="str">
        <f>_xlfn.XLOOKUP(frasest[[#This Row],[author_es]],autorest[author_es],autorest[bio_es])</f>
        <v>Novelista, poeta y dramaturgo español, autor de "Don Quijote de la Mancha".</v>
      </c>
      <c r="I99" t="str">
        <f>_xlfn.XLOOKUP(frasest[[#This Row],[author_es]],autorest[author_es],autorest[bio_la])</f>
        <v>Scriba, poeta et dramatist Hispanicus, auctor "Don Quixote de la Mancha".</v>
      </c>
      <c r="J99" t="str">
        <f>_xlfn.XLOOKUP(frasest[[#This Row],[author_es]],autorest[author_es],autorest[iso3691])</f>
        <v>es</v>
      </c>
      <c r="K99" t="str">
        <f>_xlfn.XLOOKUP(frasest[[#This Row],[author_es]],autorest[author_es],autorest[language_es])</f>
        <v>Español</v>
      </c>
      <c r="L99" t="str">
        <f>_xlfn.XLOOKUP(frasest[[#This Row],[author_es]],autorest[author_es],autorest[language_la])</f>
        <v>Lingua Hispanica</v>
      </c>
      <c r="M99" t="str">
        <f>_xlfn.XLOOKUP(frasest[[#This Row],[author_es]],autorest[author_es],autorest[nation_es])</f>
        <v>España</v>
      </c>
      <c r="N99" t="str">
        <f>_xlfn.XLOOKUP(frasest[[#This Row],[author_es]],autorest[author_es],autorest[nation_la])</f>
        <v>Hispania</v>
      </c>
      <c r="O99" t="str">
        <f>_xlfn.XLOOKUP(frasest[[#This Row],[author_es]],autorest[author_es],autorest[age_es])</f>
        <v>Edad Moderna</v>
      </c>
      <c r="P99" t="str">
        <f>_xlfn.XLOOKUP(frasest[[#This Row],[author_es]],autorest[author_es],autorest[age_la])</f>
        <v>Nova Aetas</v>
      </c>
      <c r="Q99" t="str">
        <f>_xlfn.XLOOKUP(frasest[[#This Row],[author_es]],autorest[author_es],autorest[image])</f>
        <v>https://i.ibb.co/7d8RNgBb/cervantes.png</v>
      </c>
      <c r="R99">
        <f>_xlfn.XLOOKUP(frasest[[#This Row],[author_es]],autorest[author_es],autorest[image_atr])</f>
        <v>0</v>
      </c>
    </row>
    <row r="100" spans="1:18">
      <c r="A100">
        <v>99</v>
      </c>
      <c r="B100" t="s">
        <v>348</v>
      </c>
      <c r="C100" t="s">
        <v>349</v>
      </c>
      <c r="D100" t="s">
        <v>348</v>
      </c>
      <c r="E100" t="s">
        <v>346</v>
      </c>
      <c r="F100" t="s">
        <v>350</v>
      </c>
      <c r="G100" t="str">
        <f>_xlfn.XLOOKUP(frasest[[#This Row],[author_es]],autorest[author_es],autorest[author_la])</f>
        <v>Michael Cervantes</v>
      </c>
      <c r="H100" t="str">
        <f>_xlfn.XLOOKUP(frasest[[#This Row],[author_es]],autorest[author_es],autorest[bio_es])</f>
        <v>Novelista, poeta y dramaturgo español, autor de "Don Quijote de la Mancha".</v>
      </c>
      <c r="I100" t="str">
        <f>_xlfn.XLOOKUP(frasest[[#This Row],[author_es]],autorest[author_es],autorest[bio_la])</f>
        <v>Scriba, poeta et dramatist Hispanicus, auctor "Don Quixote de la Mancha".</v>
      </c>
      <c r="J100" t="str">
        <f>_xlfn.XLOOKUP(frasest[[#This Row],[author_es]],autorest[author_es],autorest[iso3691])</f>
        <v>es</v>
      </c>
      <c r="K100" t="str">
        <f>_xlfn.XLOOKUP(frasest[[#This Row],[author_es]],autorest[author_es],autorest[language_es])</f>
        <v>Español</v>
      </c>
      <c r="L100" t="str">
        <f>_xlfn.XLOOKUP(frasest[[#This Row],[author_es]],autorest[author_es],autorest[language_la])</f>
        <v>Lingua Hispanica</v>
      </c>
      <c r="M100" t="str">
        <f>_xlfn.XLOOKUP(frasest[[#This Row],[author_es]],autorest[author_es],autorest[nation_es])</f>
        <v>España</v>
      </c>
      <c r="N100" t="str">
        <f>_xlfn.XLOOKUP(frasest[[#This Row],[author_es]],autorest[author_es],autorest[nation_la])</f>
        <v>Hispania</v>
      </c>
      <c r="O100" t="str">
        <f>_xlfn.XLOOKUP(frasest[[#This Row],[author_es]],autorest[author_es],autorest[age_es])</f>
        <v>Edad Moderna</v>
      </c>
      <c r="P100" t="str">
        <f>_xlfn.XLOOKUP(frasest[[#This Row],[author_es]],autorest[author_es],autorest[age_la])</f>
        <v>Nova Aetas</v>
      </c>
      <c r="Q100" t="str">
        <f>_xlfn.XLOOKUP(frasest[[#This Row],[author_es]],autorest[author_es],autorest[image])</f>
        <v>https://i.ibb.co/7d8RNgBb/cervantes.png</v>
      </c>
      <c r="R100">
        <f>_xlfn.XLOOKUP(frasest[[#This Row],[author_es]],autorest[author_es],autorest[image_atr])</f>
        <v>0</v>
      </c>
    </row>
    <row r="101" spans="1:18">
      <c r="A101">
        <v>100</v>
      </c>
      <c r="B101" t="s">
        <v>351</v>
      </c>
      <c r="C101" t="s">
        <v>352</v>
      </c>
      <c r="D101" t="s">
        <v>351</v>
      </c>
      <c r="E101" t="s">
        <v>346</v>
      </c>
      <c r="F101" t="s">
        <v>353</v>
      </c>
      <c r="G101" t="str">
        <f>_xlfn.XLOOKUP(frasest[[#This Row],[author_es]],autorest[author_es],autorest[author_la])</f>
        <v>Michael Cervantes</v>
      </c>
      <c r="H101" t="str">
        <f>_xlfn.XLOOKUP(frasest[[#This Row],[author_es]],autorest[author_es],autorest[bio_es])</f>
        <v>Novelista, poeta y dramaturgo español, autor de "Don Quijote de la Mancha".</v>
      </c>
      <c r="I101" t="str">
        <f>_xlfn.XLOOKUP(frasest[[#This Row],[author_es]],autorest[author_es],autorest[bio_la])</f>
        <v>Scriba, poeta et dramatist Hispanicus, auctor "Don Quixote de la Mancha".</v>
      </c>
      <c r="J101" t="str">
        <f>_xlfn.XLOOKUP(frasest[[#This Row],[author_es]],autorest[author_es],autorest[iso3691])</f>
        <v>es</v>
      </c>
      <c r="K101" t="str">
        <f>_xlfn.XLOOKUP(frasest[[#This Row],[author_es]],autorest[author_es],autorest[language_es])</f>
        <v>Español</v>
      </c>
      <c r="L101" t="str">
        <f>_xlfn.XLOOKUP(frasest[[#This Row],[author_es]],autorest[author_es],autorest[language_la])</f>
        <v>Lingua Hispanica</v>
      </c>
      <c r="M101" t="str">
        <f>_xlfn.XLOOKUP(frasest[[#This Row],[author_es]],autorest[author_es],autorest[nation_es])</f>
        <v>España</v>
      </c>
      <c r="N101" t="str">
        <f>_xlfn.XLOOKUP(frasest[[#This Row],[author_es]],autorest[author_es],autorest[nation_la])</f>
        <v>Hispania</v>
      </c>
      <c r="O101" t="str">
        <f>_xlfn.XLOOKUP(frasest[[#This Row],[author_es]],autorest[author_es],autorest[age_es])</f>
        <v>Edad Moderna</v>
      </c>
      <c r="P101" t="str">
        <f>_xlfn.XLOOKUP(frasest[[#This Row],[author_es]],autorest[author_es],autorest[age_la])</f>
        <v>Nova Aetas</v>
      </c>
      <c r="Q101" t="str">
        <f>_xlfn.XLOOKUP(frasest[[#This Row],[author_es]],autorest[author_es],autorest[image])</f>
        <v>https://i.ibb.co/7d8RNgBb/cervantes.png</v>
      </c>
      <c r="R101">
        <f>_xlfn.XLOOKUP(frasest[[#This Row],[author_es]],autorest[author_es],autorest[image_atr])</f>
        <v>0</v>
      </c>
    </row>
    <row r="102" spans="1:18">
      <c r="A102">
        <v>101</v>
      </c>
      <c r="B102" t="s">
        <v>354</v>
      </c>
      <c r="C102" t="s">
        <v>355</v>
      </c>
      <c r="D102" t="s">
        <v>354</v>
      </c>
      <c r="E102" t="s">
        <v>346</v>
      </c>
      <c r="F102" t="s">
        <v>353</v>
      </c>
      <c r="G102" t="str">
        <f>_xlfn.XLOOKUP(frasest[[#This Row],[author_es]],autorest[author_es],autorest[author_la])</f>
        <v>Michael Cervantes</v>
      </c>
      <c r="H102" t="str">
        <f>_xlfn.XLOOKUP(frasest[[#This Row],[author_es]],autorest[author_es],autorest[bio_es])</f>
        <v>Novelista, poeta y dramaturgo español, autor de "Don Quijote de la Mancha".</v>
      </c>
      <c r="I102" t="str">
        <f>_xlfn.XLOOKUP(frasest[[#This Row],[author_es]],autorest[author_es],autorest[bio_la])</f>
        <v>Scriba, poeta et dramatist Hispanicus, auctor "Don Quixote de la Mancha".</v>
      </c>
      <c r="J102" t="str">
        <f>_xlfn.XLOOKUP(frasest[[#This Row],[author_es]],autorest[author_es],autorest[iso3691])</f>
        <v>es</v>
      </c>
      <c r="K102" t="str">
        <f>_xlfn.XLOOKUP(frasest[[#This Row],[author_es]],autorest[author_es],autorest[language_es])</f>
        <v>Español</v>
      </c>
      <c r="L102" t="str">
        <f>_xlfn.XLOOKUP(frasest[[#This Row],[author_es]],autorest[author_es],autorest[language_la])</f>
        <v>Lingua Hispanica</v>
      </c>
      <c r="M102" t="str">
        <f>_xlfn.XLOOKUP(frasest[[#This Row],[author_es]],autorest[author_es],autorest[nation_es])</f>
        <v>España</v>
      </c>
      <c r="N102" t="str">
        <f>_xlfn.XLOOKUP(frasest[[#This Row],[author_es]],autorest[author_es],autorest[nation_la])</f>
        <v>Hispania</v>
      </c>
      <c r="O102" t="str">
        <f>_xlfn.XLOOKUP(frasest[[#This Row],[author_es]],autorest[author_es],autorest[age_es])</f>
        <v>Edad Moderna</v>
      </c>
      <c r="P102" t="str">
        <f>_xlfn.XLOOKUP(frasest[[#This Row],[author_es]],autorest[author_es],autorest[age_la])</f>
        <v>Nova Aetas</v>
      </c>
      <c r="Q102" t="str">
        <f>_xlfn.XLOOKUP(frasest[[#This Row],[author_es]],autorest[author_es],autorest[image])</f>
        <v>https://i.ibb.co/7d8RNgBb/cervantes.png</v>
      </c>
      <c r="R102">
        <f>_xlfn.XLOOKUP(frasest[[#This Row],[author_es]],autorest[author_es],autorest[image_atr])</f>
        <v>0</v>
      </c>
    </row>
    <row r="103" spans="1:18">
      <c r="A103">
        <v>102</v>
      </c>
      <c r="B103" t="s">
        <v>356</v>
      </c>
      <c r="C103" t="s">
        <v>357</v>
      </c>
      <c r="D103" t="s">
        <v>356</v>
      </c>
      <c r="E103" t="s">
        <v>346</v>
      </c>
      <c r="F103" t="s">
        <v>358</v>
      </c>
      <c r="G103" t="str">
        <f>_xlfn.XLOOKUP(frasest[[#This Row],[author_es]],autorest[author_es],autorest[author_la])</f>
        <v>Michael Cervantes</v>
      </c>
      <c r="H103" t="str">
        <f>_xlfn.XLOOKUP(frasest[[#This Row],[author_es]],autorest[author_es],autorest[bio_es])</f>
        <v>Novelista, poeta y dramaturgo español, autor de "Don Quijote de la Mancha".</v>
      </c>
      <c r="I103" t="str">
        <f>_xlfn.XLOOKUP(frasest[[#This Row],[author_es]],autorest[author_es],autorest[bio_la])</f>
        <v>Scriba, poeta et dramatist Hispanicus, auctor "Don Quixote de la Mancha".</v>
      </c>
      <c r="J103" t="str">
        <f>_xlfn.XLOOKUP(frasest[[#This Row],[author_es]],autorest[author_es],autorest[iso3691])</f>
        <v>es</v>
      </c>
      <c r="K103" t="str">
        <f>_xlfn.XLOOKUP(frasest[[#This Row],[author_es]],autorest[author_es],autorest[language_es])</f>
        <v>Español</v>
      </c>
      <c r="L103" t="str">
        <f>_xlfn.XLOOKUP(frasest[[#This Row],[author_es]],autorest[author_es],autorest[language_la])</f>
        <v>Lingua Hispanica</v>
      </c>
      <c r="M103" t="str">
        <f>_xlfn.XLOOKUP(frasest[[#This Row],[author_es]],autorest[author_es],autorest[nation_es])</f>
        <v>España</v>
      </c>
      <c r="N103" t="str">
        <f>_xlfn.XLOOKUP(frasest[[#This Row],[author_es]],autorest[author_es],autorest[nation_la])</f>
        <v>Hispania</v>
      </c>
      <c r="O103" t="str">
        <f>_xlfn.XLOOKUP(frasest[[#This Row],[author_es]],autorest[author_es],autorest[age_es])</f>
        <v>Edad Moderna</v>
      </c>
      <c r="P103" t="str">
        <f>_xlfn.XLOOKUP(frasest[[#This Row],[author_es]],autorest[author_es],autorest[age_la])</f>
        <v>Nova Aetas</v>
      </c>
      <c r="Q103" t="str">
        <f>_xlfn.XLOOKUP(frasest[[#This Row],[author_es]],autorest[author_es],autorest[image])</f>
        <v>https://i.ibb.co/7d8RNgBb/cervantes.png</v>
      </c>
      <c r="R103">
        <f>_xlfn.XLOOKUP(frasest[[#This Row],[author_es]],autorest[author_es],autorest[image_atr])</f>
        <v>0</v>
      </c>
    </row>
    <row r="104" spans="1:18">
      <c r="A104">
        <v>103</v>
      </c>
      <c r="B104" t="s">
        <v>359</v>
      </c>
      <c r="C104" t="s">
        <v>360</v>
      </c>
      <c r="D104" t="s">
        <v>359</v>
      </c>
      <c r="E104" t="s">
        <v>346</v>
      </c>
      <c r="F104" t="s">
        <v>361</v>
      </c>
      <c r="G104" t="str">
        <f>_xlfn.XLOOKUP(frasest[[#This Row],[author_es]],autorest[author_es],autorest[author_la])</f>
        <v>Michael Cervantes</v>
      </c>
      <c r="H104" t="str">
        <f>_xlfn.XLOOKUP(frasest[[#This Row],[author_es]],autorest[author_es],autorest[bio_es])</f>
        <v>Novelista, poeta y dramaturgo español, autor de "Don Quijote de la Mancha".</v>
      </c>
      <c r="I104" t="str">
        <f>_xlfn.XLOOKUP(frasest[[#This Row],[author_es]],autorest[author_es],autorest[bio_la])</f>
        <v>Scriba, poeta et dramatist Hispanicus, auctor "Don Quixote de la Mancha".</v>
      </c>
      <c r="J104" t="str">
        <f>_xlfn.XLOOKUP(frasest[[#This Row],[author_es]],autorest[author_es],autorest[iso3691])</f>
        <v>es</v>
      </c>
      <c r="K104" t="str">
        <f>_xlfn.XLOOKUP(frasest[[#This Row],[author_es]],autorest[author_es],autorest[language_es])</f>
        <v>Español</v>
      </c>
      <c r="L104" t="str">
        <f>_xlfn.XLOOKUP(frasest[[#This Row],[author_es]],autorest[author_es],autorest[language_la])</f>
        <v>Lingua Hispanica</v>
      </c>
      <c r="M104" t="str">
        <f>_xlfn.XLOOKUP(frasest[[#This Row],[author_es]],autorest[author_es],autorest[nation_es])</f>
        <v>España</v>
      </c>
      <c r="N104" t="str">
        <f>_xlfn.XLOOKUP(frasest[[#This Row],[author_es]],autorest[author_es],autorest[nation_la])</f>
        <v>Hispania</v>
      </c>
      <c r="O104" t="str">
        <f>_xlfn.XLOOKUP(frasest[[#This Row],[author_es]],autorest[author_es],autorest[age_es])</f>
        <v>Edad Moderna</v>
      </c>
      <c r="P104" t="str">
        <f>_xlfn.XLOOKUP(frasest[[#This Row],[author_es]],autorest[author_es],autorest[age_la])</f>
        <v>Nova Aetas</v>
      </c>
      <c r="Q104" t="str">
        <f>_xlfn.XLOOKUP(frasest[[#This Row],[author_es]],autorest[author_es],autorest[image])</f>
        <v>https://i.ibb.co/7d8RNgBb/cervantes.png</v>
      </c>
      <c r="R104">
        <f>_xlfn.XLOOKUP(frasest[[#This Row],[author_es]],autorest[author_es],autorest[image_atr])</f>
        <v>0</v>
      </c>
    </row>
    <row r="105" spans="1:18">
      <c r="A105">
        <v>104</v>
      </c>
      <c r="B105" t="s">
        <v>362</v>
      </c>
      <c r="C105" t="s">
        <v>363</v>
      </c>
      <c r="D105" t="s">
        <v>362</v>
      </c>
      <c r="E105" t="s">
        <v>346</v>
      </c>
      <c r="F105" t="s">
        <v>364</v>
      </c>
      <c r="G105" t="str">
        <f>_xlfn.XLOOKUP(frasest[[#This Row],[author_es]],autorest[author_es],autorest[author_la])</f>
        <v>Michael Cervantes</v>
      </c>
      <c r="H105" t="str">
        <f>_xlfn.XLOOKUP(frasest[[#This Row],[author_es]],autorest[author_es],autorest[bio_es])</f>
        <v>Novelista, poeta y dramaturgo español, autor de "Don Quijote de la Mancha".</v>
      </c>
      <c r="I105" t="str">
        <f>_xlfn.XLOOKUP(frasest[[#This Row],[author_es]],autorest[author_es],autorest[bio_la])</f>
        <v>Scriba, poeta et dramatist Hispanicus, auctor "Don Quixote de la Mancha".</v>
      </c>
      <c r="J105" t="str">
        <f>_xlfn.XLOOKUP(frasest[[#This Row],[author_es]],autorest[author_es],autorest[iso3691])</f>
        <v>es</v>
      </c>
      <c r="K105" t="str">
        <f>_xlfn.XLOOKUP(frasest[[#This Row],[author_es]],autorest[author_es],autorest[language_es])</f>
        <v>Español</v>
      </c>
      <c r="L105" t="str">
        <f>_xlfn.XLOOKUP(frasest[[#This Row],[author_es]],autorest[author_es],autorest[language_la])</f>
        <v>Lingua Hispanica</v>
      </c>
      <c r="M105" t="str">
        <f>_xlfn.XLOOKUP(frasest[[#This Row],[author_es]],autorest[author_es],autorest[nation_es])</f>
        <v>España</v>
      </c>
      <c r="N105" t="str">
        <f>_xlfn.XLOOKUP(frasest[[#This Row],[author_es]],autorest[author_es],autorest[nation_la])</f>
        <v>Hispania</v>
      </c>
      <c r="O105" t="str">
        <f>_xlfn.XLOOKUP(frasest[[#This Row],[author_es]],autorest[author_es],autorest[age_es])</f>
        <v>Edad Moderna</v>
      </c>
      <c r="P105" t="str">
        <f>_xlfn.XLOOKUP(frasest[[#This Row],[author_es]],autorest[author_es],autorest[age_la])</f>
        <v>Nova Aetas</v>
      </c>
      <c r="Q105" t="str">
        <f>_xlfn.XLOOKUP(frasest[[#This Row],[author_es]],autorest[author_es],autorest[image])</f>
        <v>https://i.ibb.co/7d8RNgBb/cervantes.png</v>
      </c>
      <c r="R105">
        <f>_xlfn.XLOOKUP(frasest[[#This Row],[author_es]],autorest[author_es],autorest[image_atr])</f>
        <v>0</v>
      </c>
    </row>
    <row r="106" spans="1:18">
      <c r="A106">
        <v>105</v>
      </c>
      <c r="B106" t="s">
        <v>365</v>
      </c>
      <c r="C106" t="s">
        <v>366</v>
      </c>
      <c r="D106" t="s">
        <v>365</v>
      </c>
      <c r="E106" t="s">
        <v>346</v>
      </c>
      <c r="F106" t="s">
        <v>367</v>
      </c>
      <c r="G106" t="str">
        <f>_xlfn.XLOOKUP(frasest[[#This Row],[author_es]],autorest[author_es],autorest[author_la])</f>
        <v>Michael Cervantes</v>
      </c>
      <c r="H106" t="str">
        <f>_xlfn.XLOOKUP(frasest[[#This Row],[author_es]],autorest[author_es],autorest[bio_es])</f>
        <v>Novelista, poeta y dramaturgo español, autor de "Don Quijote de la Mancha".</v>
      </c>
      <c r="I106" t="str">
        <f>_xlfn.XLOOKUP(frasest[[#This Row],[author_es]],autorest[author_es],autorest[bio_la])</f>
        <v>Scriba, poeta et dramatist Hispanicus, auctor "Don Quixote de la Mancha".</v>
      </c>
      <c r="J106" t="str">
        <f>_xlfn.XLOOKUP(frasest[[#This Row],[author_es]],autorest[author_es],autorest[iso3691])</f>
        <v>es</v>
      </c>
      <c r="K106" t="str">
        <f>_xlfn.XLOOKUP(frasest[[#This Row],[author_es]],autorest[author_es],autorest[language_es])</f>
        <v>Español</v>
      </c>
      <c r="L106" t="str">
        <f>_xlfn.XLOOKUP(frasest[[#This Row],[author_es]],autorest[author_es],autorest[language_la])</f>
        <v>Lingua Hispanica</v>
      </c>
      <c r="M106" t="str">
        <f>_xlfn.XLOOKUP(frasest[[#This Row],[author_es]],autorest[author_es],autorest[nation_es])</f>
        <v>España</v>
      </c>
      <c r="N106" t="str">
        <f>_xlfn.XLOOKUP(frasest[[#This Row],[author_es]],autorest[author_es],autorest[nation_la])</f>
        <v>Hispania</v>
      </c>
      <c r="O106" t="str">
        <f>_xlfn.XLOOKUP(frasest[[#This Row],[author_es]],autorest[author_es],autorest[age_es])</f>
        <v>Edad Moderna</v>
      </c>
      <c r="P106" t="str">
        <f>_xlfn.XLOOKUP(frasest[[#This Row],[author_es]],autorest[author_es],autorest[age_la])</f>
        <v>Nova Aetas</v>
      </c>
      <c r="Q106" t="str">
        <f>_xlfn.XLOOKUP(frasest[[#This Row],[author_es]],autorest[author_es],autorest[image])</f>
        <v>https://i.ibb.co/7d8RNgBb/cervantes.png</v>
      </c>
      <c r="R106">
        <f>_xlfn.XLOOKUP(frasest[[#This Row],[author_es]],autorest[author_es],autorest[image_atr])</f>
        <v>0</v>
      </c>
    </row>
    <row r="107" spans="1:18">
      <c r="A107">
        <v>106</v>
      </c>
      <c r="B107" t="s">
        <v>368</v>
      </c>
      <c r="C107" t="s">
        <v>369</v>
      </c>
      <c r="D107" t="s">
        <v>368</v>
      </c>
      <c r="E107" t="s">
        <v>346</v>
      </c>
      <c r="F107" t="s">
        <v>364</v>
      </c>
      <c r="G107" t="str">
        <f>_xlfn.XLOOKUP(frasest[[#This Row],[author_es]],autorest[author_es],autorest[author_la])</f>
        <v>Michael Cervantes</v>
      </c>
      <c r="H107" t="str">
        <f>_xlfn.XLOOKUP(frasest[[#This Row],[author_es]],autorest[author_es],autorest[bio_es])</f>
        <v>Novelista, poeta y dramaturgo español, autor de "Don Quijote de la Mancha".</v>
      </c>
      <c r="I107" t="str">
        <f>_xlfn.XLOOKUP(frasest[[#This Row],[author_es]],autorest[author_es],autorest[bio_la])</f>
        <v>Scriba, poeta et dramatist Hispanicus, auctor "Don Quixote de la Mancha".</v>
      </c>
      <c r="J107" t="str">
        <f>_xlfn.XLOOKUP(frasest[[#This Row],[author_es]],autorest[author_es],autorest[iso3691])</f>
        <v>es</v>
      </c>
      <c r="K107" t="str">
        <f>_xlfn.XLOOKUP(frasest[[#This Row],[author_es]],autorest[author_es],autorest[language_es])</f>
        <v>Español</v>
      </c>
      <c r="L107" t="str">
        <f>_xlfn.XLOOKUP(frasest[[#This Row],[author_es]],autorest[author_es],autorest[language_la])</f>
        <v>Lingua Hispanica</v>
      </c>
      <c r="M107" t="str">
        <f>_xlfn.XLOOKUP(frasest[[#This Row],[author_es]],autorest[author_es],autorest[nation_es])</f>
        <v>España</v>
      </c>
      <c r="N107" t="str">
        <f>_xlfn.XLOOKUP(frasest[[#This Row],[author_es]],autorest[author_es],autorest[nation_la])</f>
        <v>Hispania</v>
      </c>
      <c r="O107" t="str">
        <f>_xlfn.XLOOKUP(frasest[[#This Row],[author_es]],autorest[author_es],autorest[age_es])</f>
        <v>Edad Moderna</v>
      </c>
      <c r="P107" t="str">
        <f>_xlfn.XLOOKUP(frasest[[#This Row],[author_es]],autorest[author_es],autorest[age_la])</f>
        <v>Nova Aetas</v>
      </c>
      <c r="Q107" t="str">
        <f>_xlfn.XLOOKUP(frasest[[#This Row],[author_es]],autorest[author_es],autorest[image])</f>
        <v>https://i.ibb.co/7d8RNgBb/cervantes.png</v>
      </c>
      <c r="R107">
        <f>_xlfn.XLOOKUP(frasest[[#This Row],[author_es]],autorest[author_es],autorest[image_atr])</f>
        <v>0</v>
      </c>
    </row>
    <row r="108" spans="1:18">
      <c r="A108">
        <v>107</v>
      </c>
      <c r="B108" t="s">
        <v>370</v>
      </c>
      <c r="C108" t="s">
        <v>371</v>
      </c>
      <c r="D108" t="s">
        <v>371</v>
      </c>
      <c r="E108" t="s">
        <v>57</v>
      </c>
      <c r="F108" t="s">
        <v>372</v>
      </c>
      <c r="G108" t="str">
        <f>_xlfn.XLOOKUP(frasest[[#This Row],[author_es]],autorest[author_es],autorest[author_la])</f>
        <v>Aurelius Augustinus</v>
      </c>
      <c r="H108" t="str">
        <f>_xlfn.XLOOKUP(frasest[[#This Row],[author_es]],autorest[author_es],autorest[bio_es])</f>
        <v>Filósofo y teólogo cristiano.</v>
      </c>
      <c r="I108" t="str">
        <f>_xlfn.XLOOKUP(frasest[[#This Row],[author_es]],autorest[author_es],autorest[bio_la])</f>
        <v>Philosophus et theologus Christianus.</v>
      </c>
      <c r="J108" t="str">
        <f>_xlfn.XLOOKUP(frasest[[#This Row],[author_es]],autorest[author_es],autorest[iso3691])</f>
        <v>la</v>
      </c>
      <c r="K108" t="str">
        <f>_xlfn.XLOOKUP(frasest[[#This Row],[author_es]],autorest[author_es],autorest[language_es])</f>
        <v>Latín</v>
      </c>
      <c r="L108" t="str">
        <f>_xlfn.XLOOKUP(frasest[[#This Row],[author_es]],autorest[author_es],autorest[language_la])</f>
        <v>Lingua Latina</v>
      </c>
      <c r="M108" t="str">
        <f>_xlfn.XLOOKUP(frasest[[#This Row],[author_es]],autorest[author_es],autorest[nation_es])</f>
        <v>Roma</v>
      </c>
      <c r="N108" t="str">
        <f>_xlfn.XLOOKUP(frasest[[#This Row],[author_es]],autorest[author_es],autorest[nation_la])</f>
        <v>Roma</v>
      </c>
      <c r="O108" t="str">
        <f>_xlfn.XLOOKUP(frasest[[#This Row],[author_es]],autorest[author_es],autorest[age_es])</f>
        <v>Edad Antigua</v>
      </c>
      <c r="P108" t="str">
        <f>_xlfn.XLOOKUP(frasest[[#This Row],[author_es]],autorest[author_es],autorest[age_la])</f>
        <v>Antiquitas</v>
      </c>
      <c r="Q108" t="str">
        <f>_xlfn.XLOOKUP(frasest[[#This Row],[author_es]],autorest[author_es],autorest[image])</f>
        <v>https://i.ibb.co/chhLXqTZ/agustin.png</v>
      </c>
      <c r="R108">
        <f>_xlfn.XLOOKUP(frasest[[#This Row],[author_es]],autorest[author_es],autorest[image_atr])</f>
        <v>0</v>
      </c>
    </row>
    <row r="109" spans="1:18">
      <c r="A109">
        <v>108</v>
      </c>
      <c r="B109" t="s">
        <v>373</v>
      </c>
      <c r="C109" s="4" t="s">
        <v>374</v>
      </c>
      <c r="D109" t="s">
        <v>375</v>
      </c>
      <c r="E109" t="s">
        <v>376</v>
      </c>
      <c r="F109" t="s">
        <v>377</v>
      </c>
      <c r="G109" t="str">
        <f>_xlfn.XLOOKUP(frasest[[#This Row],[author_es]],autorest[author_es],autorest[author_la])</f>
        <v>Nelsonus Mandela</v>
      </c>
      <c r="H109" t="str">
        <f>_xlfn.XLOOKUP(frasest[[#This Row],[author_es]],autorest[author_es],autorest[bio_es])</f>
        <v>Político y activista sudafricano, primer presidente negro de Sudáfrica y líder contra el apartheid.</v>
      </c>
      <c r="I109" t="str">
        <f>_xlfn.XLOOKUP(frasest[[#This Row],[author_es]],autorest[author_es],autorest[bio_la])</f>
        <v>Politicus et activist Africanus Australis, primus praeses niger et apartheid adversator.</v>
      </c>
      <c r="J109" t="str">
        <f>_xlfn.XLOOKUP(frasest[[#This Row],[author_es]],autorest[author_es],autorest[iso3691])</f>
        <v>en</v>
      </c>
      <c r="K109" t="str">
        <f>_xlfn.XLOOKUP(frasest[[#This Row],[author_es]],autorest[author_es],autorest[language_es])</f>
        <v>Inglés</v>
      </c>
      <c r="L109" t="str">
        <f>_xlfn.XLOOKUP(frasest[[#This Row],[author_es]],autorest[author_es],autorest[language_la])</f>
        <v>Lingua Anglica</v>
      </c>
      <c r="M109" t="str">
        <f>_xlfn.XLOOKUP(frasest[[#This Row],[author_es]],autorest[author_es],autorest[nation_es])</f>
        <v>Sudáfrica</v>
      </c>
      <c r="N109" t="str">
        <f>_xlfn.XLOOKUP(frasest[[#This Row],[author_es]],autorest[author_es],autorest[nation_la])</f>
        <v>Africa Australis</v>
      </c>
      <c r="O109" t="str">
        <f>_xlfn.XLOOKUP(frasest[[#This Row],[author_es]],autorest[author_es],autorest[age_es])</f>
        <v>Edad Contemporánea</v>
      </c>
      <c r="P109" t="str">
        <f>_xlfn.XLOOKUP(frasest[[#This Row],[author_es]],autorest[author_es],autorest[age_la])</f>
        <v>Aetas Contemporanea</v>
      </c>
      <c r="Q109" t="str">
        <f>_xlfn.XLOOKUP(frasest[[#This Row],[author_es]],autorest[author_es],autorest[image])</f>
        <v>https://i.ibb.co/qYBzbNJH/mandela.png</v>
      </c>
      <c r="R109">
        <f>_xlfn.XLOOKUP(frasest[[#This Row],[author_es]],autorest[author_es],autorest[image_atr])</f>
        <v>0</v>
      </c>
    </row>
    <row r="110" spans="1:18">
      <c r="A110">
        <v>109</v>
      </c>
      <c r="B110" t="s">
        <v>378</v>
      </c>
      <c r="C110" t="s">
        <v>379</v>
      </c>
      <c r="D110" t="s">
        <v>380</v>
      </c>
      <c r="E110" t="s">
        <v>381</v>
      </c>
      <c r="F110" t="s">
        <v>382</v>
      </c>
      <c r="G110" t="str">
        <f>_xlfn.XLOOKUP(frasest[[#This Row],[author_es]],autorest[author_es],autorest[author_la])</f>
        <v>Mohandas Gandhi</v>
      </c>
      <c r="H110" t="str">
        <f>_xlfn.XLOOKUP(frasest[[#This Row],[author_es]],autorest[author_es],autorest[bio_es])</f>
        <v>Líder político y espiritual de India, impulsor de la resistencia no violenta.</v>
      </c>
      <c r="I110" t="str">
        <f>_xlfn.XLOOKUP(frasest[[#This Row],[author_es]],autorest[author_es],autorest[bio_la])</f>
        <v>Dux politicis et spiritualis Indiae, resistentiam non violentam promovere.</v>
      </c>
      <c r="J110" t="str">
        <f>_xlfn.XLOOKUP(frasest[[#This Row],[author_es]],autorest[author_es],autorest[iso3691])</f>
        <v>en</v>
      </c>
      <c r="K110" t="str">
        <f>_xlfn.XLOOKUP(frasest[[#This Row],[author_es]],autorest[author_es],autorest[language_es])</f>
        <v>Inglés</v>
      </c>
      <c r="L110" t="str">
        <f>_xlfn.XLOOKUP(frasest[[#This Row],[author_es]],autorest[author_es],autorest[language_la])</f>
        <v>Lingua Anglica</v>
      </c>
      <c r="M110" t="str">
        <f>_xlfn.XLOOKUP(frasest[[#This Row],[author_es]],autorest[author_es],autorest[nation_es])</f>
        <v>India</v>
      </c>
      <c r="N110" t="str">
        <f>_xlfn.XLOOKUP(frasest[[#This Row],[author_es]],autorest[author_es],autorest[nation_la])</f>
        <v>India</v>
      </c>
      <c r="O110" t="str">
        <f>_xlfn.XLOOKUP(frasest[[#This Row],[author_es]],autorest[author_es],autorest[age_es])</f>
        <v>Edad Contemporánea</v>
      </c>
      <c r="P110" t="str">
        <f>_xlfn.XLOOKUP(frasest[[#This Row],[author_es]],autorest[author_es],autorest[age_la])</f>
        <v>Aetas Contemporanea</v>
      </c>
      <c r="Q110" t="str">
        <f>_xlfn.XLOOKUP(frasest[[#This Row],[author_es]],autorest[author_es],autorest[image])</f>
        <v>https://i.ibb.co/hFVyv04H/gandhi.png</v>
      </c>
      <c r="R110">
        <f>_xlfn.XLOOKUP(frasest[[#This Row],[author_es]],autorest[author_es],autorest[image_atr])</f>
        <v>0</v>
      </c>
    </row>
    <row r="111" spans="1:18">
      <c r="A111">
        <v>110</v>
      </c>
      <c r="B111" t="s">
        <v>383</v>
      </c>
      <c r="C111" t="s">
        <v>384</v>
      </c>
      <c r="D111" t="s">
        <v>385</v>
      </c>
      <c r="E111" t="s">
        <v>386</v>
      </c>
      <c r="F111" t="s">
        <v>387</v>
      </c>
      <c r="G111" t="str">
        <f>_xlfn.XLOOKUP(frasest[[#This Row],[author_es]],autorest[author_es],autorest[author_la])</f>
        <v>Albertus Einstein</v>
      </c>
      <c r="H111" t="str">
        <f>_xlfn.XLOOKUP(frasest[[#This Row],[author_es]],autorest[author_es],autorest[bio_es])</f>
        <v>Físico teórico alemán, desarrolló la teoría de la relatividad.</v>
      </c>
      <c r="I111" t="str">
        <f>_xlfn.XLOOKUP(frasest[[#This Row],[author_es]],autorest[author_es],autorest[bio_la])</f>
        <v>Physicus theoreticus Germanicus, theoriam relativitatis excogitavit.</v>
      </c>
      <c r="J111" t="str">
        <f>_xlfn.XLOOKUP(frasest[[#This Row],[author_es]],autorest[author_es],autorest[iso3691])</f>
        <v>en</v>
      </c>
      <c r="K111" t="str">
        <f>_xlfn.XLOOKUP(frasest[[#This Row],[author_es]],autorest[author_es],autorest[language_es])</f>
        <v>Inglés</v>
      </c>
      <c r="L111" t="str">
        <f>_xlfn.XLOOKUP(frasest[[#This Row],[author_es]],autorest[author_es],autorest[language_la])</f>
        <v>Lingua Anglica</v>
      </c>
      <c r="M111" t="str">
        <f>_xlfn.XLOOKUP(frasest[[#This Row],[author_es]],autorest[author_es],autorest[nation_es])</f>
        <v>Alemania</v>
      </c>
      <c r="N111" t="str">
        <f>_xlfn.XLOOKUP(frasest[[#This Row],[author_es]],autorest[author_es],autorest[nation_la])</f>
        <v>Germania</v>
      </c>
      <c r="O111" t="str">
        <f>_xlfn.XLOOKUP(frasest[[#This Row],[author_es]],autorest[author_es],autorest[age_es])</f>
        <v>Edad Contemporánea</v>
      </c>
      <c r="P111" t="str">
        <f>_xlfn.XLOOKUP(frasest[[#This Row],[author_es]],autorest[author_es],autorest[age_la])</f>
        <v>Aetas Contemporanea</v>
      </c>
      <c r="Q111" t="str">
        <f>_xlfn.XLOOKUP(frasest[[#This Row],[author_es]],autorest[author_es],autorest[image])</f>
        <v>https://i.ibb.co/XkSxyZyF/einstein.png</v>
      </c>
      <c r="R111">
        <f>_xlfn.XLOOKUP(frasest[[#This Row],[author_es]],autorest[author_es],autorest[image_atr])</f>
        <v>0</v>
      </c>
    </row>
    <row r="112" spans="1:18">
      <c r="A112">
        <v>111</v>
      </c>
      <c r="B112" t="s">
        <v>388</v>
      </c>
      <c r="C112" t="s">
        <v>389</v>
      </c>
      <c r="D112" t="s">
        <v>390</v>
      </c>
      <c r="E112" t="s">
        <v>391</v>
      </c>
      <c r="F112" t="s">
        <v>392</v>
      </c>
      <c r="G112" t="str">
        <f>_xlfn.XLOOKUP(frasest[[#This Row],[author_es]],autorest[author_es],autorest[author_la])</f>
        <v>Martin Luther King</v>
      </c>
      <c r="H112" t="str">
        <f>_xlfn.XLOOKUP(frasest[[#This Row],[author_es]],autorest[author_es],autorest[bio_es])</f>
        <v>Líder del movimiento por los derechos civiles en Estados Unidos y activista por la igualdad racial.</v>
      </c>
      <c r="I112" t="str">
        <f>_xlfn.XLOOKUP(frasest[[#This Row],[author_es]],autorest[author_es],autorest[bio_la])</f>
        <v>Dux iurium civilium et activist aequalitatis racialium in Civitatibus Foederatis.</v>
      </c>
      <c r="J112" t="str">
        <f>_xlfn.XLOOKUP(frasest[[#This Row],[author_es]],autorest[author_es],autorest[iso3691])</f>
        <v>en</v>
      </c>
      <c r="K112" t="str">
        <f>_xlfn.XLOOKUP(frasest[[#This Row],[author_es]],autorest[author_es],autorest[language_es])</f>
        <v>Inglés</v>
      </c>
      <c r="L112" t="str">
        <f>_xlfn.XLOOKUP(frasest[[#This Row],[author_es]],autorest[author_es],autorest[language_la])</f>
        <v>Lingua Anglica</v>
      </c>
      <c r="M112" t="str">
        <f>_xlfn.XLOOKUP(frasest[[#This Row],[author_es]],autorest[author_es],autorest[nation_es])</f>
        <v>Estados Unidos</v>
      </c>
      <c r="N112" t="str">
        <f>_xlfn.XLOOKUP(frasest[[#This Row],[author_es]],autorest[author_es],autorest[nation_la])</f>
        <v>Civitates Foederatae Americae</v>
      </c>
      <c r="O112" t="str">
        <f>_xlfn.XLOOKUP(frasest[[#This Row],[author_es]],autorest[author_es],autorest[age_es])</f>
        <v>Edad Contemporánea</v>
      </c>
      <c r="P112" t="str">
        <f>_xlfn.XLOOKUP(frasest[[#This Row],[author_es]],autorest[author_es],autorest[age_la])</f>
        <v>Aetas Contemporanea</v>
      </c>
      <c r="Q112" t="str">
        <f>_xlfn.XLOOKUP(frasest[[#This Row],[author_es]],autorest[author_es],autorest[image])</f>
        <v>https://i.ibb.co/GBYRvH9/king.png</v>
      </c>
      <c r="R112">
        <f>_xlfn.XLOOKUP(frasest[[#This Row],[author_es]],autorest[author_es],autorest[image_atr])</f>
        <v>0</v>
      </c>
    </row>
    <row r="113" spans="1:18">
      <c r="A113">
        <v>112</v>
      </c>
      <c r="B113" t="s">
        <v>393</v>
      </c>
      <c r="C113" t="s">
        <v>394</v>
      </c>
      <c r="D113" t="s">
        <v>395</v>
      </c>
      <c r="E113" t="s">
        <v>396</v>
      </c>
      <c r="F113" t="s">
        <v>397</v>
      </c>
      <c r="G113" t="str">
        <f>_xlfn.XLOOKUP(frasest[[#This Row],[author_es]],autorest[author_es],autorest[author_la])</f>
        <v>Ioannes Dewey</v>
      </c>
      <c r="H113" t="str">
        <f>_xlfn.XLOOKUP(frasest[[#This Row],[author_es]],autorest[author_es],autorest[bio_es])</f>
        <v>Filósofo y pedagogo estadounidense, defensor de la educación progresista.</v>
      </c>
      <c r="I113" t="str">
        <f>_xlfn.XLOOKUP(frasest[[#This Row],[author_es]],autorest[author_es],autorest[bio_la])</f>
        <v>Philosophus et paedagogus Americanus, educationem progressivam defendens.</v>
      </c>
      <c r="J113" t="str">
        <f>_xlfn.XLOOKUP(frasest[[#This Row],[author_es]],autorest[author_es],autorest[iso3691])</f>
        <v>en</v>
      </c>
      <c r="K113" t="str">
        <f>_xlfn.XLOOKUP(frasest[[#This Row],[author_es]],autorest[author_es],autorest[language_es])</f>
        <v>Inglés</v>
      </c>
      <c r="L113" t="str">
        <f>_xlfn.XLOOKUP(frasest[[#This Row],[author_es]],autorest[author_es],autorest[language_la])</f>
        <v>Lingua Anglica</v>
      </c>
      <c r="M113" t="str">
        <f>_xlfn.XLOOKUP(frasest[[#This Row],[author_es]],autorest[author_es],autorest[nation_es])</f>
        <v>Estados Unidos</v>
      </c>
      <c r="N113" t="str">
        <f>_xlfn.XLOOKUP(frasest[[#This Row],[author_es]],autorest[author_es],autorest[nation_la])</f>
        <v>Civitates Foederatae Americae</v>
      </c>
      <c r="O113" t="str">
        <f>_xlfn.XLOOKUP(frasest[[#This Row],[author_es]],autorest[author_es],autorest[age_es])</f>
        <v>Edad Contemporánea</v>
      </c>
      <c r="P113" t="str">
        <f>_xlfn.XLOOKUP(frasest[[#This Row],[author_es]],autorest[author_es],autorest[age_la])</f>
        <v>Aetas Contemporanea</v>
      </c>
      <c r="Q113" t="str">
        <f>_xlfn.XLOOKUP(frasest[[#This Row],[author_es]],autorest[author_es],autorest[image])</f>
        <v>https://i.ibb.co/C5cSzJyL/dewey.png</v>
      </c>
      <c r="R113">
        <f>_xlfn.XLOOKUP(frasest[[#This Row],[author_es]],autorest[author_es],autorest[image_atr])</f>
        <v>0</v>
      </c>
    </row>
    <row r="114" spans="1:18">
      <c r="A114">
        <v>113</v>
      </c>
      <c r="B114" t="s">
        <v>398</v>
      </c>
      <c r="C114" t="s">
        <v>399</v>
      </c>
      <c r="D114" t="s">
        <v>400</v>
      </c>
      <c r="E114" t="s">
        <v>401</v>
      </c>
      <c r="F114" t="s">
        <v>402</v>
      </c>
      <c r="G114" t="str">
        <f>_xlfn.XLOOKUP(frasest[[#This Row],[author_es]],autorest[author_es],autorest[author_la])</f>
        <v>Benjaminus Franklin</v>
      </c>
      <c r="H114" t="str">
        <f>_xlfn.XLOOKUP(frasest[[#This Row],[author_es]],autorest[author_es],autorest[bio_es])</f>
        <v>Político, científico y escritor estadounidense, uno de los Padres Fundadores de Estados Unidos.</v>
      </c>
      <c r="I114" t="str">
        <f>_xlfn.XLOOKUP(frasest[[#This Row],[author_es]],autorest[author_es],autorest[bio_la])</f>
        <v>Politicus, sapiens et scriptor Americanus, unus ex Patribus Fundatoribus.</v>
      </c>
      <c r="J114" t="str">
        <f>_xlfn.XLOOKUP(frasest[[#This Row],[author_es]],autorest[author_es],autorest[iso3691])</f>
        <v>en</v>
      </c>
      <c r="K114" t="str">
        <f>_xlfn.XLOOKUP(frasest[[#This Row],[author_es]],autorest[author_es],autorest[language_es])</f>
        <v>Inglés</v>
      </c>
      <c r="L114" t="str">
        <f>_xlfn.XLOOKUP(frasest[[#This Row],[author_es]],autorest[author_es],autorest[language_la])</f>
        <v>Lingua Anglica</v>
      </c>
      <c r="M114" t="str">
        <f>_xlfn.XLOOKUP(frasest[[#This Row],[author_es]],autorest[author_es],autorest[nation_es])</f>
        <v>Estados Unidos</v>
      </c>
      <c r="N114" t="str">
        <f>_xlfn.XLOOKUP(frasest[[#This Row],[author_es]],autorest[author_es],autorest[nation_la])</f>
        <v>Civitates Foederatae Americae</v>
      </c>
      <c r="O114" t="str">
        <f>_xlfn.XLOOKUP(frasest[[#This Row],[author_es]],autorest[author_es],autorest[age_es])</f>
        <v>Edad Moderna</v>
      </c>
      <c r="P114" t="str">
        <f>_xlfn.XLOOKUP(frasest[[#This Row],[author_es]],autorest[author_es],autorest[age_la])</f>
        <v>Nova Aetas</v>
      </c>
      <c r="Q114" t="str">
        <f>_xlfn.XLOOKUP(frasest[[#This Row],[author_es]],autorest[author_es],autorest[image])</f>
        <v>https://i.ibb.co/d08LLy25/franklin.png</v>
      </c>
      <c r="R114">
        <f>_xlfn.XLOOKUP(frasest[[#This Row],[author_es]],autorest[author_es],autorest[image_atr])</f>
        <v>0</v>
      </c>
    </row>
    <row r="115" spans="1:18">
      <c r="A115">
        <v>114</v>
      </c>
      <c r="B115" t="s">
        <v>403</v>
      </c>
      <c r="C115" t="s">
        <v>404</v>
      </c>
      <c r="D115" t="s">
        <v>405</v>
      </c>
      <c r="E115" t="s">
        <v>406</v>
      </c>
      <c r="F115" t="s">
        <v>407</v>
      </c>
      <c r="G115" t="str">
        <f>_xlfn.XLOOKUP(frasest[[#This Row],[author_es]],autorest[author_es],autorest[author_la])</f>
        <v>Leonardus Vincius</v>
      </c>
      <c r="H115" t="str">
        <f>_xlfn.XLOOKUP(frasest[[#This Row],[author_es]],autorest[author_es],autorest[bio_es])</f>
        <v>Artista, inventor y científico italiano del Renacimiento.</v>
      </c>
      <c r="I115" t="str">
        <f>_xlfn.XLOOKUP(frasest[[#This Row],[author_es]],autorest[author_es],autorest[bio_la])</f>
        <v>Artifex, inventor et physicus Italicus Renaissance.</v>
      </c>
      <c r="J115" t="str">
        <f>_xlfn.XLOOKUP(frasest[[#This Row],[author_es]],autorest[author_es],autorest[iso3691])</f>
        <v>la</v>
      </c>
      <c r="K115" t="str">
        <f>_xlfn.XLOOKUP(frasest[[#This Row],[author_es]],autorest[author_es],autorest[language_es])</f>
        <v>Latín</v>
      </c>
      <c r="L115" t="str">
        <f>_xlfn.XLOOKUP(frasest[[#This Row],[author_es]],autorest[author_es],autorest[language_la])</f>
        <v>Lingua Latina</v>
      </c>
      <c r="M115" t="str">
        <f>_xlfn.XLOOKUP(frasest[[#This Row],[author_es]],autorest[author_es],autorest[nation_es])</f>
        <v>Italia</v>
      </c>
      <c r="N115" t="str">
        <f>_xlfn.XLOOKUP(frasest[[#This Row],[author_es]],autorest[author_es],autorest[nation_la])</f>
        <v>Italia</v>
      </c>
      <c r="O115" t="str">
        <f>_xlfn.XLOOKUP(frasest[[#This Row],[author_es]],autorest[author_es],autorest[age_es])</f>
        <v>Edad Media</v>
      </c>
      <c r="P115" t="str">
        <f>_xlfn.XLOOKUP(frasest[[#This Row],[author_es]],autorest[author_es],autorest[age_la])</f>
        <v>Medium Aevum</v>
      </c>
      <c r="Q115" t="str">
        <f>_xlfn.XLOOKUP(frasest[[#This Row],[author_es]],autorest[author_es],autorest[image])</f>
        <v>https://i.ibb.co/prKj8Gtz/davinci.png</v>
      </c>
      <c r="R115">
        <f>_xlfn.XLOOKUP(frasest[[#This Row],[author_es]],autorest[author_es],autorest[image_atr])</f>
        <v>0</v>
      </c>
    </row>
    <row r="116" spans="1:18">
      <c r="A116">
        <v>115</v>
      </c>
      <c r="B116" t="s">
        <v>408</v>
      </c>
      <c r="C116" t="s">
        <v>409</v>
      </c>
      <c r="D116" s="1" t="s">
        <v>410</v>
      </c>
      <c r="E116" t="s">
        <v>95</v>
      </c>
      <c r="F116" t="s">
        <v>411</v>
      </c>
      <c r="G116" t="str">
        <f>_xlfn.XLOOKUP(frasest[[#This Row],[author_es]],autorest[author_es],autorest[author_la])</f>
        <v>Confucius</v>
      </c>
      <c r="H116" t="str">
        <f>_xlfn.XLOOKUP(frasest[[#This Row],[author_es]],autorest[author_es],autorest[bio_es])</f>
        <v>Filósofo y maestro chino, fundador del confucianismo. Sus enseñanzas influyeron profundamente en la cultura, ética y política de China.</v>
      </c>
      <c r="I116" t="str">
        <f>_xlfn.XLOOKUP(frasest[[#This Row],[author_es]],autorest[author_es],autorest[bio_la])</f>
        <v>Philosophus et magister Sinensis, confucianismi conditor. Doctrinae eius in culturam, ethicam et politicam Sinensem profunde influentes.</v>
      </c>
      <c r="J116" t="str">
        <f>_xlfn.XLOOKUP(frasest[[#This Row],[author_es]],autorest[author_es],autorest[iso3691])</f>
        <v>zh</v>
      </c>
      <c r="K116" t="str">
        <f>_xlfn.XLOOKUP(frasest[[#This Row],[author_es]],autorest[author_es],autorest[language_es])</f>
        <v>Chino</v>
      </c>
      <c r="L116" t="str">
        <f>_xlfn.XLOOKUP(frasest[[#This Row],[author_es]],autorest[author_es],autorest[language_la])</f>
        <v>Lingua Sinica</v>
      </c>
      <c r="M116" t="str">
        <f>_xlfn.XLOOKUP(frasest[[#This Row],[author_es]],autorest[author_es],autorest[nation_es])</f>
        <v>China</v>
      </c>
      <c r="N116" t="str">
        <f>_xlfn.XLOOKUP(frasest[[#This Row],[author_es]],autorest[author_es],autorest[nation_la])</f>
        <v>Sinae</v>
      </c>
      <c r="O116" t="str">
        <f>_xlfn.XLOOKUP(frasest[[#This Row],[author_es]],autorest[author_es],autorest[age_es])</f>
        <v>Edad Antigua</v>
      </c>
      <c r="P116" t="str">
        <f>_xlfn.XLOOKUP(frasest[[#This Row],[author_es]],autorest[author_es],autorest[age_la])</f>
        <v>Antiquitas</v>
      </c>
      <c r="Q116" t="str">
        <f>_xlfn.XLOOKUP(frasest[[#This Row],[author_es]],autorest[author_es],autorest[image])</f>
        <v>https://i.ibb.co/tjXTLg8/confucio.png</v>
      </c>
      <c r="R116">
        <f>_xlfn.XLOOKUP(frasest[[#This Row],[author_es]],autorest[author_es],autorest[image_atr])</f>
        <v>0</v>
      </c>
    </row>
    <row r="117" spans="1:18" ht="18">
      <c r="A117">
        <v>116</v>
      </c>
      <c r="B117" t="s">
        <v>412</v>
      </c>
      <c r="C117" t="s">
        <v>413</v>
      </c>
      <c r="D117" s="3" t="s">
        <v>414</v>
      </c>
      <c r="E117" t="s">
        <v>415</v>
      </c>
      <c r="G117" t="str">
        <f>_xlfn.XLOOKUP(frasest[[#This Row],[author_es]],autorest[author_es],autorest[author_la])</f>
        <v>Proverbium Tibetanum</v>
      </c>
      <c r="H117" t="str">
        <f>_xlfn.XLOOKUP(frasest[[#This Row],[author_es]],autorest[author_es],autorest[bio_es])</f>
        <v>Proverbios de la tradición tibetana inspirados en la filosofía budista, centrados en la compasión, la impermanencia y el equilibrio interior.</v>
      </c>
      <c r="I117" t="str">
        <f>_xlfn.XLOOKUP(frasest[[#This Row],[author_es]],autorest[author_es],autorest[bio_la])</f>
        <v>Collectio sententiarum Tibeticarum.</v>
      </c>
      <c r="J117" t="str">
        <f>_xlfn.XLOOKUP(frasest[[#This Row],[author_es]],autorest[author_es],autorest[iso3691])</f>
        <v>bo</v>
      </c>
      <c r="K117" t="str">
        <f>_xlfn.XLOOKUP(frasest[[#This Row],[author_es]],autorest[author_es],autorest[language_es])</f>
        <v>Tibetano</v>
      </c>
      <c r="L117" t="str">
        <f>_xlfn.XLOOKUP(frasest[[#This Row],[author_es]],autorest[author_es],autorest[language_la])</f>
        <v>Lingua Tibetica</v>
      </c>
      <c r="M117" t="str">
        <f>_xlfn.XLOOKUP(frasest[[#This Row],[author_es]],autorest[author_es],autorest[nation_es])</f>
        <v>Tíbet</v>
      </c>
      <c r="N117" t="str">
        <f>_xlfn.XLOOKUP(frasest[[#This Row],[author_es]],autorest[author_es],autorest[nation_la])</f>
        <v>Thibetum</v>
      </c>
      <c r="O117" t="str">
        <f>_xlfn.XLOOKUP(frasest[[#This Row],[author_es]],autorest[author_es],autorest[age_es])</f>
        <v>Epoca Desconocida</v>
      </c>
      <c r="P117" t="str">
        <f>_xlfn.XLOOKUP(frasest[[#This Row],[author_es]],autorest[author_es],autorest[age_la])</f>
        <v>Epocha Ignota</v>
      </c>
      <c r="Q117" t="str">
        <f>_xlfn.XLOOKUP(frasest[[#This Row],[author_es]],autorest[author_es],autorest[image])</f>
        <v>https://i.ibb.co/G4YNT7DT/tibet.png</v>
      </c>
      <c r="R117">
        <f>_xlfn.XLOOKUP(frasest[[#This Row],[author_es]],autorest[author_es],autorest[image_atr])</f>
        <v>0</v>
      </c>
    </row>
    <row r="118" spans="1:18">
      <c r="A118">
        <v>117</v>
      </c>
      <c r="B118" t="s">
        <v>416</v>
      </c>
      <c r="C118" t="s">
        <v>417</v>
      </c>
      <c r="D118" t="s">
        <v>418</v>
      </c>
      <c r="E118" t="s">
        <v>419</v>
      </c>
      <c r="F118" t="s">
        <v>420</v>
      </c>
      <c r="G118" t="str">
        <f>_xlfn.XLOOKUP(frasest[[#This Row],[author_es]],autorest[author_es],autorest[author_la])</f>
        <v>Thales Miletaeus</v>
      </c>
      <c r="H118"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8" t="str">
        <f>_xlfn.XLOOKUP(frasest[[#This Row],[author_es]],autorest[author_es],autorest[bio_la])</f>
        <v>Philosophus Graecus Praesocraticus Miletaeus, primus philosophus Occidentis et unus ex Septem Sapientibus. Praedixit eclipsis solis anno 585 a.C. et aquam substantiam primordialem proposuit.</v>
      </c>
      <c r="J118" t="str">
        <f>_xlfn.XLOOKUP(frasest[[#This Row],[author_es]],autorest[author_es],autorest[iso3691])</f>
        <v>el</v>
      </c>
      <c r="K118" t="str">
        <f>_xlfn.XLOOKUP(frasest[[#This Row],[author_es]],autorest[author_es],autorest[language_es])</f>
        <v>Griego</v>
      </c>
      <c r="L118" t="str">
        <f>_xlfn.XLOOKUP(frasest[[#This Row],[author_es]],autorest[author_es],autorest[language_la])</f>
        <v>Lingua Graeca</v>
      </c>
      <c r="M118" t="str">
        <f>_xlfn.XLOOKUP(frasest[[#This Row],[author_es]],autorest[author_es],autorest[nation_es])</f>
        <v>Grecia</v>
      </c>
      <c r="N118" t="str">
        <f>_xlfn.XLOOKUP(frasest[[#This Row],[author_es]],autorest[author_es],autorest[nation_la])</f>
        <v>Graecia</v>
      </c>
      <c r="O118" t="str">
        <f>_xlfn.XLOOKUP(frasest[[#This Row],[author_es]],autorest[author_es],autorest[age_es])</f>
        <v>Edad Antigua</v>
      </c>
      <c r="P118" t="str">
        <f>_xlfn.XLOOKUP(frasest[[#This Row],[author_es]],autorest[author_es],autorest[age_la])</f>
        <v>Antiquitas</v>
      </c>
      <c r="Q118" t="str">
        <f>_xlfn.XLOOKUP(frasest[[#This Row],[author_es]],autorest[author_es],autorest[image])</f>
        <v>https://i.ibb.co/qLzHP6XJ/tales.png</v>
      </c>
      <c r="R118">
        <f>_xlfn.XLOOKUP(frasest[[#This Row],[author_es]],autorest[author_es],autorest[image_atr])</f>
        <v>0</v>
      </c>
    </row>
    <row r="119" spans="1:18">
      <c r="A119">
        <v>118</v>
      </c>
      <c r="B119" t="s">
        <v>421</v>
      </c>
      <c r="C119" t="s">
        <v>422</v>
      </c>
      <c r="D119" t="s">
        <v>423</v>
      </c>
      <c r="E119" t="s">
        <v>419</v>
      </c>
      <c r="F119" t="s">
        <v>424</v>
      </c>
      <c r="G119" t="str">
        <f>_xlfn.XLOOKUP(frasest[[#This Row],[author_es]],autorest[author_es],autorest[author_la])</f>
        <v>Thales Miletaeus</v>
      </c>
      <c r="H119"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9" t="str">
        <f>_xlfn.XLOOKUP(frasest[[#This Row],[author_es]],autorest[author_es],autorest[bio_la])</f>
        <v>Philosophus Graecus Praesocraticus Miletaeus, primus philosophus Occidentis et unus ex Septem Sapientibus. Praedixit eclipsis solis anno 585 a.C. et aquam substantiam primordialem proposuit.</v>
      </c>
      <c r="J119" t="str">
        <f>_xlfn.XLOOKUP(frasest[[#This Row],[author_es]],autorest[author_es],autorest[iso3691])</f>
        <v>el</v>
      </c>
      <c r="K119" t="str">
        <f>_xlfn.XLOOKUP(frasest[[#This Row],[author_es]],autorest[author_es],autorest[language_es])</f>
        <v>Griego</v>
      </c>
      <c r="L119" t="str">
        <f>_xlfn.XLOOKUP(frasest[[#This Row],[author_es]],autorest[author_es],autorest[language_la])</f>
        <v>Lingua Graeca</v>
      </c>
      <c r="M119" t="str">
        <f>_xlfn.XLOOKUP(frasest[[#This Row],[author_es]],autorest[author_es],autorest[nation_es])</f>
        <v>Grecia</v>
      </c>
      <c r="N119" t="str">
        <f>_xlfn.XLOOKUP(frasest[[#This Row],[author_es]],autorest[author_es],autorest[nation_la])</f>
        <v>Graecia</v>
      </c>
      <c r="O119" t="str">
        <f>_xlfn.XLOOKUP(frasest[[#This Row],[author_es]],autorest[author_es],autorest[age_es])</f>
        <v>Edad Antigua</v>
      </c>
      <c r="P119" t="str">
        <f>_xlfn.XLOOKUP(frasest[[#This Row],[author_es]],autorest[author_es],autorest[age_la])</f>
        <v>Antiquitas</v>
      </c>
      <c r="Q119" t="str">
        <f>_xlfn.XLOOKUP(frasest[[#This Row],[author_es]],autorest[author_es],autorest[image])</f>
        <v>https://i.ibb.co/qLzHP6XJ/tales.png</v>
      </c>
      <c r="R119">
        <f>_xlfn.XLOOKUP(frasest[[#This Row],[author_es]],autorest[author_es],autorest[image_atr])</f>
        <v>0</v>
      </c>
    </row>
    <row r="120" spans="1:18">
      <c r="A120">
        <v>119</v>
      </c>
      <c r="B120" t="s">
        <v>425</v>
      </c>
      <c r="C120" t="s">
        <v>426</v>
      </c>
      <c r="D120" t="s">
        <v>427</v>
      </c>
      <c r="E120" t="s">
        <v>419</v>
      </c>
      <c r="F120" t="s">
        <v>428</v>
      </c>
      <c r="G120" t="str">
        <f>_xlfn.XLOOKUP(frasest[[#This Row],[author_es]],autorest[author_es],autorest[author_la])</f>
        <v>Thales Miletaeus</v>
      </c>
      <c r="H120"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0" t="str">
        <f>_xlfn.XLOOKUP(frasest[[#This Row],[author_es]],autorest[author_es],autorest[bio_la])</f>
        <v>Philosophus Graecus Praesocraticus Miletaeus, primus philosophus Occidentis et unus ex Septem Sapientibus. Praedixit eclipsis solis anno 585 a.C. et aquam substantiam primordialem proposuit.</v>
      </c>
      <c r="J120" t="str">
        <f>_xlfn.XLOOKUP(frasest[[#This Row],[author_es]],autorest[author_es],autorest[iso3691])</f>
        <v>el</v>
      </c>
      <c r="K120" t="str">
        <f>_xlfn.XLOOKUP(frasest[[#This Row],[author_es]],autorest[author_es],autorest[language_es])</f>
        <v>Griego</v>
      </c>
      <c r="L120" t="str">
        <f>_xlfn.XLOOKUP(frasest[[#This Row],[author_es]],autorest[author_es],autorest[language_la])</f>
        <v>Lingua Graeca</v>
      </c>
      <c r="M120" t="str">
        <f>_xlfn.XLOOKUP(frasest[[#This Row],[author_es]],autorest[author_es],autorest[nation_es])</f>
        <v>Grecia</v>
      </c>
      <c r="N120" t="str">
        <f>_xlfn.XLOOKUP(frasest[[#This Row],[author_es]],autorest[author_es],autorest[nation_la])</f>
        <v>Graecia</v>
      </c>
      <c r="O120" t="str">
        <f>_xlfn.XLOOKUP(frasest[[#This Row],[author_es]],autorest[author_es],autorest[age_es])</f>
        <v>Edad Antigua</v>
      </c>
      <c r="P120" t="str">
        <f>_xlfn.XLOOKUP(frasest[[#This Row],[author_es]],autorest[author_es],autorest[age_la])</f>
        <v>Antiquitas</v>
      </c>
      <c r="Q120" t="str">
        <f>_xlfn.XLOOKUP(frasest[[#This Row],[author_es]],autorest[author_es],autorest[image])</f>
        <v>https://i.ibb.co/qLzHP6XJ/tales.png</v>
      </c>
      <c r="R120">
        <f>_xlfn.XLOOKUP(frasest[[#This Row],[author_es]],autorest[author_es],autorest[image_atr])</f>
        <v>0</v>
      </c>
    </row>
    <row r="121" spans="1:18">
      <c r="A121">
        <v>120</v>
      </c>
      <c r="B121" t="s">
        <v>429</v>
      </c>
      <c r="C121" t="s">
        <v>430</v>
      </c>
      <c r="D121" t="s">
        <v>431</v>
      </c>
      <c r="E121" t="s">
        <v>419</v>
      </c>
      <c r="F121" t="s">
        <v>432</v>
      </c>
      <c r="G121" t="str">
        <f>_xlfn.XLOOKUP(frasest[[#This Row],[author_es]],autorest[author_es],autorest[author_la])</f>
        <v>Thales Miletaeus</v>
      </c>
      <c r="H121"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1" t="str">
        <f>_xlfn.XLOOKUP(frasest[[#This Row],[author_es]],autorest[author_es],autorest[bio_la])</f>
        <v>Philosophus Graecus Praesocraticus Miletaeus, primus philosophus Occidentis et unus ex Septem Sapientibus. Praedixit eclipsis solis anno 585 a.C. et aquam substantiam primordialem proposuit.</v>
      </c>
      <c r="J121" t="str">
        <f>_xlfn.XLOOKUP(frasest[[#This Row],[author_es]],autorest[author_es],autorest[iso3691])</f>
        <v>el</v>
      </c>
      <c r="K121" t="str">
        <f>_xlfn.XLOOKUP(frasest[[#This Row],[author_es]],autorest[author_es],autorest[language_es])</f>
        <v>Griego</v>
      </c>
      <c r="L121" t="str">
        <f>_xlfn.XLOOKUP(frasest[[#This Row],[author_es]],autorest[author_es],autorest[language_la])</f>
        <v>Lingua Graeca</v>
      </c>
      <c r="M121" t="str">
        <f>_xlfn.XLOOKUP(frasest[[#This Row],[author_es]],autorest[author_es],autorest[nation_es])</f>
        <v>Grecia</v>
      </c>
      <c r="N121" t="str">
        <f>_xlfn.XLOOKUP(frasest[[#This Row],[author_es]],autorest[author_es],autorest[nation_la])</f>
        <v>Graecia</v>
      </c>
      <c r="O121" t="str">
        <f>_xlfn.XLOOKUP(frasest[[#This Row],[author_es]],autorest[author_es],autorest[age_es])</f>
        <v>Edad Antigua</v>
      </c>
      <c r="P121" t="str">
        <f>_xlfn.XLOOKUP(frasest[[#This Row],[author_es]],autorest[author_es],autorest[age_la])</f>
        <v>Antiquitas</v>
      </c>
      <c r="Q121" t="str">
        <f>_xlfn.XLOOKUP(frasest[[#This Row],[author_es]],autorest[author_es],autorest[image])</f>
        <v>https://i.ibb.co/qLzHP6XJ/tales.png</v>
      </c>
      <c r="R121">
        <f>_xlfn.XLOOKUP(frasest[[#This Row],[author_es]],autorest[author_es],autorest[image_atr])</f>
        <v>0</v>
      </c>
    </row>
    <row r="122" spans="1:18">
      <c r="A122">
        <v>121</v>
      </c>
      <c r="B122" t="s">
        <v>433</v>
      </c>
      <c r="C122" t="s">
        <v>434</v>
      </c>
      <c r="D122" t="s">
        <v>435</v>
      </c>
      <c r="E122" t="s">
        <v>419</v>
      </c>
      <c r="F122" t="s">
        <v>436</v>
      </c>
      <c r="G122" t="str">
        <f>_xlfn.XLOOKUP(frasest[[#This Row],[author_es]],autorest[author_es],autorest[author_la])</f>
        <v>Thales Miletaeus</v>
      </c>
      <c r="H122"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2" t="str">
        <f>_xlfn.XLOOKUP(frasest[[#This Row],[author_es]],autorest[author_es],autorest[bio_la])</f>
        <v>Philosophus Graecus Praesocraticus Miletaeus, primus philosophus Occidentis et unus ex Septem Sapientibus. Praedixit eclipsis solis anno 585 a.C. et aquam substantiam primordialem proposuit.</v>
      </c>
      <c r="J122" t="str">
        <f>_xlfn.XLOOKUP(frasest[[#This Row],[author_es]],autorest[author_es],autorest[iso3691])</f>
        <v>el</v>
      </c>
      <c r="K122" t="str">
        <f>_xlfn.XLOOKUP(frasest[[#This Row],[author_es]],autorest[author_es],autorest[language_es])</f>
        <v>Griego</v>
      </c>
      <c r="L122" t="str">
        <f>_xlfn.XLOOKUP(frasest[[#This Row],[author_es]],autorest[author_es],autorest[language_la])</f>
        <v>Lingua Graeca</v>
      </c>
      <c r="M122" t="str">
        <f>_xlfn.XLOOKUP(frasest[[#This Row],[author_es]],autorest[author_es],autorest[nation_es])</f>
        <v>Grecia</v>
      </c>
      <c r="N122" t="str">
        <f>_xlfn.XLOOKUP(frasest[[#This Row],[author_es]],autorest[author_es],autorest[nation_la])</f>
        <v>Graecia</v>
      </c>
      <c r="O122" t="str">
        <f>_xlfn.XLOOKUP(frasest[[#This Row],[author_es]],autorest[author_es],autorest[age_es])</f>
        <v>Edad Antigua</v>
      </c>
      <c r="P122" t="str">
        <f>_xlfn.XLOOKUP(frasest[[#This Row],[author_es]],autorest[author_es],autorest[age_la])</f>
        <v>Antiquitas</v>
      </c>
      <c r="Q122" t="str">
        <f>_xlfn.XLOOKUP(frasest[[#This Row],[author_es]],autorest[author_es],autorest[image])</f>
        <v>https://i.ibb.co/qLzHP6XJ/tales.png</v>
      </c>
      <c r="R122">
        <f>_xlfn.XLOOKUP(frasest[[#This Row],[author_es]],autorest[author_es],autorest[image_atr])</f>
        <v>0</v>
      </c>
    </row>
    <row r="123" spans="1:18">
      <c r="A123">
        <v>122</v>
      </c>
      <c r="B123" t="s">
        <v>437</v>
      </c>
      <c r="C123" t="s">
        <v>438</v>
      </c>
      <c r="D123" t="s">
        <v>439</v>
      </c>
      <c r="E123" t="s">
        <v>419</v>
      </c>
      <c r="F123" t="s">
        <v>440</v>
      </c>
      <c r="G123" t="str">
        <f>_xlfn.XLOOKUP(frasest[[#This Row],[author_es]],autorest[author_es],autorest[author_la])</f>
        <v>Thales Miletaeus</v>
      </c>
      <c r="H123"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3" t="str">
        <f>_xlfn.XLOOKUP(frasest[[#This Row],[author_es]],autorest[author_es],autorest[bio_la])</f>
        <v>Philosophus Graecus Praesocraticus Miletaeus, primus philosophus Occidentis et unus ex Septem Sapientibus. Praedixit eclipsis solis anno 585 a.C. et aquam substantiam primordialem proposuit.</v>
      </c>
      <c r="J123" t="str">
        <f>_xlfn.XLOOKUP(frasest[[#This Row],[author_es]],autorest[author_es],autorest[iso3691])</f>
        <v>el</v>
      </c>
      <c r="K123" t="str">
        <f>_xlfn.XLOOKUP(frasest[[#This Row],[author_es]],autorest[author_es],autorest[language_es])</f>
        <v>Griego</v>
      </c>
      <c r="L123" t="str">
        <f>_xlfn.XLOOKUP(frasest[[#This Row],[author_es]],autorest[author_es],autorest[language_la])</f>
        <v>Lingua Graeca</v>
      </c>
      <c r="M123" t="str">
        <f>_xlfn.XLOOKUP(frasest[[#This Row],[author_es]],autorest[author_es],autorest[nation_es])</f>
        <v>Grecia</v>
      </c>
      <c r="N123" t="str">
        <f>_xlfn.XLOOKUP(frasest[[#This Row],[author_es]],autorest[author_es],autorest[nation_la])</f>
        <v>Graecia</v>
      </c>
      <c r="O123" t="str">
        <f>_xlfn.XLOOKUP(frasest[[#This Row],[author_es]],autorest[author_es],autorest[age_es])</f>
        <v>Edad Antigua</v>
      </c>
      <c r="P123" t="str">
        <f>_xlfn.XLOOKUP(frasest[[#This Row],[author_es]],autorest[author_es],autorest[age_la])</f>
        <v>Antiquitas</v>
      </c>
      <c r="Q123" t="str">
        <f>_xlfn.XLOOKUP(frasest[[#This Row],[author_es]],autorest[author_es],autorest[image])</f>
        <v>https://i.ibb.co/qLzHP6XJ/tales.png</v>
      </c>
      <c r="R123">
        <f>_xlfn.XLOOKUP(frasest[[#This Row],[author_es]],autorest[author_es],autorest[image_atr])</f>
        <v>0</v>
      </c>
    </row>
    <row r="124" spans="1:18">
      <c r="A124">
        <v>123</v>
      </c>
      <c r="B124" t="s">
        <v>441</v>
      </c>
      <c r="C124" t="s">
        <v>442</v>
      </c>
      <c r="D124" t="s">
        <v>443</v>
      </c>
      <c r="E124" t="s">
        <v>419</v>
      </c>
      <c r="F124" t="s">
        <v>444</v>
      </c>
      <c r="G124" t="str">
        <f>_xlfn.XLOOKUP(frasest[[#This Row],[author_es]],autorest[author_es],autorest[author_la])</f>
        <v>Thales Miletaeus</v>
      </c>
      <c r="H124"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4" t="str">
        <f>_xlfn.XLOOKUP(frasest[[#This Row],[author_es]],autorest[author_es],autorest[bio_la])</f>
        <v>Philosophus Graecus Praesocraticus Miletaeus, primus philosophus Occidentis et unus ex Septem Sapientibus. Praedixit eclipsis solis anno 585 a.C. et aquam substantiam primordialem proposuit.</v>
      </c>
      <c r="J124" t="str">
        <f>_xlfn.XLOOKUP(frasest[[#This Row],[author_es]],autorest[author_es],autorest[iso3691])</f>
        <v>el</v>
      </c>
      <c r="K124" t="str">
        <f>_xlfn.XLOOKUP(frasest[[#This Row],[author_es]],autorest[author_es],autorest[language_es])</f>
        <v>Griego</v>
      </c>
      <c r="L124" t="str">
        <f>_xlfn.XLOOKUP(frasest[[#This Row],[author_es]],autorest[author_es],autorest[language_la])</f>
        <v>Lingua Graeca</v>
      </c>
      <c r="M124" t="str">
        <f>_xlfn.XLOOKUP(frasest[[#This Row],[author_es]],autorest[author_es],autorest[nation_es])</f>
        <v>Grecia</v>
      </c>
      <c r="N124" t="str">
        <f>_xlfn.XLOOKUP(frasest[[#This Row],[author_es]],autorest[author_es],autorest[nation_la])</f>
        <v>Graecia</v>
      </c>
      <c r="O124" t="str">
        <f>_xlfn.XLOOKUP(frasest[[#This Row],[author_es]],autorest[author_es],autorest[age_es])</f>
        <v>Edad Antigua</v>
      </c>
      <c r="P124" t="str">
        <f>_xlfn.XLOOKUP(frasest[[#This Row],[author_es]],autorest[author_es],autorest[age_la])</f>
        <v>Antiquitas</v>
      </c>
      <c r="Q124" t="str">
        <f>_xlfn.XLOOKUP(frasest[[#This Row],[author_es]],autorest[author_es],autorest[image])</f>
        <v>https://i.ibb.co/qLzHP6XJ/tales.png</v>
      </c>
      <c r="R124">
        <f>_xlfn.XLOOKUP(frasest[[#This Row],[author_es]],autorest[author_es],autorest[image_atr])</f>
        <v>0</v>
      </c>
    </row>
    <row r="125" spans="1:18">
      <c r="A125">
        <v>124</v>
      </c>
      <c r="B125" t="s">
        <v>445</v>
      </c>
      <c r="C125" t="s">
        <v>446</v>
      </c>
      <c r="D125" t="s">
        <v>447</v>
      </c>
      <c r="E125" t="s">
        <v>419</v>
      </c>
      <c r="F125" t="s">
        <v>448</v>
      </c>
      <c r="G125" t="str">
        <f>_xlfn.XLOOKUP(frasest[[#This Row],[author_es]],autorest[author_es],autorest[author_la])</f>
        <v>Thales Miletaeus</v>
      </c>
      <c r="H125"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5" t="str">
        <f>_xlfn.XLOOKUP(frasest[[#This Row],[author_es]],autorest[author_es],autorest[bio_la])</f>
        <v>Philosophus Graecus Praesocraticus Miletaeus, primus philosophus Occidentis et unus ex Septem Sapientibus. Praedixit eclipsis solis anno 585 a.C. et aquam substantiam primordialem proposuit.</v>
      </c>
      <c r="J125" t="str">
        <f>_xlfn.XLOOKUP(frasest[[#This Row],[author_es]],autorest[author_es],autorest[iso3691])</f>
        <v>el</v>
      </c>
      <c r="K125" t="str">
        <f>_xlfn.XLOOKUP(frasest[[#This Row],[author_es]],autorest[author_es],autorest[language_es])</f>
        <v>Griego</v>
      </c>
      <c r="L125" t="str">
        <f>_xlfn.XLOOKUP(frasest[[#This Row],[author_es]],autorest[author_es],autorest[language_la])</f>
        <v>Lingua Graeca</v>
      </c>
      <c r="M125" t="str">
        <f>_xlfn.XLOOKUP(frasest[[#This Row],[author_es]],autorest[author_es],autorest[nation_es])</f>
        <v>Grecia</v>
      </c>
      <c r="N125" t="str">
        <f>_xlfn.XLOOKUP(frasest[[#This Row],[author_es]],autorest[author_es],autorest[nation_la])</f>
        <v>Graecia</v>
      </c>
      <c r="O125" t="str">
        <f>_xlfn.XLOOKUP(frasest[[#This Row],[author_es]],autorest[author_es],autorest[age_es])</f>
        <v>Edad Antigua</v>
      </c>
      <c r="P125" t="str">
        <f>_xlfn.XLOOKUP(frasest[[#This Row],[author_es]],autorest[author_es],autorest[age_la])</f>
        <v>Antiquitas</v>
      </c>
      <c r="Q125" t="str">
        <f>_xlfn.XLOOKUP(frasest[[#This Row],[author_es]],autorest[author_es],autorest[image])</f>
        <v>https://i.ibb.co/qLzHP6XJ/tales.png</v>
      </c>
      <c r="R125">
        <f>_xlfn.XLOOKUP(frasest[[#This Row],[author_es]],autorest[author_es],autorest[image_atr])</f>
        <v>0</v>
      </c>
    </row>
    <row r="126" spans="1:18">
      <c r="A126">
        <v>125</v>
      </c>
      <c r="B126" t="s">
        <v>449</v>
      </c>
      <c r="C126" t="s">
        <v>450</v>
      </c>
      <c r="D126" t="s">
        <v>451</v>
      </c>
      <c r="E126" t="s">
        <v>419</v>
      </c>
      <c r="F126" t="s">
        <v>452</v>
      </c>
      <c r="G126" t="str">
        <f>_xlfn.XLOOKUP(frasest[[#This Row],[author_es]],autorest[author_es],autorest[author_la])</f>
        <v>Thales Miletaeus</v>
      </c>
      <c r="H126"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6" t="str">
        <f>_xlfn.XLOOKUP(frasest[[#This Row],[author_es]],autorest[author_es],autorest[bio_la])</f>
        <v>Philosophus Graecus Praesocraticus Miletaeus, primus philosophus Occidentis et unus ex Septem Sapientibus. Praedixit eclipsis solis anno 585 a.C. et aquam substantiam primordialem proposuit.</v>
      </c>
      <c r="J126" t="str">
        <f>_xlfn.XLOOKUP(frasest[[#This Row],[author_es]],autorest[author_es],autorest[iso3691])</f>
        <v>el</v>
      </c>
      <c r="K126" t="str">
        <f>_xlfn.XLOOKUP(frasest[[#This Row],[author_es]],autorest[author_es],autorest[language_es])</f>
        <v>Griego</v>
      </c>
      <c r="L126" t="str">
        <f>_xlfn.XLOOKUP(frasest[[#This Row],[author_es]],autorest[author_es],autorest[language_la])</f>
        <v>Lingua Graeca</v>
      </c>
      <c r="M126" t="str">
        <f>_xlfn.XLOOKUP(frasest[[#This Row],[author_es]],autorest[author_es],autorest[nation_es])</f>
        <v>Grecia</v>
      </c>
      <c r="N126" t="str">
        <f>_xlfn.XLOOKUP(frasest[[#This Row],[author_es]],autorest[author_es],autorest[nation_la])</f>
        <v>Graecia</v>
      </c>
      <c r="O126" t="str">
        <f>_xlfn.XLOOKUP(frasest[[#This Row],[author_es]],autorest[author_es],autorest[age_es])</f>
        <v>Edad Antigua</v>
      </c>
      <c r="P126" t="str">
        <f>_xlfn.XLOOKUP(frasest[[#This Row],[author_es]],autorest[author_es],autorest[age_la])</f>
        <v>Antiquitas</v>
      </c>
      <c r="Q126" t="str">
        <f>_xlfn.XLOOKUP(frasest[[#This Row],[author_es]],autorest[author_es],autorest[image])</f>
        <v>https://i.ibb.co/qLzHP6XJ/tales.png</v>
      </c>
      <c r="R126">
        <f>_xlfn.XLOOKUP(frasest[[#This Row],[author_es]],autorest[author_es],autorest[image_atr])</f>
        <v>0</v>
      </c>
    </row>
    <row r="127" spans="1:18">
      <c r="A127">
        <v>126</v>
      </c>
      <c r="B127" t="s">
        <v>453</v>
      </c>
      <c r="C127" t="s">
        <v>454</v>
      </c>
      <c r="D127" t="s">
        <v>455</v>
      </c>
      <c r="E127" t="s">
        <v>419</v>
      </c>
      <c r="F127" t="s">
        <v>456</v>
      </c>
      <c r="G127" t="str">
        <f>_xlfn.XLOOKUP(frasest[[#This Row],[author_es]],autorest[author_es],autorest[author_la])</f>
        <v>Thales Miletaeus</v>
      </c>
      <c r="H127"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7" t="str">
        <f>_xlfn.XLOOKUP(frasest[[#This Row],[author_es]],autorest[author_es],autorest[bio_la])</f>
        <v>Philosophus Graecus Praesocraticus Miletaeus, primus philosophus Occidentis et unus ex Septem Sapientibus. Praedixit eclipsis solis anno 585 a.C. et aquam substantiam primordialem proposuit.</v>
      </c>
      <c r="J127" t="str">
        <f>_xlfn.XLOOKUP(frasest[[#This Row],[author_es]],autorest[author_es],autorest[iso3691])</f>
        <v>el</v>
      </c>
      <c r="K127" t="str">
        <f>_xlfn.XLOOKUP(frasest[[#This Row],[author_es]],autorest[author_es],autorest[language_es])</f>
        <v>Griego</v>
      </c>
      <c r="L127" t="str">
        <f>_xlfn.XLOOKUP(frasest[[#This Row],[author_es]],autorest[author_es],autorest[language_la])</f>
        <v>Lingua Graeca</v>
      </c>
      <c r="M127" t="str">
        <f>_xlfn.XLOOKUP(frasest[[#This Row],[author_es]],autorest[author_es],autorest[nation_es])</f>
        <v>Grecia</v>
      </c>
      <c r="N127" t="str">
        <f>_xlfn.XLOOKUP(frasest[[#This Row],[author_es]],autorest[author_es],autorest[nation_la])</f>
        <v>Graecia</v>
      </c>
      <c r="O127" t="str">
        <f>_xlfn.XLOOKUP(frasest[[#This Row],[author_es]],autorest[author_es],autorest[age_es])</f>
        <v>Edad Antigua</v>
      </c>
      <c r="P127" t="str">
        <f>_xlfn.XLOOKUP(frasest[[#This Row],[author_es]],autorest[author_es],autorest[age_la])</f>
        <v>Antiquitas</v>
      </c>
      <c r="Q127" t="str">
        <f>_xlfn.XLOOKUP(frasest[[#This Row],[author_es]],autorest[author_es],autorest[image])</f>
        <v>https://i.ibb.co/qLzHP6XJ/tales.png</v>
      </c>
      <c r="R127">
        <f>_xlfn.XLOOKUP(frasest[[#This Row],[author_es]],autorest[author_es],autorest[image_atr])</f>
        <v>0</v>
      </c>
    </row>
    <row r="128" spans="1:18">
      <c r="A128">
        <v>127</v>
      </c>
      <c r="B128" t="s">
        <v>457</v>
      </c>
      <c r="C128" t="s">
        <v>458</v>
      </c>
      <c r="D128" t="s">
        <v>459</v>
      </c>
      <c r="E128" t="s">
        <v>460</v>
      </c>
      <c r="F128" t="s">
        <v>461</v>
      </c>
      <c r="G128" t="str">
        <f>_xlfn.XLOOKUP(frasest[[#This Row],[author_es]],autorest[author_es],autorest[author_la])</f>
        <v>Epicurus</v>
      </c>
      <c r="H128" t="str">
        <f>_xlfn.XLOOKUP(frasest[[#This Row],[author_es]],autorest[author_es],autorest[bio_es])</f>
        <v>Filósofo griego de la Edad Antigua, fundador del epicureísmo, que defendía la búsqueda racional del placer moderado como camino a la felicidad.</v>
      </c>
      <c r="I128" t="str">
        <f>_xlfn.XLOOKUP(frasest[[#This Row],[author_es]],autorest[author_es],autorest[bio_la])</f>
        <v>Philosophus Graecus Antiquitatis, scholae Epicureae conditor, qui voluptatem moderatam ratione quaesitam viam ad felicitatem esse docebat.</v>
      </c>
      <c r="J128" t="str">
        <f>_xlfn.XLOOKUP(frasest[[#This Row],[author_es]],autorest[author_es],autorest[iso3691])</f>
        <v>el</v>
      </c>
      <c r="K128" t="str">
        <f>_xlfn.XLOOKUP(frasest[[#This Row],[author_es]],autorest[author_es],autorest[language_es])</f>
        <v>Griego</v>
      </c>
      <c r="L128" t="str">
        <f>_xlfn.XLOOKUP(frasest[[#This Row],[author_es]],autorest[author_es],autorest[language_la])</f>
        <v>Lingua Graeca</v>
      </c>
      <c r="M128" t="str">
        <f>_xlfn.XLOOKUP(frasest[[#This Row],[author_es]],autorest[author_es],autorest[nation_es])</f>
        <v>Grecia</v>
      </c>
      <c r="N128" t="str">
        <f>_xlfn.XLOOKUP(frasest[[#This Row],[author_es]],autorest[author_es],autorest[nation_la])</f>
        <v>Graecia</v>
      </c>
      <c r="O128" t="str">
        <f>_xlfn.XLOOKUP(frasest[[#This Row],[author_es]],autorest[author_es],autorest[age_es])</f>
        <v>Edad Antigua</v>
      </c>
      <c r="P128" t="str">
        <f>_xlfn.XLOOKUP(frasest[[#This Row],[author_es]],autorest[author_es],autorest[age_la])</f>
        <v>Antiquitas</v>
      </c>
      <c r="Q128" t="str">
        <f>_xlfn.XLOOKUP(frasest[[#This Row],[author_es]],autorest[author_es],autorest[image])</f>
        <v>https://i.ibb.co/dsQnnqJw/epicuro.png</v>
      </c>
      <c r="R128">
        <f>_xlfn.XLOOKUP(frasest[[#This Row],[author_es]],autorest[author_es],autorest[image_atr])</f>
        <v>0</v>
      </c>
    </row>
    <row r="129" spans="1:18">
      <c r="A129">
        <v>128</v>
      </c>
      <c r="B129" t="s">
        <v>462</v>
      </c>
      <c r="C129" t="s">
        <v>463</v>
      </c>
      <c r="D129" t="s">
        <v>464</v>
      </c>
      <c r="E129" t="s">
        <v>460</v>
      </c>
      <c r="F129" t="s">
        <v>465</v>
      </c>
      <c r="G129" t="str">
        <f>_xlfn.XLOOKUP(frasest[[#This Row],[author_es]],autorest[author_es],autorest[author_la])</f>
        <v>Epicurus</v>
      </c>
      <c r="H129" t="str">
        <f>_xlfn.XLOOKUP(frasest[[#This Row],[author_es]],autorest[author_es],autorest[bio_es])</f>
        <v>Filósofo griego de la Edad Antigua, fundador del epicureísmo, que defendía la búsqueda racional del placer moderado como camino a la felicidad.</v>
      </c>
      <c r="I129" t="str">
        <f>_xlfn.XLOOKUP(frasest[[#This Row],[author_es]],autorest[author_es],autorest[bio_la])</f>
        <v>Philosophus Graecus Antiquitatis, scholae Epicureae conditor, qui voluptatem moderatam ratione quaesitam viam ad felicitatem esse docebat.</v>
      </c>
      <c r="J129" t="str">
        <f>_xlfn.XLOOKUP(frasest[[#This Row],[author_es]],autorest[author_es],autorest[iso3691])</f>
        <v>el</v>
      </c>
      <c r="K129" t="str">
        <f>_xlfn.XLOOKUP(frasest[[#This Row],[author_es]],autorest[author_es],autorest[language_es])</f>
        <v>Griego</v>
      </c>
      <c r="L129" t="str">
        <f>_xlfn.XLOOKUP(frasest[[#This Row],[author_es]],autorest[author_es],autorest[language_la])</f>
        <v>Lingua Graeca</v>
      </c>
      <c r="M129" t="str">
        <f>_xlfn.XLOOKUP(frasest[[#This Row],[author_es]],autorest[author_es],autorest[nation_es])</f>
        <v>Grecia</v>
      </c>
      <c r="N129" t="str">
        <f>_xlfn.XLOOKUP(frasest[[#This Row],[author_es]],autorest[author_es],autorest[nation_la])</f>
        <v>Graecia</v>
      </c>
      <c r="O129" t="str">
        <f>_xlfn.XLOOKUP(frasest[[#This Row],[author_es]],autorest[author_es],autorest[age_es])</f>
        <v>Edad Antigua</v>
      </c>
      <c r="P129" t="str">
        <f>_xlfn.XLOOKUP(frasest[[#This Row],[author_es]],autorest[author_es],autorest[age_la])</f>
        <v>Antiquitas</v>
      </c>
      <c r="Q129" t="str">
        <f>_xlfn.XLOOKUP(frasest[[#This Row],[author_es]],autorest[author_es],autorest[image])</f>
        <v>https://i.ibb.co/dsQnnqJw/epicuro.png</v>
      </c>
      <c r="R129">
        <f>_xlfn.XLOOKUP(frasest[[#This Row],[author_es]],autorest[author_es],autorest[image_atr])</f>
        <v>0</v>
      </c>
    </row>
    <row r="130" spans="1:18">
      <c r="A130">
        <v>129</v>
      </c>
      <c r="B130" t="s">
        <v>466</v>
      </c>
      <c r="C130" t="s">
        <v>467</v>
      </c>
      <c r="D130" t="s">
        <v>468</v>
      </c>
      <c r="E130" t="s">
        <v>460</v>
      </c>
      <c r="F130" t="s">
        <v>469</v>
      </c>
      <c r="G130" t="str">
        <f>_xlfn.XLOOKUP(frasest[[#This Row],[author_es]],autorest[author_es],autorest[author_la])</f>
        <v>Epicurus</v>
      </c>
      <c r="H130" t="str">
        <f>_xlfn.XLOOKUP(frasest[[#This Row],[author_es]],autorest[author_es],autorest[bio_es])</f>
        <v>Filósofo griego de la Edad Antigua, fundador del epicureísmo, que defendía la búsqueda racional del placer moderado como camino a la felicidad.</v>
      </c>
      <c r="I130" t="str">
        <f>_xlfn.XLOOKUP(frasest[[#This Row],[author_es]],autorest[author_es],autorest[bio_la])</f>
        <v>Philosophus Graecus Antiquitatis, scholae Epicureae conditor, qui voluptatem moderatam ratione quaesitam viam ad felicitatem esse docebat.</v>
      </c>
      <c r="J130" t="str">
        <f>_xlfn.XLOOKUP(frasest[[#This Row],[author_es]],autorest[author_es],autorest[iso3691])</f>
        <v>el</v>
      </c>
      <c r="K130" t="str">
        <f>_xlfn.XLOOKUP(frasest[[#This Row],[author_es]],autorest[author_es],autorest[language_es])</f>
        <v>Griego</v>
      </c>
      <c r="L130" t="str">
        <f>_xlfn.XLOOKUP(frasest[[#This Row],[author_es]],autorest[author_es],autorest[language_la])</f>
        <v>Lingua Graeca</v>
      </c>
      <c r="M130" t="str">
        <f>_xlfn.XLOOKUP(frasest[[#This Row],[author_es]],autorest[author_es],autorest[nation_es])</f>
        <v>Grecia</v>
      </c>
      <c r="N130" t="str">
        <f>_xlfn.XLOOKUP(frasest[[#This Row],[author_es]],autorest[author_es],autorest[nation_la])</f>
        <v>Graecia</v>
      </c>
      <c r="O130" t="str">
        <f>_xlfn.XLOOKUP(frasest[[#This Row],[author_es]],autorest[author_es],autorest[age_es])</f>
        <v>Edad Antigua</v>
      </c>
      <c r="P130" t="str">
        <f>_xlfn.XLOOKUP(frasest[[#This Row],[author_es]],autorest[author_es],autorest[age_la])</f>
        <v>Antiquitas</v>
      </c>
      <c r="Q130" t="str">
        <f>_xlfn.XLOOKUP(frasest[[#This Row],[author_es]],autorest[author_es],autorest[image])</f>
        <v>https://i.ibb.co/dsQnnqJw/epicuro.png</v>
      </c>
      <c r="R130">
        <f>_xlfn.XLOOKUP(frasest[[#This Row],[author_es]],autorest[author_es],autorest[image_atr])</f>
        <v>0</v>
      </c>
    </row>
    <row r="131" spans="1:18">
      <c r="A131">
        <v>130</v>
      </c>
      <c r="B131" t="s">
        <v>470</v>
      </c>
      <c r="C131" t="s">
        <v>471</v>
      </c>
      <c r="D131" t="s">
        <v>472</v>
      </c>
      <c r="E131" t="s">
        <v>460</v>
      </c>
      <c r="F131" t="s">
        <v>473</v>
      </c>
      <c r="G131" t="str">
        <f>_xlfn.XLOOKUP(frasest[[#This Row],[author_es]],autorest[author_es],autorest[author_la])</f>
        <v>Epicurus</v>
      </c>
      <c r="H131" t="str">
        <f>_xlfn.XLOOKUP(frasest[[#This Row],[author_es]],autorest[author_es],autorest[bio_es])</f>
        <v>Filósofo griego de la Edad Antigua, fundador del epicureísmo, que defendía la búsqueda racional del placer moderado como camino a la felicidad.</v>
      </c>
      <c r="I131" t="str">
        <f>_xlfn.XLOOKUP(frasest[[#This Row],[author_es]],autorest[author_es],autorest[bio_la])</f>
        <v>Philosophus Graecus Antiquitatis, scholae Epicureae conditor, qui voluptatem moderatam ratione quaesitam viam ad felicitatem esse docebat.</v>
      </c>
      <c r="J131" t="str">
        <f>_xlfn.XLOOKUP(frasest[[#This Row],[author_es]],autorest[author_es],autorest[iso3691])</f>
        <v>el</v>
      </c>
      <c r="K131" t="str">
        <f>_xlfn.XLOOKUP(frasest[[#This Row],[author_es]],autorest[author_es],autorest[language_es])</f>
        <v>Griego</v>
      </c>
      <c r="L131" t="str">
        <f>_xlfn.XLOOKUP(frasest[[#This Row],[author_es]],autorest[author_es],autorest[language_la])</f>
        <v>Lingua Graeca</v>
      </c>
      <c r="M131" t="str">
        <f>_xlfn.XLOOKUP(frasest[[#This Row],[author_es]],autorest[author_es],autorest[nation_es])</f>
        <v>Grecia</v>
      </c>
      <c r="N131" t="str">
        <f>_xlfn.XLOOKUP(frasest[[#This Row],[author_es]],autorest[author_es],autorest[nation_la])</f>
        <v>Graecia</v>
      </c>
      <c r="O131" t="str">
        <f>_xlfn.XLOOKUP(frasest[[#This Row],[author_es]],autorest[author_es],autorest[age_es])</f>
        <v>Edad Antigua</v>
      </c>
      <c r="P131" t="str">
        <f>_xlfn.XLOOKUP(frasest[[#This Row],[author_es]],autorest[author_es],autorest[age_la])</f>
        <v>Antiquitas</v>
      </c>
      <c r="Q131" t="str">
        <f>_xlfn.XLOOKUP(frasest[[#This Row],[author_es]],autorest[author_es],autorest[image])</f>
        <v>https://i.ibb.co/dsQnnqJw/epicuro.png</v>
      </c>
      <c r="R131">
        <f>_xlfn.XLOOKUP(frasest[[#This Row],[author_es]],autorest[author_es],autorest[image_atr])</f>
        <v>0</v>
      </c>
    </row>
    <row r="132" spans="1:18">
      <c r="A132">
        <v>131</v>
      </c>
      <c r="B132" t="s">
        <v>474</v>
      </c>
      <c r="C132" t="s">
        <v>475</v>
      </c>
      <c r="D132" t="s">
        <v>476</v>
      </c>
      <c r="E132" t="s">
        <v>460</v>
      </c>
      <c r="F132" t="s">
        <v>477</v>
      </c>
      <c r="G132" t="str">
        <f>_xlfn.XLOOKUP(frasest[[#This Row],[author_es]],autorest[author_es],autorest[author_la])</f>
        <v>Epicurus</v>
      </c>
      <c r="H132" t="str">
        <f>_xlfn.XLOOKUP(frasest[[#This Row],[author_es]],autorest[author_es],autorest[bio_es])</f>
        <v>Filósofo griego de la Edad Antigua, fundador del epicureísmo, que defendía la búsqueda racional del placer moderado como camino a la felicidad.</v>
      </c>
      <c r="I132" t="str">
        <f>_xlfn.XLOOKUP(frasest[[#This Row],[author_es]],autorest[author_es],autorest[bio_la])</f>
        <v>Philosophus Graecus Antiquitatis, scholae Epicureae conditor, qui voluptatem moderatam ratione quaesitam viam ad felicitatem esse docebat.</v>
      </c>
      <c r="J132" t="str">
        <f>_xlfn.XLOOKUP(frasest[[#This Row],[author_es]],autorest[author_es],autorest[iso3691])</f>
        <v>el</v>
      </c>
      <c r="K132" t="str">
        <f>_xlfn.XLOOKUP(frasest[[#This Row],[author_es]],autorest[author_es],autorest[language_es])</f>
        <v>Griego</v>
      </c>
      <c r="L132" t="str">
        <f>_xlfn.XLOOKUP(frasest[[#This Row],[author_es]],autorest[author_es],autorest[language_la])</f>
        <v>Lingua Graeca</v>
      </c>
      <c r="M132" t="str">
        <f>_xlfn.XLOOKUP(frasest[[#This Row],[author_es]],autorest[author_es],autorest[nation_es])</f>
        <v>Grecia</v>
      </c>
      <c r="N132" t="str">
        <f>_xlfn.XLOOKUP(frasest[[#This Row],[author_es]],autorest[author_es],autorest[nation_la])</f>
        <v>Graecia</v>
      </c>
      <c r="O132" t="str">
        <f>_xlfn.XLOOKUP(frasest[[#This Row],[author_es]],autorest[author_es],autorest[age_es])</f>
        <v>Edad Antigua</v>
      </c>
      <c r="P132" t="str">
        <f>_xlfn.XLOOKUP(frasest[[#This Row],[author_es]],autorest[author_es],autorest[age_la])</f>
        <v>Antiquitas</v>
      </c>
      <c r="Q132" t="str">
        <f>_xlfn.XLOOKUP(frasest[[#This Row],[author_es]],autorest[author_es],autorest[image])</f>
        <v>https://i.ibb.co/dsQnnqJw/epicuro.png</v>
      </c>
      <c r="R132">
        <f>_xlfn.XLOOKUP(frasest[[#This Row],[author_es]],autorest[author_es],autorest[image_atr])</f>
        <v>0</v>
      </c>
    </row>
    <row r="133" spans="1:18">
      <c r="A133">
        <v>132</v>
      </c>
      <c r="B133" t="s">
        <v>478</v>
      </c>
      <c r="C133" t="s">
        <v>479</v>
      </c>
      <c r="D133" t="s">
        <v>480</v>
      </c>
      <c r="E133" t="s">
        <v>460</v>
      </c>
      <c r="F133" t="s">
        <v>481</v>
      </c>
      <c r="G133" t="str">
        <f>_xlfn.XLOOKUP(frasest[[#This Row],[author_es]],autorest[author_es],autorest[author_la])</f>
        <v>Epicurus</v>
      </c>
      <c r="H133" t="str">
        <f>_xlfn.XLOOKUP(frasest[[#This Row],[author_es]],autorest[author_es],autorest[bio_es])</f>
        <v>Filósofo griego de la Edad Antigua, fundador del epicureísmo, que defendía la búsqueda racional del placer moderado como camino a la felicidad.</v>
      </c>
      <c r="I133" t="str">
        <f>_xlfn.XLOOKUP(frasest[[#This Row],[author_es]],autorest[author_es],autorest[bio_la])</f>
        <v>Philosophus Graecus Antiquitatis, scholae Epicureae conditor, qui voluptatem moderatam ratione quaesitam viam ad felicitatem esse docebat.</v>
      </c>
      <c r="J133" t="str">
        <f>_xlfn.XLOOKUP(frasest[[#This Row],[author_es]],autorest[author_es],autorest[iso3691])</f>
        <v>el</v>
      </c>
      <c r="K133" t="str">
        <f>_xlfn.XLOOKUP(frasest[[#This Row],[author_es]],autorest[author_es],autorest[language_es])</f>
        <v>Griego</v>
      </c>
      <c r="L133" t="str">
        <f>_xlfn.XLOOKUP(frasest[[#This Row],[author_es]],autorest[author_es],autorest[language_la])</f>
        <v>Lingua Graeca</v>
      </c>
      <c r="M133" t="str">
        <f>_xlfn.XLOOKUP(frasest[[#This Row],[author_es]],autorest[author_es],autorest[nation_es])</f>
        <v>Grecia</v>
      </c>
      <c r="N133" t="str">
        <f>_xlfn.XLOOKUP(frasest[[#This Row],[author_es]],autorest[author_es],autorest[nation_la])</f>
        <v>Graecia</v>
      </c>
      <c r="O133" t="str">
        <f>_xlfn.XLOOKUP(frasest[[#This Row],[author_es]],autorest[author_es],autorest[age_es])</f>
        <v>Edad Antigua</v>
      </c>
      <c r="P133" t="str">
        <f>_xlfn.XLOOKUP(frasest[[#This Row],[author_es]],autorest[author_es],autorest[age_la])</f>
        <v>Antiquitas</v>
      </c>
      <c r="Q133" t="str">
        <f>_xlfn.XLOOKUP(frasest[[#This Row],[author_es]],autorest[author_es],autorest[image])</f>
        <v>https://i.ibb.co/dsQnnqJw/epicuro.png</v>
      </c>
      <c r="R133">
        <f>_xlfn.XLOOKUP(frasest[[#This Row],[author_es]],autorest[author_es],autorest[image_atr])</f>
        <v>0</v>
      </c>
    </row>
    <row r="134" spans="1:18">
      <c r="A134">
        <v>133</v>
      </c>
      <c r="B134" t="s">
        <v>482</v>
      </c>
      <c r="C134" t="s">
        <v>483</v>
      </c>
      <c r="D134" t="s">
        <v>484</v>
      </c>
      <c r="E134" t="s">
        <v>460</v>
      </c>
      <c r="F134" t="s">
        <v>485</v>
      </c>
      <c r="G134" t="str">
        <f>_xlfn.XLOOKUP(frasest[[#This Row],[author_es]],autorest[author_es],autorest[author_la])</f>
        <v>Epicurus</v>
      </c>
      <c r="H134" t="str">
        <f>_xlfn.XLOOKUP(frasest[[#This Row],[author_es]],autorest[author_es],autorest[bio_es])</f>
        <v>Filósofo griego de la Edad Antigua, fundador del epicureísmo, que defendía la búsqueda racional del placer moderado como camino a la felicidad.</v>
      </c>
      <c r="I134" t="str">
        <f>_xlfn.XLOOKUP(frasest[[#This Row],[author_es]],autorest[author_es],autorest[bio_la])</f>
        <v>Philosophus Graecus Antiquitatis, scholae Epicureae conditor, qui voluptatem moderatam ratione quaesitam viam ad felicitatem esse docebat.</v>
      </c>
      <c r="J134" t="str">
        <f>_xlfn.XLOOKUP(frasest[[#This Row],[author_es]],autorest[author_es],autorest[iso3691])</f>
        <v>el</v>
      </c>
      <c r="K134" t="str">
        <f>_xlfn.XLOOKUP(frasest[[#This Row],[author_es]],autorest[author_es],autorest[language_es])</f>
        <v>Griego</v>
      </c>
      <c r="L134" t="str">
        <f>_xlfn.XLOOKUP(frasest[[#This Row],[author_es]],autorest[author_es],autorest[language_la])</f>
        <v>Lingua Graeca</v>
      </c>
      <c r="M134" t="str">
        <f>_xlfn.XLOOKUP(frasest[[#This Row],[author_es]],autorest[author_es],autorest[nation_es])</f>
        <v>Grecia</v>
      </c>
      <c r="N134" t="str">
        <f>_xlfn.XLOOKUP(frasest[[#This Row],[author_es]],autorest[author_es],autorest[nation_la])</f>
        <v>Graecia</v>
      </c>
      <c r="O134" t="str">
        <f>_xlfn.XLOOKUP(frasest[[#This Row],[author_es]],autorest[author_es],autorest[age_es])</f>
        <v>Edad Antigua</v>
      </c>
      <c r="P134" t="str">
        <f>_xlfn.XLOOKUP(frasest[[#This Row],[author_es]],autorest[author_es],autorest[age_la])</f>
        <v>Antiquitas</v>
      </c>
      <c r="Q134" t="str">
        <f>_xlfn.XLOOKUP(frasest[[#This Row],[author_es]],autorest[author_es],autorest[image])</f>
        <v>https://i.ibb.co/dsQnnqJw/epicuro.png</v>
      </c>
      <c r="R134">
        <f>_xlfn.XLOOKUP(frasest[[#This Row],[author_es]],autorest[author_es],autorest[image_atr])</f>
        <v>0</v>
      </c>
    </row>
    <row r="135" spans="1:18">
      <c r="A135">
        <v>134</v>
      </c>
      <c r="B135" t="s">
        <v>486</v>
      </c>
      <c r="C135" t="s">
        <v>487</v>
      </c>
      <c r="D135" t="s">
        <v>488</v>
      </c>
      <c r="E135" t="s">
        <v>460</v>
      </c>
      <c r="F135" t="s">
        <v>489</v>
      </c>
      <c r="G135" t="str">
        <f>_xlfn.XLOOKUP(frasest[[#This Row],[author_es]],autorest[author_es],autorest[author_la])</f>
        <v>Epicurus</v>
      </c>
      <c r="H135" t="str">
        <f>_xlfn.XLOOKUP(frasest[[#This Row],[author_es]],autorest[author_es],autorest[bio_es])</f>
        <v>Filósofo griego de la Edad Antigua, fundador del epicureísmo, que defendía la búsqueda racional del placer moderado como camino a la felicidad.</v>
      </c>
      <c r="I135" t="str">
        <f>_xlfn.XLOOKUP(frasest[[#This Row],[author_es]],autorest[author_es],autorest[bio_la])</f>
        <v>Philosophus Graecus Antiquitatis, scholae Epicureae conditor, qui voluptatem moderatam ratione quaesitam viam ad felicitatem esse docebat.</v>
      </c>
      <c r="J135" t="str">
        <f>_xlfn.XLOOKUP(frasest[[#This Row],[author_es]],autorest[author_es],autorest[iso3691])</f>
        <v>el</v>
      </c>
      <c r="K135" t="str">
        <f>_xlfn.XLOOKUP(frasest[[#This Row],[author_es]],autorest[author_es],autorest[language_es])</f>
        <v>Griego</v>
      </c>
      <c r="L135" t="str">
        <f>_xlfn.XLOOKUP(frasest[[#This Row],[author_es]],autorest[author_es],autorest[language_la])</f>
        <v>Lingua Graeca</v>
      </c>
      <c r="M135" t="str">
        <f>_xlfn.XLOOKUP(frasest[[#This Row],[author_es]],autorest[author_es],autorest[nation_es])</f>
        <v>Grecia</v>
      </c>
      <c r="N135" t="str">
        <f>_xlfn.XLOOKUP(frasest[[#This Row],[author_es]],autorest[author_es],autorest[nation_la])</f>
        <v>Graecia</v>
      </c>
      <c r="O135" t="str">
        <f>_xlfn.XLOOKUP(frasest[[#This Row],[author_es]],autorest[author_es],autorest[age_es])</f>
        <v>Edad Antigua</v>
      </c>
      <c r="P135" t="str">
        <f>_xlfn.XLOOKUP(frasest[[#This Row],[author_es]],autorest[author_es],autorest[age_la])</f>
        <v>Antiquitas</v>
      </c>
      <c r="Q135" t="str">
        <f>_xlfn.XLOOKUP(frasest[[#This Row],[author_es]],autorest[author_es],autorest[image])</f>
        <v>https://i.ibb.co/dsQnnqJw/epicuro.png</v>
      </c>
      <c r="R135">
        <f>_xlfn.XLOOKUP(frasest[[#This Row],[author_es]],autorest[author_es],autorest[image_atr])</f>
        <v>0</v>
      </c>
    </row>
    <row r="136" spans="1:18">
      <c r="A136">
        <v>135</v>
      </c>
      <c r="B136" t="s">
        <v>490</v>
      </c>
      <c r="C136" t="s">
        <v>491</v>
      </c>
      <c r="D136" t="s">
        <v>492</v>
      </c>
      <c r="E136" t="s">
        <v>460</v>
      </c>
      <c r="F136" t="s">
        <v>493</v>
      </c>
      <c r="G136" t="str">
        <f>_xlfn.XLOOKUP(frasest[[#This Row],[author_es]],autorest[author_es],autorest[author_la])</f>
        <v>Epicurus</v>
      </c>
      <c r="H136" t="str">
        <f>_xlfn.XLOOKUP(frasest[[#This Row],[author_es]],autorest[author_es],autorest[bio_es])</f>
        <v>Filósofo griego de la Edad Antigua, fundador del epicureísmo, que defendía la búsqueda racional del placer moderado como camino a la felicidad.</v>
      </c>
      <c r="I136" t="str">
        <f>_xlfn.XLOOKUP(frasest[[#This Row],[author_es]],autorest[author_es],autorest[bio_la])</f>
        <v>Philosophus Graecus Antiquitatis, scholae Epicureae conditor, qui voluptatem moderatam ratione quaesitam viam ad felicitatem esse docebat.</v>
      </c>
      <c r="J136" t="str">
        <f>_xlfn.XLOOKUP(frasest[[#This Row],[author_es]],autorest[author_es],autorest[iso3691])</f>
        <v>el</v>
      </c>
      <c r="K136" t="str">
        <f>_xlfn.XLOOKUP(frasest[[#This Row],[author_es]],autorest[author_es],autorest[language_es])</f>
        <v>Griego</v>
      </c>
      <c r="L136" t="str">
        <f>_xlfn.XLOOKUP(frasest[[#This Row],[author_es]],autorest[author_es],autorest[language_la])</f>
        <v>Lingua Graeca</v>
      </c>
      <c r="M136" t="str">
        <f>_xlfn.XLOOKUP(frasest[[#This Row],[author_es]],autorest[author_es],autorest[nation_es])</f>
        <v>Grecia</v>
      </c>
      <c r="N136" t="str">
        <f>_xlfn.XLOOKUP(frasest[[#This Row],[author_es]],autorest[author_es],autorest[nation_la])</f>
        <v>Graecia</v>
      </c>
      <c r="O136" t="str">
        <f>_xlfn.XLOOKUP(frasest[[#This Row],[author_es]],autorest[author_es],autorest[age_es])</f>
        <v>Edad Antigua</v>
      </c>
      <c r="P136" t="str">
        <f>_xlfn.XLOOKUP(frasest[[#This Row],[author_es]],autorest[author_es],autorest[age_la])</f>
        <v>Antiquitas</v>
      </c>
      <c r="Q136" t="str">
        <f>_xlfn.XLOOKUP(frasest[[#This Row],[author_es]],autorest[author_es],autorest[image])</f>
        <v>https://i.ibb.co/dsQnnqJw/epicuro.png</v>
      </c>
      <c r="R136">
        <f>_xlfn.XLOOKUP(frasest[[#This Row],[author_es]],autorest[author_es],autorest[image_atr])</f>
        <v>0</v>
      </c>
    </row>
    <row r="137" spans="1:18">
      <c r="A137">
        <v>136</v>
      </c>
      <c r="B137" t="s">
        <v>494</v>
      </c>
      <c r="C137" t="s">
        <v>495</v>
      </c>
      <c r="D137" t="s">
        <v>496</v>
      </c>
      <c r="E137" t="s">
        <v>460</v>
      </c>
      <c r="F137" t="s">
        <v>497</v>
      </c>
      <c r="G137" t="str">
        <f>_xlfn.XLOOKUP(frasest[[#This Row],[author_es]],autorest[author_es],autorest[author_la])</f>
        <v>Epicurus</v>
      </c>
      <c r="H137" t="str">
        <f>_xlfn.XLOOKUP(frasest[[#This Row],[author_es]],autorest[author_es],autorest[bio_es])</f>
        <v>Filósofo griego de la Edad Antigua, fundador del epicureísmo, que defendía la búsqueda racional del placer moderado como camino a la felicidad.</v>
      </c>
      <c r="I137" t="str">
        <f>_xlfn.XLOOKUP(frasest[[#This Row],[author_es]],autorest[author_es],autorest[bio_la])</f>
        <v>Philosophus Graecus Antiquitatis, scholae Epicureae conditor, qui voluptatem moderatam ratione quaesitam viam ad felicitatem esse docebat.</v>
      </c>
      <c r="J137" t="str">
        <f>_xlfn.XLOOKUP(frasest[[#This Row],[author_es]],autorest[author_es],autorest[iso3691])</f>
        <v>el</v>
      </c>
      <c r="K137" t="str">
        <f>_xlfn.XLOOKUP(frasest[[#This Row],[author_es]],autorest[author_es],autorest[language_es])</f>
        <v>Griego</v>
      </c>
      <c r="L137" t="str">
        <f>_xlfn.XLOOKUP(frasest[[#This Row],[author_es]],autorest[author_es],autorest[language_la])</f>
        <v>Lingua Graeca</v>
      </c>
      <c r="M137" t="str">
        <f>_xlfn.XLOOKUP(frasest[[#This Row],[author_es]],autorest[author_es],autorest[nation_es])</f>
        <v>Grecia</v>
      </c>
      <c r="N137" t="str">
        <f>_xlfn.XLOOKUP(frasest[[#This Row],[author_es]],autorest[author_es],autorest[nation_la])</f>
        <v>Graecia</v>
      </c>
      <c r="O137" t="str">
        <f>_xlfn.XLOOKUP(frasest[[#This Row],[author_es]],autorest[author_es],autorest[age_es])</f>
        <v>Edad Antigua</v>
      </c>
      <c r="P137" t="str">
        <f>_xlfn.XLOOKUP(frasest[[#This Row],[author_es]],autorest[author_es],autorest[age_la])</f>
        <v>Antiquitas</v>
      </c>
      <c r="Q137" t="str">
        <f>_xlfn.XLOOKUP(frasest[[#This Row],[author_es]],autorest[author_es],autorest[image])</f>
        <v>https://i.ibb.co/dsQnnqJw/epicuro.png</v>
      </c>
      <c r="R137">
        <f>_xlfn.XLOOKUP(frasest[[#This Row],[author_es]],autorest[author_es],autorest[image_atr])</f>
        <v>0</v>
      </c>
    </row>
    <row r="138" spans="1:18">
      <c r="A138">
        <v>137</v>
      </c>
      <c r="B138" t="s">
        <v>498</v>
      </c>
      <c r="C138" t="s">
        <v>499</v>
      </c>
      <c r="D138" t="s">
        <v>500</v>
      </c>
      <c r="E138" t="s">
        <v>501</v>
      </c>
      <c r="F138" t="s">
        <v>502</v>
      </c>
      <c r="G138" t="str">
        <f>_xlfn.XLOOKUP(frasest[[#This Row],[author_es]],autorest[author_es],autorest[author_la])</f>
        <v>Marcus Aurelius</v>
      </c>
      <c r="H138" t="str">
        <f>_xlfn.XLOOKUP(frasest[[#This Row],[author_es]],autorest[author_es],autorest[bio_es])</f>
        <v>Emperador romano y filósofo estoico de la Edad Antigua, autor de las “Meditaciones”, obra clave del estoicismo práctico.</v>
      </c>
      <c r="I138" t="str">
        <f>_xlfn.XLOOKUP(frasest[[#This Row],[author_es]],autorest[author_es],autorest[bio_la])</f>
        <v>Imperator Romanus et philosophus Stoicus Antiquitatis, auctor “Meditationum”, operis maximi in praxi Stoica.</v>
      </c>
      <c r="J138" t="str">
        <f>_xlfn.XLOOKUP(frasest[[#This Row],[author_es]],autorest[author_es],autorest[iso3691])</f>
        <v>el</v>
      </c>
      <c r="K138" t="str">
        <f>_xlfn.XLOOKUP(frasest[[#This Row],[author_es]],autorest[author_es],autorest[language_es])</f>
        <v>Griego</v>
      </c>
      <c r="L138" t="str">
        <f>_xlfn.XLOOKUP(frasest[[#This Row],[author_es]],autorest[author_es],autorest[language_la])</f>
        <v>Lingua Graeca</v>
      </c>
      <c r="M138" t="str">
        <f>_xlfn.XLOOKUP(frasest[[#This Row],[author_es]],autorest[author_es],autorest[nation_es])</f>
        <v>Roma</v>
      </c>
      <c r="N138" t="str">
        <f>_xlfn.XLOOKUP(frasest[[#This Row],[author_es]],autorest[author_es],autorest[nation_la])</f>
        <v>Roma</v>
      </c>
      <c r="O138" t="str">
        <f>_xlfn.XLOOKUP(frasest[[#This Row],[author_es]],autorest[author_es],autorest[age_es])</f>
        <v>Edad Antigua</v>
      </c>
      <c r="P138" t="str">
        <f>_xlfn.XLOOKUP(frasest[[#This Row],[author_es]],autorest[author_es],autorest[age_la])</f>
        <v>Antiquitas</v>
      </c>
      <c r="Q138" t="str">
        <f>_xlfn.XLOOKUP(frasest[[#This Row],[author_es]],autorest[author_es],autorest[image])</f>
        <v>https://i.ibb.co/0p8F8QbX/marcoaurelio.png</v>
      </c>
      <c r="R138">
        <f>_xlfn.XLOOKUP(frasest[[#This Row],[author_es]],autorest[author_es],autorest[image_atr])</f>
        <v>0</v>
      </c>
    </row>
    <row r="139" spans="1:18">
      <c r="A139">
        <v>138</v>
      </c>
      <c r="B139" t="s">
        <v>503</v>
      </c>
      <c r="C139" t="s">
        <v>504</v>
      </c>
      <c r="D139" t="s">
        <v>505</v>
      </c>
      <c r="E139" t="s">
        <v>501</v>
      </c>
      <c r="F139" t="s">
        <v>506</v>
      </c>
      <c r="G139" t="str">
        <f>_xlfn.XLOOKUP(frasest[[#This Row],[author_es]],autorest[author_es],autorest[author_la])</f>
        <v>Marcus Aurelius</v>
      </c>
      <c r="H139" t="str">
        <f>_xlfn.XLOOKUP(frasest[[#This Row],[author_es]],autorest[author_es],autorest[bio_es])</f>
        <v>Emperador romano y filósofo estoico de la Edad Antigua, autor de las “Meditaciones”, obra clave del estoicismo práctico.</v>
      </c>
      <c r="I139" t="str">
        <f>_xlfn.XLOOKUP(frasest[[#This Row],[author_es]],autorest[author_es],autorest[bio_la])</f>
        <v>Imperator Romanus et philosophus Stoicus Antiquitatis, auctor “Meditationum”, operis maximi in praxi Stoica.</v>
      </c>
      <c r="J139" t="str">
        <f>_xlfn.XLOOKUP(frasest[[#This Row],[author_es]],autorest[author_es],autorest[iso3691])</f>
        <v>el</v>
      </c>
      <c r="K139" t="str">
        <f>_xlfn.XLOOKUP(frasest[[#This Row],[author_es]],autorest[author_es],autorest[language_es])</f>
        <v>Griego</v>
      </c>
      <c r="L139" t="str">
        <f>_xlfn.XLOOKUP(frasest[[#This Row],[author_es]],autorest[author_es],autorest[language_la])</f>
        <v>Lingua Graeca</v>
      </c>
      <c r="M139" t="str">
        <f>_xlfn.XLOOKUP(frasest[[#This Row],[author_es]],autorest[author_es],autorest[nation_es])</f>
        <v>Roma</v>
      </c>
      <c r="N139" t="str">
        <f>_xlfn.XLOOKUP(frasest[[#This Row],[author_es]],autorest[author_es],autorest[nation_la])</f>
        <v>Roma</v>
      </c>
      <c r="O139" t="str">
        <f>_xlfn.XLOOKUP(frasest[[#This Row],[author_es]],autorest[author_es],autorest[age_es])</f>
        <v>Edad Antigua</v>
      </c>
      <c r="P139" t="str">
        <f>_xlfn.XLOOKUP(frasest[[#This Row],[author_es]],autorest[author_es],autorest[age_la])</f>
        <v>Antiquitas</v>
      </c>
      <c r="Q139" t="str">
        <f>_xlfn.XLOOKUP(frasest[[#This Row],[author_es]],autorest[author_es],autorest[image])</f>
        <v>https://i.ibb.co/0p8F8QbX/marcoaurelio.png</v>
      </c>
      <c r="R139">
        <f>_xlfn.XLOOKUP(frasest[[#This Row],[author_es]],autorest[author_es],autorest[image_atr])</f>
        <v>0</v>
      </c>
    </row>
    <row r="140" spans="1:18">
      <c r="A140">
        <v>139</v>
      </c>
      <c r="B140" t="s">
        <v>507</v>
      </c>
      <c r="C140" t="s">
        <v>508</v>
      </c>
      <c r="D140" t="s">
        <v>509</v>
      </c>
      <c r="E140" t="s">
        <v>501</v>
      </c>
      <c r="F140" t="s">
        <v>510</v>
      </c>
      <c r="G140" t="str">
        <f>_xlfn.XLOOKUP(frasest[[#This Row],[author_es]],autorest[author_es],autorest[author_la])</f>
        <v>Marcus Aurelius</v>
      </c>
      <c r="H140" t="str">
        <f>_xlfn.XLOOKUP(frasest[[#This Row],[author_es]],autorest[author_es],autorest[bio_es])</f>
        <v>Emperador romano y filósofo estoico de la Edad Antigua, autor de las “Meditaciones”, obra clave del estoicismo práctico.</v>
      </c>
      <c r="I140" t="str">
        <f>_xlfn.XLOOKUP(frasest[[#This Row],[author_es]],autorest[author_es],autorest[bio_la])</f>
        <v>Imperator Romanus et philosophus Stoicus Antiquitatis, auctor “Meditationum”, operis maximi in praxi Stoica.</v>
      </c>
      <c r="J140" t="str">
        <f>_xlfn.XLOOKUP(frasest[[#This Row],[author_es]],autorest[author_es],autorest[iso3691])</f>
        <v>el</v>
      </c>
      <c r="K140" t="str">
        <f>_xlfn.XLOOKUP(frasest[[#This Row],[author_es]],autorest[author_es],autorest[language_es])</f>
        <v>Griego</v>
      </c>
      <c r="L140" t="str">
        <f>_xlfn.XLOOKUP(frasest[[#This Row],[author_es]],autorest[author_es],autorest[language_la])</f>
        <v>Lingua Graeca</v>
      </c>
      <c r="M140" t="str">
        <f>_xlfn.XLOOKUP(frasest[[#This Row],[author_es]],autorest[author_es],autorest[nation_es])</f>
        <v>Roma</v>
      </c>
      <c r="N140" t="str">
        <f>_xlfn.XLOOKUP(frasest[[#This Row],[author_es]],autorest[author_es],autorest[nation_la])</f>
        <v>Roma</v>
      </c>
      <c r="O140" t="str">
        <f>_xlfn.XLOOKUP(frasest[[#This Row],[author_es]],autorest[author_es],autorest[age_es])</f>
        <v>Edad Antigua</v>
      </c>
      <c r="P140" t="str">
        <f>_xlfn.XLOOKUP(frasest[[#This Row],[author_es]],autorest[author_es],autorest[age_la])</f>
        <v>Antiquitas</v>
      </c>
      <c r="Q140" t="str">
        <f>_xlfn.XLOOKUP(frasest[[#This Row],[author_es]],autorest[author_es],autorest[image])</f>
        <v>https://i.ibb.co/0p8F8QbX/marcoaurelio.png</v>
      </c>
      <c r="R140">
        <f>_xlfn.XLOOKUP(frasest[[#This Row],[author_es]],autorest[author_es],autorest[image_atr])</f>
        <v>0</v>
      </c>
    </row>
    <row r="141" spans="1:18">
      <c r="A141">
        <v>140</v>
      </c>
      <c r="B141" t="s">
        <v>511</v>
      </c>
      <c r="C141" t="s">
        <v>512</v>
      </c>
      <c r="D141" t="s">
        <v>513</v>
      </c>
      <c r="E141" t="s">
        <v>501</v>
      </c>
      <c r="F141" t="s">
        <v>514</v>
      </c>
      <c r="G141" t="str">
        <f>_xlfn.XLOOKUP(frasest[[#This Row],[author_es]],autorest[author_es],autorest[author_la])</f>
        <v>Marcus Aurelius</v>
      </c>
      <c r="H141" t="str">
        <f>_xlfn.XLOOKUP(frasest[[#This Row],[author_es]],autorest[author_es],autorest[bio_es])</f>
        <v>Emperador romano y filósofo estoico de la Edad Antigua, autor de las “Meditaciones”, obra clave del estoicismo práctico.</v>
      </c>
      <c r="I141" t="str">
        <f>_xlfn.XLOOKUP(frasest[[#This Row],[author_es]],autorest[author_es],autorest[bio_la])</f>
        <v>Imperator Romanus et philosophus Stoicus Antiquitatis, auctor “Meditationum”, operis maximi in praxi Stoica.</v>
      </c>
      <c r="J141" t="str">
        <f>_xlfn.XLOOKUP(frasest[[#This Row],[author_es]],autorest[author_es],autorest[iso3691])</f>
        <v>el</v>
      </c>
      <c r="K141" t="str">
        <f>_xlfn.XLOOKUP(frasest[[#This Row],[author_es]],autorest[author_es],autorest[language_es])</f>
        <v>Griego</v>
      </c>
      <c r="L141" t="str">
        <f>_xlfn.XLOOKUP(frasest[[#This Row],[author_es]],autorest[author_es],autorest[language_la])</f>
        <v>Lingua Graeca</v>
      </c>
      <c r="M141" t="str">
        <f>_xlfn.XLOOKUP(frasest[[#This Row],[author_es]],autorest[author_es],autorest[nation_es])</f>
        <v>Roma</v>
      </c>
      <c r="N141" t="str">
        <f>_xlfn.XLOOKUP(frasest[[#This Row],[author_es]],autorest[author_es],autorest[nation_la])</f>
        <v>Roma</v>
      </c>
      <c r="O141" t="str">
        <f>_xlfn.XLOOKUP(frasest[[#This Row],[author_es]],autorest[author_es],autorest[age_es])</f>
        <v>Edad Antigua</v>
      </c>
      <c r="P141" t="str">
        <f>_xlfn.XLOOKUP(frasest[[#This Row],[author_es]],autorest[author_es],autorest[age_la])</f>
        <v>Antiquitas</v>
      </c>
      <c r="Q141" t="str">
        <f>_xlfn.XLOOKUP(frasest[[#This Row],[author_es]],autorest[author_es],autorest[image])</f>
        <v>https://i.ibb.co/0p8F8QbX/marcoaurelio.png</v>
      </c>
      <c r="R141">
        <f>_xlfn.XLOOKUP(frasest[[#This Row],[author_es]],autorest[author_es],autorest[image_atr])</f>
        <v>0</v>
      </c>
    </row>
    <row r="142" spans="1:18">
      <c r="A142">
        <v>141</v>
      </c>
      <c r="B142" t="s">
        <v>515</v>
      </c>
      <c r="C142" t="s">
        <v>516</v>
      </c>
      <c r="D142" t="s">
        <v>517</v>
      </c>
      <c r="E142" t="s">
        <v>501</v>
      </c>
      <c r="F142" t="s">
        <v>518</v>
      </c>
      <c r="G142" t="str">
        <f>_xlfn.XLOOKUP(frasest[[#This Row],[author_es]],autorest[author_es],autorest[author_la])</f>
        <v>Marcus Aurelius</v>
      </c>
      <c r="H142" t="str">
        <f>_xlfn.XLOOKUP(frasest[[#This Row],[author_es]],autorest[author_es],autorest[bio_es])</f>
        <v>Emperador romano y filósofo estoico de la Edad Antigua, autor de las “Meditaciones”, obra clave del estoicismo práctico.</v>
      </c>
      <c r="I142" t="str">
        <f>_xlfn.XLOOKUP(frasest[[#This Row],[author_es]],autorest[author_es],autorest[bio_la])</f>
        <v>Imperator Romanus et philosophus Stoicus Antiquitatis, auctor “Meditationum”, operis maximi in praxi Stoica.</v>
      </c>
      <c r="J142" t="str">
        <f>_xlfn.XLOOKUP(frasest[[#This Row],[author_es]],autorest[author_es],autorest[iso3691])</f>
        <v>el</v>
      </c>
      <c r="K142" t="str">
        <f>_xlfn.XLOOKUP(frasest[[#This Row],[author_es]],autorest[author_es],autorest[language_es])</f>
        <v>Griego</v>
      </c>
      <c r="L142" t="str">
        <f>_xlfn.XLOOKUP(frasest[[#This Row],[author_es]],autorest[author_es],autorest[language_la])</f>
        <v>Lingua Graeca</v>
      </c>
      <c r="M142" t="str">
        <f>_xlfn.XLOOKUP(frasest[[#This Row],[author_es]],autorest[author_es],autorest[nation_es])</f>
        <v>Roma</v>
      </c>
      <c r="N142" t="str">
        <f>_xlfn.XLOOKUP(frasest[[#This Row],[author_es]],autorest[author_es],autorest[nation_la])</f>
        <v>Roma</v>
      </c>
      <c r="O142" t="str">
        <f>_xlfn.XLOOKUP(frasest[[#This Row],[author_es]],autorest[author_es],autorest[age_es])</f>
        <v>Edad Antigua</v>
      </c>
      <c r="P142" t="str">
        <f>_xlfn.XLOOKUP(frasest[[#This Row],[author_es]],autorest[author_es],autorest[age_la])</f>
        <v>Antiquitas</v>
      </c>
      <c r="Q142" t="str">
        <f>_xlfn.XLOOKUP(frasest[[#This Row],[author_es]],autorest[author_es],autorest[image])</f>
        <v>https://i.ibb.co/0p8F8QbX/marcoaurelio.png</v>
      </c>
      <c r="R142">
        <f>_xlfn.XLOOKUP(frasest[[#This Row],[author_es]],autorest[author_es],autorest[image_atr])</f>
        <v>0</v>
      </c>
    </row>
    <row r="143" spans="1:18">
      <c r="A143">
        <v>142</v>
      </c>
      <c r="B143" t="s">
        <v>519</v>
      </c>
      <c r="C143" t="s">
        <v>520</v>
      </c>
      <c r="D143" t="s">
        <v>521</v>
      </c>
      <c r="E143" t="s">
        <v>501</v>
      </c>
      <c r="F143" t="s">
        <v>522</v>
      </c>
      <c r="G143" t="str">
        <f>_xlfn.XLOOKUP(frasest[[#This Row],[author_es]],autorest[author_es],autorest[author_la])</f>
        <v>Marcus Aurelius</v>
      </c>
      <c r="H143" t="str">
        <f>_xlfn.XLOOKUP(frasest[[#This Row],[author_es]],autorest[author_es],autorest[bio_es])</f>
        <v>Emperador romano y filósofo estoico de la Edad Antigua, autor de las “Meditaciones”, obra clave del estoicismo práctico.</v>
      </c>
      <c r="I143" t="str">
        <f>_xlfn.XLOOKUP(frasest[[#This Row],[author_es]],autorest[author_es],autorest[bio_la])</f>
        <v>Imperator Romanus et philosophus Stoicus Antiquitatis, auctor “Meditationum”, operis maximi in praxi Stoica.</v>
      </c>
      <c r="J143" t="str">
        <f>_xlfn.XLOOKUP(frasest[[#This Row],[author_es]],autorest[author_es],autorest[iso3691])</f>
        <v>el</v>
      </c>
      <c r="K143" t="str">
        <f>_xlfn.XLOOKUP(frasest[[#This Row],[author_es]],autorest[author_es],autorest[language_es])</f>
        <v>Griego</v>
      </c>
      <c r="L143" t="str">
        <f>_xlfn.XLOOKUP(frasest[[#This Row],[author_es]],autorest[author_es],autorest[language_la])</f>
        <v>Lingua Graeca</v>
      </c>
      <c r="M143" t="str">
        <f>_xlfn.XLOOKUP(frasest[[#This Row],[author_es]],autorest[author_es],autorest[nation_es])</f>
        <v>Roma</v>
      </c>
      <c r="N143" t="str">
        <f>_xlfn.XLOOKUP(frasest[[#This Row],[author_es]],autorest[author_es],autorest[nation_la])</f>
        <v>Roma</v>
      </c>
      <c r="O143" t="str">
        <f>_xlfn.XLOOKUP(frasest[[#This Row],[author_es]],autorest[author_es],autorest[age_es])</f>
        <v>Edad Antigua</v>
      </c>
      <c r="P143" t="str">
        <f>_xlfn.XLOOKUP(frasest[[#This Row],[author_es]],autorest[author_es],autorest[age_la])</f>
        <v>Antiquitas</v>
      </c>
      <c r="Q143" t="str">
        <f>_xlfn.XLOOKUP(frasest[[#This Row],[author_es]],autorest[author_es],autorest[image])</f>
        <v>https://i.ibb.co/0p8F8QbX/marcoaurelio.png</v>
      </c>
      <c r="R143">
        <f>_xlfn.XLOOKUP(frasest[[#This Row],[author_es]],autorest[author_es],autorest[image_atr])</f>
        <v>0</v>
      </c>
    </row>
    <row r="144" spans="1:18">
      <c r="A144">
        <v>143</v>
      </c>
      <c r="B144" t="s">
        <v>523</v>
      </c>
      <c r="C144" t="s">
        <v>524</v>
      </c>
      <c r="D144" t="s">
        <v>525</v>
      </c>
      <c r="E144" t="s">
        <v>501</v>
      </c>
      <c r="F144" t="s">
        <v>526</v>
      </c>
      <c r="G144" t="str">
        <f>_xlfn.XLOOKUP(frasest[[#This Row],[author_es]],autorest[author_es],autorest[author_la])</f>
        <v>Marcus Aurelius</v>
      </c>
      <c r="H144" t="str">
        <f>_xlfn.XLOOKUP(frasest[[#This Row],[author_es]],autorest[author_es],autorest[bio_es])</f>
        <v>Emperador romano y filósofo estoico de la Edad Antigua, autor de las “Meditaciones”, obra clave del estoicismo práctico.</v>
      </c>
      <c r="I144" t="str">
        <f>_xlfn.XLOOKUP(frasest[[#This Row],[author_es]],autorest[author_es],autorest[bio_la])</f>
        <v>Imperator Romanus et philosophus Stoicus Antiquitatis, auctor “Meditationum”, operis maximi in praxi Stoica.</v>
      </c>
      <c r="J144" t="str">
        <f>_xlfn.XLOOKUP(frasest[[#This Row],[author_es]],autorest[author_es],autorest[iso3691])</f>
        <v>el</v>
      </c>
      <c r="K144" t="str">
        <f>_xlfn.XLOOKUP(frasest[[#This Row],[author_es]],autorest[author_es],autorest[language_es])</f>
        <v>Griego</v>
      </c>
      <c r="L144" t="str">
        <f>_xlfn.XLOOKUP(frasest[[#This Row],[author_es]],autorest[author_es],autorest[language_la])</f>
        <v>Lingua Graeca</v>
      </c>
      <c r="M144" t="str">
        <f>_xlfn.XLOOKUP(frasest[[#This Row],[author_es]],autorest[author_es],autorest[nation_es])</f>
        <v>Roma</v>
      </c>
      <c r="N144" t="str">
        <f>_xlfn.XLOOKUP(frasest[[#This Row],[author_es]],autorest[author_es],autorest[nation_la])</f>
        <v>Roma</v>
      </c>
      <c r="O144" t="str">
        <f>_xlfn.XLOOKUP(frasest[[#This Row],[author_es]],autorest[author_es],autorest[age_es])</f>
        <v>Edad Antigua</v>
      </c>
      <c r="P144" t="str">
        <f>_xlfn.XLOOKUP(frasest[[#This Row],[author_es]],autorest[author_es],autorest[age_la])</f>
        <v>Antiquitas</v>
      </c>
      <c r="Q144" t="str">
        <f>_xlfn.XLOOKUP(frasest[[#This Row],[author_es]],autorest[author_es],autorest[image])</f>
        <v>https://i.ibb.co/0p8F8QbX/marcoaurelio.png</v>
      </c>
      <c r="R144">
        <f>_xlfn.XLOOKUP(frasest[[#This Row],[author_es]],autorest[author_es],autorest[image_atr])</f>
        <v>0</v>
      </c>
    </row>
    <row r="145" spans="1:18">
      <c r="A145">
        <v>144</v>
      </c>
      <c r="B145" t="s">
        <v>527</v>
      </c>
      <c r="C145" t="s">
        <v>528</v>
      </c>
      <c r="D145" t="s">
        <v>529</v>
      </c>
      <c r="E145" t="s">
        <v>501</v>
      </c>
      <c r="F145" t="s">
        <v>502</v>
      </c>
      <c r="G145" t="str">
        <f>_xlfn.XLOOKUP(frasest[[#This Row],[author_es]],autorest[author_es],autorest[author_la])</f>
        <v>Marcus Aurelius</v>
      </c>
      <c r="H145" t="str">
        <f>_xlfn.XLOOKUP(frasest[[#This Row],[author_es]],autorest[author_es],autorest[bio_es])</f>
        <v>Emperador romano y filósofo estoico de la Edad Antigua, autor de las “Meditaciones”, obra clave del estoicismo práctico.</v>
      </c>
      <c r="I145" t="str">
        <f>_xlfn.XLOOKUP(frasest[[#This Row],[author_es]],autorest[author_es],autorest[bio_la])</f>
        <v>Imperator Romanus et philosophus Stoicus Antiquitatis, auctor “Meditationum”, operis maximi in praxi Stoica.</v>
      </c>
      <c r="J145" t="str">
        <f>_xlfn.XLOOKUP(frasest[[#This Row],[author_es]],autorest[author_es],autorest[iso3691])</f>
        <v>el</v>
      </c>
      <c r="K145" t="str">
        <f>_xlfn.XLOOKUP(frasest[[#This Row],[author_es]],autorest[author_es],autorest[language_es])</f>
        <v>Griego</v>
      </c>
      <c r="L145" t="str">
        <f>_xlfn.XLOOKUP(frasest[[#This Row],[author_es]],autorest[author_es],autorest[language_la])</f>
        <v>Lingua Graeca</v>
      </c>
      <c r="M145" t="str">
        <f>_xlfn.XLOOKUP(frasest[[#This Row],[author_es]],autorest[author_es],autorest[nation_es])</f>
        <v>Roma</v>
      </c>
      <c r="N145" t="str">
        <f>_xlfn.XLOOKUP(frasest[[#This Row],[author_es]],autorest[author_es],autorest[nation_la])</f>
        <v>Roma</v>
      </c>
      <c r="O145" t="str">
        <f>_xlfn.XLOOKUP(frasest[[#This Row],[author_es]],autorest[author_es],autorest[age_es])</f>
        <v>Edad Antigua</v>
      </c>
      <c r="P145" t="str">
        <f>_xlfn.XLOOKUP(frasest[[#This Row],[author_es]],autorest[author_es],autorest[age_la])</f>
        <v>Antiquitas</v>
      </c>
      <c r="Q145" t="str">
        <f>_xlfn.XLOOKUP(frasest[[#This Row],[author_es]],autorest[author_es],autorest[image])</f>
        <v>https://i.ibb.co/0p8F8QbX/marcoaurelio.png</v>
      </c>
      <c r="R145">
        <f>_xlfn.XLOOKUP(frasest[[#This Row],[author_es]],autorest[author_es],autorest[image_atr])</f>
        <v>0</v>
      </c>
    </row>
    <row r="146" spans="1:18">
      <c r="A146">
        <v>145</v>
      </c>
      <c r="B146" t="s">
        <v>530</v>
      </c>
      <c r="C146" t="s">
        <v>531</v>
      </c>
      <c r="D146" t="s">
        <v>532</v>
      </c>
      <c r="E146" t="s">
        <v>501</v>
      </c>
      <c r="F146" t="s">
        <v>533</v>
      </c>
      <c r="G146" t="str">
        <f>_xlfn.XLOOKUP(frasest[[#This Row],[author_es]],autorest[author_es],autorest[author_la])</f>
        <v>Marcus Aurelius</v>
      </c>
      <c r="H146" t="str">
        <f>_xlfn.XLOOKUP(frasest[[#This Row],[author_es]],autorest[author_es],autorest[bio_es])</f>
        <v>Emperador romano y filósofo estoico de la Edad Antigua, autor de las “Meditaciones”, obra clave del estoicismo práctico.</v>
      </c>
      <c r="I146" t="str">
        <f>_xlfn.XLOOKUP(frasest[[#This Row],[author_es]],autorest[author_es],autorest[bio_la])</f>
        <v>Imperator Romanus et philosophus Stoicus Antiquitatis, auctor “Meditationum”, operis maximi in praxi Stoica.</v>
      </c>
      <c r="J146" t="str">
        <f>_xlfn.XLOOKUP(frasest[[#This Row],[author_es]],autorest[author_es],autorest[iso3691])</f>
        <v>el</v>
      </c>
      <c r="K146" t="str">
        <f>_xlfn.XLOOKUP(frasest[[#This Row],[author_es]],autorest[author_es],autorest[language_es])</f>
        <v>Griego</v>
      </c>
      <c r="L146" t="str">
        <f>_xlfn.XLOOKUP(frasest[[#This Row],[author_es]],autorest[author_es],autorest[language_la])</f>
        <v>Lingua Graeca</v>
      </c>
      <c r="M146" t="str">
        <f>_xlfn.XLOOKUP(frasest[[#This Row],[author_es]],autorest[author_es],autorest[nation_es])</f>
        <v>Roma</v>
      </c>
      <c r="N146" t="str">
        <f>_xlfn.XLOOKUP(frasest[[#This Row],[author_es]],autorest[author_es],autorest[nation_la])</f>
        <v>Roma</v>
      </c>
      <c r="O146" t="str">
        <f>_xlfn.XLOOKUP(frasest[[#This Row],[author_es]],autorest[author_es],autorest[age_es])</f>
        <v>Edad Antigua</v>
      </c>
      <c r="P146" t="str">
        <f>_xlfn.XLOOKUP(frasest[[#This Row],[author_es]],autorest[author_es],autorest[age_la])</f>
        <v>Antiquitas</v>
      </c>
      <c r="Q146" t="str">
        <f>_xlfn.XLOOKUP(frasest[[#This Row],[author_es]],autorest[author_es],autorest[image])</f>
        <v>https://i.ibb.co/0p8F8QbX/marcoaurelio.png</v>
      </c>
      <c r="R146">
        <f>_xlfn.XLOOKUP(frasest[[#This Row],[author_es]],autorest[author_es],autorest[image_atr])</f>
        <v>0</v>
      </c>
    </row>
    <row r="147" spans="1:18">
      <c r="A147">
        <v>146</v>
      </c>
      <c r="B147" t="s">
        <v>534</v>
      </c>
      <c r="C147" t="s">
        <v>535</v>
      </c>
      <c r="D147" t="s">
        <v>536</v>
      </c>
      <c r="E147" t="s">
        <v>501</v>
      </c>
      <c r="F147" t="s">
        <v>537</v>
      </c>
      <c r="G147" t="str">
        <f>_xlfn.XLOOKUP(frasest[[#This Row],[author_es]],autorest[author_es],autorest[author_la])</f>
        <v>Marcus Aurelius</v>
      </c>
      <c r="H147" t="str">
        <f>_xlfn.XLOOKUP(frasest[[#This Row],[author_es]],autorest[author_es],autorest[bio_es])</f>
        <v>Emperador romano y filósofo estoico de la Edad Antigua, autor de las “Meditaciones”, obra clave del estoicismo práctico.</v>
      </c>
      <c r="I147" t="str">
        <f>_xlfn.XLOOKUP(frasest[[#This Row],[author_es]],autorest[author_es],autorest[bio_la])</f>
        <v>Imperator Romanus et philosophus Stoicus Antiquitatis, auctor “Meditationum”, operis maximi in praxi Stoica.</v>
      </c>
      <c r="J147" t="str">
        <f>_xlfn.XLOOKUP(frasest[[#This Row],[author_es]],autorest[author_es],autorest[iso3691])</f>
        <v>el</v>
      </c>
      <c r="K147" t="str">
        <f>_xlfn.XLOOKUP(frasest[[#This Row],[author_es]],autorest[author_es],autorest[language_es])</f>
        <v>Griego</v>
      </c>
      <c r="L147" t="str">
        <f>_xlfn.XLOOKUP(frasest[[#This Row],[author_es]],autorest[author_es],autorest[language_la])</f>
        <v>Lingua Graeca</v>
      </c>
      <c r="M147" t="str">
        <f>_xlfn.XLOOKUP(frasest[[#This Row],[author_es]],autorest[author_es],autorest[nation_es])</f>
        <v>Roma</v>
      </c>
      <c r="N147" t="str">
        <f>_xlfn.XLOOKUP(frasest[[#This Row],[author_es]],autorest[author_es],autorest[nation_la])</f>
        <v>Roma</v>
      </c>
      <c r="O147" t="str">
        <f>_xlfn.XLOOKUP(frasest[[#This Row],[author_es]],autorest[author_es],autorest[age_es])</f>
        <v>Edad Antigua</v>
      </c>
      <c r="P147" t="str">
        <f>_xlfn.XLOOKUP(frasest[[#This Row],[author_es]],autorest[author_es],autorest[age_la])</f>
        <v>Antiquitas</v>
      </c>
      <c r="Q147" t="str">
        <f>_xlfn.XLOOKUP(frasest[[#This Row],[author_es]],autorest[author_es],autorest[image])</f>
        <v>https://i.ibb.co/0p8F8QbX/marcoaurelio.png</v>
      </c>
      <c r="R147">
        <f>_xlfn.XLOOKUP(frasest[[#This Row],[author_es]],autorest[author_es],autorest[image_atr])</f>
        <v>0</v>
      </c>
    </row>
    <row r="148" spans="1:18">
      <c r="A148">
        <v>147</v>
      </c>
      <c r="B148" t="s">
        <v>538</v>
      </c>
      <c r="C148" t="s">
        <v>539</v>
      </c>
      <c r="D148" t="s">
        <v>540</v>
      </c>
      <c r="E148" t="s">
        <v>541</v>
      </c>
      <c r="F148" t="s">
        <v>542</v>
      </c>
      <c r="G148" t="str">
        <f>_xlfn.XLOOKUP(frasest[[#This Row],[author_es]],autorest[author_es],autorest[author_la])</f>
        <v>Plato</v>
      </c>
      <c r="H148" t="str">
        <f>_xlfn.XLOOKUP(frasest[[#This Row],[author_es]],autorest[author_es],autorest[bio_es])</f>
        <v>Filósofo griego de la Edad Antigua, discípulo de Sócrates y maestro de Aristóteles, fundador de la Academia de Atenas.</v>
      </c>
      <c r="I148" t="str">
        <f>_xlfn.XLOOKUP(frasest[[#This Row],[author_es]],autorest[author_es],autorest[bio_la])</f>
        <v>Philosophus Graecus Antiquitatis, discipulus Socratis et magister Aristotelis, Academiae Atheniensis conditor.</v>
      </c>
      <c r="J148" t="str">
        <f>_xlfn.XLOOKUP(frasest[[#This Row],[author_es]],autorest[author_es],autorest[iso3691])</f>
        <v>el</v>
      </c>
      <c r="K148" t="str">
        <f>_xlfn.XLOOKUP(frasest[[#This Row],[author_es]],autorest[author_es],autorest[language_es])</f>
        <v>Griego</v>
      </c>
      <c r="L148" t="str">
        <f>_xlfn.XLOOKUP(frasest[[#This Row],[author_es]],autorest[author_es],autorest[language_la])</f>
        <v>Lingua Graeca</v>
      </c>
      <c r="M148" t="str">
        <f>_xlfn.XLOOKUP(frasest[[#This Row],[author_es]],autorest[author_es],autorest[nation_es])</f>
        <v>Grecia</v>
      </c>
      <c r="N148" t="str">
        <f>_xlfn.XLOOKUP(frasest[[#This Row],[author_es]],autorest[author_es],autorest[nation_la])</f>
        <v>Graecia</v>
      </c>
      <c r="O148" t="str">
        <f>_xlfn.XLOOKUP(frasest[[#This Row],[author_es]],autorest[author_es],autorest[age_es])</f>
        <v>Edad Antigua</v>
      </c>
      <c r="P148" t="str">
        <f>_xlfn.XLOOKUP(frasest[[#This Row],[author_es]],autorest[author_es],autorest[age_la])</f>
        <v>Antiquitas</v>
      </c>
      <c r="Q148" t="str">
        <f>_xlfn.XLOOKUP(frasest[[#This Row],[author_es]],autorest[author_es],autorest[image])</f>
        <v>https://i.ibb.co/VcxD11Wm/platon.png</v>
      </c>
      <c r="R148">
        <f>_xlfn.XLOOKUP(frasest[[#This Row],[author_es]],autorest[author_es],autorest[image_atr])</f>
        <v>0</v>
      </c>
    </row>
    <row r="149" spans="1:18">
      <c r="A149">
        <v>148</v>
      </c>
      <c r="B149" t="s">
        <v>543</v>
      </c>
      <c r="C149" t="s">
        <v>544</v>
      </c>
      <c r="D149" t="s">
        <v>545</v>
      </c>
      <c r="E149" t="s">
        <v>541</v>
      </c>
      <c r="F149" t="s">
        <v>546</v>
      </c>
      <c r="G149" t="str">
        <f>_xlfn.XLOOKUP(frasest[[#This Row],[author_es]],autorest[author_es],autorest[author_la])</f>
        <v>Plato</v>
      </c>
      <c r="H149" t="str">
        <f>_xlfn.XLOOKUP(frasest[[#This Row],[author_es]],autorest[author_es],autorest[bio_es])</f>
        <v>Filósofo griego de la Edad Antigua, discípulo de Sócrates y maestro de Aristóteles, fundador de la Academia de Atenas.</v>
      </c>
      <c r="I149" t="str">
        <f>_xlfn.XLOOKUP(frasest[[#This Row],[author_es]],autorest[author_es],autorest[bio_la])</f>
        <v>Philosophus Graecus Antiquitatis, discipulus Socratis et magister Aristotelis, Academiae Atheniensis conditor.</v>
      </c>
      <c r="J149" t="str">
        <f>_xlfn.XLOOKUP(frasest[[#This Row],[author_es]],autorest[author_es],autorest[iso3691])</f>
        <v>el</v>
      </c>
      <c r="K149" t="str">
        <f>_xlfn.XLOOKUP(frasest[[#This Row],[author_es]],autorest[author_es],autorest[language_es])</f>
        <v>Griego</v>
      </c>
      <c r="L149" t="str">
        <f>_xlfn.XLOOKUP(frasest[[#This Row],[author_es]],autorest[author_es],autorest[language_la])</f>
        <v>Lingua Graeca</v>
      </c>
      <c r="M149" t="str">
        <f>_xlfn.XLOOKUP(frasest[[#This Row],[author_es]],autorest[author_es],autorest[nation_es])</f>
        <v>Grecia</v>
      </c>
      <c r="N149" t="str">
        <f>_xlfn.XLOOKUP(frasest[[#This Row],[author_es]],autorest[author_es],autorest[nation_la])</f>
        <v>Graecia</v>
      </c>
      <c r="O149" t="str">
        <f>_xlfn.XLOOKUP(frasest[[#This Row],[author_es]],autorest[author_es],autorest[age_es])</f>
        <v>Edad Antigua</v>
      </c>
      <c r="P149" t="str">
        <f>_xlfn.XLOOKUP(frasest[[#This Row],[author_es]],autorest[author_es],autorest[age_la])</f>
        <v>Antiquitas</v>
      </c>
      <c r="Q149" t="str">
        <f>_xlfn.XLOOKUP(frasest[[#This Row],[author_es]],autorest[author_es],autorest[image])</f>
        <v>https://i.ibb.co/VcxD11Wm/platon.png</v>
      </c>
      <c r="R149">
        <f>_xlfn.XLOOKUP(frasest[[#This Row],[author_es]],autorest[author_es],autorest[image_atr])</f>
        <v>0</v>
      </c>
    </row>
    <row r="150" spans="1:18">
      <c r="A150">
        <v>149</v>
      </c>
      <c r="B150" t="s">
        <v>547</v>
      </c>
      <c r="C150" t="s">
        <v>548</v>
      </c>
      <c r="D150" t="s">
        <v>549</v>
      </c>
      <c r="E150" t="s">
        <v>541</v>
      </c>
      <c r="F150" t="s">
        <v>550</v>
      </c>
      <c r="G150" t="str">
        <f>_xlfn.XLOOKUP(frasest[[#This Row],[author_es]],autorest[author_es],autorest[author_la])</f>
        <v>Plato</v>
      </c>
      <c r="H150" t="str">
        <f>_xlfn.XLOOKUP(frasest[[#This Row],[author_es]],autorest[author_es],autorest[bio_es])</f>
        <v>Filósofo griego de la Edad Antigua, discípulo de Sócrates y maestro de Aristóteles, fundador de la Academia de Atenas.</v>
      </c>
      <c r="I150" t="str">
        <f>_xlfn.XLOOKUP(frasest[[#This Row],[author_es]],autorest[author_es],autorest[bio_la])</f>
        <v>Philosophus Graecus Antiquitatis, discipulus Socratis et magister Aristotelis, Academiae Atheniensis conditor.</v>
      </c>
      <c r="J150" t="str">
        <f>_xlfn.XLOOKUP(frasest[[#This Row],[author_es]],autorest[author_es],autorest[iso3691])</f>
        <v>el</v>
      </c>
      <c r="K150" t="str">
        <f>_xlfn.XLOOKUP(frasest[[#This Row],[author_es]],autorest[author_es],autorest[language_es])</f>
        <v>Griego</v>
      </c>
      <c r="L150" t="str">
        <f>_xlfn.XLOOKUP(frasest[[#This Row],[author_es]],autorest[author_es],autorest[language_la])</f>
        <v>Lingua Graeca</v>
      </c>
      <c r="M150" t="str">
        <f>_xlfn.XLOOKUP(frasest[[#This Row],[author_es]],autorest[author_es],autorest[nation_es])</f>
        <v>Grecia</v>
      </c>
      <c r="N150" t="str">
        <f>_xlfn.XLOOKUP(frasest[[#This Row],[author_es]],autorest[author_es],autorest[nation_la])</f>
        <v>Graecia</v>
      </c>
      <c r="O150" t="str">
        <f>_xlfn.XLOOKUP(frasest[[#This Row],[author_es]],autorest[author_es],autorest[age_es])</f>
        <v>Edad Antigua</v>
      </c>
      <c r="P150" t="str">
        <f>_xlfn.XLOOKUP(frasest[[#This Row],[author_es]],autorest[author_es],autorest[age_la])</f>
        <v>Antiquitas</v>
      </c>
      <c r="Q150" t="str">
        <f>_xlfn.XLOOKUP(frasest[[#This Row],[author_es]],autorest[author_es],autorest[image])</f>
        <v>https://i.ibb.co/VcxD11Wm/platon.png</v>
      </c>
      <c r="R150">
        <f>_xlfn.XLOOKUP(frasest[[#This Row],[author_es]],autorest[author_es],autorest[image_atr])</f>
        <v>0</v>
      </c>
    </row>
    <row r="151" spans="1:18">
      <c r="A151">
        <v>150</v>
      </c>
      <c r="B151" t="s">
        <v>551</v>
      </c>
      <c r="C151" t="s">
        <v>552</v>
      </c>
      <c r="D151" t="s">
        <v>553</v>
      </c>
      <c r="E151" t="s">
        <v>541</v>
      </c>
      <c r="F151" t="s">
        <v>554</v>
      </c>
      <c r="G151" t="str">
        <f>_xlfn.XLOOKUP(frasest[[#This Row],[author_es]],autorest[author_es],autorest[author_la])</f>
        <v>Plato</v>
      </c>
      <c r="H151" t="str">
        <f>_xlfn.XLOOKUP(frasest[[#This Row],[author_es]],autorest[author_es],autorest[bio_es])</f>
        <v>Filósofo griego de la Edad Antigua, discípulo de Sócrates y maestro de Aristóteles, fundador de la Academia de Atenas.</v>
      </c>
      <c r="I151" t="str">
        <f>_xlfn.XLOOKUP(frasest[[#This Row],[author_es]],autorest[author_es],autorest[bio_la])</f>
        <v>Philosophus Graecus Antiquitatis, discipulus Socratis et magister Aristotelis, Academiae Atheniensis conditor.</v>
      </c>
      <c r="J151" t="str">
        <f>_xlfn.XLOOKUP(frasest[[#This Row],[author_es]],autorest[author_es],autorest[iso3691])</f>
        <v>el</v>
      </c>
      <c r="K151" t="str">
        <f>_xlfn.XLOOKUP(frasest[[#This Row],[author_es]],autorest[author_es],autorest[language_es])</f>
        <v>Griego</v>
      </c>
      <c r="L151" t="str">
        <f>_xlfn.XLOOKUP(frasest[[#This Row],[author_es]],autorest[author_es],autorest[language_la])</f>
        <v>Lingua Graeca</v>
      </c>
      <c r="M151" t="str">
        <f>_xlfn.XLOOKUP(frasest[[#This Row],[author_es]],autorest[author_es],autorest[nation_es])</f>
        <v>Grecia</v>
      </c>
      <c r="N151" t="str">
        <f>_xlfn.XLOOKUP(frasest[[#This Row],[author_es]],autorest[author_es],autorest[nation_la])</f>
        <v>Graecia</v>
      </c>
      <c r="O151" t="str">
        <f>_xlfn.XLOOKUP(frasest[[#This Row],[author_es]],autorest[author_es],autorest[age_es])</f>
        <v>Edad Antigua</v>
      </c>
      <c r="P151" t="str">
        <f>_xlfn.XLOOKUP(frasest[[#This Row],[author_es]],autorest[author_es],autorest[age_la])</f>
        <v>Antiquitas</v>
      </c>
      <c r="Q151" t="str">
        <f>_xlfn.XLOOKUP(frasest[[#This Row],[author_es]],autorest[author_es],autorest[image])</f>
        <v>https://i.ibb.co/VcxD11Wm/platon.png</v>
      </c>
      <c r="R151">
        <f>_xlfn.XLOOKUP(frasest[[#This Row],[author_es]],autorest[author_es],autorest[image_atr])</f>
        <v>0</v>
      </c>
    </row>
    <row r="152" spans="1:18">
      <c r="A152">
        <v>151</v>
      </c>
      <c r="B152" t="s">
        <v>555</v>
      </c>
      <c r="C152" t="s">
        <v>556</v>
      </c>
      <c r="D152" t="s">
        <v>557</v>
      </c>
      <c r="E152" t="s">
        <v>541</v>
      </c>
      <c r="F152" t="s">
        <v>558</v>
      </c>
      <c r="G152" t="str">
        <f>_xlfn.XLOOKUP(frasest[[#This Row],[author_es]],autorest[author_es],autorest[author_la])</f>
        <v>Plato</v>
      </c>
      <c r="H152" t="str">
        <f>_xlfn.XLOOKUP(frasest[[#This Row],[author_es]],autorest[author_es],autorest[bio_es])</f>
        <v>Filósofo griego de la Edad Antigua, discípulo de Sócrates y maestro de Aristóteles, fundador de la Academia de Atenas.</v>
      </c>
      <c r="I152" t="str">
        <f>_xlfn.XLOOKUP(frasest[[#This Row],[author_es]],autorest[author_es],autorest[bio_la])</f>
        <v>Philosophus Graecus Antiquitatis, discipulus Socratis et magister Aristotelis, Academiae Atheniensis conditor.</v>
      </c>
      <c r="J152" t="str">
        <f>_xlfn.XLOOKUP(frasest[[#This Row],[author_es]],autorest[author_es],autorest[iso3691])</f>
        <v>el</v>
      </c>
      <c r="K152" t="str">
        <f>_xlfn.XLOOKUP(frasest[[#This Row],[author_es]],autorest[author_es],autorest[language_es])</f>
        <v>Griego</v>
      </c>
      <c r="L152" t="str">
        <f>_xlfn.XLOOKUP(frasest[[#This Row],[author_es]],autorest[author_es],autorest[language_la])</f>
        <v>Lingua Graeca</v>
      </c>
      <c r="M152" t="str">
        <f>_xlfn.XLOOKUP(frasest[[#This Row],[author_es]],autorest[author_es],autorest[nation_es])</f>
        <v>Grecia</v>
      </c>
      <c r="N152" t="str">
        <f>_xlfn.XLOOKUP(frasest[[#This Row],[author_es]],autorest[author_es],autorest[nation_la])</f>
        <v>Graecia</v>
      </c>
      <c r="O152" t="str">
        <f>_xlfn.XLOOKUP(frasest[[#This Row],[author_es]],autorest[author_es],autorest[age_es])</f>
        <v>Edad Antigua</v>
      </c>
      <c r="P152" t="str">
        <f>_xlfn.XLOOKUP(frasest[[#This Row],[author_es]],autorest[author_es],autorest[age_la])</f>
        <v>Antiquitas</v>
      </c>
      <c r="Q152" t="str">
        <f>_xlfn.XLOOKUP(frasest[[#This Row],[author_es]],autorest[author_es],autorest[image])</f>
        <v>https://i.ibb.co/VcxD11Wm/platon.png</v>
      </c>
      <c r="R152">
        <f>_xlfn.XLOOKUP(frasest[[#This Row],[author_es]],autorest[author_es],autorest[image_atr])</f>
        <v>0</v>
      </c>
    </row>
    <row r="153" spans="1:18">
      <c r="A153">
        <v>152</v>
      </c>
      <c r="B153" t="s">
        <v>559</v>
      </c>
      <c r="C153" t="s">
        <v>560</v>
      </c>
      <c r="D153" t="s">
        <v>561</v>
      </c>
      <c r="E153" t="s">
        <v>541</v>
      </c>
      <c r="F153" t="s">
        <v>562</v>
      </c>
      <c r="G153" t="str">
        <f>_xlfn.XLOOKUP(frasest[[#This Row],[author_es]],autorest[author_es],autorest[author_la])</f>
        <v>Plato</v>
      </c>
      <c r="H153" t="str">
        <f>_xlfn.XLOOKUP(frasest[[#This Row],[author_es]],autorest[author_es],autorest[bio_es])</f>
        <v>Filósofo griego de la Edad Antigua, discípulo de Sócrates y maestro de Aristóteles, fundador de la Academia de Atenas.</v>
      </c>
      <c r="I153" t="str">
        <f>_xlfn.XLOOKUP(frasest[[#This Row],[author_es]],autorest[author_es],autorest[bio_la])</f>
        <v>Philosophus Graecus Antiquitatis, discipulus Socratis et magister Aristotelis, Academiae Atheniensis conditor.</v>
      </c>
      <c r="J153" t="str">
        <f>_xlfn.XLOOKUP(frasest[[#This Row],[author_es]],autorest[author_es],autorest[iso3691])</f>
        <v>el</v>
      </c>
      <c r="K153" t="str">
        <f>_xlfn.XLOOKUP(frasest[[#This Row],[author_es]],autorest[author_es],autorest[language_es])</f>
        <v>Griego</v>
      </c>
      <c r="L153" t="str">
        <f>_xlfn.XLOOKUP(frasest[[#This Row],[author_es]],autorest[author_es],autorest[language_la])</f>
        <v>Lingua Graeca</v>
      </c>
      <c r="M153" t="str">
        <f>_xlfn.XLOOKUP(frasest[[#This Row],[author_es]],autorest[author_es],autorest[nation_es])</f>
        <v>Grecia</v>
      </c>
      <c r="N153" t="str">
        <f>_xlfn.XLOOKUP(frasest[[#This Row],[author_es]],autorest[author_es],autorest[nation_la])</f>
        <v>Graecia</v>
      </c>
      <c r="O153" t="str">
        <f>_xlfn.XLOOKUP(frasest[[#This Row],[author_es]],autorest[author_es],autorest[age_es])</f>
        <v>Edad Antigua</v>
      </c>
      <c r="P153" t="str">
        <f>_xlfn.XLOOKUP(frasest[[#This Row],[author_es]],autorest[author_es],autorest[age_la])</f>
        <v>Antiquitas</v>
      </c>
      <c r="Q153" t="str">
        <f>_xlfn.XLOOKUP(frasest[[#This Row],[author_es]],autorest[author_es],autorest[image])</f>
        <v>https://i.ibb.co/VcxD11Wm/platon.png</v>
      </c>
      <c r="R153">
        <f>_xlfn.XLOOKUP(frasest[[#This Row],[author_es]],autorest[author_es],autorest[image_atr])</f>
        <v>0</v>
      </c>
    </row>
    <row r="154" spans="1:18">
      <c r="A154">
        <v>153</v>
      </c>
      <c r="B154" t="s">
        <v>563</v>
      </c>
      <c r="C154" t="s">
        <v>564</v>
      </c>
      <c r="D154" t="s">
        <v>565</v>
      </c>
      <c r="E154" t="s">
        <v>541</v>
      </c>
      <c r="F154" t="s">
        <v>566</v>
      </c>
      <c r="G154" t="str">
        <f>_xlfn.XLOOKUP(frasest[[#This Row],[author_es]],autorest[author_es],autorest[author_la])</f>
        <v>Plato</v>
      </c>
      <c r="H154" t="str">
        <f>_xlfn.XLOOKUP(frasest[[#This Row],[author_es]],autorest[author_es],autorest[bio_es])</f>
        <v>Filósofo griego de la Edad Antigua, discípulo de Sócrates y maestro de Aristóteles, fundador de la Academia de Atenas.</v>
      </c>
      <c r="I154" t="str">
        <f>_xlfn.XLOOKUP(frasest[[#This Row],[author_es]],autorest[author_es],autorest[bio_la])</f>
        <v>Philosophus Graecus Antiquitatis, discipulus Socratis et magister Aristotelis, Academiae Atheniensis conditor.</v>
      </c>
      <c r="J154" t="str">
        <f>_xlfn.XLOOKUP(frasest[[#This Row],[author_es]],autorest[author_es],autorest[iso3691])</f>
        <v>el</v>
      </c>
      <c r="K154" t="str">
        <f>_xlfn.XLOOKUP(frasest[[#This Row],[author_es]],autorest[author_es],autorest[language_es])</f>
        <v>Griego</v>
      </c>
      <c r="L154" t="str">
        <f>_xlfn.XLOOKUP(frasest[[#This Row],[author_es]],autorest[author_es],autorest[language_la])</f>
        <v>Lingua Graeca</v>
      </c>
      <c r="M154" t="str">
        <f>_xlfn.XLOOKUP(frasest[[#This Row],[author_es]],autorest[author_es],autorest[nation_es])</f>
        <v>Grecia</v>
      </c>
      <c r="N154" t="str">
        <f>_xlfn.XLOOKUP(frasest[[#This Row],[author_es]],autorest[author_es],autorest[nation_la])</f>
        <v>Graecia</v>
      </c>
      <c r="O154" t="str">
        <f>_xlfn.XLOOKUP(frasest[[#This Row],[author_es]],autorest[author_es],autorest[age_es])</f>
        <v>Edad Antigua</v>
      </c>
      <c r="P154" t="str">
        <f>_xlfn.XLOOKUP(frasest[[#This Row],[author_es]],autorest[author_es],autorest[age_la])</f>
        <v>Antiquitas</v>
      </c>
      <c r="Q154" t="str">
        <f>_xlfn.XLOOKUP(frasest[[#This Row],[author_es]],autorest[author_es],autorest[image])</f>
        <v>https://i.ibb.co/VcxD11Wm/platon.png</v>
      </c>
      <c r="R154">
        <f>_xlfn.XLOOKUP(frasest[[#This Row],[author_es]],autorest[author_es],autorest[image_atr])</f>
        <v>0</v>
      </c>
    </row>
    <row r="155" spans="1:18">
      <c r="A155">
        <v>154</v>
      </c>
      <c r="B155" t="s">
        <v>567</v>
      </c>
      <c r="C155" t="s">
        <v>568</v>
      </c>
      <c r="D155" t="s">
        <v>569</v>
      </c>
      <c r="E155" t="s">
        <v>541</v>
      </c>
      <c r="F155" t="s">
        <v>570</v>
      </c>
      <c r="G155" t="str">
        <f>_xlfn.XLOOKUP(frasest[[#This Row],[author_es]],autorest[author_es],autorest[author_la])</f>
        <v>Plato</v>
      </c>
      <c r="H155" t="str">
        <f>_xlfn.XLOOKUP(frasest[[#This Row],[author_es]],autorest[author_es],autorest[bio_es])</f>
        <v>Filósofo griego de la Edad Antigua, discípulo de Sócrates y maestro de Aristóteles, fundador de la Academia de Atenas.</v>
      </c>
      <c r="I155" t="str">
        <f>_xlfn.XLOOKUP(frasest[[#This Row],[author_es]],autorest[author_es],autorest[bio_la])</f>
        <v>Philosophus Graecus Antiquitatis, discipulus Socratis et magister Aristotelis, Academiae Atheniensis conditor.</v>
      </c>
      <c r="J155" t="str">
        <f>_xlfn.XLOOKUP(frasest[[#This Row],[author_es]],autorest[author_es],autorest[iso3691])</f>
        <v>el</v>
      </c>
      <c r="K155" t="str">
        <f>_xlfn.XLOOKUP(frasest[[#This Row],[author_es]],autorest[author_es],autorest[language_es])</f>
        <v>Griego</v>
      </c>
      <c r="L155" t="str">
        <f>_xlfn.XLOOKUP(frasest[[#This Row],[author_es]],autorest[author_es],autorest[language_la])</f>
        <v>Lingua Graeca</v>
      </c>
      <c r="M155" t="str">
        <f>_xlfn.XLOOKUP(frasest[[#This Row],[author_es]],autorest[author_es],autorest[nation_es])</f>
        <v>Grecia</v>
      </c>
      <c r="N155" t="str">
        <f>_xlfn.XLOOKUP(frasest[[#This Row],[author_es]],autorest[author_es],autorest[nation_la])</f>
        <v>Graecia</v>
      </c>
      <c r="O155" t="str">
        <f>_xlfn.XLOOKUP(frasest[[#This Row],[author_es]],autorest[author_es],autorest[age_es])</f>
        <v>Edad Antigua</v>
      </c>
      <c r="P155" t="str">
        <f>_xlfn.XLOOKUP(frasest[[#This Row],[author_es]],autorest[author_es],autorest[age_la])</f>
        <v>Antiquitas</v>
      </c>
      <c r="Q155" t="str">
        <f>_xlfn.XLOOKUP(frasest[[#This Row],[author_es]],autorest[author_es],autorest[image])</f>
        <v>https://i.ibb.co/VcxD11Wm/platon.png</v>
      </c>
      <c r="R155">
        <f>_xlfn.XLOOKUP(frasest[[#This Row],[author_es]],autorest[author_es],autorest[image_atr])</f>
        <v>0</v>
      </c>
    </row>
    <row r="156" spans="1:18">
      <c r="A156">
        <v>155</v>
      </c>
      <c r="B156" t="s">
        <v>571</v>
      </c>
      <c r="C156" t="s">
        <v>572</v>
      </c>
      <c r="D156" t="s">
        <v>573</v>
      </c>
      <c r="E156" t="s">
        <v>541</v>
      </c>
      <c r="F156" t="s">
        <v>574</v>
      </c>
      <c r="G156" t="str">
        <f>_xlfn.XLOOKUP(frasest[[#This Row],[author_es]],autorest[author_es],autorest[author_la])</f>
        <v>Plato</v>
      </c>
      <c r="H156" t="str">
        <f>_xlfn.XLOOKUP(frasest[[#This Row],[author_es]],autorest[author_es],autorest[bio_es])</f>
        <v>Filósofo griego de la Edad Antigua, discípulo de Sócrates y maestro de Aristóteles, fundador de la Academia de Atenas.</v>
      </c>
      <c r="I156" t="str">
        <f>_xlfn.XLOOKUP(frasest[[#This Row],[author_es]],autorest[author_es],autorest[bio_la])</f>
        <v>Philosophus Graecus Antiquitatis, discipulus Socratis et magister Aristotelis, Academiae Atheniensis conditor.</v>
      </c>
      <c r="J156" t="str">
        <f>_xlfn.XLOOKUP(frasest[[#This Row],[author_es]],autorest[author_es],autorest[iso3691])</f>
        <v>el</v>
      </c>
      <c r="K156" t="str">
        <f>_xlfn.XLOOKUP(frasest[[#This Row],[author_es]],autorest[author_es],autorest[language_es])</f>
        <v>Griego</v>
      </c>
      <c r="L156" t="str">
        <f>_xlfn.XLOOKUP(frasest[[#This Row],[author_es]],autorest[author_es],autorest[language_la])</f>
        <v>Lingua Graeca</v>
      </c>
      <c r="M156" t="str">
        <f>_xlfn.XLOOKUP(frasest[[#This Row],[author_es]],autorest[author_es],autorest[nation_es])</f>
        <v>Grecia</v>
      </c>
      <c r="N156" t="str">
        <f>_xlfn.XLOOKUP(frasest[[#This Row],[author_es]],autorest[author_es],autorest[nation_la])</f>
        <v>Graecia</v>
      </c>
      <c r="O156" t="str">
        <f>_xlfn.XLOOKUP(frasest[[#This Row],[author_es]],autorest[author_es],autorest[age_es])</f>
        <v>Edad Antigua</v>
      </c>
      <c r="P156" t="str">
        <f>_xlfn.XLOOKUP(frasest[[#This Row],[author_es]],autorest[author_es],autorest[age_la])</f>
        <v>Antiquitas</v>
      </c>
      <c r="Q156" t="str">
        <f>_xlfn.XLOOKUP(frasest[[#This Row],[author_es]],autorest[author_es],autorest[image])</f>
        <v>https://i.ibb.co/VcxD11Wm/platon.png</v>
      </c>
      <c r="R156">
        <f>_xlfn.XLOOKUP(frasest[[#This Row],[author_es]],autorest[author_es],autorest[image_atr])</f>
        <v>0</v>
      </c>
    </row>
    <row r="157" spans="1:18">
      <c r="A157">
        <v>156</v>
      </c>
      <c r="B157" t="s">
        <v>575</v>
      </c>
      <c r="C157" t="s">
        <v>576</v>
      </c>
      <c r="D157" t="s">
        <v>577</v>
      </c>
      <c r="E157" t="s">
        <v>541</v>
      </c>
      <c r="F157" t="s">
        <v>578</v>
      </c>
      <c r="G157" t="str">
        <f>_xlfn.XLOOKUP(frasest[[#This Row],[author_es]],autorest[author_es],autorest[author_la])</f>
        <v>Plato</v>
      </c>
      <c r="H157" t="str">
        <f>_xlfn.XLOOKUP(frasest[[#This Row],[author_es]],autorest[author_es],autorest[bio_es])</f>
        <v>Filósofo griego de la Edad Antigua, discípulo de Sócrates y maestro de Aristóteles, fundador de la Academia de Atenas.</v>
      </c>
      <c r="I157" t="str">
        <f>_xlfn.XLOOKUP(frasest[[#This Row],[author_es]],autorest[author_es],autorest[bio_la])</f>
        <v>Philosophus Graecus Antiquitatis, discipulus Socratis et magister Aristotelis, Academiae Atheniensis conditor.</v>
      </c>
      <c r="J157" t="str">
        <f>_xlfn.XLOOKUP(frasest[[#This Row],[author_es]],autorest[author_es],autorest[iso3691])</f>
        <v>el</v>
      </c>
      <c r="K157" t="str">
        <f>_xlfn.XLOOKUP(frasest[[#This Row],[author_es]],autorest[author_es],autorest[language_es])</f>
        <v>Griego</v>
      </c>
      <c r="L157" t="str">
        <f>_xlfn.XLOOKUP(frasest[[#This Row],[author_es]],autorest[author_es],autorest[language_la])</f>
        <v>Lingua Graeca</v>
      </c>
      <c r="M157" t="str">
        <f>_xlfn.XLOOKUP(frasest[[#This Row],[author_es]],autorest[author_es],autorest[nation_es])</f>
        <v>Grecia</v>
      </c>
      <c r="N157" t="str">
        <f>_xlfn.XLOOKUP(frasest[[#This Row],[author_es]],autorest[author_es],autorest[nation_la])</f>
        <v>Graecia</v>
      </c>
      <c r="O157" t="str">
        <f>_xlfn.XLOOKUP(frasest[[#This Row],[author_es]],autorest[author_es],autorest[age_es])</f>
        <v>Edad Antigua</v>
      </c>
      <c r="P157" t="str">
        <f>_xlfn.XLOOKUP(frasest[[#This Row],[author_es]],autorest[author_es],autorest[age_la])</f>
        <v>Antiquitas</v>
      </c>
      <c r="Q157" t="str">
        <f>_xlfn.XLOOKUP(frasest[[#This Row],[author_es]],autorest[author_es],autorest[image])</f>
        <v>https://i.ibb.co/VcxD11Wm/platon.png</v>
      </c>
      <c r="R157">
        <f>_xlfn.XLOOKUP(frasest[[#This Row],[author_es]],autorest[author_es],autorest[image_atr])</f>
        <v>0</v>
      </c>
    </row>
    <row r="158" spans="1:18">
      <c r="A158">
        <v>157</v>
      </c>
      <c r="B158" t="s">
        <v>579</v>
      </c>
      <c r="C158" t="s">
        <v>580</v>
      </c>
      <c r="D158" t="s">
        <v>581</v>
      </c>
      <c r="E158" t="s">
        <v>582</v>
      </c>
      <c r="F158" t="s">
        <v>583</v>
      </c>
      <c r="G158" t="str">
        <f>_xlfn.XLOOKUP(frasest[[#This Row],[author_es]],autorest[author_es],autorest[author_la])</f>
        <v>Aristoteles</v>
      </c>
      <c r="H158" t="str">
        <f>_xlfn.XLOOKUP(frasest[[#This Row],[author_es]],autorest[author_es],autorest[bio_es])</f>
        <v>Filósofo griego de la Edad Antigua, discípulo de Platón y maestro de Alejandro Magno, figura central del pensamiento lógico, ético y metafísico.</v>
      </c>
      <c r="I158" t="str">
        <f>_xlfn.XLOOKUP(frasest[[#This Row],[author_es]],autorest[author_es],autorest[bio_la])</f>
        <v>Philosophus Graecus Antiquitatis, discipulus Platonis et magister Alexandri Magni, pars maxima in logica, ethica et metaphysica.</v>
      </c>
      <c r="J158" t="str">
        <f>_xlfn.XLOOKUP(frasest[[#This Row],[author_es]],autorest[author_es],autorest[iso3691])</f>
        <v>el</v>
      </c>
      <c r="K158" t="str">
        <f>_xlfn.XLOOKUP(frasest[[#This Row],[author_es]],autorest[author_es],autorest[language_es])</f>
        <v>Griego</v>
      </c>
      <c r="L158" t="str">
        <f>_xlfn.XLOOKUP(frasest[[#This Row],[author_es]],autorest[author_es],autorest[language_la])</f>
        <v>Lingua Graeca</v>
      </c>
      <c r="M158" t="str">
        <f>_xlfn.XLOOKUP(frasest[[#This Row],[author_es]],autorest[author_es],autorest[nation_es])</f>
        <v>Grecia</v>
      </c>
      <c r="N158" t="str">
        <f>_xlfn.XLOOKUP(frasest[[#This Row],[author_es]],autorest[author_es],autorest[nation_la])</f>
        <v>Graecia</v>
      </c>
      <c r="O158" t="str">
        <f>_xlfn.XLOOKUP(frasest[[#This Row],[author_es]],autorest[author_es],autorest[age_es])</f>
        <v>Edad Antigua</v>
      </c>
      <c r="P158" t="str">
        <f>_xlfn.XLOOKUP(frasest[[#This Row],[author_es]],autorest[author_es],autorest[age_la])</f>
        <v>Antiquitas</v>
      </c>
      <c r="Q158" t="str">
        <f>_xlfn.XLOOKUP(frasest[[#This Row],[author_es]],autorest[author_es],autorest[image])</f>
        <v>https://i.ibb.co/gZpf6w2B/aristoteles.png</v>
      </c>
      <c r="R158">
        <f>_xlfn.XLOOKUP(frasest[[#This Row],[author_es]],autorest[author_es],autorest[image_atr])</f>
        <v>0</v>
      </c>
    </row>
    <row r="159" spans="1:18">
      <c r="A159">
        <v>158</v>
      </c>
      <c r="B159" t="s">
        <v>584</v>
      </c>
      <c r="C159" t="s">
        <v>585</v>
      </c>
      <c r="D159" t="s">
        <v>586</v>
      </c>
      <c r="E159" t="s">
        <v>582</v>
      </c>
      <c r="F159" t="s">
        <v>587</v>
      </c>
      <c r="G159" t="str">
        <f>_xlfn.XLOOKUP(frasest[[#This Row],[author_es]],autorest[author_es],autorest[author_la])</f>
        <v>Aristoteles</v>
      </c>
      <c r="H159" t="str">
        <f>_xlfn.XLOOKUP(frasest[[#This Row],[author_es]],autorest[author_es],autorest[bio_es])</f>
        <v>Filósofo griego de la Edad Antigua, discípulo de Platón y maestro de Alejandro Magno, figura central del pensamiento lógico, ético y metafísico.</v>
      </c>
      <c r="I159" t="str">
        <f>_xlfn.XLOOKUP(frasest[[#This Row],[author_es]],autorest[author_es],autorest[bio_la])</f>
        <v>Philosophus Graecus Antiquitatis, discipulus Platonis et magister Alexandri Magni, pars maxima in logica, ethica et metaphysica.</v>
      </c>
      <c r="J159" t="str">
        <f>_xlfn.XLOOKUP(frasest[[#This Row],[author_es]],autorest[author_es],autorest[iso3691])</f>
        <v>el</v>
      </c>
      <c r="K159" t="str">
        <f>_xlfn.XLOOKUP(frasest[[#This Row],[author_es]],autorest[author_es],autorest[language_es])</f>
        <v>Griego</v>
      </c>
      <c r="L159" t="str">
        <f>_xlfn.XLOOKUP(frasest[[#This Row],[author_es]],autorest[author_es],autorest[language_la])</f>
        <v>Lingua Graeca</v>
      </c>
      <c r="M159" t="str">
        <f>_xlfn.XLOOKUP(frasest[[#This Row],[author_es]],autorest[author_es],autorest[nation_es])</f>
        <v>Grecia</v>
      </c>
      <c r="N159" t="str">
        <f>_xlfn.XLOOKUP(frasest[[#This Row],[author_es]],autorest[author_es],autorest[nation_la])</f>
        <v>Graecia</v>
      </c>
      <c r="O159" t="str">
        <f>_xlfn.XLOOKUP(frasest[[#This Row],[author_es]],autorest[author_es],autorest[age_es])</f>
        <v>Edad Antigua</v>
      </c>
      <c r="P159" t="str">
        <f>_xlfn.XLOOKUP(frasest[[#This Row],[author_es]],autorest[author_es],autorest[age_la])</f>
        <v>Antiquitas</v>
      </c>
      <c r="Q159" t="str">
        <f>_xlfn.XLOOKUP(frasest[[#This Row],[author_es]],autorest[author_es],autorest[image])</f>
        <v>https://i.ibb.co/gZpf6w2B/aristoteles.png</v>
      </c>
      <c r="R159">
        <f>_xlfn.XLOOKUP(frasest[[#This Row],[author_es]],autorest[author_es],autorest[image_atr])</f>
        <v>0</v>
      </c>
    </row>
    <row r="160" spans="1:18">
      <c r="A160">
        <v>159</v>
      </c>
      <c r="B160" t="s">
        <v>588</v>
      </c>
      <c r="C160" t="s">
        <v>589</v>
      </c>
      <c r="D160" t="s">
        <v>590</v>
      </c>
      <c r="E160" t="s">
        <v>582</v>
      </c>
      <c r="F160" t="s">
        <v>591</v>
      </c>
      <c r="G160" t="str">
        <f>_xlfn.XLOOKUP(frasest[[#This Row],[author_es]],autorest[author_es],autorest[author_la])</f>
        <v>Aristoteles</v>
      </c>
      <c r="H160" t="str">
        <f>_xlfn.XLOOKUP(frasest[[#This Row],[author_es]],autorest[author_es],autorest[bio_es])</f>
        <v>Filósofo griego de la Edad Antigua, discípulo de Platón y maestro de Alejandro Magno, figura central del pensamiento lógico, ético y metafísico.</v>
      </c>
      <c r="I160" t="str">
        <f>_xlfn.XLOOKUP(frasest[[#This Row],[author_es]],autorest[author_es],autorest[bio_la])</f>
        <v>Philosophus Graecus Antiquitatis, discipulus Platonis et magister Alexandri Magni, pars maxima in logica, ethica et metaphysica.</v>
      </c>
      <c r="J160" t="str">
        <f>_xlfn.XLOOKUP(frasest[[#This Row],[author_es]],autorest[author_es],autorest[iso3691])</f>
        <v>el</v>
      </c>
      <c r="K160" t="str">
        <f>_xlfn.XLOOKUP(frasest[[#This Row],[author_es]],autorest[author_es],autorest[language_es])</f>
        <v>Griego</v>
      </c>
      <c r="L160" t="str">
        <f>_xlfn.XLOOKUP(frasest[[#This Row],[author_es]],autorest[author_es],autorest[language_la])</f>
        <v>Lingua Graeca</v>
      </c>
      <c r="M160" t="str">
        <f>_xlfn.XLOOKUP(frasest[[#This Row],[author_es]],autorest[author_es],autorest[nation_es])</f>
        <v>Grecia</v>
      </c>
      <c r="N160" t="str">
        <f>_xlfn.XLOOKUP(frasest[[#This Row],[author_es]],autorest[author_es],autorest[nation_la])</f>
        <v>Graecia</v>
      </c>
      <c r="O160" t="str">
        <f>_xlfn.XLOOKUP(frasest[[#This Row],[author_es]],autorest[author_es],autorest[age_es])</f>
        <v>Edad Antigua</v>
      </c>
      <c r="P160" t="str">
        <f>_xlfn.XLOOKUP(frasest[[#This Row],[author_es]],autorest[author_es],autorest[age_la])</f>
        <v>Antiquitas</v>
      </c>
      <c r="Q160" t="str">
        <f>_xlfn.XLOOKUP(frasest[[#This Row],[author_es]],autorest[author_es],autorest[image])</f>
        <v>https://i.ibb.co/gZpf6w2B/aristoteles.png</v>
      </c>
      <c r="R160">
        <f>_xlfn.XLOOKUP(frasest[[#This Row],[author_es]],autorest[author_es],autorest[image_atr])</f>
        <v>0</v>
      </c>
    </row>
    <row r="161" spans="1:18">
      <c r="A161">
        <v>160</v>
      </c>
      <c r="B161" t="s">
        <v>592</v>
      </c>
      <c r="C161" t="s">
        <v>593</v>
      </c>
      <c r="D161" t="s">
        <v>594</v>
      </c>
      <c r="E161" t="s">
        <v>582</v>
      </c>
      <c r="F161" t="s">
        <v>595</v>
      </c>
      <c r="G161" t="str">
        <f>_xlfn.XLOOKUP(frasest[[#This Row],[author_es]],autorest[author_es],autorest[author_la])</f>
        <v>Aristoteles</v>
      </c>
      <c r="H161" t="str">
        <f>_xlfn.XLOOKUP(frasest[[#This Row],[author_es]],autorest[author_es],autorest[bio_es])</f>
        <v>Filósofo griego de la Edad Antigua, discípulo de Platón y maestro de Alejandro Magno, figura central del pensamiento lógico, ético y metafísico.</v>
      </c>
      <c r="I161" t="str">
        <f>_xlfn.XLOOKUP(frasest[[#This Row],[author_es]],autorest[author_es],autorest[bio_la])</f>
        <v>Philosophus Graecus Antiquitatis, discipulus Platonis et magister Alexandri Magni, pars maxima in logica, ethica et metaphysica.</v>
      </c>
      <c r="J161" t="str">
        <f>_xlfn.XLOOKUP(frasest[[#This Row],[author_es]],autorest[author_es],autorest[iso3691])</f>
        <v>el</v>
      </c>
      <c r="K161" t="str">
        <f>_xlfn.XLOOKUP(frasest[[#This Row],[author_es]],autorest[author_es],autorest[language_es])</f>
        <v>Griego</v>
      </c>
      <c r="L161" t="str">
        <f>_xlfn.XLOOKUP(frasest[[#This Row],[author_es]],autorest[author_es],autorest[language_la])</f>
        <v>Lingua Graeca</v>
      </c>
      <c r="M161" t="str">
        <f>_xlfn.XLOOKUP(frasest[[#This Row],[author_es]],autorest[author_es],autorest[nation_es])</f>
        <v>Grecia</v>
      </c>
      <c r="N161" t="str">
        <f>_xlfn.XLOOKUP(frasest[[#This Row],[author_es]],autorest[author_es],autorest[nation_la])</f>
        <v>Graecia</v>
      </c>
      <c r="O161" t="str">
        <f>_xlfn.XLOOKUP(frasest[[#This Row],[author_es]],autorest[author_es],autorest[age_es])</f>
        <v>Edad Antigua</v>
      </c>
      <c r="P161" t="str">
        <f>_xlfn.XLOOKUP(frasest[[#This Row],[author_es]],autorest[author_es],autorest[age_la])</f>
        <v>Antiquitas</v>
      </c>
      <c r="Q161" t="str">
        <f>_xlfn.XLOOKUP(frasest[[#This Row],[author_es]],autorest[author_es],autorest[image])</f>
        <v>https://i.ibb.co/gZpf6w2B/aristoteles.png</v>
      </c>
      <c r="R161">
        <f>_xlfn.XLOOKUP(frasest[[#This Row],[author_es]],autorest[author_es],autorest[image_atr])</f>
        <v>0</v>
      </c>
    </row>
    <row r="162" spans="1:18">
      <c r="A162">
        <v>161</v>
      </c>
      <c r="B162" t="s">
        <v>596</v>
      </c>
      <c r="C162" t="s">
        <v>597</v>
      </c>
      <c r="D162" t="s">
        <v>598</v>
      </c>
      <c r="E162" t="s">
        <v>582</v>
      </c>
      <c r="F162" t="s">
        <v>599</v>
      </c>
      <c r="G162" t="str">
        <f>_xlfn.XLOOKUP(frasest[[#This Row],[author_es]],autorest[author_es],autorest[author_la])</f>
        <v>Aristoteles</v>
      </c>
      <c r="H162" t="str">
        <f>_xlfn.XLOOKUP(frasest[[#This Row],[author_es]],autorest[author_es],autorest[bio_es])</f>
        <v>Filósofo griego de la Edad Antigua, discípulo de Platón y maestro de Alejandro Magno, figura central del pensamiento lógico, ético y metafísico.</v>
      </c>
      <c r="I162" t="str">
        <f>_xlfn.XLOOKUP(frasest[[#This Row],[author_es]],autorest[author_es],autorest[bio_la])</f>
        <v>Philosophus Graecus Antiquitatis, discipulus Platonis et magister Alexandri Magni, pars maxima in logica, ethica et metaphysica.</v>
      </c>
      <c r="J162" t="str">
        <f>_xlfn.XLOOKUP(frasest[[#This Row],[author_es]],autorest[author_es],autorest[iso3691])</f>
        <v>el</v>
      </c>
      <c r="K162" t="str">
        <f>_xlfn.XLOOKUP(frasest[[#This Row],[author_es]],autorest[author_es],autorest[language_es])</f>
        <v>Griego</v>
      </c>
      <c r="L162" t="str">
        <f>_xlfn.XLOOKUP(frasest[[#This Row],[author_es]],autorest[author_es],autorest[language_la])</f>
        <v>Lingua Graeca</v>
      </c>
      <c r="M162" t="str">
        <f>_xlfn.XLOOKUP(frasest[[#This Row],[author_es]],autorest[author_es],autorest[nation_es])</f>
        <v>Grecia</v>
      </c>
      <c r="N162" t="str">
        <f>_xlfn.XLOOKUP(frasest[[#This Row],[author_es]],autorest[author_es],autorest[nation_la])</f>
        <v>Graecia</v>
      </c>
      <c r="O162" t="str">
        <f>_xlfn.XLOOKUP(frasest[[#This Row],[author_es]],autorest[author_es],autorest[age_es])</f>
        <v>Edad Antigua</v>
      </c>
      <c r="P162" t="str">
        <f>_xlfn.XLOOKUP(frasest[[#This Row],[author_es]],autorest[author_es],autorest[age_la])</f>
        <v>Antiquitas</v>
      </c>
      <c r="Q162" t="str">
        <f>_xlfn.XLOOKUP(frasest[[#This Row],[author_es]],autorest[author_es],autorest[image])</f>
        <v>https://i.ibb.co/gZpf6w2B/aristoteles.png</v>
      </c>
      <c r="R162">
        <f>_xlfn.XLOOKUP(frasest[[#This Row],[author_es]],autorest[author_es],autorest[image_atr])</f>
        <v>0</v>
      </c>
    </row>
    <row r="163" spans="1:18">
      <c r="A163">
        <v>162</v>
      </c>
      <c r="B163" t="s">
        <v>600</v>
      </c>
      <c r="C163" t="s">
        <v>601</v>
      </c>
      <c r="D163" t="s">
        <v>602</v>
      </c>
      <c r="E163" t="s">
        <v>582</v>
      </c>
      <c r="F163" t="s">
        <v>603</v>
      </c>
      <c r="G163" t="str">
        <f>_xlfn.XLOOKUP(frasest[[#This Row],[author_es]],autorest[author_es],autorest[author_la])</f>
        <v>Aristoteles</v>
      </c>
      <c r="H163" t="str">
        <f>_xlfn.XLOOKUP(frasest[[#This Row],[author_es]],autorest[author_es],autorest[bio_es])</f>
        <v>Filósofo griego de la Edad Antigua, discípulo de Platón y maestro de Alejandro Magno, figura central del pensamiento lógico, ético y metafísico.</v>
      </c>
      <c r="I163" t="str">
        <f>_xlfn.XLOOKUP(frasest[[#This Row],[author_es]],autorest[author_es],autorest[bio_la])</f>
        <v>Philosophus Graecus Antiquitatis, discipulus Platonis et magister Alexandri Magni, pars maxima in logica, ethica et metaphysica.</v>
      </c>
      <c r="J163" t="str">
        <f>_xlfn.XLOOKUP(frasest[[#This Row],[author_es]],autorest[author_es],autorest[iso3691])</f>
        <v>el</v>
      </c>
      <c r="K163" t="str">
        <f>_xlfn.XLOOKUP(frasest[[#This Row],[author_es]],autorest[author_es],autorest[language_es])</f>
        <v>Griego</v>
      </c>
      <c r="L163" t="str">
        <f>_xlfn.XLOOKUP(frasest[[#This Row],[author_es]],autorest[author_es],autorest[language_la])</f>
        <v>Lingua Graeca</v>
      </c>
      <c r="M163" t="str">
        <f>_xlfn.XLOOKUP(frasest[[#This Row],[author_es]],autorest[author_es],autorest[nation_es])</f>
        <v>Grecia</v>
      </c>
      <c r="N163" t="str">
        <f>_xlfn.XLOOKUP(frasest[[#This Row],[author_es]],autorest[author_es],autorest[nation_la])</f>
        <v>Graecia</v>
      </c>
      <c r="O163" t="str">
        <f>_xlfn.XLOOKUP(frasest[[#This Row],[author_es]],autorest[author_es],autorest[age_es])</f>
        <v>Edad Antigua</v>
      </c>
      <c r="P163" t="str">
        <f>_xlfn.XLOOKUP(frasest[[#This Row],[author_es]],autorest[author_es],autorest[age_la])</f>
        <v>Antiquitas</v>
      </c>
      <c r="Q163" t="str">
        <f>_xlfn.XLOOKUP(frasest[[#This Row],[author_es]],autorest[author_es],autorest[image])</f>
        <v>https://i.ibb.co/gZpf6w2B/aristoteles.png</v>
      </c>
      <c r="R163">
        <f>_xlfn.XLOOKUP(frasest[[#This Row],[author_es]],autorest[author_es],autorest[image_atr])</f>
        <v>0</v>
      </c>
    </row>
    <row r="164" spans="1:18">
      <c r="A164">
        <v>163</v>
      </c>
      <c r="B164" t="s">
        <v>604</v>
      </c>
      <c r="C164" t="s">
        <v>605</v>
      </c>
      <c r="D164" t="s">
        <v>606</v>
      </c>
      <c r="E164" t="s">
        <v>582</v>
      </c>
      <c r="F164" t="s">
        <v>607</v>
      </c>
      <c r="G164" t="str">
        <f>_xlfn.XLOOKUP(frasest[[#This Row],[author_es]],autorest[author_es],autorest[author_la])</f>
        <v>Aristoteles</v>
      </c>
      <c r="H164" t="str">
        <f>_xlfn.XLOOKUP(frasest[[#This Row],[author_es]],autorest[author_es],autorest[bio_es])</f>
        <v>Filósofo griego de la Edad Antigua, discípulo de Platón y maestro de Alejandro Magno, figura central del pensamiento lógico, ético y metafísico.</v>
      </c>
      <c r="I164" t="str">
        <f>_xlfn.XLOOKUP(frasest[[#This Row],[author_es]],autorest[author_es],autorest[bio_la])</f>
        <v>Philosophus Graecus Antiquitatis, discipulus Platonis et magister Alexandri Magni, pars maxima in logica, ethica et metaphysica.</v>
      </c>
      <c r="J164" t="str">
        <f>_xlfn.XLOOKUP(frasest[[#This Row],[author_es]],autorest[author_es],autorest[iso3691])</f>
        <v>el</v>
      </c>
      <c r="K164" t="str">
        <f>_xlfn.XLOOKUP(frasest[[#This Row],[author_es]],autorest[author_es],autorest[language_es])</f>
        <v>Griego</v>
      </c>
      <c r="L164" t="str">
        <f>_xlfn.XLOOKUP(frasest[[#This Row],[author_es]],autorest[author_es],autorest[language_la])</f>
        <v>Lingua Graeca</v>
      </c>
      <c r="M164" t="str">
        <f>_xlfn.XLOOKUP(frasest[[#This Row],[author_es]],autorest[author_es],autorest[nation_es])</f>
        <v>Grecia</v>
      </c>
      <c r="N164" t="str">
        <f>_xlfn.XLOOKUP(frasest[[#This Row],[author_es]],autorest[author_es],autorest[nation_la])</f>
        <v>Graecia</v>
      </c>
      <c r="O164" t="str">
        <f>_xlfn.XLOOKUP(frasest[[#This Row],[author_es]],autorest[author_es],autorest[age_es])</f>
        <v>Edad Antigua</v>
      </c>
      <c r="P164" t="str">
        <f>_xlfn.XLOOKUP(frasest[[#This Row],[author_es]],autorest[author_es],autorest[age_la])</f>
        <v>Antiquitas</v>
      </c>
      <c r="Q164" t="str">
        <f>_xlfn.XLOOKUP(frasest[[#This Row],[author_es]],autorest[author_es],autorest[image])</f>
        <v>https://i.ibb.co/gZpf6w2B/aristoteles.png</v>
      </c>
      <c r="R164">
        <f>_xlfn.XLOOKUP(frasest[[#This Row],[author_es]],autorest[author_es],autorest[image_atr])</f>
        <v>0</v>
      </c>
    </row>
    <row r="165" spans="1:18">
      <c r="A165">
        <v>164</v>
      </c>
      <c r="B165" t="s">
        <v>608</v>
      </c>
      <c r="C165" t="s">
        <v>609</v>
      </c>
      <c r="D165" t="s">
        <v>610</v>
      </c>
      <c r="E165" t="s">
        <v>582</v>
      </c>
      <c r="F165" t="s">
        <v>611</v>
      </c>
      <c r="G165" t="str">
        <f>_xlfn.XLOOKUP(frasest[[#This Row],[author_es]],autorest[author_es],autorest[author_la])</f>
        <v>Aristoteles</v>
      </c>
      <c r="H165" t="str">
        <f>_xlfn.XLOOKUP(frasest[[#This Row],[author_es]],autorest[author_es],autorest[bio_es])</f>
        <v>Filósofo griego de la Edad Antigua, discípulo de Platón y maestro de Alejandro Magno, figura central del pensamiento lógico, ético y metafísico.</v>
      </c>
      <c r="I165" t="str">
        <f>_xlfn.XLOOKUP(frasest[[#This Row],[author_es]],autorest[author_es],autorest[bio_la])</f>
        <v>Philosophus Graecus Antiquitatis, discipulus Platonis et magister Alexandri Magni, pars maxima in logica, ethica et metaphysica.</v>
      </c>
      <c r="J165" t="str">
        <f>_xlfn.XLOOKUP(frasest[[#This Row],[author_es]],autorest[author_es],autorest[iso3691])</f>
        <v>el</v>
      </c>
      <c r="K165" t="str">
        <f>_xlfn.XLOOKUP(frasest[[#This Row],[author_es]],autorest[author_es],autorest[language_es])</f>
        <v>Griego</v>
      </c>
      <c r="L165" t="str">
        <f>_xlfn.XLOOKUP(frasest[[#This Row],[author_es]],autorest[author_es],autorest[language_la])</f>
        <v>Lingua Graeca</v>
      </c>
      <c r="M165" t="str">
        <f>_xlfn.XLOOKUP(frasest[[#This Row],[author_es]],autorest[author_es],autorest[nation_es])</f>
        <v>Grecia</v>
      </c>
      <c r="N165" t="str">
        <f>_xlfn.XLOOKUP(frasest[[#This Row],[author_es]],autorest[author_es],autorest[nation_la])</f>
        <v>Graecia</v>
      </c>
      <c r="O165" t="str">
        <f>_xlfn.XLOOKUP(frasest[[#This Row],[author_es]],autorest[author_es],autorest[age_es])</f>
        <v>Edad Antigua</v>
      </c>
      <c r="P165" t="str">
        <f>_xlfn.XLOOKUP(frasest[[#This Row],[author_es]],autorest[author_es],autorest[age_la])</f>
        <v>Antiquitas</v>
      </c>
      <c r="Q165" t="str">
        <f>_xlfn.XLOOKUP(frasest[[#This Row],[author_es]],autorest[author_es],autorest[image])</f>
        <v>https://i.ibb.co/gZpf6w2B/aristoteles.png</v>
      </c>
      <c r="R165">
        <f>_xlfn.XLOOKUP(frasest[[#This Row],[author_es]],autorest[author_es],autorest[image_atr])</f>
        <v>0</v>
      </c>
    </row>
    <row r="166" spans="1:18">
      <c r="A166">
        <v>165</v>
      </c>
      <c r="B166" t="s">
        <v>612</v>
      </c>
      <c r="C166" t="s">
        <v>613</v>
      </c>
      <c r="D166" t="s">
        <v>614</v>
      </c>
      <c r="E166" t="s">
        <v>582</v>
      </c>
      <c r="F166" t="s">
        <v>615</v>
      </c>
      <c r="G166" t="str">
        <f>_xlfn.XLOOKUP(frasest[[#This Row],[author_es]],autorest[author_es],autorest[author_la])</f>
        <v>Aristoteles</v>
      </c>
      <c r="H166" t="str">
        <f>_xlfn.XLOOKUP(frasest[[#This Row],[author_es]],autorest[author_es],autorest[bio_es])</f>
        <v>Filósofo griego de la Edad Antigua, discípulo de Platón y maestro de Alejandro Magno, figura central del pensamiento lógico, ético y metafísico.</v>
      </c>
      <c r="I166" t="str">
        <f>_xlfn.XLOOKUP(frasest[[#This Row],[author_es]],autorest[author_es],autorest[bio_la])</f>
        <v>Philosophus Graecus Antiquitatis, discipulus Platonis et magister Alexandri Magni, pars maxima in logica, ethica et metaphysica.</v>
      </c>
      <c r="J166" t="str">
        <f>_xlfn.XLOOKUP(frasest[[#This Row],[author_es]],autorest[author_es],autorest[iso3691])</f>
        <v>el</v>
      </c>
      <c r="K166" t="str">
        <f>_xlfn.XLOOKUP(frasest[[#This Row],[author_es]],autorest[author_es],autorest[language_es])</f>
        <v>Griego</v>
      </c>
      <c r="L166" t="str">
        <f>_xlfn.XLOOKUP(frasest[[#This Row],[author_es]],autorest[author_es],autorest[language_la])</f>
        <v>Lingua Graeca</v>
      </c>
      <c r="M166" t="str">
        <f>_xlfn.XLOOKUP(frasest[[#This Row],[author_es]],autorest[author_es],autorest[nation_es])</f>
        <v>Grecia</v>
      </c>
      <c r="N166" t="str">
        <f>_xlfn.XLOOKUP(frasest[[#This Row],[author_es]],autorest[author_es],autorest[nation_la])</f>
        <v>Graecia</v>
      </c>
      <c r="O166" t="str">
        <f>_xlfn.XLOOKUP(frasest[[#This Row],[author_es]],autorest[author_es],autorest[age_es])</f>
        <v>Edad Antigua</v>
      </c>
      <c r="P166" t="str">
        <f>_xlfn.XLOOKUP(frasest[[#This Row],[author_es]],autorest[author_es],autorest[age_la])</f>
        <v>Antiquitas</v>
      </c>
      <c r="Q166" t="str">
        <f>_xlfn.XLOOKUP(frasest[[#This Row],[author_es]],autorest[author_es],autorest[image])</f>
        <v>https://i.ibb.co/gZpf6w2B/aristoteles.png</v>
      </c>
      <c r="R166">
        <f>_xlfn.XLOOKUP(frasest[[#This Row],[author_es]],autorest[author_es],autorest[image_atr])</f>
        <v>0</v>
      </c>
    </row>
    <row r="167" spans="1:18">
      <c r="A167">
        <v>166</v>
      </c>
      <c r="B167" t="s">
        <v>616</v>
      </c>
      <c r="C167" t="s">
        <v>617</v>
      </c>
      <c r="D167" t="s">
        <v>618</v>
      </c>
      <c r="E167" t="s">
        <v>582</v>
      </c>
      <c r="F167" t="s">
        <v>619</v>
      </c>
      <c r="G167" t="str">
        <f>_xlfn.XLOOKUP(frasest[[#This Row],[author_es]],autorest[author_es],autorest[author_la])</f>
        <v>Aristoteles</v>
      </c>
      <c r="H167" t="str">
        <f>_xlfn.XLOOKUP(frasest[[#This Row],[author_es]],autorest[author_es],autorest[bio_es])</f>
        <v>Filósofo griego de la Edad Antigua, discípulo de Platón y maestro de Alejandro Magno, figura central del pensamiento lógico, ético y metafísico.</v>
      </c>
      <c r="I167" t="str">
        <f>_xlfn.XLOOKUP(frasest[[#This Row],[author_es]],autorest[author_es],autorest[bio_la])</f>
        <v>Philosophus Graecus Antiquitatis, discipulus Platonis et magister Alexandri Magni, pars maxima in logica, ethica et metaphysica.</v>
      </c>
      <c r="J167" t="str">
        <f>_xlfn.XLOOKUP(frasest[[#This Row],[author_es]],autorest[author_es],autorest[iso3691])</f>
        <v>el</v>
      </c>
      <c r="K167" t="str">
        <f>_xlfn.XLOOKUP(frasest[[#This Row],[author_es]],autorest[author_es],autorest[language_es])</f>
        <v>Griego</v>
      </c>
      <c r="L167" t="str">
        <f>_xlfn.XLOOKUP(frasest[[#This Row],[author_es]],autorest[author_es],autorest[language_la])</f>
        <v>Lingua Graeca</v>
      </c>
      <c r="M167" t="str">
        <f>_xlfn.XLOOKUP(frasest[[#This Row],[author_es]],autorest[author_es],autorest[nation_es])</f>
        <v>Grecia</v>
      </c>
      <c r="N167" t="str">
        <f>_xlfn.XLOOKUP(frasest[[#This Row],[author_es]],autorest[author_es],autorest[nation_la])</f>
        <v>Graecia</v>
      </c>
      <c r="O167" t="str">
        <f>_xlfn.XLOOKUP(frasest[[#This Row],[author_es]],autorest[author_es],autorest[age_es])</f>
        <v>Edad Antigua</v>
      </c>
      <c r="P167" t="str">
        <f>_xlfn.XLOOKUP(frasest[[#This Row],[author_es]],autorest[author_es],autorest[age_la])</f>
        <v>Antiquitas</v>
      </c>
      <c r="Q167" t="str">
        <f>_xlfn.XLOOKUP(frasest[[#This Row],[author_es]],autorest[author_es],autorest[image])</f>
        <v>https://i.ibb.co/gZpf6w2B/aristoteles.png</v>
      </c>
      <c r="R167">
        <f>_xlfn.XLOOKUP(frasest[[#This Row],[author_es]],autorest[author_es],autorest[image_atr])</f>
        <v>0</v>
      </c>
    </row>
    <row r="168" spans="1:18">
      <c r="A168">
        <v>167</v>
      </c>
      <c r="B168" t="s">
        <v>620</v>
      </c>
      <c r="C168" t="s">
        <v>621</v>
      </c>
      <c r="D168" t="s">
        <v>622</v>
      </c>
      <c r="E168" t="s">
        <v>623</v>
      </c>
      <c r="F168" t="s">
        <v>624</v>
      </c>
      <c r="G168" t="str">
        <f>_xlfn.XLOOKUP(frasest[[#This Row],[author_es]],autorest[author_es],autorest[author_la])</f>
        <v>Pythagoras</v>
      </c>
      <c r="H168" t="str">
        <f>_xlfn.XLOOKUP(frasest[[#This Row],[author_es]],autorest[author_es],autorest[bio_es])</f>
        <v>Filósofo y matemático griego de Samos, fundador del pitagorismo. Propuso la inmortalidad del alma, la transmigración y el número como principio de la realidad.</v>
      </c>
      <c r="I168" t="str">
        <f>_xlfn.XLOOKUP(frasest[[#This Row],[author_es]],autorest[author_es],autorest[bio_la])</f>
        <v>Philosophus et mathematicus Graecus Samius, pythagorismi conditor. Immortalitatem animae, transmigrationem et numerum principium rerum proposuit.</v>
      </c>
      <c r="J168" t="str">
        <f>_xlfn.XLOOKUP(frasest[[#This Row],[author_es]],autorest[author_es],autorest[iso3691])</f>
        <v>el</v>
      </c>
      <c r="K168" t="str">
        <f>_xlfn.XLOOKUP(frasest[[#This Row],[author_es]],autorest[author_es],autorest[language_es])</f>
        <v>Griego</v>
      </c>
      <c r="L168" t="str">
        <f>_xlfn.XLOOKUP(frasest[[#This Row],[author_es]],autorest[author_es],autorest[language_la])</f>
        <v>Lingua Graeca</v>
      </c>
      <c r="M168" t="str">
        <f>_xlfn.XLOOKUP(frasest[[#This Row],[author_es]],autorest[author_es],autorest[nation_es])</f>
        <v>Grecia</v>
      </c>
      <c r="N168" t="str">
        <f>_xlfn.XLOOKUP(frasest[[#This Row],[author_es]],autorest[author_es],autorest[nation_la])</f>
        <v>Graecia</v>
      </c>
      <c r="O168" t="str">
        <f>_xlfn.XLOOKUP(frasest[[#This Row],[author_es]],autorest[author_es],autorest[age_es])</f>
        <v>Edad Antigua</v>
      </c>
      <c r="P168" t="str">
        <f>_xlfn.XLOOKUP(frasest[[#This Row],[author_es]],autorest[author_es],autorest[age_la])</f>
        <v>Antiquitas</v>
      </c>
      <c r="Q168" t="str">
        <f>_xlfn.XLOOKUP(frasest[[#This Row],[author_es]],autorest[author_es],autorest[image])</f>
        <v>https://i.ibb.co/MyYJ15Jw/Pitagoras.png</v>
      </c>
      <c r="R168">
        <f>_xlfn.XLOOKUP(frasest[[#This Row],[author_es]],autorest[author_es],autorest[image_atr])</f>
        <v>0</v>
      </c>
    </row>
    <row r="169" spans="1:18">
      <c r="A169">
        <v>168</v>
      </c>
      <c r="B169" t="s">
        <v>625</v>
      </c>
      <c r="C169" t="s">
        <v>626</v>
      </c>
      <c r="D169" t="s">
        <v>627</v>
      </c>
      <c r="E169" t="s">
        <v>623</v>
      </c>
      <c r="F169" t="s">
        <v>628</v>
      </c>
      <c r="G169" t="str">
        <f>_xlfn.XLOOKUP(frasest[[#This Row],[author_es]],autorest[author_es],autorest[author_la])</f>
        <v>Pythagoras</v>
      </c>
      <c r="H169" t="str">
        <f>_xlfn.XLOOKUP(frasest[[#This Row],[author_es]],autorest[author_es],autorest[bio_es])</f>
        <v>Filósofo y matemático griego de Samos, fundador del pitagorismo. Propuso la inmortalidad del alma, la transmigración y el número como principio de la realidad.</v>
      </c>
      <c r="I169" t="str">
        <f>_xlfn.XLOOKUP(frasest[[#This Row],[author_es]],autorest[author_es],autorest[bio_la])</f>
        <v>Philosophus et mathematicus Graecus Samius, pythagorismi conditor. Immortalitatem animae, transmigrationem et numerum principium rerum proposuit.</v>
      </c>
      <c r="J169" t="str">
        <f>_xlfn.XLOOKUP(frasest[[#This Row],[author_es]],autorest[author_es],autorest[iso3691])</f>
        <v>el</v>
      </c>
      <c r="K169" t="str">
        <f>_xlfn.XLOOKUP(frasest[[#This Row],[author_es]],autorest[author_es],autorest[language_es])</f>
        <v>Griego</v>
      </c>
      <c r="L169" t="str">
        <f>_xlfn.XLOOKUP(frasest[[#This Row],[author_es]],autorest[author_es],autorest[language_la])</f>
        <v>Lingua Graeca</v>
      </c>
      <c r="M169" t="str">
        <f>_xlfn.XLOOKUP(frasest[[#This Row],[author_es]],autorest[author_es],autorest[nation_es])</f>
        <v>Grecia</v>
      </c>
      <c r="N169" t="str">
        <f>_xlfn.XLOOKUP(frasest[[#This Row],[author_es]],autorest[author_es],autorest[nation_la])</f>
        <v>Graecia</v>
      </c>
      <c r="O169" t="str">
        <f>_xlfn.XLOOKUP(frasest[[#This Row],[author_es]],autorest[author_es],autorest[age_es])</f>
        <v>Edad Antigua</v>
      </c>
      <c r="P169" t="str">
        <f>_xlfn.XLOOKUP(frasest[[#This Row],[author_es]],autorest[author_es],autorest[age_la])</f>
        <v>Antiquitas</v>
      </c>
      <c r="Q169" t="str">
        <f>_xlfn.XLOOKUP(frasest[[#This Row],[author_es]],autorest[author_es],autorest[image])</f>
        <v>https://i.ibb.co/MyYJ15Jw/Pitagoras.png</v>
      </c>
      <c r="R169">
        <f>_xlfn.XLOOKUP(frasest[[#This Row],[author_es]],autorest[author_es],autorest[image_atr])</f>
        <v>0</v>
      </c>
    </row>
    <row r="170" spans="1:18">
      <c r="A170">
        <v>169</v>
      </c>
      <c r="B170" t="s">
        <v>629</v>
      </c>
      <c r="C170" t="s">
        <v>630</v>
      </c>
      <c r="D170" t="s">
        <v>631</v>
      </c>
      <c r="E170" t="s">
        <v>623</v>
      </c>
      <c r="F170" t="s">
        <v>632</v>
      </c>
      <c r="G170" t="str">
        <f>_xlfn.XLOOKUP(frasest[[#This Row],[author_es]],autorest[author_es],autorest[author_la])</f>
        <v>Pythagoras</v>
      </c>
      <c r="H170" t="str">
        <f>_xlfn.XLOOKUP(frasest[[#This Row],[author_es]],autorest[author_es],autorest[bio_es])</f>
        <v>Filósofo y matemático griego de Samos, fundador del pitagorismo. Propuso la inmortalidad del alma, la transmigración y el número como principio de la realidad.</v>
      </c>
      <c r="I170" t="str">
        <f>_xlfn.XLOOKUP(frasest[[#This Row],[author_es]],autorest[author_es],autorest[bio_la])</f>
        <v>Philosophus et mathematicus Graecus Samius, pythagorismi conditor. Immortalitatem animae, transmigrationem et numerum principium rerum proposuit.</v>
      </c>
      <c r="J170" t="str">
        <f>_xlfn.XLOOKUP(frasest[[#This Row],[author_es]],autorest[author_es],autorest[iso3691])</f>
        <v>el</v>
      </c>
      <c r="K170" t="str">
        <f>_xlfn.XLOOKUP(frasest[[#This Row],[author_es]],autorest[author_es],autorest[language_es])</f>
        <v>Griego</v>
      </c>
      <c r="L170" t="str">
        <f>_xlfn.XLOOKUP(frasest[[#This Row],[author_es]],autorest[author_es],autorest[language_la])</f>
        <v>Lingua Graeca</v>
      </c>
      <c r="M170" t="str">
        <f>_xlfn.XLOOKUP(frasest[[#This Row],[author_es]],autorest[author_es],autorest[nation_es])</f>
        <v>Grecia</v>
      </c>
      <c r="N170" t="str">
        <f>_xlfn.XLOOKUP(frasest[[#This Row],[author_es]],autorest[author_es],autorest[nation_la])</f>
        <v>Graecia</v>
      </c>
      <c r="O170" t="str">
        <f>_xlfn.XLOOKUP(frasest[[#This Row],[author_es]],autorest[author_es],autorest[age_es])</f>
        <v>Edad Antigua</v>
      </c>
      <c r="P170" t="str">
        <f>_xlfn.XLOOKUP(frasest[[#This Row],[author_es]],autorest[author_es],autorest[age_la])</f>
        <v>Antiquitas</v>
      </c>
      <c r="Q170" t="str">
        <f>_xlfn.XLOOKUP(frasest[[#This Row],[author_es]],autorest[author_es],autorest[image])</f>
        <v>https://i.ibb.co/MyYJ15Jw/Pitagoras.png</v>
      </c>
      <c r="R170">
        <f>_xlfn.XLOOKUP(frasest[[#This Row],[author_es]],autorest[author_es],autorest[image_atr])</f>
        <v>0</v>
      </c>
    </row>
    <row r="171" spans="1:18">
      <c r="A171">
        <v>170</v>
      </c>
      <c r="B171" t="s">
        <v>633</v>
      </c>
      <c r="C171" t="s">
        <v>634</v>
      </c>
      <c r="D171" t="s">
        <v>635</v>
      </c>
      <c r="E171" t="s">
        <v>623</v>
      </c>
      <c r="F171" t="s">
        <v>636</v>
      </c>
      <c r="G171" t="str">
        <f>_xlfn.XLOOKUP(frasest[[#This Row],[author_es]],autorest[author_es],autorest[author_la])</f>
        <v>Pythagoras</v>
      </c>
      <c r="H171" t="str">
        <f>_xlfn.XLOOKUP(frasest[[#This Row],[author_es]],autorest[author_es],autorest[bio_es])</f>
        <v>Filósofo y matemático griego de Samos, fundador del pitagorismo. Propuso la inmortalidad del alma, la transmigración y el número como principio de la realidad.</v>
      </c>
      <c r="I171" t="str">
        <f>_xlfn.XLOOKUP(frasest[[#This Row],[author_es]],autorest[author_es],autorest[bio_la])</f>
        <v>Philosophus et mathematicus Graecus Samius, pythagorismi conditor. Immortalitatem animae, transmigrationem et numerum principium rerum proposuit.</v>
      </c>
      <c r="J171" t="str">
        <f>_xlfn.XLOOKUP(frasest[[#This Row],[author_es]],autorest[author_es],autorest[iso3691])</f>
        <v>el</v>
      </c>
      <c r="K171" t="str">
        <f>_xlfn.XLOOKUP(frasest[[#This Row],[author_es]],autorest[author_es],autorest[language_es])</f>
        <v>Griego</v>
      </c>
      <c r="L171" t="str">
        <f>_xlfn.XLOOKUP(frasest[[#This Row],[author_es]],autorest[author_es],autorest[language_la])</f>
        <v>Lingua Graeca</v>
      </c>
      <c r="M171" t="str">
        <f>_xlfn.XLOOKUP(frasest[[#This Row],[author_es]],autorest[author_es],autorest[nation_es])</f>
        <v>Grecia</v>
      </c>
      <c r="N171" t="str">
        <f>_xlfn.XLOOKUP(frasest[[#This Row],[author_es]],autorest[author_es],autorest[nation_la])</f>
        <v>Graecia</v>
      </c>
      <c r="O171" t="str">
        <f>_xlfn.XLOOKUP(frasest[[#This Row],[author_es]],autorest[author_es],autorest[age_es])</f>
        <v>Edad Antigua</v>
      </c>
      <c r="P171" t="str">
        <f>_xlfn.XLOOKUP(frasest[[#This Row],[author_es]],autorest[author_es],autorest[age_la])</f>
        <v>Antiquitas</v>
      </c>
      <c r="Q171" t="str">
        <f>_xlfn.XLOOKUP(frasest[[#This Row],[author_es]],autorest[author_es],autorest[image])</f>
        <v>https://i.ibb.co/MyYJ15Jw/Pitagoras.png</v>
      </c>
      <c r="R171">
        <f>_xlfn.XLOOKUP(frasest[[#This Row],[author_es]],autorest[author_es],autorest[image_atr])</f>
        <v>0</v>
      </c>
    </row>
    <row r="172" spans="1:18">
      <c r="A172">
        <v>171</v>
      </c>
      <c r="B172" t="s">
        <v>637</v>
      </c>
      <c r="C172" t="s">
        <v>638</v>
      </c>
      <c r="D172" t="s">
        <v>639</v>
      </c>
      <c r="E172" t="s">
        <v>623</v>
      </c>
      <c r="F172" t="s">
        <v>640</v>
      </c>
      <c r="G172" t="str">
        <f>_xlfn.XLOOKUP(frasest[[#This Row],[author_es]],autorest[author_es],autorest[author_la])</f>
        <v>Pythagoras</v>
      </c>
      <c r="H172" t="str">
        <f>_xlfn.XLOOKUP(frasest[[#This Row],[author_es]],autorest[author_es],autorest[bio_es])</f>
        <v>Filósofo y matemático griego de Samos, fundador del pitagorismo. Propuso la inmortalidad del alma, la transmigración y el número como principio de la realidad.</v>
      </c>
      <c r="I172" t="str">
        <f>_xlfn.XLOOKUP(frasest[[#This Row],[author_es]],autorest[author_es],autorest[bio_la])</f>
        <v>Philosophus et mathematicus Graecus Samius, pythagorismi conditor. Immortalitatem animae, transmigrationem et numerum principium rerum proposuit.</v>
      </c>
      <c r="J172" t="str">
        <f>_xlfn.XLOOKUP(frasest[[#This Row],[author_es]],autorest[author_es],autorest[iso3691])</f>
        <v>el</v>
      </c>
      <c r="K172" t="str">
        <f>_xlfn.XLOOKUP(frasest[[#This Row],[author_es]],autorest[author_es],autorest[language_es])</f>
        <v>Griego</v>
      </c>
      <c r="L172" t="str">
        <f>_xlfn.XLOOKUP(frasest[[#This Row],[author_es]],autorest[author_es],autorest[language_la])</f>
        <v>Lingua Graeca</v>
      </c>
      <c r="M172" t="str">
        <f>_xlfn.XLOOKUP(frasest[[#This Row],[author_es]],autorest[author_es],autorest[nation_es])</f>
        <v>Grecia</v>
      </c>
      <c r="N172" t="str">
        <f>_xlfn.XLOOKUP(frasest[[#This Row],[author_es]],autorest[author_es],autorest[nation_la])</f>
        <v>Graecia</v>
      </c>
      <c r="O172" t="str">
        <f>_xlfn.XLOOKUP(frasest[[#This Row],[author_es]],autorest[author_es],autorest[age_es])</f>
        <v>Edad Antigua</v>
      </c>
      <c r="P172" t="str">
        <f>_xlfn.XLOOKUP(frasest[[#This Row],[author_es]],autorest[author_es],autorest[age_la])</f>
        <v>Antiquitas</v>
      </c>
      <c r="Q172" t="str">
        <f>_xlfn.XLOOKUP(frasest[[#This Row],[author_es]],autorest[author_es],autorest[image])</f>
        <v>https://i.ibb.co/MyYJ15Jw/Pitagoras.png</v>
      </c>
      <c r="R172">
        <f>_xlfn.XLOOKUP(frasest[[#This Row],[author_es]],autorest[author_es],autorest[image_atr])</f>
        <v>0</v>
      </c>
    </row>
    <row r="173" spans="1:18">
      <c r="A173">
        <v>172</v>
      </c>
      <c r="B173" t="s">
        <v>641</v>
      </c>
      <c r="C173" t="s">
        <v>642</v>
      </c>
      <c r="D173" t="s">
        <v>643</v>
      </c>
      <c r="E173" t="s">
        <v>623</v>
      </c>
      <c r="F173" t="s">
        <v>644</v>
      </c>
      <c r="G173" t="str">
        <f>_xlfn.XLOOKUP(frasest[[#This Row],[author_es]],autorest[author_es],autorest[author_la])</f>
        <v>Pythagoras</v>
      </c>
      <c r="H173" t="str">
        <f>_xlfn.XLOOKUP(frasest[[#This Row],[author_es]],autorest[author_es],autorest[bio_es])</f>
        <v>Filósofo y matemático griego de Samos, fundador del pitagorismo. Propuso la inmortalidad del alma, la transmigración y el número como principio de la realidad.</v>
      </c>
      <c r="I173" t="str">
        <f>_xlfn.XLOOKUP(frasest[[#This Row],[author_es]],autorest[author_es],autorest[bio_la])</f>
        <v>Philosophus et mathematicus Graecus Samius, pythagorismi conditor. Immortalitatem animae, transmigrationem et numerum principium rerum proposuit.</v>
      </c>
      <c r="J173" t="str">
        <f>_xlfn.XLOOKUP(frasest[[#This Row],[author_es]],autorest[author_es],autorest[iso3691])</f>
        <v>el</v>
      </c>
      <c r="K173" t="str">
        <f>_xlfn.XLOOKUP(frasest[[#This Row],[author_es]],autorest[author_es],autorest[language_es])</f>
        <v>Griego</v>
      </c>
      <c r="L173" t="str">
        <f>_xlfn.XLOOKUP(frasest[[#This Row],[author_es]],autorest[author_es],autorest[language_la])</f>
        <v>Lingua Graeca</v>
      </c>
      <c r="M173" t="str">
        <f>_xlfn.XLOOKUP(frasest[[#This Row],[author_es]],autorest[author_es],autorest[nation_es])</f>
        <v>Grecia</v>
      </c>
      <c r="N173" t="str">
        <f>_xlfn.XLOOKUP(frasest[[#This Row],[author_es]],autorest[author_es],autorest[nation_la])</f>
        <v>Graecia</v>
      </c>
      <c r="O173" t="str">
        <f>_xlfn.XLOOKUP(frasest[[#This Row],[author_es]],autorest[author_es],autorest[age_es])</f>
        <v>Edad Antigua</v>
      </c>
      <c r="P173" t="str">
        <f>_xlfn.XLOOKUP(frasest[[#This Row],[author_es]],autorest[author_es],autorest[age_la])</f>
        <v>Antiquitas</v>
      </c>
      <c r="Q173" t="str">
        <f>_xlfn.XLOOKUP(frasest[[#This Row],[author_es]],autorest[author_es],autorest[image])</f>
        <v>https://i.ibb.co/MyYJ15Jw/Pitagoras.png</v>
      </c>
      <c r="R173">
        <f>_xlfn.XLOOKUP(frasest[[#This Row],[author_es]],autorest[author_es],autorest[image_atr])</f>
        <v>0</v>
      </c>
    </row>
    <row r="174" spans="1:18">
      <c r="A174">
        <v>173</v>
      </c>
      <c r="B174" t="s">
        <v>645</v>
      </c>
      <c r="C174" t="s">
        <v>646</v>
      </c>
      <c r="D174" t="s">
        <v>647</v>
      </c>
      <c r="E174" t="s">
        <v>623</v>
      </c>
      <c r="F174" t="s">
        <v>648</v>
      </c>
      <c r="G174" t="str">
        <f>_xlfn.XLOOKUP(frasest[[#This Row],[author_es]],autorest[author_es],autorest[author_la])</f>
        <v>Pythagoras</v>
      </c>
      <c r="H174" t="str">
        <f>_xlfn.XLOOKUP(frasest[[#This Row],[author_es]],autorest[author_es],autorest[bio_es])</f>
        <v>Filósofo y matemático griego de Samos, fundador del pitagorismo. Propuso la inmortalidad del alma, la transmigración y el número como principio de la realidad.</v>
      </c>
      <c r="I174" t="str">
        <f>_xlfn.XLOOKUP(frasest[[#This Row],[author_es]],autorest[author_es],autorest[bio_la])</f>
        <v>Philosophus et mathematicus Graecus Samius, pythagorismi conditor. Immortalitatem animae, transmigrationem et numerum principium rerum proposuit.</v>
      </c>
      <c r="J174" t="str">
        <f>_xlfn.XLOOKUP(frasest[[#This Row],[author_es]],autorest[author_es],autorest[iso3691])</f>
        <v>el</v>
      </c>
      <c r="K174" t="str">
        <f>_xlfn.XLOOKUP(frasest[[#This Row],[author_es]],autorest[author_es],autorest[language_es])</f>
        <v>Griego</v>
      </c>
      <c r="L174" t="str">
        <f>_xlfn.XLOOKUP(frasest[[#This Row],[author_es]],autorest[author_es],autorest[language_la])</f>
        <v>Lingua Graeca</v>
      </c>
      <c r="M174" t="str">
        <f>_xlfn.XLOOKUP(frasest[[#This Row],[author_es]],autorest[author_es],autorest[nation_es])</f>
        <v>Grecia</v>
      </c>
      <c r="N174" t="str">
        <f>_xlfn.XLOOKUP(frasest[[#This Row],[author_es]],autorest[author_es],autorest[nation_la])</f>
        <v>Graecia</v>
      </c>
      <c r="O174" t="str">
        <f>_xlfn.XLOOKUP(frasest[[#This Row],[author_es]],autorest[author_es],autorest[age_es])</f>
        <v>Edad Antigua</v>
      </c>
      <c r="P174" t="str">
        <f>_xlfn.XLOOKUP(frasest[[#This Row],[author_es]],autorest[author_es],autorest[age_la])</f>
        <v>Antiquitas</v>
      </c>
      <c r="Q174" t="str">
        <f>_xlfn.XLOOKUP(frasest[[#This Row],[author_es]],autorest[author_es],autorest[image])</f>
        <v>https://i.ibb.co/MyYJ15Jw/Pitagoras.png</v>
      </c>
      <c r="R174">
        <f>_xlfn.XLOOKUP(frasest[[#This Row],[author_es]],autorest[author_es],autorest[image_atr])</f>
        <v>0</v>
      </c>
    </row>
    <row r="175" spans="1:18">
      <c r="A175">
        <v>174</v>
      </c>
      <c r="B175" t="s">
        <v>649</v>
      </c>
      <c r="C175" t="s">
        <v>650</v>
      </c>
      <c r="D175" t="s">
        <v>651</v>
      </c>
      <c r="E175" t="s">
        <v>623</v>
      </c>
      <c r="F175" t="s">
        <v>652</v>
      </c>
      <c r="G175" t="str">
        <f>_xlfn.XLOOKUP(frasest[[#This Row],[author_es]],autorest[author_es],autorest[author_la])</f>
        <v>Pythagoras</v>
      </c>
      <c r="H175" t="str">
        <f>_xlfn.XLOOKUP(frasest[[#This Row],[author_es]],autorest[author_es],autorest[bio_es])</f>
        <v>Filósofo y matemático griego de Samos, fundador del pitagorismo. Propuso la inmortalidad del alma, la transmigración y el número como principio de la realidad.</v>
      </c>
      <c r="I175" t="str">
        <f>_xlfn.XLOOKUP(frasest[[#This Row],[author_es]],autorest[author_es],autorest[bio_la])</f>
        <v>Philosophus et mathematicus Graecus Samius, pythagorismi conditor. Immortalitatem animae, transmigrationem et numerum principium rerum proposuit.</v>
      </c>
      <c r="J175" t="str">
        <f>_xlfn.XLOOKUP(frasest[[#This Row],[author_es]],autorest[author_es],autorest[iso3691])</f>
        <v>el</v>
      </c>
      <c r="K175" t="str">
        <f>_xlfn.XLOOKUP(frasest[[#This Row],[author_es]],autorest[author_es],autorest[language_es])</f>
        <v>Griego</v>
      </c>
      <c r="L175" t="str">
        <f>_xlfn.XLOOKUP(frasest[[#This Row],[author_es]],autorest[author_es],autorest[language_la])</f>
        <v>Lingua Graeca</v>
      </c>
      <c r="M175" t="str">
        <f>_xlfn.XLOOKUP(frasest[[#This Row],[author_es]],autorest[author_es],autorest[nation_es])</f>
        <v>Grecia</v>
      </c>
      <c r="N175" t="str">
        <f>_xlfn.XLOOKUP(frasest[[#This Row],[author_es]],autorest[author_es],autorest[nation_la])</f>
        <v>Graecia</v>
      </c>
      <c r="O175" t="str">
        <f>_xlfn.XLOOKUP(frasest[[#This Row],[author_es]],autorest[author_es],autorest[age_es])</f>
        <v>Edad Antigua</v>
      </c>
      <c r="P175" t="str">
        <f>_xlfn.XLOOKUP(frasest[[#This Row],[author_es]],autorest[author_es],autorest[age_la])</f>
        <v>Antiquitas</v>
      </c>
      <c r="Q175" t="str">
        <f>_xlfn.XLOOKUP(frasest[[#This Row],[author_es]],autorest[author_es],autorest[image])</f>
        <v>https://i.ibb.co/MyYJ15Jw/Pitagoras.png</v>
      </c>
      <c r="R175">
        <f>_xlfn.XLOOKUP(frasest[[#This Row],[author_es]],autorest[author_es],autorest[image_atr])</f>
        <v>0</v>
      </c>
    </row>
    <row r="176" spans="1:18">
      <c r="A176">
        <v>175</v>
      </c>
      <c r="B176" t="s">
        <v>653</v>
      </c>
      <c r="C176" t="s">
        <v>654</v>
      </c>
      <c r="D176" t="s">
        <v>655</v>
      </c>
      <c r="E176" t="s">
        <v>623</v>
      </c>
      <c r="F176" t="s">
        <v>656</v>
      </c>
      <c r="G176" t="str">
        <f>_xlfn.XLOOKUP(frasest[[#This Row],[author_es]],autorest[author_es],autorest[author_la])</f>
        <v>Pythagoras</v>
      </c>
      <c r="H176" t="str">
        <f>_xlfn.XLOOKUP(frasest[[#This Row],[author_es]],autorest[author_es],autorest[bio_es])</f>
        <v>Filósofo y matemático griego de Samos, fundador del pitagorismo. Propuso la inmortalidad del alma, la transmigración y el número como principio de la realidad.</v>
      </c>
      <c r="I176" t="str">
        <f>_xlfn.XLOOKUP(frasest[[#This Row],[author_es]],autorest[author_es],autorest[bio_la])</f>
        <v>Philosophus et mathematicus Graecus Samius, pythagorismi conditor. Immortalitatem animae, transmigrationem et numerum principium rerum proposuit.</v>
      </c>
      <c r="J176" t="str">
        <f>_xlfn.XLOOKUP(frasest[[#This Row],[author_es]],autorest[author_es],autorest[iso3691])</f>
        <v>el</v>
      </c>
      <c r="K176" t="str">
        <f>_xlfn.XLOOKUP(frasest[[#This Row],[author_es]],autorest[author_es],autorest[language_es])</f>
        <v>Griego</v>
      </c>
      <c r="L176" t="str">
        <f>_xlfn.XLOOKUP(frasest[[#This Row],[author_es]],autorest[author_es],autorest[language_la])</f>
        <v>Lingua Graeca</v>
      </c>
      <c r="M176" t="str">
        <f>_xlfn.XLOOKUP(frasest[[#This Row],[author_es]],autorest[author_es],autorest[nation_es])</f>
        <v>Grecia</v>
      </c>
      <c r="N176" t="str">
        <f>_xlfn.XLOOKUP(frasest[[#This Row],[author_es]],autorest[author_es],autorest[nation_la])</f>
        <v>Graecia</v>
      </c>
      <c r="O176" t="str">
        <f>_xlfn.XLOOKUP(frasest[[#This Row],[author_es]],autorest[author_es],autorest[age_es])</f>
        <v>Edad Antigua</v>
      </c>
      <c r="P176" t="str">
        <f>_xlfn.XLOOKUP(frasest[[#This Row],[author_es]],autorest[author_es],autorest[age_la])</f>
        <v>Antiquitas</v>
      </c>
      <c r="Q176" t="str">
        <f>_xlfn.XLOOKUP(frasest[[#This Row],[author_es]],autorest[author_es],autorest[image])</f>
        <v>https://i.ibb.co/MyYJ15Jw/Pitagoras.png</v>
      </c>
      <c r="R176">
        <f>_xlfn.XLOOKUP(frasest[[#This Row],[author_es]],autorest[author_es],autorest[image_atr])</f>
        <v>0</v>
      </c>
    </row>
    <row r="177" spans="1:18">
      <c r="A177">
        <v>176</v>
      </c>
      <c r="B177" t="s">
        <v>657</v>
      </c>
      <c r="C177" t="s">
        <v>658</v>
      </c>
      <c r="D177" t="s">
        <v>659</v>
      </c>
      <c r="E177" t="s">
        <v>623</v>
      </c>
      <c r="F177" t="s">
        <v>660</v>
      </c>
      <c r="G177" t="str">
        <f>_xlfn.XLOOKUP(frasest[[#This Row],[author_es]],autorest[author_es],autorest[author_la])</f>
        <v>Pythagoras</v>
      </c>
      <c r="H177" t="str">
        <f>_xlfn.XLOOKUP(frasest[[#This Row],[author_es]],autorest[author_es],autorest[bio_es])</f>
        <v>Filósofo y matemático griego de Samos, fundador del pitagorismo. Propuso la inmortalidad del alma, la transmigración y el número como principio de la realidad.</v>
      </c>
      <c r="I177" t="str">
        <f>_xlfn.XLOOKUP(frasest[[#This Row],[author_es]],autorest[author_es],autorest[bio_la])</f>
        <v>Philosophus et mathematicus Graecus Samius, pythagorismi conditor. Immortalitatem animae, transmigrationem et numerum principium rerum proposuit.</v>
      </c>
      <c r="J177" t="str">
        <f>_xlfn.XLOOKUP(frasest[[#This Row],[author_es]],autorest[author_es],autorest[iso3691])</f>
        <v>el</v>
      </c>
      <c r="K177" t="str">
        <f>_xlfn.XLOOKUP(frasest[[#This Row],[author_es]],autorest[author_es],autorest[language_es])</f>
        <v>Griego</v>
      </c>
      <c r="L177" t="str">
        <f>_xlfn.XLOOKUP(frasest[[#This Row],[author_es]],autorest[author_es],autorest[language_la])</f>
        <v>Lingua Graeca</v>
      </c>
      <c r="M177" t="str">
        <f>_xlfn.XLOOKUP(frasest[[#This Row],[author_es]],autorest[author_es],autorest[nation_es])</f>
        <v>Grecia</v>
      </c>
      <c r="N177" t="str">
        <f>_xlfn.XLOOKUP(frasest[[#This Row],[author_es]],autorest[author_es],autorest[nation_la])</f>
        <v>Graecia</v>
      </c>
      <c r="O177" t="str">
        <f>_xlfn.XLOOKUP(frasest[[#This Row],[author_es]],autorest[author_es],autorest[age_es])</f>
        <v>Edad Antigua</v>
      </c>
      <c r="P177" t="str">
        <f>_xlfn.XLOOKUP(frasest[[#This Row],[author_es]],autorest[author_es],autorest[age_la])</f>
        <v>Antiquitas</v>
      </c>
      <c r="Q177" t="str">
        <f>_xlfn.XLOOKUP(frasest[[#This Row],[author_es]],autorest[author_es],autorest[image])</f>
        <v>https://i.ibb.co/MyYJ15Jw/Pitagoras.png</v>
      </c>
      <c r="R177">
        <f>_xlfn.XLOOKUP(frasest[[#This Row],[author_es]],autorest[author_es],autorest[image_atr])</f>
        <v>0</v>
      </c>
    </row>
    <row r="178" spans="1:18">
      <c r="A178">
        <v>177</v>
      </c>
      <c r="B178" t="s">
        <v>661</v>
      </c>
      <c r="C178" t="s">
        <v>662</v>
      </c>
      <c r="D178" t="s">
        <v>663</v>
      </c>
      <c r="E178" t="s">
        <v>664</v>
      </c>
      <c r="F178" t="s">
        <v>665</v>
      </c>
      <c r="G178" t="str">
        <f>_xlfn.XLOOKUP(frasest[[#This Row],[author_es]],autorest[author_es],autorest[author_la])</f>
        <v>Heraclitus</v>
      </c>
      <c r="H178" t="str">
        <f>_xlfn.XLOOKUP(frasest[[#This Row],[author_es]],autorest[author_es],autorest[bio_es])</f>
        <v>Filósofo presocrático griego de Éfeso. Propuso el flujo perpetuo de la realidad (panta rhei) y el fuego como elemento primordial.</v>
      </c>
      <c r="I178" t="str">
        <f>_xlfn.XLOOKUP(frasest[[#This Row],[author_es]],autorest[author_es],autorest[bio_la])</f>
        <v>Philosophus Praesocraticus Graecus Ephesius. Fluxum perpetuum rerum (panta rhei) et ignem elementum primordiale proposuit.</v>
      </c>
      <c r="J178" t="str">
        <f>_xlfn.XLOOKUP(frasest[[#This Row],[author_es]],autorest[author_es],autorest[iso3691])</f>
        <v>el</v>
      </c>
      <c r="K178" t="str">
        <f>_xlfn.XLOOKUP(frasest[[#This Row],[author_es]],autorest[author_es],autorest[language_es])</f>
        <v>Griego</v>
      </c>
      <c r="L178" t="str">
        <f>_xlfn.XLOOKUP(frasest[[#This Row],[author_es]],autorest[author_es],autorest[language_la])</f>
        <v>Lingua Graeca</v>
      </c>
      <c r="M178" t="str">
        <f>_xlfn.XLOOKUP(frasest[[#This Row],[author_es]],autorest[author_es],autorest[nation_es])</f>
        <v>Grecia</v>
      </c>
      <c r="N178" t="str">
        <f>_xlfn.XLOOKUP(frasest[[#This Row],[author_es]],autorest[author_es],autorest[nation_la])</f>
        <v>Graecia</v>
      </c>
      <c r="O178" t="str">
        <f>_xlfn.XLOOKUP(frasest[[#This Row],[author_es]],autorest[author_es],autorest[age_es])</f>
        <v>Edad Antigua</v>
      </c>
      <c r="P178" t="str">
        <f>_xlfn.XLOOKUP(frasest[[#This Row],[author_es]],autorest[author_es],autorest[age_la])</f>
        <v>Antiquitas</v>
      </c>
      <c r="Q178" t="str">
        <f>_xlfn.XLOOKUP(frasest[[#This Row],[author_es]],autorest[author_es],autorest[image])</f>
        <v>https://i.ibb.co/0p0Gxf3S/heraclito.png</v>
      </c>
      <c r="R178">
        <f>_xlfn.XLOOKUP(frasest[[#This Row],[author_es]],autorest[author_es],autorest[image_atr])</f>
        <v>0</v>
      </c>
    </row>
    <row r="179" spans="1:18">
      <c r="A179">
        <v>178</v>
      </c>
      <c r="B179" t="s">
        <v>666</v>
      </c>
      <c r="C179" t="s">
        <v>667</v>
      </c>
      <c r="D179" t="s">
        <v>668</v>
      </c>
      <c r="E179" t="s">
        <v>664</v>
      </c>
      <c r="F179" t="s">
        <v>665</v>
      </c>
      <c r="G179" t="str">
        <f>_xlfn.XLOOKUP(frasest[[#This Row],[author_es]],autorest[author_es],autorest[author_la])</f>
        <v>Heraclitus</v>
      </c>
      <c r="H179" t="str">
        <f>_xlfn.XLOOKUP(frasest[[#This Row],[author_es]],autorest[author_es],autorest[bio_es])</f>
        <v>Filósofo presocrático griego de Éfeso. Propuso el flujo perpetuo de la realidad (panta rhei) y el fuego como elemento primordial.</v>
      </c>
      <c r="I179" t="str">
        <f>_xlfn.XLOOKUP(frasest[[#This Row],[author_es]],autorest[author_es],autorest[bio_la])</f>
        <v>Philosophus Praesocraticus Graecus Ephesius. Fluxum perpetuum rerum (panta rhei) et ignem elementum primordiale proposuit.</v>
      </c>
      <c r="J179" t="str">
        <f>_xlfn.XLOOKUP(frasest[[#This Row],[author_es]],autorest[author_es],autorest[iso3691])</f>
        <v>el</v>
      </c>
      <c r="K179" t="str">
        <f>_xlfn.XLOOKUP(frasest[[#This Row],[author_es]],autorest[author_es],autorest[language_es])</f>
        <v>Griego</v>
      </c>
      <c r="L179" t="str">
        <f>_xlfn.XLOOKUP(frasest[[#This Row],[author_es]],autorest[author_es],autorest[language_la])</f>
        <v>Lingua Graeca</v>
      </c>
      <c r="M179" t="str">
        <f>_xlfn.XLOOKUP(frasest[[#This Row],[author_es]],autorest[author_es],autorest[nation_es])</f>
        <v>Grecia</v>
      </c>
      <c r="N179" t="str">
        <f>_xlfn.XLOOKUP(frasest[[#This Row],[author_es]],autorest[author_es],autorest[nation_la])</f>
        <v>Graecia</v>
      </c>
      <c r="O179" t="str">
        <f>_xlfn.XLOOKUP(frasest[[#This Row],[author_es]],autorest[author_es],autorest[age_es])</f>
        <v>Edad Antigua</v>
      </c>
      <c r="P179" t="str">
        <f>_xlfn.XLOOKUP(frasest[[#This Row],[author_es]],autorest[author_es],autorest[age_la])</f>
        <v>Antiquitas</v>
      </c>
      <c r="Q179" t="str">
        <f>_xlfn.XLOOKUP(frasest[[#This Row],[author_es]],autorest[author_es],autorest[image])</f>
        <v>https://i.ibb.co/0p0Gxf3S/heraclito.png</v>
      </c>
      <c r="R179">
        <f>_xlfn.XLOOKUP(frasest[[#This Row],[author_es]],autorest[author_es],autorest[image_atr])</f>
        <v>0</v>
      </c>
    </row>
    <row r="180" spans="1:18">
      <c r="A180">
        <v>179</v>
      </c>
      <c r="B180" t="s">
        <v>669</v>
      </c>
      <c r="C180" t="s">
        <v>670</v>
      </c>
      <c r="D180" t="s">
        <v>671</v>
      </c>
      <c r="E180" t="s">
        <v>664</v>
      </c>
      <c r="F180" t="s">
        <v>672</v>
      </c>
      <c r="G180" t="str">
        <f>_xlfn.XLOOKUP(frasest[[#This Row],[author_es]],autorest[author_es],autorest[author_la])</f>
        <v>Heraclitus</v>
      </c>
      <c r="H180" t="str">
        <f>_xlfn.XLOOKUP(frasest[[#This Row],[author_es]],autorest[author_es],autorest[bio_es])</f>
        <v>Filósofo presocrático griego de Éfeso. Propuso el flujo perpetuo de la realidad (panta rhei) y el fuego como elemento primordial.</v>
      </c>
      <c r="I180" t="str">
        <f>_xlfn.XLOOKUP(frasest[[#This Row],[author_es]],autorest[author_es],autorest[bio_la])</f>
        <v>Philosophus Praesocraticus Graecus Ephesius. Fluxum perpetuum rerum (panta rhei) et ignem elementum primordiale proposuit.</v>
      </c>
      <c r="J180" t="str">
        <f>_xlfn.XLOOKUP(frasest[[#This Row],[author_es]],autorest[author_es],autorest[iso3691])</f>
        <v>el</v>
      </c>
      <c r="K180" t="str">
        <f>_xlfn.XLOOKUP(frasest[[#This Row],[author_es]],autorest[author_es],autorest[language_es])</f>
        <v>Griego</v>
      </c>
      <c r="L180" t="str">
        <f>_xlfn.XLOOKUP(frasest[[#This Row],[author_es]],autorest[author_es],autorest[language_la])</f>
        <v>Lingua Graeca</v>
      </c>
      <c r="M180" t="str">
        <f>_xlfn.XLOOKUP(frasest[[#This Row],[author_es]],autorest[author_es],autorest[nation_es])</f>
        <v>Grecia</v>
      </c>
      <c r="N180" t="str">
        <f>_xlfn.XLOOKUP(frasest[[#This Row],[author_es]],autorest[author_es],autorest[nation_la])</f>
        <v>Graecia</v>
      </c>
      <c r="O180" t="str">
        <f>_xlfn.XLOOKUP(frasest[[#This Row],[author_es]],autorest[author_es],autorest[age_es])</f>
        <v>Edad Antigua</v>
      </c>
      <c r="P180" t="str">
        <f>_xlfn.XLOOKUP(frasest[[#This Row],[author_es]],autorest[author_es],autorest[age_la])</f>
        <v>Antiquitas</v>
      </c>
      <c r="Q180" t="str">
        <f>_xlfn.XLOOKUP(frasest[[#This Row],[author_es]],autorest[author_es],autorest[image])</f>
        <v>https://i.ibb.co/0p0Gxf3S/heraclito.png</v>
      </c>
      <c r="R180">
        <f>_xlfn.XLOOKUP(frasest[[#This Row],[author_es]],autorest[author_es],autorest[image_atr])</f>
        <v>0</v>
      </c>
    </row>
    <row r="181" spans="1:18">
      <c r="A181">
        <v>180</v>
      </c>
      <c r="B181" t="s">
        <v>673</v>
      </c>
      <c r="C181" t="s">
        <v>674</v>
      </c>
      <c r="D181" t="s">
        <v>675</v>
      </c>
      <c r="E181" t="s">
        <v>664</v>
      </c>
      <c r="F181" t="s">
        <v>676</v>
      </c>
      <c r="G181" t="str">
        <f>_xlfn.XLOOKUP(frasest[[#This Row],[author_es]],autorest[author_es],autorest[author_la])</f>
        <v>Heraclitus</v>
      </c>
      <c r="H181" t="str">
        <f>_xlfn.XLOOKUP(frasest[[#This Row],[author_es]],autorest[author_es],autorest[bio_es])</f>
        <v>Filósofo presocrático griego de Éfeso. Propuso el flujo perpetuo de la realidad (panta rhei) y el fuego como elemento primordial.</v>
      </c>
      <c r="I181" t="str">
        <f>_xlfn.XLOOKUP(frasest[[#This Row],[author_es]],autorest[author_es],autorest[bio_la])</f>
        <v>Philosophus Praesocraticus Graecus Ephesius. Fluxum perpetuum rerum (panta rhei) et ignem elementum primordiale proposuit.</v>
      </c>
      <c r="J181" t="str">
        <f>_xlfn.XLOOKUP(frasest[[#This Row],[author_es]],autorest[author_es],autorest[iso3691])</f>
        <v>el</v>
      </c>
      <c r="K181" t="str">
        <f>_xlfn.XLOOKUP(frasest[[#This Row],[author_es]],autorest[author_es],autorest[language_es])</f>
        <v>Griego</v>
      </c>
      <c r="L181" t="str">
        <f>_xlfn.XLOOKUP(frasest[[#This Row],[author_es]],autorest[author_es],autorest[language_la])</f>
        <v>Lingua Graeca</v>
      </c>
      <c r="M181" t="str">
        <f>_xlfn.XLOOKUP(frasest[[#This Row],[author_es]],autorest[author_es],autorest[nation_es])</f>
        <v>Grecia</v>
      </c>
      <c r="N181" t="str">
        <f>_xlfn.XLOOKUP(frasest[[#This Row],[author_es]],autorest[author_es],autorest[nation_la])</f>
        <v>Graecia</v>
      </c>
      <c r="O181" t="str">
        <f>_xlfn.XLOOKUP(frasest[[#This Row],[author_es]],autorest[author_es],autorest[age_es])</f>
        <v>Edad Antigua</v>
      </c>
      <c r="P181" t="str">
        <f>_xlfn.XLOOKUP(frasest[[#This Row],[author_es]],autorest[author_es],autorest[age_la])</f>
        <v>Antiquitas</v>
      </c>
      <c r="Q181" t="str">
        <f>_xlfn.XLOOKUP(frasest[[#This Row],[author_es]],autorest[author_es],autorest[image])</f>
        <v>https://i.ibb.co/0p0Gxf3S/heraclito.png</v>
      </c>
      <c r="R181">
        <f>_xlfn.XLOOKUP(frasest[[#This Row],[author_es]],autorest[author_es],autorest[image_atr])</f>
        <v>0</v>
      </c>
    </row>
    <row r="182" spans="1:18">
      <c r="A182">
        <v>181</v>
      </c>
      <c r="B182" t="s">
        <v>677</v>
      </c>
      <c r="C182" t="s">
        <v>678</v>
      </c>
      <c r="D182" t="s">
        <v>679</v>
      </c>
      <c r="E182" t="s">
        <v>664</v>
      </c>
      <c r="F182" t="s">
        <v>680</v>
      </c>
      <c r="G182" t="str">
        <f>_xlfn.XLOOKUP(frasest[[#This Row],[author_es]],autorest[author_es],autorest[author_la])</f>
        <v>Heraclitus</v>
      </c>
      <c r="H182" t="str">
        <f>_xlfn.XLOOKUP(frasest[[#This Row],[author_es]],autorest[author_es],autorest[bio_es])</f>
        <v>Filósofo presocrático griego de Éfeso. Propuso el flujo perpetuo de la realidad (panta rhei) y el fuego como elemento primordial.</v>
      </c>
      <c r="I182" t="str">
        <f>_xlfn.XLOOKUP(frasest[[#This Row],[author_es]],autorest[author_es],autorest[bio_la])</f>
        <v>Philosophus Praesocraticus Graecus Ephesius. Fluxum perpetuum rerum (panta rhei) et ignem elementum primordiale proposuit.</v>
      </c>
      <c r="J182" t="str">
        <f>_xlfn.XLOOKUP(frasest[[#This Row],[author_es]],autorest[author_es],autorest[iso3691])</f>
        <v>el</v>
      </c>
      <c r="K182" t="str">
        <f>_xlfn.XLOOKUP(frasest[[#This Row],[author_es]],autorest[author_es],autorest[language_es])</f>
        <v>Griego</v>
      </c>
      <c r="L182" t="str">
        <f>_xlfn.XLOOKUP(frasest[[#This Row],[author_es]],autorest[author_es],autorest[language_la])</f>
        <v>Lingua Graeca</v>
      </c>
      <c r="M182" t="str">
        <f>_xlfn.XLOOKUP(frasest[[#This Row],[author_es]],autorest[author_es],autorest[nation_es])</f>
        <v>Grecia</v>
      </c>
      <c r="N182" t="str">
        <f>_xlfn.XLOOKUP(frasest[[#This Row],[author_es]],autorest[author_es],autorest[nation_la])</f>
        <v>Graecia</v>
      </c>
      <c r="O182" t="str">
        <f>_xlfn.XLOOKUP(frasest[[#This Row],[author_es]],autorest[author_es],autorest[age_es])</f>
        <v>Edad Antigua</v>
      </c>
      <c r="P182" t="str">
        <f>_xlfn.XLOOKUP(frasest[[#This Row],[author_es]],autorest[author_es],autorest[age_la])</f>
        <v>Antiquitas</v>
      </c>
      <c r="Q182" t="str">
        <f>_xlfn.XLOOKUP(frasest[[#This Row],[author_es]],autorest[author_es],autorest[image])</f>
        <v>https://i.ibb.co/0p0Gxf3S/heraclito.png</v>
      </c>
      <c r="R182">
        <f>_xlfn.XLOOKUP(frasest[[#This Row],[author_es]],autorest[author_es],autorest[image_atr])</f>
        <v>0</v>
      </c>
    </row>
    <row r="183" spans="1:18">
      <c r="A183">
        <v>182</v>
      </c>
      <c r="B183" t="s">
        <v>681</v>
      </c>
      <c r="C183" t="s">
        <v>682</v>
      </c>
      <c r="D183" t="s">
        <v>683</v>
      </c>
      <c r="E183" t="s">
        <v>664</v>
      </c>
      <c r="F183" t="s">
        <v>684</v>
      </c>
      <c r="G183" t="str">
        <f>_xlfn.XLOOKUP(frasest[[#This Row],[author_es]],autorest[author_es],autorest[author_la])</f>
        <v>Heraclitus</v>
      </c>
      <c r="H183" t="str">
        <f>_xlfn.XLOOKUP(frasest[[#This Row],[author_es]],autorest[author_es],autorest[bio_es])</f>
        <v>Filósofo presocrático griego de Éfeso. Propuso el flujo perpetuo de la realidad (panta rhei) y el fuego como elemento primordial.</v>
      </c>
      <c r="I183" t="str">
        <f>_xlfn.XLOOKUP(frasest[[#This Row],[author_es]],autorest[author_es],autorest[bio_la])</f>
        <v>Philosophus Praesocraticus Graecus Ephesius. Fluxum perpetuum rerum (panta rhei) et ignem elementum primordiale proposuit.</v>
      </c>
      <c r="J183" t="str">
        <f>_xlfn.XLOOKUP(frasest[[#This Row],[author_es]],autorest[author_es],autorest[iso3691])</f>
        <v>el</v>
      </c>
      <c r="K183" t="str">
        <f>_xlfn.XLOOKUP(frasest[[#This Row],[author_es]],autorest[author_es],autorest[language_es])</f>
        <v>Griego</v>
      </c>
      <c r="L183" t="str">
        <f>_xlfn.XLOOKUP(frasest[[#This Row],[author_es]],autorest[author_es],autorest[language_la])</f>
        <v>Lingua Graeca</v>
      </c>
      <c r="M183" t="str">
        <f>_xlfn.XLOOKUP(frasest[[#This Row],[author_es]],autorest[author_es],autorest[nation_es])</f>
        <v>Grecia</v>
      </c>
      <c r="N183" t="str">
        <f>_xlfn.XLOOKUP(frasest[[#This Row],[author_es]],autorest[author_es],autorest[nation_la])</f>
        <v>Graecia</v>
      </c>
      <c r="O183" t="str">
        <f>_xlfn.XLOOKUP(frasest[[#This Row],[author_es]],autorest[author_es],autorest[age_es])</f>
        <v>Edad Antigua</v>
      </c>
      <c r="P183" t="str">
        <f>_xlfn.XLOOKUP(frasest[[#This Row],[author_es]],autorest[author_es],autorest[age_la])</f>
        <v>Antiquitas</v>
      </c>
      <c r="Q183" t="str">
        <f>_xlfn.XLOOKUP(frasest[[#This Row],[author_es]],autorest[author_es],autorest[image])</f>
        <v>https://i.ibb.co/0p0Gxf3S/heraclito.png</v>
      </c>
      <c r="R183">
        <f>_xlfn.XLOOKUP(frasest[[#This Row],[author_es]],autorest[author_es],autorest[image_atr])</f>
        <v>0</v>
      </c>
    </row>
    <row r="184" spans="1:18">
      <c r="A184">
        <v>183</v>
      </c>
      <c r="B184" t="s">
        <v>685</v>
      </c>
      <c r="C184" t="s">
        <v>686</v>
      </c>
      <c r="D184" t="s">
        <v>687</v>
      </c>
      <c r="E184" t="s">
        <v>664</v>
      </c>
      <c r="F184" t="s">
        <v>688</v>
      </c>
      <c r="G184" t="str">
        <f>_xlfn.XLOOKUP(frasest[[#This Row],[author_es]],autorest[author_es],autorest[author_la])</f>
        <v>Heraclitus</v>
      </c>
      <c r="H184" t="str">
        <f>_xlfn.XLOOKUP(frasest[[#This Row],[author_es]],autorest[author_es],autorest[bio_es])</f>
        <v>Filósofo presocrático griego de Éfeso. Propuso el flujo perpetuo de la realidad (panta rhei) y el fuego como elemento primordial.</v>
      </c>
      <c r="I184" t="str">
        <f>_xlfn.XLOOKUP(frasest[[#This Row],[author_es]],autorest[author_es],autorest[bio_la])</f>
        <v>Philosophus Praesocraticus Graecus Ephesius. Fluxum perpetuum rerum (panta rhei) et ignem elementum primordiale proposuit.</v>
      </c>
      <c r="J184" t="str">
        <f>_xlfn.XLOOKUP(frasest[[#This Row],[author_es]],autorest[author_es],autorest[iso3691])</f>
        <v>el</v>
      </c>
      <c r="K184" t="str">
        <f>_xlfn.XLOOKUP(frasest[[#This Row],[author_es]],autorest[author_es],autorest[language_es])</f>
        <v>Griego</v>
      </c>
      <c r="L184" t="str">
        <f>_xlfn.XLOOKUP(frasest[[#This Row],[author_es]],autorest[author_es],autorest[language_la])</f>
        <v>Lingua Graeca</v>
      </c>
      <c r="M184" t="str">
        <f>_xlfn.XLOOKUP(frasest[[#This Row],[author_es]],autorest[author_es],autorest[nation_es])</f>
        <v>Grecia</v>
      </c>
      <c r="N184" t="str">
        <f>_xlfn.XLOOKUP(frasest[[#This Row],[author_es]],autorest[author_es],autorest[nation_la])</f>
        <v>Graecia</v>
      </c>
      <c r="O184" t="str">
        <f>_xlfn.XLOOKUP(frasest[[#This Row],[author_es]],autorest[author_es],autorest[age_es])</f>
        <v>Edad Antigua</v>
      </c>
      <c r="P184" t="str">
        <f>_xlfn.XLOOKUP(frasest[[#This Row],[author_es]],autorest[author_es],autorest[age_la])</f>
        <v>Antiquitas</v>
      </c>
      <c r="Q184" t="str">
        <f>_xlfn.XLOOKUP(frasest[[#This Row],[author_es]],autorest[author_es],autorest[image])</f>
        <v>https://i.ibb.co/0p0Gxf3S/heraclito.png</v>
      </c>
      <c r="R184">
        <f>_xlfn.XLOOKUP(frasest[[#This Row],[author_es]],autorest[author_es],autorest[image_atr])</f>
        <v>0</v>
      </c>
    </row>
    <row r="185" spans="1:18">
      <c r="A185">
        <v>184</v>
      </c>
      <c r="B185" t="s">
        <v>689</v>
      </c>
      <c r="C185" t="s">
        <v>690</v>
      </c>
      <c r="D185" t="s">
        <v>691</v>
      </c>
      <c r="E185" t="s">
        <v>664</v>
      </c>
      <c r="F185" t="s">
        <v>692</v>
      </c>
      <c r="G185" t="str">
        <f>_xlfn.XLOOKUP(frasest[[#This Row],[author_es]],autorest[author_es],autorest[author_la])</f>
        <v>Heraclitus</v>
      </c>
      <c r="H185" t="str">
        <f>_xlfn.XLOOKUP(frasest[[#This Row],[author_es]],autorest[author_es],autorest[bio_es])</f>
        <v>Filósofo presocrático griego de Éfeso. Propuso el flujo perpetuo de la realidad (panta rhei) y el fuego como elemento primordial.</v>
      </c>
      <c r="I185" t="str">
        <f>_xlfn.XLOOKUP(frasest[[#This Row],[author_es]],autorest[author_es],autorest[bio_la])</f>
        <v>Philosophus Praesocraticus Graecus Ephesius. Fluxum perpetuum rerum (panta rhei) et ignem elementum primordiale proposuit.</v>
      </c>
      <c r="J185" t="str">
        <f>_xlfn.XLOOKUP(frasest[[#This Row],[author_es]],autorest[author_es],autorest[iso3691])</f>
        <v>el</v>
      </c>
      <c r="K185" t="str">
        <f>_xlfn.XLOOKUP(frasest[[#This Row],[author_es]],autorest[author_es],autorest[language_es])</f>
        <v>Griego</v>
      </c>
      <c r="L185" t="str">
        <f>_xlfn.XLOOKUP(frasest[[#This Row],[author_es]],autorest[author_es],autorest[language_la])</f>
        <v>Lingua Graeca</v>
      </c>
      <c r="M185" t="str">
        <f>_xlfn.XLOOKUP(frasest[[#This Row],[author_es]],autorest[author_es],autorest[nation_es])</f>
        <v>Grecia</v>
      </c>
      <c r="N185" t="str">
        <f>_xlfn.XLOOKUP(frasest[[#This Row],[author_es]],autorest[author_es],autorest[nation_la])</f>
        <v>Graecia</v>
      </c>
      <c r="O185" t="str">
        <f>_xlfn.XLOOKUP(frasest[[#This Row],[author_es]],autorest[author_es],autorest[age_es])</f>
        <v>Edad Antigua</v>
      </c>
      <c r="P185" t="str">
        <f>_xlfn.XLOOKUP(frasest[[#This Row],[author_es]],autorest[author_es],autorest[age_la])</f>
        <v>Antiquitas</v>
      </c>
      <c r="Q185" t="str">
        <f>_xlfn.XLOOKUP(frasest[[#This Row],[author_es]],autorest[author_es],autorest[image])</f>
        <v>https://i.ibb.co/0p0Gxf3S/heraclito.png</v>
      </c>
      <c r="R185">
        <f>_xlfn.XLOOKUP(frasest[[#This Row],[author_es]],autorest[author_es],autorest[image_atr])</f>
        <v>0</v>
      </c>
    </row>
    <row r="186" spans="1:18">
      <c r="A186">
        <v>185</v>
      </c>
      <c r="B186" t="s">
        <v>693</v>
      </c>
      <c r="C186" t="s">
        <v>694</v>
      </c>
      <c r="D186" t="s">
        <v>695</v>
      </c>
      <c r="E186" t="s">
        <v>664</v>
      </c>
      <c r="F186" t="s">
        <v>696</v>
      </c>
      <c r="G186" t="str">
        <f>_xlfn.XLOOKUP(frasest[[#This Row],[author_es]],autorest[author_es],autorest[author_la])</f>
        <v>Heraclitus</v>
      </c>
      <c r="H186" t="str">
        <f>_xlfn.XLOOKUP(frasest[[#This Row],[author_es]],autorest[author_es],autorest[bio_es])</f>
        <v>Filósofo presocrático griego de Éfeso. Propuso el flujo perpetuo de la realidad (panta rhei) y el fuego como elemento primordial.</v>
      </c>
      <c r="I186" t="str">
        <f>_xlfn.XLOOKUP(frasest[[#This Row],[author_es]],autorest[author_es],autorest[bio_la])</f>
        <v>Philosophus Praesocraticus Graecus Ephesius. Fluxum perpetuum rerum (panta rhei) et ignem elementum primordiale proposuit.</v>
      </c>
      <c r="J186" t="str">
        <f>_xlfn.XLOOKUP(frasest[[#This Row],[author_es]],autorest[author_es],autorest[iso3691])</f>
        <v>el</v>
      </c>
      <c r="K186" t="str">
        <f>_xlfn.XLOOKUP(frasest[[#This Row],[author_es]],autorest[author_es],autorest[language_es])</f>
        <v>Griego</v>
      </c>
      <c r="L186" t="str">
        <f>_xlfn.XLOOKUP(frasest[[#This Row],[author_es]],autorest[author_es],autorest[language_la])</f>
        <v>Lingua Graeca</v>
      </c>
      <c r="M186" t="str">
        <f>_xlfn.XLOOKUP(frasest[[#This Row],[author_es]],autorest[author_es],autorest[nation_es])</f>
        <v>Grecia</v>
      </c>
      <c r="N186" t="str">
        <f>_xlfn.XLOOKUP(frasest[[#This Row],[author_es]],autorest[author_es],autorest[nation_la])</f>
        <v>Graecia</v>
      </c>
      <c r="O186" t="str">
        <f>_xlfn.XLOOKUP(frasest[[#This Row],[author_es]],autorest[author_es],autorest[age_es])</f>
        <v>Edad Antigua</v>
      </c>
      <c r="P186" t="str">
        <f>_xlfn.XLOOKUP(frasest[[#This Row],[author_es]],autorest[author_es],autorest[age_la])</f>
        <v>Antiquitas</v>
      </c>
      <c r="Q186" t="str">
        <f>_xlfn.XLOOKUP(frasest[[#This Row],[author_es]],autorest[author_es],autorest[image])</f>
        <v>https://i.ibb.co/0p0Gxf3S/heraclito.png</v>
      </c>
      <c r="R186">
        <f>_xlfn.XLOOKUP(frasest[[#This Row],[author_es]],autorest[author_es],autorest[image_atr])</f>
        <v>0</v>
      </c>
    </row>
    <row r="187" spans="1:18">
      <c r="A187">
        <v>186</v>
      </c>
      <c r="B187" t="s">
        <v>697</v>
      </c>
      <c r="C187" t="s">
        <v>698</v>
      </c>
      <c r="D187" t="s">
        <v>699</v>
      </c>
      <c r="E187" t="s">
        <v>664</v>
      </c>
      <c r="F187" t="s">
        <v>700</v>
      </c>
      <c r="G187" t="str">
        <f>_xlfn.XLOOKUP(frasest[[#This Row],[author_es]],autorest[author_es],autorest[author_la])</f>
        <v>Heraclitus</v>
      </c>
      <c r="H187" t="str">
        <f>_xlfn.XLOOKUP(frasest[[#This Row],[author_es]],autorest[author_es],autorest[bio_es])</f>
        <v>Filósofo presocrático griego de Éfeso. Propuso el flujo perpetuo de la realidad (panta rhei) y el fuego como elemento primordial.</v>
      </c>
      <c r="I187" t="str">
        <f>_xlfn.XLOOKUP(frasest[[#This Row],[author_es]],autorest[author_es],autorest[bio_la])</f>
        <v>Philosophus Praesocraticus Graecus Ephesius. Fluxum perpetuum rerum (panta rhei) et ignem elementum primordiale proposuit.</v>
      </c>
      <c r="J187" t="str">
        <f>_xlfn.XLOOKUP(frasest[[#This Row],[author_es]],autorest[author_es],autorest[iso3691])</f>
        <v>el</v>
      </c>
      <c r="K187" t="str">
        <f>_xlfn.XLOOKUP(frasest[[#This Row],[author_es]],autorest[author_es],autorest[language_es])</f>
        <v>Griego</v>
      </c>
      <c r="L187" t="str">
        <f>_xlfn.XLOOKUP(frasest[[#This Row],[author_es]],autorest[author_es],autorest[language_la])</f>
        <v>Lingua Graeca</v>
      </c>
      <c r="M187" t="str">
        <f>_xlfn.XLOOKUP(frasest[[#This Row],[author_es]],autorest[author_es],autorest[nation_es])</f>
        <v>Grecia</v>
      </c>
      <c r="N187" t="str">
        <f>_xlfn.XLOOKUP(frasest[[#This Row],[author_es]],autorest[author_es],autorest[nation_la])</f>
        <v>Graecia</v>
      </c>
      <c r="O187" t="str">
        <f>_xlfn.XLOOKUP(frasest[[#This Row],[author_es]],autorest[author_es],autorest[age_es])</f>
        <v>Edad Antigua</v>
      </c>
      <c r="P187" t="str">
        <f>_xlfn.XLOOKUP(frasest[[#This Row],[author_es]],autorest[author_es],autorest[age_la])</f>
        <v>Antiquitas</v>
      </c>
      <c r="Q187" t="str">
        <f>_xlfn.XLOOKUP(frasest[[#This Row],[author_es]],autorest[author_es],autorest[image])</f>
        <v>https://i.ibb.co/0p0Gxf3S/heraclito.png</v>
      </c>
      <c r="R187">
        <f>_xlfn.XLOOKUP(frasest[[#This Row],[author_es]],autorest[author_es],autorest[image_atr])</f>
        <v>0</v>
      </c>
    </row>
    <row r="188" spans="1:18">
      <c r="A188">
        <v>187</v>
      </c>
      <c r="B188" t="s">
        <v>701</v>
      </c>
      <c r="C188" t="s">
        <v>702</v>
      </c>
      <c r="D188" t="s">
        <v>703</v>
      </c>
      <c r="E188" t="s">
        <v>704</v>
      </c>
      <c r="F188" t="s">
        <v>705</v>
      </c>
      <c r="G188" t="str">
        <f>_xlfn.XLOOKUP(frasest[[#This Row],[author_es]],autorest[author_es],autorest[author_la])</f>
        <v>Socrates</v>
      </c>
      <c r="H188" t="str">
        <f>_xlfn.XLOOKUP(frasest[[#This Row],[author_es]],autorest[author_es],autorest[bio_es])</f>
        <v>Filósofo griego de Atenas, fundador de la filosofía moral occidental. Maestro de Platón, desarrolló el método mayéutico. Fue condenado a muerte por impiedad.</v>
      </c>
      <c r="I188" t="str">
        <f>_xlfn.XLOOKUP(frasest[[#This Row],[author_es]],autorest[author_es],autorest[bio_la])</f>
        <v>Philosophus Graecus Atheniensis, philosophiae moralis Occidentalis conditor. Magister Platonis, methodum maieuticam elaboravit. Morte damnatus propter impietatem.</v>
      </c>
      <c r="J188" t="str">
        <f>_xlfn.XLOOKUP(frasest[[#This Row],[author_es]],autorest[author_es],autorest[iso3691])</f>
        <v>el</v>
      </c>
      <c r="K188" t="str">
        <f>_xlfn.XLOOKUP(frasest[[#This Row],[author_es]],autorest[author_es],autorest[language_es])</f>
        <v>Griego</v>
      </c>
      <c r="L188" t="str">
        <f>_xlfn.XLOOKUP(frasest[[#This Row],[author_es]],autorest[author_es],autorest[language_la])</f>
        <v>Lingua Graeca</v>
      </c>
      <c r="M188" t="str">
        <f>_xlfn.XLOOKUP(frasest[[#This Row],[author_es]],autorest[author_es],autorest[nation_es])</f>
        <v>Grecia</v>
      </c>
      <c r="N188" t="str">
        <f>_xlfn.XLOOKUP(frasest[[#This Row],[author_es]],autorest[author_es],autorest[nation_la])</f>
        <v>Graecia</v>
      </c>
      <c r="O188" t="str">
        <f>_xlfn.XLOOKUP(frasest[[#This Row],[author_es]],autorest[author_es],autorest[age_es])</f>
        <v>Edad Antigua</v>
      </c>
      <c r="P188" t="str">
        <f>_xlfn.XLOOKUP(frasest[[#This Row],[author_es]],autorest[author_es],autorest[age_la])</f>
        <v>Antiquitas</v>
      </c>
      <c r="Q188" t="str">
        <f>_xlfn.XLOOKUP(frasest[[#This Row],[author_es]],autorest[author_es],autorest[image])</f>
        <v>https://i.ibb.co/hJtF2qzm/socrates.png</v>
      </c>
      <c r="R188">
        <f>_xlfn.XLOOKUP(frasest[[#This Row],[author_es]],autorest[author_es],autorest[image_atr])</f>
        <v>0</v>
      </c>
    </row>
    <row r="189" spans="1:18">
      <c r="A189">
        <v>188</v>
      </c>
      <c r="B189" t="s">
        <v>449</v>
      </c>
      <c r="C189" t="s">
        <v>706</v>
      </c>
      <c r="D189" t="s">
        <v>707</v>
      </c>
      <c r="E189" t="s">
        <v>704</v>
      </c>
      <c r="F189" t="s">
        <v>708</v>
      </c>
      <c r="G189" t="str">
        <f>_xlfn.XLOOKUP(frasest[[#This Row],[author_es]],autorest[author_es],autorest[author_la])</f>
        <v>Socrates</v>
      </c>
      <c r="H189" t="str">
        <f>_xlfn.XLOOKUP(frasest[[#This Row],[author_es]],autorest[author_es],autorest[bio_es])</f>
        <v>Filósofo griego de Atenas, fundador de la filosofía moral occidental. Maestro de Platón, desarrolló el método mayéutico. Fue condenado a muerte por impiedad.</v>
      </c>
      <c r="I189" t="str">
        <f>_xlfn.XLOOKUP(frasest[[#This Row],[author_es]],autorest[author_es],autorest[bio_la])</f>
        <v>Philosophus Graecus Atheniensis, philosophiae moralis Occidentalis conditor. Magister Platonis, methodum maieuticam elaboravit. Morte damnatus propter impietatem.</v>
      </c>
      <c r="J189" t="str">
        <f>_xlfn.XLOOKUP(frasest[[#This Row],[author_es]],autorest[author_es],autorest[iso3691])</f>
        <v>el</v>
      </c>
      <c r="K189" t="str">
        <f>_xlfn.XLOOKUP(frasest[[#This Row],[author_es]],autorest[author_es],autorest[language_es])</f>
        <v>Griego</v>
      </c>
      <c r="L189" t="str">
        <f>_xlfn.XLOOKUP(frasest[[#This Row],[author_es]],autorest[author_es],autorest[language_la])</f>
        <v>Lingua Graeca</v>
      </c>
      <c r="M189" t="str">
        <f>_xlfn.XLOOKUP(frasest[[#This Row],[author_es]],autorest[author_es],autorest[nation_es])</f>
        <v>Grecia</v>
      </c>
      <c r="N189" t="str">
        <f>_xlfn.XLOOKUP(frasest[[#This Row],[author_es]],autorest[author_es],autorest[nation_la])</f>
        <v>Graecia</v>
      </c>
      <c r="O189" t="str">
        <f>_xlfn.XLOOKUP(frasest[[#This Row],[author_es]],autorest[author_es],autorest[age_es])</f>
        <v>Edad Antigua</v>
      </c>
      <c r="P189" t="str">
        <f>_xlfn.XLOOKUP(frasest[[#This Row],[author_es]],autorest[author_es],autorest[age_la])</f>
        <v>Antiquitas</v>
      </c>
      <c r="Q189" t="str">
        <f>_xlfn.XLOOKUP(frasest[[#This Row],[author_es]],autorest[author_es],autorest[image])</f>
        <v>https://i.ibb.co/hJtF2qzm/socrates.png</v>
      </c>
      <c r="R189">
        <f>_xlfn.XLOOKUP(frasest[[#This Row],[author_es]],autorest[author_es],autorest[image_atr])</f>
        <v>0</v>
      </c>
    </row>
    <row r="190" spans="1:18">
      <c r="A190">
        <v>189</v>
      </c>
      <c r="B190" t="s">
        <v>709</v>
      </c>
      <c r="C190" t="s">
        <v>710</v>
      </c>
      <c r="D190" t="s">
        <v>711</v>
      </c>
      <c r="E190" t="s">
        <v>704</v>
      </c>
      <c r="F190" t="s">
        <v>712</v>
      </c>
      <c r="G190" t="str">
        <f>_xlfn.XLOOKUP(frasest[[#This Row],[author_es]],autorest[author_es],autorest[author_la])</f>
        <v>Socrates</v>
      </c>
      <c r="H190" t="str">
        <f>_xlfn.XLOOKUP(frasest[[#This Row],[author_es]],autorest[author_es],autorest[bio_es])</f>
        <v>Filósofo griego de Atenas, fundador de la filosofía moral occidental. Maestro de Platón, desarrolló el método mayéutico. Fue condenado a muerte por impiedad.</v>
      </c>
      <c r="I190" t="str">
        <f>_xlfn.XLOOKUP(frasest[[#This Row],[author_es]],autorest[author_es],autorest[bio_la])</f>
        <v>Philosophus Graecus Atheniensis, philosophiae moralis Occidentalis conditor. Magister Platonis, methodum maieuticam elaboravit. Morte damnatus propter impietatem.</v>
      </c>
      <c r="J190" t="str">
        <f>_xlfn.XLOOKUP(frasest[[#This Row],[author_es]],autorest[author_es],autorest[iso3691])</f>
        <v>el</v>
      </c>
      <c r="K190" t="str">
        <f>_xlfn.XLOOKUP(frasest[[#This Row],[author_es]],autorest[author_es],autorest[language_es])</f>
        <v>Griego</v>
      </c>
      <c r="L190" t="str">
        <f>_xlfn.XLOOKUP(frasest[[#This Row],[author_es]],autorest[author_es],autorest[language_la])</f>
        <v>Lingua Graeca</v>
      </c>
      <c r="M190" t="str">
        <f>_xlfn.XLOOKUP(frasest[[#This Row],[author_es]],autorest[author_es],autorest[nation_es])</f>
        <v>Grecia</v>
      </c>
      <c r="N190" t="str">
        <f>_xlfn.XLOOKUP(frasest[[#This Row],[author_es]],autorest[author_es],autorest[nation_la])</f>
        <v>Graecia</v>
      </c>
      <c r="O190" t="str">
        <f>_xlfn.XLOOKUP(frasest[[#This Row],[author_es]],autorest[author_es],autorest[age_es])</f>
        <v>Edad Antigua</v>
      </c>
      <c r="P190" t="str">
        <f>_xlfn.XLOOKUP(frasest[[#This Row],[author_es]],autorest[author_es],autorest[age_la])</f>
        <v>Antiquitas</v>
      </c>
      <c r="Q190" t="str">
        <f>_xlfn.XLOOKUP(frasest[[#This Row],[author_es]],autorest[author_es],autorest[image])</f>
        <v>https://i.ibb.co/hJtF2qzm/socrates.png</v>
      </c>
      <c r="R190">
        <f>_xlfn.XLOOKUP(frasest[[#This Row],[author_es]],autorest[author_es],autorest[image_atr])</f>
        <v>0</v>
      </c>
    </row>
    <row r="191" spans="1:18">
      <c r="A191">
        <v>190</v>
      </c>
      <c r="B191" t="s">
        <v>713</v>
      </c>
      <c r="C191" t="s">
        <v>714</v>
      </c>
      <c r="D191" t="s">
        <v>715</v>
      </c>
      <c r="E191" t="s">
        <v>704</v>
      </c>
      <c r="F191" t="s">
        <v>716</v>
      </c>
      <c r="G191" t="str">
        <f>_xlfn.XLOOKUP(frasest[[#This Row],[author_es]],autorest[author_es],autorest[author_la])</f>
        <v>Socrates</v>
      </c>
      <c r="H191" t="str">
        <f>_xlfn.XLOOKUP(frasest[[#This Row],[author_es]],autorest[author_es],autorest[bio_es])</f>
        <v>Filósofo griego de Atenas, fundador de la filosofía moral occidental. Maestro de Platón, desarrolló el método mayéutico. Fue condenado a muerte por impiedad.</v>
      </c>
      <c r="I191" t="str">
        <f>_xlfn.XLOOKUP(frasest[[#This Row],[author_es]],autorest[author_es],autorest[bio_la])</f>
        <v>Philosophus Graecus Atheniensis, philosophiae moralis Occidentalis conditor. Magister Platonis, methodum maieuticam elaboravit. Morte damnatus propter impietatem.</v>
      </c>
      <c r="J191" t="str">
        <f>_xlfn.XLOOKUP(frasest[[#This Row],[author_es]],autorest[author_es],autorest[iso3691])</f>
        <v>el</v>
      </c>
      <c r="K191" t="str">
        <f>_xlfn.XLOOKUP(frasest[[#This Row],[author_es]],autorest[author_es],autorest[language_es])</f>
        <v>Griego</v>
      </c>
      <c r="L191" t="str">
        <f>_xlfn.XLOOKUP(frasest[[#This Row],[author_es]],autorest[author_es],autorest[language_la])</f>
        <v>Lingua Graeca</v>
      </c>
      <c r="M191" t="str">
        <f>_xlfn.XLOOKUP(frasest[[#This Row],[author_es]],autorest[author_es],autorest[nation_es])</f>
        <v>Grecia</v>
      </c>
      <c r="N191" t="str">
        <f>_xlfn.XLOOKUP(frasest[[#This Row],[author_es]],autorest[author_es],autorest[nation_la])</f>
        <v>Graecia</v>
      </c>
      <c r="O191" t="str">
        <f>_xlfn.XLOOKUP(frasest[[#This Row],[author_es]],autorest[author_es],autorest[age_es])</f>
        <v>Edad Antigua</v>
      </c>
      <c r="P191" t="str">
        <f>_xlfn.XLOOKUP(frasest[[#This Row],[author_es]],autorest[author_es],autorest[age_la])</f>
        <v>Antiquitas</v>
      </c>
      <c r="Q191" t="str">
        <f>_xlfn.XLOOKUP(frasest[[#This Row],[author_es]],autorest[author_es],autorest[image])</f>
        <v>https://i.ibb.co/hJtF2qzm/socrates.png</v>
      </c>
      <c r="R191">
        <f>_xlfn.XLOOKUP(frasest[[#This Row],[author_es]],autorest[author_es],autorest[image_atr])</f>
        <v>0</v>
      </c>
    </row>
    <row r="192" spans="1:18">
      <c r="A192">
        <v>191</v>
      </c>
      <c r="B192" t="s">
        <v>717</v>
      </c>
      <c r="C192" t="s">
        <v>718</v>
      </c>
      <c r="D192" t="s">
        <v>719</v>
      </c>
      <c r="E192" t="s">
        <v>704</v>
      </c>
      <c r="F192" t="s">
        <v>720</v>
      </c>
      <c r="G192" t="str">
        <f>_xlfn.XLOOKUP(frasest[[#This Row],[author_es]],autorest[author_es],autorest[author_la])</f>
        <v>Socrates</v>
      </c>
      <c r="H192" t="str">
        <f>_xlfn.XLOOKUP(frasest[[#This Row],[author_es]],autorest[author_es],autorest[bio_es])</f>
        <v>Filósofo griego de Atenas, fundador de la filosofía moral occidental. Maestro de Platón, desarrolló el método mayéutico. Fue condenado a muerte por impiedad.</v>
      </c>
      <c r="I192" t="str">
        <f>_xlfn.XLOOKUP(frasest[[#This Row],[author_es]],autorest[author_es],autorest[bio_la])</f>
        <v>Philosophus Graecus Atheniensis, philosophiae moralis Occidentalis conditor. Magister Platonis, methodum maieuticam elaboravit. Morte damnatus propter impietatem.</v>
      </c>
      <c r="J192" t="str">
        <f>_xlfn.XLOOKUP(frasest[[#This Row],[author_es]],autorest[author_es],autorest[iso3691])</f>
        <v>el</v>
      </c>
      <c r="K192" t="str">
        <f>_xlfn.XLOOKUP(frasest[[#This Row],[author_es]],autorest[author_es],autorest[language_es])</f>
        <v>Griego</v>
      </c>
      <c r="L192" t="str">
        <f>_xlfn.XLOOKUP(frasest[[#This Row],[author_es]],autorest[author_es],autorest[language_la])</f>
        <v>Lingua Graeca</v>
      </c>
      <c r="M192" t="str">
        <f>_xlfn.XLOOKUP(frasest[[#This Row],[author_es]],autorest[author_es],autorest[nation_es])</f>
        <v>Grecia</v>
      </c>
      <c r="N192" t="str">
        <f>_xlfn.XLOOKUP(frasest[[#This Row],[author_es]],autorest[author_es],autorest[nation_la])</f>
        <v>Graecia</v>
      </c>
      <c r="O192" t="str">
        <f>_xlfn.XLOOKUP(frasest[[#This Row],[author_es]],autorest[author_es],autorest[age_es])</f>
        <v>Edad Antigua</v>
      </c>
      <c r="P192" t="str">
        <f>_xlfn.XLOOKUP(frasest[[#This Row],[author_es]],autorest[author_es],autorest[age_la])</f>
        <v>Antiquitas</v>
      </c>
      <c r="Q192" t="str">
        <f>_xlfn.XLOOKUP(frasest[[#This Row],[author_es]],autorest[author_es],autorest[image])</f>
        <v>https://i.ibb.co/hJtF2qzm/socrates.png</v>
      </c>
      <c r="R192">
        <f>_xlfn.XLOOKUP(frasest[[#This Row],[author_es]],autorest[author_es],autorest[image_atr])</f>
        <v>0</v>
      </c>
    </row>
    <row r="193" spans="1:18">
      <c r="A193">
        <v>192</v>
      </c>
      <c r="B193" t="s">
        <v>721</v>
      </c>
      <c r="C193" t="s">
        <v>722</v>
      </c>
      <c r="D193" t="s">
        <v>723</v>
      </c>
      <c r="E193" t="s">
        <v>704</v>
      </c>
      <c r="F193" t="s">
        <v>724</v>
      </c>
      <c r="G193" t="str">
        <f>_xlfn.XLOOKUP(frasest[[#This Row],[author_es]],autorest[author_es],autorest[author_la])</f>
        <v>Socrates</v>
      </c>
      <c r="H193" t="str">
        <f>_xlfn.XLOOKUP(frasest[[#This Row],[author_es]],autorest[author_es],autorest[bio_es])</f>
        <v>Filósofo griego de Atenas, fundador de la filosofía moral occidental. Maestro de Platón, desarrolló el método mayéutico. Fue condenado a muerte por impiedad.</v>
      </c>
      <c r="I193" t="str">
        <f>_xlfn.XLOOKUP(frasest[[#This Row],[author_es]],autorest[author_es],autorest[bio_la])</f>
        <v>Philosophus Graecus Atheniensis, philosophiae moralis Occidentalis conditor. Magister Platonis, methodum maieuticam elaboravit. Morte damnatus propter impietatem.</v>
      </c>
      <c r="J193" t="str">
        <f>_xlfn.XLOOKUP(frasest[[#This Row],[author_es]],autorest[author_es],autorest[iso3691])</f>
        <v>el</v>
      </c>
      <c r="K193" t="str">
        <f>_xlfn.XLOOKUP(frasest[[#This Row],[author_es]],autorest[author_es],autorest[language_es])</f>
        <v>Griego</v>
      </c>
      <c r="L193" t="str">
        <f>_xlfn.XLOOKUP(frasest[[#This Row],[author_es]],autorest[author_es],autorest[language_la])</f>
        <v>Lingua Graeca</v>
      </c>
      <c r="M193" t="str">
        <f>_xlfn.XLOOKUP(frasest[[#This Row],[author_es]],autorest[author_es],autorest[nation_es])</f>
        <v>Grecia</v>
      </c>
      <c r="N193" t="str">
        <f>_xlfn.XLOOKUP(frasest[[#This Row],[author_es]],autorest[author_es],autorest[nation_la])</f>
        <v>Graecia</v>
      </c>
      <c r="O193" t="str">
        <f>_xlfn.XLOOKUP(frasest[[#This Row],[author_es]],autorest[author_es],autorest[age_es])</f>
        <v>Edad Antigua</v>
      </c>
      <c r="P193" t="str">
        <f>_xlfn.XLOOKUP(frasest[[#This Row],[author_es]],autorest[author_es],autorest[age_la])</f>
        <v>Antiquitas</v>
      </c>
      <c r="Q193" t="str">
        <f>_xlfn.XLOOKUP(frasest[[#This Row],[author_es]],autorest[author_es],autorest[image])</f>
        <v>https://i.ibb.co/hJtF2qzm/socrates.png</v>
      </c>
      <c r="R193">
        <f>_xlfn.XLOOKUP(frasest[[#This Row],[author_es]],autorest[author_es],autorest[image_atr])</f>
        <v>0</v>
      </c>
    </row>
    <row r="194" spans="1:18">
      <c r="A194">
        <v>193</v>
      </c>
      <c r="B194" t="s">
        <v>457</v>
      </c>
      <c r="C194" t="s">
        <v>725</v>
      </c>
      <c r="D194" t="s">
        <v>726</v>
      </c>
      <c r="E194" t="s">
        <v>704</v>
      </c>
      <c r="F194" t="s">
        <v>727</v>
      </c>
      <c r="G194" t="str">
        <f>_xlfn.XLOOKUP(frasest[[#This Row],[author_es]],autorest[author_es],autorest[author_la])</f>
        <v>Socrates</v>
      </c>
      <c r="H194" t="str">
        <f>_xlfn.XLOOKUP(frasest[[#This Row],[author_es]],autorest[author_es],autorest[bio_es])</f>
        <v>Filósofo griego de Atenas, fundador de la filosofía moral occidental. Maestro de Platón, desarrolló el método mayéutico. Fue condenado a muerte por impiedad.</v>
      </c>
      <c r="I194" t="str">
        <f>_xlfn.XLOOKUP(frasest[[#This Row],[author_es]],autorest[author_es],autorest[bio_la])</f>
        <v>Philosophus Graecus Atheniensis, philosophiae moralis Occidentalis conditor. Magister Platonis, methodum maieuticam elaboravit. Morte damnatus propter impietatem.</v>
      </c>
      <c r="J194" t="str">
        <f>_xlfn.XLOOKUP(frasest[[#This Row],[author_es]],autorest[author_es],autorest[iso3691])</f>
        <v>el</v>
      </c>
      <c r="K194" t="str">
        <f>_xlfn.XLOOKUP(frasest[[#This Row],[author_es]],autorest[author_es],autorest[language_es])</f>
        <v>Griego</v>
      </c>
      <c r="L194" t="str">
        <f>_xlfn.XLOOKUP(frasest[[#This Row],[author_es]],autorest[author_es],autorest[language_la])</f>
        <v>Lingua Graeca</v>
      </c>
      <c r="M194" t="str">
        <f>_xlfn.XLOOKUP(frasest[[#This Row],[author_es]],autorest[author_es],autorest[nation_es])</f>
        <v>Grecia</v>
      </c>
      <c r="N194" t="str">
        <f>_xlfn.XLOOKUP(frasest[[#This Row],[author_es]],autorest[author_es],autorest[nation_la])</f>
        <v>Graecia</v>
      </c>
      <c r="O194" t="str">
        <f>_xlfn.XLOOKUP(frasest[[#This Row],[author_es]],autorest[author_es],autorest[age_es])</f>
        <v>Edad Antigua</v>
      </c>
      <c r="P194" t="str">
        <f>_xlfn.XLOOKUP(frasest[[#This Row],[author_es]],autorest[author_es],autorest[age_la])</f>
        <v>Antiquitas</v>
      </c>
      <c r="Q194" t="str">
        <f>_xlfn.XLOOKUP(frasest[[#This Row],[author_es]],autorest[author_es],autorest[image])</f>
        <v>https://i.ibb.co/hJtF2qzm/socrates.png</v>
      </c>
      <c r="R194">
        <f>_xlfn.XLOOKUP(frasest[[#This Row],[author_es]],autorest[author_es],autorest[image_atr])</f>
        <v>0</v>
      </c>
    </row>
    <row r="195" spans="1:18">
      <c r="A195">
        <v>194</v>
      </c>
      <c r="B195" t="s">
        <v>728</v>
      </c>
      <c r="C195" t="s">
        <v>729</v>
      </c>
      <c r="D195" t="s">
        <v>730</v>
      </c>
      <c r="E195" t="s">
        <v>704</v>
      </c>
      <c r="F195" t="s">
        <v>705</v>
      </c>
      <c r="G195" t="str">
        <f>_xlfn.XLOOKUP(frasest[[#This Row],[author_es]],autorest[author_es],autorest[author_la])</f>
        <v>Socrates</v>
      </c>
      <c r="H195" t="str">
        <f>_xlfn.XLOOKUP(frasest[[#This Row],[author_es]],autorest[author_es],autorest[bio_es])</f>
        <v>Filósofo griego de Atenas, fundador de la filosofía moral occidental. Maestro de Platón, desarrolló el método mayéutico. Fue condenado a muerte por impiedad.</v>
      </c>
      <c r="I195" t="str">
        <f>_xlfn.XLOOKUP(frasest[[#This Row],[author_es]],autorest[author_es],autorest[bio_la])</f>
        <v>Philosophus Graecus Atheniensis, philosophiae moralis Occidentalis conditor. Magister Platonis, methodum maieuticam elaboravit. Morte damnatus propter impietatem.</v>
      </c>
      <c r="J195" t="str">
        <f>_xlfn.XLOOKUP(frasest[[#This Row],[author_es]],autorest[author_es],autorest[iso3691])</f>
        <v>el</v>
      </c>
      <c r="K195" t="str">
        <f>_xlfn.XLOOKUP(frasest[[#This Row],[author_es]],autorest[author_es],autorest[language_es])</f>
        <v>Griego</v>
      </c>
      <c r="L195" t="str">
        <f>_xlfn.XLOOKUP(frasest[[#This Row],[author_es]],autorest[author_es],autorest[language_la])</f>
        <v>Lingua Graeca</v>
      </c>
      <c r="M195" t="str">
        <f>_xlfn.XLOOKUP(frasest[[#This Row],[author_es]],autorest[author_es],autorest[nation_es])</f>
        <v>Grecia</v>
      </c>
      <c r="N195" t="str">
        <f>_xlfn.XLOOKUP(frasest[[#This Row],[author_es]],autorest[author_es],autorest[nation_la])</f>
        <v>Graecia</v>
      </c>
      <c r="O195" t="str">
        <f>_xlfn.XLOOKUP(frasest[[#This Row],[author_es]],autorest[author_es],autorest[age_es])</f>
        <v>Edad Antigua</v>
      </c>
      <c r="P195" t="str">
        <f>_xlfn.XLOOKUP(frasest[[#This Row],[author_es]],autorest[author_es],autorest[age_la])</f>
        <v>Antiquitas</v>
      </c>
      <c r="Q195" t="str">
        <f>_xlfn.XLOOKUP(frasest[[#This Row],[author_es]],autorest[author_es],autorest[image])</f>
        <v>https://i.ibb.co/hJtF2qzm/socrates.png</v>
      </c>
      <c r="R195">
        <f>_xlfn.XLOOKUP(frasest[[#This Row],[author_es]],autorest[author_es],autorest[image_atr])</f>
        <v>0</v>
      </c>
    </row>
    <row r="196" spans="1:18">
      <c r="A196">
        <v>195</v>
      </c>
      <c r="B196" t="s">
        <v>731</v>
      </c>
      <c r="C196" t="s">
        <v>732</v>
      </c>
      <c r="D196" t="s">
        <v>733</v>
      </c>
      <c r="E196" t="s">
        <v>704</v>
      </c>
      <c r="F196" t="s">
        <v>712</v>
      </c>
      <c r="G196" t="str">
        <f>_xlfn.XLOOKUP(frasest[[#This Row],[author_es]],autorest[author_es],autorest[author_la])</f>
        <v>Socrates</v>
      </c>
      <c r="H196" t="str">
        <f>_xlfn.XLOOKUP(frasest[[#This Row],[author_es]],autorest[author_es],autorest[bio_es])</f>
        <v>Filósofo griego de Atenas, fundador de la filosofía moral occidental. Maestro de Platón, desarrolló el método mayéutico. Fue condenado a muerte por impiedad.</v>
      </c>
      <c r="I196" t="str">
        <f>_xlfn.XLOOKUP(frasest[[#This Row],[author_es]],autorest[author_es],autorest[bio_la])</f>
        <v>Philosophus Graecus Atheniensis, philosophiae moralis Occidentalis conditor. Magister Platonis, methodum maieuticam elaboravit. Morte damnatus propter impietatem.</v>
      </c>
      <c r="J196" t="str">
        <f>_xlfn.XLOOKUP(frasest[[#This Row],[author_es]],autorest[author_es],autorest[iso3691])</f>
        <v>el</v>
      </c>
      <c r="K196" t="str">
        <f>_xlfn.XLOOKUP(frasest[[#This Row],[author_es]],autorest[author_es],autorest[language_es])</f>
        <v>Griego</v>
      </c>
      <c r="L196" t="str">
        <f>_xlfn.XLOOKUP(frasest[[#This Row],[author_es]],autorest[author_es],autorest[language_la])</f>
        <v>Lingua Graeca</v>
      </c>
      <c r="M196" t="str">
        <f>_xlfn.XLOOKUP(frasest[[#This Row],[author_es]],autorest[author_es],autorest[nation_es])</f>
        <v>Grecia</v>
      </c>
      <c r="N196" t="str">
        <f>_xlfn.XLOOKUP(frasest[[#This Row],[author_es]],autorest[author_es],autorest[nation_la])</f>
        <v>Graecia</v>
      </c>
      <c r="O196" t="str">
        <f>_xlfn.XLOOKUP(frasest[[#This Row],[author_es]],autorest[author_es],autorest[age_es])</f>
        <v>Edad Antigua</v>
      </c>
      <c r="P196" t="str">
        <f>_xlfn.XLOOKUP(frasest[[#This Row],[author_es]],autorest[author_es],autorest[age_la])</f>
        <v>Antiquitas</v>
      </c>
      <c r="Q196" t="str">
        <f>_xlfn.XLOOKUP(frasest[[#This Row],[author_es]],autorest[author_es],autorest[image])</f>
        <v>https://i.ibb.co/hJtF2qzm/socrates.png</v>
      </c>
      <c r="R196">
        <f>_xlfn.XLOOKUP(frasest[[#This Row],[author_es]],autorest[author_es],autorest[image_atr])</f>
        <v>0</v>
      </c>
    </row>
    <row r="197" spans="1:18">
      <c r="A197">
        <v>196</v>
      </c>
      <c r="B197" t="s">
        <v>734</v>
      </c>
      <c r="C197" t="s">
        <v>735</v>
      </c>
      <c r="D197" t="s">
        <v>736</v>
      </c>
      <c r="E197" t="s">
        <v>704</v>
      </c>
      <c r="F197" t="s">
        <v>712</v>
      </c>
      <c r="G197" t="str">
        <f>_xlfn.XLOOKUP(frasest[[#This Row],[author_es]],autorest[author_es],autorest[author_la])</f>
        <v>Socrates</v>
      </c>
      <c r="H197" t="str">
        <f>_xlfn.XLOOKUP(frasest[[#This Row],[author_es]],autorest[author_es],autorest[bio_es])</f>
        <v>Filósofo griego de Atenas, fundador de la filosofía moral occidental. Maestro de Platón, desarrolló el método mayéutico. Fue condenado a muerte por impiedad.</v>
      </c>
      <c r="I197" t="str">
        <f>_xlfn.XLOOKUP(frasest[[#This Row],[author_es]],autorest[author_es],autorest[bio_la])</f>
        <v>Philosophus Graecus Atheniensis, philosophiae moralis Occidentalis conditor. Magister Platonis, methodum maieuticam elaboravit. Morte damnatus propter impietatem.</v>
      </c>
      <c r="J197" t="str">
        <f>_xlfn.XLOOKUP(frasest[[#This Row],[author_es]],autorest[author_es],autorest[iso3691])</f>
        <v>el</v>
      </c>
      <c r="K197" t="str">
        <f>_xlfn.XLOOKUP(frasest[[#This Row],[author_es]],autorest[author_es],autorest[language_es])</f>
        <v>Griego</v>
      </c>
      <c r="L197" t="str">
        <f>_xlfn.XLOOKUP(frasest[[#This Row],[author_es]],autorest[author_es],autorest[language_la])</f>
        <v>Lingua Graeca</v>
      </c>
      <c r="M197" t="str">
        <f>_xlfn.XLOOKUP(frasest[[#This Row],[author_es]],autorest[author_es],autorest[nation_es])</f>
        <v>Grecia</v>
      </c>
      <c r="N197" t="str">
        <f>_xlfn.XLOOKUP(frasest[[#This Row],[author_es]],autorest[author_es],autorest[nation_la])</f>
        <v>Graecia</v>
      </c>
      <c r="O197" t="str">
        <f>_xlfn.XLOOKUP(frasest[[#This Row],[author_es]],autorest[author_es],autorest[age_es])</f>
        <v>Edad Antigua</v>
      </c>
      <c r="P197" t="str">
        <f>_xlfn.XLOOKUP(frasest[[#This Row],[author_es]],autorest[author_es],autorest[age_la])</f>
        <v>Antiquitas</v>
      </c>
      <c r="Q197" t="str">
        <f>_xlfn.XLOOKUP(frasest[[#This Row],[author_es]],autorest[author_es],autorest[image])</f>
        <v>https://i.ibb.co/hJtF2qzm/socrates.png</v>
      </c>
      <c r="R197">
        <f>_xlfn.XLOOKUP(frasest[[#This Row],[author_es]],autorest[author_es],autorest[image_atr])</f>
        <v>0</v>
      </c>
    </row>
    <row r="198" spans="1:18">
      <c r="A198">
        <v>197</v>
      </c>
      <c r="B198" t="s">
        <v>737</v>
      </c>
      <c r="C198" t="s">
        <v>738</v>
      </c>
      <c r="D198" t="s">
        <v>739</v>
      </c>
      <c r="E198" t="s">
        <v>740</v>
      </c>
      <c r="F198" t="s">
        <v>741</v>
      </c>
      <c r="G198" t="str">
        <f>_xlfn.XLOOKUP(frasest[[#This Row],[author_es]],autorest[author_es],autorest[author_la])</f>
        <v>Democritus</v>
      </c>
      <c r="H198" t="str">
        <f>_xlfn.XLOOKUP(frasest[[#This Row],[author_es]],autorest[author_es],autorest[bio_es])</f>
        <v>Filósofo griego de Abdera, fundador del atomismo junto a Leucipo. Propuso que el universo está compuesto por átomos indivisibles en el vacío.</v>
      </c>
      <c r="I198" t="str">
        <f>_xlfn.XLOOKUP(frasest[[#This Row],[author_es]],autorest[author_es],autorest[bio_la])</f>
        <v>Philosophus Graecus Abderita, atomismi conditor cum Leucippo. Universum ex atomis indivisibilibus in vacuo compositum proposuit.</v>
      </c>
      <c r="J198" t="str">
        <f>_xlfn.XLOOKUP(frasest[[#This Row],[author_es]],autorest[author_es],autorest[iso3691])</f>
        <v>el</v>
      </c>
      <c r="K198" t="str">
        <f>_xlfn.XLOOKUP(frasest[[#This Row],[author_es]],autorest[author_es],autorest[language_es])</f>
        <v>Griego</v>
      </c>
      <c r="L198" t="str">
        <f>_xlfn.XLOOKUP(frasest[[#This Row],[author_es]],autorest[author_es],autorest[language_la])</f>
        <v>Lingua Graeca</v>
      </c>
      <c r="M198" t="str">
        <f>_xlfn.XLOOKUP(frasest[[#This Row],[author_es]],autorest[author_es],autorest[nation_es])</f>
        <v>Grecia</v>
      </c>
      <c r="N198" t="str">
        <f>_xlfn.XLOOKUP(frasest[[#This Row],[author_es]],autorest[author_es],autorest[nation_la])</f>
        <v>Graecia</v>
      </c>
      <c r="O198" t="str">
        <f>_xlfn.XLOOKUP(frasest[[#This Row],[author_es]],autorest[author_es],autorest[age_es])</f>
        <v>Edad Antigua</v>
      </c>
      <c r="P198" t="str">
        <f>_xlfn.XLOOKUP(frasest[[#This Row],[author_es]],autorest[author_es],autorest[age_la])</f>
        <v>Antiquitas</v>
      </c>
      <c r="Q198" t="str">
        <f>_xlfn.XLOOKUP(frasest[[#This Row],[author_es]],autorest[author_es],autorest[image])</f>
        <v>https://i.ibb.co/FkWkGPTs/democrito.png</v>
      </c>
      <c r="R198">
        <f>_xlfn.XLOOKUP(frasest[[#This Row],[author_es]],autorest[author_es],autorest[image_atr])</f>
        <v>0</v>
      </c>
    </row>
    <row r="199" spans="1:18">
      <c r="A199">
        <v>198</v>
      </c>
      <c r="B199" t="s">
        <v>742</v>
      </c>
      <c r="C199" t="s">
        <v>743</v>
      </c>
      <c r="D199" t="s">
        <v>744</v>
      </c>
      <c r="E199" t="s">
        <v>740</v>
      </c>
      <c r="F199" t="s">
        <v>745</v>
      </c>
      <c r="G199" t="str">
        <f>_xlfn.XLOOKUP(frasest[[#This Row],[author_es]],autorest[author_es],autorest[author_la])</f>
        <v>Democritus</v>
      </c>
      <c r="H199" t="str">
        <f>_xlfn.XLOOKUP(frasest[[#This Row],[author_es]],autorest[author_es],autorest[bio_es])</f>
        <v>Filósofo griego de Abdera, fundador del atomismo junto a Leucipo. Propuso que el universo está compuesto por átomos indivisibles en el vacío.</v>
      </c>
      <c r="I199" t="str">
        <f>_xlfn.XLOOKUP(frasest[[#This Row],[author_es]],autorest[author_es],autorest[bio_la])</f>
        <v>Philosophus Graecus Abderita, atomismi conditor cum Leucippo. Universum ex atomis indivisibilibus in vacuo compositum proposuit.</v>
      </c>
      <c r="J199" t="str">
        <f>_xlfn.XLOOKUP(frasest[[#This Row],[author_es]],autorest[author_es],autorest[iso3691])</f>
        <v>el</v>
      </c>
      <c r="K199" t="str">
        <f>_xlfn.XLOOKUP(frasest[[#This Row],[author_es]],autorest[author_es],autorest[language_es])</f>
        <v>Griego</v>
      </c>
      <c r="L199" t="str">
        <f>_xlfn.XLOOKUP(frasest[[#This Row],[author_es]],autorest[author_es],autorest[language_la])</f>
        <v>Lingua Graeca</v>
      </c>
      <c r="M199" t="str">
        <f>_xlfn.XLOOKUP(frasest[[#This Row],[author_es]],autorest[author_es],autorest[nation_es])</f>
        <v>Grecia</v>
      </c>
      <c r="N199" t="str">
        <f>_xlfn.XLOOKUP(frasest[[#This Row],[author_es]],autorest[author_es],autorest[nation_la])</f>
        <v>Graecia</v>
      </c>
      <c r="O199" t="str">
        <f>_xlfn.XLOOKUP(frasest[[#This Row],[author_es]],autorest[author_es],autorest[age_es])</f>
        <v>Edad Antigua</v>
      </c>
      <c r="P199" t="str">
        <f>_xlfn.XLOOKUP(frasest[[#This Row],[author_es]],autorest[author_es],autorest[age_la])</f>
        <v>Antiquitas</v>
      </c>
      <c r="Q199" t="str">
        <f>_xlfn.XLOOKUP(frasest[[#This Row],[author_es]],autorest[author_es],autorest[image])</f>
        <v>https://i.ibb.co/FkWkGPTs/democrito.png</v>
      </c>
      <c r="R199">
        <f>_xlfn.XLOOKUP(frasest[[#This Row],[author_es]],autorest[author_es],autorest[image_atr])</f>
        <v>0</v>
      </c>
    </row>
    <row r="200" spans="1:18">
      <c r="A200">
        <v>199</v>
      </c>
      <c r="B200" t="s">
        <v>746</v>
      </c>
      <c r="C200" t="s">
        <v>747</v>
      </c>
      <c r="D200" t="s">
        <v>748</v>
      </c>
      <c r="E200" t="s">
        <v>740</v>
      </c>
      <c r="F200" t="s">
        <v>749</v>
      </c>
      <c r="G200" t="str">
        <f>_xlfn.XLOOKUP(frasest[[#This Row],[author_es]],autorest[author_es],autorest[author_la])</f>
        <v>Democritus</v>
      </c>
      <c r="H200" t="str">
        <f>_xlfn.XLOOKUP(frasest[[#This Row],[author_es]],autorest[author_es],autorest[bio_es])</f>
        <v>Filósofo griego de Abdera, fundador del atomismo junto a Leucipo. Propuso que el universo está compuesto por átomos indivisibles en el vacío.</v>
      </c>
      <c r="I200" t="str">
        <f>_xlfn.XLOOKUP(frasest[[#This Row],[author_es]],autorest[author_es],autorest[bio_la])</f>
        <v>Philosophus Graecus Abderita, atomismi conditor cum Leucippo. Universum ex atomis indivisibilibus in vacuo compositum proposuit.</v>
      </c>
      <c r="J200" t="str">
        <f>_xlfn.XLOOKUP(frasest[[#This Row],[author_es]],autorest[author_es],autorest[iso3691])</f>
        <v>el</v>
      </c>
      <c r="K200" t="str">
        <f>_xlfn.XLOOKUP(frasest[[#This Row],[author_es]],autorest[author_es],autorest[language_es])</f>
        <v>Griego</v>
      </c>
      <c r="L200" t="str">
        <f>_xlfn.XLOOKUP(frasest[[#This Row],[author_es]],autorest[author_es],autorest[language_la])</f>
        <v>Lingua Graeca</v>
      </c>
      <c r="M200" t="str">
        <f>_xlfn.XLOOKUP(frasest[[#This Row],[author_es]],autorest[author_es],autorest[nation_es])</f>
        <v>Grecia</v>
      </c>
      <c r="N200" t="str">
        <f>_xlfn.XLOOKUP(frasest[[#This Row],[author_es]],autorest[author_es],autorest[nation_la])</f>
        <v>Graecia</v>
      </c>
      <c r="O200" t="str">
        <f>_xlfn.XLOOKUP(frasest[[#This Row],[author_es]],autorest[author_es],autorest[age_es])</f>
        <v>Edad Antigua</v>
      </c>
      <c r="P200" t="str">
        <f>_xlfn.XLOOKUP(frasest[[#This Row],[author_es]],autorest[author_es],autorest[age_la])</f>
        <v>Antiquitas</v>
      </c>
      <c r="Q200" t="str">
        <f>_xlfn.XLOOKUP(frasest[[#This Row],[author_es]],autorest[author_es],autorest[image])</f>
        <v>https://i.ibb.co/FkWkGPTs/democrito.png</v>
      </c>
      <c r="R200">
        <f>_xlfn.XLOOKUP(frasest[[#This Row],[author_es]],autorest[author_es],autorest[image_atr])</f>
        <v>0</v>
      </c>
    </row>
    <row r="201" spans="1:18">
      <c r="A201">
        <v>200</v>
      </c>
      <c r="B201" t="s">
        <v>750</v>
      </c>
      <c r="C201" t="s">
        <v>751</v>
      </c>
      <c r="D201" t="s">
        <v>752</v>
      </c>
      <c r="E201" t="s">
        <v>740</v>
      </c>
      <c r="F201" t="s">
        <v>753</v>
      </c>
      <c r="G201" t="str">
        <f>_xlfn.XLOOKUP(frasest[[#This Row],[author_es]],autorest[author_es],autorest[author_la])</f>
        <v>Democritus</v>
      </c>
      <c r="H201" t="str">
        <f>_xlfn.XLOOKUP(frasest[[#This Row],[author_es]],autorest[author_es],autorest[bio_es])</f>
        <v>Filósofo griego de Abdera, fundador del atomismo junto a Leucipo. Propuso que el universo está compuesto por átomos indivisibles en el vacío.</v>
      </c>
      <c r="I201" t="str">
        <f>_xlfn.XLOOKUP(frasest[[#This Row],[author_es]],autorest[author_es],autorest[bio_la])</f>
        <v>Philosophus Graecus Abderita, atomismi conditor cum Leucippo. Universum ex atomis indivisibilibus in vacuo compositum proposuit.</v>
      </c>
      <c r="J201" t="str">
        <f>_xlfn.XLOOKUP(frasest[[#This Row],[author_es]],autorest[author_es],autorest[iso3691])</f>
        <v>el</v>
      </c>
      <c r="K201" t="str">
        <f>_xlfn.XLOOKUP(frasest[[#This Row],[author_es]],autorest[author_es],autorest[language_es])</f>
        <v>Griego</v>
      </c>
      <c r="L201" t="str">
        <f>_xlfn.XLOOKUP(frasest[[#This Row],[author_es]],autorest[author_es],autorest[language_la])</f>
        <v>Lingua Graeca</v>
      </c>
      <c r="M201" t="str">
        <f>_xlfn.XLOOKUP(frasest[[#This Row],[author_es]],autorest[author_es],autorest[nation_es])</f>
        <v>Grecia</v>
      </c>
      <c r="N201" t="str">
        <f>_xlfn.XLOOKUP(frasest[[#This Row],[author_es]],autorest[author_es],autorest[nation_la])</f>
        <v>Graecia</v>
      </c>
      <c r="O201" t="str">
        <f>_xlfn.XLOOKUP(frasest[[#This Row],[author_es]],autorest[author_es],autorest[age_es])</f>
        <v>Edad Antigua</v>
      </c>
      <c r="P201" t="str">
        <f>_xlfn.XLOOKUP(frasest[[#This Row],[author_es]],autorest[author_es],autorest[age_la])</f>
        <v>Antiquitas</v>
      </c>
      <c r="Q201" t="str">
        <f>_xlfn.XLOOKUP(frasest[[#This Row],[author_es]],autorest[author_es],autorest[image])</f>
        <v>https://i.ibb.co/FkWkGPTs/democrito.png</v>
      </c>
      <c r="R201">
        <f>_xlfn.XLOOKUP(frasest[[#This Row],[author_es]],autorest[author_es],autorest[image_atr])</f>
        <v>0</v>
      </c>
    </row>
    <row r="202" spans="1:18">
      <c r="A202">
        <v>201</v>
      </c>
      <c r="B202" t="s">
        <v>754</v>
      </c>
      <c r="C202" t="s">
        <v>755</v>
      </c>
      <c r="D202" t="s">
        <v>756</v>
      </c>
      <c r="E202" t="s">
        <v>740</v>
      </c>
      <c r="F202" t="s">
        <v>757</v>
      </c>
      <c r="G202" t="str">
        <f>_xlfn.XLOOKUP(frasest[[#This Row],[author_es]],autorest[author_es],autorest[author_la])</f>
        <v>Democritus</v>
      </c>
      <c r="H202" t="str">
        <f>_xlfn.XLOOKUP(frasest[[#This Row],[author_es]],autorest[author_es],autorest[bio_es])</f>
        <v>Filósofo griego de Abdera, fundador del atomismo junto a Leucipo. Propuso que el universo está compuesto por átomos indivisibles en el vacío.</v>
      </c>
      <c r="I202" t="str">
        <f>_xlfn.XLOOKUP(frasest[[#This Row],[author_es]],autorest[author_es],autorest[bio_la])</f>
        <v>Philosophus Graecus Abderita, atomismi conditor cum Leucippo. Universum ex atomis indivisibilibus in vacuo compositum proposuit.</v>
      </c>
      <c r="J202" t="str">
        <f>_xlfn.XLOOKUP(frasest[[#This Row],[author_es]],autorest[author_es],autorest[iso3691])</f>
        <v>el</v>
      </c>
      <c r="K202" t="str">
        <f>_xlfn.XLOOKUP(frasest[[#This Row],[author_es]],autorest[author_es],autorest[language_es])</f>
        <v>Griego</v>
      </c>
      <c r="L202" t="str">
        <f>_xlfn.XLOOKUP(frasest[[#This Row],[author_es]],autorest[author_es],autorest[language_la])</f>
        <v>Lingua Graeca</v>
      </c>
      <c r="M202" t="str">
        <f>_xlfn.XLOOKUP(frasest[[#This Row],[author_es]],autorest[author_es],autorest[nation_es])</f>
        <v>Grecia</v>
      </c>
      <c r="N202" t="str">
        <f>_xlfn.XLOOKUP(frasest[[#This Row],[author_es]],autorest[author_es],autorest[nation_la])</f>
        <v>Graecia</v>
      </c>
      <c r="O202" t="str">
        <f>_xlfn.XLOOKUP(frasest[[#This Row],[author_es]],autorest[author_es],autorest[age_es])</f>
        <v>Edad Antigua</v>
      </c>
      <c r="P202" t="str">
        <f>_xlfn.XLOOKUP(frasest[[#This Row],[author_es]],autorest[author_es],autorest[age_la])</f>
        <v>Antiquitas</v>
      </c>
      <c r="Q202" t="str">
        <f>_xlfn.XLOOKUP(frasest[[#This Row],[author_es]],autorest[author_es],autorest[image])</f>
        <v>https://i.ibb.co/FkWkGPTs/democrito.png</v>
      </c>
      <c r="R202">
        <f>_xlfn.XLOOKUP(frasest[[#This Row],[author_es]],autorest[author_es],autorest[image_atr])</f>
        <v>0</v>
      </c>
    </row>
    <row r="203" spans="1:18">
      <c r="A203">
        <v>202</v>
      </c>
      <c r="B203" t="s">
        <v>758</v>
      </c>
      <c r="C203" t="s">
        <v>759</v>
      </c>
      <c r="D203" t="s">
        <v>760</v>
      </c>
      <c r="E203" t="s">
        <v>740</v>
      </c>
      <c r="F203" t="s">
        <v>761</v>
      </c>
      <c r="G203" t="str">
        <f>_xlfn.XLOOKUP(frasest[[#This Row],[author_es]],autorest[author_es],autorest[author_la])</f>
        <v>Democritus</v>
      </c>
      <c r="H203" t="str">
        <f>_xlfn.XLOOKUP(frasest[[#This Row],[author_es]],autorest[author_es],autorest[bio_es])</f>
        <v>Filósofo griego de Abdera, fundador del atomismo junto a Leucipo. Propuso que el universo está compuesto por átomos indivisibles en el vacío.</v>
      </c>
      <c r="I203" t="str">
        <f>_xlfn.XLOOKUP(frasest[[#This Row],[author_es]],autorest[author_es],autorest[bio_la])</f>
        <v>Philosophus Graecus Abderita, atomismi conditor cum Leucippo. Universum ex atomis indivisibilibus in vacuo compositum proposuit.</v>
      </c>
      <c r="J203" t="str">
        <f>_xlfn.XLOOKUP(frasest[[#This Row],[author_es]],autorest[author_es],autorest[iso3691])</f>
        <v>el</v>
      </c>
      <c r="K203" t="str">
        <f>_xlfn.XLOOKUP(frasest[[#This Row],[author_es]],autorest[author_es],autorest[language_es])</f>
        <v>Griego</v>
      </c>
      <c r="L203" t="str">
        <f>_xlfn.XLOOKUP(frasest[[#This Row],[author_es]],autorest[author_es],autorest[language_la])</f>
        <v>Lingua Graeca</v>
      </c>
      <c r="M203" t="str">
        <f>_xlfn.XLOOKUP(frasest[[#This Row],[author_es]],autorest[author_es],autorest[nation_es])</f>
        <v>Grecia</v>
      </c>
      <c r="N203" t="str">
        <f>_xlfn.XLOOKUP(frasest[[#This Row],[author_es]],autorest[author_es],autorest[nation_la])</f>
        <v>Graecia</v>
      </c>
      <c r="O203" t="str">
        <f>_xlfn.XLOOKUP(frasest[[#This Row],[author_es]],autorest[author_es],autorest[age_es])</f>
        <v>Edad Antigua</v>
      </c>
      <c r="P203" t="str">
        <f>_xlfn.XLOOKUP(frasest[[#This Row],[author_es]],autorest[author_es],autorest[age_la])</f>
        <v>Antiquitas</v>
      </c>
      <c r="Q203" t="str">
        <f>_xlfn.XLOOKUP(frasest[[#This Row],[author_es]],autorest[author_es],autorest[image])</f>
        <v>https://i.ibb.co/FkWkGPTs/democrito.png</v>
      </c>
      <c r="R203">
        <f>_xlfn.XLOOKUP(frasest[[#This Row],[author_es]],autorest[author_es],autorest[image_atr])</f>
        <v>0</v>
      </c>
    </row>
    <row r="204" spans="1:18">
      <c r="A204">
        <v>203</v>
      </c>
      <c r="B204" t="s">
        <v>762</v>
      </c>
      <c r="C204" t="s">
        <v>763</v>
      </c>
      <c r="D204" t="s">
        <v>764</v>
      </c>
      <c r="E204" t="s">
        <v>740</v>
      </c>
      <c r="F204" t="s">
        <v>765</v>
      </c>
      <c r="G204" t="str">
        <f>_xlfn.XLOOKUP(frasest[[#This Row],[author_es]],autorest[author_es],autorest[author_la])</f>
        <v>Democritus</v>
      </c>
      <c r="H204" t="str">
        <f>_xlfn.XLOOKUP(frasest[[#This Row],[author_es]],autorest[author_es],autorest[bio_es])</f>
        <v>Filósofo griego de Abdera, fundador del atomismo junto a Leucipo. Propuso que el universo está compuesto por átomos indivisibles en el vacío.</v>
      </c>
      <c r="I204" t="str">
        <f>_xlfn.XLOOKUP(frasest[[#This Row],[author_es]],autorest[author_es],autorest[bio_la])</f>
        <v>Philosophus Graecus Abderita, atomismi conditor cum Leucippo. Universum ex atomis indivisibilibus in vacuo compositum proposuit.</v>
      </c>
      <c r="J204" t="str">
        <f>_xlfn.XLOOKUP(frasest[[#This Row],[author_es]],autorest[author_es],autorest[iso3691])</f>
        <v>el</v>
      </c>
      <c r="K204" t="str">
        <f>_xlfn.XLOOKUP(frasest[[#This Row],[author_es]],autorest[author_es],autorest[language_es])</f>
        <v>Griego</v>
      </c>
      <c r="L204" t="str">
        <f>_xlfn.XLOOKUP(frasest[[#This Row],[author_es]],autorest[author_es],autorest[language_la])</f>
        <v>Lingua Graeca</v>
      </c>
      <c r="M204" t="str">
        <f>_xlfn.XLOOKUP(frasest[[#This Row],[author_es]],autorest[author_es],autorest[nation_es])</f>
        <v>Grecia</v>
      </c>
      <c r="N204" t="str">
        <f>_xlfn.XLOOKUP(frasest[[#This Row],[author_es]],autorest[author_es],autorest[nation_la])</f>
        <v>Graecia</v>
      </c>
      <c r="O204" t="str">
        <f>_xlfn.XLOOKUP(frasest[[#This Row],[author_es]],autorest[author_es],autorest[age_es])</f>
        <v>Edad Antigua</v>
      </c>
      <c r="P204" t="str">
        <f>_xlfn.XLOOKUP(frasest[[#This Row],[author_es]],autorest[author_es],autorest[age_la])</f>
        <v>Antiquitas</v>
      </c>
      <c r="Q204" t="str">
        <f>_xlfn.XLOOKUP(frasest[[#This Row],[author_es]],autorest[author_es],autorest[image])</f>
        <v>https://i.ibb.co/FkWkGPTs/democrito.png</v>
      </c>
      <c r="R204">
        <f>_xlfn.XLOOKUP(frasest[[#This Row],[author_es]],autorest[author_es],autorest[image_atr])</f>
        <v>0</v>
      </c>
    </row>
    <row r="205" spans="1:18">
      <c r="A205">
        <v>204</v>
      </c>
      <c r="B205" t="s">
        <v>766</v>
      </c>
      <c r="C205" t="s">
        <v>767</v>
      </c>
      <c r="D205" t="s">
        <v>768</v>
      </c>
      <c r="E205" t="s">
        <v>740</v>
      </c>
      <c r="F205" t="s">
        <v>745</v>
      </c>
      <c r="G205" t="str">
        <f>_xlfn.XLOOKUP(frasest[[#This Row],[author_es]],autorest[author_es],autorest[author_la])</f>
        <v>Democritus</v>
      </c>
      <c r="H205" t="str">
        <f>_xlfn.XLOOKUP(frasest[[#This Row],[author_es]],autorest[author_es],autorest[bio_es])</f>
        <v>Filósofo griego de Abdera, fundador del atomismo junto a Leucipo. Propuso que el universo está compuesto por átomos indivisibles en el vacío.</v>
      </c>
      <c r="I205" t="str">
        <f>_xlfn.XLOOKUP(frasest[[#This Row],[author_es]],autorest[author_es],autorest[bio_la])</f>
        <v>Philosophus Graecus Abderita, atomismi conditor cum Leucippo. Universum ex atomis indivisibilibus in vacuo compositum proposuit.</v>
      </c>
      <c r="J205" t="str">
        <f>_xlfn.XLOOKUP(frasest[[#This Row],[author_es]],autorest[author_es],autorest[iso3691])</f>
        <v>el</v>
      </c>
      <c r="K205" t="str">
        <f>_xlfn.XLOOKUP(frasest[[#This Row],[author_es]],autorest[author_es],autorest[language_es])</f>
        <v>Griego</v>
      </c>
      <c r="L205" t="str">
        <f>_xlfn.XLOOKUP(frasest[[#This Row],[author_es]],autorest[author_es],autorest[language_la])</f>
        <v>Lingua Graeca</v>
      </c>
      <c r="M205" t="str">
        <f>_xlfn.XLOOKUP(frasest[[#This Row],[author_es]],autorest[author_es],autorest[nation_es])</f>
        <v>Grecia</v>
      </c>
      <c r="N205" t="str">
        <f>_xlfn.XLOOKUP(frasest[[#This Row],[author_es]],autorest[author_es],autorest[nation_la])</f>
        <v>Graecia</v>
      </c>
      <c r="O205" t="str">
        <f>_xlfn.XLOOKUP(frasest[[#This Row],[author_es]],autorest[author_es],autorest[age_es])</f>
        <v>Edad Antigua</v>
      </c>
      <c r="P205" t="str">
        <f>_xlfn.XLOOKUP(frasest[[#This Row],[author_es]],autorest[author_es],autorest[age_la])</f>
        <v>Antiquitas</v>
      </c>
      <c r="Q205" t="str">
        <f>_xlfn.XLOOKUP(frasest[[#This Row],[author_es]],autorest[author_es],autorest[image])</f>
        <v>https://i.ibb.co/FkWkGPTs/democrito.png</v>
      </c>
      <c r="R205">
        <f>_xlfn.XLOOKUP(frasest[[#This Row],[author_es]],autorest[author_es],autorest[image_atr])</f>
        <v>0</v>
      </c>
    </row>
    <row r="206" spans="1:18">
      <c r="A206">
        <v>205</v>
      </c>
      <c r="B206" t="s">
        <v>769</v>
      </c>
      <c r="C206" t="s">
        <v>770</v>
      </c>
      <c r="D206" t="s">
        <v>771</v>
      </c>
      <c r="E206" t="s">
        <v>740</v>
      </c>
      <c r="F206" t="s">
        <v>772</v>
      </c>
      <c r="G206" t="str">
        <f>_xlfn.XLOOKUP(frasest[[#This Row],[author_es]],autorest[author_es],autorest[author_la])</f>
        <v>Democritus</v>
      </c>
      <c r="H206" t="str">
        <f>_xlfn.XLOOKUP(frasest[[#This Row],[author_es]],autorest[author_es],autorest[bio_es])</f>
        <v>Filósofo griego de Abdera, fundador del atomismo junto a Leucipo. Propuso que el universo está compuesto por átomos indivisibles en el vacío.</v>
      </c>
      <c r="I206" t="str">
        <f>_xlfn.XLOOKUP(frasest[[#This Row],[author_es]],autorest[author_es],autorest[bio_la])</f>
        <v>Philosophus Graecus Abderita, atomismi conditor cum Leucippo. Universum ex atomis indivisibilibus in vacuo compositum proposuit.</v>
      </c>
      <c r="J206" t="str">
        <f>_xlfn.XLOOKUP(frasest[[#This Row],[author_es]],autorest[author_es],autorest[iso3691])</f>
        <v>el</v>
      </c>
      <c r="K206" t="str">
        <f>_xlfn.XLOOKUP(frasest[[#This Row],[author_es]],autorest[author_es],autorest[language_es])</f>
        <v>Griego</v>
      </c>
      <c r="L206" t="str">
        <f>_xlfn.XLOOKUP(frasest[[#This Row],[author_es]],autorest[author_es],autorest[language_la])</f>
        <v>Lingua Graeca</v>
      </c>
      <c r="M206" t="str">
        <f>_xlfn.XLOOKUP(frasest[[#This Row],[author_es]],autorest[author_es],autorest[nation_es])</f>
        <v>Grecia</v>
      </c>
      <c r="N206" t="str">
        <f>_xlfn.XLOOKUP(frasest[[#This Row],[author_es]],autorest[author_es],autorest[nation_la])</f>
        <v>Graecia</v>
      </c>
      <c r="O206" t="str">
        <f>_xlfn.XLOOKUP(frasest[[#This Row],[author_es]],autorest[author_es],autorest[age_es])</f>
        <v>Edad Antigua</v>
      </c>
      <c r="P206" t="str">
        <f>_xlfn.XLOOKUP(frasest[[#This Row],[author_es]],autorest[author_es],autorest[age_la])</f>
        <v>Antiquitas</v>
      </c>
      <c r="Q206" t="str">
        <f>_xlfn.XLOOKUP(frasest[[#This Row],[author_es]],autorest[author_es],autorest[image])</f>
        <v>https://i.ibb.co/FkWkGPTs/democrito.png</v>
      </c>
      <c r="R206">
        <f>_xlfn.XLOOKUP(frasest[[#This Row],[author_es]],autorest[author_es],autorest[image_atr])</f>
        <v>0</v>
      </c>
    </row>
    <row r="207" spans="1:18">
      <c r="A207">
        <v>206</v>
      </c>
      <c r="B207" t="s">
        <v>773</v>
      </c>
      <c r="C207" t="s">
        <v>774</v>
      </c>
      <c r="D207" t="s">
        <v>775</v>
      </c>
      <c r="E207" t="s">
        <v>740</v>
      </c>
      <c r="F207" t="s">
        <v>776</v>
      </c>
      <c r="G207" t="str">
        <f>_xlfn.XLOOKUP(frasest[[#This Row],[author_es]],autorest[author_es],autorest[author_la])</f>
        <v>Democritus</v>
      </c>
      <c r="H207" t="str">
        <f>_xlfn.XLOOKUP(frasest[[#This Row],[author_es]],autorest[author_es],autorest[bio_es])</f>
        <v>Filósofo griego de Abdera, fundador del atomismo junto a Leucipo. Propuso que el universo está compuesto por átomos indivisibles en el vacío.</v>
      </c>
      <c r="I207" t="str">
        <f>_xlfn.XLOOKUP(frasest[[#This Row],[author_es]],autorest[author_es],autorest[bio_la])</f>
        <v>Philosophus Graecus Abderita, atomismi conditor cum Leucippo. Universum ex atomis indivisibilibus in vacuo compositum proposuit.</v>
      </c>
      <c r="J207" t="str">
        <f>_xlfn.XLOOKUP(frasest[[#This Row],[author_es]],autorest[author_es],autorest[iso3691])</f>
        <v>el</v>
      </c>
      <c r="K207" t="str">
        <f>_xlfn.XLOOKUP(frasest[[#This Row],[author_es]],autorest[author_es],autorest[language_es])</f>
        <v>Griego</v>
      </c>
      <c r="L207" t="str">
        <f>_xlfn.XLOOKUP(frasest[[#This Row],[author_es]],autorest[author_es],autorest[language_la])</f>
        <v>Lingua Graeca</v>
      </c>
      <c r="M207" t="str">
        <f>_xlfn.XLOOKUP(frasest[[#This Row],[author_es]],autorest[author_es],autorest[nation_es])</f>
        <v>Grecia</v>
      </c>
      <c r="N207" t="str">
        <f>_xlfn.XLOOKUP(frasest[[#This Row],[author_es]],autorest[author_es],autorest[nation_la])</f>
        <v>Graecia</v>
      </c>
      <c r="O207" t="str">
        <f>_xlfn.XLOOKUP(frasest[[#This Row],[author_es]],autorest[author_es],autorest[age_es])</f>
        <v>Edad Antigua</v>
      </c>
      <c r="P207" t="str">
        <f>_xlfn.XLOOKUP(frasest[[#This Row],[author_es]],autorest[author_es],autorest[age_la])</f>
        <v>Antiquitas</v>
      </c>
      <c r="Q207" t="str">
        <f>_xlfn.XLOOKUP(frasest[[#This Row],[author_es]],autorest[author_es],autorest[image])</f>
        <v>https://i.ibb.co/FkWkGPTs/democrito.png</v>
      </c>
      <c r="R207">
        <f>_xlfn.XLOOKUP(frasest[[#This Row],[author_es]],autorest[author_es],autorest[image_atr])</f>
        <v>0</v>
      </c>
    </row>
    <row r="208" spans="1:18">
      <c r="A208">
        <v>207</v>
      </c>
      <c r="B208" t="s">
        <v>777</v>
      </c>
      <c r="C208" t="s">
        <v>778</v>
      </c>
      <c r="D208" t="s">
        <v>779</v>
      </c>
      <c r="E208" t="s">
        <v>780</v>
      </c>
      <c r="F208" t="s">
        <v>781</v>
      </c>
      <c r="G208" t="str">
        <f>_xlfn.XLOOKUP(frasest[[#This Row],[author_es]],autorest[author_es],autorest[author_la])</f>
        <v>Protagoras</v>
      </c>
      <c r="H208" t="str">
        <f>_xlfn.XLOOKUP(frasest[[#This Row],[author_es]],autorest[author_es],autorest[bio_es])</f>
        <v>Filósofo sofista griego de Abdera, precursor de la enseñanza retórica profesional. Autor de la máxima "El hombre es la medida de todas las cosas".</v>
      </c>
      <c r="I208" t="str">
        <f>_xlfn.XLOOKUP(frasest[[#This Row],[author_es]],autorest[author_es],autorest[bio_la])</f>
        <v>Philosophus sophista Graecus Abderita, rhetoricae artis professionalis praecursor. Auctor sententiae "Homo mensura omnium rerum est".</v>
      </c>
      <c r="J208" t="str">
        <f>_xlfn.XLOOKUP(frasest[[#This Row],[author_es]],autorest[author_es],autorest[iso3691])</f>
        <v>el</v>
      </c>
      <c r="K208" t="str">
        <f>_xlfn.XLOOKUP(frasest[[#This Row],[author_es]],autorest[author_es],autorest[language_es])</f>
        <v>Griego</v>
      </c>
      <c r="L208" t="str">
        <f>_xlfn.XLOOKUP(frasest[[#This Row],[author_es]],autorest[author_es],autorest[language_la])</f>
        <v>Lingua Graeca</v>
      </c>
      <c r="M208" t="str">
        <f>_xlfn.XLOOKUP(frasest[[#This Row],[author_es]],autorest[author_es],autorest[nation_es])</f>
        <v>Grecia</v>
      </c>
      <c r="N208" t="str">
        <f>_xlfn.XLOOKUP(frasest[[#This Row],[author_es]],autorest[author_es],autorest[nation_la])</f>
        <v>Graecia</v>
      </c>
      <c r="O208" t="str">
        <f>_xlfn.XLOOKUP(frasest[[#This Row],[author_es]],autorest[author_es],autorest[age_es])</f>
        <v>Edad Antigua</v>
      </c>
      <c r="P208" t="str">
        <f>_xlfn.XLOOKUP(frasest[[#This Row],[author_es]],autorest[author_es],autorest[age_la])</f>
        <v>Antiquitas</v>
      </c>
      <c r="Q208" t="str">
        <f>_xlfn.XLOOKUP(frasest[[#This Row],[author_es]],autorest[author_es],autorest[image])</f>
        <v>https://i.ibb.co/Q3vRf8m3/protagoras.png</v>
      </c>
      <c r="R208">
        <f>_xlfn.XLOOKUP(frasest[[#This Row],[author_es]],autorest[author_es],autorest[image_atr])</f>
        <v>0</v>
      </c>
    </row>
    <row r="209" spans="1:18">
      <c r="A209">
        <v>208</v>
      </c>
      <c r="B209" t="s">
        <v>782</v>
      </c>
      <c r="C209" t="s">
        <v>783</v>
      </c>
      <c r="D209" t="s">
        <v>784</v>
      </c>
      <c r="E209" t="s">
        <v>780</v>
      </c>
      <c r="F209" t="s">
        <v>785</v>
      </c>
      <c r="G209" t="str">
        <f>_xlfn.XLOOKUP(frasest[[#This Row],[author_es]],autorest[author_es],autorest[author_la])</f>
        <v>Protagoras</v>
      </c>
      <c r="H209" t="str">
        <f>_xlfn.XLOOKUP(frasest[[#This Row],[author_es]],autorest[author_es],autorest[bio_es])</f>
        <v>Filósofo sofista griego de Abdera, precursor de la enseñanza retórica profesional. Autor de la máxima "El hombre es la medida de todas las cosas".</v>
      </c>
      <c r="I209" t="str">
        <f>_xlfn.XLOOKUP(frasest[[#This Row],[author_es]],autorest[author_es],autorest[bio_la])</f>
        <v>Philosophus sophista Graecus Abderita, rhetoricae artis professionalis praecursor. Auctor sententiae "Homo mensura omnium rerum est".</v>
      </c>
      <c r="J209" t="str">
        <f>_xlfn.XLOOKUP(frasest[[#This Row],[author_es]],autorest[author_es],autorest[iso3691])</f>
        <v>el</v>
      </c>
      <c r="K209" t="str">
        <f>_xlfn.XLOOKUP(frasest[[#This Row],[author_es]],autorest[author_es],autorest[language_es])</f>
        <v>Griego</v>
      </c>
      <c r="L209" t="str">
        <f>_xlfn.XLOOKUP(frasest[[#This Row],[author_es]],autorest[author_es],autorest[language_la])</f>
        <v>Lingua Graeca</v>
      </c>
      <c r="M209" t="str">
        <f>_xlfn.XLOOKUP(frasest[[#This Row],[author_es]],autorest[author_es],autorest[nation_es])</f>
        <v>Grecia</v>
      </c>
      <c r="N209" t="str">
        <f>_xlfn.XLOOKUP(frasest[[#This Row],[author_es]],autorest[author_es],autorest[nation_la])</f>
        <v>Graecia</v>
      </c>
      <c r="O209" t="str">
        <f>_xlfn.XLOOKUP(frasest[[#This Row],[author_es]],autorest[author_es],autorest[age_es])</f>
        <v>Edad Antigua</v>
      </c>
      <c r="P209" t="str">
        <f>_xlfn.XLOOKUP(frasest[[#This Row],[author_es]],autorest[author_es],autorest[age_la])</f>
        <v>Antiquitas</v>
      </c>
      <c r="Q209" t="str">
        <f>_xlfn.XLOOKUP(frasest[[#This Row],[author_es]],autorest[author_es],autorest[image])</f>
        <v>https://i.ibb.co/Q3vRf8m3/protagoras.png</v>
      </c>
      <c r="R209">
        <f>_xlfn.XLOOKUP(frasest[[#This Row],[author_es]],autorest[author_es],autorest[image_atr])</f>
        <v>0</v>
      </c>
    </row>
    <row r="210" spans="1:18">
      <c r="A210">
        <v>209</v>
      </c>
      <c r="B210" t="s">
        <v>786</v>
      </c>
      <c r="C210" t="s">
        <v>787</v>
      </c>
      <c r="D210" t="s">
        <v>788</v>
      </c>
      <c r="E210" t="s">
        <v>780</v>
      </c>
      <c r="F210" t="s">
        <v>789</v>
      </c>
      <c r="G210" t="str">
        <f>_xlfn.XLOOKUP(frasest[[#This Row],[author_es]],autorest[author_es],autorest[author_la])</f>
        <v>Protagoras</v>
      </c>
      <c r="H210" t="str">
        <f>_xlfn.XLOOKUP(frasest[[#This Row],[author_es]],autorest[author_es],autorest[bio_es])</f>
        <v>Filósofo sofista griego de Abdera, precursor de la enseñanza retórica profesional. Autor de la máxima "El hombre es la medida de todas las cosas".</v>
      </c>
      <c r="I210" t="str">
        <f>_xlfn.XLOOKUP(frasest[[#This Row],[author_es]],autorest[author_es],autorest[bio_la])</f>
        <v>Philosophus sophista Graecus Abderita, rhetoricae artis professionalis praecursor. Auctor sententiae "Homo mensura omnium rerum est".</v>
      </c>
      <c r="J210" t="str">
        <f>_xlfn.XLOOKUP(frasest[[#This Row],[author_es]],autorest[author_es],autorest[iso3691])</f>
        <v>el</v>
      </c>
      <c r="K210" t="str">
        <f>_xlfn.XLOOKUP(frasest[[#This Row],[author_es]],autorest[author_es],autorest[language_es])</f>
        <v>Griego</v>
      </c>
      <c r="L210" t="str">
        <f>_xlfn.XLOOKUP(frasest[[#This Row],[author_es]],autorest[author_es],autorest[language_la])</f>
        <v>Lingua Graeca</v>
      </c>
      <c r="M210" t="str">
        <f>_xlfn.XLOOKUP(frasest[[#This Row],[author_es]],autorest[author_es],autorest[nation_es])</f>
        <v>Grecia</v>
      </c>
      <c r="N210" t="str">
        <f>_xlfn.XLOOKUP(frasest[[#This Row],[author_es]],autorest[author_es],autorest[nation_la])</f>
        <v>Graecia</v>
      </c>
      <c r="O210" t="str">
        <f>_xlfn.XLOOKUP(frasest[[#This Row],[author_es]],autorest[author_es],autorest[age_es])</f>
        <v>Edad Antigua</v>
      </c>
      <c r="P210" t="str">
        <f>_xlfn.XLOOKUP(frasest[[#This Row],[author_es]],autorest[author_es],autorest[age_la])</f>
        <v>Antiquitas</v>
      </c>
      <c r="Q210" t="str">
        <f>_xlfn.XLOOKUP(frasest[[#This Row],[author_es]],autorest[author_es],autorest[image])</f>
        <v>https://i.ibb.co/Q3vRf8m3/protagoras.png</v>
      </c>
      <c r="R210">
        <f>_xlfn.XLOOKUP(frasest[[#This Row],[author_es]],autorest[author_es],autorest[image_atr])</f>
        <v>0</v>
      </c>
    </row>
    <row r="211" spans="1:18">
      <c r="A211">
        <v>210</v>
      </c>
      <c r="B211" t="s">
        <v>790</v>
      </c>
      <c r="C211" t="s">
        <v>791</v>
      </c>
      <c r="D211" t="s">
        <v>792</v>
      </c>
      <c r="E211" t="s">
        <v>780</v>
      </c>
      <c r="F211" t="s">
        <v>793</v>
      </c>
      <c r="G211" t="str">
        <f>_xlfn.XLOOKUP(frasest[[#This Row],[author_es]],autorest[author_es],autorest[author_la])</f>
        <v>Protagoras</v>
      </c>
      <c r="H211" t="str">
        <f>_xlfn.XLOOKUP(frasest[[#This Row],[author_es]],autorest[author_es],autorest[bio_es])</f>
        <v>Filósofo sofista griego de Abdera, precursor de la enseñanza retórica profesional. Autor de la máxima "El hombre es la medida de todas las cosas".</v>
      </c>
      <c r="I211" t="str">
        <f>_xlfn.XLOOKUP(frasest[[#This Row],[author_es]],autorest[author_es],autorest[bio_la])</f>
        <v>Philosophus sophista Graecus Abderita, rhetoricae artis professionalis praecursor. Auctor sententiae "Homo mensura omnium rerum est".</v>
      </c>
      <c r="J211" t="str">
        <f>_xlfn.XLOOKUP(frasest[[#This Row],[author_es]],autorest[author_es],autorest[iso3691])</f>
        <v>el</v>
      </c>
      <c r="K211" t="str">
        <f>_xlfn.XLOOKUP(frasest[[#This Row],[author_es]],autorest[author_es],autorest[language_es])</f>
        <v>Griego</v>
      </c>
      <c r="L211" t="str">
        <f>_xlfn.XLOOKUP(frasest[[#This Row],[author_es]],autorest[author_es],autorest[language_la])</f>
        <v>Lingua Graeca</v>
      </c>
      <c r="M211" t="str">
        <f>_xlfn.XLOOKUP(frasest[[#This Row],[author_es]],autorest[author_es],autorest[nation_es])</f>
        <v>Grecia</v>
      </c>
      <c r="N211" t="str">
        <f>_xlfn.XLOOKUP(frasest[[#This Row],[author_es]],autorest[author_es],autorest[nation_la])</f>
        <v>Graecia</v>
      </c>
      <c r="O211" t="str">
        <f>_xlfn.XLOOKUP(frasest[[#This Row],[author_es]],autorest[author_es],autorest[age_es])</f>
        <v>Edad Antigua</v>
      </c>
      <c r="P211" t="str">
        <f>_xlfn.XLOOKUP(frasest[[#This Row],[author_es]],autorest[author_es],autorest[age_la])</f>
        <v>Antiquitas</v>
      </c>
      <c r="Q211" t="str">
        <f>_xlfn.XLOOKUP(frasest[[#This Row],[author_es]],autorest[author_es],autorest[image])</f>
        <v>https://i.ibb.co/Q3vRf8m3/protagoras.png</v>
      </c>
      <c r="R211">
        <f>_xlfn.XLOOKUP(frasest[[#This Row],[author_es]],autorest[author_es],autorest[image_atr])</f>
        <v>0</v>
      </c>
    </row>
    <row r="212" spans="1:18">
      <c r="A212">
        <v>211</v>
      </c>
      <c r="B212" t="s">
        <v>794</v>
      </c>
      <c r="C212" t="s">
        <v>795</v>
      </c>
      <c r="D212" t="s">
        <v>796</v>
      </c>
      <c r="E212" t="s">
        <v>780</v>
      </c>
      <c r="F212" t="s">
        <v>797</v>
      </c>
      <c r="G212" t="str">
        <f>_xlfn.XLOOKUP(frasest[[#This Row],[author_es]],autorest[author_es],autorest[author_la])</f>
        <v>Protagoras</v>
      </c>
      <c r="H212" t="str">
        <f>_xlfn.XLOOKUP(frasest[[#This Row],[author_es]],autorest[author_es],autorest[bio_es])</f>
        <v>Filósofo sofista griego de Abdera, precursor de la enseñanza retórica profesional. Autor de la máxima "El hombre es la medida de todas las cosas".</v>
      </c>
      <c r="I212" t="str">
        <f>_xlfn.XLOOKUP(frasest[[#This Row],[author_es]],autorest[author_es],autorest[bio_la])</f>
        <v>Philosophus sophista Graecus Abderita, rhetoricae artis professionalis praecursor. Auctor sententiae "Homo mensura omnium rerum est".</v>
      </c>
      <c r="J212" t="str">
        <f>_xlfn.XLOOKUP(frasest[[#This Row],[author_es]],autorest[author_es],autorest[iso3691])</f>
        <v>el</v>
      </c>
      <c r="K212" t="str">
        <f>_xlfn.XLOOKUP(frasest[[#This Row],[author_es]],autorest[author_es],autorest[language_es])</f>
        <v>Griego</v>
      </c>
      <c r="L212" t="str">
        <f>_xlfn.XLOOKUP(frasest[[#This Row],[author_es]],autorest[author_es],autorest[language_la])</f>
        <v>Lingua Graeca</v>
      </c>
      <c r="M212" t="str">
        <f>_xlfn.XLOOKUP(frasest[[#This Row],[author_es]],autorest[author_es],autorest[nation_es])</f>
        <v>Grecia</v>
      </c>
      <c r="N212" t="str">
        <f>_xlfn.XLOOKUP(frasest[[#This Row],[author_es]],autorest[author_es],autorest[nation_la])</f>
        <v>Graecia</v>
      </c>
      <c r="O212" t="str">
        <f>_xlfn.XLOOKUP(frasest[[#This Row],[author_es]],autorest[author_es],autorest[age_es])</f>
        <v>Edad Antigua</v>
      </c>
      <c r="P212" t="str">
        <f>_xlfn.XLOOKUP(frasest[[#This Row],[author_es]],autorest[author_es],autorest[age_la])</f>
        <v>Antiquitas</v>
      </c>
      <c r="Q212" t="str">
        <f>_xlfn.XLOOKUP(frasest[[#This Row],[author_es]],autorest[author_es],autorest[image])</f>
        <v>https://i.ibb.co/Q3vRf8m3/protagoras.png</v>
      </c>
      <c r="R212">
        <f>_xlfn.XLOOKUP(frasest[[#This Row],[author_es]],autorest[author_es],autorest[image_atr])</f>
        <v>0</v>
      </c>
    </row>
    <row r="213" spans="1:18">
      <c r="A213">
        <v>212</v>
      </c>
      <c r="B213" t="s">
        <v>798</v>
      </c>
      <c r="C213" t="s">
        <v>799</v>
      </c>
      <c r="D213" t="s">
        <v>800</v>
      </c>
      <c r="E213" t="s">
        <v>780</v>
      </c>
      <c r="F213" t="s">
        <v>801</v>
      </c>
      <c r="G213" t="str">
        <f>_xlfn.XLOOKUP(frasest[[#This Row],[author_es]],autorest[author_es],autorest[author_la])</f>
        <v>Protagoras</v>
      </c>
      <c r="H213" t="str">
        <f>_xlfn.XLOOKUP(frasest[[#This Row],[author_es]],autorest[author_es],autorest[bio_es])</f>
        <v>Filósofo sofista griego de Abdera, precursor de la enseñanza retórica profesional. Autor de la máxima "El hombre es la medida de todas las cosas".</v>
      </c>
      <c r="I213" t="str">
        <f>_xlfn.XLOOKUP(frasest[[#This Row],[author_es]],autorest[author_es],autorest[bio_la])</f>
        <v>Philosophus sophista Graecus Abderita, rhetoricae artis professionalis praecursor. Auctor sententiae "Homo mensura omnium rerum est".</v>
      </c>
      <c r="J213" t="str">
        <f>_xlfn.XLOOKUP(frasest[[#This Row],[author_es]],autorest[author_es],autorest[iso3691])</f>
        <v>el</v>
      </c>
      <c r="K213" t="str">
        <f>_xlfn.XLOOKUP(frasest[[#This Row],[author_es]],autorest[author_es],autorest[language_es])</f>
        <v>Griego</v>
      </c>
      <c r="L213" t="str">
        <f>_xlfn.XLOOKUP(frasest[[#This Row],[author_es]],autorest[author_es],autorest[language_la])</f>
        <v>Lingua Graeca</v>
      </c>
      <c r="M213" t="str">
        <f>_xlfn.XLOOKUP(frasest[[#This Row],[author_es]],autorest[author_es],autorest[nation_es])</f>
        <v>Grecia</v>
      </c>
      <c r="N213" t="str">
        <f>_xlfn.XLOOKUP(frasest[[#This Row],[author_es]],autorest[author_es],autorest[nation_la])</f>
        <v>Graecia</v>
      </c>
      <c r="O213" t="str">
        <f>_xlfn.XLOOKUP(frasest[[#This Row],[author_es]],autorest[author_es],autorest[age_es])</f>
        <v>Edad Antigua</v>
      </c>
      <c r="P213" t="str">
        <f>_xlfn.XLOOKUP(frasest[[#This Row],[author_es]],autorest[author_es],autorest[age_la])</f>
        <v>Antiquitas</v>
      </c>
      <c r="Q213" t="str">
        <f>_xlfn.XLOOKUP(frasest[[#This Row],[author_es]],autorest[author_es],autorest[image])</f>
        <v>https://i.ibb.co/Q3vRf8m3/protagoras.png</v>
      </c>
      <c r="R213">
        <f>_xlfn.XLOOKUP(frasest[[#This Row],[author_es]],autorest[author_es],autorest[image_atr])</f>
        <v>0</v>
      </c>
    </row>
    <row r="214" spans="1:18">
      <c r="A214">
        <v>213</v>
      </c>
      <c r="B214" t="s">
        <v>802</v>
      </c>
      <c r="C214" t="s">
        <v>803</v>
      </c>
      <c r="D214" t="s">
        <v>804</v>
      </c>
      <c r="E214" t="s">
        <v>780</v>
      </c>
      <c r="F214" t="s">
        <v>805</v>
      </c>
      <c r="G214" t="str">
        <f>_xlfn.XLOOKUP(frasest[[#This Row],[author_es]],autorest[author_es],autorest[author_la])</f>
        <v>Protagoras</v>
      </c>
      <c r="H214" t="str">
        <f>_xlfn.XLOOKUP(frasest[[#This Row],[author_es]],autorest[author_es],autorest[bio_es])</f>
        <v>Filósofo sofista griego de Abdera, precursor de la enseñanza retórica profesional. Autor de la máxima "El hombre es la medida de todas las cosas".</v>
      </c>
      <c r="I214" t="str">
        <f>_xlfn.XLOOKUP(frasest[[#This Row],[author_es]],autorest[author_es],autorest[bio_la])</f>
        <v>Philosophus sophista Graecus Abderita, rhetoricae artis professionalis praecursor. Auctor sententiae "Homo mensura omnium rerum est".</v>
      </c>
      <c r="J214" t="str">
        <f>_xlfn.XLOOKUP(frasest[[#This Row],[author_es]],autorest[author_es],autorest[iso3691])</f>
        <v>el</v>
      </c>
      <c r="K214" t="str">
        <f>_xlfn.XLOOKUP(frasest[[#This Row],[author_es]],autorest[author_es],autorest[language_es])</f>
        <v>Griego</v>
      </c>
      <c r="L214" t="str">
        <f>_xlfn.XLOOKUP(frasest[[#This Row],[author_es]],autorest[author_es],autorest[language_la])</f>
        <v>Lingua Graeca</v>
      </c>
      <c r="M214" t="str">
        <f>_xlfn.XLOOKUP(frasest[[#This Row],[author_es]],autorest[author_es],autorest[nation_es])</f>
        <v>Grecia</v>
      </c>
      <c r="N214" t="str">
        <f>_xlfn.XLOOKUP(frasest[[#This Row],[author_es]],autorest[author_es],autorest[nation_la])</f>
        <v>Graecia</v>
      </c>
      <c r="O214" t="str">
        <f>_xlfn.XLOOKUP(frasest[[#This Row],[author_es]],autorest[author_es],autorest[age_es])</f>
        <v>Edad Antigua</v>
      </c>
      <c r="P214" t="str">
        <f>_xlfn.XLOOKUP(frasest[[#This Row],[author_es]],autorest[author_es],autorest[age_la])</f>
        <v>Antiquitas</v>
      </c>
      <c r="Q214" t="str">
        <f>_xlfn.XLOOKUP(frasest[[#This Row],[author_es]],autorest[author_es],autorest[image])</f>
        <v>https://i.ibb.co/Q3vRf8m3/protagoras.png</v>
      </c>
      <c r="R214">
        <f>_xlfn.XLOOKUP(frasest[[#This Row],[author_es]],autorest[author_es],autorest[image_atr])</f>
        <v>0</v>
      </c>
    </row>
    <row r="215" spans="1:18">
      <c r="A215">
        <v>214</v>
      </c>
      <c r="B215" t="s">
        <v>806</v>
      </c>
      <c r="C215" t="s">
        <v>807</v>
      </c>
      <c r="D215" t="s">
        <v>808</v>
      </c>
      <c r="E215" t="s">
        <v>780</v>
      </c>
      <c r="F215" t="s">
        <v>809</v>
      </c>
      <c r="G215" t="str">
        <f>_xlfn.XLOOKUP(frasest[[#This Row],[author_es]],autorest[author_es],autorest[author_la])</f>
        <v>Protagoras</v>
      </c>
      <c r="H215" t="str">
        <f>_xlfn.XLOOKUP(frasest[[#This Row],[author_es]],autorest[author_es],autorest[bio_es])</f>
        <v>Filósofo sofista griego de Abdera, precursor de la enseñanza retórica profesional. Autor de la máxima "El hombre es la medida de todas las cosas".</v>
      </c>
      <c r="I215" t="str">
        <f>_xlfn.XLOOKUP(frasest[[#This Row],[author_es]],autorest[author_es],autorest[bio_la])</f>
        <v>Philosophus sophista Graecus Abderita, rhetoricae artis professionalis praecursor. Auctor sententiae "Homo mensura omnium rerum est".</v>
      </c>
      <c r="J215" t="str">
        <f>_xlfn.XLOOKUP(frasest[[#This Row],[author_es]],autorest[author_es],autorest[iso3691])</f>
        <v>el</v>
      </c>
      <c r="K215" t="str">
        <f>_xlfn.XLOOKUP(frasest[[#This Row],[author_es]],autorest[author_es],autorest[language_es])</f>
        <v>Griego</v>
      </c>
      <c r="L215" t="str">
        <f>_xlfn.XLOOKUP(frasest[[#This Row],[author_es]],autorest[author_es],autorest[language_la])</f>
        <v>Lingua Graeca</v>
      </c>
      <c r="M215" t="str">
        <f>_xlfn.XLOOKUP(frasest[[#This Row],[author_es]],autorest[author_es],autorest[nation_es])</f>
        <v>Grecia</v>
      </c>
      <c r="N215" t="str">
        <f>_xlfn.XLOOKUP(frasest[[#This Row],[author_es]],autorest[author_es],autorest[nation_la])</f>
        <v>Graecia</v>
      </c>
      <c r="O215" t="str">
        <f>_xlfn.XLOOKUP(frasest[[#This Row],[author_es]],autorest[author_es],autorest[age_es])</f>
        <v>Edad Antigua</v>
      </c>
      <c r="P215" t="str">
        <f>_xlfn.XLOOKUP(frasest[[#This Row],[author_es]],autorest[author_es],autorest[age_la])</f>
        <v>Antiquitas</v>
      </c>
      <c r="Q215" t="str">
        <f>_xlfn.XLOOKUP(frasest[[#This Row],[author_es]],autorest[author_es],autorest[image])</f>
        <v>https://i.ibb.co/Q3vRf8m3/protagoras.png</v>
      </c>
      <c r="R215">
        <f>_xlfn.XLOOKUP(frasest[[#This Row],[author_es]],autorest[author_es],autorest[image_atr])</f>
        <v>0</v>
      </c>
    </row>
    <row r="216" spans="1:18">
      <c r="A216">
        <v>215</v>
      </c>
      <c r="B216" t="s">
        <v>810</v>
      </c>
      <c r="C216" t="s">
        <v>811</v>
      </c>
      <c r="D216" t="s">
        <v>812</v>
      </c>
      <c r="E216" t="s">
        <v>780</v>
      </c>
      <c r="F216" t="s">
        <v>813</v>
      </c>
      <c r="G216" t="str">
        <f>_xlfn.XLOOKUP(frasest[[#This Row],[author_es]],autorest[author_es],autorest[author_la])</f>
        <v>Protagoras</v>
      </c>
      <c r="H216" t="str">
        <f>_xlfn.XLOOKUP(frasest[[#This Row],[author_es]],autorest[author_es],autorest[bio_es])</f>
        <v>Filósofo sofista griego de Abdera, precursor de la enseñanza retórica profesional. Autor de la máxima "El hombre es la medida de todas las cosas".</v>
      </c>
      <c r="I216" t="str">
        <f>_xlfn.XLOOKUP(frasest[[#This Row],[author_es]],autorest[author_es],autorest[bio_la])</f>
        <v>Philosophus sophista Graecus Abderita, rhetoricae artis professionalis praecursor. Auctor sententiae "Homo mensura omnium rerum est".</v>
      </c>
      <c r="J216" t="str">
        <f>_xlfn.XLOOKUP(frasest[[#This Row],[author_es]],autorest[author_es],autorest[iso3691])</f>
        <v>el</v>
      </c>
      <c r="K216" t="str">
        <f>_xlfn.XLOOKUP(frasest[[#This Row],[author_es]],autorest[author_es],autorest[language_es])</f>
        <v>Griego</v>
      </c>
      <c r="L216" t="str">
        <f>_xlfn.XLOOKUP(frasest[[#This Row],[author_es]],autorest[author_es],autorest[language_la])</f>
        <v>Lingua Graeca</v>
      </c>
      <c r="M216" t="str">
        <f>_xlfn.XLOOKUP(frasest[[#This Row],[author_es]],autorest[author_es],autorest[nation_es])</f>
        <v>Grecia</v>
      </c>
      <c r="N216" t="str">
        <f>_xlfn.XLOOKUP(frasest[[#This Row],[author_es]],autorest[author_es],autorest[nation_la])</f>
        <v>Graecia</v>
      </c>
      <c r="O216" t="str">
        <f>_xlfn.XLOOKUP(frasest[[#This Row],[author_es]],autorest[author_es],autorest[age_es])</f>
        <v>Edad Antigua</v>
      </c>
      <c r="P216" t="str">
        <f>_xlfn.XLOOKUP(frasest[[#This Row],[author_es]],autorest[author_es],autorest[age_la])</f>
        <v>Antiquitas</v>
      </c>
      <c r="Q216" t="str">
        <f>_xlfn.XLOOKUP(frasest[[#This Row],[author_es]],autorest[author_es],autorest[image])</f>
        <v>https://i.ibb.co/Q3vRf8m3/protagoras.png</v>
      </c>
      <c r="R216">
        <f>_xlfn.XLOOKUP(frasest[[#This Row],[author_es]],autorest[author_es],autorest[image_atr])</f>
        <v>0</v>
      </c>
    </row>
    <row r="217" spans="1:18">
      <c r="A217">
        <v>216</v>
      </c>
      <c r="B217" t="s">
        <v>814</v>
      </c>
      <c r="C217" t="s">
        <v>815</v>
      </c>
      <c r="D217" t="s">
        <v>816</v>
      </c>
      <c r="E217" t="s">
        <v>780</v>
      </c>
      <c r="F217" t="s">
        <v>817</v>
      </c>
      <c r="G217" t="str">
        <f>_xlfn.XLOOKUP(frasest[[#This Row],[author_es]],autorest[author_es],autorest[author_la])</f>
        <v>Protagoras</v>
      </c>
      <c r="H217" t="str">
        <f>_xlfn.XLOOKUP(frasest[[#This Row],[author_es]],autorest[author_es],autorest[bio_es])</f>
        <v>Filósofo sofista griego de Abdera, precursor de la enseñanza retórica profesional. Autor de la máxima "El hombre es la medida de todas las cosas".</v>
      </c>
      <c r="I217" t="str">
        <f>_xlfn.XLOOKUP(frasest[[#This Row],[author_es]],autorest[author_es],autorest[bio_la])</f>
        <v>Philosophus sophista Graecus Abderita, rhetoricae artis professionalis praecursor. Auctor sententiae "Homo mensura omnium rerum est".</v>
      </c>
      <c r="J217" t="str">
        <f>_xlfn.XLOOKUP(frasest[[#This Row],[author_es]],autorest[author_es],autorest[iso3691])</f>
        <v>el</v>
      </c>
      <c r="K217" t="str">
        <f>_xlfn.XLOOKUP(frasest[[#This Row],[author_es]],autorest[author_es],autorest[language_es])</f>
        <v>Griego</v>
      </c>
      <c r="L217" t="str">
        <f>_xlfn.XLOOKUP(frasest[[#This Row],[author_es]],autorest[author_es],autorest[language_la])</f>
        <v>Lingua Graeca</v>
      </c>
      <c r="M217" t="str">
        <f>_xlfn.XLOOKUP(frasest[[#This Row],[author_es]],autorest[author_es],autorest[nation_es])</f>
        <v>Grecia</v>
      </c>
      <c r="N217" t="str">
        <f>_xlfn.XLOOKUP(frasest[[#This Row],[author_es]],autorest[author_es],autorest[nation_la])</f>
        <v>Graecia</v>
      </c>
      <c r="O217" t="str">
        <f>_xlfn.XLOOKUP(frasest[[#This Row],[author_es]],autorest[author_es],autorest[age_es])</f>
        <v>Edad Antigua</v>
      </c>
      <c r="P217" t="str">
        <f>_xlfn.XLOOKUP(frasest[[#This Row],[author_es]],autorest[author_es],autorest[age_la])</f>
        <v>Antiquitas</v>
      </c>
      <c r="Q217" t="str">
        <f>_xlfn.XLOOKUP(frasest[[#This Row],[author_es]],autorest[author_es],autorest[image])</f>
        <v>https://i.ibb.co/Q3vRf8m3/protagoras.png</v>
      </c>
      <c r="R217">
        <f>_xlfn.XLOOKUP(frasest[[#This Row],[author_es]],autorest[author_es],autorest[image_atr])</f>
        <v>0</v>
      </c>
    </row>
    <row r="218" spans="1:18">
      <c r="A218">
        <v>217</v>
      </c>
      <c r="B218" t="s">
        <v>818</v>
      </c>
      <c r="C218" t="s">
        <v>819</v>
      </c>
      <c r="D218" t="s">
        <v>820</v>
      </c>
      <c r="E218" t="s">
        <v>821</v>
      </c>
      <c r="F218" t="s">
        <v>822</v>
      </c>
      <c r="G218" t="str">
        <f>_xlfn.XLOOKUP(frasest[[#This Row],[author_es]],autorest[author_es],autorest[author_la])</f>
        <v>Clemens Romanus</v>
      </c>
      <c r="H218" t="str">
        <f>_xlfn.XLOOKUP(frasest[[#This Row],[author_es]],autorest[author_es],autorest[bio_es])</f>
        <v>Cuarto papa de la Iglesia, Padre Apostólico y mártir. Autor de la carta a los Corintios, documento papal más antiguo después de las epístolas de San Pedro.</v>
      </c>
      <c r="I218" t="str">
        <f>_xlfn.XLOOKUP(frasest[[#This Row],[author_es]],autorest[author_es],autorest[bio_la])</f>
        <v>Quartus Papa Ecclesiae, Pater Apostolicus et martyr. Auctor epistulae ad Corinthios, documentum pontificale antiquissimum post epistulas Sancti Petri.</v>
      </c>
      <c r="J218" t="str">
        <f>_xlfn.XLOOKUP(frasest[[#This Row],[author_es]],autorest[author_es],autorest[iso3691])</f>
        <v>la</v>
      </c>
      <c r="K218" t="str">
        <f>_xlfn.XLOOKUP(frasest[[#This Row],[author_es]],autorest[author_es],autorest[language_es])</f>
        <v>Latín</v>
      </c>
      <c r="L218" t="str">
        <f>_xlfn.XLOOKUP(frasest[[#This Row],[author_es]],autorest[author_es],autorest[language_la])</f>
        <v>Lingua Latina</v>
      </c>
      <c r="M218" t="str">
        <f>_xlfn.XLOOKUP(frasest[[#This Row],[author_es]],autorest[author_es],autorest[nation_es])</f>
        <v>Roma</v>
      </c>
      <c r="N218" t="str">
        <f>_xlfn.XLOOKUP(frasest[[#This Row],[author_es]],autorest[author_es],autorest[nation_la])</f>
        <v>Roma</v>
      </c>
      <c r="O218" t="str">
        <f>_xlfn.XLOOKUP(frasest[[#This Row],[author_es]],autorest[author_es],autorest[age_es])</f>
        <v>Edad Antigua</v>
      </c>
      <c r="P218" t="str">
        <f>_xlfn.XLOOKUP(frasest[[#This Row],[author_es]],autorest[author_es],autorest[age_la])</f>
        <v>Antiquitas</v>
      </c>
      <c r="Q218" t="str">
        <f>_xlfn.XLOOKUP(frasest[[#This Row],[author_es]],autorest[author_es],autorest[image])</f>
        <v>https://i.ibb.co/TDXTVzjk/sanclemente.png</v>
      </c>
      <c r="R218">
        <f>_xlfn.XLOOKUP(frasest[[#This Row],[author_es]],autorest[author_es],autorest[image_atr])</f>
        <v>0</v>
      </c>
    </row>
    <row r="219" spans="1:18">
      <c r="A219">
        <v>218</v>
      </c>
      <c r="B219" t="s">
        <v>823</v>
      </c>
      <c r="C219" t="s">
        <v>824</v>
      </c>
      <c r="D219" t="s">
        <v>824</v>
      </c>
      <c r="E219" t="s">
        <v>821</v>
      </c>
      <c r="F219" t="s">
        <v>825</v>
      </c>
      <c r="G219" t="str">
        <f>_xlfn.XLOOKUP(frasest[[#This Row],[author_es]],autorest[author_es],autorest[author_la])</f>
        <v>Clemens Romanus</v>
      </c>
      <c r="H219" t="str">
        <f>_xlfn.XLOOKUP(frasest[[#This Row],[author_es]],autorest[author_es],autorest[bio_es])</f>
        <v>Cuarto papa de la Iglesia, Padre Apostólico y mártir. Autor de la carta a los Corintios, documento papal más antiguo después de las epístolas de San Pedro.</v>
      </c>
      <c r="I219" t="str">
        <f>_xlfn.XLOOKUP(frasest[[#This Row],[author_es]],autorest[author_es],autorest[bio_la])</f>
        <v>Quartus Papa Ecclesiae, Pater Apostolicus et martyr. Auctor epistulae ad Corinthios, documentum pontificale antiquissimum post epistulas Sancti Petri.</v>
      </c>
      <c r="J219" t="str">
        <f>_xlfn.XLOOKUP(frasest[[#This Row],[author_es]],autorest[author_es],autorest[iso3691])</f>
        <v>la</v>
      </c>
      <c r="K219" t="str">
        <f>_xlfn.XLOOKUP(frasest[[#This Row],[author_es]],autorest[author_es],autorest[language_es])</f>
        <v>Latín</v>
      </c>
      <c r="L219" t="str">
        <f>_xlfn.XLOOKUP(frasest[[#This Row],[author_es]],autorest[author_es],autorest[language_la])</f>
        <v>Lingua Latina</v>
      </c>
      <c r="M219" t="str">
        <f>_xlfn.XLOOKUP(frasest[[#This Row],[author_es]],autorest[author_es],autorest[nation_es])</f>
        <v>Roma</v>
      </c>
      <c r="N219" t="str">
        <f>_xlfn.XLOOKUP(frasest[[#This Row],[author_es]],autorest[author_es],autorest[nation_la])</f>
        <v>Roma</v>
      </c>
      <c r="O219" t="str">
        <f>_xlfn.XLOOKUP(frasest[[#This Row],[author_es]],autorest[author_es],autorest[age_es])</f>
        <v>Edad Antigua</v>
      </c>
      <c r="P219" t="str">
        <f>_xlfn.XLOOKUP(frasest[[#This Row],[author_es]],autorest[author_es],autorest[age_la])</f>
        <v>Antiquitas</v>
      </c>
      <c r="Q219" t="str">
        <f>_xlfn.XLOOKUP(frasest[[#This Row],[author_es]],autorest[author_es],autorest[image])</f>
        <v>https://i.ibb.co/TDXTVzjk/sanclemente.png</v>
      </c>
      <c r="R219">
        <f>_xlfn.XLOOKUP(frasest[[#This Row],[author_es]],autorest[author_es],autorest[image_atr])</f>
        <v>0</v>
      </c>
    </row>
    <row r="220" spans="1:18">
      <c r="A220">
        <v>219</v>
      </c>
      <c r="B220" t="s">
        <v>826</v>
      </c>
      <c r="C220" t="s">
        <v>827</v>
      </c>
      <c r="D220" t="s">
        <v>827</v>
      </c>
      <c r="E220" t="s">
        <v>821</v>
      </c>
      <c r="F220" t="s">
        <v>828</v>
      </c>
      <c r="G220" t="str">
        <f>_xlfn.XLOOKUP(frasest[[#This Row],[author_es]],autorest[author_es],autorest[author_la])</f>
        <v>Clemens Romanus</v>
      </c>
      <c r="H220" t="str">
        <f>_xlfn.XLOOKUP(frasest[[#This Row],[author_es]],autorest[author_es],autorest[bio_es])</f>
        <v>Cuarto papa de la Iglesia, Padre Apostólico y mártir. Autor de la carta a los Corintios, documento papal más antiguo después de las epístolas de San Pedro.</v>
      </c>
      <c r="I220" t="str">
        <f>_xlfn.XLOOKUP(frasest[[#This Row],[author_es]],autorest[author_es],autorest[bio_la])</f>
        <v>Quartus Papa Ecclesiae, Pater Apostolicus et martyr. Auctor epistulae ad Corinthios, documentum pontificale antiquissimum post epistulas Sancti Petri.</v>
      </c>
      <c r="J220" t="str">
        <f>_xlfn.XLOOKUP(frasest[[#This Row],[author_es]],autorest[author_es],autorest[iso3691])</f>
        <v>la</v>
      </c>
      <c r="K220" t="str">
        <f>_xlfn.XLOOKUP(frasest[[#This Row],[author_es]],autorest[author_es],autorest[language_es])</f>
        <v>Latín</v>
      </c>
      <c r="L220" t="str">
        <f>_xlfn.XLOOKUP(frasest[[#This Row],[author_es]],autorest[author_es],autorest[language_la])</f>
        <v>Lingua Latina</v>
      </c>
      <c r="M220" t="str">
        <f>_xlfn.XLOOKUP(frasest[[#This Row],[author_es]],autorest[author_es],autorest[nation_es])</f>
        <v>Roma</v>
      </c>
      <c r="N220" t="str">
        <f>_xlfn.XLOOKUP(frasest[[#This Row],[author_es]],autorest[author_es],autorest[nation_la])</f>
        <v>Roma</v>
      </c>
      <c r="O220" t="str">
        <f>_xlfn.XLOOKUP(frasest[[#This Row],[author_es]],autorest[author_es],autorest[age_es])</f>
        <v>Edad Antigua</v>
      </c>
      <c r="P220" t="str">
        <f>_xlfn.XLOOKUP(frasest[[#This Row],[author_es]],autorest[author_es],autorest[age_la])</f>
        <v>Antiquitas</v>
      </c>
      <c r="Q220" t="str">
        <f>_xlfn.XLOOKUP(frasest[[#This Row],[author_es]],autorest[author_es],autorest[image])</f>
        <v>https://i.ibb.co/TDXTVzjk/sanclemente.png</v>
      </c>
      <c r="R220">
        <f>_xlfn.XLOOKUP(frasest[[#This Row],[author_es]],autorest[author_es],autorest[image_atr])</f>
        <v>0</v>
      </c>
    </row>
    <row r="221" spans="1:18">
      <c r="A221">
        <v>220</v>
      </c>
      <c r="B221" t="s">
        <v>829</v>
      </c>
      <c r="C221" t="s">
        <v>830</v>
      </c>
      <c r="D221" t="s">
        <v>830</v>
      </c>
      <c r="E221" t="s">
        <v>821</v>
      </c>
      <c r="F221" t="s">
        <v>831</v>
      </c>
      <c r="G221" t="str">
        <f>_xlfn.XLOOKUP(frasest[[#This Row],[author_es]],autorest[author_es],autorest[author_la])</f>
        <v>Clemens Romanus</v>
      </c>
      <c r="H221" t="str">
        <f>_xlfn.XLOOKUP(frasest[[#This Row],[author_es]],autorest[author_es],autorest[bio_es])</f>
        <v>Cuarto papa de la Iglesia, Padre Apostólico y mártir. Autor de la carta a los Corintios, documento papal más antiguo después de las epístolas de San Pedro.</v>
      </c>
      <c r="I221" t="str">
        <f>_xlfn.XLOOKUP(frasest[[#This Row],[author_es]],autorest[author_es],autorest[bio_la])</f>
        <v>Quartus Papa Ecclesiae, Pater Apostolicus et martyr. Auctor epistulae ad Corinthios, documentum pontificale antiquissimum post epistulas Sancti Petri.</v>
      </c>
      <c r="J221" t="str">
        <f>_xlfn.XLOOKUP(frasest[[#This Row],[author_es]],autorest[author_es],autorest[iso3691])</f>
        <v>la</v>
      </c>
      <c r="K221" t="str">
        <f>_xlfn.XLOOKUP(frasest[[#This Row],[author_es]],autorest[author_es],autorest[language_es])</f>
        <v>Latín</v>
      </c>
      <c r="L221" t="str">
        <f>_xlfn.XLOOKUP(frasest[[#This Row],[author_es]],autorest[author_es],autorest[language_la])</f>
        <v>Lingua Latina</v>
      </c>
      <c r="M221" t="str">
        <f>_xlfn.XLOOKUP(frasest[[#This Row],[author_es]],autorest[author_es],autorest[nation_es])</f>
        <v>Roma</v>
      </c>
      <c r="N221" t="str">
        <f>_xlfn.XLOOKUP(frasest[[#This Row],[author_es]],autorest[author_es],autorest[nation_la])</f>
        <v>Roma</v>
      </c>
      <c r="O221" t="str">
        <f>_xlfn.XLOOKUP(frasest[[#This Row],[author_es]],autorest[author_es],autorest[age_es])</f>
        <v>Edad Antigua</v>
      </c>
      <c r="P221" t="str">
        <f>_xlfn.XLOOKUP(frasest[[#This Row],[author_es]],autorest[author_es],autorest[age_la])</f>
        <v>Antiquitas</v>
      </c>
      <c r="Q221" t="str">
        <f>_xlfn.XLOOKUP(frasest[[#This Row],[author_es]],autorest[author_es],autorest[image])</f>
        <v>https://i.ibb.co/TDXTVzjk/sanclemente.png</v>
      </c>
      <c r="R221">
        <f>_xlfn.XLOOKUP(frasest[[#This Row],[author_es]],autorest[author_es],autorest[image_atr])</f>
        <v>0</v>
      </c>
    </row>
    <row r="222" spans="1:18">
      <c r="A222">
        <v>221</v>
      </c>
      <c r="B222" t="s">
        <v>832</v>
      </c>
      <c r="C222" t="s">
        <v>833</v>
      </c>
      <c r="D222" t="s">
        <v>833</v>
      </c>
      <c r="E222" t="s">
        <v>821</v>
      </c>
      <c r="F222" t="s">
        <v>834</v>
      </c>
      <c r="G222" t="str">
        <f>_xlfn.XLOOKUP(frasest[[#This Row],[author_es]],autorest[author_es],autorest[author_la])</f>
        <v>Clemens Romanus</v>
      </c>
      <c r="H222" t="str">
        <f>_xlfn.XLOOKUP(frasest[[#This Row],[author_es]],autorest[author_es],autorest[bio_es])</f>
        <v>Cuarto papa de la Iglesia, Padre Apostólico y mártir. Autor de la carta a los Corintios, documento papal más antiguo después de las epístolas de San Pedro.</v>
      </c>
      <c r="I222" t="str">
        <f>_xlfn.XLOOKUP(frasest[[#This Row],[author_es]],autorest[author_es],autorest[bio_la])</f>
        <v>Quartus Papa Ecclesiae, Pater Apostolicus et martyr. Auctor epistulae ad Corinthios, documentum pontificale antiquissimum post epistulas Sancti Petri.</v>
      </c>
      <c r="J222" t="str">
        <f>_xlfn.XLOOKUP(frasest[[#This Row],[author_es]],autorest[author_es],autorest[iso3691])</f>
        <v>la</v>
      </c>
      <c r="K222" t="str">
        <f>_xlfn.XLOOKUP(frasest[[#This Row],[author_es]],autorest[author_es],autorest[language_es])</f>
        <v>Latín</v>
      </c>
      <c r="L222" t="str">
        <f>_xlfn.XLOOKUP(frasest[[#This Row],[author_es]],autorest[author_es],autorest[language_la])</f>
        <v>Lingua Latina</v>
      </c>
      <c r="M222" t="str">
        <f>_xlfn.XLOOKUP(frasest[[#This Row],[author_es]],autorest[author_es],autorest[nation_es])</f>
        <v>Roma</v>
      </c>
      <c r="N222" t="str">
        <f>_xlfn.XLOOKUP(frasest[[#This Row],[author_es]],autorest[author_es],autorest[nation_la])</f>
        <v>Roma</v>
      </c>
      <c r="O222" t="str">
        <f>_xlfn.XLOOKUP(frasest[[#This Row],[author_es]],autorest[author_es],autorest[age_es])</f>
        <v>Edad Antigua</v>
      </c>
      <c r="P222" t="str">
        <f>_xlfn.XLOOKUP(frasest[[#This Row],[author_es]],autorest[author_es],autorest[age_la])</f>
        <v>Antiquitas</v>
      </c>
      <c r="Q222" t="str">
        <f>_xlfn.XLOOKUP(frasest[[#This Row],[author_es]],autorest[author_es],autorest[image])</f>
        <v>https://i.ibb.co/TDXTVzjk/sanclemente.png</v>
      </c>
      <c r="R222">
        <f>_xlfn.XLOOKUP(frasest[[#This Row],[author_es]],autorest[author_es],autorest[image_atr])</f>
        <v>0</v>
      </c>
    </row>
    <row r="223" spans="1:18">
      <c r="A223">
        <v>222</v>
      </c>
      <c r="B223" t="s">
        <v>835</v>
      </c>
      <c r="C223" t="s">
        <v>836</v>
      </c>
      <c r="D223" t="s">
        <v>836</v>
      </c>
      <c r="E223" t="s">
        <v>821</v>
      </c>
      <c r="F223" t="s">
        <v>825</v>
      </c>
      <c r="G223" t="str">
        <f>_xlfn.XLOOKUP(frasest[[#This Row],[author_es]],autorest[author_es],autorest[author_la])</f>
        <v>Clemens Romanus</v>
      </c>
      <c r="H223" t="str">
        <f>_xlfn.XLOOKUP(frasest[[#This Row],[author_es]],autorest[author_es],autorest[bio_es])</f>
        <v>Cuarto papa de la Iglesia, Padre Apostólico y mártir. Autor de la carta a los Corintios, documento papal más antiguo después de las epístolas de San Pedro.</v>
      </c>
      <c r="I223" t="str">
        <f>_xlfn.XLOOKUP(frasest[[#This Row],[author_es]],autorest[author_es],autorest[bio_la])</f>
        <v>Quartus Papa Ecclesiae, Pater Apostolicus et martyr. Auctor epistulae ad Corinthios, documentum pontificale antiquissimum post epistulas Sancti Petri.</v>
      </c>
      <c r="J223" t="str">
        <f>_xlfn.XLOOKUP(frasest[[#This Row],[author_es]],autorest[author_es],autorest[iso3691])</f>
        <v>la</v>
      </c>
      <c r="K223" t="str">
        <f>_xlfn.XLOOKUP(frasest[[#This Row],[author_es]],autorest[author_es],autorest[language_es])</f>
        <v>Latín</v>
      </c>
      <c r="L223" t="str">
        <f>_xlfn.XLOOKUP(frasest[[#This Row],[author_es]],autorest[author_es],autorest[language_la])</f>
        <v>Lingua Latina</v>
      </c>
      <c r="M223" t="str">
        <f>_xlfn.XLOOKUP(frasest[[#This Row],[author_es]],autorest[author_es],autorest[nation_es])</f>
        <v>Roma</v>
      </c>
      <c r="N223" t="str">
        <f>_xlfn.XLOOKUP(frasest[[#This Row],[author_es]],autorest[author_es],autorest[nation_la])</f>
        <v>Roma</v>
      </c>
      <c r="O223" t="str">
        <f>_xlfn.XLOOKUP(frasest[[#This Row],[author_es]],autorest[author_es],autorest[age_es])</f>
        <v>Edad Antigua</v>
      </c>
      <c r="P223" t="str">
        <f>_xlfn.XLOOKUP(frasest[[#This Row],[author_es]],autorest[author_es],autorest[age_la])</f>
        <v>Antiquitas</v>
      </c>
      <c r="Q223" t="str">
        <f>_xlfn.XLOOKUP(frasest[[#This Row],[author_es]],autorest[author_es],autorest[image])</f>
        <v>https://i.ibb.co/TDXTVzjk/sanclemente.png</v>
      </c>
      <c r="R223">
        <f>_xlfn.XLOOKUP(frasest[[#This Row],[author_es]],autorest[author_es],autorest[image_atr])</f>
        <v>0</v>
      </c>
    </row>
    <row r="224" spans="1:18">
      <c r="A224">
        <v>223</v>
      </c>
      <c r="B224" t="s">
        <v>837</v>
      </c>
      <c r="C224" t="s">
        <v>838</v>
      </c>
      <c r="D224" t="s">
        <v>838</v>
      </c>
      <c r="E224" t="s">
        <v>821</v>
      </c>
      <c r="F224" t="s">
        <v>839</v>
      </c>
      <c r="G224" t="str">
        <f>_xlfn.XLOOKUP(frasest[[#This Row],[author_es]],autorest[author_es],autorest[author_la])</f>
        <v>Clemens Romanus</v>
      </c>
      <c r="H224" t="str">
        <f>_xlfn.XLOOKUP(frasest[[#This Row],[author_es]],autorest[author_es],autorest[bio_es])</f>
        <v>Cuarto papa de la Iglesia, Padre Apostólico y mártir. Autor de la carta a los Corintios, documento papal más antiguo después de las epístolas de San Pedro.</v>
      </c>
      <c r="I224" t="str">
        <f>_xlfn.XLOOKUP(frasest[[#This Row],[author_es]],autorest[author_es],autorest[bio_la])</f>
        <v>Quartus Papa Ecclesiae, Pater Apostolicus et martyr. Auctor epistulae ad Corinthios, documentum pontificale antiquissimum post epistulas Sancti Petri.</v>
      </c>
      <c r="J224" t="str">
        <f>_xlfn.XLOOKUP(frasest[[#This Row],[author_es]],autorest[author_es],autorest[iso3691])</f>
        <v>la</v>
      </c>
      <c r="K224" t="str">
        <f>_xlfn.XLOOKUP(frasest[[#This Row],[author_es]],autorest[author_es],autorest[language_es])</f>
        <v>Latín</v>
      </c>
      <c r="L224" t="str">
        <f>_xlfn.XLOOKUP(frasest[[#This Row],[author_es]],autorest[author_es],autorest[language_la])</f>
        <v>Lingua Latina</v>
      </c>
      <c r="M224" t="str">
        <f>_xlfn.XLOOKUP(frasest[[#This Row],[author_es]],autorest[author_es],autorest[nation_es])</f>
        <v>Roma</v>
      </c>
      <c r="N224" t="str">
        <f>_xlfn.XLOOKUP(frasest[[#This Row],[author_es]],autorest[author_es],autorest[nation_la])</f>
        <v>Roma</v>
      </c>
      <c r="O224" t="str">
        <f>_xlfn.XLOOKUP(frasest[[#This Row],[author_es]],autorest[author_es],autorest[age_es])</f>
        <v>Edad Antigua</v>
      </c>
      <c r="P224" t="str">
        <f>_xlfn.XLOOKUP(frasest[[#This Row],[author_es]],autorest[author_es],autorest[age_la])</f>
        <v>Antiquitas</v>
      </c>
      <c r="Q224" t="str">
        <f>_xlfn.XLOOKUP(frasest[[#This Row],[author_es]],autorest[author_es],autorest[image])</f>
        <v>https://i.ibb.co/TDXTVzjk/sanclemente.png</v>
      </c>
      <c r="R224">
        <f>_xlfn.XLOOKUP(frasest[[#This Row],[author_es]],autorest[author_es],autorest[image_atr])</f>
        <v>0</v>
      </c>
    </row>
    <row r="225" spans="1:18">
      <c r="A225">
        <v>224</v>
      </c>
      <c r="B225" t="s">
        <v>840</v>
      </c>
      <c r="C225" t="s">
        <v>841</v>
      </c>
      <c r="D225" t="s">
        <v>841</v>
      </c>
      <c r="E225" t="s">
        <v>821</v>
      </c>
      <c r="F225" t="s">
        <v>828</v>
      </c>
      <c r="G225" t="str">
        <f>_xlfn.XLOOKUP(frasest[[#This Row],[author_es]],autorest[author_es],autorest[author_la])</f>
        <v>Clemens Romanus</v>
      </c>
      <c r="H225" t="str">
        <f>_xlfn.XLOOKUP(frasest[[#This Row],[author_es]],autorest[author_es],autorest[bio_es])</f>
        <v>Cuarto papa de la Iglesia, Padre Apostólico y mártir. Autor de la carta a los Corintios, documento papal más antiguo después de las epístolas de San Pedro.</v>
      </c>
      <c r="I225" t="str">
        <f>_xlfn.XLOOKUP(frasest[[#This Row],[author_es]],autorest[author_es],autorest[bio_la])</f>
        <v>Quartus Papa Ecclesiae, Pater Apostolicus et martyr. Auctor epistulae ad Corinthios, documentum pontificale antiquissimum post epistulas Sancti Petri.</v>
      </c>
      <c r="J225" t="str">
        <f>_xlfn.XLOOKUP(frasest[[#This Row],[author_es]],autorest[author_es],autorest[iso3691])</f>
        <v>la</v>
      </c>
      <c r="K225" t="str">
        <f>_xlfn.XLOOKUP(frasest[[#This Row],[author_es]],autorest[author_es],autorest[language_es])</f>
        <v>Latín</v>
      </c>
      <c r="L225" t="str">
        <f>_xlfn.XLOOKUP(frasest[[#This Row],[author_es]],autorest[author_es],autorest[language_la])</f>
        <v>Lingua Latina</v>
      </c>
      <c r="M225" t="str">
        <f>_xlfn.XLOOKUP(frasest[[#This Row],[author_es]],autorest[author_es],autorest[nation_es])</f>
        <v>Roma</v>
      </c>
      <c r="N225" t="str">
        <f>_xlfn.XLOOKUP(frasest[[#This Row],[author_es]],autorest[author_es],autorest[nation_la])</f>
        <v>Roma</v>
      </c>
      <c r="O225" t="str">
        <f>_xlfn.XLOOKUP(frasest[[#This Row],[author_es]],autorest[author_es],autorest[age_es])</f>
        <v>Edad Antigua</v>
      </c>
      <c r="P225" t="str">
        <f>_xlfn.XLOOKUP(frasest[[#This Row],[author_es]],autorest[author_es],autorest[age_la])</f>
        <v>Antiquitas</v>
      </c>
      <c r="Q225" t="str">
        <f>_xlfn.XLOOKUP(frasest[[#This Row],[author_es]],autorest[author_es],autorest[image])</f>
        <v>https://i.ibb.co/TDXTVzjk/sanclemente.png</v>
      </c>
      <c r="R225">
        <f>_xlfn.XLOOKUP(frasest[[#This Row],[author_es]],autorest[author_es],autorest[image_atr])</f>
        <v>0</v>
      </c>
    </row>
    <row r="226" spans="1:18">
      <c r="A226">
        <v>225</v>
      </c>
      <c r="B226" t="s">
        <v>842</v>
      </c>
      <c r="C226" t="s">
        <v>843</v>
      </c>
      <c r="D226" t="s">
        <v>843</v>
      </c>
      <c r="E226" t="s">
        <v>821</v>
      </c>
      <c r="F226" t="s">
        <v>844</v>
      </c>
      <c r="G226" t="str">
        <f>_xlfn.XLOOKUP(frasest[[#This Row],[author_es]],autorest[author_es],autorest[author_la])</f>
        <v>Clemens Romanus</v>
      </c>
      <c r="H226" t="str">
        <f>_xlfn.XLOOKUP(frasest[[#This Row],[author_es]],autorest[author_es],autorest[bio_es])</f>
        <v>Cuarto papa de la Iglesia, Padre Apostólico y mártir. Autor de la carta a los Corintios, documento papal más antiguo después de las epístolas de San Pedro.</v>
      </c>
      <c r="I226" t="str">
        <f>_xlfn.XLOOKUP(frasest[[#This Row],[author_es]],autorest[author_es],autorest[bio_la])</f>
        <v>Quartus Papa Ecclesiae, Pater Apostolicus et martyr. Auctor epistulae ad Corinthios, documentum pontificale antiquissimum post epistulas Sancti Petri.</v>
      </c>
      <c r="J226" t="str">
        <f>_xlfn.XLOOKUP(frasest[[#This Row],[author_es]],autorest[author_es],autorest[iso3691])</f>
        <v>la</v>
      </c>
      <c r="K226" t="str">
        <f>_xlfn.XLOOKUP(frasest[[#This Row],[author_es]],autorest[author_es],autorest[language_es])</f>
        <v>Latín</v>
      </c>
      <c r="L226" t="str">
        <f>_xlfn.XLOOKUP(frasest[[#This Row],[author_es]],autorest[author_es],autorest[language_la])</f>
        <v>Lingua Latina</v>
      </c>
      <c r="M226" t="str">
        <f>_xlfn.XLOOKUP(frasest[[#This Row],[author_es]],autorest[author_es],autorest[nation_es])</f>
        <v>Roma</v>
      </c>
      <c r="N226" t="str">
        <f>_xlfn.XLOOKUP(frasest[[#This Row],[author_es]],autorest[author_es],autorest[nation_la])</f>
        <v>Roma</v>
      </c>
      <c r="O226" t="str">
        <f>_xlfn.XLOOKUP(frasest[[#This Row],[author_es]],autorest[author_es],autorest[age_es])</f>
        <v>Edad Antigua</v>
      </c>
      <c r="P226" t="str">
        <f>_xlfn.XLOOKUP(frasest[[#This Row],[author_es]],autorest[author_es],autorest[age_la])</f>
        <v>Antiquitas</v>
      </c>
      <c r="Q226" t="str">
        <f>_xlfn.XLOOKUP(frasest[[#This Row],[author_es]],autorest[author_es],autorest[image])</f>
        <v>https://i.ibb.co/TDXTVzjk/sanclemente.png</v>
      </c>
      <c r="R226">
        <f>_xlfn.XLOOKUP(frasest[[#This Row],[author_es]],autorest[author_es],autorest[image_atr])</f>
        <v>0</v>
      </c>
    </row>
    <row r="227" spans="1:18">
      <c r="A227">
        <v>226</v>
      </c>
      <c r="B227" t="s">
        <v>845</v>
      </c>
      <c r="C227" t="s">
        <v>846</v>
      </c>
      <c r="D227" t="s">
        <v>846</v>
      </c>
      <c r="E227" t="s">
        <v>821</v>
      </c>
      <c r="F227" t="s">
        <v>847</v>
      </c>
      <c r="G227" t="str">
        <f>_xlfn.XLOOKUP(frasest[[#This Row],[author_es]],autorest[author_es],autorest[author_la])</f>
        <v>Clemens Romanus</v>
      </c>
      <c r="H227" t="str">
        <f>_xlfn.XLOOKUP(frasest[[#This Row],[author_es]],autorest[author_es],autorest[bio_es])</f>
        <v>Cuarto papa de la Iglesia, Padre Apostólico y mártir. Autor de la carta a los Corintios, documento papal más antiguo después de las epístolas de San Pedro.</v>
      </c>
      <c r="I227" t="str">
        <f>_xlfn.XLOOKUP(frasest[[#This Row],[author_es]],autorest[author_es],autorest[bio_la])</f>
        <v>Quartus Papa Ecclesiae, Pater Apostolicus et martyr. Auctor epistulae ad Corinthios, documentum pontificale antiquissimum post epistulas Sancti Petri.</v>
      </c>
      <c r="J227" t="str">
        <f>_xlfn.XLOOKUP(frasest[[#This Row],[author_es]],autorest[author_es],autorest[iso3691])</f>
        <v>la</v>
      </c>
      <c r="K227" t="str">
        <f>_xlfn.XLOOKUP(frasest[[#This Row],[author_es]],autorest[author_es],autorest[language_es])</f>
        <v>Latín</v>
      </c>
      <c r="L227" t="str">
        <f>_xlfn.XLOOKUP(frasest[[#This Row],[author_es]],autorest[author_es],autorest[language_la])</f>
        <v>Lingua Latina</v>
      </c>
      <c r="M227" t="str">
        <f>_xlfn.XLOOKUP(frasest[[#This Row],[author_es]],autorest[author_es],autorest[nation_es])</f>
        <v>Roma</v>
      </c>
      <c r="N227" t="str">
        <f>_xlfn.XLOOKUP(frasest[[#This Row],[author_es]],autorest[author_es],autorest[nation_la])</f>
        <v>Roma</v>
      </c>
      <c r="O227" t="str">
        <f>_xlfn.XLOOKUP(frasest[[#This Row],[author_es]],autorest[author_es],autorest[age_es])</f>
        <v>Edad Antigua</v>
      </c>
      <c r="P227" t="str">
        <f>_xlfn.XLOOKUP(frasest[[#This Row],[author_es]],autorest[author_es],autorest[age_la])</f>
        <v>Antiquitas</v>
      </c>
      <c r="Q227" t="str">
        <f>_xlfn.XLOOKUP(frasest[[#This Row],[author_es]],autorest[author_es],autorest[image])</f>
        <v>https://i.ibb.co/TDXTVzjk/sanclemente.png</v>
      </c>
      <c r="R227">
        <f>_xlfn.XLOOKUP(frasest[[#This Row],[author_es]],autorest[author_es],autorest[image_atr])</f>
        <v>0</v>
      </c>
    </row>
    <row r="228" spans="1:18">
      <c r="A228">
        <v>227</v>
      </c>
      <c r="B228" t="s">
        <v>848</v>
      </c>
      <c r="C228" t="s">
        <v>849</v>
      </c>
      <c r="D228" t="s">
        <v>849</v>
      </c>
      <c r="E228" t="s">
        <v>850</v>
      </c>
      <c r="F228" t="s">
        <v>851</v>
      </c>
      <c r="G228" t="str">
        <f>_xlfn.XLOOKUP(frasest[[#This Row],[author_es]],autorest[author_es],autorest[author_la])</f>
        <v>Ignatius Antiochenus</v>
      </c>
      <c r="H228" t="str">
        <f>_xlfn.XLOOKUP(frasest[[#This Row],[author_es]],autorest[author_es],autorest[bio_es])</f>
        <v>Obispo de Antioquía, mártir y Padre Apostólico. Discípulo de San Juan Evangelista, martirizado en Roma. Autor de siete cartas escritas camino al martirio.</v>
      </c>
      <c r="I228" t="str">
        <f>_xlfn.XLOOKUP(frasest[[#This Row],[author_es]],autorest[author_es],autorest[bio_la])</f>
        <v>Episcopus Antiochenus, martyr et Pater Apostolicus. Discipulus Sancti Ioannis Evangelistae, Romae martyrizatus. Auctor septem epistularum in via ad martyrium scriptarum.</v>
      </c>
      <c r="J228" t="str">
        <f>_xlfn.XLOOKUP(frasest[[#This Row],[author_es]],autorest[author_es],autorest[iso3691])</f>
        <v>la</v>
      </c>
      <c r="K228" t="str">
        <f>_xlfn.XLOOKUP(frasest[[#This Row],[author_es]],autorest[author_es],autorest[language_es])</f>
        <v>Latín</v>
      </c>
      <c r="L228" t="str">
        <f>_xlfn.XLOOKUP(frasest[[#This Row],[author_es]],autorest[author_es],autorest[language_la])</f>
        <v>Lingua Latina</v>
      </c>
      <c r="M228" t="str">
        <f>_xlfn.XLOOKUP(frasest[[#This Row],[author_es]],autorest[author_es],autorest[nation_es])</f>
        <v>Roma</v>
      </c>
      <c r="N228" t="str">
        <f>_xlfn.XLOOKUP(frasest[[#This Row],[author_es]],autorest[author_es],autorest[nation_la])</f>
        <v>Roma</v>
      </c>
      <c r="O228" t="str">
        <f>_xlfn.XLOOKUP(frasest[[#This Row],[author_es]],autorest[author_es],autorest[age_es])</f>
        <v>Edad Antigua</v>
      </c>
      <c r="P228" t="str">
        <f>_xlfn.XLOOKUP(frasest[[#This Row],[author_es]],autorest[author_es],autorest[age_la])</f>
        <v>Antiquitas</v>
      </c>
      <c r="Q228" t="str">
        <f>_xlfn.XLOOKUP(frasest[[#This Row],[author_es]],autorest[author_es],autorest[image])</f>
        <v>https://i.ibb.co/yFrskTBq/ignacioantio.png</v>
      </c>
      <c r="R228">
        <f>_xlfn.XLOOKUP(frasest[[#This Row],[author_es]],autorest[author_es],autorest[image_atr])</f>
        <v>0</v>
      </c>
    </row>
    <row r="229" spans="1:18">
      <c r="A229">
        <v>228</v>
      </c>
      <c r="B229" t="s">
        <v>852</v>
      </c>
      <c r="C229" t="s">
        <v>853</v>
      </c>
      <c r="D229" t="s">
        <v>853</v>
      </c>
      <c r="E229" t="s">
        <v>850</v>
      </c>
      <c r="F229" t="s">
        <v>854</v>
      </c>
      <c r="G229" t="str">
        <f>_xlfn.XLOOKUP(frasest[[#This Row],[author_es]],autorest[author_es],autorest[author_la])</f>
        <v>Ignatius Antiochenus</v>
      </c>
      <c r="H229" t="str">
        <f>_xlfn.XLOOKUP(frasest[[#This Row],[author_es]],autorest[author_es],autorest[bio_es])</f>
        <v>Obispo de Antioquía, mártir y Padre Apostólico. Discípulo de San Juan Evangelista, martirizado en Roma. Autor de siete cartas escritas camino al martirio.</v>
      </c>
      <c r="I229" t="str">
        <f>_xlfn.XLOOKUP(frasest[[#This Row],[author_es]],autorest[author_es],autorest[bio_la])</f>
        <v>Episcopus Antiochenus, martyr et Pater Apostolicus. Discipulus Sancti Ioannis Evangelistae, Romae martyrizatus. Auctor septem epistularum in via ad martyrium scriptarum.</v>
      </c>
      <c r="J229" t="str">
        <f>_xlfn.XLOOKUP(frasest[[#This Row],[author_es]],autorest[author_es],autorest[iso3691])</f>
        <v>la</v>
      </c>
      <c r="K229" t="str">
        <f>_xlfn.XLOOKUP(frasest[[#This Row],[author_es]],autorest[author_es],autorest[language_es])</f>
        <v>Latín</v>
      </c>
      <c r="L229" t="str">
        <f>_xlfn.XLOOKUP(frasest[[#This Row],[author_es]],autorest[author_es],autorest[language_la])</f>
        <v>Lingua Latina</v>
      </c>
      <c r="M229" t="str">
        <f>_xlfn.XLOOKUP(frasest[[#This Row],[author_es]],autorest[author_es],autorest[nation_es])</f>
        <v>Roma</v>
      </c>
      <c r="N229" t="str">
        <f>_xlfn.XLOOKUP(frasest[[#This Row],[author_es]],autorest[author_es],autorest[nation_la])</f>
        <v>Roma</v>
      </c>
      <c r="O229" t="str">
        <f>_xlfn.XLOOKUP(frasest[[#This Row],[author_es]],autorest[author_es],autorest[age_es])</f>
        <v>Edad Antigua</v>
      </c>
      <c r="P229" t="str">
        <f>_xlfn.XLOOKUP(frasest[[#This Row],[author_es]],autorest[author_es],autorest[age_la])</f>
        <v>Antiquitas</v>
      </c>
      <c r="Q229" t="str">
        <f>_xlfn.XLOOKUP(frasest[[#This Row],[author_es]],autorest[author_es],autorest[image])</f>
        <v>https://i.ibb.co/yFrskTBq/ignacioantio.png</v>
      </c>
      <c r="R229">
        <f>_xlfn.XLOOKUP(frasest[[#This Row],[author_es]],autorest[author_es],autorest[image_atr])</f>
        <v>0</v>
      </c>
    </row>
    <row r="230" spans="1:18">
      <c r="A230">
        <v>229</v>
      </c>
      <c r="B230" t="s">
        <v>855</v>
      </c>
      <c r="C230" t="s">
        <v>856</v>
      </c>
      <c r="D230" t="s">
        <v>856</v>
      </c>
      <c r="E230" t="s">
        <v>850</v>
      </c>
      <c r="F230" t="s">
        <v>857</v>
      </c>
      <c r="G230" t="str">
        <f>_xlfn.XLOOKUP(frasest[[#This Row],[author_es]],autorest[author_es],autorest[author_la])</f>
        <v>Ignatius Antiochenus</v>
      </c>
      <c r="H230" t="str">
        <f>_xlfn.XLOOKUP(frasest[[#This Row],[author_es]],autorest[author_es],autorest[bio_es])</f>
        <v>Obispo de Antioquía, mártir y Padre Apostólico. Discípulo de San Juan Evangelista, martirizado en Roma. Autor de siete cartas escritas camino al martirio.</v>
      </c>
      <c r="I230" t="str">
        <f>_xlfn.XLOOKUP(frasest[[#This Row],[author_es]],autorest[author_es],autorest[bio_la])</f>
        <v>Episcopus Antiochenus, martyr et Pater Apostolicus. Discipulus Sancti Ioannis Evangelistae, Romae martyrizatus. Auctor septem epistularum in via ad martyrium scriptarum.</v>
      </c>
      <c r="J230" t="str">
        <f>_xlfn.XLOOKUP(frasest[[#This Row],[author_es]],autorest[author_es],autorest[iso3691])</f>
        <v>la</v>
      </c>
      <c r="K230" t="str">
        <f>_xlfn.XLOOKUP(frasest[[#This Row],[author_es]],autorest[author_es],autorest[language_es])</f>
        <v>Latín</v>
      </c>
      <c r="L230" t="str">
        <f>_xlfn.XLOOKUP(frasest[[#This Row],[author_es]],autorest[author_es],autorest[language_la])</f>
        <v>Lingua Latina</v>
      </c>
      <c r="M230" t="str">
        <f>_xlfn.XLOOKUP(frasest[[#This Row],[author_es]],autorest[author_es],autorest[nation_es])</f>
        <v>Roma</v>
      </c>
      <c r="N230" t="str">
        <f>_xlfn.XLOOKUP(frasest[[#This Row],[author_es]],autorest[author_es],autorest[nation_la])</f>
        <v>Roma</v>
      </c>
      <c r="O230" t="str">
        <f>_xlfn.XLOOKUP(frasest[[#This Row],[author_es]],autorest[author_es],autorest[age_es])</f>
        <v>Edad Antigua</v>
      </c>
      <c r="P230" t="str">
        <f>_xlfn.XLOOKUP(frasest[[#This Row],[author_es]],autorest[author_es],autorest[age_la])</f>
        <v>Antiquitas</v>
      </c>
      <c r="Q230" t="str">
        <f>_xlfn.XLOOKUP(frasest[[#This Row],[author_es]],autorest[author_es],autorest[image])</f>
        <v>https://i.ibb.co/yFrskTBq/ignacioantio.png</v>
      </c>
      <c r="R230">
        <f>_xlfn.XLOOKUP(frasest[[#This Row],[author_es]],autorest[author_es],autorest[image_atr])</f>
        <v>0</v>
      </c>
    </row>
    <row r="231" spans="1:18">
      <c r="A231">
        <v>230</v>
      </c>
      <c r="B231" t="s">
        <v>858</v>
      </c>
      <c r="C231" t="s">
        <v>859</v>
      </c>
      <c r="D231" t="s">
        <v>859</v>
      </c>
      <c r="E231" t="s">
        <v>850</v>
      </c>
      <c r="F231" t="s">
        <v>860</v>
      </c>
      <c r="G231" t="str">
        <f>_xlfn.XLOOKUP(frasest[[#This Row],[author_es]],autorest[author_es],autorest[author_la])</f>
        <v>Ignatius Antiochenus</v>
      </c>
      <c r="H231" t="str">
        <f>_xlfn.XLOOKUP(frasest[[#This Row],[author_es]],autorest[author_es],autorest[bio_es])</f>
        <v>Obispo de Antioquía, mártir y Padre Apostólico. Discípulo de San Juan Evangelista, martirizado en Roma. Autor de siete cartas escritas camino al martirio.</v>
      </c>
      <c r="I231" t="str">
        <f>_xlfn.XLOOKUP(frasest[[#This Row],[author_es]],autorest[author_es],autorest[bio_la])</f>
        <v>Episcopus Antiochenus, martyr et Pater Apostolicus. Discipulus Sancti Ioannis Evangelistae, Romae martyrizatus. Auctor septem epistularum in via ad martyrium scriptarum.</v>
      </c>
      <c r="J231" t="str">
        <f>_xlfn.XLOOKUP(frasest[[#This Row],[author_es]],autorest[author_es],autorest[iso3691])</f>
        <v>la</v>
      </c>
      <c r="K231" t="str">
        <f>_xlfn.XLOOKUP(frasest[[#This Row],[author_es]],autorest[author_es],autorest[language_es])</f>
        <v>Latín</v>
      </c>
      <c r="L231" t="str">
        <f>_xlfn.XLOOKUP(frasest[[#This Row],[author_es]],autorest[author_es],autorest[language_la])</f>
        <v>Lingua Latina</v>
      </c>
      <c r="M231" t="str">
        <f>_xlfn.XLOOKUP(frasest[[#This Row],[author_es]],autorest[author_es],autorest[nation_es])</f>
        <v>Roma</v>
      </c>
      <c r="N231" t="str">
        <f>_xlfn.XLOOKUP(frasest[[#This Row],[author_es]],autorest[author_es],autorest[nation_la])</f>
        <v>Roma</v>
      </c>
      <c r="O231" t="str">
        <f>_xlfn.XLOOKUP(frasest[[#This Row],[author_es]],autorest[author_es],autorest[age_es])</f>
        <v>Edad Antigua</v>
      </c>
      <c r="P231" t="str">
        <f>_xlfn.XLOOKUP(frasest[[#This Row],[author_es]],autorest[author_es],autorest[age_la])</f>
        <v>Antiquitas</v>
      </c>
      <c r="Q231" t="str">
        <f>_xlfn.XLOOKUP(frasest[[#This Row],[author_es]],autorest[author_es],autorest[image])</f>
        <v>https://i.ibb.co/yFrskTBq/ignacioantio.png</v>
      </c>
      <c r="R231">
        <f>_xlfn.XLOOKUP(frasest[[#This Row],[author_es]],autorest[author_es],autorest[image_atr])</f>
        <v>0</v>
      </c>
    </row>
    <row r="232" spans="1:18">
      <c r="A232">
        <v>231</v>
      </c>
      <c r="B232" t="s">
        <v>861</v>
      </c>
      <c r="C232" t="s">
        <v>862</v>
      </c>
      <c r="D232" t="s">
        <v>862</v>
      </c>
      <c r="E232" t="s">
        <v>850</v>
      </c>
      <c r="F232" t="s">
        <v>863</v>
      </c>
      <c r="G232" t="str">
        <f>_xlfn.XLOOKUP(frasest[[#This Row],[author_es]],autorest[author_es],autorest[author_la])</f>
        <v>Ignatius Antiochenus</v>
      </c>
      <c r="H232" t="str">
        <f>_xlfn.XLOOKUP(frasest[[#This Row],[author_es]],autorest[author_es],autorest[bio_es])</f>
        <v>Obispo de Antioquía, mártir y Padre Apostólico. Discípulo de San Juan Evangelista, martirizado en Roma. Autor de siete cartas escritas camino al martirio.</v>
      </c>
      <c r="I232" t="str">
        <f>_xlfn.XLOOKUP(frasest[[#This Row],[author_es]],autorest[author_es],autorest[bio_la])</f>
        <v>Episcopus Antiochenus, martyr et Pater Apostolicus. Discipulus Sancti Ioannis Evangelistae, Romae martyrizatus. Auctor septem epistularum in via ad martyrium scriptarum.</v>
      </c>
      <c r="J232" t="str">
        <f>_xlfn.XLOOKUP(frasest[[#This Row],[author_es]],autorest[author_es],autorest[iso3691])</f>
        <v>la</v>
      </c>
      <c r="K232" t="str">
        <f>_xlfn.XLOOKUP(frasest[[#This Row],[author_es]],autorest[author_es],autorest[language_es])</f>
        <v>Latín</v>
      </c>
      <c r="L232" t="str">
        <f>_xlfn.XLOOKUP(frasest[[#This Row],[author_es]],autorest[author_es],autorest[language_la])</f>
        <v>Lingua Latina</v>
      </c>
      <c r="M232" t="str">
        <f>_xlfn.XLOOKUP(frasest[[#This Row],[author_es]],autorest[author_es],autorest[nation_es])</f>
        <v>Roma</v>
      </c>
      <c r="N232" t="str">
        <f>_xlfn.XLOOKUP(frasest[[#This Row],[author_es]],autorest[author_es],autorest[nation_la])</f>
        <v>Roma</v>
      </c>
      <c r="O232" t="str">
        <f>_xlfn.XLOOKUP(frasest[[#This Row],[author_es]],autorest[author_es],autorest[age_es])</f>
        <v>Edad Antigua</v>
      </c>
      <c r="P232" t="str">
        <f>_xlfn.XLOOKUP(frasest[[#This Row],[author_es]],autorest[author_es],autorest[age_la])</f>
        <v>Antiquitas</v>
      </c>
      <c r="Q232" t="str">
        <f>_xlfn.XLOOKUP(frasest[[#This Row],[author_es]],autorest[author_es],autorest[image])</f>
        <v>https://i.ibb.co/yFrskTBq/ignacioantio.png</v>
      </c>
      <c r="R232">
        <f>_xlfn.XLOOKUP(frasest[[#This Row],[author_es]],autorest[author_es],autorest[image_atr])</f>
        <v>0</v>
      </c>
    </row>
    <row r="233" spans="1:18">
      <c r="A233">
        <v>232</v>
      </c>
      <c r="B233" t="s">
        <v>864</v>
      </c>
      <c r="C233" t="s">
        <v>865</v>
      </c>
      <c r="D233" t="s">
        <v>865</v>
      </c>
      <c r="E233" t="s">
        <v>850</v>
      </c>
      <c r="F233" t="s">
        <v>866</v>
      </c>
      <c r="G233" t="str">
        <f>_xlfn.XLOOKUP(frasest[[#This Row],[author_es]],autorest[author_es],autorest[author_la])</f>
        <v>Ignatius Antiochenus</v>
      </c>
      <c r="H233" t="str">
        <f>_xlfn.XLOOKUP(frasest[[#This Row],[author_es]],autorest[author_es],autorest[bio_es])</f>
        <v>Obispo de Antioquía, mártir y Padre Apostólico. Discípulo de San Juan Evangelista, martirizado en Roma. Autor de siete cartas escritas camino al martirio.</v>
      </c>
      <c r="I233" t="str">
        <f>_xlfn.XLOOKUP(frasest[[#This Row],[author_es]],autorest[author_es],autorest[bio_la])</f>
        <v>Episcopus Antiochenus, martyr et Pater Apostolicus. Discipulus Sancti Ioannis Evangelistae, Romae martyrizatus. Auctor septem epistularum in via ad martyrium scriptarum.</v>
      </c>
      <c r="J233" t="str">
        <f>_xlfn.XLOOKUP(frasest[[#This Row],[author_es]],autorest[author_es],autorest[iso3691])</f>
        <v>la</v>
      </c>
      <c r="K233" t="str">
        <f>_xlfn.XLOOKUP(frasest[[#This Row],[author_es]],autorest[author_es],autorest[language_es])</f>
        <v>Latín</v>
      </c>
      <c r="L233" t="str">
        <f>_xlfn.XLOOKUP(frasest[[#This Row],[author_es]],autorest[author_es],autorest[language_la])</f>
        <v>Lingua Latina</v>
      </c>
      <c r="M233" t="str">
        <f>_xlfn.XLOOKUP(frasest[[#This Row],[author_es]],autorest[author_es],autorest[nation_es])</f>
        <v>Roma</v>
      </c>
      <c r="N233" t="str">
        <f>_xlfn.XLOOKUP(frasest[[#This Row],[author_es]],autorest[author_es],autorest[nation_la])</f>
        <v>Roma</v>
      </c>
      <c r="O233" t="str">
        <f>_xlfn.XLOOKUP(frasest[[#This Row],[author_es]],autorest[author_es],autorest[age_es])</f>
        <v>Edad Antigua</v>
      </c>
      <c r="P233" t="str">
        <f>_xlfn.XLOOKUP(frasest[[#This Row],[author_es]],autorest[author_es],autorest[age_la])</f>
        <v>Antiquitas</v>
      </c>
      <c r="Q233" t="str">
        <f>_xlfn.XLOOKUP(frasest[[#This Row],[author_es]],autorest[author_es],autorest[image])</f>
        <v>https://i.ibb.co/yFrskTBq/ignacioantio.png</v>
      </c>
      <c r="R233">
        <f>_xlfn.XLOOKUP(frasest[[#This Row],[author_es]],autorest[author_es],autorest[image_atr])</f>
        <v>0</v>
      </c>
    </row>
    <row r="234" spans="1:18">
      <c r="A234">
        <v>233</v>
      </c>
      <c r="B234" t="s">
        <v>867</v>
      </c>
      <c r="C234" t="s">
        <v>868</v>
      </c>
      <c r="D234" t="s">
        <v>868</v>
      </c>
      <c r="E234" t="s">
        <v>850</v>
      </c>
      <c r="F234" t="s">
        <v>869</v>
      </c>
      <c r="G234" t="str">
        <f>_xlfn.XLOOKUP(frasest[[#This Row],[author_es]],autorest[author_es],autorest[author_la])</f>
        <v>Ignatius Antiochenus</v>
      </c>
      <c r="H234" t="str">
        <f>_xlfn.XLOOKUP(frasest[[#This Row],[author_es]],autorest[author_es],autorest[bio_es])</f>
        <v>Obispo de Antioquía, mártir y Padre Apostólico. Discípulo de San Juan Evangelista, martirizado en Roma. Autor de siete cartas escritas camino al martirio.</v>
      </c>
      <c r="I234" t="str">
        <f>_xlfn.XLOOKUP(frasest[[#This Row],[author_es]],autorest[author_es],autorest[bio_la])</f>
        <v>Episcopus Antiochenus, martyr et Pater Apostolicus. Discipulus Sancti Ioannis Evangelistae, Romae martyrizatus. Auctor septem epistularum in via ad martyrium scriptarum.</v>
      </c>
      <c r="J234" t="str">
        <f>_xlfn.XLOOKUP(frasest[[#This Row],[author_es]],autorest[author_es],autorest[iso3691])</f>
        <v>la</v>
      </c>
      <c r="K234" t="str">
        <f>_xlfn.XLOOKUP(frasest[[#This Row],[author_es]],autorest[author_es],autorest[language_es])</f>
        <v>Latín</v>
      </c>
      <c r="L234" t="str">
        <f>_xlfn.XLOOKUP(frasest[[#This Row],[author_es]],autorest[author_es],autorest[language_la])</f>
        <v>Lingua Latina</v>
      </c>
      <c r="M234" t="str">
        <f>_xlfn.XLOOKUP(frasest[[#This Row],[author_es]],autorest[author_es],autorest[nation_es])</f>
        <v>Roma</v>
      </c>
      <c r="N234" t="str">
        <f>_xlfn.XLOOKUP(frasest[[#This Row],[author_es]],autorest[author_es],autorest[nation_la])</f>
        <v>Roma</v>
      </c>
      <c r="O234" t="str">
        <f>_xlfn.XLOOKUP(frasest[[#This Row],[author_es]],autorest[author_es],autorest[age_es])</f>
        <v>Edad Antigua</v>
      </c>
      <c r="P234" t="str">
        <f>_xlfn.XLOOKUP(frasest[[#This Row],[author_es]],autorest[author_es],autorest[age_la])</f>
        <v>Antiquitas</v>
      </c>
      <c r="Q234" t="str">
        <f>_xlfn.XLOOKUP(frasest[[#This Row],[author_es]],autorest[author_es],autorest[image])</f>
        <v>https://i.ibb.co/yFrskTBq/ignacioantio.png</v>
      </c>
      <c r="R234">
        <f>_xlfn.XLOOKUP(frasest[[#This Row],[author_es]],autorest[author_es],autorest[image_atr])</f>
        <v>0</v>
      </c>
    </row>
    <row r="235" spans="1:18">
      <c r="A235">
        <v>234</v>
      </c>
      <c r="B235" t="s">
        <v>870</v>
      </c>
      <c r="C235" t="s">
        <v>871</v>
      </c>
      <c r="D235" t="s">
        <v>871</v>
      </c>
      <c r="E235" t="s">
        <v>850</v>
      </c>
      <c r="F235" t="s">
        <v>863</v>
      </c>
      <c r="G235" t="str">
        <f>_xlfn.XLOOKUP(frasest[[#This Row],[author_es]],autorest[author_es],autorest[author_la])</f>
        <v>Ignatius Antiochenus</v>
      </c>
      <c r="H235" t="str">
        <f>_xlfn.XLOOKUP(frasest[[#This Row],[author_es]],autorest[author_es],autorest[bio_es])</f>
        <v>Obispo de Antioquía, mártir y Padre Apostólico. Discípulo de San Juan Evangelista, martirizado en Roma. Autor de siete cartas escritas camino al martirio.</v>
      </c>
      <c r="I235" t="str">
        <f>_xlfn.XLOOKUP(frasest[[#This Row],[author_es]],autorest[author_es],autorest[bio_la])</f>
        <v>Episcopus Antiochenus, martyr et Pater Apostolicus. Discipulus Sancti Ioannis Evangelistae, Romae martyrizatus. Auctor septem epistularum in via ad martyrium scriptarum.</v>
      </c>
      <c r="J235" t="str">
        <f>_xlfn.XLOOKUP(frasest[[#This Row],[author_es]],autorest[author_es],autorest[iso3691])</f>
        <v>la</v>
      </c>
      <c r="K235" t="str">
        <f>_xlfn.XLOOKUP(frasest[[#This Row],[author_es]],autorest[author_es],autorest[language_es])</f>
        <v>Latín</v>
      </c>
      <c r="L235" t="str">
        <f>_xlfn.XLOOKUP(frasest[[#This Row],[author_es]],autorest[author_es],autorest[language_la])</f>
        <v>Lingua Latina</v>
      </c>
      <c r="M235" t="str">
        <f>_xlfn.XLOOKUP(frasest[[#This Row],[author_es]],autorest[author_es],autorest[nation_es])</f>
        <v>Roma</v>
      </c>
      <c r="N235" t="str">
        <f>_xlfn.XLOOKUP(frasest[[#This Row],[author_es]],autorest[author_es],autorest[nation_la])</f>
        <v>Roma</v>
      </c>
      <c r="O235" t="str">
        <f>_xlfn.XLOOKUP(frasest[[#This Row],[author_es]],autorest[author_es],autorest[age_es])</f>
        <v>Edad Antigua</v>
      </c>
      <c r="P235" t="str">
        <f>_xlfn.XLOOKUP(frasest[[#This Row],[author_es]],autorest[author_es],autorest[age_la])</f>
        <v>Antiquitas</v>
      </c>
      <c r="Q235" t="str">
        <f>_xlfn.XLOOKUP(frasest[[#This Row],[author_es]],autorest[author_es],autorest[image])</f>
        <v>https://i.ibb.co/yFrskTBq/ignacioantio.png</v>
      </c>
      <c r="R235">
        <f>_xlfn.XLOOKUP(frasest[[#This Row],[author_es]],autorest[author_es],autorest[image_atr])</f>
        <v>0</v>
      </c>
    </row>
    <row r="236" spans="1:18">
      <c r="A236">
        <v>235</v>
      </c>
      <c r="B236" t="s">
        <v>872</v>
      </c>
      <c r="C236" t="s">
        <v>873</v>
      </c>
      <c r="D236" t="s">
        <v>873</v>
      </c>
      <c r="E236" t="s">
        <v>850</v>
      </c>
      <c r="F236" t="s">
        <v>874</v>
      </c>
      <c r="G236" t="str">
        <f>_xlfn.XLOOKUP(frasest[[#This Row],[author_es]],autorest[author_es],autorest[author_la])</f>
        <v>Ignatius Antiochenus</v>
      </c>
      <c r="H236" t="str">
        <f>_xlfn.XLOOKUP(frasest[[#This Row],[author_es]],autorest[author_es],autorest[bio_es])</f>
        <v>Obispo de Antioquía, mártir y Padre Apostólico. Discípulo de San Juan Evangelista, martirizado en Roma. Autor de siete cartas escritas camino al martirio.</v>
      </c>
      <c r="I236" t="str">
        <f>_xlfn.XLOOKUP(frasest[[#This Row],[author_es]],autorest[author_es],autorest[bio_la])</f>
        <v>Episcopus Antiochenus, martyr et Pater Apostolicus. Discipulus Sancti Ioannis Evangelistae, Romae martyrizatus. Auctor septem epistularum in via ad martyrium scriptarum.</v>
      </c>
      <c r="J236" t="str">
        <f>_xlfn.XLOOKUP(frasest[[#This Row],[author_es]],autorest[author_es],autorest[iso3691])</f>
        <v>la</v>
      </c>
      <c r="K236" t="str">
        <f>_xlfn.XLOOKUP(frasest[[#This Row],[author_es]],autorest[author_es],autorest[language_es])</f>
        <v>Latín</v>
      </c>
      <c r="L236" t="str">
        <f>_xlfn.XLOOKUP(frasest[[#This Row],[author_es]],autorest[author_es],autorest[language_la])</f>
        <v>Lingua Latina</v>
      </c>
      <c r="M236" t="str">
        <f>_xlfn.XLOOKUP(frasest[[#This Row],[author_es]],autorest[author_es],autorest[nation_es])</f>
        <v>Roma</v>
      </c>
      <c r="N236" t="str">
        <f>_xlfn.XLOOKUP(frasest[[#This Row],[author_es]],autorest[author_es],autorest[nation_la])</f>
        <v>Roma</v>
      </c>
      <c r="O236" t="str">
        <f>_xlfn.XLOOKUP(frasest[[#This Row],[author_es]],autorest[author_es],autorest[age_es])</f>
        <v>Edad Antigua</v>
      </c>
      <c r="P236" t="str">
        <f>_xlfn.XLOOKUP(frasest[[#This Row],[author_es]],autorest[author_es],autorest[age_la])</f>
        <v>Antiquitas</v>
      </c>
      <c r="Q236" t="str">
        <f>_xlfn.XLOOKUP(frasest[[#This Row],[author_es]],autorest[author_es],autorest[image])</f>
        <v>https://i.ibb.co/yFrskTBq/ignacioantio.png</v>
      </c>
      <c r="R236">
        <f>_xlfn.XLOOKUP(frasest[[#This Row],[author_es]],autorest[author_es],autorest[image_atr])</f>
        <v>0</v>
      </c>
    </row>
    <row r="237" spans="1:18">
      <c r="A237">
        <v>236</v>
      </c>
      <c r="B237" t="s">
        <v>875</v>
      </c>
      <c r="C237" t="s">
        <v>876</v>
      </c>
      <c r="D237" t="s">
        <v>876</v>
      </c>
      <c r="E237" t="s">
        <v>850</v>
      </c>
      <c r="F237" t="s">
        <v>877</v>
      </c>
      <c r="G237" t="str">
        <f>_xlfn.XLOOKUP(frasest[[#This Row],[author_es]],autorest[author_es],autorest[author_la])</f>
        <v>Ignatius Antiochenus</v>
      </c>
      <c r="H237" t="str">
        <f>_xlfn.XLOOKUP(frasest[[#This Row],[author_es]],autorest[author_es],autorest[bio_es])</f>
        <v>Obispo de Antioquía, mártir y Padre Apostólico. Discípulo de San Juan Evangelista, martirizado en Roma. Autor de siete cartas escritas camino al martirio.</v>
      </c>
      <c r="I237" t="str">
        <f>_xlfn.XLOOKUP(frasest[[#This Row],[author_es]],autorest[author_es],autorest[bio_la])</f>
        <v>Episcopus Antiochenus, martyr et Pater Apostolicus. Discipulus Sancti Ioannis Evangelistae, Romae martyrizatus. Auctor septem epistularum in via ad martyrium scriptarum.</v>
      </c>
      <c r="J237" t="str">
        <f>_xlfn.XLOOKUP(frasest[[#This Row],[author_es]],autorest[author_es],autorest[iso3691])</f>
        <v>la</v>
      </c>
      <c r="K237" t="str">
        <f>_xlfn.XLOOKUP(frasest[[#This Row],[author_es]],autorest[author_es],autorest[language_es])</f>
        <v>Latín</v>
      </c>
      <c r="L237" t="str">
        <f>_xlfn.XLOOKUP(frasest[[#This Row],[author_es]],autorest[author_es],autorest[language_la])</f>
        <v>Lingua Latina</v>
      </c>
      <c r="M237" t="str">
        <f>_xlfn.XLOOKUP(frasest[[#This Row],[author_es]],autorest[author_es],autorest[nation_es])</f>
        <v>Roma</v>
      </c>
      <c r="N237" t="str">
        <f>_xlfn.XLOOKUP(frasest[[#This Row],[author_es]],autorest[author_es],autorest[nation_la])</f>
        <v>Roma</v>
      </c>
      <c r="O237" t="str">
        <f>_xlfn.XLOOKUP(frasest[[#This Row],[author_es]],autorest[author_es],autorest[age_es])</f>
        <v>Edad Antigua</v>
      </c>
      <c r="P237" t="str">
        <f>_xlfn.XLOOKUP(frasest[[#This Row],[author_es]],autorest[author_es],autorest[age_la])</f>
        <v>Antiquitas</v>
      </c>
      <c r="Q237" t="str">
        <f>_xlfn.XLOOKUP(frasest[[#This Row],[author_es]],autorest[author_es],autorest[image])</f>
        <v>https://i.ibb.co/yFrskTBq/ignacioantio.png</v>
      </c>
      <c r="R237">
        <f>_xlfn.XLOOKUP(frasest[[#This Row],[author_es]],autorest[author_es],autorest[image_atr])</f>
        <v>0</v>
      </c>
    </row>
    <row r="238" spans="1:18">
      <c r="A238">
        <v>237</v>
      </c>
      <c r="B238" t="s">
        <v>878</v>
      </c>
      <c r="C238" t="s">
        <v>879</v>
      </c>
      <c r="D238" t="s">
        <v>879</v>
      </c>
      <c r="E238" t="s">
        <v>880</v>
      </c>
      <c r="F238" t="s">
        <v>881</v>
      </c>
      <c r="G238" t="str">
        <f>_xlfn.XLOOKUP(frasest[[#This Row],[author_es]],autorest[author_es],autorest[author_la])</f>
        <v>Polycarpus Smyrnaeus</v>
      </c>
      <c r="H238" t="str">
        <f>_xlfn.XLOOKUP(frasest[[#This Row],[author_es]],autorest[author_es],autorest[bio_es])</f>
        <v>Obispo de Esmirna, mártir y Padre Apostólico. Discípulo del apóstol Juan, martirizado a los 86 años. Una de las tres figuras principales de los Padres Apostólicos.</v>
      </c>
      <c r="I238" t="str">
        <f>_xlfn.XLOOKUP(frasest[[#This Row],[author_es]],autorest[author_es],autorest[bio_la])</f>
        <v>Episcopus Smyrnaeus, martyr et Pater Apostolicus. Discipulus apostoli Ioannis, octoginta sex annos natus martyrizatus. Una ex tribus figuris principalibus Patrum Apostolicorum.</v>
      </c>
      <c r="J238" t="str">
        <f>_xlfn.XLOOKUP(frasest[[#This Row],[author_es]],autorest[author_es],autorest[iso3691])</f>
        <v>la</v>
      </c>
      <c r="K238" t="str">
        <f>_xlfn.XLOOKUP(frasest[[#This Row],[author_es]],autorest[author_es],autorest[language_es])</f>
        <v>Latín</v>
      </c>
      <c r="L238" t="str">
        <f>_xlfn.XLOOKUP(frasest[[#This Row],[author_es]],autorest[author_es],autorest[language_la])</f>
        <v>Lingua Latina</v>
      </c>
      <c r="M238" t="str">
        <f>_xlfn.XLOOKUP(frasest[[#This Row],[author_es]],autorest[author_es],autorest[nation_es])</f>
        <v>Roma</v>
      </c>
      <c r="N238" t="str">
        <f>_xlfn.XLOOKUP(frasest[[#This Row],[author_es]],autorest[author_es],autorest[nation_la])</f>
        <v>Roma</v>
      </c>
      <c r="O238" t="str">
        <f>_xlfn.XLOOKUP(frasest[[#This Row],[author_es]],autorest[author_es],autorest[age_es])</f>
        <v>Edad Antigua</v>
      </c>
      <c r="P238" t="str">
        <f>_xlfn.XLOOKUP(frasest[[#This Row],[author_es]],autorest[author_es],autorest[age_la])</f>
        <v>Antiquitas</v>
      </c>
      <c r="Q238" t="str">
        <f>_xlfn.XLOOKUP(frasest[[#This Row],[author_es]],autorest[author_es],autorest[image])</f>
        <v>https://i.ibb.co/GQTLb5X7/policarpo.png</v>
      </c>
      <c r="R238">
        <f>_xlfn.XLOOKUP(frasest[[#This Row],[author_es]],autorest[author_es],autorest[image_atr])</f>
        <v>0</v>
      </c>
    </row>
    <row r="239" spans="1:18">
      <c r="A239">
        <v>238</v>
      </c>
      <c r="B239" t="s">
        <v>882</v>
      </c>
      <c r="C239" t="s">
        <v>883</v>
      </c>
      <c r="D239" t="s">
        <v>883</v>
      </c>
      <c r="E239" t="s">
        <v>880</v>
      </c>
      <c r="F239" t="s">
        <v>884</v>
      </c>
      <c r="G239" t="str">
        <f>_xlfn.XLOOKUP(frasest[[#This Row],[author_es]],autorest[author_es],autorest[author_la])</f>
        <v>Polycarpus Smyrnaeus</v>
      </c>
      <c r="H239" t="str">
        <f>_xlfn.XLOOKUP(frasest[[#This Row],[author_es]],autorest[author_es],autorest[bio_es])</f>
        <v>Obispo de Esmirna, mártir y Padre Apostólico. Discípulo del apóstol Juan, martirizado a los 86 años. Una de las tres figuras principales de los Padres Apostólicos.</v>
      </c>
      <c r="I239" t="str">
        <f>_xlfn.XLOOKUP(frasest[[#This Row],[author_es]],autorest[author_es],autorest[bio_la])</f>
        <v>Episcopus Smyrnaeus, martyr et Pater Apostolicus. Discipulus apostoli Ioannis, octoginta sex annos natus martyrizatus. Una ex tribus figuris principalibus Patrum Apostolicorum.</v>
      </c>
      <c r="J239" t="str">
        <f>_xlfn.XLOOKUP(frasest[[#This Row],[author_es]],autorest[author_es],autorest[iso3691])</f>
        <v>la</v>
      </c>
      <c r="K239" t="str">
        <f>_xlfn.XLOOKUP(frasest[[#This Row],[author_es]],autorest[author_es],autorest[language_es])</f>
        <v>Latín</v>
      </c>
      <c r="L239" t="str">
        <f>_xlfn.XLOOKUP(frasest[[#This Row],[author_es]],autorest[author_es],autorest[language_la])</f>
        <v>Lingua Latina</v>
      </c>
      <c r="M239" t="str">
        <f>_xlfn.XLOOKUP(frasest[[#This Row],[author_es]],autorest[author_es],autorest[nation_es])</f>
        <v>Roma</v>
      </c>
      <c r="N239" t="str">
        <f>_xlfn.XLOOKUP(frasest[[#This Row],[author_es]],autorest[author_es],autorest[nation_la])</f>
        <v>Roma</v>
      </c>
      <c r="O239" t="str">
        <f>_xlfn.XLOOKUP(frasest[[#This Row],[author_es]],autorest[author_es],autorest[age_es])</f>
        <v>Edad Antigua</v>
      </c>
      <c r="P239" t="str">
        <f>_xlfn.XLOOKUP(frasest[[#This Row],[author_es]],autorest[author_es],autorest[age_la])</f>
        <v>Antiquitas</v>
      </c>
      <c r="Q239" t="str">
        <f>_xlfn.XLOOKUP(frasest[[#This Row],[author_es]],autorest[author_es],autorest[image])</f>
        <v>https://i.ibb.co/GQTLb5X7/policarpo.png</v>
      </c>
      <c r="R239">
        <f>_xlfn.XLOOKUP(frasest[[#This Row],[author_es]],autorest[author_es],autorest[image_atr])</f>
        <v>0</v>
      </c>
    </row>
    <row r="240" spans="1:18">
      <c r="A240">
        <v>239</v>
      </c>
      <c r="B240" t="s">
        <v>885</v>
      </c>
      <c r="C240" t="s">
        <v>886</v>
      </c>
      <c r="D240" t="s">
        <v>886</v>
      </c>
      <c r="E240" t="s">
        <v>880</v>
      </c>
      <c r="F240" t="s">
        <v>887</v>
      </c>
      <c r="G240" t="str">
        <f>_xlfn.XLOOKUP(frasest[[#This Row],[author_es]],autorest[author_es],autorest[author_la])</f>
        <v>Polycarpus Smyrnaeus</v>
      </c>
      <c r="H240" t="str">
        <f>_xlfn.XLOOKUP(frasest[[#This Row],[author_es]],autorest[author_es],autorest[bio_es])</f>
        <v>Obispo de Esmirna, mártir y Padre Apostólico. Discípulo del apóstol Juan, martirizado a los 86 años. Una de las tres figuras principales de los Padres Apostólicos.</v>
      </c>
      <c r="I240" t="str">
        <f>_xlfn.XLOOKUP(frasest[[#This Row],[author_es]],autorest[author_es],autorest[bio_la])</f>
        <v>Episcopus Smyrnaeus, martyr et Pater Apostolicus. Discipulus apostoli Ioannis, octoginta sex annos natus martyrizatus. Una ex tribus figuris principalibus Patrum Apostolicorum.</v>
      </c>
      <c r="J240" t="str">
        <f>_xlfn.XLOOKUP(frasest[[#This Row],[author_es]],autorest[author_es],autorest[iso3691])</f>
        <v>la</v>
      </c>
      <c r="K240" t="str">
        <f>_xlfn.XLOOKUP(frasest[[#This Row],[author_es]],autorest[author_es],autorest[language_es])</f>
        <v>Latín</v>
      </c>
      <c r="L240" t="str">
        <f>_xlfn.XLOOKUP(frasest[[#This Row],[author_es]],autorest[author_es],autorest[language_la])</f>
        <v>Lingua Latina</v>
      </c>
      <c r="M240" t="str">
        <f>_xlfn.XLOOKUP(frasest[[#This Row],[author_es]],autorest[author_es],autorest[nation_es])</f>
        <v>Roma</v>
      </c>
      <c r="N240" t="str">
        <f>_xlfn.XLOOKUP(frasest[[#This Row],[author_es]],autorest[author_es],autorest[nation_la])</f>
        <v>Roma</v>
      </c>
      <c r="O240" t="str">
        <f>_xlfn.XLOOKUP(frasest[[#This Row],[author_es]],autorest[author_es],autorest[age_es])</f>
        <v>Edad Antigua</v>
      </c>
      <c r="P240" t="str">
        <f>_xlfn.XLOOKUP(frasest[[#This Row],[author_es]],autorest[author_es],autorest[age_la])</f>
        <v>Antiquitas</v>
      </c>
      <c r="Q240" t="str">
        <f>_xlfn.XLOOKUP(frasest[[#This Row],[author_es]],autorest[author_es],autorest[image])</f>
        <v>https://i.ibb.co/GQTLb5X7/policarpo.png</v>
      </c>
      <c r="R240">
        <f>_xlfn.XLOOKUP(frasest[[#This Row],[author_es]],autorest[author_es],autorest[image_atr])</f>
        <v>0</v>
      </c>
    </row>
    <row r="241" spans="1:18">
      <c r="A241">
        <v>240</v>
      </c>
      <c r="B241" t="s">
        <v>888</v>
      </c>
      <c r="C241" t="s">
        <v>889</v>
      </c>
      <c r="D241" t="s">
        <v>889</v>
      </c>
      <c r="E241" t="s">
        <v>880</v>
      </c>
      <c r="F241" t="s">
        <v>890</v>
      </c>
      <c r="G241" t="str">
        <f>_xlfn.XLOOKUP(frasest[[#This Row],[author_es]],autorest[author_es],autorest[author_la])</f>
        <v>Polycarpus Smyrnaeus</v>
      </c>
      <c r="H241" t="str">
        <f>_xlfn.XLOOKUP(frasest[[#This Row],[author_es]],autorest[author_es],autorest[bio_es])</f>
        <v>Obispo de Esmirna, mártir y Padre Apostólico. Discípulo del apóstol Juan, martirizado a los 86 años. Una de las tres figuras principales de los Padres Apostólicos.</v>
      </c>
      <c r="I241" t="str">
        <f>_xlfn.XLOOKUP(frasest[[#This Row],[author_es]],autorest[author_es],autorest[bio_la])</f>
        <v>Episcopus Smyrnaeus, martyr et Pater Apostolicus. Discipulus apostoli Ioannis, octoginta sex annos natus martyrizatus. Una ex tribus figuris principalibus Patrum Apostolicorum.</v>
      </c>
      <c r="J241" t="str">
        <f>_xlfn.XLOOKUP(frasest[[#This Row],[author_es]],autorest[author_es],autorest[iso3691])</f>
        <v>la</v>
      </c>
      <c r="K241" t="str">
        <f>_xlfn.XLOOKUP(frasest[[#This Row],[author_es]],autorest[author_es],autorest[language_es])</f>
        <v>Latín</v>
      </c>
      <c r="L241" t="str">
        <f>_xlfn.XLOOKUP(frasest[[#This Row],[author_es]],autorest[author_es],autorest[language_la])</f>
        <v>Lingua Latina</v>
      </c>
      <c r="M241" t="str">
        <f>_xlfn.XLOOKUP(frasest[[#This Row],[author_es]],autorest[author_es],autorest[nation_es])</f>
        <v>Roma</v>
      </c>
      <c r="N241" t="str">
        <f>_xlfn.XLOOKUP(frasest[[#This Row],[author_es]],autorest[author_es],autorest[nation_la])</f>
        <v>Roma</v>
      </c>
      <c r="O241" t="str">
        <f>_xlfn.XLOOKUP(frasest[[#This Row],[author_es]],autorest[author_es],autorest[age_es])</f>
        <v>Edad Antigua</v>
      </c>
      <c r="P241" t="str">
        <f>_xlfn.XLOOKUP(frasest[[#This Row],[author_es]],autorest[author_es],autorest[age_la])</f>
        <v>Antiquitas</v>
      </c>
      <c r="Q241" t="str">
        <f>_xlfn.XLOOKUP(frasest[[#This Row],[author_es]],autorest[author_es],autorest[image])</f>
        <v>https://i.ibb.co/GQTLb5X7/policarpo.png</v>
      </c>
      <c r="R241">
        <f>_xlfn.XLOOKUP(frasest[[#This Row],[author_es]],autorest[author_es],autorest[image_atr])</f>
        <v>0</v>
      </c>
    </row>
    <row r="242" spans="1:18">
      <c r="A242">
        <v>241</v>
      </c>
      <c r="B242" t="s">
        <v>891</v>
      </c>
      <c r="C242" t="s">
        <v>892</v>
      </c>
      <c r="D242" t="s">
        <v>892</v>
      </c>
      <c r="E242" t="s">
        <v>880</v>
      </c>
      <c r="F242" t="s">
        <v>893</v>
      </c>
      <c r="G242" t="str">
        <f>_xlfn.XLOOKUP(frasest[[#This Row],[author_es]],autorest[author_es],autorest[author_la])</f>
        <v>Polycarpus Smyrnaeus</v>
      </c>
      <c r="H242" t="str">
        <f>_xlfn.XLOOKUP(frasest[[#This Row],[author_es]],autorest[author_es],autorest[bio_es])</f>
        <v>Obispo de Esmirna, mártir y Padre Apostólico. Discípulo del apóstol Juan, martirizado a los 86 años. Una de las tres figuras principales de los Padres Apostólicos.</v>
      </c>
      <c r="I242" t="str">
        <f>_xlfn.XLOOKUP(frasest[[#This Row],[author_es]],autorest[author_es],autorest[bio_la])</f>
        <v>Episcopus Smyrnaeus, martyr et Pater Apostolicus. Discipulus apostoli Ioannis, octoginta sex annos natus martyrizatus. Una ex tribus figuris principalibus Patrum Apostolicorum.</v>
      </c>
      <c r="J242" t="str">
        <f>_xlfn.XLOOKUP(frasest[[#This Row],[author_es]],autorest[author_es],autorest[iso3691])</f>
        <v>la</v>
      </c>
      <c r="K242" t="str">
        <f>_xlfn.XLOOKUP(frasest[[#This Row],[author_es]],autorest[author_es],autorest[language_es])</f>
        <v>Latín</v>
      </c>
      <c r="L242" t="str">
        <f>_xlfn.XLOOKUP(frasest[[#This Row],[author_es]],autorest[author_es],autorest[language_la])</f>
        <v>Lingua Latina</v>
      </c>
      <c r="M242" t="str">
        <f>_xlfn.XLOOKUP(frasest[[#This Row],[author_es]],autorest[author_es],autorest[nation_es])</f>
        <v>Roma</v>
      </c>
      <c r="N242" t="str">
        <f>_xlfn.XLOOKUP(frasest[[#This Row],[author_es]],autorest[author_es],autorest[nation_la])</f>
        <v>Roma</v>
      </c>
      <c r="O242" t="str">
        <f>_xlfn.XLOOKUP(frasest[[#This Row],[author_es]],autorest[author_es],autorest[age_es])</f>
        <v>Edad Antigua</v>
      </c>
      <c r="P242" t="str">
        <f>_xlfn.XLOOKUP(frasest[[#This Row],[author_es]],autorest[author_es],autorest[age_la])</f>
        <v>Antiquitas</v>
      </c>
      <c r="Q242" t="str">
        <f>_xlfn.XLOOKUP(frasest[[#This Row],[author_es]],autorest[author_es],autorest[image])</f>
        <v>https://i.ibb.co/GQTLb5X7/policarpo.png</v>
      </c>
      <c r="R242">
        <f>_xlfn.XLOOKUP(frasest[[#This Row],[author_es]],autorest[author_es],autorest[image_atr])</f>
        <v>0</v>
      </c>
    </row>
    <row r="243" spans="1:18">
      <c r="A243">
        <v>242</v>
      </c>
      <c r="B243" t="s">
        <v>894</v>
      </c>
      <c r="C243" t="s">
        <v>895</v>
      </c>
      <c r="D243" t="s">
        <v>895</v>
      </c>
      <c r="E243" t="s">
        <v>880</v>
      </c>
      <c r="F243" t="s">
        <v>896</v>
      </c>
      <c r="G243" t="str">
        <f>_xlfn.XLOOKUP(frasest[[#This Row],[author_es]],autorest[author_es],autorest[author_la])</f>
        <v>Polycarpus Smyrnaeus</v>
      </c>
      <c r="H243" t="str">
        <f>_xlfn.XLOOKUP(frasest[[#This Row],[author_es]],autorest[author_es],autorest[bio_es])</f>
        <v>Obispo de Esmirna, mártir y Padre Apostólico. Discípulo del apóstol Juan, martirizado a los 86 años. Una de las tres figuras principales de los Padres Apostólicos.</v>
      </c>
      <c r="I243" t="str">
        <f>_xlfn.XLOOKUP(frasest[[#This Row],[author_es]],autorest[author_es],autorest[bio_la])</f>
        <v>Episcopus Smyrnaeus, martyr et Pater Apostolicus. Discipulus apostoli Ioannis, octoginta sex annos natus martyrizatus. Una ex tribus figuris principalibus Patrum Apostolicorum.</v>
      </c>
      <c r="J243" t="str">
        <f>_xlfn.XLOOKUP(frasest[[#This Row],[author_es]],autorest[author_es],autorest[iso3691])</f>
        <v>la</v>
      </c>
      <c r="K243" t="str">
        <f>_xlfn.XLOOKUP(frasest[[#This Row],[author_es]],autorest[author_es],autorest[language_es])</f>
        <v>Latín</v>
      </c>
      <c r="L243" t="str">
        <f>_xlfn.XLOOKUP(frasest[[#This Row],[author_es]],autorest[author_es],autorest[language_la])</f>
        <v>Lingua Latina</v>
      </c>
      <c r="M243" t="str">
        <f>_xlfn.XLOOKUP(frasest[[#This Row],[author_es]],autorest[author_es],autorest[nation_es])</f>
        <v>Roma</v>
      </c>
      <c r="N243" t="str">
        <f>_xlfn.XLOOKUP(frasest[[#This Row],[author_es]],autorest[author_es],autorest[nation_la])</f>
        <v>Roma</v>
      </c>
      <c r="O243" t="str">
        <f>_xlfn.XLOOKUP(frasest[[#This Row],[author_es]],autorest[author_es],autorest[age_es])</f>
        <v>Edad Antigua</v>
      </c>
      <c r="P243" t="str">
        <f>_xlfn.XLOOKUP(frasest[[#This Row],[author_es]],autorest[author_es],autorest[age_la])</f>
        <v>Antiquitas</v>
      </c>
      <c r="Q243" t="str">
        <f>_xlfn.XLOOKUP(frasest[[#This Row],[author_es]],autorest[author_es],autorest[image])</f>
        <v>https://i.ibb.co/GQTLb5X7/policarpo.png</v>
      </c>
      <c r="R243">
        <f>_xlfn.XLOOKUP(frasest[[#This Row],[author_es]],autorest[author_es],autorest[image_atr])</f>
        <v>0</v>
      </c>
    </row>
    <row r="244" spans="1:18">
      <c r="A244">
        <v>243</v>
      </c>
      <c r="B244" t="s">
        <v>897</v>
      </c>
      <c r="C244" t="s">
        <v>898</v>
      </c>
      <c r="D244" t="s">
        <v>898</v>
      </c>
      <c r="E244" t="s">
        <v>880</v>
      </c>
      <c r="F244" t="s">
        <v>899</v>
      </c>
      <c r="G244" t="str">
        <f>_xlfn.XLOOKUP(frasest[[#This Row],[author_es]],autorest[author_es],autorest[author_la])</f>
        <v>Polycarpus Smyrnaeus</v>
      </c>
      <c r="H244" t="str">
        <f>_xlfn.XLOOKUP(frasest[[#This Row],[author_es]],autorest[author_es],autorest[bio_es])</f>
        <v>Obispo de Esmirna, mártir y Padre Apostólico. Discípulo del apóstol Juan, martirizado a los 86 años. Una de las tres figuras principales de los Padres Apostólicos.</v>
      </c>
      <c r="I244" t="str">
        <f>_xlfn.XLOOKUP(frasest[[#This Row],[author_es]],autorest[author_es],autorest[bio_la])</f>
        <v>Episcopus Smyrnaeus, martyr et Pater Apostolicus. Discipulus apostoli Ioannis, octoginta sex annos natus martyrizatus. Una ex tribus figuris principalibus Patrum Apostolicorum.</v>
      </c>
      <c r="J244" t="str">
        <f>_xlfn.XLOOKUP(frasest[[#This Row],[author_es]],autorest[author_es],autorest[iso3691])</f>
        <v>la</v>
      </c>
      <c r="K244" t="str">
        <f>_xlfn.XLOOKUP(frasest[[#This Row],[author_es]],autorest[author_es],autorest[language_es])</f>
        <v>Latín</v>
      </c>
      <c r="L244" t="str">
        <f>_xlfn.XLOOKUP(frasest[[#This Row],[author_es]],autorest[author_es],autorest[language_la])</f>
        <v>Lingua Latina</v>
      </c>
      <c r="M244" t="str">
        <f>_xlfn.XLOOKUP(frasest[[#This Row],[author_es]],autorest[author_es],autorest[nation_es])</f>
        <v>Roma</v>
      </c>
      <c r="N244" t="str">
        <f>_xlfn.XLOOKUP(frasest[[#This Row],[author_es]],autorest[author_es],autorest[nation_la])</f>
        <v>Roma</v>
      </c>
      <c r="O244" t="str">
        <f>_xlfn.XLOOKUP(frasest[[#This Row],[author_es]],autorest[author_es],autorest[age_es])</f>
        <v>Edad Antigua</v>
      </c>
      <c r="P244" t="str">
        <f>_xlfn.XLOOKUP(frasest[[#This Row],[author_es]],autorest[author_es],autorest[age_la])</f>
        <v>Antiquitas</v>
      </c>
      <c r="Q244" t="str">
        <f>_xlfn.XLOOKUP(frasest[[#This Row],[author_es]],autorest[author_es],autorest[image])</f>
        <v>https://i.ibb.co/GQTLb5X7/policarpo.png</v>
      </c>
      <c r="R244">
        <f>_xlfn.XLOOKUP(frasest[[#This Row],[author_es]],autorest[author_es],autorest[image_atr])</f>
        <v>0</v>
      </c>
    </row>
    <row r="245" spans="1:18">
      <c r="A245">
        <v>244</v>
      </c>
      <c r="B245" t="s">
        <v>900</v>
      </c>
      <c r="C245" t="s">
        <v>901</v>
      </c>
      <c r="D245" t="s">
        <v>901</v>
      </c>
      <c r="E245" t="s">
        <v>880</v>
      </c>
      <c r="F245" t="s">
        <v>902</v>
      </c>
      <c r="G245" t="str">
        <f>_xlfn.XLOOKUP(frasest[[#This Row],[author_es]],autorest[author_es],autorest[author_la])</f>
        <v>Polycarpus Smyrnaeus</v>
      </c>
      <c r="H245" t="str">
        <f>_xlfn.XLOOKUP(frasest[[#This Row],[author_es]],autorest[author_es],autorest[bio_es])</f>
        <v>Obispo de Esmirna, mártir y Padre Apostólico. Discípulo del apóstol Juan, martirizado a los 86 años. Una de las tres figuras principales de los Padres Apostólicos.</v>
      </c>
      <c r="I245" t="str">
        <f>_xlfn.XLOOKUP(frasest[[#This Row],[author_es]],autorest[author_es],autorest[bio_la])</f>
        <v>Episcopus Smyrnaeus, martyr et Pater Apostolicus. Discipulus apostoli Ioannis, octoginta sex annos natus martyrizatus. Una ex tribus figuris principalibus Patrum Apostolicorum.</v>
      </c>
      <c r="J245" t="str">
        <f>_xlfn.XLOOKUP(frasest[[#This Row],[author_es]],autorest[author_es],autorest[iso3691])</f>
        <v>la</v>
      </c>
      <c r="K245" t="str">
        <f>_xlfn.XLOOKUP(frasest[[#This Row],[author_es]],autorest[author_es],autorest[language_es])</f>
        <v>Latín</v>
      </c>
      <c r="L245" t="str">
        <f>_xlfn.XLOOKUP(frasest[[#This Row],[author_es]],autorest[author_es],autorest[language_la])</f>
        <v>Lingua Latina</v>
      </c>
      <c r="M245" t="str">
        <f>_xlfn.XLOOKUP(frasest[[#This Row],[author_es]],autorest[author_es],autorest[nation_es])</f>
        <v>Roma</v>
      </c>
      <c r="N245" t="str">
        <f>_xlfn.XLOOKUP(frasest[[#This Row],[author_es]],autorest[author_es],autorest[nation_la])</f>
        <v>Roma</v>
      </c>
      <c r="O245" t="str">
        <f>_xlfn.XLOOKUP(frasest[[#This Row],[author_es]],autorest[author_es],autorest[age_es])</f>
        <v>Edad Antigua</v>
      </c>
      <c r="P245" t="str">
        <f>_xlfn.XLOOKUP(frasest[[#This Row],[author_es]],autorest[author_es],autorest[age_la])</f>
        <v>Antiquitas</v>
      </c>
      <c r="Q245" t="str">
        <f>_xlfn.XLOOKUP(frasest[[#This Row],[author_es]],autorest[author_es],autorest[image])</f>
        <v>https://i.ibb.co/GQTLb5X7/policarpo.png</v>
      </c>
      <c r="R245">
        <f>_xlfn.XLOOKUP(frasest[[#This Row],[author_es]],autorest[author_es],autorest[image_atr])</f>
        <v>0</v>
      </c>
    </row>
    <row r="246" spans="1:18">
      <c r="A246">
        <v>245</v>
      </c>
      <c r="B246" t="s">
        <v>903</v>
      </c>
      <c r="C246" t="s">
        <v>904</v>
      </c>
      <c r="D246" t="s">
        <v>904</v>
      </c>
      <c r="E246" t="s">
        <v>880</v>
      </c>
      <c r="F246" t="s">
        <v>905</v>
      </c>
      <c r="G246" t="str">
        <f>_xlfn.XLOOKUP(frasest[[#This Row],[author_es]],autorest[author_es],autorest[author_la])</f>
        <v>Polycarpus Smyrnaeus</v>
      </c>
      <c r="H246" t="str">
        <f>_xlfn.XLOOKUP(frasest[[#This Row],[author_es]],autorest[author_es],autorest[bio_es])</f>
        <v>Obispo de Esmirna, mártir y Padre Apostólico. Discípulo del apóstol Juan, martirizado a los 86 años. Una de las tres figuras principales de los Padres Apostólicos.</v>
      </c>
      <c r="I246" t="str">
        <f>_xlfn.XLOOKUP(frasest[[#This Row],[author_es]],autorest[author_es],autorest[bio_la])</f>
        <v>Episcopus Smyrnaeus, martyr et Pater Apostolicus. Discipulus apostoli Ioannis, octoginta sex annos natus martyrizatus. Una ex tribus figuris principalibus Patrum Apostolicorum.</v>
      </c>
      <c r="J246" t="str">
        <f>_xlfn.XLOOKUP(frasest[[#This Row],[author_es]],autorest[author_es],autorest[iso3691])</f>
        <v>la</v>
      </c>
      <c r="K246" t="str">
        <f>_xlfn.XLOOKUP(frasest[[#This Row],[author_es]],autorest[author_es],autorest[language_es])</f>
        <v>Latín</v>
      </c>
      <c r="L246" t="str">
        <f>_xlfn.XLOOKUP(frasest[[#This Row],[author_es]],autorest[author_es],autorest[language_la])</f>
        <v>Lingua Latina</v>
      </c>
      <c r="M246" t="str">
        <f>_xlfn.XLOOKUP(frasest[[#This Row],[author_es]],autorest[author_es],autorest[nation_es])</f>
        <v>Roma</v>
      </c>
      <c r="N246" t="str">
        <f>_xlfn.XLOOKUP(frasest[[#This Row],[author_es]],autorest[author_es],autorest[nation_la])</f>
        <v>Roma</v>
      </c>
      <c r="O246" t="str">
        <f>_xlfn.XLOOKUP(frasest[[#This Row],[author_es]],autorest[author_es],autorest[age_es])</f>
        <v>Edad Antigua</v>
      </c>
      <c r="P246" t="str">
        <f>_xlfn.XLOOKUP(frasest[[#This Row],[author_es]],autorest[author_es],autorest[age_la])</f>
        <v>Antiquitas</v>
      </c>
      <c r="Q246" t="str">
        <f>_xlfn.XLOOKUP(frasest[[#This Row],[author_es]],autorest[author_es],autorest[image])</f>
        <v>https://i.ibb.co/GQTLb5X7/policarpo.png</v>
      </c>
      <c r="R246">
        <f>_xlfn.XLOOKUP(frasest[[#This Row],[author_es]],autorest[author_es],autorest[image_atr])</f>
        <v>0</v>
      </c>
    </row>
    <row r="247" spans="1:18">
      <c r="A247">
        <v>246</v>
      </c>
      <c r="B247" t="s">
        <v>906</v>
      </c>
      <c r="C247" t="s">
        <v>907</v>
      </c>
      <c r="D247" t="s">
        <v>907</v>
      </c>
      <c r="E247" t="s">
        <v>880</v>
      </c>
      <c r="F247" t="s">
        <v>908</v>
      </c>
      <c r="G247" t="str">
        <f>_xlfn.XLOOKUP(frasest[[#This Row],[author_es]],autorest[author_es],autorest[author_la])</f>
        <v>Polycarpus Smyrnaeus</v>
      </c>
      <c r="H247" t="str">
        <f>_xlfn.XLOOKUP(frasest[[#This Row],[author_es]],autorest[author_es],autorest[bio_es])</f>
        <v>Obispo de Esmirna, mártir y Padre Apostólico. Discípulo del apóstol Juan, martirizado a los 86 años. Una de las tres figuras principales de los Padres Apostólicos.</v>
      </c>
      <c r="I247" t="str">
        <f>_xlfn.XLOOKUP(frasest[[#This Row],[author_es]],autorest[author_es],autorest[bio_la])</f>
        <v>Episcopus Smyrnaeus, martyr et Pater Apostolicus. Discipulus apostoli Ioannis, octoginta sex annos natus martyrizatus. Una ex tribus figuris principalibus Patrum Apostolicorum.</v>
      </c>
      <c r="J247" t="str">
        <f>_xlfn.XLOOKUP(frasest[[#This Row],[author_es]],autorest[author_es],autorest[iso3691])</f>
        <v>la</v>
      </c>
      <c r="K247" t="str">
        <f>_xlfn.XLOOKUP(frasest[[#This Row],[author_es]],autorest[author_es],autorest[language_es])</f>
        <v>Latín</v>
      </c>
      <c r="L247" t="str">
        <f>_xlfn.XLOOKUP(frasest[[#This Row],[author_es]],autorest[author_es],autorest[language_la])</f>
        <v>Lingua Latina</v>
      </c>
      <c r="M247" t="str">
        <f>_xlfn.XLOOKUP(frasest[[#This Row],[author_es]],autorest[author_es],autorest[nation_es])</f>
        <v>Roma</v>
      </c>
      <c r="N247" t="str">
        <f>_xlfn.XLOOKUP(frasest[[#This Row],[author_es]],autorest[author_es],autorest[nation_la])</f>
        <v>Roma</v>
      </c>
      <c r="O247" t="str">
        <f>_xlfn.XLOOKUP(frasest[[#This Row],[author_es]],autorest[author_es],autorest[age_es])</f>
        <v>Edad Antigua</v>
      </c>
      <c r="P247" t="str">
        <f>_xlfn.XLOOKUP(frasest[[#This Row],[author_es]],autorest[author_es],autorest[age_la])</f>
        <v>Antiquitas</v>
      </c>
      <c r="Q247" t="str">
        <f>_xlfn.XLOOKUP(frasest[[#This Row],[author_es]],autorest[author_es],autorest[image])</f>
        <v>https://i.ibb.co/GQTLb5X7/policarpo.png</v>
      </c>
      <c r="R247">
        <f>_xlfn.XLOOKUP(frasest[[#This Row],[author_es]],autorest[author_es],autorest[image_atr])</f>
        <v>0</v>
      </c>
    </row>
    <row r="248" spans="1:18">
      <c r="A248">
        <v>247</v>
      </c>
      <c r="B248" t="s">
        <v>909</v>
      </c>
      <c r="C248" t="s">
        <v>910</v>
      </c>
      <c r="D248" t="s">
        <v>910</v>
      </c>
      <c r="E248" t="s">
        <v>911</v>
      </c>
      <c r="F248" t="s">
        <v>912</v>
      </c>
      <c r="G248" t="str">
        <f>_xlfn.XLOOKUP(frasest[[#This Row],[author_es]],autorest[author_es],autorest[author_la])</f>
        <v>Irenaeus Lugdunensis</v>
      </c>
      <c r="H248" t="str">
        <f>_xlfn.XLOOKUP(frasest[[#This Row],[author_es]],autorest[author_es],autorest[bio_es])</f>
        <v>Obispo de Lyon, Padre de la Iglesia y mártir. Discípulo de San Policarpo, combatió el gnosticismo. Primer teólogo que consideró esenciales los cuatro evangelios canónicos.</v>
      </c>
      <c r="I248" t="str">
        <f>_xlfn.XLOOKUP(frasest[[#This Row],[author_es]],autorest[author_es],autorest[bio_la])</f>
        <v>Episcopus Lugdunensis, Pater Ecclesiae et martyr. Discipulus Sancti Polycarpi, gnosticismum impugnavit. Primus theologus quattuor evangelia canonica essentialia consideravit.</v>
      </c>
      <c r="J248" t="str">
        <f>_xlfn.XLOOKUP(frasest[[#This Row],[author_es]],autorest[author_es],autorest[iso3691])</f>
        <v>la</v>
      </c>
      <c r="K248" t="str">
        <f>_xlfn.XLOOKUP(frasest[[#This Row],[author_es]],autorest[author_es],autorest[language_es])</f>
        <v>Latín</v>
      </c>
      <c r="L248" t="str">
        <f>_xlfn.XLOOKUP(frasest[[#This Row],[author_es]],autorest[author_es],autorest[language_la])</f>
        <v>Lingua Latina</v>
      </c>
      <c r="M248" t="str">
        <f>_xlfn.XLOOKUP(frasest[[#This Row],[author_es]],autorest[author_es],autorest[nation_es])</f>
        <v>Roma</v>
      </c>
      <c r="N248" t="str">
        <f>_xlfn.XLOOKUP(frasest[[#This Row],[author_es]],autorest[author_es],autorest[nation_la])</f>
        <v>Roma</v>
      </c>
      <c r="O248" t="str">
        <f>_xlfn.XLOOKUP(frasest[[#This Row],[author_es]],autorest[author_es],autorest[age_es])</f>
        <v>Edad Antigua</v>
      </c>
      <c r="P248" t="str">
        <f>_xlfn.XLOOKUP(frasest[[#This Row],[author_es]],autorest[author_es],autorest[age_la])</f>
        <v>Antiquitas</v>
      </c>
      <c r="Q248" t="str">
        <f>_xlfn.XLOOKUP(frasest[[#This Row],[author_es]],autorest[author_es],autorest[image])</f>
        <v>https://i.ibb.co/ccNf9TJC/ireneolion.png</v>
      </c>
      <c r="R248">
        <f>_xlfn.XLOOKUP(frasest[[#This Row],[author_es]],autorest[author_es],autorest[image_atr])</f>
        <v>0</v>
      </c>
    </row>
    <row r="249" spans="1:18">
      <c r="A249">
        <v>248</v>
      </c>
      <c r="B249" t="s">
        <v>913</v>
      </c>
      <c r="C249" t="s">
        <v>914</v>
      </c>
      <c r="D249" t="s">
        <v>914</v>
      </c>
      <c r="E249" t="s">
        <v>911</v>
      </c>
      <c r="F249" t="s">
        <v>912</v>
      </c>
      <c r="G249" t="str">
        <f>_xlfn.XLOOKUP(frasest[[#This Row],[author_es]],autorest[author_es],autorest[author_la])</f>
        <v>Irenaeus Lugdunensis</v>
      </c>
      <c r="H249" t="str">
        <f>_xlfn.XLOOKUP(frasest[[#This Row],[author_es]],autorest[author_es],autorest[bio_es])</f>
        <v>Obispo de Lyon, Padre de la Iglesia y mártir. Discípulo de San Policarpo, combatió el gnosticismo. Primer teólogo que consideró esenciales los cuatro evangelios canónicos.</v>
      </c>
      <c r="I249" t="str">
        <f>_xlfn.XLOOKUP(frasest[[#This Row],[author_es]],autorest[author_es],autorest[bio_la])</f>
        <v>Episcopus Lugdunensis, Pater Ecclesiae et martyr. Discipulus Sancti Polycarpi, gnosticismum impugnavit. Primus theologus quattuor evangelia canonica essentialia consideravit.</v>
      </c>
      <c r="J249" t="str">
        <f>_xlfn.XLOOKUP(frasest[[#This Row],[author_es]],autorest[author_es],autorest[iso3691])</f>
        <v>la</v>
      </c>
      <c r="K249" t="str">
        <f>_xlfn.XLOOKUP(frasest[[#This Row],[author_es]],autorest[author_es],autorest[language_es])</f>
        <v>Latín</v>
      </c>
      <c r="L249" t="str">
        <f>_xlfn.XLOOKUP(frasest[[#This Row],[author_es]],autorest[author_es],autorest[language_la])</f>
        <v>Lingua Latina</v>
      </c>
      <c r="M249" t="str">
        <f>_xlfn.XLOOKUP(frasest[[#This Row],[author_es]],autorest[author_es],autorest[nation_es])</f>
        <v>Roma</v>
      </c>
      <c r="N249" t="str">
        <f>_xlfn.XLOOKUP(frasest[[#This Row],[author_es]],autorest[author_es],autorest[nation_la])</f>
        <v>Roma</v>
      </c>
      <c r="O249" t="str">
        <f>_xlfn.XLOOKUP(frasest[[#This Row],[author_es]],autorest[author_es],autorest[age_es])</f>
        <v>Edad Antigua</v>
      </c>
      <c r="P249" t="str">
        <f>_xlfn.XLOOKUP(frasest[[#This Row],[author_es]],autorest[author_es],autorest[age_la])</f>
        <v>Antiquitas</v>
      </c>
      <c r="Q249" t="str">
        <f>_xlfn.XLOOKUP(frasest[[#This Row],[author_es]],autorest[author_es],autorest[image])</f>
        <v>https://i.ibb.co/ccNf9TJC/ireneolion.png</v>
      </c>
      <c r="R249">
        <f>_xlfn.XLOOKUP(frasest[[#This Row],[author_es]],autorest[author_es],autorest[image_atr])</f>
        <v>0</v>
      </c>
    </row>
    <row r="250" spans="1:18">
      <c r="A250">
        <v>249</v>
      </c>
      <c r="B250" t="s">
        <v>915</v>
      </c>
      <c r="C250" t="s">
        <v>916</v>
      </c>
      <c r="D250" t="s">
        <v>916</v>
      </c>
      <c r="E250" t="s">
        <v>911</v>
      </c>
      <c r="F250" t="s">
        <v>917</v>
      </c>
      <c r="G250" t="str">
        <f>_xlfn.XLOOKUP(frasest[[#This Row],[author_es]],autorest[author_es],autorest[author_la])</f>
        <v>Irenaeus Lugdunensis</v>
      </c>
      <c r="H250" t="str">
        <f>_xlfn.XLOOKUP(frasest[[#This Row],[author_es]],autorest[author_es],autorest[bio_es])</f>
        <v>Obispo de Lyon, Padre de la Iglesia y mártir. Discípulo de San Policarpo, combatió el gnosticismo. Primer teólogo que consideró esenciales los cuatro evangelios canónicos.</v>
      </c>
      <c r="I250" t="str">
        <f>_xlfn.XLOOKUP(frasest[[#This Row],[author_es]],autorest[author_es],autorest[bio_la])</f>
        <v>Episcopus Lugdunensis, Pater Ecclesiae et martyr. Discipulus Sancti Polycarpi, gnosticismum impugnavit. Primus theologus quattuor evangelia canonica essentialia consideravit.</v>
      </c>
      <c r="J250" t="str">
        <f>_xlfn.XLOOKUP(frasest[[#This Row],[author_es]],autorest[author_es],autorest[iso3691])</f>
        <v>la</v>
      </c>
      <c r="K250" t="str">
        <f>_xlfn.XLOOKUP(frasest[[#This Row],[author_es]],autorest[author_es],autorest[language_es])</f>
        <v>Latín</v>
      </c>
      <c r="L250" t="str">
        <f>_xlfn.XLOOKUP(frasest[[#This Row],[author_es]],autorest[author_es],autorest[language_la])</f>
        <v>Lingua Latina</v>
      </c>
      <c r="M250" t="str">
        <f>_xlfn.XLOOKUP(frasest[[#This Row],[author_es]],autorest[author_es],autorest[nation_es])</f>
        <v>Roma</v>
      </c>
      <c r="N250" t="str">
        <f>_xlfn.XLOOKUP(frasest[[#This Row],[author_es]],autorest[author_es],autorest[nation_la])</f>
        <v>Roma</v>
      </c>
      <c r="O250" t="str">
        <f>_xlfn.XLOOKUP(frasest[[#This Row],[author_es]],autorest[author_es],autorest[age_es])</f>
        <v>Edad Antigua</v>
      </c>
      <c r="P250" t="str">
        <f>_xlfn.XLOOKUP(frasest[[#This Row],[author_es]],autorest[author_es],autorest[age_la])</f>
        <v>Antiquitas</v>
      </c>
      <c r="Q250" t="str">
        <f>_xlfn.XLOOKUP(frasest[[#This Row],[author_es]],autorest[author_es],autorest[image])</f>
        <v>https://i.ibb.co/ccNf9TJC/ireneolion.png</v>
      </c>
      <c r="R250">
        <f>_xlfn.XLOOKUP(frasest[[#This Row],[author_es]],autorest[author_es],autorest[image_atr])</f>
        <v>0</v>
      </c>
    </row>
    <row r="251" spans="1:18">
      <c r="A251">
        <v>250</v>
      </c>
      <c r="B251" t="s">
        <v>918</v>
      </c>
      <c r="C251" t="s">
        <v>919</v>
      </c>
      <c r="D251" t="s">
        <v>919</v>
      </c>
      <c r="E251" t="s">
        <v>911</v>
      </c>
      <c r="F251" t="s">
        <v>920</v>
      </c>
      <c r="G251" t="str">
        <f>_xlfn.XLOOKUP(frasest[[#This Row],[author_es]],autorest[author_es],autorest[author_la])</f>
        <v>Irenaeus Lugdunensis</v>
      </c>
      <c r="H251" t="str">
        <f>_xlfn.XLOOKUP(frasest[[#This Row],[author_es]],autorest[author_es],autorest[bio_es])</f>
        <v>Obispo de Lyon, Padre de la Iglesia y mártir. Discípulo de San Policarpo, combatió el gnosticismo. Primer teólogo que consideró esenciales los cuatro evangelios canónicos.</v>
      </c>
      <c r="I251" t="str">
        <f>_xlfn.XLOOKUP(frasest[[#This Row],[author_es]],autorest[author_es],autorest[bio_la])</f>
        <v>Episcopus Lugdunensis, Pater Ecclesiae et martyr. Discipulus Sancti Polycarpi, gnosticismum impugnavit. Primus theologus quattuor evangelia canonica essentialia consideravit.</v>
      </c>
      <c r="J251" t="str">
        <f>_xlfn.XLOOKUP(frasest[[#This Row],[author_es]],autorest[author_es],autorest[iso3691])</f>
        <v>la</v>
      </c>
      <c r="K251" t="str">
        <f>_xlfn.XLOOKUP(frasest[[#This Row],[author_es]],autorest[author_es],autorest[language_es])</f>
        <v>Latín</v>
      </c>
      <c r="L251" t="str">
        <f>_xlfn.XLOOKUP(frasest[[#This Row],[author_es]],autorest[author_es],autorest[language_la])</f>
        <v>Lingua Latina</v>
      </c>
      <c r="M251" t="str">
        <f>_xlfn.XLOOKUP(frasest[[#This Row],[author_es]],autorest[author_es],autorest[nation_es])</f>
        <v>Roma</v>
      </c>
      <c r="N251" t="str">
        <f>_xlfn.XLOOKUP(frasest[[#This Row],[author_es]],autorest[author_es],autorest[nation_la])</f>
        <v>Roma</v>
      </c>
      <c r="O251" t="str">
        <f>_xlfn.XLOOKUP(frasest[[#This Row],[author_es]],autorest[author_es],autorest[age_es])</f>
        <v>Edad Antigua</v>
      </c>
      <c r="P251" t="str">
        <f>_xlfn.XLOOKUP(frasest[[#This Row],[author_es]],autorest[author_es],autorest[age_la])</f>
        <v>Antiquitas</v>
      </c>
      <c r="Q251" t="str">
        <f>_xlfn.XLOOKUP(frasest[[#This Row],[author_es]],autorest[author_es],autorest[image])</f>
        <v>https://i.ibb.co/ccNf9TJC/ireneolion.png</v>
      </c>
      <c r="R251">
        <f>_xlfn.XLOOKUP(frasest[[#This Row],[author_es]],autorest[author_es],autorest[image_atr])</f>
        <v>0</v>
      </c>
    </row>
    <row r="252" spans="1:18">
      <c r="A252">
        <v>251</v>
      </c>
      <c r="B252" t="s">
        <v>921</v>
      </c>
      <c r="C252" t="s">
        <v>922</v>
      </c>
      <c r="D252" t="s">
        <v>922</v>
      </c>
      <c r="E252" t="s">
        <v>911</v>
      </c>
      <c r="F252" t="s">
        <v>923</v>
      </c>
      <c r="G252" t="str">
        <f>_xlfn.XLOOKUP(frasest[[#This Row],[author_es]],autorest[author_es],autorest[author_la])</f>
        <v>Irenaeus Lugdunensis</v>
      </c>
      <c r="H252" t="str">
        <f>_xlfn.XLOOKUP(frasest[[#This Row],[author_es]],autorest[author_es],autorest[bio_es])</f>
        <v>Obispo de Lyon, Padre de la Iglesia y mártir. Discípulo de San Policarpo, combatió el gnosticismo. Primer teólogo que consideró esenciales los cuatro evangelios canónicos.</v>
      </c>
      <c r="I252" t="str">
        <f>_xlfn.XLOOKUP(frasest[[#This Row],[author_es]],autorest[author_es],autorest[bio_la])</f>
        <v>Episcopus Lugdunensis, Pater Ecclesiae et martyr. Discipulus Sancti Polycarpi, gnosticismum impugnavit. Primus theologus quattuor evangelia canonica essentialia consideravit.</v>
      </c>
      <c r="J252" t="str">
        <f>_xlfn.XLOOKUP(frasest[[#This Row],[author_es]],autorest[author_es],autorest[iso3691])</f>
        <v>la</v>
      </c>
      <c r="K252" t="str">
        <f>_xlfn.XLOOKUP(frasest[[#This Row],[author_es]],autorest[author_es],autorest[language_es])</f>
        <v>Latín</v>
      </c>
      <c r="L252" t="str">
        <f>_xlfn.XLOOKUP(frasest[[#This Row],[author_es]],autorest[author_es],autorest[language_la])</f>
        <v>Lingua Latina</v>
      </c>
      <c r="M252" t="str">
        <f>_xlfn.XLOOKUP(frasest[[#This Row],[author_es]],autorest[author_es],autorest[nation_es])</f>
        <v>Roma</v>
      </c>
      <c r="N252" t="str">
        <f>_xlfn.XLOOKUP(frasest[[#This Row],[author_es]],autorest[author_es],autorest[nation_la])</f>
        <v>Roma</v>
      </c>
      <c r="O252" t="str">
        <f>_xlfn.XLOOKUP(frasest[[#This Row],[author_es]],autorest[author_es],autorest[age_es])</f>
        <v>Edad Antigua</v>
      </c>
      <c r="P252" t="str">
        <f>_xlfn.XLOOKUP(frasest[[#This Row],[author_es]],autorest[author_es],autorest[age_la])</f>
        <v>Antiquitas</v>
      </c>
      <c r="Q252" t="str">
        <f>_xlfn.XLOOKUP(frasest[[#This Row],[author_es]],autorest[author_es],autorest[image])</f>
        <v>https://i.ibb.co/ccNf9TJC/ireneolion.png</v>
      </c>
      <c r="R252">
        <f>_xlfn.XLOOKUP(frasest[[#This Row],[author_es]],autorest[author_es],autorest[image_atr])</f>
        <v>0</v>
      </c>
    </row>
    <row r="253" spans="1:18">
      <c r="A253">
        <v>252</v>
      </c>
      <c r="B253" t="s">
        <v>924</v>
      </c>
      <c r="C253" t="s">
        <v>925</v>
      </c>
      <c r="D253" t="s">
        <v>925</v>
      </c>
      <c r="E253" t="s">
        <v>911</v>
      </c>
      <c r="F253" t="s">
        <v>926</v>
      </c>
      <c r="G253" t="str">
        <f>_xlfn.XLOOKUP(frasest[[#This Row],[author_es]],autorest[author_es],autorest[author_la])</f>
        <v>Irenaeus Lugdunensis</v>
      </c>
      <c r="H253" t="str">
        <f>_xlfn.XLOOKUP(frasest[[#This Row],[author_es]],autorest[author_es],autorest[bio_es])</f>
        <v>Obispo de Lyon, Padre de la Iglesia y mártir. Discípulo de San Policarpo, combatió el gnosticismo. Primer teólogo que consideró esenciales los cuatro evangelios canónicos.</v>
      </c>
      <c r="I253" t="str">
        <f>_xlfn.XLOOKUP(frasest[[#This Row],[author_es]],autorest[author_es],autorest[bio_la])</f>
        <v>Episcopus Lugdunensis, Pater Ecclesiae et martyr. Discipulus Sancti Polycarpi, gnosticismum impugnavit. Primus theologus quattuor evangelia canonica essentialia consideravit.</v>
      </c>
      <c r="J253" t="str">
        <f>_xlfn.XLOOKUP(frasest[[#This Row],[author_es]],autorest[author_es],autorest[iso3691])</f>
        <v>la</v>
      </c>
      <c r="K253" t="str">
        <f>_xlfn.XLOOKUP(frasest[[#This Row],[author_es]],autorest[author_es],autorest[language_es])</f>
        <v>Latín</v>
      </c>
      <c r="L253" t="str">
        <f>_xlfn.XLOOKUP(frasest[[#This Row],[author_es]],autorest[author_es],autorest[language_la])</f>
        <v>Lingua Latina</v>
      </c>
      <c r="M253" t="str">
        <f>_xlfn.XLOOKUP(frasest[[#This Row],[author_es]],autorest[author_es],autorest[nation_es])</f>
        <v>Roma</v>
      </c>
      <c r="N253" t="str">
        <f>_xlfn.XLOOKUP(frasest[[#This Row],[author_es]],autorest[author_es],autorest[nation_la])</f>
        <v>Roma</v>
      </c>
      <c r="O253" t="str">
        <f>_xlfn.XLOOKUP(frasest[[#This Row],[author_es]],autorest[author_es],autorest[age_es])</f>
        <v>Edad Antigua</v>
      </c>
      <c r="P253" t="str">
        <f>_xlfn.XLOOKUP(frasest[[#This Row],[author_es]],autorest[author_es],autorest[age_la])</f>
        <v>Antiquitas</v>
      </c>
      <c r="Q253" t="str">
        <f>_xlfn.XLOOKUP(frasest[[#This Row],[author_es]],autorest[author_es],autorest[image])</f>
        <v>https://i.ibb.co/ccNf9TJC/ireneolion.png</v>
      </c>
      <c r="R253">
        <f>_xlfn.XLOOKUP(frasest[[#This Row],[author_es]],autorest[author_es],autorest[image_atr])</f>
        <v>0</v>
      </c>
    </row>
    <row r="254" spans="1:18">
      <c r="A254">
        <v>253</v>
      </c>
      <c r="B254" t="s">
        <v>927</v>
      </c>
      <c r="C254" t="s">
        <v>928</v>
      </c>
      <c r="D254" t="s">
        <v>928</v>
      </c>
      <c r="E254" t="s">
        <v>911</v>
      </c>
      <c r="F254" t="s">
        <v>917</v>
      </c>
      <c r="G254" t="str">
        <f>_xlfn.XLOOKUP(frasest[[#This Row],[author_es]],autorest[author_es],autorest[author_la])</f>
        <v>Irenaeus Lugdunensis</v>
      </c>
      <c r="H254" t="str">
        <f>_xlfn.XLOOKUP(frasest[[#This Row],[author_es]],autorest[author_es],autorest[bio_es])</f>
        <v>Obispo de Lyon, Padre de la Iglesia y mártir. Discípulo de San Policarpo, combatió el gnosticismo. Primer teólogo que consideró esenciales los cuatro evangelios canónicos.</v>
      </c>
      <c r="I254" t="str">
        <f>_xlfn.XLOOKUP(frasest[[#This Row],[author_es]],autorest[author_es],autorest[bio_la])</f>
        <v>Episcopus Lugdunensis, Pater Ecclesiae et martyr. Discipulus Sancti Polycarpi, gnosticismum impugnavit. Primus theologus quattuor evangelia canonica essentialia consideravit.</v>
      </c>
      <c r="J254" t="str">
        <f>_xlfn.XLOOKUP(frasest[[#This Row],[author_es]],autorest[author_es],autorest[iso3691])</f>
        <v>la</v>
      </c>
      <c r="K254" t="str">
        <f>_xlfn.XLOOKUP(frasest[[#This Row],[author_es]],autorest[author_es],autorest[language_es])</f>
        <v>Latín</v>
      </c>
      <c r="L254" t="str">
        <f>_xlfn.XLOOKUP(frasest[[#This Row],[author_es]],autorest[author_es],autorest[language_la])</f>
        <v>Lingua Latina</v>
      </c>
      <c r="M254" t="str">
        <f>_xlfn.XLOOKUP(frasest[[#This Row],[author_es]],autorest[author_es],autorest[nation_es])</f>
        <v>Roma</v>
      </c>
      <c r="N254" t="str">
        <f>_xlfn.XLOOKUP(frasest[[#This Row],[author_es]],autorest[author_es],autorest[nation_la])</f>
        <v>Roma</v>
      </c>
      <c r="O254" t="str">
        <f>_xlfn.XLOOKUP(frasest[[#This Row],[author_es]],autorest[author_es],autorest[age_es])</f>
        <v>Edad Antigua</v>
      </c>
      <c r="P254" t="str">
        <f>_xlfn.XLOOKUP(frasest[[#This Row],[author_es]],autorest[author_es],autorest[age_la])</f>
        <v>Antiquitas</v>
      </c>
      <c r="Q254" t="str">
        <f>_xlfn.XLOOKUP(frasest[[#This Row],[author_es]],autorest[author_es],autorest[image])</f>
        <v>https://i.ibb.co/ccNf9TJC/ireneolion.png</v>
      </c>
      <c r="R254">
        <f>_xlfn.XLOOKUP(frasest[[#This Row],[author_es]],autorest[author_es],autorest[image_atr])</f>
        <v>0</v>
      </c>
    </row>
    <row r="255" spans="1:18">
      <c r="A255">
        <v>254</v>
      </c>
      <c r="B255" t="s">
        <v>929</v>
      </c>
      <c r="C255" t="s">
        <v>930</v>
      </c>
      <c r="D255" t="s">
        <v>930</v>
      </c>
      <c r="E255" t="s">
        <v>911</v>
      </c>
      <c r="F255" t="s">
        <v>931</v>
      </c>
      <c r="G255" t="str">
        <f>_xlfn.XLOOKUP(frasest[[#This Row],[author_es]],autorest[author_es],autorest[author_la])</f>
        <v>Irenaeus Lugdunensis</v>
      </c>
      <c r="H255" t="str">
        <f>_xlfn.XLOOKUP(frasest[[#This Row],[author_es]],autorest[author_es],autorest[bio_es])</f>
        <v>Obispo de Lyon, Padre de la Iglesia y mártir. Discípulo de San Policarpo, combatió el gnosticismo. Primer teólogo que consideró esenciales los cuatro evangelios canónicos.</v>
      </c>
      <c r="I255" t="str">
        <f>_xlfn.XLOOKUP(frasest[[#This Row],[author_es]],autorest[author_es],autorest[bio_la])</f>
        <v>Episcopus Lugdunensis, Pater Ecclesiae et martyr. Discipulus Sancti Polycarpi, gnosticismum impugnavit. Primus theologus quattuor evangelia canonica essentialia consideravit.</v>
      </c>
      <c r="J255" t="str">
        <f>_xlfn.XLOOKUP(frasest[[#This Row],[author_es]],autorest[author_es],autorest[iso3691])</f>
        <v>la</v>
      </c>
      <c r="K255" t="str">
        <f>_xlfn.XLOOKUP(frasest[[#This Row],[author_es]],autorest[author_es],autorest[language_es])</f>
        <v>Latín</v>
      </c>
      <c r="L255" t="str">
        <f>_xlfn.XLOOKUP(frasest[[#This Row],[author_es]],autorest[author_es],autorest[language_la])</f>
        <v>Lingua Latina</v>
      </c>
      <c r="M255" t="str">
        <f>_xlfn.XLOOKUP(frasest[[#This Row],[author_es]],autorest[author_es],autorest[nation_es])</f>
        <v>Roma</v>
      </c>
      <c r="N255" t="str">
        <f>_xlfn.XLOOKUP(frasest[[#This Row],[author_es]],autorest[author_es],autorest[nation_la])</f>
        <v>Roma</v>
      </c>
      <c r="O255" t="str">
        <f>_xlfn.XLOOKUP(frasest[[#This Row],[author_es]],autorest[author_es],autorest[age_es])</f>
        <v>Edad Antigua</v>
      </c>
      <c r="P255" t="str">
        <f>_xlfn.XLOOKUP(frasest[[#This Row],[author_es]],autorest[author_es],autorest[age_la])</f>
        <v>Antiquitas</v>
      </c>
      <c r="Q255" t="str">
        <f>_xlfn.XLOOKUP(frasest[[#This Row],[author_es]],autorest[author_es],autorest[image])</f>
        <v>https://i.ibb.co/ccNf9TJC/ireneolion.png</v>
      </c>
      <c r="R255">
        <f>_xlfn.XLOOKUP(frasest[[#This Row],[author_es]],autorest[author_es],autorest[image_atr])</f>
        <v>0</v>
      </c>
    </row>
    <row r="256" spans="1:18">
      <c r="A256">
        <v>255</v>
      </c>
      <c r="B256" t="s">
        <v>932</v>
      </c>
      <c r="C256" t="s">
        <v>933</v>
      </c>
      <c r="D256" t="s">
        <v>933</v>
      </c>
      <c r="E256" t="s">
        <v>911</v>
      </c>
      <c r="F256" t="s">
        <v>934</v>
      </c>
      <c r="G256" t="str">
        <f>_xlfn.XLOOKUP(frasest[[#This Row],[author_es]],autorest[author_es],autorest[author_la])</f>
        <v>Irenaeus Lugdunensis</v>
      </c>
      <c r="H256" t="str">
        <f>_xlfn.XLOOKUP(frasest[[#This Row],[author_es]],autorest[author_es],autorest[bio_es])</f>
        <v>Obispo de Lyon, Padre de la Iglesia y mártir. Discípulo de San Policarpo, combatió el gnosticismo. Primer teólogo que consideró esenciales los cuatro evangelios canónicos.</v>
      </c>
      <c r="I256" t="str">
        <f>_xlfn.XLOOKUP(frasest[[#This Row],[author_es]],autorest[author_es],autorest[bio_la])</f>
        <v>Episcopus Lugdunensis, Pater Ecclesiae et martyr. Discipulus Sancti Polycarpi, gnosticismum impugnavit. Primus theologus quattuor evangelia canonica essentialia consideravit.</v>
      </c>
      <c r="J256" t="str">
        <f>_xlfn.XLOOKUP(frasest[[#This Row],[author_es]],autorest[author_es],autorest[iso3691])</f>
        <v>la</v>
      </c>
      <c r="K256" t="str">
        <f>_xlfn.XLOOKUP(frasest[[#This Row],[author_es]],autorest[author_es],autorest[language_es])</f>
        <v>Latín</v>
      </c>
      <c r="L256" t="str">
        <f>_xlfn.XLOOKUP(frasest[[#This Row],[author_es]],autorest[author_es],autorest[language_la])</f>
        <v>Lingua Latina</v>
      </c>
      <c r="M256" t="str">
        <f>_xlfn.XLOOKUP(frasest[[#This Row],[author_es]],autorest[author_es],autorest[nation_es])</f>
        <v>Roma</v>
      </c>
      <c r="N256" t="str">
        <f>_xlfn.XLOOKUP(frasest[[#This Row],[author_es]],autorest[author_es],autorest[nation_la])</f>
        <v>Roma</v>
      </c>
      <c r="O256" t="str">
        <f>_xlfn.XLOOKUP(frasest[[#This Row],[author_es]],autorest[author_es],autorest[age_es])</f>
        <v>Edad Antigua</v>
      </c>
      <c r="P256" t="str">
        <f>_xlfn.XLOOKUP(frasest[[#This Row],[author_es]],autorest[author_es],autorest[age_la])</f>
        <v>Antiquitas</v>
      </c>
      <c r="Q256" t="str">
        <f>_xlfn.XLOOKUP(frasest[[#This Row],[author_es]],autorest[author_es],autorest[image])</f>
        <v>https://i.ibb.co/ccNf9TJC/ireneolion.png</v>
      </c>
      <c r="R256">
        <f>_xlfn.XLOOKUP(frasest[[#This Row],[author_es]],autorest[author_es],autorest[image_atr])</f>
        <v>0</v>
      </c>
    </row>
    <row r="257" spans="1:18">
      <c r="A257">
        <v>256</v>
      </c>
      <c r="B257" t="s">
        <v>935</v>
      </c>
      <c r="C257" t="s">
        <v>936</v>
      </c>
      <c r="D257" t="s">
        <v>936</v>
      </c>
      <c r="E257" t="s">
        <v>911</v>
      </c>
      <c r="F257" t="s">
        <v>937</v>
      </c>
      <c r="G257" t="str">
        <f>_xlfn.XLOOKUP(frasest[[#This Row],[author_es]],autorest[author_es],autorest[author_la])</f>
        <v>Irenaeus Lugdunensis</v>
      </c>
      <c r="H257" t="str">
        <f>_xlfn.XLOOKUP(frasest[[#This Row],[author_es]],autorest[author_es],autorest[bio_es])</f>
        <v>Obispo de Lyon, Padre de la Iglesia y mártir. Discípulo de San Policarpo, combatió el gnosticismo. Primer teólogo que consideró esenciales los cuatro evangelios canónicos.</v>
      </c>
      <c r="I257" t="str">
        <f>_xlfn.XLOOKUP(frasest[[#This Row],[author_es]],autorest[author_es],autorest[bio_la])</f>
        <v>Episcopus Lugdunensis, Pater Ecclesiae et martyr. Discipulus Sancti Polycarpi, gnosticismum impugnavit. Primus theologus quattuor evangelia canonica essentialia consideravit.</v>
      </c>
      <c r="J257" t="str">
        <f>_xlfn.XLOOKUP(frasest[[#This Row],[author_es]],autorest[author_es],autorest[iso3691])</f>
        <v>la</v>
      </c>
      <c r="K257" t="str">
        <f>_xlfn.XLOOKUP(frasest[[#This Row],[author_es]],autorest[author_es],autorest[language_es])</f>
        <v>Latín</v>
      </c>
      <c r="L257" t="str">
        <f>_xlfn.XLOOKUP(frasest[[#This Row],[author_es]],autorest[author_es],autorest[language_la])</f>
        <v>Lingua Latina</v>
      </c>
      <c r="M257" t="str">
        <f>_xlfn.XLOOKUP(frasest[[#This Row],[author_es]],autorest[author_es],autorest[nation_es])</f>
        <v>Roma</v>
      </c>
      <c r="N257" t="str">
        <f>_xlfn.XLOOKUP(frasest[[#This Row],[author_es]],autorest[author_es],autorest[nation_la])</f>
        <v>Roma</v>
      </c>
      <c r="O257" t="str">
        <f>_xlfn.XLOOKUP(frasest[[#This Row],[author_es]],autorest[author_es],autorest[age_es])</f>
        <v>Edad Antigua</v>
      </c>
      <c r="P257" t="str">
        <f>_xlfn.XLOOKUP(frasest[[#This Row],[author_es]],autorest[author_es],autorest[age_la])</f>
        <v>Antiquitas</v>
      </c>
      <c r="Q257" t="str">
        <f>_xlfn.XLOOKUP(frasest[[#This Row],[author_es]],autorest[author_es],autorest[image])</f>
        <v>https://i.ibb.co/ccNf9TJC/ireneolion.png</v>
      </c>
      <c r="R257">
        <f>_xlfn.XLOOKUP(frasest[[#This Row],[author_es]],autorest[author_es],autorest[image_atr])</f>
        <v>0</v>
      </c>
    </row>
    <row r="258" spans="1:18">
      <c r="A258">
        <v>257</v>
      </c>
      <c r="B258" t="s">
        <v>938</v>
      </c>
      <c r="C258" t="s">
        <v>939</v>
      </c>
      <c r="D258" t="s">
        <v>939</v>
      </c>
      <c r="E258" t="s">
        <v>940</v>
      </c>
      <c r="F258" t="s">
        <v>941</v>
      </c>
      <c r="G258" t="str">
        <f>_xlfn.XLOOKUP(frasest[[#This Row],[author_es]],autorest[author_es],autorest[author_la])</f>
        <v>Athanasius Alexandrinus</v>
      </c>
      <c r="H258" t="str">
        <f>_xlfn.XLOOKUP(frasest[[#This Row],[author_es]],autorest[author_es],autorest[bio_es])</f>
        <v>Obispo de Alejandría, Doctor de la Iglesia y defensor de la ortodoxia nicena contra el arrianismo. Autor de la "Vida de San Antonio", influyente en la espiritualidad monástica.</v>
      </c>
      <c r="I258" t="str">
        <f>_xlfn.XLOOKUP(frasest[[#This Row],[author_es]],autorest[author_es],autorest[bio_la])</f>
        <v>Episcopus Alexandrinus, Doctor Ecclesiae et defensor orthodoxiae Nicaenae contra arianismum. Auctor "Vita Sancti Antonii", in spiritualitate monastica influens.</v>
      </c>
      <c r="J258" t="str">
        <f>_xlfn.XLOOKUP(frasest[[#This Row],[author_es]],autorest[author_es],autorest[iso3691])</f>
        <v>la</v>
      </c>
      <c r="K258" t="str">
        <f>_xlfn.XLOOKUP(frasest[[#This Row],[author_es]],autorest[author_es],autorest[language_es])</f>
        <v>Latín</v>
      </c>
      <c r="L258" t="str">
        <f>_xlfn.XLOOKUP(frasest[[#This Row],[author_es]],autorest[author_es],autorest[language_la])</f>
        <v>Lingua Latina</v>
      </c>
      <c r="M258" t="str">
        <f>_xlfn.XLOOKUP(frasest[[#This Row],[author_es]],autorest[author_es],autorest[nation_es])</f>
        <v>Roma</v>
      </c>
      <c r="N258" t="str">
        <f>_xlfn.XLOOKUP(frasest[[#This Row],[author_es]],autorest[author_es],autorest[nation_la])</f>
        <v>Roma</v>
      </c>
      <c r="O258" t="str">
        <f>_xlfn.XLOOKUP(frasest[[#This Row],[author_es]],autorest[author_es],autorest[age_es])</f>
        <v>Edad Antigua</v>
      </c>
      <c r="P258" t="str">
        <f>_xlfn.XLOOKUP(frasest[[#This Row],[author_es]],autorest[author_es],autorest[age_la])</f>
        <v>Antiquitas</v>
      </c>
      <c r="Q258" t="str">
        <f>_xlfn.XLOOKUP(frasest[[#This Row],[author_es]],autorest[author_es],autorest[image])</f>
        <v>https://i.ibb.co/N2qBhZS8/atanasio.png</v>
      </c>
      <c r="R258">
        <f>_xlfn.XLOOKUP(frasest[[#This Row],[author_es]],autorest[author_es],autorest[image_atr])</f>
        <v>0</v>
      </c>
    </row>
    <row r="259" spans="1:18">
      <c r="A259">
        <v>258</v>
      </c>
      <c r="B259" t="s">
        <v>942</v>
      </c>
      <c r="C259" t="s">
        <v>943</v>
      </c>
      <c r="D259" t="s">
        <v>943</v>
      </c>
      <c r="E259" t="s">
        <v>940</v>
      </c>
      <c r="F259" t="s">
        <v>944</v>
      </c>
      <c r="G259" t="str">
        <f>_xlfn.XLOOKUP(frasest[[#This Row],[author_es]],autorest[author_es],autorest[author_la])</f>
        <v>Athanasius Alexandrinus</v>
      </c>
      <c r="H259" t="str">
        <f>_xlfn.XLOOKUP(frasest[[#This Row],[author_es]],autorest[author_es],autorest[bio_es])</f>
        <v>Obispo de Alejandría, Doctor de la Iglesia y defensor de la ortodoxia nicena contra el arrianismo. Autor de la "Vida de San Antonio", influyente en la espiritualidad monástica.</v>
      </c>
      <c r="I259" t="str">
        <f>_xlfn.XLOOKUP(frasest[[#This Row],[author_es]],autorest[author_es],autorest[bio_la])</f>
        <v>Episcopus Alexandrinus, Doctor Ecclesiae et defensor orthodoxiae Nicaenae contra arianismum. Auctor "Vita Sancti Antonii", in spiritualitate monastica influens.</v>
      </c>
      <c r="J259" t="str">
        <f>_xlfn.XLOOKUP(frasest[[#This Row],[author_es]],autorest[author_es],autorest[iso3691])</f>
        <v>la</v>
      </c>
      <c r="K259" t="str">
        <f>_xlfn.XLOOKUP(frasest[[#This Row],[author_es]],autorest[author_es],autorest[language_es])</f>
        <v>Latín</v>
      </c>
      <c r="L259" t="str">
        <f>_xlfn.XLOOKUP(frasest[[#This Row],[author_es]],autorest[author_es],autorest[language_la])</f>
        <v>Lingua Latina</v>
      </c>
      <c r="M259" t="str">
        <f>_xlfn.XLOOKUP(frasest[[#This Row],[author_es]],autorest[author_es],autorest[nation_es])</f>
        <v>Roma</v>
      </c>
      <c r="N259" t="str">
        <f>_xlfn.XLOOKUP(frasest[[#This Row],[author_es]],autorest[author_es],autorest[nation_la])</f>
        <v>Roma</v>
      </c>
      <c r="O259" t="str">
        <f>_xlfn.XLOOKUP(frasest[[#This Row],[author_es]],autorest[author_es],autorest[age_es])</f>
        <v>Edad Antigua</v>
      </c>
      <c r="P259" t="str">
        <f>_xlfn.XLOOKUP(frasest[[#This Row],[author_es]],autorest[author_es],autorest[age_la])</f>
        <v>Antiquitas</v>
      </c>
      <c r="Q259" t="str">
        <f>_xlfn.XLOOKUP(frasest[[#This Row],[author_es]],autorest[author_es],autorest[image])</f>
        <v>https://i.ibb.co/N2qBhZS8/atanasio.png</v>
      </c>
      <c r="R259">
        <f>_xlfn.XLOOKUP(frasest[[#This Row],[author_es]],autorest[author_es],autorest[image_atr])</f>
        <v>0</v>
      </c>
    </row>
    <row r="260" spans="1:18">
      <c r="A260">
        <v>259</v>
      </c>
      <c r="B260" t="s">
        <v>945</v>
      </c>
      <c r="C260" t="s">
        <v>946</v>
      </c>
      <c r="D260" t="s">
        <v>946</v>
      </c>
      <c r="E260" t="s">
        <v>940</v>
      </c>
      <c r="F260" t="s">
        <v>947</v>
      </c>
      <c r="G260" t="str">
        <f>_xlfn.XLOOKUP(frasest[[#This Row],[author_es]],autorest[author_es],autorest[author_la])</f>
        <v>Athanasius Alexandrinus</v>
      </c>
      <c r="H260" t="str">
        <f>_xlfn.XLOOKUP(frasest[[#This Row],[author_es]],autorest[author_es],autorest[bio_es])</f>
        <v>Obispo de Alejandría, Doctor de la Iglesia y defensor de la ortodoxia nicena contra el arrianismo. Autor de la "Vida de San Antonio", influyente en la espiritualidad monástica.</v>
      </c>
      <c r="I260" t="str">
        <f>_xlfn.XLOOKUP(frasest[[#This Row],[author_es]],autorest[author_es],autorest[bio_la])</f>
        <v>Episcopus Alexandrinus, Doctor Ecclesiae et defensor orthodoxiae Nicaenae contra arianismum. Auctor "Vita Sancti Antonii", in spiritualitate monastica influens.</v>
      </c>
      <c r="J260" t="str">
        <f>_xlfn.XLOOKUP(frasest[[#This Row],[author_es]],autorest[author_es],autorest[iso3691])</f>
        <v>la</v>
      </c>
      <c r="K260" t="str">
        <f>_xlfn.XLOOKUP(frasest[[#This Row],[author_es]],autorest[author_es],autorest[language_es])</f>
        <v>Latín</v>
      </c>
      <c r="L260" t="str">
        <f>_xlfn.XLOOKUP(frasest[[#This Row],[author_es]],autorest[author_es],autorest[language_la])</f>
        <v>Lingua Latina</v>
      </c>
      <c r="M260" t="str">
        <f>_xlfn.XLOOKUP(frasest[[#This Row],[author_es]],autorest[author_es],autorest[nation_es])</f>
        <v>Roma</v>
      </c>
      <c r="N260" t="str">
        <f>_xlfn.XLOOKUP(frasest[[#This Row],[author_es]],autorest[author_es],autorest[nation_la])</f>
        <v>Roma</v>
      </c>
      <c r="O260" t="str">
        <f>_xlfn.XLOOKUP(frasest[[#This Row],[author_es]],autorest[author_es],autorest[age_es])</f>
        <v>Edad Antigua</v>
      </c>
      <c r="P260" t="str">
        <f>_xlfn.XLOOKUP(frasest[[#This Row],[author_es]],autorest[author_es],autorest[age_la])</f>
        <v>Antiquitas</v>
      </c>
      <c r="Q260" t="str">
        <f>_xlfn.XLOOKUP(frasest[[#This Row],[author_es]],autorest[author_es],autorest[image])</f>
        <v>https://i.ibb.co/N2qBhZS8/atanasio.png</v>
      </c>
      <c r="R260">
        <f>_xlfn.XLOOKUP(frasest[[#This Row],[author_es]],autorest[author_es],autorest[image_atr])</f>
        <v>0</v>
      </c>
    </row>
    <row r="261" spans="1:18">
      <c r="A261">
        <v>260</v>
      </c>
      <c r="B261" t="s">
        <v>948</v>
      </c>
      <c r="C261" t="s">
        <v>949</v>
      </c>
      <c r="D261" t="s">
        <v>949</v>
      </c>
      <c r="E261" t="s">
        <v>940</v>
      </c>
      <c r="F261" t="s">
        <v>950</v>
      </c>
      <c r="G261" t="str">
        <f>_xlfn.XLOOKUP(frasest[[#This Row],[author_es]],autorest[author_es],autorest[author_la])</f>
        <v>Athanasius Alexandrinus</v>
      </c>
      <c r="H261" t="str">
        <f>_xlfn.XLOOKUP(frasest[[#This Row],[author_es]],autorest[author_es],autorest[bio_es])</f>
        <v>Obispo de Alejandría, Doctor de la Iglesia y defensor de la ortodoxia nicena contra el arrianismo. Autor de la "Vida de San Antonio", influyente en la espiritualidad monástica.</v>
      </c>
      <c r="I261" t="str">
        <f>_xlfn.XLOOKUP(frasest[[#This Row],[author_es]],autorest[author_es],autorest[bio_la])</f>
        <v>Episcopus Alexandrinus, Doctor Ecclesiae et defensor orthodoxiae Nicaenae contra arianismum. Auctor "Vita Sancti Antonii", in spiritualitate monastica influens.</v>
      </c>
      <c r="J261" t="str">
        <f>_xlfn.XLOOKUP(frasest[[#This Row],[author_es]],autorest[author_es],autorest[iso3691])</f>
        <v>la</v>
      </c>
      <c r="K261" t="str">
        <f>_xlfn.XLOOKUP(frasest[[#This Row],[author_es]],autorest[author_es],autorest[language_es])</f>
        <v>Latín</v>
      </c>
      <c r="L261" t="str">
        <f>_xlfn.XLOOKUP(frasest[[#This Row],[author_es]],autorest[author_es],autorest[language_la])</f>
        <v>Lingua Latina</v>
      </c>
      <c r="M261" t="str">
        <f>_xlfn.XLOOKUP(frasest[[#This Row],[author_es]],autorest[author_es],autorest[nation_es])</f>
        <v>Roma</v>
      </c>
      <c r="N261" t="str">
        <f>_xlfn.XLOOKUP(frasest[[#This Row],[author_es]],autorest[author_es],autorest[nation_la])</f>
        <v>Roma</v>
      </c>
      <c r="O261" t="str">
        <f>_xlfn.XLOOKUP(frasest[[#This Row],[author_es]],autorest[author_es],autorest[age_es])</f>
        <v>Edad Antigua</v>
      </c>
      <c r="P261" t="str">
        <f>_xlfn.XLOOKUP(frasest[[#This Row],[author_es]],autorest[author_es],autorest[age_la])</f>
        <v>Antiquitas</v>
      </c>
      <c r="Q261" t="str">
        <f>_xlfn.XLOOKUP(frasest[[#This Row],[author_es]],autorest[author_es],autorest[image])</f>
        <v>https://i.ibb.co/N2qBhZS8/atanasio.png</v>
      </c>
      <c r="R261">
        <f>_xlfn.XLOOKUP(frasest[[#This Row],[author_es]],autorest[author_es],autorest[image_atr])</f>
        <v>0</v>
      </c>
    </row>
    <row r="262" spans="1:18">
      <c r="A262">
        <v>261</v>
      </c>
      <c r="B262" t="s">
        <v>951</v>
      </c>
      <c r="C262" t="s">
        <v>952</v>
      </c>
      <c r="D262" t="s">
        <v>952</v>
      </c>
      <c r="E262" t="s">
        <v>940</v>
      </c>
      <c r="F262" t="s">
        <v>953</v>
      </c>
      <c r="G262" t="str">
        <f>_xlfn.XLOOKUP(frasest[[#This Row],[author_es]],autorest[author_es],autorest[author_la])</f>
        <v>Athanasius Alexandrinus</v>
      </c>
      <c r="H262" t="str">
        <f>_xlfn.XLOOKUP(frasest[[#This Row],[author_es]],autorest[author_es],autorest[bio_es])</f>
        <v>Obispo de Alejandría, Doctor de la Iglesia y defensor de la ortodoxia nicena contra el arrianismo. Autor de la "Vida de San Antonio", influyente en la espiritualidad monástica.</v>
      </c>
      <c r="I262" t="str">
        <f>_xlfn.XLOOKUP(frasest[[#This Row],[author_es]],autorest[author_es],autorest[bio_la])</f>
        <v>Episcopus Alexandrinus, Doctor Ecclesiae et defensor orthodoxiae Nicaenae contra arianismum. Auctor "Vita Sancti Antonii", in spiritualitate monastica influens.</v>
      </c>
      <c r="J262" t="str">
        <f>_xlfn.XLOOKUP(frasest[[#This Row],[author_es]],autorest[author_es],autorest[iso3691])</f>
        <v>la</v>
      </c>
      <c r="K262" t="str">
        <f>_xlfn.XLOOKUP(frasest[[#This Row],[author_es]],autorest[author_es],autorest[language_es])</f>
        <v>Latín</v>
      </c>
      <c r="L262" t="str">
        <f>_xlfn.XLOOKUP(frasest[[#This Row],[author_es]],autorest[author_es],autorest[language_la])</f>
        <v>Lingua Latina</v>
      </c>
      <c r="M262" t="str">
        <f>_xlfn.XLOOKUP(frasest[[#This Row],[author_es]],autorest[author_es],autorest[nation_es])</f>
        <v>Roma</v>
      </c>
      <c r="N262" t="str">
        <f>_xlfn.XLOOKUP(frasest[[#This Row],[author_es]],autorest[author_es],autorest[nation_la])</f>
        <v>Roma</v>
      </c>
      <c r="O262" t="str">
        <f>_xlfn.XLOOKUP(frasest[[#This Row],[author_es]],autorest[author_es],autorest[age_es])</f>
        <v>Edad Antigua</v>
      </c>
      <c r="P262" t="str">
        <f>_xlfn.XLOOKUP(frasest[[#This Row],[author_es]],autorest[author_es],autorest[age_la])</f>
        <v>Antiquitas</v>
      </c>
      <c r="Q262" t="str">
        <f>_xlfn.XLOOKUP(frasest[[#This Row],[author_es]],autorest[author_es],autorest[image])</f>
        <v>https://i.ibb.co/N2qBhZS8/atanasio.png</v>
      </c>
      <c r="R262">
        <f>_xlfn.XLOOKUP(frasest[[#This Row],[author_es]],autorest[author_es],autorest[image_atr])</f>
        <v>0</v>
      </c>
    </row>
    <row r="263" spans="1:18">
      <c r="A263">
        <v>262</v>
      </c>
      <c r="B263" t="s">
        <v>954</v>
      </c>
      <c r="C263" t="s">
        <v>955</v>
      </c>
      <c r="D263" t="s">
        <v>955</v>
      </c>
      <c r="E263" t="s">
        <v>940</v>
      </c>
      <c r="F263" t="s">
        <v>956</v>
      </c>
      <c r="G263" t="str">
        <f>_xlfn.XLOOKUP(frasest[[#This Row],[author_es]],autorest[author_es],autorest[author_la])</f>
        <v>Athanasius Alexandrinus</v>
      </c>
      <c r="H263" t="str">
        <f>_xlfn.XLOOKUP(frasest[[#This Row],[author_es]],autorest[author_es],autorest[bio_es])</f>
        <v>Obispo de Alejandría, Doctor de la Iglesia y defensor de la ortodoxia nicena contra el arrianismo. Autor de la "Vida de San Antonio", influyente en la espiritualidad monástica.</v>
      </c>
      <c r="I263" t="str">
        <f>_xlfn.XLOOKUP(frasest[[#This Row],[author_es]],autorest[author_es],autorest[bio_la])</f>
        <v>Episcopus Alexandrinus, Doctor Ecclesiae et defensor orthodoxiae Nicaenae contra arianismum. Auctor "Vita Sancti Antonii", in spiritualitate monastica influens.</v>
      </c>
      <c r="J263" t="str">
        <f>_xlfn.XLOOKUP(frasest[[#This Row],[author_es]],autorest[author_es],autorest[iso3691])</f>
        <v>la</v>
      </c>
      <c r="K263" t="str">
        <f>_xlfn.XLOOKUP(frasest[[#This Row],[author_es]],autorest[author_es],autorest[language_es])</f>
        <v>Latín</v>
      </c>
      <c r="L263" t="str">
        <f>_xlfn.XLOOKUP(frasest[[#This Row],[author_es]],autorest[author_es],autorest[language_la])</f>
        <v>Lingua Latina</v>
      </c>
      <c r="M263" t="str">
        <f>_xlfn.XLOOKUP(frasest[[#This Row],[author_es]],autorest[author_es],autorest[nation_es])</f>
        <v>Roma</v>
      </c>
      <c r="N263" t="str">
        <f>_xlfn.XLOOKUP(frasest[[#This Row],[author_es]],autorest[author_es],autorest[nation_la])</f>
        <v>Roma</v>
      </c>
      <c r="O263" t="str">
        <f>_xlfn.XLOOKUP(frasest[[#This Row],[author_es]],autorest[author_es],autorest[age_es])</f>
        <v>Edad Antigua</v>
      </c>
      <c r="P263" t="str">
        <f>_xlfn.XLOOKUP(frasest[[#This Row],[author_es]],autorest[author_es],autorest[age_la])</f>
        <v>Antiquitas</v>
      </c>
      <c r="Q263" t="str">
        <f>_xlfn.XLOOKUP(frasest[[#This Row],[author_es]],autorest[author_es],autorest[image])</f>
        <v>https://i.ibb.co/N2qBhZS8/atanasio.png</v>
      </c>
      <c r="R263">
        <f>_xlfn.XLOOKUP(frasest[[#This Row],[author_es]],autorest[author_es],autorest[image_atr])</f>
        <v>0</v>
      </c>
    </row>
    <row r="264" spans="1:18">
      <c r="A264">
        <v>263</v>
      </c>
      <c r="B264" t="s">
        <v>957</v>
      </c>
      <c r="C264" t="s">
        <v>958</v>
      </c>
      <c r="D264" t="s">
        <v>958</v>
      </c>
      <c r="E264" t="s">
        <v>940</v>
      </c>
      <c r="F264" t="s">
        <v>959</v>
      </c>
      <c r="G264" t="str">
        <f>_xlfn.XLOOKUP(frasest[[#This Row],[author_es]],autorest[author_es],autorest[author_la])</f>
        <v>Athanasius Alexandrinus</v>
      </c>
      <c r="H264" t="str">
        <f>_xlfn.XLOOKUP(frasest[[#This Row],[author_es]],autorest[author_es],autorest[bio_es])</f>
        <v>Obispo de Alejandría, Doctor de la Iglesia y defensor de la ortodoxia nicena contra el arrianismo. Autor de la "Vida de San Antonio", influyente en la espiritualidad monástica.</v>
      </c>
      <c r="I264" t="str">
        <f>_xlfn.XLOOKUP(frasest[[#This Row],[author_es]],autorest[author_es],autorest[bio_la])</f>
        <v>Episcopus Alexandrinus, Doctor Ecclesiae et defensor orthodoxiae Nicaenae contra arianismum. Auctor "Vita Sancti Antonii", in spiritualitate monastica influens.</v>
      </c>
      <c r="J264" t="str">
        <f>_xlfn.XLOOKUP(frasest[[#This Row],[author_es]],autorest[author_es],autorest[iso3691])</f>
        <v>la</v>
      </c>
      <c r="K264" t="str">
        <f>_xlfn.XLOOKUP(frasest[[#This Row],[author_es]],autorest[author_es],autorest[language_es])</f>
        <v>Latín</v>
      </c>
      <c r="L264" t="str">
        <f>_xlfn.XLOOKUP(frasest[[#This Row],[author_es]],autorest[author_es],autorest[language_la])</f>
        <v>Lingua Latina</v>
      </c>
      <c r="M264" t="str">
        <f>_xlfn.XLOOKUP(frasest[[#This Row],[author_es]],autorest[author_es],autorest[nation_es])</f>
        <v>Roma</v>
      </c>
      <c r="N264" t="str">
        <f>_xlfn.XLOOKUP(frasest[[#This Row],[author_es]],autorest[author_es],autorest[nation_la])</f>
        <v>Roma</v>
      </c>
      <c r="O264" t="str">
        <f>_xlfn.XLOOKUP(frasest[[#This Row],[author_es]],autorest[author_es],autorest[age_es])</f>
        <v>Edad Antigua</v>
      </c>
      <c r="P264" t="str">
        <f>_xlfn.XLOOKUP(frasest[[#This Row],[author_es]],autorest[author_es],autorest[age_la])</f>
        <v>Antiquitas</v>
      </c>
      <c r="Q264" t="str">
        <f>_xlfn.XLOOKUP(frasest[[#This Row],[author_es]],autorest[author_es],autorest[image])</f>
        <v>https://i.ibb.co/N2qBhZS8/atanasio.png</v>
      </c>
      <c r="R264">
        <f>_xlfn.XLOOKUP(frasest[[#This Row],[author_es]],autorest[author_es],autorest[image_atr])</f>
        <v>0</v>
      </c>
    </row>
    <row r="265" spans="1:18">
      <c r="A265">
        <v>264</v>
      </c>
      <c r="B265" t="s">
        <v>960</v>
      </c>
      <c r="C265" t="s">
        <v>961</v>
      </c>
      <c r="D265" t="s">
        <v>961</v>
      </c>
      <c r="E265" t="s">
        <v>940</v>
      </c>
      <c r="F265" t="s">
        <v>962</v>
      </c>
      <c r="G265" t="str">
        <f>_xlfn.XLOOKUP(frasest[[#This Row],[author_es]],autorest[author_es],autorest[author_la])</f>
        <v>Athanasius Alexandrinus</v>
      </c>
      <c r="H265" t="str">
        <f>_xlfn.XLOOKUP(frasest[[#This Row],[author_es]],autorest[author_es],autorest[bio_es])</f>
        <v>Obispo de Alejandría, Doctor de la Iglesia y defensor de la ortodoxia nicena contra el arrianismo. Autor de la "Vida de San Antonio", influyente en la espiritualidad monástica.</v>
      </c>
      <c r="I265" t="str">
        <f>_xlfn.XLOOKUP(frasest[[#This Row],[author_es]],autorest[author_es],autorest[bio_la])</f>
        <v>Episcopus Alexandrinus, Doctor Ecclesiae et defensor orthodoxiae Nicaenae contra arianismum. Auctor "Vita Sancti Antonii", in spiritualitate monastica influens.</v>
      </c>
      <c r="J265" t="str">
        <f>_xlfn.XLOOKUP(frasest[[#This Row],[author_es]],autorest[author_es],autorest[iso3691])</f>
        <v>la</v>
      </c>
      <c r="K265" t="str">
        <f>_xlfn.XLOOKUP(frasest[[#This Row],[author_es]],autorest[author_es],autorest[language_es])</f>
        <v>Latín</v>
      </c>
      <c r="L265" t="str">
        <f>_xlfn.XLOOKUP(frasest[[#This Row],[author_es]],autorest[author_es],autorest[language_la])</f>
        <v>Lingua Latina</v>
      </c>
      <c r="M265" t="str">
        <f>_xlfn.XLOOKUP(frasest[[#This Row],[author_es]],autorest[author_es],autorest[nation_es])</f>
        <v>Roma</v>
      </c>
      <c r="N265" t="str">
        <f>_xlfn.XLOOKUP(frasest[[#This Row],[author_es]],autorest[author_es],autorest[nation_la])</f>
        <v>Roma</v>
      </c>
      <c r="O265" t="str">
        <f>_xlfn.XLOOKUP(frasest[[#This Row],[author_es]],autorest[author_es],autorest[age_es])</f>
        <v>Edad Antigua</v>
      </c>
      <c r="P265" t="str">
        <f>_xlfn.XLOOKUP(frasest[[#This Row],[author_es]],autorest[author_es],autorest[age_la])</f>
        <v>Antiquitas</v>
      </c>
      <c r="Q265" t="str">
        <f>_xlfn.XLOOKUP(frasest[[#This Row],[author_es]],autorest[author_es],autorest[image])</f>
        <v>https://i.ibb.co/N2qBhZS8/atanasio.png</v>
      </c>
      <c r="R265">
        <f>_xlfn.XLOOKUP(frasest[[#This Row],[author_es]],autorest[author_es],autorest[image_atr])</f>
        <v>0</v>
      </c>
    </row>
    <row r="266" spans="1:18">
      <c r="A266">
        <v>265</v>
      </c>
      <c r="B266" t="s">
        <v>963</v>
      </c>
      <c r="C266" t="s">
        <v>964</v>
      </c>
      <c r="D266" t="s">
        <v>964</v>
      </c>
      <c r="E266" t="s">
        <v>940</v>
      </c>
      <c r="F266" t="s">
        <v>950</v>
      </c>
      <c r="G266" t="str">
        <f>_xlfn.XLOOKUP(frasest[[#This Row],[author_es]],autorest[author_es],autorest[author_la])</f>
        <v>Athanasius Alexandrinus</v>
      </c>
      <c r="H266" t="str">
        <f>_xlfn.XLOOKUP(frasest[[#This Row],[author_es]],autorest[author_es],autorest[bio_es])</f>
        <v>Obispo de Alejandría, Doctor de la Iglesia y defensor de la ortodoxia nicena contra el arrianismo. Autor de la "Vida de San Antonio", influyente en la espiritualidad monástica.</v>
      </c>
      <c r="I266" t="str">
        <f>_xlfn.XLOOKUP(frasest[[#This Row],[author_es]],autorest[author_es],autorest[bio_la])</f>
        <v>Episcopus Alexandrinus, Doctor Ecclesiae et defensor orthodoxiae Nicaenae contra arianismum. Auctor "Vita Sancti Antonii", in spiritualitate monastica influens.</v>
      </c>
      <c r="J266" t="str">
        <f>_xlfn.XLOOKUP(frasest[[#This Row],[author_es]],autorest[author_es],autorest[iso3691])</f>
        <v>la</v>
      </c>
      <c r="K266" t="str">
        <f>_xlfn.XLOOKUP(frasest[[#This Row],[author_es]],autorest[author_es],autorest[language_es])</f>
        <v>Latín</v>
      </c>
      <c r="L266" t="str">
        <f>_xlfn.XLOOKUP(frasest[[#This Row],[author_es]],autorest[author_es],autorest[language_la])</f>
        <v>Lingua Latina</v>
      </c>
      <c r="M266" t="str">
        <f>_xlfn.XLOOKUP(frasest[[#This Row],[author_es]],autorest[author_es],autorest[nation_es])</f>
        <v>Roma</v>
      </c>
      <c r="N266" t="str">
        <f>_xlfn.XLOOKUP(frasest[[#This Row],[author_es]],autorest[author_es],autorest[nation_la])</f>
        <v>Roma</v>
      </c>
      <c r="O266" t="str">
        <f>_xlfn.XLOOKUP(frasest[[#This Row],[author_es]],autorest[author_es],autorest[age_es])</f>
        <v>Edad Antigua</v>
      </c>
      <c r="P266" t="str">
        <f>_xlfn.XLOOKUP(frasest[[#This Row],[author_es]],autorest[author_es],autorest[age_la])</f>
        <v>Antiquitas</v>
      </c>
      <c r="Q266" t="str">
        <f>_xlfn.XLOOKUP(frasest[[#This Row],[author_es]],autorest[author_es],autorest[image])</f>
        <v>https://i.ibb.co/N2qBhZS8/atanasio.png</v>
      </c>
      <c r="R266">
        <f>_xlfn.XLOOKUP(frasest[[#This Row],[author_es]],autorest[author_es],autorest[image_atr])</f>
        <v>0</v>
      </c>
    </row>
    <row r="267" spans="1:18">
      <c r="A267">
        <v>266</v>
      </c>
      <c r="B267" t="s">
        <v>965</v>
      </c>
      <c r="C267" t="s">
        <v>966</v>
      </c>
      <c r="D267" t="s">
        <v>966</v>
      </c>
      <c r="E267" t="s">
        <v>940</v>
      </c>
      <c r="F267" t="s">
        <v>967</v>
      </c>
      <c r="G267" t="str">
        <f>_xlfn.XLOOKUP(frasest[[#This Row],[author_es]],autorest[author_es],autorest[author_la])</f>
        <v>Athanasius Alexandrinus</v>
      </c>
      <c r="H267" t="str">
        <f>_xlfn.XLOOKUP(frasest[[#This Row],[author_es]],autorest[author_es],autorest[bio_es])</f>
        <v>Obispo de Alejandría, Doctor de la Iglesia y defensor de la ortodoxia nicena contra el arrianismo. Autor de la "Vida de San Antonio", influyente en la espiritualidad monástica.</v>
      </c>
      <c r="I267" t="str">
        <f>_xlfn.XLOOKUP(frasest[[#This Row],[author_es]],autorest[author_es],autorest[bio_la])</f>
        <v>Episcopus Alexandrinus, Doctor Ecclesiae et defensor orthodoxiae Nicaenae contra arianismum. Auctor "Vita Sancti Antonii", in spiritualitate monastica influens.</v>
      </c>
      <c r="J267" t="str">
        <f>_xlfn.XLOOKUP(frasest[[#This Row],[author_es]],autorest[author_es],autorest[iso3691])</f>
        <v>la</v>
      </c>
      <c r="K267" t="str">
        <f>_xlfn.XLOOKUP(frasest[[#This Row],[author_es]],autorest[author_es],autorest[language_es])</f>
        <v>Latín</v>
      </c>
      <c r="L267" t="str">
        <f>_xlfn.XLOOKUP(frasest[[#This Row],[author_es]],autorest[author_es],autorest[language_la])</f>
        <v>Lingua Latina</v>
      </c>
      <c r="M267" t="str">
        <f>_xlfn.XLOOKUP(frasest[[#This Row],[author_es]],autorest[author_es],autorest[nation_es])</f>
        <v>Roma</v>
      </c>
      <c r="N267" t="str">
        <f>_xlfn.XLOOKUP(frasest[[#This Row],[author_es]],autorest[author_es],autorest[nation_la])</f>
        <v>Roma</v>
      </c>
      <c r="O267" t="str">
        <f>_xlfn.XLOOKUP(frasest[[#This Row],[author_es]],autorest[author_es],autorest[age_es])</f>
        <v>Edad Antigua</v>
      </c>
      <c r="P267" t="str">
        <f>_xlfn.XLOOKUP(frasest[[#This Row],[author_es]],autorest[author_es],autorest[age_la])</f>
        <v>Antiquitas</v>
      </c>
      <c r="Q267" t="str">
        <f>_xlfn.XLOOKUP(frasest[[#This Row],[author_es]],autorest[author_es],autorest[image])</f>
        <v>https://i.ibb.co/N2qBhZS8/atanasio.png</v>
      </c>
      <c r="R267">
        <f>_xlfn.XLOOKUP(frasest[[#This Row],[author_es]],autorest[author_es],autorest[image_atr])</f>
        <v>0</v>
      </c>
    </row>
    <row r="268" spans="1:18">
      <c r="A268">
        <v>267</v>
      </c>
      <c r="B268" t="s">
        <v>968</v>
      </c>
      <c r="C268" t="s">
        <v>969</v>
      </c>
      <c r="D268" t="s">
        <v>969</v>
      </c>
      <c r="E268" t="s">
        <v>970</v>
      </c>
      <c r="F268" t="s">
        <v>971</v>
      </c>
      <c r="G268" t="str">
        <f>_xlfn.XLOOKUP(frasest[[#This Row],[author_es]],autorest[author_es],autorest[author_la])</f>
        <v>Basilius Magnus</v>
      </c>
      <c r="H268" t="str">
        <f>_xlfn.XLOOKUP(frasest[[#This Row],[author_es]],autorest[author_es],autorest[bio_es])</f>
        <v>Obispo de Cesarea, Doctor de la Iglesia y Padre Capadocio. Hermano de San Gregorio de Nisa, organizador del monaquismo oriental y defensor de la ortodoxia nicena.</v>
      </c>
      <c r="I268" t="str">
        <f>_xlfn.XLOOKUP(frasest[[#This Row],[author_es]],autorest[author_es],autorest[bio_la])</f>
        <v>Episcopus Caesariensis, Doctor Ecclesiae et Pater Cappadocius. Frater Sancti Gregorii Nysseni, monasticismi orientalis organizator et orthodoxiae Nicaenae defensor.</v>
      </c>
      <c r="J268" t="str">
        <f>_xlfn.XLOOKUP(frasest[[#This Row],[author_es]],autorest[author_es],autorest[iso3691])</f>
        <v>la</v>
      </c>
      <c r="K268" t="str">
        <f>_xlfn.XLOOKUP(frasest[[#This Row],[author_es]],autorest[author_es],autorest[language_es])</f>
        <v>Latín</v>
      </c>
      <c r="L268" t="str">
        <f>_xlfn.XLOOKUP(frasest[[#This Row],[author_es]],autorest[author_es],autorest[language_la])</f>
        <v>Lingua Latina</v>
      </c>
      <c r="M268" t="str">
        <f>_xlfn.XLOOKUP(frasest[[#This Row],[author_es]],autorest[author_es],autorest[nation_es])</f>
        <v>Roma</v>
      </c>
      <c r="N268" t="str">
        <f>_xlfn.XLOOKUP(frasest[[#This Row],[author_es]],autorest[author_es],autorest[nation_la])</f>
        <v>Roma</v>
      </c>
      <c r="O268" t="str">
        <f>_xlfn.XLOOKUP(frasest[[#This Row],[author_es]],autorest[author_es],autorest[age_es])</f>
        <v>Edad Antigua</v>
      </c>
      <c r="P268" t="str">
        <f>_xlfn.XLOOKUP(frasest[[#This Row],[author_es]],autorest[author_es],autorest[age_la])</f>
        <v>Antiquitas</v>
      </c>
      <c r="Q268" t="str">
        <f>_xlfn.XLOOKUP(frasest[[#This Row],[author_es]],autorest[author_es],autorest[image])</f>
        <v>https://i.ibb.co/3y7fTRWM/sanbasilio.png</v>
      </c>
      <c r="R268">
        <f>_xlfn.XLOOKUP(frasest[[#This Row],[author_es]],autorest[author_es],autorest[image_atr])</f>
        <v>0</v>
      </c>
    </row>
    <row r="269" spans="1:18">
      <c r="A269">
        <v>268</v>
      </c>
      <c r="B269" t="s">
        <v>972</v>
      </c>
      <c r="C269" t="s">
        <v>973</v>
      </c>
      <c r="D269" t="s">
        <v>973</v>
      </c>
      <c r="E269" t="s">
        <v>970</v>
      </c>
      <c r="F269" t="s">
        <v>974</v>
      </c>
      <c r="G269" t="str">
        <f>_xlfn.XLOOKUP(frasest[[#This Row],[author_es]],autorest[author_es],autorest[author_la])</f>
        <v>Basilius Magnus</v>
      </c>
      <c r="H269" t="str">
        <f>_xlfn.XLOOKUP(frasest[[#This Row],[author_es]],autorest[author_es],autorest[bio_es])</f>
        <v>Obispo de Cesarea, Doctor de la Iglesia y Padre Capadocio. Hermano de San Gregorio de Nisa, organizador del monaquismo oriental y defensor de la ortodoxia nicena.</v>
      </c>
      <c r="I269" t="str">
        <f>_xlfn.XLOOKUP(frasest[[#This Row],[author_es]],autorest[author_es],autorest[bio_la])</f>
        <v>Episcopus Caesariensis, Doctor Ecclesiae et Pater Cappadocius. Frater Sancti Gregorii Nysseni, monasticismi orientalis organizator et orthodoxiae Nicaenae defensor.</v>
      </c>
      <c r="J269" t="str">
        <f>_xlfn.XLOOKUP(frasest[[#This Row],[author_es]],autorest[author_es],autorest[iso3691])</f>
        <v>la</v>
      </c>
      <c r="K269" t="str">
        <f>_xlfn.XLOOKUP(frasest[[#This Row],[author_es]],autorest[author_es],autorest[language_es])</f>
        <v>Latín</v>
      </c>
      <c r="L269" t="str">
        <f>_xlfn.XLOOKUP(frasest[[#This Row],[author_es]],autorest[author_es],autorest[language_la])</f>
        <v>Lingua Latina</v>
      </c>
      <c r="M269" t="str">
        <f>_xlfn.XLOOKUP(frasest[[#This Row],[author_es]],autorest[author_es],autorest[nation_es])</f>
        <v>Roma</v>
      </c>
      <c r="N269" t="str">
        <f>_xlfn.XLOOKUP(frasest[[#This Row],[author_es]],autorest[author_es],autorest[nation_la])</f>
        <v>Roma</v>
      </c>
      <c r="O269" t="str">
        <f>_xlfn.XLOOKUP(frasest[[#This Row],[author_es]],autorest[author_es],autorest[age_es])</f>
        <v>Edad Antigua</v>
      </c>
      <c r="P269" t="str">
        <f>_xlfn.XLOOKUP(frasest[[#This Row],[author_es]],autorest[author_es],autorest[age_la])</f>
        <v>Antiquitas</v>
      </c>
      <c r="Q269" t="str">
        <f>_xlfn.XLOOKUP(frasest[[#This Row],[author_es]],autorest[author_es],autorest[image])</f>
        <v>https://i.ibb.co/3y7fTRWM/sanbasilio.png</v>
      </c>
      <c r="R269">
        <f>_xlfn.XLOOKUP(frasest[[#This Row],[author_es]],autorest[author_es],autorest[image_atr])</f>
        <v>0</v>
      </c>
    </row>
    <row r="270" spans="1:18">
      <c r="A270">
        <v>269</v>
      </c>
      <c r="B270" t="s">
        <v>975</v>
      </c>
      <c r="C270" t="s">
        <v>976</v>
      </c>
      <c r="D270" t="s">
        <v>976</v>
      </c>
      <c r="E270" t="s">
        <v>970</v>
      </c>
      <c r="F270" t="s">
        <v>977</v>
      </c>
      <c r="G270" t="str">
        <f>_xlfn.XLOOKUP(frasest[[#This Row],[author_es]],autorest[author_es],autorest[author_la])</f>
        <v>Basilius Magnus</v>
      </c>
      <c r="H270" t="str">
        <f>_xlfn.XLOOKUP(frasest[[#This Row],[author_es]],autorest[author_es],autorest[bio_es])</f>
        <v>Obispo de Cesarea, Doctor de la Iglesia y Padre Capadocio. Hermano de San Gregorio de Nisa, organizador del monaquismo oriental y defensor de la ortodoxia nicena.</v>
      </c>
      <c r="I270" t="str">
        <f>_xlfn.XLOOKUP(frasest[[#This Row],[author_es]],autorest[author_es],autorest[bio_la])</f>
        <v>Episcopus Caesariensis, Doctor Ecclesiae et Pater Cappadocius. Frater Sancti Gregorii Nysseni, monasticismi orientalis organizator et orthodoxiae Nicaenae defensor.</v>
      </c>
      <c r="J270" t="str">
        <f>_xlfn.XLOOKUP(frasest[[#This Row],[author_es]],autorest[author_es],autorest[iso3691])</f>
        <v>la</v>
      </c>
      <c r="K270" t="str">
        <f>_xlfn.XLOOKUP(frasest[[#This Row],[author_es]],autorest[author_es],autorest[language_es])</f>
        <v>Latín</v>
      </c>
      <c r="L270" t="str">
        <f>_xlfn.XLOOKUP(frasest[[#This Row],[author_es]],autorest[author_es],autorest[language_la])</f>
        <v>Lingua Latina</v>
      </c>
      <c r="M270" t="str">
        <f>_xlfn.XLOOKUP(frasest[[#This Row],[author_es]],autorest[author_es],autorest[nation_es])</f>
        <v>Roma</v>
      </c>
      <c r="N270" t="str">
        <f>_xlfn.XLOOKUP(frasest[[#This Row],[author_es]],autorest[author_es],autorest[nation_la])</f>
        <v>Roma</v>
      </c>
      <c r="O270" t="str">
        <f>_xlfn.XLOOKUP(frasest[[#This Row],[author_es]],autorest[author_es],autorest[age_es])</f>
        <v>Edad Antigua</v>
      </c>
      <c r="P270" t="str">
        <f>_xlfn.XLOOKUP(frasest[[#This Row],[author_es]],autorest[author_es],autorest[age_la])</f>
        <v>Antiquitas</v>
      </c>
      <c r="Q270" t="str">
        <f>_xlfn.XLOOKUP(frasest[[#This Row],[author_es]],autorest[author_es],autorest[image])</f>
        <v>https://i.ibb.co/3y7fTRWM/sanbasilio.png</v>
      </c>
      <c r="R270">
        <f>_xlfn.XLOOKUP(frasest[[#This Row],[author_es]],autorest[author_es],autorest[image_atr])</f>
        <v>0</v>
      </c>
    </row>
    <row r="271" spans="1:18">
      <c r="A271">
        <v>270</v>
      </c>
      <c r="B271" t="s">
        <v>978</v>
      </c>
      <c r="C271" t="s">
        <v>979</v>
      </c>
      <c r="D271" t="s">
        <v>979</v>
      </c>
      <c r="E271" t="s">
        <v>970</v>
      </c>
      <c r="F271" t="s">
        <v>980</v>
      </c>
      <c r="G271" t="str">
        <f>_xlfn.XLOOKUP(frasest[[#This Row],[author_es]],autorest[author_es],autorest[author_la])</f>
        <v>Basilius Magnus</v>
      </c>
      <c r="H271" t="str">
        <f>_xlfn.XLOOKUP(frasest[[#This Row],[author_es]],autorest[author_es],autorest[bio_es])</f>
        <v>Obispo de Cesarea, Doctor de la Iglesia y Padre Capadocio. Hermano de San Gregorio de Nisa, organizador del monaquismo oriental y defensor de la ortodoxia nicena.</v>
      </c>
      <c r="I271" t="str">
        <f>_xlfn.XLOOKUP(frasest[[#This Row],[author_es]],autorest[author_es],autorest[bio_la])</f>
        <v>Episcopus Caesariensis, Doctor Ecclesiae et Pater Cappadocius. Frater Sancti Gregorii Nysseni, monasticismi orientalis organizator et orthodoxiae Nicaenae defensor.</v>
      </c>
      <c r="J271" t="str">
        <f>_xlfn.XLOOKUP(frasest[[#This Row],[author_es]],autorest[author_es],autorest[iso3691])</f>
        <v>la</v>
      </c>
      <c r="K271" t="str">
        <f>_xlfn.XLOOKUP(frasest[[#This Row],[author_es]],autorest[author_es],autorest[language_es])</f>
        <v>Latín</v>
      </c>
      <c r="L271" t="str">
        <f>_xlfn.XLOOKUP(frasest[[#This Row],[author_es]],autorest[author_es],autorest[language_la])</f>
        <v>Lingua Latina</v>
      </c>
      <c r="M271" t="str">
        <f>_xlfn.XLOOKUP(frasest[[#This Row],[author_es]],autorest[author_es],autorest[nation_es])</f>
        <v>Roma</v>
      </c>
      <c r="N271" t="str">
        <f>_xlfn.XLOOKUP(frasest[[#This Row],[author_es]],autorest[author_es],autorest[nation_la])</f>
        <v>Roma</v>
      </c>
      <c r="O271" t="str">
        <f>_xlfn.XLOOKUP(frasest[[#This Row],[author_es]],autorest[author_es],autorest[age_es])</f>
        <v>Edad Antigua</v>
      </c>
      <c r="P271" t="str">
        <f>_xlfn.XLOOKUP(frasest[[#This Row],[author_es]],autorest[author_es],autorest[age_la])</f>
        <v>Antiquitas</v>
      </c>
      <c r="Q271" t="str">
        <f>_xlfn.XLOOKUP(frasest[[#This Row],[author_es]],autorest[author_es],autorest[image])</f>
        <v>https://i.ibb.co/3y7fTRWM/sanbasilio.png</v>
      </c>
      <c r="R271">
        <f>_xlfn.XLOOKUP(frasest[[#This Row],[author_es]],autorest[author_es],autorest[image_atr])</f>
        <v>0</v>
      </c>
    </row>
    <row r="272" spans="1:18">
      <c r="A272">
        <v>271</v>
      </c>
      <c r="B272" t="s">
        <v>981</v>
      </c>
      <c r="C272" t="s">
        <v>982</v>
      </c>
      <c r="D272" t="s">
        <v>982</v>
      </c>
      <c r="E272" t="s">
        <v>970</v>
      </c>
      <c r="F272" t="s">
        <v>983</v>
      </c>
      <c r="G272" t="str">
        <f>_xlfn.XLOOKUP(frasest[[#This Row],[author_es]],autorest[author_es],autorest[author_la])</f>
        <v>Basilius Magnus</v>
      </c>
      <c r="H272" t="str">
        <f>_xlfn.XLOOKUP(frasest[[#This Row],[author_es]],autorest[author_es],autorest[bio_es])</f>
        <v>Obispo de Cesarea, Doctor de la Iglesia y Padre Capadocio. Hermano de San Gregorio de Nisa, organizador del monaquismo oriental y defensor de la ortodoxia nicena.</v>
      </c>
      <c r="I272" t="str">
        <f>_xlfn.XLOOKUP(frasest[[#This Row],[author_es]],autorest[author_es],autorest[bio_la])</f>
        <v>Episcopus Caesariensis, Doctor Ecclesiae et Pater Cappadocius. Frater Sancti Gregorii Nysseni, monasticismi orientalis organizator et orthodoxiae Nicaenae defensor.</v>
      </c>
      <c r="J272" t="str">
        <f>_xlfn.XLOOKUP(frasest[[#This Row],[author_es]],autorest[author_es],autorest[iso3691])</f>
        <v>la</v>
      </c>
      <c r="K272" t="str">
        <f>_xlfn.XLOOKUP(frasest[[#This Row],[author_es]],autorest[author_es],autorest[language_es])</f>
        <v>Latín</v>
      </c>
      <c r="L272" t="str">
        <f>_xlfn.XLOOKUP(frasest[[#This Row],[author_es]],autorest[author_es],autorest[language_la])</f>
        <v>Lingua Latina</v>
      </c>
      <c r="M272" t="str">
        <f>_xlfn.XLOOKUP(frasest[[#This Row],[author_es]],autorest[author_es],autorest[nation_es])</f>
        <v>Roma</v>
      </c>
      <c r="N272" t="str">
        <f>_xlfn.XLOOKUP(frasest[[#This Row],[author_es]],autorest[author_es],autorest[nation_la])</f>
        <v>Roma</v>
      </c>
      <c r="O272" t="str">
        <f>_xlfn.XLOOKUP(frasest[[#This Row],[author_es]],autorest[author_es],autorest[age_es])</f>
        <v>Edad Antigua</v>
      </c>
      <c r="P272" t="str">
        <f>_xlfn.XLOOKUP(frasest[[#This Row],[author_es]],autorest[author_es],autorest[age_la])</f>
        <v>Antiquitas</v>
      </c>
      <c r="Q272" t="str">
        <f>_xlfn.XLOOKUP(frasest[[#This Row],[author_es]],autorest[author_es],autorest[image])</f>
        <v>https://i.ibb.co/3y7fTRWM/sanbasilio.png</v>
      </c>
      <c r="R272">
        <f>_xlfn.XLOOKUP(frasest[[#This Row],[author_es]],autorest[author_es],autorest[image_atr])</f>
        <v>0</v>
      </c>
    </row>
    <row r="273" spans="1:18">
      <c r="A273">
        <v>272</v>
      </c>
      <c r="B273" t="s">
        <v>984</v>
      </c>
      <c r="C273" t="s">
        <v>985</v>
      </c>
      <c r="D273" t="s">
        <v>985</v>
      </c>
      <c r="E273" t="s">
        <v>970</v>
      </c>
      <c r="F273" t="s">
        <v>986</v>
      </c>
      <c r="G273" t="str">
        <f>_xlfn.XLOOKUP(frasest[[#This Row],[author_es]],autorest[author_es],autorest[author_la])</f>
        <v>Basilius Magnus</v>
      </c>
      <c r="H273" t="str">
        <f>_xlfn.XLOOKUP(frasest[[#This Row],[author_es]],autorest[author_es],autorest[bio_es])</f>
        <v>Obispo de Cesarea, Doctor de la Iglesia y Padre Capadocio. Hermano de San Gregorio de Nisa, organizador del monaquismo oriental y defensor de la ortodoxia nicena.</v>
      </c>
      <c r="I273" t="str">
        <f>_xlfn.XLOOKUP(frasest[[#This Row],[author_es]],autorest[author_es],autorest[bio_la])</f>
        <v>Episcopus Caesariensis, Doctor Ecclesiae et Pater Cappadocius. Frater Sancti Gregorii Nysseni, monasticismi orientalis organizator et orthodoxiae Nicaenae defensor.</v>
      </c>
      <c r="J273" t="str">
        <f>_xlfn.XLOOKUP(frasest[[#This Row],[author_es]],autorest[author_es],autorest[iso3691])</f>
        <v>la</v>
      </c>
      <c r="K273" t="str">
        <f>_xlfn.XLOOKUP(frasest[[#This Row],[author_es]],autorest[author_es],autorest[language_es])</f>
        <v>Latín</v>
      </c>
      <c r="L273" t="str">
        <f>_xlfn.XLOOKUP(frasest[[#This Row],[author_es]],autorest[author_es],autorest[language_la])</f>
        <v>Lingua Latina</v>
      </c>
      <c r="M273" t="str">
        <f>_xlfn.XLOOKUP(frasest[[#This Row],[author_es]],autorest[author_es],autorest[nation_es])</f>
        <v>Roma</v>
      </c>
      <c r="N273" t="str">
        <f>_xlfn.XLOOKUP(frasest[[#This Row],[author_es]],autorest[author_es],autorest[nation_la])</f>
        <v>Roma</v>
      </c>
      <c r="O273" t="str">
        <f>_xlfn.XLOOKUP(frasest[[#This Row],[author_es]],autorest[author_es],autorest[age_es])</f>
        <v>Edad Antigua</v>
      </c>
      <c r="P273" t="str">
        <f>_xlfn.XLOOKUP(frasest[[#This Row],[author_es]],autorest[author_es],autorest[age_la])</f>
        <v>Antiquitas</v>
      </c>
      <c r="Q273" t="str">
        <f>_xlfn.XLOOKUP(frasest[[#This Row],[author_es]],autorest[author_es],autorest[image])</f>
        <v>https://i.ibb.co/3y7fTRWM/sanbasilio.png</v>
      </c>
      <c r="R273">
        <f>_xlfn.XLOOKUP(frasest[[#This Row],[author_es]],autorest[author_es],autorest[image_atr])</f>
        <v>0</v>
      </c>
    </row>
    <row r="274" spans="1:18">
      <c r="A274">
        <v>273</v>
      </c>
      <c r="B274" t="s">
        <v>987</v>
      </c>
      <c r="C274" t="s">
        <v>988</v>
      </c>
      <c r="D274" t="s">
        <v>988</v>
      </c>
      <c r="E274" t="s">
        <v>970</v>
      </c>
      <c r="F274" t="s">
        <v>989</v>
      </c>
      <c r="G274" t="str">
        <f>_xlfn.XLOOKUP(frasest[[#This Row],[author_es]],autorest[author_es],autorest[author_la])</f>
        <v>Basilius Magnus</v>
      </c>
      <c r="H274" t="str">
        <f>_xlfn.XLOOKUP(frasest[[#This Row],[author_es]],autorest[author_es],autorest[bio_es])</f>
        <v>Obispo de Cesarea, Doctor de la Iglesia y Padre Capadocio. Hermano de San Gregorio de Nisa, organizador del monaquismo oriental y defensor de la ortodoxia nicena.</v>
      </c>
      <c r="I274" t="str">
        <f>_xlfn.XLOOKUP(frasest[[#This Row],[author_es]],autorest[author_es],autorest[bio_la])</f>
        <v>Episcopus Caesariensis, Doctor Ecclesiae et Pater Cappadocius. Frater Sancti Gregorii Nysseni, monasticismi orientalis organizator et orthodoxiae Nicaenae defensor.</v>
      </c>
      <c r="J274" t="str">
        <f>_xlfn.XLOOKUP(frasest[[#This Row],[author_es]],autorest[author_es],autorest[iso3691])</f>
        <v>la</v>
      </c>
      <c r="K274" t="str">
        <f>_xlfn.XLOOKUP(frasest[[#This Row],[author_es]],autorest[author_es],autorest[language_es])</f>
        <v>Latín</v>
      </c>
      <c r="L274" t="str">
        <f>_xlfn.XLOOKUP(frasest[[#This Row],[author_es]],autorest[author_es],autorest[language_la])</f>
        <v>Lingua Latina</v>
      </c>
      <c r="M274" t="str">
        <f>_xlfn.XLOOKUP(frasest[[#This Row],[author_es]],autorest[author_es],autorest[nation_es])</f>
        <v>Roma</v>
      </c>
      <c r="N274" t="str">
        <f>_xlfn.XLOOKUP(frasest[[#This Row],[author_es]],autorest[author_es],autorest[nation_la])</f>
        <v>Roma</v>
      </c>
      <c r="O274" t="str">
        <f>_xlfn.XLOOKUP(frasest[[#This Row],[author_es]],autorest[author_es],autorest[age_es])</f>
        <v>Edad Antigua</v>
      </c>
      <c r="P274" t="str">
        <f>_xlfn.XLOOKUP(frasest[[#This Row],[author_es]],autorest[author_es],autorest[age_la])</f>
        <v>Antiquitas</v>
      </c>
      <c r="Q274" t="str">
        <f>_xlfn.XLOOKUP(frasest[[#This Row],[author_es]],autorest[author_es],autorest[image])</f>
        <v>https://i.ibb.co/3y7fTRWM/sanbasilio.png</v>
      </c>
      <c r="R274">
        <f>_xlfn.XLOOKUP(frasest[[#This Row],[author_es]],autorest[author_es],autorest[image_atr])</f>
        <v>0</v>
      </c>
    </row>
    <row r="275" spans="1:18">
      <c r="A275">
        <v>274</v>
      </c>
      <c r="B275" t="s">
        <v>990</v>
      </c>
      <c r="C275" t="s">
        <v>991</v>
      </c>
      <c r="D275" t="s">
        <v>991</v>
      </c>
      <c r="E275" t="s">
        <v>970</v>
      </c>
      <c r="F275" t="s">
        <v>992</v>
      </c>
      <c r="G275" t="str">
        <f>_xlfn.XLOOKUP(frasest[[#This Row],[author_es]],autorest[author_es],autorest[author_la])</f>
        <v>Basilius Magnus</v>
      </c>
      <c r="H275" t="str">
        <f>_xlfn.XLOOKUP(frasest[[#This Row],[author_es]],autorest[author_es],autorest[bio_es])</f>
        <v>Obispo de Cesarea, Doctor de la Iglesia y Padre Capadocio. Hermano de San Gregorio de Nisa, organizador del monaquismo oriental y defensor de la ortodoxia nicena.</v>
      </c>
      <c r="I275" t="str">
        <f>_xlfn.XLOOKUP(frasest[[#This Row],[author_es]],autorest[author_es],autorest[bio_la])</f>
        <v>Episcopus Caesariensis, Doctor Ecclesiae et Pater Cappadocius. Frater Sancti Gregorii Nysseni, monasticismi orientalis organizator et orthodoxiae Nicaenae defensor.</v>
      </c>
      <c r="J275" t="str">
        <f>_xlfn.XLOOKUP(frasest[[#This Row],[author_es]],autorest[author_es],autorest[iso3691])</f>
        <v>la</v>
      </c>
      <c r="K275" t="str">
        <f>_xlfn.XLOOKUP(frasest[[#This Row],[author_es]],autorest[author_es],autorest[language_es])</f>
        <v>Latín</v>
      </c>
      <c r="L275" t="str">
        <f>_xlfn.XLOOKUP(frasest[[#This Row],[author_es]],autorest[author_es],autorest[language_la])</f>
        <v>Lingua Latina</v>
      </c>
      <c r="M275" t="str">
        <f>_xlfn.XLOOKUP(frasest[[#This Row],[author_es]],autorest[author_es],autorest[nation_es])</f>
        <v>Roma</v>
      </c>
      <c r="N275" t="str">
        <f>_xlfn.XLOOKUP(frasest[[#This Row],[author_es]],autorest[author_es],autorest[nation_la])</f>
        <v>Roma</v>
      </c>
      <c r="O275" t="str">
        <f>_xlfn.XLOOKUP(frasest[[#This Row],[author_es]],autorest[author_es],autorest[age_es])</f>
        <v>Edad Antigua</v>
      </c>
      <c r="P275" t="str">
        <f>_xlfn.XLOOKUP(frasest[[#This Row],[author_es]],autorest[author_es],autorest[age_la])</f>
        <v>Antiquitas</v>
      </c>
      <c r="Q275" t="str">
        <f>_xlfn.XLOOKUP(frasest[[#This Row],[author_es]],autorest[author_es],autorest[image])</f>
        <v>https://i.ibb.co/3y7fTRWM/sanbasilio.png</v>
      </c>
      <c r="R275">
        <f>_xlfn.XLOOKUP(frasest[[#This Row],[author_es]],autorest[author_es],autorest[image_atr])</f>
        <v>0</v>
      </c>
    </row>
    <row r="276" spans="1:18">
      <c r="A276">
        <v>275</v>
      </c>
      <c r="B276" t="s">
        <v>993</v>
      </c>
      <c r="C276" t="s">
        <v>994</v>
      </c>
      <c r="D276" t="s">
        <v>994</v>
      </c>
      <c r="E276" t="s">
        <v>970</v>
      </c>
      <c r="F276" t="s">
        <v>995</v>
      </c>
      <c r="G276" t="str">
        <f>_xlfn.XLOOKUP(frasest[[#This Row],[author_es]],autorest[author_es],autorest[author_la])</f>
        <v>Basilius Magnus</v>
      </c>
      <c r="H276" t="str">
        <f>_xlfn.XLOOKUP(frasest[[#This Row],[author_es]],autorest[author_es],autorest[bio_es])</f>
        <v>Obispo de Cesarea, Doctor de la Iglesia y Padre Capadocio. Hermano de San Gregorio de Nisa, organizador del monaquismo oriental y defensor de la ortodoxia nicena.</v>
      </c>
      <c r="I276" t="str">
        <f>_xlfn.XLOOKUP(frasest[[#This Row],[author_es]],autorest[author_es],autorest[bio_la])</f>
        <v>Episcopus Caesariensis, Doctor Ecclesiae et Pater Cappadocius. Frater Sancti Gregorii Nysseni, monasticismi orientalis organizator et orthodoxiae Nicaenae defensor.</v>
      </c>
      <c r="J276" t="str">
        <f>_xlfn.XLOOKUP(frasest[[#This Row],[author_es]],autorest[author_es],autorest[iso3691])</f>
        <v>la</v>
      </c>
      <c r="K276" t="str">
        <f>_xlfn.XLOOKUP(frasest[[#This Row],[author_es]],autorest[author_es],autorest[language_es])</f>
        <v>Latín</v>
      </c>
      <c r="L276" t="str">
        <f>_xlfn.XLOOKUP(frasest[[#This Row],[author_es]],autorest[author_es],autorest[language_la])</f>
        <v>Lingua Latina</v>
      </c>
      <c r="M276" t="str">
        <f>_xlfn.XLOOKUP(frasest[[#This Row],[author_es]],autorest[author_es],autorest[nation_es])</f>
        <v>Roma</v>
      </c>
      <c r="N276" t="str">
        <f>_xlfn.XLOOKUP(frasest[[#This Row],[author_es]],autorest[author_es],autorest[nation_la])</f>
        <v>Roma</v>
      </c>
      <c r="O276" t="str">
        <f>_xlfn.XLOOKUP(frasest[[#This Row],[author_es]],autorest[author_es],autorest[age_es])</f>
        <v>Edad Antigua</v>
      </c>
      <c r="P276" t="str">
        <f>_xlfn.XLOOKUP(frasest[[#This Row],[author_es]],autorest[author_es],autorest[age_la])</f>
        <v>Antiquitas</v>
      </c>
      <c r="Q276" t="str">
        <f>_xlfn.XLOOKUP(frasest[[#This Row],[author_es]],autorest[author_es],autorest[image])</f>
        <v>https://i.ibb.co/3y7fTRWM/sanbasilio.png</v>
      </c>
      <c r="R276">
        <f>_xlfn.XLOOKUP(frasest[[#This Row],[author_es]],autorest[author_es],autorest[image_atr])</f>
        <v>0</v>
      </c>
    </row>
    <row r="277" spans="1:18">
      <c r="A277">
        <v>276</v>
      </c>
      <c r="B277" t="s">
        <v>996</v>
      </c>
      <c r="C277" t="s">
        <v>997</v>
      </c>
      <c r="D277" t="s">
        <v>997</v>
      </c>
      <c r="E277" t="s">
        <v>970</v>
      </c>
      <c r="F277" t="s">
        <v>998</v>
      </c>
      <c r="G277" t="str">
        <f>_xlfn.XLOOKUP(frasest[[#This Row],[author_es]],autorest[author_es],autorest[author_la])</f>
        <v>Basilius Magnus</v>
      </c>
      <c r="H277" t="str">
        <f>_xlfn.XLOOKUP(frasest[[#This Row],[author_es]],autorest[author_es],autorest[bio_es])</f>
        <v>Obispo de Cesarea, Doctor de la Iglesia y Padre Capadocio. Hermano de San Gregorio de Nisa, organizador del monaquismo oriental y defensor de la ortodoxia nicena.</v>
      </c>
      <c r="I277" t="str">
        <f>_xlfn.XLOOKUP(frasest[[#This Row],[author_es]],autorest[author_es],autorest[bio_la])</f>
        <v>Episcopus Caesariensis, Doctor Ecclesiae et Pater Cappadocius. Frater Sancti Gregorii Nysseni, monasticismi orientalis organizator et orthodoxiae Nicaenae defensor.</v>
      </c>
      <c r="J277" t="str">
        <f>_xlfn.XLOOKUP(frasest[[#This Row],[author_es]],autorest[author_es],autorest[iso3691])</f>
        <v>la</v>
      </c>
      <c r="K277" t="str">
        <f>_xlfn.XLOOKUP(frasest[[#This Row],[author_es]],autorest[author_es],autorest[language_es])</f>
        <v>Latín</v>
      </c>
      <c r="L277" t="str">
        <f>_xlfn.XLOOKUP(frasest[[#This Row],[author_es]],autorest[author_es],autorest[language_la])</f>
        <v>Lingua Latina</v>
      </c>
      <c r="M277" t="str">
        <f>_xlfn.XLOOKUP(frasest[[#This Row],[author_es]],autorest[author_es],autorest[nation_es])</f>
        <v>Roma</v>
      </c>
      <c r="N277" t="str">
        <f>_xlfn.XLOOKUP(frasest[[#This Row],[author_es]],autorest[author_es],autorest[nation_la])</f>
        <v>Roma</v>
      </c>
      <c r="O277" t="str">
        <f>_xlfn.XLOOKUP(frasest[[#This Row],[author_es]],autorest[author_es],autorest[age_es])</f>
        <v>Edad Antigua</v>
      </c>
      <c r="P277" t="str">
        <f>_xlfn.XLOOKUP(frasest[[#This Row],[author_es]],autorest[author_es],autorest[age_la])</f>
        <v>Antiquitas</v>
      </c>
      <c r="Q277" t="str">
        <f>_xlfn.XLOOKUP(frasest[[#This Row],[author_es]],autorest[author_es],autorest[image])</f>
        <v>https://i.ibb.co/3y7fTRWM/sanbasilio.png</v>
      </c>
      <c r="R277">
        <f>_xlfn.XLOOKUP(frasest[[#This Row],[author_es]],autorest[author_es],autorest[image_atr])</f>
        <v>0</v>
      </c>
    </row>
    <row r="278" spans="1:18">
      <c r="A278">
        <v>277</v>
      </c>
      <c r="B278" t="s">
        <v>999</v>
      </c>
      <c r="C278" t="s">
        <v>1000</v>
      </c>
      <c r="D278" t="s">
        <v>1001</v>
      </c>
      <c r="E278" t="s">
        <v>1002</v>
      </c>
      <c r="F278" t="s">
        <v>1003</v>
      </c>
      <c r="G278" t="str">
        <f>_xlfn.XLOOKUP(frasest[[#This Row],[author_es]],autorest[author_es],autorest[author_la])</f>
        <v>Gregorius Nazianzenus</v>
      </c>
      <c r="H278" t="str">
        <f>_xlfn.XLOOKUP(frasest[[#This Row],[author_es]],autorest[author_es],autorest[bio_es])</f>
        <v>Arzobispo de Constantinopla, Doctor de la Iglesia y Padre Capadocio. Llamado "el Teólogo", gran orador y defensor de la Trinidad. Uno de los tres Padres Capadocios.</v>
      </c>
      <c r="I278" t="str">
        <f>_xlfn.XLOOKUP(frasest[[#This Row],[author_es]],autorest[author_es],autorest[bio_la])</f>
        <v>Archiepiscopus Constantinopolitanus, Doctor Ecclesiae et Pater Cappadocius. "Theologus" vocatus, orator magnus et defensor Trinitatis. Unus ex tribus Patribus Cappadociis.</v>
      </c>
      <c r="J278" t="str">
        <f>_xlfn.XLOOKUP(frasest[[#This Row],[author_es]],autorest[author_es],autorest[iso3691])</f>
        <v>la</v>
      </c>
      <c r="K278" t="str">
        <f>_xlfn.XLOOKUP(frasest[[#This Row],[author_es]],autorest[author_es],autorest[language_es])</f>
        <v>Latín</v>
      </c>
      <c r="L278" t="str">
        <f>_xlfn.XLOOKUP(frasest[[#This Row],[author_es]],autorest[author_es],autorest[language_la])</f>
        <v>Lingua Latina</v>
      </c>
      <c r="M278" t="str">
        <f>_xlfn.XLOOKUP(frasest[[#This Row],[author_es]],autorest[author_es],autorest[nation_es])</f>
        <v>Roma</v>
      </c>
      <c r="N278" t="str">
        <f>_xlfn.XLOOKUP(frasest[[#This Row],[author_es]],autorest[author_es],autorest[nation_la])</f>
        <v>Roma</v>
      </c>
      <c r="O278" t="str">
        <f>_xlfn.XLOOKUP(frasest[[#This Row],[author_es]],autorest[author_es],autorest[age_es])</f>
        <v>Edad Antigua</v>
      </c>
      <c r="P278" t="str">
        <f>_xlfn.XLOOKUP(frasest[[#This Row],[author_es]],autorest[author_es],autorest[age_la])</f>
        <v>Antiquitas</v>
      </c>
      <c r="Q278" t="str">
        <f>_xlfn.XLOOKUP(frasest[[#This Row],[author_es]],autorest[author_es],autorest[image])</f>
        <v>https://i.ibb.co/whvy5Lhm/sangregorioana.png</v>
      </c>
      <c r="R278">
        <f>_xlfn.XLOOKUP(frasest[[#This Row],[author_es]],autorest[author_es],autorest[image_atr])</f>
        <v>0</v>
      </c>
    </row>
    <row r="279" spans="1:18">
      <c r="A279">
        <v>278</v>
      </c>
      <c r="B279" t="s">
        <v>1004</v>
      </c>
      <c r="C279" t="s">
        <v>1005</v>
      </c>
      <c r="D279" t="s">
        <v>1005</v>
      </c>
      <c r="E279" t="s">
        <v>1002</v>
      </c>
      <c r="F279" t="s">
        <v>1006</v>
      </c>
      <c r="G279" t="str">
        <f>_xlfn.XLOOKUP(frasest[[#This Row],[author_es]],autorest[author_es],autorest[author_la])</f>
        <v>Gregorius Nazianzenus</v>
      </c>
      <c r="H279" t="str">
        <f>_xlfn.XLOOKUP(frasest[[#This Row],[author_es]],autorest[author_es],autorest[bio_es])</f>
        <v>Arzobispo de Constantinopla, Doctor de la Iglesia y Padre Capadocio. Llamado "el Teólogo", gran orador y defensor de la Trinidad. Uno de los tres Padres Capadocios.</v>
      </c>
      <c r="I279" t="str">
        <f>_xlfn.XLOOKUP(frasest[[#This Row],[author_es]],autorest[author_es],autorest[bio_la])</f>
        <v>Archiepiscopus Constantinopolitanus, Doctor Ecclesiae et Pater Cappadocius. "Theologus" vocatus, orator magnus et defensor Trinitatis. Unus ex tribus Patribus Cappadociis.</v>
      </c>
      <c r="J279" t="str">
        <f>_xlfn.XLOOKUP(frasest[[#This Row],[author_es]],autorest[author_es],autorest[iso3691])</f>
        <v>la</v>
      </c>
      <c r="K279" t="str">
        <f>_xlfn.XLOOKUP(frasest[[#This Row],[author_es]],autorest[author_es],autorest[language_es])</f>
        <v>Latín</v>
      </c>
      <c r="L279" t="str">
        <f>_xlfn.XLOOKUP(frasest[[#This Row],[author_es]],autorest[author_es],autorest[language_la])</f>
        <v>Lingua Latina</v>
      </c>
      <c r="M279" t="str">
        <f>_xlfn.XLOOKUP(frasest[[#This Row],[author_es]],autorest[author_es],autorest[nation_es])</f>
        <v>Roma</v>
      </c>
      <c r="N279" t="str">
        <f>_xlfn.XLOOKUP(frasest[[#This Row],[author_es]],autorest[author_es],autorest[nation_la])</f>
        <v>Roma</v>
      </c>
      <c r="O279" t="str">
        <f>_xlfn.XLOOKUP(frasest[[#This Row],[author_es]],autorest[author_es],autorest[age_es])</f>
        <v>Edad Antigua</v>
      </c>
      <c r="P279" t="str">
        <f>_xlfn.XLOOKUP(frasest[[#This Row],[author_es]],autorest[author_es],autorest[age_la])</f>
        <v>Antiquitas</v>
      </c>
      <c r="Q279" t="str">
        <f>_xlfn.XLOOKUP(frasest[[#This Row],[author_es]],autorest[author_es],autorest[image])</f>
        <v>https://i.ibb.co/whvy5Lhm/sangregorioana.png</v>
      </c>
      <c r="R279">
        <f>_xlfn.XLOOKUP(frasest[[#This Row],[author_es]],autorest[author_es],autorest[image_atr])</f>
        <v>0</v>
      </c>
    </row>
    <row r="280" spans="1:18">
      <c r="A280">
        <v>279</v>
      </c>
      <c r="B280" t="s">
        <v>1007</v>
      </c>
      <c r="C280" t="s">
        <v>1008</v>
      </c>
      <c r="D280" t="s">
        <v>1008</v>
      </c>
      <c r="E280" t="s">
        <v>1002</v>
      </c>
      <c r="F280" t="s">
        <v>1009</v>
      </c>
      <c r="G280" t="str">
        <f>_xlfn.XLOOKUP(frasest[[#This Row],[author_es]],autorest[author_es],autorest[author_la])</f>
        <v>Gregorius Nazianzenus</v>
      </c>
      <c r="H280" t="str">
        <f>_xlfn.XLOOKUP(frasest[[#This Row],[author_es]],autorest[author_es],autorest[bio_es])</f>
        <v>Arzobispo de Constantinopla, Doctor de la Iglesia y Padre Capadocio. Llamado "el Teólogo", gran orador y defensor de la Trinidad. Uno de los tres Padres Capadocios.</v>
      </c>
      <c r="I280" t="str">
        <f>_xlfn.XLOOKUP(frasest[[#This Row],[author_es]],autorest[author_es],autorest[bio_la])</f>
        <v>Archiepiscopus Constantinopolitanus, Doctor Ecclesiae et Pater Cappadocius. "Theologus" vocatus, orator magnus et defensor Trinitatis. Unus ex tribus Patribus Cappadociis.</v>
      </c>
      <c r="J280" t="str">
        <f>_xlfn.XLOOKUP(frasest[[#This Row],[author_es]],autorest[author_es],autorest[iso3691])</f>
        <v>la</v>
      </c>
      <c r="K280" t="str">
        <f>_xlfn.XLOOKUP(frasest[[#This Row],[author_es]],autorest[author_es],autorest[language_es])</f>
        <v>Latín</v>
      </c>
      <c r="L280" t="str">
        <f>_xlfn.XLOOKUP(frasest[[#This Row],[author_es]],autorest[author_es],autorest[language_la])</f>
        <v>Lingua Latina</v>
      </c>
      <c r="M280" t="str">
        <f>_xlfn.XLOOKUP(frasest[[#This Row],[author_es]],autorest[author_es],autorest[nation_es])</f>
        <v>Roma</v>
      </c>
      <c r="N280" t="str">
        <f>_xlfn.XLOOKUP(frasest[[#This Row],[author_es]],autorest[author_es],autorest[nation_la])</f>
        <v>Roma</v>
      </c>
      <c r="O280" t="str">
        <f>_xlfn.XLOOKUP(frasest[[#This Row],[author_es]],autorest[author_es],autorest[age_es])</f>
        <v>Edad Antigua</v>
      </c>
      <c r="P280" t="str">
        <f>_xlfn.XLOOKUP(frasest[[#This Row],[author_es]],autorest[author_es],autorest[age_la])</f>
        <v>Antiquitas</v>
      </c>
      <c r="Q280" t="str">
        <f>_xlfn.XLOOKUP(frasest[[#This Row],[author_es]],autorest[author_es],autorest[image])</f>
        <v>https://i.ibb.co/whvy5Lhm/sangregorioana.png</v>
      </c>
      <c r="R280">
        <f>_xlfn.XLOOKUP(frasest[[#This Row],[author_es]],autorest[author_es],autorest[image_atr])</f>
        <v>0</v>
      </c>
    </row>
    <row r="281" spans="1:18">
      <c r="A281">
        <v>280</v>
      </c>
      <c r="B281" t="s">
        <v>1010</v>
      </c>
      <c r="C281" t="s">
        <v>1011</v>
      </c>
      <c r="D281" t="s">
        <v>1011</v>
      </c>
      <c r="E281" t="s">
        <v>1002</v>
      </c>
      <c r="F281" t="s">
        <v>1012</v>
      </c>
      <c r="G281" t="str">
        <f>_xlfn.XLOOKUP(frasest[[#This Row],[author_es]],autorest[author_es],autorest[author_la])</f>
        <v>Gregorius Nazianzenus</v>
      </c>
      <c r="H281" t="str">
        <f>_xlfn.XLOOKUP(frasest[[#This Row],[author_es]],autorest[author_es],autorest[bio_es])</f>
        <v>Arzobispo de Constantinopla, Doctor de la Iglesia y Padre Capadocio. Llamado "el Teólogo", gran orador y defensor de la Trinidad. Uno de los tres Padres Capadocios.</v>
      </c>
      <c r="I281" t="str">
        <f>_xlfn.XLOOKUP(frasest[[#This Row],[author_es]],autorest[author_es],autorest[bio_la])</f>
        <v>Archiepiscopus Constantinopolitanus, Doctor Ecclesiae et Pater Cappadocius. "Theologus" vocatus, orator magnus et defensor Trinitatis. Unus ex tribus Patribus Cappadociis.</v>
      </c>
      <c r="J281" t="str">
        <f>_xlfn.XLOOKUP(frasest[[#This Row],[author_es]],autorest[author_es],autorest[iso3691])</f>
        <v>la</v>
      </c>
      <c r="K281" t="str">
        <f>_xlfn.XLOOKUP(frasest[[#This Row],[author_es]],autorest[author_es],autorest[language_es])</f>
        <v>Latín</v>
      </c>
      <c r="L281" t="str">
        <f>_xlfn.XLOOKUP(frasest[[#This Row],[author_es]],autorest[author_es],autorest[language_la])</f>
        <v>Lingua Latina</v>
      </c>
      <c r="M281" t="str">
        <f>_xlfn.XLOOKUP(frasest[[#This Row],[author_es]],autorest[author_es],autorest[nation_es])</f>
        <v>Roma</v>
      </c>
      <c r="N281" t="str">
        <f>_xlfn.XLOOKUP(frasest[[#This Row],[author_es]],autorest[author_es],autorest[nation_la])</f>
        <v>Roma</v>
      </c>
      <c r="O281" t="str">
        <f>_xlfn.XLOOKUP(frasest[[#This Row],[author_es]],autorest[author_es],autorest[age_es])</f>
        <v>Edad Antigua</v>
      </c>
      <c r="P281" t="str">
        <f>_xlfn.XLOOKUP(frasest[[#This Row],[author_es]],autorest[author_es],autorest[age_la])</f>
        <v>Antiquitas</v>
      </c>
      <c r="Q281" t="str">
        <f>_xlfn.XLOOKUP(frasest[[#This Row],[author_es]],autorest[author_es],autorest[image])</f>
        <v>https://i.ibb.co/whvy5Lhm/sangregorioana.png</v>
      </c>
      <c r="R281">
        <f>_xlfn.XLOOKUP(frasest[[#This Row],[author_es]],autorest[author_es],autorest[image_atr])</f>
        <v>0</v>
      </c>
    </row>
    <row r="282" spans="1:18">
      <c r="A282">
        <v>281</v>
      </c>
      <c r="B282" t="s">
        <v>1013</v>
      </c>
      <c r="C282" t="s">
        <v>1014</v>
      </c>
      <c r="D282" t="s">
        <v>1014</v>
      </c>
      <c r="E282" t="s">
        <v>1002</v>
      </c>
      <c r="F282" t="s">
        <v>1015</v>
      </c>
      <c r="G282" t="str">
        <f>_xlfn.XLOOKUP(frasest[[#This Row],[author_es]],autorest[author_es],autorest[author_la])</f>
        <v>Gregorius Nazianzenus</v>
      </c>
      <c r="H282" t="str">
        <f>_xlfn.XLOOKUP(frasest[[#This Row],[author_es]],autorest[author_es],autorest[bio_es])</f>
        <v>Arzobispo de Constantinopla, Doctor de la Iglesia y Padre Capadocio. Llamado "el Teólogo", gran orador y defensor de la Trinidad. Uno de los tres Padres Capadocios.</v>
      </c>
      <c r="I282" t="str">
        <f>_xlfn.XLOOKUP(frasest[[#This Row],[author_es]],autorest[author_es],autorest[bio_la])</f>
        <v>Archiepiscopus Constantinopolitanus, Doctor Ecclesiae et Pater Cappadocius. "Theologus" vocatus, orator magnus et defensor Trinitatis. Unus ex tribus Patribus Cappadociis.</v>
      </c>
      <c r="J282" t="str">
        <f>_xlfn.XLOOKUP(frasest[[#This Row],[author_es]],autorest[author_es],autorest[iso3691])</f>
        <v>la</v>
      </c>
      <c r="K282" t="str">
        <f>_xlfn.XLOOKUP(frasest[[#This Row],[author_es]],autorest[author_es],autorest[language_es])</f>
        <v>Latín</v>
      </c>
      <c r="L282" t="str">
        <f>_xlfn.XLOOKUP(frasest[[#This Row],[author_es]],autorest[author_es],autorest[language_la])</f>
        <v>Lingua Latina</v>
      </c>
      <c r="M282" t="str">
        <f>_xlfn.XLOOKUP(frasest[[#This Row],[author_es]],autorest[author_es],autorest[nation_es])</f>
        <v>Roma</v>
      </c>
      <c r="N282" t="str">
        <f>_xlfn.XLOOKUP(frasest[[#This Row],[author_es]],autorest[author_es],autorest[nation_la])</f>
        <v>Roma</v>
      </c>
      <c r="O282" t="str">
        <f>_xlfn.XLOOKUP(frasest[[#This Row],[author_es]],autorest[author_es],autorest[age_es])</f>
        <v>Edad Antigua</v>
      </c>
      <c r="P282" t="str">
        <f>_xlfn.XLOOKUP(frasest[[#This Row],[author_es]],autorest[author_es],autorest[age_la])</f>
        <v>Antiquitas</v>
      </c>
      <c r="Q282" t="str">
        <f>_xlfn.XLOOKUP(frasest[[#This Row],[author_es]],autorest[author_es],autorest[image])</f>
        <v>https://i.ibb.co/whvy5Lhm/sangregorioana.png</v>
      </c>
      <c r="R282">
        <f>_xlfn.XLOOKUP(frasest[[#This Row],[author_es]],autorest[author_es],autorest[image_atr])</f>
        <v>0</v>
      </c>
    </row>
    <row r="283" spans="1:18">
      <c r="A283">
        <v>282</v>
      </c>
      <c r="B283" t="s">
        <v>1016</v>
      </c>
      <c r="C283" t="s">
        <v>1017</v>
      </c>
      <c r="D283" t="s">
        <v>1017</v>
      </c>
      <c r="E283" t="s">
        <v>1002</v>
      </c>
      <c r="F283" t="s">
        <v>1018</v>
      </c>
      <c r="G283" t="str">
        <f>_xlfn.XLOOKUP(frasest[[#This Row],[author_es]],autorest[author_es],autorest[author_la])</f>
        <v>Gregorius Nazianzenus</v>
      </c>
      <c r="H283" t="str">
        <f>_xlfn.XLOOKUP(frasest[[#This Row],[author_es]],autorest[author_es],autorest[bio_es])</f>
        <v>Arzobispo de Constantinopla, Doctor de la Iglesia y Padre Capadocio. Llamado "el Teólogo", gran orador y defensor de la Trinidad. Uno de los tres Padres Capadocios.</v>
      </c>
      <c r="I283" t="str">
        <f>_xlfn.XLOOKUP(frasest[[#This Row],[author_es]],autorest[author_es],autorest[bio_la])</f>
        <v>Archiepiscopus Constantinopolitanus, Doctor Ecclesiae et Pater Cappadocius. "Theologus" vocatus, orator magnus et defensor Trinitatis. Unus ex tribus Patribus Cappadociis.</v>
      </c>
      <c r="J283" t="str">
        <f>_xlfn.XLOOKUP(frasest[[#This Row],[author_es]],autorest[author_es],autorest[iso3691])</f>
        <v>la</v>
      </c>
      <c r="K283" t="str">
        <f>_xlfn.XLOOKUP(frasest[[#This Row],[author_es]],autorest[author_es],autorest[language_es])</f>
        <v>Latín</v>
      </c>
      <c r="L283" t="str">
        <f>_xlfn.XLOOKUP(frasest[[#This Row],[author_es]],autorest[author_es],autorest[language_la])</f>
        <v>Lingua Latina</v>
      </c>
      <c r="M283" t="str">
        <f>_xlfn.XLOOKUP(frasest[[#This Row],[author_es]],autorest[author_es],autorest[nation_es])</f>
        <v>Roma</v>
      </c>
      <c r="N283" t="str">
        <f>_xlfn.XLOOKUP(frasest[[#This Row],[author_es]],autorest[author_es],autorest[nation_la])</f>
        <v>Roma</v>
      </c>
      <c r="O283" t="str">
        <f>_xlfn.XLOOKUP(frasest[[#This Row],[author_es]],autorest[author_es],autorest[age_es])</f>
        <v>Edad Antigua</v>
      </c>
      <c r="P283" t="str">
        <f>_xlfn.XLOOKUP(frasest[[#This Row],[author_es]],autorest[author_es],autorest[age_la])</f>
        <v>Antiquitas</v>
      </c>
      <c r="Q283" t="str">
        <f>_xlfn.XLOOKUP(frasest[[#This Row],[author_es]],autorest[author_es],autorest[image])</f>
        <v>https://i.ibb.co/whvy5Lhm/sangregorioana.png</v>
      </c>
      <c r="R283">
        <f>_xlfn.XLOOKUP(frasest[[#This Row],[author_es]],autorest[author_es],autorest[image_atr])</f>
        <v>0</v>
      </c>
    </row>
    <row r="284" spans="1:18">
      <c r="A284">
        <v>283</v>
      </c>
      <c r="B284" t="s">
        <v>1019</v>
      </c>
      <c r="C284" t="s">
        <v>1020</v>
      </c>
      <c r="D284" t="s">
        <v>1020</v>
      </c>
      <c r="E284" t="s">
        <v>1002</v>
      </c>
      <c r="F284" t="s">
        <v>1021</v>
      </c>
      <c r="G284" t="str">
        <f>_xlfn.XLOOKUP(frasest[[#This Row],[author_es]],autorest[author_es],autorest[author_la])</f>
        <v>Gregorius Nazianzenus</v>
      </c>
      <c r="H284" t="str">
        <f>_xlfn.XLOOKUP(frasest[[#This Row],[author_es]],autorest[author_es],autorest[bio_es])</f>
        <v>Arzobispo de Constantinopla, Doctor de la Iglesia y Padre Capadocio. Llamado "el Teólogo", gran orador y defensor de la Trinidad. Uno de los tres Padres Capadocios.</v>
      </c>
      <c r="I284" t="str">
        <f>_xlfn.XLOOKUP(frasest[[#This Row],[author_es]],autorest[author_es],autorest[bio_la])</f>
        <v>Archiepiscopus Constantinopolitanus, Doctor Ecclesiae et Pater Cappadocius. "Theologus" vocatus, orator magnus et defensor Trinitatis. Unus ex tribus Patribus Cappadociis.</v>
      </c>
      <c r="J284" t="str">
        <f>_xlfn.XLOOKUP(frasest[[#This Row],[author_es]],autorest[author_es],autorest[iso3691])</f>
        <v>la</v>
      </c>
      <c r="K284" t="str">
        <f>_xlfn.XLOOKUP(frasest[[#This Row],[author_es]],autorest[author_es],autorest[language_es])</f>
        <v>Latín</v>
      </c>
      <c r="L284" t="str">
        <f>_xlfn.XLOOKUP(frasest[[#This Row],[author_es]],autorest[author_es],autorest[language_la])</f>
        <v>Lingua Latina</v>
      </c>
      <c r="M284" t="str">
        <f>_xlfn.XLOOKUP(frasest[[#This Row],[author_es]],autorest[author_es],autorest[nation_es])</f>
        <v>Roma</v>
      </c>
      <c r="N284" t="str">
        <f>_xlfn.XLOOKUP(frasest[[#This Row],[author_es]],autorest[author_es],autorest[nation_la])</f>
        <v>Roma</v>
      </c>
      <c r="O284" t="str">
        <f>_xlfn.XLOOKUP(frasest[[#This Row],[author_es]],autorest[author_es],autorest[age_es])</f>
        <v>Edad Antigua</v>
      </c>
      <c r="P284" t="str">
        <f>_xlfn.XLOOKUP(frasest[[#This Row],[author_es]],autorest[author_es],autorest[age_la])</f>
        <v>Antiquitas</v>
      </c>
      <c r="Q284" t="str">
        <f>_xlfn.XLOOKUP(frasest[[#This Row],[author_es]],autorest[author_es],autorest[image])</f>
        <v>https://i.ibb.co/whvy5Lhm/sangregorioana.png</v>
      </c>
      <c r="R284">
        <f>_xlfn.XLOOKUP(frasest[[#This Row],[author_es]],autorest[author_es],autorest[image_atr])</f>
        <v>0</v>
      </c>
    </row>
    <row r="285" spans="1:18">
      <c r="A285">
        <v>284</v>
      </c>
      <c r="B285" t="s">
        <v>1022</v>
      </c>
      <c r="C285" t="s">
        <v>1023</v>
      </c>
      <c r="D285" t="s">
        <v>1023</v>
      </c>
      <c r="E285" t="s">
        <v>1002</v>
      </c>
      <c r="F285" t="s">
        <v>1024</v>
      </c>
      <c r="G285" t="str">
        <f>_xlfn.XLOOKUP(frasest[[#This Row],[author_es]],autorest[author_es],autorest[author_la])</f>
        <v>Gregorius Nazianzenus</v>
      </c>
      <c r="H285" t="str">
        <f>_xlfn.XLOOKUP(frasest[[#This Row],[author_es]],autorest[author_es],autorest[bio_es])</f>
        <v>Arzobispo de Constantinopla, Doctor de la Iglesia y Padre Capadocio. Llamado "el Teólogo", gran orador y defensor de la Trinidad. Uno de los tres Padres Capadocios.</v>
      </c>
      <c r="I285" t="str">
        <f>_xlfn.XLOOKUP(frasest[[#This Row],[author_es]],autorest[author_es],autorest[bio_la])</f>
        <v>Archiepiscopus Constantinopolitanus, Doctor Ecclesiae et Pater Cappadocius. "Theologus" vocatus, orator magnus et defensor Trinitatis. Unus ex tribus Patribus Cappadociis.</v>
      </c>
      <c r="J285" t="str">
        <f>_xlfn.XLOOKUP(frasest[[#This Row],[author_es]],autorest[author_es],autorest[iso3691])</f>
        <v>la</v>
      </c>
      <c r="K285" t="str">
        <f>_xlfn.XLOOKUP(frasest[[#This Row],[author_es]],autorest[author_es],autorest[language_es])</f>
        <v>Latín</v>
      </c>
      <c r="L285" t="str">
        <f>_xlfn.XLOOKUP(frasest[[#This Row],[author_es]],autorest[author_es],autorest[language_la])</f>
        <v>Lingua Latina</v>
      </c>
      <c r="M285" t="str">
        <f>_xlfn.XLOOKUP(frasest[[#This Row],[author_es]],autorest[author_es],autorest[nation_es])</f>
        <v>Roma</v>
      </c>
      <c r="N285" t="str">
        <f>_xlfn.XLOOKUP(frasest[[#This Row],[author_es]],autorest[author_es],autorest[nation_la])</f>
        <v>Roma</v>
      </c>
      <c r="O285" t="str">
        <f>_xlfn.XLOOKUP(frasest[[#This Row],[author_es]],autorest[author_es],autorest[age_es])</f>
        <v>Edad Antigua</v>
      </c>
      <c r="P285" t="str">
        <f>_xlfn.XLOOKUP(frasest[[#This Row],[author_es]],autorest[author_es],autorest[age_la])</f>
        <v>Antiquitas</v>
      </c>
      <c r="Q285" t="str">
        <f>_xlfn.XLOOKUP(frasest[[#This Row],[author_es]],autorest[author_es],autorest[image])</f>
        <v>https://i.ibb.co/whvy5Lhm/sangregorioana.png</v>
      </c>
      <c r="R285">
        <f>_xlfn.XLOOKUP(frasest[[#This Row],[author_es]],autorest[author_es],autorest[image_atr])</f>
        <v>0</v>
      </c>
    </row>
    <row r="286" spans="1:18">
      <c r="A286">
        <v>285</v>
      </c>
      <c r="B286" t="s">
        <v>1025</v>
      </c>
      <c r="C286" t="s">
        <v>1026</v>
      </c>
      <c r="D286" t="s">
        <v>1026</v>
      </c>
      <c r="E286" t="s">
        <v>1002</v>
      </c>
      <c r="F286" t="s">
        <v>1027</v>
      </c>
      <c r="G286" t="str">
        <f>_xlfn.XLOOKUP(frasest[[#This Row],[author_es]],autorest[author_es],autorest[author_la])</f>
        <v>Gregorius Nazianzenus</v>
      </c>
      <c r="H286" t="str">
        <f>_xlfn.XLOOKUP(frasest[[#This Row],[author_es]],autorest[author_es],autorest[bio_es])</f>
        <v>Arzobispo de Constantinopla, Doctor de la Iglesia y Padre Capadocio. Llamado "el Teólogo", gran orador y defensor de la Trinidad. Uno de los tres Padres Capadocios.</v>
      </c>
      <c r="I286" t="str">
        <f>_xlfn.XLOOKUP(frasest[[#This Row],[author_es]],autorest[author_es],autorest[bio_la])</f>
        <v>Archiepiscopus Constantinopolitanus, Doctor Ecclesiae et Pater Cappadocius. "Theologus" vocatus, orator magnus et defensor Trinitatis. Unus ex tribus Patribus Cappadociis.</v>
      </c>
      <c r="J286" t="str">
        <f>_xlfn.XLOOKUP(frasest[[#This Row],[author_es]],autorest[author_es],autorest[iso3691])</f>
        <v>la</v>
      </c>
      <c r="K286" t="str">
        <f>_xlfn.XLOOKUP(frasest[[#This Row],[author_es]],autorest[author_es],autorest[language_es])</f>
        <v>Latín</v>
      </c>
      <c r="L286" t="str">
        <f>_xlfn.XLOOKUP(frasest[[#This Row],[author_es]],autorest[author_es],autorest[language_la])</f>
        <v>Lingua Latina</v>
      </c>
      <c r="M286" t="str">
        <f>_xlfn.XLOOKUP(frasest[[#This Row],[author_es]],autorest[author_es],autorest[nation_es])</f>
        <v>Roma</v>
      </c>
      <c r="N286" t="str">
        <f>_xlfn.XLOOKUP(frasest[[#This Row],[author_es]],autorest[author_es],autorest[nation_la])</f>
        <v>Roma</v>
      </c>
      <c r="O286" t="str">
        <f>_xlfn.XLOOKUP(frasest[[#This Row],[author_es]],autorest[author_es],autorest[age_es])</f>
        <v>Edad Antigua</v>
      </c>
      <c r="P286" t="str">
        <f>_xlfn.XLOOKUP(frasest[[#This Row],[author_es]],autorest[author_es],autorest[age_la])</f>
        <v>Antiquitas</v>
      </c>
      <c r="Q286" t="str">
        <f>_xlfn.XLOOKUP(frasest[[#This Row],[author_es]],autorest[author_es],autorest[image])</f>
        <v>https://i.ibb.co/whvy5Lhm/sangregorioana.png</v>
      </c>
      <c r="R286">
        <f>_xlfn.XLOOKUP(frasest[[#This Row],[author_es]],autorest[author_es],autorest[image_atr])</f>
        <v>0</v>
      </c>
    </row>
    <row r="287" spans="1:18">
      <c r="A287">
        <v>286</v>
      </c>
      <c r="B287" t="s">
        <v>1028</v>
      </c>
      <c r="C287" t="s">
        <v>1029</v>
      </c>
      <c r="D287" t="s">
        <v>1029</v>
      </c>
      <c r="E287" t="s">
        <v>1002</v>
      </c>
      <c r="F287" t="s">
        <v>1030</v>
      </c>
      <c r="G287" t="str">
        <f>_xlfn.XLOOKUP(frasest[[#This Row],[author_es]],autorest[author_es],autorest[author_la])</f>
        <v>Gregorius Nazianzenus</v>
      </c>
      <c r="H287" t="str">
        <f>_xlfn.XLOOKUP(frasest[[#This Row],[author_es]],autorest[author_es],autorest[bio_es])</f>
        <v>Arzobispo de Constantinopla, Doctor de la Iglesia y Padre Capadocio. Llamado "el Teólogo", gran orador y defensor de la Trinidad. Uno de los tres Padres Capadocios.</v>
      </c>
      <c r="I287" t="str">
        <f>_xlfn.XLOOKUP(frasest[[#This Row],[author_es]],autorest[author_es],autorest[bio_la])</f>
        <v>Archiepiscopus Constantinopolitanus, Doctor Ecclesiae et Pater Cappadocius. "Theologus" vocatus, orator magnus et defensor Trinitatis. Unus ex tribus Patribus Cappadociis.</v>
      </c>
      <c r="J287" t="str">
        <f>_xlfn.XLOOKUP(frasest[[#This Row],[author_es]],autorest[author_es],autorest[iso3691])</f>
        <v>la</v>
      </c>
      <c r="K287" t="str">
        <f>_xlfn.XLOOKUP(frasest[[#This Row],[author_es]],autorest[author_es],autorest[language_es])</f>
        <v>Latín</v>
      </c>
      <c r="L287" t="str">
        <f>_xlfn.XLOOKUP(frasest[[#This Row],[author_es]],autorest[author_es],autorest[language_la])</f>
        <v>Lingua Latina</v>
      </c>
      <c r="M287" t="str">
        <f>_xlfn.XLOOKUP(frasest[[#This Row],[author_es]],autorest[author_es],autorest[nation_es])</f>
        <v>Roma</v>
      </c>
      <c r="N287" t="str">
        <f>_xlfn.XLOOKUP(frasest[[#This Row],[author_es]],autorest[author_es],autorest[nation_la])</f>
        <v>Roma</v>
      </c>
      <c r="O287" t="str">
        <f>_xlfn.XLOOKUP(frasest[[#This Row],[author_es]],autorest[author_es],autorest[age_es])</f>
        <v>Edad Antigua</v>
      </c>
      <c r="P287" t="str">
        <f>_xlfn.XLOOKUP(frasest[[#This Row],[author_es]],autorest[author_es],autorest[age_la])</f>
        <v>Antiquitas</v>
      </c>
      <c r="Q287" t="str">
        <f>_xlfn.XLOOKUP(frasest[[#This Row],[author_es]],autorest[author_es],autorest[image])</f>
        <v>https://i.ibb.co/whvy5Lhm/sangregorioana.png</v>
      </c>
      <c r="R287">
        <f>_xlfn.XLOOKUP(frasest[[#This Row],[author_es]],autorest[author_es],autorest[image_atr])</f>
        <v>0</v>
      </c>
    </row>
    <row r="288" spans="1:18">
      <c r="A288">
        <v>287</v>
      </c>
      <c r="B288" t="s">
        <v>1031</v>
      </c>
      <c r="C288" t="s">
        <v>1032</v>
      </c>
      <c r="D288" t="s">
        <v>1032</v>
      </c>
      <c r="E288" t="s">
        <v>1033</v>
      </c>
      <c r="F288" t="s">
        <v>1034</v>
      </c>
      <c r="G288" t="str">
        <f>_xlfn.XLOOKUP(frasest[[#This Row],[author_es]],autorest[author_es],autorest[author_la])</f>
        <v>Gregorius Nyssenus</v>
      </c>
      <c r="H288" t="str">
        <f>_xlfn.XLOOKUP(frasest[[#This Row],[author_es]],autorest[author_es],autorest[bio_es])</f>
        <v>Obispo de Nisa, Doctor de la Iglesia y Padre Capadocio. Hermano de San Basilio Magno, teólogo místico y filósofo cristiano. Uno de los tres Padres Capadocios.</v>
      </c>
      <c r="I288" t="str">
        <f>_xlfn.XLOOKUP(frasest[[#This Row],[author_es]],autorest[author_es],autorest[bio_la])</f>
        <v>Episcopus Nyssenus, Doctor Ecclesiae et Pater Cappadocius. Frater Sancti Basilii Magni, theologus mysticus et philosophus Christianus. Unus ex tribus Patribus Cappadociis.</v>
      </c>
      <c r="J288" t="str">
        <f>_xlfn.XLOOKUP(frasest[[#This Row],[author_es]],autorest[author_es],autorest[iso3691])</f>
        <v>la</v>
      </c>
      <c r="K288" t="str">
        <f>_xlfn.XLOOKUP(frasest[[#This Row],[author_es]],autorest[author_es],autorest[language_es])</f>
        <v>Latín</v>
      </c>
      <c r="L288" t="str">
        <f>_xlfn.XLOOKUP(frasest[[#This Row],[author_es]],autorest[author_es],autorest[language_la])</f>
        <v>Lingua Latina</v>
      </c>
      <c r="M288" t="str">
        <f>_xlfn.XLOOKUP(frasest[[#This Row],[author_es]],autorest[author_es],autorest[nation_es])</f>
        <v>Roma</v>
      </c>
      <c r="N288" t="str">
        <f>_xlfn.XLOOKUP(frasest[[#This Row],[author_es]],autorest[author_es],autorest[nation_la])</f>
        <v>Roma</v>
      </c>
      <c r="O288" t="str">
        <f>_xlfn.XLOOKUP(frasest[[#This Row],[author_es]],autorest[author_es],autorest[age_es])</f>
        <v>Edad Antigua</v>
      </c>
      <c r="P288" t="str">
        <f>_xlfn.XLOOKUP(frasest[[#This Row],[author_es]],autorest[author_es],autorest[age_la])</f>
        <v>Antiquitas</v>
      </c>
      <c r="Q288" t="str">
        <f>_xlfn.XLOOKUP(frasest[[#This Row],[author_es]],autorest[author_es],autorest[image])</f>
        <v>https://i.ibb.co/LXBmwpy1/sangregorioniza.png</v>
      </c>
      <c r="R288">
        <f>_xlfn.XLOOKUP(frasest[[#This Row],[author_es]],autorest[author_es],autorest[image_atr])</f>
        <v>0</v>
      </c>
    </row>
    <row r="289" spans="1:18">
      <c r="A289">
        <v>288</v>
      </c>
      <c r="B289" t="s">
        <v>1035</v>
      </c>
      <c r="C289" t="s">
        <v>1036</v>
      </c>
      <c r="D289" t="s">
        <v>1036</v>
      </c>
      <c r="E289" t="s">
        <v>1033</v>
      </c>
      <c r="F289" t="s">
        <v>1037</v>
      </c>
      <c r="G289" t="str">
        <f>_xlfn.XLOOKUP(frasest[[#This Row],[author_es]],autorest[author_es],autorest[author_la])</f>
        <v>Gregorius Nyssenus</v>
      </c>
      <c r="H289" t="str">
        <f>_xlfn.XLOOKUP(frasest[[#This Row],[author_es]],autorest[author_es],autorest[bio_es])</f>
        <v>Obispo de Nisa, Doctor de la Iglesia y Padre Capadocio. Hermano de San Basilio Magno, teólogo místico y filósofo cristiano. Uno de los tres Padres Capadocios.</v>
      </c>
      <c r="I289" t="str">
        <f>_xlfn.XLOOKUP(frasest[[#This Row],[author_es]],autorest[author_es],autorest[bio_la])</f>
        <v>Episcopus Nyssenus, Doctor Ecclesiae et Pater Cappadocius. Frater Sancti Basilii Magni, theologus mysticus et philosophus Christianus. Unus ex tribus Patribus Cappadociis.</v>
      </c>
      <c r="J289" t="str">
        <f>_xlfn.XLOOKUP(frasest[[#This Row],[author_es]],autorest[author_es],autorest[iso3691])</f>
        <v>la</v>
      </c>
      <c r="K289" t="str">
        <f>_xlfn.XLOOKUP(frasest[[#This Row],[author_es]],autorest[author_es],autorest[language_es])</f>
        <v>Latín</v>
      </c>
      <c r="L289" t="str">
        <f>_xlfn.XLOOKUP(frasest[[#This Row],[author_es]],autorest[author_es],autorest[language_la])</f>
        <v>Lingua Latina</v>
      </c>
      <c r="M289" t="str">
        <f>_xlfn.XLOOKUP(frasest[[#This Row],[author_es]],autorest[author_es],autorest[nation_es])</f>
        <v>Roma</v>
      </c>
      <c r="N289" t="str">
        <f>_xlfn.XLOOKUP(frasest[[#This Row],[author_es]],autorest[author_es],autorest[nation_la])</f>
        <v>Roma</v>
      </c>
      <c r="O289" t="str">
        <f>_xlfn.XLOOKUP(frasest[[#This Row],[author_es]],autorest[author_es],autorest[age_es])</f>
        <v>Edad Antigua</v>
      </c>
      <c r="P289" t="str">
        <f>_xlfn.XLOOKUP(frasest[[#This Row],[author_es]],autorest[author_es],autorest[age_la])</f>
        <v>Antiquitas</v>
      </c>
      <c r="Q289" t="str">
        <f>_xlfn.XLOOKUP(frasest[[#This Row],[author_es]],autorest[author_es],autorest[image])</f>
        <v>https://i.ibb.co/LXBmwpy1/sangregorioniza.png</v>
      </c>
      <c r="R289">
        <f>_xlfn.XLOOKUP(frasest[[#This Row],[author_es]],autorest[author_es],autorest[image_atr])</f>
        <v>0</v>
      </c>
    </row>
    <row r="290" spans="1:18">
      <c r="A290">
        <v>289</v>
      </c>
      <c r="B290" t="s">
        <v>1038</v>
      </c>
      <c r="C290" t="s">
        <v>1039</v>
      </c>
      <c r="D290" t="s">
        <v>1039</v>
      </c>
      <c r="E290" t="s">
        <v>1033</v>
      </c>
      <c r="F290" t="s">
        <v>1040</v>
      </c>
      <c r="G290" t="str">
        <f>_xlfn.XLOOKUP(frasest[[#This Row],[author_es]],autorest[author_es],autorest[author_la])</f>
        <v>Gregorius Nyssenus</v>
      </c>
      <c r="H290" t="str">
        <f>_xlfn.XLOOKUP(frasest[[#This Row],[author_es]],autorest[author_es],autorest[bio_es])</f>
        <v>Obispo de Nisa, Doctor de la Iglesia y Padre Capadocio. Hermano de San Basilio Magno, teólogo místico y filósofo cristiano. Uno de los tres Padres Capadocios.</v>
      </c>
      <c r="I290" t="str">
        <f>_xlfn.XLOOKUP(frasest[[#This Row],[author_es]],autorest[author_es],autorest[bio_la])</f>
        <v>Episcopus Nyssenus, Doctor Ecclesiae et Pater Cappadocius. Frater Sancti Basilii Magni, theologus mysticus et philosophus Christianus. Unus ex tribus Patribus Cappadociis.</v>
      </c>
      <c r="J290" t="str">
        <f>_xlfn.XLOOKUP(frasest[[#This Row],[author_es]],autorest[author_es],autorest[iso3691])</f>
        <v>la</v>
      </c>
      <c r="K290" t="str">
        <f>_xlfn.XLOOKUP(frasest[[#This Row],[author_es]],autorest[author_es],autorest[language_es])</f>
        <v>Latín</v>
      </c>
      <c r="L290" t="str">
        <f>_xlfn.XLOOKUP(frasest[[#This Row],[author_es]],autorest[author_es],autorest[language_la])</f>
        <v>Lingua Latina</v>
      </c>
      <c r="M290" t="str">
        <f>_xlfn.XLOOKUP(frasest[[#This Row],[author_es]],autorest[author_es],autorest[nation_es])</f>
        <v>Roma</v>
      </c>
      <c r="N290" t="str">
        <f>_xlfn.XLOOKUP(frasest[[#This Row],[author_es]],autorest[author_es],autorest[nation_la])</f>
        <v>Roma</v>
      </c>
      <c r="O290" t="str">
        <f>_xlfn.XLOOKUP(frasest[[#This Row],[author_es]],autorest[author_es],autorest[age_es])</f>
        <v>Edad Antigua</v>
      </c>
      <c r="P290" t="str">
        <f>_xlfn.XLOOKUP(frasest[[#This Row],[author_es]],autorest[author_es],autorest[age_la])</f>
        <v>Antiquitas</v>
      </c>
      <c r="Q290" t="str">
        <f>_xlfn.XLOOKUP(frasest[[#This Row],[author_es]],autorest[author_es],autorest[image])</f>
        <v>https://i.ibb.co/LXBmwpy1/sangregorioniza.png</v>
      </c>
      <c r="R290">
        <f>_xlfn.XLOOKUP(frasest[[#This Row],[author_es]],autorest[author_es],autorest[image_atr])</f>
        <v>0</v>
      </c>
    </row>
    <row r="291" spans="1:18">
      <c r="A291">
        <v>290</v>
      </c>
      <c r="B291" t="s">
        <v>1041</v>
      </c>
      <c r="C291" t="s">
        <v>1042</v>
      </c>
      <c r="D291" t="s">
        <v>1042</v>
      </c>
      <c r="E291" t="s">
        <v>1033</v>
      </c>
      <c r="F291" t="s">
        <v>1043</v>
      </c>
      <c r="G291" t="str">
        <f>_xlfn.XLOOKUP(frasest[[#This Row],[author_es]],autorest[author_es],autorest[author_la])</f>
        <v>Gregorius Nyssenus</v>
      </c>
      <c r="H291" t="str">
        <f>_xlfn.XLOOKUP(frasest[[#This Row],[author_es]],autorest[author_es],autorest[bio_es])</f>
        <v>Obispo de Nisa, Doctor de la Iglesia y Padre Capadocio. Hermano de San Basilio Magno, teólogo místico y filósofo cristiano. Uno de los tres Padres Capadocios.</v>
      </c>
      <c r="I291" t="str">
        <f>_xlfn.XLOOKUP(frasest[[#This Row],[author_es]],autorest[author_es],autorest[bio_la])</f>
        <v>Episcopus Nyssenus, Doctor Ecclesiae et Pater Cappadocius. Frater Sancti Basilii Magni, theologus mysticus et philosophus Christianus. Unus ex tribus Patribus Cappadociis.</v>
      </c>
      <c r="J291" t="str">
        <f>_xlfn.XLOOKUP(frasest[[#This Row],[author_es]],autorest[author_es],autorest[iso3691])</f>
        <v>la</v>
      </c>
      <c r="K291" t="str">
        <f>_xlfn.XLOOKUP(frasest[[#This Row],[author_es]],autorest[author_es],autorest[language_es])</f>
        <v>Latín</v>
      </c>
      <c r="L291" t="str">
        <f>_xlfn.XLOOKUP(frasest[[#This Row],[author_es]],autorest[author_es],autorest[language_la])</f>
        <v>Lingua Latina</v>
      </c>
      <c r="M291" t="str">
        <f>_xlfn.XLOOKUP(frasest[[#This Row],[author_es]],autorest[author_es],autorest[nation_es])</f>
        <v>Roma</v>
      </c>
      <c r="N291" t="str">
        <f>_xlfn.XLOOKUP(frasest[[#This Row],[author_es]],autorest[author_es],autorest[nation_la])</f>
        <v>Roma</v>
      </c>
      <c r="O291" t="str">
        <f>_xlfn.XLOOKUP(frasest[[#This Row],[author_es]],autorest[author_es],autorest[age_es])</f>
        <v>Edad Antigua</v>
      </c>
      <c r="P291" t="str">
        <f>_xlfn.XLOOKUP(frasest[[#This Row],[author_es]],autorest[author_es],autorest[age_la])</f>
        <v>Antiquitas</v>
      </c>
      <c r="Q291" t="str">
        <f>_xlfn.XLOOKUP(frasest[[#This Row],[author_es]],autorest[author_es],autorest[image])</f>
        <v>https://i.ibb.co/LXBmwpy1/sangregorioniza.png</v>
      </c>
      <c r="R291">
        <f>_xlfn.XLOOKUP(frasest[[#This Row],[author_es]],autorest[author_es],autorest[image_atr])</f>
        <v>0</v>
      </c>
    </row>
    <row r="292" spans="1:18">
      <c r="A292">
        <v>291</v>
      </c>
      <c r="B292" t="s">
        <v>1044</v>
      </c>
      <c r="C292" t="s">
        <v>1045</v>
      </c>
      <c r="D292" t="s">
        <v>1045</v>
      </c>
      <c r="E292" t="s">
        <v>1033</v>
      </c>
      <c r="F292" t="s">
        <v>1046</v>
      </c>
      <c r="G292" t="str">
        <f>_xlfn.XLOOKUP(frasest[[#This Row],[author_es]],autorest[author_es],autorest[author_la])</f>
        <v>Gregorius Nyssenus</v>
      </c>
      <c r="H292" t="str">
        <f>_xlfn.XLOOKUP(frasest[[#This Row],[author_es]],autorest[author_es],autorest[bio_es])</f>
        <v>Obispo de Nisa, Doctor de la Iglesia y Padre Capadocio. Hermano de San Basilio Magno, teólogo místico y filósofo cristiano. Uno de los tres Padres Capadocios.</v>
      </c>
      <c r="I292" t="str">
        <f>_xlfn.XLOOKUP(frasest[[#This Row],[author_es]],autorest[author_es],autorest[bio_la])</f>
        <v>Episcopus Nyssenus, Doctor Ecclesiae et Pater Cappadocius. Frater Sancti Basilii Magni, theologus mysticus et philosophus Christianus. Unus ex tribus Patribus Cappadociis.</v>
      </c>
      <c r="J292" t="str">
        <f>_xlfn.XLOOKUP(frasest[[#This Row],[author_es]],autorest[author_es],autorest[iso3691])</f>
        <v>la</v>
      </c>
      <c r="K292" t="str">
        <f>_xlfn.XLOOKUP(frasest[[#This Row],[author_es]],autorest[author_es],autorest[language_es])</f>
        <v>Latín</v>
      </c>
      <c r="L292" t="str">
        <f>_xlfn.XLOOKUP(frasest[[#This Row],[author_es]],autorest[author_es],autorest[language_la])</f>
        <v>Lingua Latina</v>
      </c>
      <c r="M292" t="str">
        <f>_xlfn.XLOOKUP(frasest[[#This Row],[author_es]],autorest[author_es],autorest[nation_es])</f>
        <v>Roma</v>
      </c>
      <c r="N292" t="str">
        <f>_xlfn.XLOOKUP(frasest[[#This Row],[author_es]],autorest[author_es],autorest[nation_la])</f>
        <v>Roma</v>
      </c>
      <c r="O292" t="str">
        <f>_xlfn.XLOOKUP(frasest[[#This Row],[author_es]],autorest[author_es],autorest[age_es])</f>
        <v>Edad Antigua</v>
      </c>
      <c r="P292" t="str">
        <f>_xlfn.XLOOKUP(frasest[[#This Row],[author_es]],autorest[author_es],autorest[age_la])</f>
        <v>Antiquitas</v>
      </c>
      <c r="Q292" t="str">
        <f>_xlfn.XLOOKUP(frasest[[#This Row],[author_es]],autorest[author_es],autorest[image])</f>
        <v>https://i.ibb.co/LXBmwpy1/sangregorioniza.png</v>
      </c>
      <c r="R292">
        <f>_xlfn.XLOOKUP(frasest[[#This Row],[author_es]],autorest[author_es],autorest[image_atr])</f>
        <v>0</v>
      </c>
    </row>
    <row r="293" spans="1:18">
      <c r="A293">
        <v>292</v>
      </c>
      <c r="B293" t="s">
        <v>1047</v>
      </c>
      <c r="C293" t="s">
        <v>1048</v>
      </c>
      <c r="D293" t="s">
        <v>1048</v>
      </c>
      <c r="E293" t="s">
        <v>1033</v>
      </c>
      <c r="F293" t="s">
        <v>1049</v>
      </c>
      <c r="G293" t="str">
        <f>_xlfn.XLOOKUP(frasest[[#This Row],[author_es]],autorest[author_es],autorest[author_la])</f>
        <v>Gregorius Nyssenus</v>
      </c>
      <c r="H293" t="str">
        <f>_xlfn.XLOOKUP(frasest[[#This Row],[author_es]],autorest[author_es],autorest[bio_es])</f>
        <v>Obispo de Nisa, Doctor de la Iglesia y Padre Capadocio. Hermano de San Basilio Magno, teólogo místico y filósofo cristiano. Uno de los tres Padres Capadocios.</v>
      </c>
      <c r="I293" t="str">
        <f>_xlfn.XLOOKUP(frasest[[#This Row],[author_es]],autorest[author_es],autorest[bio_la])</f>
        <v>Episcopus Nyssenus, Doctor Ecclesiae et Pater Cappadocius. Frater Sancti Basilii Magni, theologus mysticus et philosophus Christianus. Unus ex tribus Patribus Cappadociis.</v>
      </c>
      <c r="J293" t="str">
        <f>_xlfn.XLOOKUP(frasest[[#This Row],[author_es]],autorest[author_es],autorest[iso3691])</f>
        <v>la</v>
      </c>
      <c r="K293" t="str">
        <f>_xlfn.XLOOKUP(frasest[[#This Row],[author_es]],autorest[author_es],autorest[language_es])</f>
        <v>Latín</v>
      </c>
      <c r="L293" t="str">
        <f>_xlfn.XLOOKUP(frasest[[#This Row],[author_es]],autorest[author_es],autorest[language_la])</f>
        <v>Lingua Latina</v>
      </c>
      <c r="M293" t="str">
        <f>_xlfn.XLOOKUP(frasest[[#This Row],[author_es]],autorest[author_es],autorest[nation_es])</f>
        <v>Roma</v>
      </c>
      <c r="N293" t="str">
        <f>_xlfn.XLOOKUP(frasest[[#This Row],[author_es]],autorest[author_es],autorest[nation_la])</f>
        <v>Roma</v>
      </c>
      <c r="O293" t="str">
        <f>_xlfn.XLOOKUP(frasest[[#This Row],[author_es]],autorest[author_es],autorest[age_es])</f>
        <v>Edad Antigua</v>
      </c>
      <c r="P293" t="str">
        <f>_xlfn.XLOOKUP(frasest[[#This Row],[author_es]],autorest[author_es],autorest[age_la])</f>
        <v>Antiquitas</v>
      </c>
      <c r="Q293" t="str">
        <f>_xlfn.XLOOKUP(frasest[[#This Row],[author_es]],autorest[author_es],autorest[image])</f>
        <v>https://i.ibb.co/LXBmwpy1/sangregorioniza.png</v>
      </c>
      <c r="R293">
        <f>_xlfn.XLOOKUP(frasest[[#This Row],[author_es]],autorest[author_es],autorest[image_atr])</f>
        <v>0</v>
      </c>
    </row>
    <row r="294" spans="1:18">
      <c r="A294">
        <v>293</v>
      </c>
      <c r="B294" t="s">
        <v>1050</v>
      </c>
      <c r="C294" t="s">
        <v>1051</v>
      </c>
      <c r="D294" t="s">
        <v>1051</v>
      </c>
      <c r="E294" t="s">
        <v>1033</v>
      </c>
      <c r="F294" t="s">
        <v>1052</v>
      </c>
      <c r="G294" t="str">
        <f>_xlfn.XLOOKUP(frasest[[#This Row],[author_es]],autorest[author_es],autorest[author_la])</f>
        <v>Gregorius Nyssenus</v>
      </c>
      <c r="H294" t="str">
        <f>_xlfn.XLOOKUP(frasest[[#This Row],[author_es]],autorest[author_es],autorest[bio_es])</f>
        <v>Obispo de Nisa, Doctor de la Iglesia y Padre Capadocio. Hermano de San Basilio Magno, teólogo místico y filósofo cristiano. Uno de los tres Padres Capadocios.</v>
      </c>
      <c r="I294" t="str">
        <f>_xlfn.XLOOKUP(frasest[[#This Row],[author_es]],autorest[author_es],autorest[bio_la])</f>
        <v>Episcopus Nyssenus, Doctor Ecclesiae et Pater Cappadocius. Frater Sancti Basilii Magni, theologus mysticus et philosophus Christianus. Unus ex tribus Patribus Cappadociis.</v>
      </c>
      <c r="J294" t="str">
        <f>_xlfn.XLOOKUP(frasest[[#This Row],[author_es]],autorest[author_es],autorest[iso3691])</f>
        <v>la</v>
      </c>
      <c r="K294" t="str">
        <f>_xlfn.XLOOKUP(frasest[[#This Row],[author_es]],autorest[author_es],autorest[language_es])</f>
        <v>Latín</v>
      </c>
      <c r="L294" t="str">
        <f>_xlfn.XLOOKUP(frasest[[#This Row],[author_es]],autorest[author_es],autorest[language_la])</f>
        <v>Lingua Latina</v>
      </c>
      <c r="M294" t="str">
        <f>_xlfn.XLOOKUP(frasest[[#This Row],[author_es]],autorest[author_es],autorest[nation_es])</f>
        <v>Roma</v>
      </c>
      <c r="N294" t="str">
        <f>_xlfn.XLOOKUP(frasest[[#This Row],[author_es]],autorest[author_es],autorest[nation_la])</f>
        <v>Roma</v>
      </c>
      <c r="O294" t="str">
        <f>_xlfn.XLOOKUP(frasest[[#This Row],[author_es]],autorest[author_es],autorest[age_es])</f>
        <v>Edad Antigua</v>
      </c>
      <c r="P294" t="str">
        <f>_xlfn.XLOOKUP(frasest[[#This Row],[author_es]],autorest[author_es],autorest[age_la])</f>
        <v>Antiquitas</v>
      </c>
      <c r="Q294" t="str">
        <f>_xlfn.XLOOKUP(frasest[[#This Row],[author_es]],autorest[author_es],autorest[image])</f>
        <v>https://i.ibb.co/LXBmwpy1/sangregorioniza.png</v>
      </c>
      <c r="R294">
        <f>_xlfn.XLOOKUP(frasest[[#This Row],[author_es]],autorest[author_es],autorest[image_atr])</f>
        <v>0</v>
      </c>
    </row>
    <row r="295" spans="1:18">
      <c r="A295">
        <v>294</v>
      </c>
      <c r="B295" t="s">
        <v>1053</v>
      </c>
      <c r="C295" t="s">
        <v>1054</v>
      </c>
      <c r="D295" t="s">
        <v>1054</v>
      </c>
      <c r="E295" t="s">
        <v>1033</v>
      </c>
      <c r="F295" t="s">
        <v>1055</v>
      </c>
      <c r="G295" t="str">
        <f>_xlfn.XLOOKUP(frasest[[#This Row],[author_es]],autorest[author_es],autorest[author_la])</f>
        <v>Gregorius Nyssenus</v>
      </c>
      <c r="H295" t="str">
        <f>_xlfn.XLOOKUP(frasest[[#This Row],[author_es]],autorest[author_es],autorest[bio_es])</f>
        <v>Obispo de Nisa, Doctor de la Iglesia y Padre Capadocio. Hermano de San Basilio Magno, teólogo místico y filósofo cristiano. Uno de los tres Padres Capadocios.</v>
      </c>
      <c r="I295" t="str">
        <f>_xlfn.XLOOKUP(frasest[[#This Row],[author_es]],autorest[author_es],autorest[bio_la])</f>
        <v>Episcopus Nyssenus, Doctor Ecclesiae et Pater Cappadocius. Frater Sancti Basilii Magni, theologus mysticus et philosophus Christianus. Unus ex tribus Patribus Cappadociis.</v>
      </c>
      <c r="J295" t="str">
        <f>_xlfn.XLOOKUP(frasest[[#This Row],[author_es]],autorest[author_es],autorest[iso3691])</f>
        <v>la</v>
      </c>
      <c r="K295" t="str">
        <f>_xlfn.XLOOKUP(frasest[[#This Row],[author_es]],autorest[author_es],autorest[language_es])</f>
        <v>Latín</v>
      </c>
      <c r="L295" t="str">
        <f>_xlfn.XLOOKUP(frasest[[#This Row],[author_es]],autorest[author_es],autorest[language_la])</f>
        <v>Lingua Latina</v>
      </c>
      <c r="M295" t="str">
        <f>_xlfn.XLOOKUP(frasest[[#This Row],[author_es]],autorest[author_es],autorest[nation_es])</f>
        <v>Roma</v>
      </c>
      <c r="N295" t="str">
        <f>_xlfn.XLOOKUP(frasest[[#This Row],[author_es]],autorest[author_es],autorest[nation_la])</f>
        <v>Roma</v>
      </c>
      <c r="O295" t="str">
        <f>_xlfn.XLOOKUP(frasest[[#This Row],[author_es]],autorest[author_es],autorest[age_es])</f>
        <v>Edad Antigua</v>
      </c>
      <c r="P295" t="str">
        <f>_xlfn.XLOOKUP(frasest[[#This Row],[author_es]],autorest[author_es],autorest[age_la])</f>
        <v>Antiquitas</v>
      </c>
      <c r="Q295" t="str">
        <f>_xlfn.XLOOKUP(frasest[[#This Row],[author_es]],autorest[author_es],autorest[image])</f>
        <v>https://i.ibb.co/LXBmwpy1/sangregorioniza.png</v>
      </c>
      <c r="R295">
        <f>_xlfn.XLOOKUP(frasest[[#This Row],[author_es]],autorest[author_es],autorest[image_atr])</f>
        <v>0</v>
      </c>
    </row>
    <row r="296" spans="1:18">
      <c r="A296">
        <v>295</v>
      </c>
      <c r="B296" t="s">
        <v>1056</v>
      </c>
      <c r="C296" t="s">
        <v>1057</v>
      </c>
      <c r="D296" t="s">
        <v>1057</v>
      </c>
      <c r="E296" t="s">
        <v>1033</v>
      </c>
      <c r="F296" t="s">
        <v>1058</v>
      </c>
      <c r="G296" t="str">
        <f>_xlfn.XLOOKUP(frasest[[#This Row],[author_es]],autorest[author_es],autorest[author_la])</f>
        <v>Gregorius Nyssenus</v>
      </c>
      <c r="H296" t="str">
        <f>_xlfn.XLOOKUP(frasest[[#This Row],[author_es]],autorest[author_es],autorest[bio_es])</f>
        <v>Obispo de Nisa, Doctor de la Iglesia y Padre Capadocio. Hermano de San Basilio Magno, teólogo místico y filósofo cristiano. Uno de los tres Padres Capadocios.</v>
      </c>
      <c r="I296" t="str">
        <f>_xlfn.XLOOKUP(frasest[[#This Row],[author_es]],autorest[author_es],autorest[bio_la])</f>
        <v>Episcopus Nyssenus, Doctor Ecclesiae et Pater Cappadocius. Frater Sancti Basilii Magni, theologus mysticus et philosophus Christianus. Unus ex tribus Patribus Cappadociis.</v>
      </c>
      <c r="J296" t="str">
        <f>_xlfn.XLOOKUP(frasest[[#This Row],[author_es]],autorest[author_es],autorest[iso3691])</f>
        <v>la</v>
      </c>
      <c r="K296" t="str">
        <f>_xlfn.XLOOKUP(frasest[[#This Row],[author_es]],autorest[author_es],autorest[language_es])</f>
        <v>Latín</v>
      </c>
      <c r="L296" t="str">
        <f>_xlfn.XLOOKUP(frasest[[#This Row],[author_es]],autorest[author_es],autorest[language_la])</f>
        <v>Lingua Latina</v>
      </c>
      <c r="M296" t="str">
        <f>_xlfn.XLOOKUP(frasest[[#This Row],[author_es]],autorest[author_es],autorest[nation_es])</f>
        <v>Roma</v>
      </c>
      <c r="N296" t="str">
        <f>_xlfn.XLOOKUP(frasest[[#This Row],[author_es]],autorest[author_es],autorest[nation_la])</f>
        <v>Roma</v>
      </c>
      <c r="O296" t="str">
        <f>_xlfn.XLOOKUP(frasest[[#This Row],[author_es]],autorest[author_es],autorest[age_es])</f>
        <v>Edad Antigua</v>
      </c>
      <c r="P296" t="str">
        <f>_xlfn.XLOOKUP(frasest[[#This Row],[author_es]],autorest[author_es],autorest[age_la])</f>
        <v>Antiquitas</v>
      </c>
      <c r="Q296" t="str">
        <f>_xlfn.XLOOKUP(frasest[[#This Row],[author_es]],autorest[author_es],autorest[image])</f>
        <v>https://i.ibb.co/LXBmwpy1/sangregorioniza.png</v>
      </c>
      <c r="R296">
        <f>_xlfn.XLOOKUP(frasest[[#This Row],[author_es]],autorest[author_es],autorest[image_atr])</f>
        <v>0</v>
      </c>
    </row>
    <row r="297" spans="1:18">
      <c r="A297">
        <v>296</v>
      </c>
      <c r="B297" t="s">
        <v>1059</v>
      </c>
      <c r="C297" t="s">
        <v>1060</v>
      </c>
      <c r="D297" t="s">
        <v>1060</v>
      </c>
      <c r="E297" t="s">
        <v>1033</v>
      </c>
      <c r="F297" t="s">
        <v>1061</v>
      </c>
      <c r="G297" t="str">
        <f>_xlfn.XLOOKUP(frasest[[#This Row],[author_es]],autorest[author_es],autorest[author_la])</f>
        <v>Gregorius Nyssenus</v>
      </c>
      <c r="H297" t="str">
        <f>_xlfn.XLOOKUP(frasest[[#This Row],[author_es]],autorest[author_es],autorest[bio_es])</f>
        <v>Obispo de Nisa, Doctor de la Iglesia y Padre Capadocio. Hermano de San Basilio Magno, teólogo místico y filósofo cristiano. Uno de los tres Padres Capadocios.</v>
      </c>
      <c r="I297" t="str">
        <f>_xlfn.XLOOKUP(frasest[[#This Row],[author_es]],autorest[author_es],autorest[bio_la])</f>
        <v>Episcopus Nyssenus, Doctor Ecclesiae et Pater Cappadocius. Frater Sancti Basilii Magni, theologus mysticus et philosophus Christianus. Unus ex tribus Patribus Cappadociis.</v>
      </c>
      <c r="J297" t="str">
        <f>_xlfn.XLOOKUP(frasest[[#This Row],[author_es]],autorest[author_es],autorest[iso3691])</f>
        <v>la</v>
      </c>
      <c r="K297" t="str">
        <f>_xlfn.XLOOKUP(frasest[[#This Row],[author_es]],autorest[author_es],autorest[language_es])</f>
        <v>Latín</v>
      </c>
      <c r="L297" t="str">
        <f>_xlfn.XLOOKUP(frasest[[#This Row],[author_es]],autorest[author_es],autorest[language_la])</f>
        <v>Lingua Latina</v>
      </c>
      <c r="M297" t="str">
        <f>_xlfn.XLOOKUP(frasest[[#This Row],[author_es]],autorest[author_es],autorest[nation_es])</f>
        <v>Roma</v>
      </c>
      <c r="N297" t="str">
        <f>_xlfn.XLOOKUP(frasest[[#This Row],[author_es]],autorest[author_es],autorest[nation_la])</f>
        <v>Roma</v>
      </c>
      <c r="O297" t="str">
        <f>_xlfn.XLOOKUP(frasest[[#This Row],[author_es]],autorest[author_es],autorest[age_es])</f>
        <v>Edad Antigua</v>
      </c>
      <c r="P297" t="str">
        <f>_xlfn.XLOOKUP(frasest[[#This Row],[author_es]],autorest[author_es],autorest[age_la])</f>
        <v>Antiquitas</v>
      </c>
      <c r="Q297" t="str">
        <f>_xlfn.XLOOKUP(frasest[[#This Row],[author_es]],autorest[author_es],autorest[image])</f>
        <v>https://i.ibb.co/LXBmwpy1/sangregorioniza.png</v>
      </c>
      <c r="R297">
        <f>_xlfn.XLOOKUP(frasest[[#This Row],[author_es]],autorest[author_es],autorest[image_atr])</f>
        <v>0</v>
      </c>
    </row>
    <row r="298" spans="1:18">
      <c r="A298">
        <v>297</v>
      </c>
      <c r="B298" t="s">
        <v>1062</v>
      </c>
      <c r="C298" t="s">
        <v>1063</v>
      </c>
      <c r="D298" t="s">
        <v>1063</v>
      </c>
      <c r="E298" t="s">
        <v>1064</v>
      </c>
      <c r="F298" t="s">
        <v>1065</v>
      </c>
      <c r="G298" t="str">
        <f>_xlfn.XLOOKUP(frasest[[#This Row],[author_es]],autorest[author_es],autorest[author_la])</f>
        <v>Ambrosius Mediolanensis</v>
      </c>
      <c r="H298" t="str">
        <f>_xlfn.XLOOKUP(frasest[[#This Row],[author_es]],autorest[author_es],autorest[bio_es])</f>
        <v>Obispo de Milán, Doctor de la Iglesia y Padre Latino. Maestro de San Agustín, defensor de la ortodoxia y autoridad moral frente al poder imperial.</v>
      </c>
      <c r="I298" t="str">
        <f>_xlfn.XLOOKUP(frasest[[#This Row],[author_es]],autorest[author_es],autorest[bio_la])</f>
        <v>Episcopus Mediolanensis, Doctor Ecclesiae et Pater Latinus. Magister Sancti Augustini, orthodoxiae defensor et auctoritas moralis contra imperium.</v>
      </c>
      <c r="J298" t="str">
        <f>_xlfn.XLOOKUP(frasest[[#This Row],[author_es]],autorest[author_es],autorest[iso3691])</f>
        <v>la</v>
      </c>
      <c r="K298" t="str">
        <f>_xlfn.XLOOKUP(frasest[[#This Row],[author_es]],autorest[author_es],autorest[language_es])</f>
        <v>Latín</v>
      </c>
      <c r="L298" t="str">
        <f>_xlfn.XLOOKUP(frasest[[#This Row],[author_es]],autorest[author_es],autorest[language_la])</f>
        <v>Lingua Latina</v>
      </c>
      <c r="M298" t="str">
        <f>_xlfn.XLOOKUP(frasest[[#This Row],[author_es]],autorest[author_es],autorest[nation_es])</f>
        <v>Roma</v>
      </c>
      <c r="N298" t="str">
        <f>_xlfn.XLOOKUP(frasest[[#This Row],[author_es]],autorest[author_es],autorest[nation_la])</f>
        <v>Roma</v>
      </c>
      <c r="O298" t="str">
        <f>_xlfn.XLOOKUP(frasest[[#This Row],[author_es]],autorest[author_es],autorest[age_es])</f>
        <v>Edad Antigua</v>
      </c>
      <c r="P298" t="str">
        <f>_xlfn.XLOOKUP(frasest[[#This Row],[author_es]],autorest[author_es],autorest[age_la])</f>
        <v>Antiquitas</v>
      </c>
      <c r="Q298" t="str">
        <f>_xlfn.XLOOKUP(frasest[[#This Row],[author_es]],autorest[author_es],autorest[image])</f>
        <v>https://i.ibb.co/yncvTttZ/sanambrosio.png</v>
      </c>
      <c r="R298">
        <f>_xlfn.XLOOKUP(frasest[[#This Row],[author_es]],autorest[author_es],autorest[image_atr])</f>
        <v>0</v>
      </c>
    </row>
    <row r="299" spans="1:18">
      <c r="A299">
        <v>298</v>
      </c>
      <c r="B299" t="s">
        <v>1066</v>
      </c>
      <c r="C299" t="s">
        <v>1067</v>
      </c>
      <c r="D299" t="s">
        <v>1067</v>
      </c>
      <c r="E299" t="s">
        <v>1064</v>
      </c>
      <c r="F299" t="s">
        <v>1068</v>
      </c>
      <c r="G299" t="str">
        <f>_xlfn.XLOOKUP(frasest[[#This Row],[author_es]],autorest[author_es],autorest[author_la])</f>
        <v>Ambrosius Mediolanensis</v>
      </c>
      <c r="H299" t="str">
        <f>_xlfn.XLOOKUP(frasest[[#This Row],[author_es]],autorest[author_es],autorest[bio_es])</f>
        <v>Obispo de Milán, Doctor de la Iglesia y Padre Latino. Maestro de San Agustín, defensor de la ortodoxia y autoridad moral frente al poder imperial.</v>
      </c>
      <c r="I299" t="str">
        <f>_xlfn.XLOOKUP(frasest[[#This Row],[author_es]],autorest[author_es],autorest[bio_la])</f>
        <v>Episcopus Mediolanensis, Doctor Ecclesiae et Pater Latinus. Magister Sancti Augustini, orthodoxiae defensor et auctoritas moralis contra imperium.</v>
      </c>
      <c r="J299" t="str">
        <f>_xlfn.XLOOKUP(frasest[[#This Row],[author_es]],autorest[author_es],autorest[iso3691])</f>
        <v>la</v>
      </c>
      <c r="K299" t="str">
        <f>_xlfn.XLOOKUP(frasest[[#This Row],[author_es]],autorest[author_es],autorest[language_es])</f>
        <v>Latín</v>
      </c>
      <c r="L299" t="str">
        <f>_xlfn.XLOOKUP(frasest[[#This Row],[author_es]],autorest[author_es],autorest[language_la])</f>
        <v>Lingua Latina</v>
      </c>
      <c r="M299" t="str">
        <f>_xlfn.XLOOKUP(frasest[[#This Row],[author_es]],autorest[author_es],autorest[nation_es])</f>
        <v>Roma</v>
      </c>
      <c r="N299" t="str">
        <f>_xlfn.XLOOKUP(frasest[[#This Row],[author_es]],autorest[author_es],autorest[nation_la])</f>
        <v>Roma</v>
      </c>
      <c r="O299" t="str">
        <f>_xlfn.XLOOKUP(frasest[[#This Row],[author_es]],autorest[author_es],autorest[age_es])</f>
        <v>Edad Antigua</v>
      </c>
      <c r="P299" t="str">
        <f>_xlfn.XLOOKUP(frasest[[#This Row],[author_es]],autorest[author_es],autorest[age_la])</f>
        <v>Antiquitas</v>
      </c>
      <c r="Q299" t="str">
        <f>_xlfn.XLOOKUP(frasest[[#This Row],[author_es]],autorest[author_es],autorest[image])</f>
        <v>https://i.ibb.co/yncvTttZ/sanambrosio.png</v>
      </c>
      <c r="R299">
        <f>_xlfn.XLOOKUP(frasest[[#This Row],[author_es]],autorest[author_es],autorest[image_atr])</f>
        <v>0</v>
      </c>
    </row>
    <row r="300" spans="1:18">
      <c r="A300">
        <v>299</v>
      </c>
      <c r="B300" t="s">
        <v>1069</v>
      </c>
      <c r="C300" t="s">
        <v>1070</v>
      </c>
      <c r="D300" t="s">
        <v>1070</v>
      </c>
      <c r="E300" t="s">
        <v>1064</v>
      </c>
      <c r="F300" t="s">
        <v>1071</v>
      </c>
      <c r="G300" t="str">
        <f>_xlfn.XLOOKUP(frasest[[#This Row],[author_es]],autorest[author_es],autorest[author_la])</f>
        <v>Ambrosius Mediolanensis</v>
      </c>
      <c r="H300" t="str">
        <f>_xlfn.XLOOKUP(frasest[[#This Row],[author_es]],autorest[author_es],autorest[bio_es])</f>
        <v>Obispo de Milán, Doctor de la Iglesia y Padre Latino. Maestro de San Agustín, defensor de la ortodoxia y autoridad moral frente al poder imperial.</v>
      </c>
      <c r="I300" t="str">
        <f>_xlfn.XLOOKUP(frasest[[#This Row],[author_es]],autorest[author_es],autorest[bio_la])</f>
        <v>Episcopus Mediolanensis, Doctor Ecclesiae et Pater Latinus. Magister Sancti Augustini, orthodoxiae defensor et auctoritas moralis contra imperium.</v>
      </c>
      <c r="J300" t="str">
        <f>_xlfn.XLOOKUP(frasest[[#This Row],[author_es]],autorest[author_es],autorest[iso3691])</f>
        <v>la</v>
      </c>
      <c r="K300" t="str">
        <f>_xlfn.XLOOKUP(frasest[[#This Row],[author_es]],autorest[author_es],autorest[language_es])</f>
        <v>Latín</v>
      </c>
      <c r="L300" t="str">
        <f>_xlfn.XLOOKUP(frasest[[#This Row],[author_es]],autorest[author_es],autorest[language_la])</f>
        <v>Lingua Latina</v>
      </c>
      <c r="M300" t="str">
        <f>_xlfn.XLOOKUP(frasest[[#This Row],[author_es]],autorest[author_es],autorest[nation_es])</f>
        <v>Roma</v>
      </c>
      <c r="N300" t="str">
        <f>_xlfn.XLOOKUP(frasest[[#This Row],[author_es]],autorest[author_es],autorest[nation_la])</f>
        <v>Roma</v>
      </c>
      <c r="O300" t="str">
        <f>_xlfn.XLOOKUP(frasest[[#This Row],[author_es]],autorest[author_es],autorest[age_es])</f>
        <v>Edad Antigua</v>
      </c>
      <c r="P300" t="str">
        <f>_xlfn.XLOOKUP(frasest[[#This Row],[author_es]],autorest[author_es],autorest[age_la])</f>
        <v>Antiquitas</v>
      </c>
      <c r="Q300" t="str">
        <f>_xlfn.XLOOKUP(frasest[[#This Row],[author_es]],autorest[author_es],autorest[image])</f>
        <v>https://i.ibb.co/yncvTttZ/sanambrosio.png</v>
      </c>
      <c r="R300">
        <f>_xlfn.XLOOKUP(frasest[[#This Row],[author_es]],autorest[author_es],autorest[image_atr])</f>
        <v>0</v>
      </c>
    </row>
    <row r="301" spans="1:18">
      <c r="A301">
        <v>300</v>
      </c>
      <c r="B301" t="s">
        <v>1072</v>
      </c>
      <c r="C301" t="s">
        <v>1073</v>
      </c>
      <c r="D301" t="s">
        <v>1073</v>
      </c>
      <c r="E301" t="s">
        <v>1064</v>
      </c>
      <c r="F301" t="s">
        <v>1074</v>
      </c>
      <c r="G301" t="str">
        <f>_xlfn.XLOOKUP(frasest[[#This Row],[author_es]],autorest[author_es],autorest[author_la])</f>
        <v>Ambrosius Mediolanensis</v>
      </c>
      <c r="H301" t="str">
        <f>_xlfn.XLOOKUP(frasest[[#This Row],[author_es]],autorest[author_es],autorest[bio_es])</f>
        <v>Obispo de Milán, Doctor de la Iglesia y Padre Latino. Maestro de San Agustín, defensor de la ortodoxia y autoridad moral frente al poder imperial.</v>
      </c>
      <c r="I301" t="str">
        <f>_xlfn.XLOOKUP(frasest[[#This Row],[author_es]],autorest[author_es],autorest[bio_la])</f>
        <v>Episcopus Mediolanensis, Doctor Ecclesiae et Pater Latinus. Magister Sancti Augustini, orthodoxiae defensor et auctoritas moralis contra imperium.</v>
      </c>
      <c r="J301" t="str">
        <f>_xlfn.XLOOKUP(frasest[[#This Row],[author_es]],autorest[author_es],autorest[iso3691])</f>
        <v>la</v>
      </c>
      <c r="K301" t="str">
        <f>_xlfn.XLOOKUP(frasest[[#This Row],[author_es]],autorest[author_es],autorest[language_es])</f>
        <v>Latín</v>
      </c>
      <c r="L301" t="str">
        <f>_xlfn.XLOOKUP(frasest[[#This Row],[author_es]],autorest[author_es],autorest[language_la])</f>
        <v>Lingua Latina</v>
      </c>
      <c r="M301" t="str">
        <f>_xlfn.XLOOKUP(frasest[[#This Row],[author_es]],autorest[author_es],autorest[nation_es])</f>
        <v>Roma</v>
      </c>
      <c r="N301" t="str">
        <f>_xlfn.XLOOKUP(frasest[[#This Row],[author_es]],autorest[author_es],autorest[nation_la])</f>
        <v>Roma</v>
      </c>
      <c r="O301" t="str">
        <f>_xlfn.XLOOKUP(frasest[[#This Row],[author_es]],autorest[author_es],autorest[age_es])</f>
        <v>Edad Antigua</v>
      </c>
      <c r="P301" t="str">
        <f>_xlfn.XLOOKUP(frasest[[#This Row],[author_es]],autorest[author_es],autorest[age_la])</f>
        <v>Antiquitas</v>
      </c>
      <c r="Q301" t="str">
        <f>_xlfn.XLOOKUP(frasest[[#This Row],[author_es]],autorest[author_es],autorest[image])</f>
        <v>https://i.ibb.co/yncvTttZ/sanambrosio.png</v>
      </c>
      <c r="R301">
        <f>_xlfn.XLOOKUP(frasest[[#This Row],[author_es]],autorest[author_es],autorest[image_atr])</f>
        <v>0</v>
      </c>
    </row>
    <row r="302" spans="1:18">
      <c r="A302">
        <v>301</v>
      </c>
      <c r="B302" t="s">
        <v>1075</v>
      </c>
      <c r="C302" t="s">
        <v>1076</v>
      </c>
      <c r="D302" t="s">
        <v>1076</v>
      </c>
      <c r="E302" t="s">
        <v>1064</v>
      </c>
      <c r="F302" t="s">
        <v>1077</v>
      </c>
      <c r="G302" t="str">
        <f>_xlfn.XLOOKUP(frasest[[#This Row],[author_es]],autorest[author_es],autorest[author_la])</f>
        <v>Ambrosius Mediolanensis</v>
      </c>
      <c r="H302" t="str">
        <f>_xlfn.XLOOKUP(frasest[[#This Row],[author_es]],autorest[author_es],autorest[bio_es])</f>
        <v>Obispo de Milán, Doctor de la Iglesia y Padre Latino. Maestro de San Agustín, defensor de la ortodoxia y autoridad moral frente al poder imperial.</v>
      </c>
      <c r="I302" t="str">
        <f>_xlfn.XLOOKUP(frasest[[#This Row],[author_es]],autorest[author_es],autorest[bio_la])</f>
        <v>Episcopus Mediolanensis, Doctor Ecclesiae et Pater Latinus. Magister Sancti Augustini, orthodoxiae defensor et auctoritas moralis contra imperium.</v>
      </c>
      <c r="J302" t="str">
        <f>_xlfn.XLOOKUP(frasest[[#This Row],[author_es]],autorest[author_es],autorest[iso3691])</f>
        <v>la</v>
      </c>
      <c r="K302" t="str">
        <f>_xlfn.XLOOKUP(frasest[[#This Row],[author_es]],autorest[author_es],autorest[language_es])</f>
        <v>Latín</v>
      </c>
      <c r="L302" t="str">
        <f>_xlfn.XLOOKUP(frasest[[#This Row],[author_es]],autorest[author_es],autorest[language_la])</f>
        <v>Lingua Latina</v>
      </c>
      <c r="M302" t="str">
        <f>_xlfn.XLOOKUP(frasest[[#This Row],[author_es]],autorest[author_es],autorest[nation_es])</f>
        <v>Roma</v>
      </c>
      <c r="N302" t="str">
        <f>_xlfn.XLOOKUP(frasest[[#This Row],[author_es]],autorest[author_es],autorest[nation_la])</f>
        <v>Roma</v>
      </c>
      <c r="O302" t="str">
        <f>_xlfn.XLOOKUP(frasest[[#This Row],[author_es]],autorest[author_es],autorest[age_es])</f>
        <v>Edad Antigua</v>
      </c>
      <c r="P302" t="str">
        <f>_xlfn.XLOOKUP(frasest[[#This Row],[author_es]],autorest[author_es],autorest[age_la])</f>
        <v>Antiquitas</v>
      </c>
      <c r="Q302" t="str">
        <f>_xlfn.XLOOKUP(frasest[[#This Row],[author_es]],autorest[author_es],autorest[image])</f>
        <v>https://i.ibb.co/yncvTttZ/sanambrosio.png</v>
      </c>
      <c r="R302">
        <f>_xlfn.XLOOKUP(frasest[[#This Row],[author_es]],autorest[author_es],autorest[image_atr])</f>
        <v>0</v>
      </c>
    </row>
    <row r="303" spans="1:18">
      <c r="A303">
        <v>302</v>
      </c>
      <c r="B303" t="s">
        <v>1078</v>
      </c>
      <c r="C303" t="s">
        <v>1079</v>
      </c>
      <c r="D303" t="s">
        <v>1079</v>
      </c>
      <c r="E303" t="s">
        <v>1064</v>
      </c>
      <c r="F303" t="s">
        <v>1080</v>
      </c>
      <c r="G303" t="str">
        <f>_xlfn.XLOOKUP(frasest[[#This Row],[author_es]],autorest[author_es],autorest[author_la])</f>
        <v>Ambrosius Mediolanensis</v>
      </c>
      <c r="H303" t="str">
        <f>_xlfn.XLOOKUP(frasest[[#This Row],[author_es]],autorest[author_es],autorest[bio_es])</f>
        <v>Obispo de Milán, Doctor de la Iglesia y Padre Latino. Maestro de San Agustín, defensor de la ortodoxia y autoridad moral frente al poder imperial.</v>
      </c>
      <c r="I303" t="str">
        <f>_xlfn.XLOOKUP(frasest[[#This Row],[author_es]],autorest[author_es],autorest[bio_la])</f>
        <v>Episcopus Mediolanensis, Doctor Ecclesiae et Pater Latinus. Magister Sancti Augustini, orthodoxiae defensor et auctoritas moralis contra imperium.</v>
      </c>
      <c r="J303" t="str">
        <f>_xlfn.XLOOKUP(frasest[[#This Row],[author_es]],autorest[author_es],autorest[iso3691])</f>
        <v>la</v>
      </c>
      <c r="K303" t="str">
        <f>_xlfn.XLOOKUP(frasest[[#This Row],[author_es]],autorest[author_es],autorest[language_es])</f>
        <v>Latín</v>
      </c>
      <c r="L303" t="str">
        <f>_xlfn.XLOOKUP(frasest[[#This Row],[author_es]],autorest[author_es],autorest[language_la])</f>
        <v>Lingua Latina</v>
      </c>
      <c r="M303" t="str">
        <f>_xlfn.XLOOKUP(frasest[[#This Row],[author_es]],autorest[author_es],autorest[nation_es])</f>
        <v>Roma</v>
      </c>
      <c r="N303" t="str">
        <f>_xlfn.XLOOKUP(frasest[[#This Row],[author_es]],autorest[author_es],autorest[nation_la])</f>
        <v>Roma</v>
      </c>
      <c r="O303" t="str">
        <f>_xlfn.XLOOKUP(frasest[[#This Row],[author_es]],autorest[author_es],autorest[age_es])</f>
        <v>Edad Antigua</v>
      </c>
      <c r="P303" t="str">
        <f>_xlfn.XLOOKUP(frasest[[#This Row],[author_es]],autorest[author_es],autorest[age_la])</f>
        <v>Antiquitas</v>
      </c>
      <c r="Q303" t="str">
        <f>_xlfn.XLOOKUP(frasest[[#This Row],[author_es]],autorest[author_es],autorest[image])</f>
        <v>https://i.ibb.co/yncvTttZ/sanambrosio.png</v>
      </c>
      <c r="R303">
        <f>_xlfn.XLOOKUP(frasest[[#This Row],[author_es]],autorest[author_es],autorest[image_atr])</f>
        <v>0</v>
      </c>
    </row>
    <row r="304" spans="1:18">
      <c r="A304">
        <v>303</v>
      </c>
      <c r="B304" t="s">
        <v>1081</v>
      </c>
      <c r="C304" t="s">
        <v>1082</v>
      </c>
      <c r="D304" t="s">
        <v>1082</v>
      </c>
      <c r="E304" t="s">
        <v>1064</v>
      </c>
      <c r="F304" t="s">
        <v>1083</v>
      </c>
      <c r="G304" t="str">
        <f>_xlfn.XLOOKUP(frasest[[#This Row],[author_es]],autorest[author_es],autorest[author_la])</f>
        <v>Ambrosius Mediolanensis</v>
      </c>
      <c r="H304" t="str">
        <f>_xlfn.XLOOKUP(frasest[[#This Row],[author_es]],autorest[author_es],autorest[bio_es])</f>
        <v>Obispo de Milán, Doctor de la Iglesia y Padre Latino. Maestro de San Agustín, defensor de la ortodoxia y autoridad moral frente al poder imperial.</v>
      </c>
      <c r="I304" t="str">
        <f>_xlfn.XLOOKUP(frasest[[#This Row],[author_es]],autorest[author_es],autorest[bio_la])</f>
        <v>Episcopus Mediolanensis, Doctor Ecclesiae et Pater Latinus. Magister Sancti Augustini, orthodoxiae defensor et auctoritas moralis contra imperium.</v>
      </c>
      <c r="J304" t="str">
        <f>_xlfn.XLOOKUP(frasest[[#This Row],[author_es]],autorest[author_es],autorest[iso3691])</f>
        <v>la</v>
      </c>
      <c r="K304" t="str">
        <f>_xlfn.XLOOKUP(frasest[[#This Row],[author_es]],autorest[author_es],autorest[language_es])</f>
        <v>Latín</v>
      </c>
      <c r="L304" t="str">
        <f>_xlfn.XLOOKUP(frasest[[#This Row],[author_es]],autorest[author_es],autorest[language_la])</f>
        <v>Lingua Latina</v>
      </c>
      <c r="M304" t="str">
        <f>_xlfn.XLOOKUP(frasest[[#This Row],[author_es]],autorest[author_es],autorest[nation_es])</f>
        <v>Roma</v>
      </c>
      <c r="N304" t="str">
        <f>_xlfn.XLOOKUP(frasest[[#This Row],[author_es]],autorest[author_es],autorest[nation_la])</f>
        <v>Roma</v>
      </c>
      <c r="O304" t="str">
        <f>_xlfn.XLOOKUP(frasest[[#This Row],[author_es]],autorest[author_es],autorest[age_es])</f>
        <v>Edad Antigua</v>
      </c>
      <c r="P304" t="str">
        <f>_xlfn.XLOOKUP(frasest[[#This Row],[author_es]],autorest[author_es],autorest[age_la])</f>
        <v>Antiquitas</v>
      </c>
      <c r="Q304" t="str">
        <f>_xlfn.XLOOKUP(frasest[[#This Row],[author_es]],autorest[author_es],autorest[image])</f>
        <v>https://i.ibb.co/yncvTttZ/sanambrosio.png</v>
      </c>
      <c r="R304">
        <f>_xlfn.XLOOKUP(frasest[[#This Row],[author_es]],autorest[author_es],autorest[image_atr])</f>
        <v>0</v>
      </c>
    </row>
    <row r="305" spans="1:18">
      <c r="A305">
        <v>304</v>
      </c>
      <c r="B305" t="s">
        <v>1084</v>
      </c>
      <c r="C305" t="s">
        <v>1085</v>
      </c>
      <c r="D305" t="s">
        <v>1085</v>
      </c>
      <c r="E305" t="s">
        <v>1064</v>
      </c>
      <c r="F305" t="s">
        <v>1086</v>
      </c>
      <c r="G305" t="str">
        <f>_xlfn.XLOOKUP(frasest[[#This Row],[author_es]],autorest[author_es],autorest[author_la])</f>
        <v>Ambrosius Mediolanensis</v>
      </c>
      <c r="H305" t="str">
        <f>_xlfn.XLOOKUP(frasest[[#This Row],[author_es]],autorest[author_es],autorest[bio_es])</f>
        <v>Obispo de Milán, Doctor de la Iglesia y Padre Latino. Maestro de San Agustín, defensor de la ortodoxia y autoridad moral frente al poder imperial.</v>
      </c>
      <c r="I305" t="str">
        <f>_xlfn.XLOOKUP(frasest[[#This Row],[author_es]],autorest[author_es],autorest[bio_la])</f>
        <v>Episcopus Mediolanensis, Doctor Ecclesiae et Pater Latinus. Magister Sancti Augustini, orthodoxiae defensor et auctoritas moralis contra imperium.</v>
      </c>
      <c r="J305" t="str">
        <f>_xlfn.XLOOKUP(frasest[[#This Row],[author_es]],autorest[author_es],autorest[iso3691])</f>
        <v>la</v>
      </c>
      <c r="K305" t="str">
        <f>_xlfn.XLOOKUP(frasest[[#This Row],[author_es]],autorest[author_es],autorest[language_es])</f>
        <v>Latín</v>
      </c>
      <c r="L305" t="str">
        <f>_xlfn.XLOOKUP(frasest[[#This Row],[author_es]],autorest[author_es],autorest[language_la])</f>
        <v>Lingua Latina</v>
      </c>
      <c r="M305" t="str">
        <f>_xlfn.XLOOKUP(frasest[[#This Row],[author_es]],autorest[author_es],autorest[nation_es])</f>
        <v>Roma</v>
      </c>
      <c r="N305" t="str">
        <f>_xlfn.XLOOKUP(frasest[[#This Row],[author_es]],autorest[author_es],autorest[nation_la])</f>
        <v>Roma</v>
      </c>
      <c r="O305" t="str">
        <f>_xlfn.XLOOKUP(frasest[[#This Row],[author_es]],autorest[author_es],autorest[age_es])</f>
        <v>Edad Antigua</v>
      </c>
      <c r="P305" t="str">
        <f>_xlfn.XLOOKUP(frasest[[#This Row],[author_es]],autorest[author_es],autorest[age_la])</f>
        <v>Antiquitas</v>
      </c>
      <c r="Q305" t="str">
        <f>_xlfn.XLOOKUP(frasest[[#This Row],[author_es]],autorest[author_es],autorest[image])</f>
        <v>https://i.ibb.co/yncvTttZ/sanambrosio.png</v>
      </c>
      <c r="R305">
        <f>_xlfn.XLOOKUP(frasest[[#This Row],[author_es]],autorest[author_es],autorest[image_atr])</f>
        <v>0</v>
      </c>
    </row>
    <row r="306" spans="1:18">
      <c r="A306">
        <v>305</v>
      </c>
      <c r="B306" t="s">
        <v>1087</v>
      </c>
      <c r="C306" t="s">
        <v>1088</v>
      </c>
      <c r="D306" t="s">
        <v>1088</v>
      </c>
      <c r="E306" t="s">
        <v>1064</v>
      </c>
      <c r="F306" t="s">
        <v>1055</v>
      </c>
      <c r="G306" t="str">
        <f>_xlfn.XLOOKUP(frasest[[#This Row],[author_es]],autorest[author_es],autorest[author_la])</f>
        <v>Ambrosius Mediolanensis</v>
      </c>
      <c r="H306" t="str">
        <f>_xlfn.XLOOKUP(frasest[[#This Row],[author_es]],autorest[author_es],autorest[bio_es])</f>
        <v>Obispo de Milán, Doctor de la Iglesia y Padre Latino. Maestro de San Agustín, defensor de la ortodoxia y autoridad moral frente al poder imperial.</v>
      </c>
      <c r="I306" t="str">
        <f>_xlfn.XLOOKUP(frasest[[#This Row],[author_es]],autorest[author_es],autorest[bio_la])</f>
        <v>Episcopus Mediolanensis, Doctor Ecclesiae et Pater Latinus. Magister Sancti Augustini, orthodoxiae defensor et auctoritas moralis contra imperium.</v>
      </c>
      <c r="J306" t="str">
        <f>_xlfn.XLOOKUP(frasest[[#This Row],[author_es]],autorest[author_es],autorest[iso3691])</f>
        <v>la</v>
      </c>
      <c r="K306" t="str">
        <f>_xlfn.XLOOKUP(frasest[[#This Row],[author_es]],autorest[author_es],autorest[language_es])</f>
        <v>Latín</v>
      </c>
      <c r="L306" t="str">
        <f>_xlfn.XLOOKUP(frasest[[#This Row],[author_es]],autorest[author_es],autorest[language_la])</f>
        <v>Lingua Latina</v>
      </c>
      <c r="M306" t="str">
        <f>_xlfn.XLOOKUP(frasest[[#This Row],[author_es]],autorest[author_es],autorest[nation_es])</f>
        <v>Roma</v>
      </c>
      <c r="N306" t="str">
        <f>_xlfn.XLOOKUP(frasest[[#This Row],[author_es]],autorest[author_es],autorest[nation_la])</f>
        <v>Roma</v>
      </c>
      <c r="O306" t="str">
        <f>_xlfn.XLOOKUP(frasest[[#This Row],[author_es]],autorest[author_es],autorest[age_es])</f>
        <v>Edad Antigua</v>
      </c>
      <c r="P306" t="str">
        <f>_xlfn.XLOOKUP(frasest[[#This Row],[author_es]],autorest[author_es],autorest[age_la])</f>
        <v>Antiquitas</v>
      </c>
      <c r="Q306" t="str">
        <f>_xlfn.XLOOKUP(frasest[[#This Row],[author_es]],autorest[author_es],autorest[image])</f>
        <v>https://i.ibb.co/yncvTttZ/sanambrosio.png</v>
      </c>
      <c r="R306">
        <f>_xlfn.XLOOKUP(frasest[[#This Row],[author_es]],autorest[author_es],autorest[image_atr])</f>
        <v>0</v>
      </c>
    </row>
    <row r="307" spans="1:18">
      <c r="A307">
        <v>306</v>
      </c>
      <c r="B307" t="s">
        <v>1089</v>
      </c>
      <c r="C307" t="s">
        <v>1090</v>
      </c>
      <c r="D307" t="s">
        <v>1090</v>
      </c>
      <c r="E307" t="s">
        <v>1064</v>
      </c>
      <c r="F307" t="s">
        <v>1091</v>
      </c>
      <c r="G307" t="str">
        <f>_xlfn.XLOOKUP(frasest[[#This Row],[author_es]],autorest[author_es],autorest[author_la])</f>
        <v>Ambrosius Mediolanensis</v>
      </c>
      <c r="H307" t="str">
        <f>_xlfn.XLOOKUP(frasest[[#This Row],[author_es]],autorest[author_es],autorest[bio_es])</f>
        <v>Obispo de Milán, Doctor de la Iglesia y Padre Latino. Maestro de San Agustín, defensor de la ortodoxia y autoridad moral frente al poder imperial.</v>
      </c>
      <c r="I307" t="str">
        <f>_xlfn.XLOOKUP(frasest[[#This Row],[author_es]],autorest[author_es],autorest[bio_la])</f>
        <v>Episcopus Mediolanensis, Doctor Ecclesiae et Pater Latinus. Magister Sancti Augustini, orthodoxiae defensor et auctoritas moralis contra imperium.</v>
      </c>
      <c r="J307" t="str">
        <f>_xlfn.XLOOKUP(frasest[[#This Row],[author_es]],autorest[author_es],autorest[iso3691])</f>
        <v>la</v>
      </c>
      <c r="K307" t="str">
        <f>_xlfn.XLOOKUP(frasest[[#This Row],[author_es]],autorest[author_es],autorest[language_es])</f>
        <v>Latín</v>
      </c>
      <c r="L307" t="str">
        <f>_xlfn.XLOOKUP(frasest[[#This Row],[author_es]],autorest[author_es],autorest[language_la])</f>
        <v>Lingua Latina</v>
      </c>
      <c r="M307" t="str">
        <f>_xlfn.XLOOKUP(frasest[[#This Row],[author_es]],autorest[author_es],autorest[nation_es])</f>
        <v>Roma</v>
      </c>
      <c r="N307" t="str">
        <f>_xlfn.XLOOKUP(frasest[[#This Row],[author_es]],autorest[author_es],autorest[nation_la])</f>
        <v>Roma</v>
      </c>
      <c r="O307" t="str">
        <f>_xlfn.XLOOKUP(frasest[[#This Row],[author_es]],autorest[author_es],autorest[age_es])</f>
        <v>Edad Antigua</v>
      </c>
      <c r="P307" t="str">
        <f>_xlfn.XLOOKUP(frasest[[#This Row],[author_es]],autorest[author_es],autorest[age_la])</f>
        <v>Antiquitas</v>
      </c>
      <c r="Q307" t="str">
        <f>_xlfn.XLOOKUP(frasest[[#This Row],[author_es]],autorest[author_es],autorest[image])</f>
        <v>https://i.ibb.co/yncvTttZ/sanambrosio.png</v>
      </c>
      <c r="R307">
        <f>_xlfn.XLOOKUP(frasest[[#This Row],[author_es]],autorest[author_es],autorest[image_atr])</f>
        <v>0</v>
      </c>
    </row>
    <row r="308" spans="1:18">
      <c r="A308">
        <v>307</v>
      </c>
      <c r="B308" t="s">
        <v>1092</v>
      </c>
      <c r="C308" t="s">
        <v>1093</v>
      </c>
      <c r="D308" t="s">
        <v>1093</v>
      </c>
      <c r="E308" t="s">
        <v>1094</v>
      </c>
      <c r="F308" t="s">
        <v>1095</v>
      </c>
      <c r="G308" t="str">
        <f>_xlfn.XLOOKUP(frasest[[#This Row],[author_es]],autorest[author_es],autorest[author_la])</f>
        <v>Hieronymus Stridonensis</v>
      </c>
      <c r="H308" t="str">
        <f>_xlfn.XLOOKUP(frasest[[#This Row],[author_es]],autorest[author_es],autorest[bio_es])</f>
        <v>Padre y Doctor de la Iglesia, traductor de la Biblia al latín (Vulgata). Erudito políglota, asceta y polemista, patrono de los traductores.</v>
      </c>
      <c r="I308" t="str">
        <f>_xlfn.XLOOKUP(frasest[[#This Row],[author_es]],autorest[author_es],autorest[bio_la])</f>
        <v>Pater et Doctor Ecclesiae, translator Bibliae in Latinum (Vulgata). Eruditus polyglottus, asceta et polemista, patronus interpretum.</v>
      </c>
      <c r="J308" t="str">
        <f>_xlfn.XLOOKUP(frasest[[#This Row],[author_es]],autorest[author_es],autorest[iso3691])</f>
        <v>la</v>
      </c>
      <c r="K308" t="str">
        <f>_xlfn.XLOOKUP(frasest[[#This Row],[author_es]],autorest[author_es],autorest[language_es])</f>
        <v>Latín</v>
      </c>
      <c r="L308" t="str">
        <f>_xlfn.XLOOKUP(frasest[[#This Row],[author_es]],autorest[author_es],autorest[language_la])</f>
        <v>Lingua Latina</v>
      </c>
      <c r="M308" t="str">
        <f>_xlfn.XLOOKUP(frasest[[#This Row],[author_es]],autorest[author_es],autorest[nation_es])</f>
        <v>Roma</v>
      </c>
      <c r="N308" t="str">
        <f>_xlfn.XLOOKUP(frasest[[#This Row],[author_es]],autorest[author_es],autorest[nation_la])</f>
        <v>Roma</v>
      </c>
      <c r="O308" t="str">
        <f>_xlfn.XLOOKUP(frasest[[#This Row],[author_es]],autorest[author_es],autorest[age_es])</f>
        <v>Edad Antigua</v>
      </c>
      <c r="P308" t="str">
        <f>_xlfn.XLOOKUP(frasest[[#This Row],[author_es]],autorest[author_es],autorest[age_la])</f>
        <v>Antiquitas</v>
      </c>
      <c r="Q308" t="str">
        <f>_xlfn.XLOOKUP(frasest[[#This Row],[author_es]],autorest[author_es],autorest[image])</f>
        <v>https://i.ibb.co/HDVQmSDL/sanjeronimo.png</v>
      </c>
      <c r="R308">
        <f>_xlfn.XLOOKUP(frasest[[#This Row],[author_es]],autorest[author_es],autorest[image_atr])</f>
        <v>0</v>
      </c>
    </row>
    <row r="309" spans="1:18">
      <c r="A309">
        <v>308</v>
      </c>
      <c r="B309" t="s">
        <v>1096</v>
      </c>
      <c r="C309" t="s">
        <v>1097</v>
      </c>
      <c r="D309" t="s">
        <v>1097</v>
      </c>
      <c r="E309" t="s">
        <v>1094</v>
      </c>
      <c r="F309" t="s">
        <v>1095</v>
      </c>
      <c r="G309" t="str">
        <f>_xlfn.XLOOKUP(frasest[[#This Row],[author_es]],autorest[author_es],autorest[author_la])</f>
        <v>Hieronymus Stridonensis</v>
      </c>
      <c r="H309" t="str">
        <f>_xlfn.XLOOKUP(frasest[[#This Row],[author_es]],autorest[author_es],autorest[bio_es])</f>
        <v>Padre y Doctor de la Iglesia, traductor de la Biblia al latín (Vulgata). Erudito políglota, asceta y polemista, patrono de los traductores.</v>
      </c>
      <c r="I309" t="str">
        <f>_xlfn.XLOOKUP(frasest[[#This Row],[author_es]],autorest[author_es],autorest[bio_la])</f>
        <v>Pater et Doctor Ecclesiae, translator Bibliae in Latinum (Vulgata). Eruditus polyglottus, asceta et polemista, patronus interpretum.</v>
      </c>
      <c r="J309" t="str">
        <f>_xlfn.XLOOKUP(frasest[[#This Row],[author_es]],autorest[author_es],autorest[iso3691])</f>
        <v>la</v>
      </c>
      <c r="K309" t="str">
        <f>_xlfn.XLOOKUP(frasest[[#This Row],[author_es]],autorest[author_es],autorest[language_es])</f>
        <v>Latín</v>
      </c>
      <c r="L309" t="str">
        <f>_xlfn.XLOOKUP(frasest[[#This Row],[author_es]],autorest[author_es],autorest[language_la])</f>
        <v>Lingua Latina</v>
      </c>
      <c r="M309" t="str">
        <f>_xlfn.XLOOKUP(frasest[[#This Row],[author_es]],autorest[author_es],autorest[nation_es])</f>
        <v>Roma</v>
      </c>
      <c r="N309" t="str">
        <f>_xlfn.XLOOKUP(frasest[[#This Row],[author_es]],autorest[author_es],autorest[nation_la])</f>
        <v>Roma</v>
      </c>
      <c r="O309" t="str">
        <f>_xlfn.XLOOKUP(frasest[[#This Row],[author_es]],autorest[author_es],autorest[age_es])</f>
        <v>Edad Antigua</v>
      </c>
      <c r="P309" t="str">
        <f>_xlfn.XLOOKUP(frasest[[#This Row],[author_es]],autorest[author_es],autorest[age_la])</f>
        <v>Antiquitas</v>
      </c>
      <c r="Q309" t="str">
        <f>_xlfn.XLOOKUP(frasest[[#This Row],[author_es]],autorest[author_es],autorest[image])</f>
        <v>https://i.ibb.co/HDVQmSDL/sanjeronimo.png</v>
      </c>
      <c r="R309">
        <f>_xlfn.XLOOKUP(frasest[[#This Row],[author_es]],autorest[author_es],autorest[image_atr])</f>
        <v>0</v>
      </c>
    </row>
    <row r="310" spans="1:18">
      <c r="A310">
        <v>309</v>
      </c>
      <c r="B310" t="s">
        <v>1098</v>
      </c>
      <c r="C310" t="s">
        <v>1099</v>
      </c>
      <c r="D310" t="s">
        <v>1099</v>
      </c>
      <c r="E310" t="s">
        <v>1094</v>
      </c>
      <c r="F310" t="s">
        <v>1095</v>
      </c>
      <c r="G310" t="str">
        <f>_xlfn.XLOOKUP(frasest[[#This Row],[author_es]],autorest[author_es],autorest[author_la])</f>
        <v>Hieronymus Stridonensis</v>
      </c>
      <c r="H310" t="str">
        <f>_xlfn.XLOOKUP(frasest[[#This Row],[author_es]],autorest[author_es],autorest[bio_es])</f>
        <v>Padre y Doctor de la Iglesia, traductor de la Biblia al latín (Vulgata). Erudito políglota, asceta y polemista, patrono de los traductores.</v>
      </c>
      <c r="I310" t="str">
        <f>_xlfn.XLOOKUP(frasest[[#This Row],[author_es]],autorest[author_es],autorest[bio_la])</f>
        <v>Pater et Doctor Ecclesiae, translator Bibliae in Latinum (Vulgata). Eruditus polyglottus, asceta et polemista, patronus interpretum.</v>
      </c>
      <c r="J310" t="str">
        <f>_xlfn.XLOOKUP(frasest[[#This Row],[author_es]],autorest[author_es],autorest[iso3691])</f>
        <v>la</v>
      </c>
      <c r="K310" t="str">
        <f>_xlfn.XLOOKUP(frasest[[#This Row],[author_es]],autorest[author_es],autorest[language_es])</f>
        <v>Latín</v>
      </c>
      <c r="L310" t="str">
        <f>_xlfn.XLOOKUP(frasest[[#This Row],[author_es]],autorest[author_es],autorest[language_la])</f>
        <v>Lingua Latina</v>
      </c>
      <c r="M310" t="str">
        <f>_xlfn.XLOOKUP(frasest[[#This Row],[author_es]],autorest[author_es],autorest[nation_es])</f>
        <v>Roma</v>
      </c>
      <c r="N310" t="str">
        <f>_xlfn.XLOOKUP(frasest[[#This Row],[author_es]],autorest[author_es],autorest[nation_la])</f>
        <v>Roma</v>
      </c>
      <c r="O310" t="str">
        <f>_xlfn.XLOOKUP(frasest[[#This Row],[author_es]],autorest[author_es],autorest[age_es])</f>
        <v>Edad Antigua</v>
      </c>
      <c r="P310" t="str">
        <f>_xlfn.XLOOKUP(frasest[[#This Row],[author_es]],autorest[author_es],autorest[age_la])</f>
        <v>Antiquitas</v>
      </c>
      <c r="Q310" t="str">
        <f>_xlfn.XLOOKUP(frasest[[#This Row],[author_es]],autorest[author_es],autorest[image])</f>
        <v>https://i.ibb.co/HDVQmSDL/sanjeronimo.png</v>
      </c>
      <c r="R310">
        <f>_xlfn.XLOOKUP(frasest[[#This Row],[author_es]],autorest[author_es],autorest[image_atr])</f>
        <v>0</v>
      </c>
    </row>
    <row r="311" spans="1:18">
      <c r="A311">
        <v>310</v>
      </c>
      <c r="B311" t="s">
        <v>1100</v>
      </c>
      <c r="C311" t="s">
        <v>1101</v>
      </c>
      <c r="D311" t="s">
        <v>1101</v>
      </c>
      <c r="E311" t="s">
        <v>1094</v>
      </c>
      <c r="F311" t="s">
        <v>1095</v>
      </c>
      <c r="G311" t="str">
        <f>_xlfn.XLOOKUP(frasest[[#This Row],[author_es]],autorest[author_es],autorest[author_la])</f>
        <v>Hieronymus Stridonensis</v>
      </c>
      <c r="H311" t="str">
        <f>_xlfn.XLOOKUP(frasest[[#This Row],[author_es]],autorest[author_es],autorest[bio_es])</f>
        <v>Padre y Doctor de la Iglesia, traductor de la Biblia al latín (Vulgata). Erudito políglota, asceta y polemista, patrono de los traductores.</v>
      </c>
      <c r="I311" t="str">
        <f>_xlfn.XLOOKUP(frasest[[#This Row],[author_es]],autorest[author_es],autorest[bio_la])</f>
        <v>Pater et Doctor Ecclesiae, translator Bibliae in Latinum (Vulgata). Eruditus polyglottus, asceta et polemista, patronus interpretum.</v>
      </c>
      <c r="J311" t="str">
        <f>_xlfn.XLOOKUP(frasest[[#This Row],[author_es]],autorest[author_es],autorest[iso3691])</f>
        <v>la</v>
      </c>
      <c r="K311" t="str">
        <f>_xlfn.XLOOKUP(frasest[[#This Row],[author_es]],autorest[author_es],autorest[language_es])</f>
        <v>Latín</v>
      </c>
      <c r="L311" t="str">
        <f>_xlfn.XLOOKUP(frasest[[#This Row],[author_es]],autorest[author_es],autorest[language_la])</f>
        <v>Lingua Latina</v>
      </c>
      <c r="M311" t="str">
        <f>_xlfn.XLOOKUP(frasest[[#This Row],[author_es]],autorest[author_es],autorest[nation_es])</f>
        <v>Roma</v>
      </c>
      <c r="N311" t="str">
        <f>_xlfn.XLOOKUP(frasest[[#This Row],[author_es]],autorest[author_es],autorest[nation_la])</f>
        <v>Roma</v>
      </c>
      <c r="O311" t="str">
        <f>_xlfn.XLOOKUP(frasest[[#This Row],[author_es]],autorest[author_es],autorest[age_es])</f>
        <v>Edad Antigua</v>
      </c>
      <c r="P311" t="str">
        <f>_xlfn.XLOOKUP(frasest[[#This Row],[author_es]],autorest[author_es],autorest[age_la])</f>
        <v>Antiquitas</v>
      </c>
      <c r="Q311" t="str">
        <f>_xlfn.XLOOKUP(frasest[[#This Row],[author_es]],autorest[author_es],autorest[image])</f>
        <v>https://i.ibb.co/HDVQmSDL/sanjeronimo.png</v>
      </c>
      <c r="R311">
        <f>_xlfn.XLOOKUP(frasest[[#This Row],[author_es]],autorest[author_es],autorest[image_atr])</f>
        <v>0</v>
      </c>
    </row>
    <row r="312" spans="1:18">
      <c r="A312">
        <v>311</v>
      </c>
      <c r="B312" t="s">
        <v>1102</v>
      </c>
      <c r="C312" t="s">
        <v>1103</v>
      </c>
      <c r="D312" t="s">
        <v>1103</v>
      </c>
      <c r="E312" t="s">
        <v>1094</v>
      </c>
      <c r="F312" t="s">
        <v>1095</v>
      </c>
      <c r="G312" t="str">
        <f>_xlfn.XLOOKUP(frasest[[#This Row],[author_es]],autorest[author_es],autorest[author_la])</f>
        <v>Hieronymus Stridonensis</v>
      </c>
      <c r="H312" t="str">
        <f>_xlfn.XLOOKUP(frasest[[#This Row],[author_es]],autorest[author_es],autorest[bio_es])</f>
        <v>Padre y Doctor de la Iglesia, traductor de la Biblia al latín (Vulgata). Erudito políglota, asceta y polemista, patrono de los traductores.</v>
      </c>
      <c r="I312" t="str">
        <f>_xlfn.XLOOKUP(frasest[[#This Row],[author_es]],autorest[author_es],autorest[bio_la])</f>
        <v>Pater et Doctor Ecclesiae, translator Bibliae in Latinum (Vulgata). Eruditus polyglottus, asceta et polemista, patronus interpretum.</v>
      </c>
      <c r="J312" t="str">
        <f>_xlfn.XLOOKUP(frasest[[#This Row],[author_es]],autorest[author_es],autorest[iso3691])</f>
        <v>la</v>
      </c>
      <c r="K312" t="str">
        <f>_xlfn.XLOOKUP(frasest[[#This Row],[author_es]],autorest[author_es],autorest[language_es])</f>
        <v>Latín</v>
      </c>
      <c r="L312" t="str">
        <f>_xlfn.XLOOKUP(frasest[[#This Row],[author_es]],autorest[author_es],autorest[language_la])</f>
        <v>Lingua Latina</v>
      </c>
      <c r="M312" t="str">
        <f>_xlfn.XLOOKUP(frasest[[#This Row],[author_es]],autorest[author_es],autorest[nation_es])</f>
        <v>Roma</v>
      </c>
      <c r="N312" t="str">
        <f>_xlfn.XLOOKUP(frasest[[#This Row],[author_es]],autorest[author_es],autorest[nation_la])</f>
        <v>Roma</v>
      </c>
      <c r="O312" t="str">
        <f>_xlfn.XLOOKUP(frasest[[#This Row],[author_es]],autorest[author_es],autorest[age_es])</f>
        <v>Edad Antigua</v>
      </c>
      <c r="P312" t="str">
        <f>_xlfn.XLOOKUP(frasest[[#This Row],[author_es]],autorest[author_es],autorest[age_la])</f>
        <v>Antiquitas</v>
      </c>
      <c r="Q312" t="str">
        <f>_xlfn.XLOOKUP(frasest[[#This Row],[author_es]],autorest[author_es],autorest[image])</f>
        <v>https://i.ibb.co/HDVQmSDL/sanjeronimo.png</v>
      </c>
      <c r="R312">
        <f>_xlfn.XLOOKUP(frasest[[#This Row],[author_es]],autorest[author_es],autorest[image_atr])</f>
        <v>0</v>
      </c>
    </row>
    <row r="313" spans="1:18">
      <c r="A313">
        <v>312</v>
      </c>
      <c r="B313" t="s">
        <v>1104</v>
      </c>
      <c r="C313" t="s">
        <v>1105</v>
      </c>
      <c r="D313" t="s">
        <v>1105</v>
      </c>
      <c r="E313" t="s">
        <v>1094</v>
      </c>
      <c r="F313" t="s">
        <v>1095</v>
      </c>
      <c r="G313" t="str">
        <f>_xlfn.XLOOKUP(frasest[[#This Row],[author_es]],autorest[author_es],autorest[author_la])</f>
        <v>Hieronymus Stridonensis</v>
      </c>
      <c r="H313" t="str">
        <f>_xlfn.XLOOKUP(frasest[[#This Row],[author_es]],autorest[author_es],autorest[bio_es])</f>
        <v>Padre y Doctor de la Iglesia, traductor de la Biblia al latín (Vulgata). Erudito políglota, asceta y polemista, patrono de los traductores.</v>
      </c>
      <c r="I313" t="str">
        <f>_xlfn.XLOOKUP(frasest[[#This Row],[author_es]],autorest[author_es],autorest[bio_la])</f>
        <v>Pater et Doctor Ecclesiae, translator Bibliae in Latinum (Vulgata). Eruditus polyglottus, asceta et polemista, patronus interpretum.</v>
      </c>
      <c r="J313" t="str">
        <f>_xlfn.XLOOKUP(frasest[[#This Row],[author_es]],autorest[author_es],autorest[iso3691])</f>
        <v>la</v>
      </c>
      <c r="K313" t="str">
        <f>_xlfn.XLOOKUP(frasest[[#This Row],[author_es]],autorest[author_es],autorest[language_es])</f>
        <v>Latín</v>
      </c>
      <c r="L313" t="str">
        <f>_xlfn.XLOOKUP(frasest[[#This Row],[author_es]],autorest[author_es],autorest[language_la])</f>
        <v>Lingua Latina</v>
      </c>
      <c r="M313" t="str">
        <f>_xlfn.XLOOKUP(frasest[[#This Row],[author_es]],autorest[author_es],autorest[nation_es])</f>
        <v>Roma</v>
      </c>
      <c r="N313" t="str">
        <f>_xlfn.XLOOKUP(frasest[[#This Row],[author_es]],autorest[author_es],autorest[nation_la])</f>
        <v>Roma</v>
      </c>
      <c r="O313" t="str">
        <f>_xlfn.XLOOKUP(frasest[[#This Row],[author_es]],autorest[author_es],autorest[age_es])</f>
        <v>Edad Antigua</v>
      </c>
      <c r="P313" t="str">
        <f>_xlfn.XLOOKUP(frasest[[#This Row],[author_es]],autorest[author_es],autorest[age_la])</f>
        <v>Antiquitas</v>
      </c>
      <c r="Q313" t="str">
        <f>_xlfn.XLOOKUP(frasest[[#This Row],[author_es]],autorest[author_es],autorest[image])</f>
        <v>https://i.ibb.co/HDVQmSDL/sanjeronimo.png</v>
      </c>
      <c r="R313">
        <f>_xlfn.XLOOKUP(frasest[[#This Row],[author_es]],autorest[author_es],autorest[image_atr])</f>
        <v>0</v>
      </c>
    </row>
    <row r="314" spans="1:18">
      <c r="A314">
        <v>313</v>
      </c>
      <c r="B314" t="s">
        <v>1106</v>
      </c>
      <c r="C314" t="s">
        <v>1107</v>
      </c>
      <c r="D314" t="s">
        <v>1107</v>
      </c>
      <c r="E314" t="s">
        <v>1094</v>
      </c>
      <c r="F314" t="s">
        <v>1095</v>
      </c>
      <c r="G314" t="str">
        <f>_xlfn.XLOOKUP(frasest[[#This Row],[author_es]],autorest[author_es],autorest[author_la])</f>
        <v>Hieronymus Stridonensis</v>
      </c>
      <c r="H314" t="str">
        <f>_xlfn.XLOOKUP(frasest[[#This Row],[author_es]],autorest[author_es],autorest[bio_es])</f>
        <v>Padre y Doctor de la Iglesia, traductor de la Biblia al latín (Vulgata). Erudito políglota, asceta y polemista, patrono de los traductores.</v>
      </c>
      <c r="I314" t="str">
        <f>_xlfn.XLOOKUP(frasest[[#This Row],[author_es]],autorest[author_es],autorest[bio_la])</f>
        <v>Pater et Doctor Ecclesiae, translator Bibliae in Latinum (Vulgata). Eruditus polyglottus, asceta et polemista, patronus interpretum.</v>
      </c>
      <c r="J314" t="str">
        <f>_xlfn.XLOOKUP(frasest[[#This Row],[author_es]],autorest[author_es],autorest[iso3691])</f>
        <v>la</v>
      </c>
      <c r="K314" t="str">
        <f>_xlfn.XLOOKUP(frasest[[#This Row],[author_es]],autorest[author_es],autorest[language_es])</f>
        <v>Latín</v>
      </c>
      <c r="L314" t="str">
        <f>_xlfn.XLOOKUP(frasest[[#This Row],[author_es]],autorest[author_es],autorest[language_la])</f>
        <v>Lingua Latina</v>
      </c>
      <c r="M314" t="str">
        <f>_xlfn.XLOOKUP(frasest[[#This Row],[author_es]],autorest[author_es],autorest[nation_es])</f>
        <v>Roma</v>
      </c>
      <c r="N314" t="str">
        <f>_xlfn.XLOOKUP(frasest[[#This Row],[author_es]],autorest[author_es],autorest[nation_la])</f>
        <v>Roma</v>
      </c>
      <c r="O314" t="str">
        <f>_xlfn.XLOOKUP(frasest[[#This Row],[author_es]],autorest[author_es],autorest[age_es])</f>
        <v>Edad Antigua</v>
      </c>
      <c r="P314" t="str">
        <f>_xlfn.XLOOKUP(frasest[[#This Row],[author_es]],autorest[author_es],autorest[age_la])</f>
        <v>Antiquitas</v>
      </c>
      <c r="Q314" t="str">
        <f>_xlfn.XLOOKUP(frasest[[#This Row],[author_es]],autorest[author_es],autorest[image])</f>
        <v>https://i.ibb.co/HDVQmSDL/sanjeronimo.png</v>
      </c>
      <c r="R314">
        <f>_xlfn.XLOOKUP(frasest[[#This Row],[author_es]],autorest[author_es],autorest[image_atr])</f>
        <v>0</v>
      </c>
    </row>
    <row r="315" spans="1:18">
      <c r="A315">
        <v>314</v>
      </c>
      <c r="B315" t="s">
        <v>1108</v>
      </c>
      <c r="C315" t="s">
        <v>1109</v>
      </c>
      <c r="D315" t="s">
        <v>1109</v>
      </c>
      <c r="E315" t="s">
        <v>1094</v>
      </c>
      <c r="F315" t="s">
        <v>1095</v>
      </c>
      <c r="G315" t="str">
        <f>_xlfn.XLOOKUP(frasest[[#This Row],[author_es]],autorest[author_es],autorest[author_la])</f>
        <v>Hieronymus Stridonensis</v>
      </c>
      <c r="H315" t="str">
        <f>_xlfn.XLOOKUP(frasest[[#This Row],[author_es]],autorest[author_es],autorest[bio_es])</f>
        <v>Padre y Doctor de la Iglesia, traductor de la Biblia al latín (Vulgata). Erudito políglota, asceta y polemista, patrono de los traductores.</v>
      </c>
      <c r="I315" t="str">
        <f>_xlfn.XLOOKUP(frasest[[#This Row],[author_es]],autorest[author_es],autorest[bio_la])</f>
        <v>Pater et Doctor Ecclesiae, translator Bibliae in Latinum (Vulgata). Eruditus polyglottus, asceta et polemista, patronus interpretum.</v>
      </c>
      <c r="J315" t="str">
        <f>_xlfn.XLOOKUP(frasest[[#This Row],[author_es]],autorest[author_es],autorest[iso3691])</f>
        <v>la</v>
      </c>
      <c r="K315" t="str">
        <f>_xlfn.XLOOKUP(frasest[[#This Row],[author_es]],autorest[author_es],autorest[language_es])</f>
        <v>Latín</v>
      </c>
      <c r="L315" t="str">
        <f>_xlfn.XLOOKUP(frasest[[#This Row],[author_es]],autorest[author_es],autorest[language_la])</f>
        <v>Lingua Latina</v>
      </c>
      <c r="M315" t="str">
        <f>_xlfn.XLOOKUP(frasest[[#This Row],[author_es]],autorest[author_es],autorest[nation_es])</f>
        <v>Roma</v>
      </c>
      <c r="N315" t="str">
        <f>_xlfn.XLOOKUP(frasest[[#This Row],[author_es]],autorest[author_es],autorest[nation_la])</f>
        <v>Roma</v>
      </c>
      <c r="O315" t="str">
        <f>_xlfn.XLOOKUP(frasest[[#This Row],[author_es]],autorest[author_es],autorest[age_es])</f>
        <v>Edad Antigua</v>
      </c>
      <c r="P315" t="str">
        <f>_xlfn.XLOOKUP(frasest[[#This Row],[author_es]],autorest[author_es],autorest[age_la])</f>
        <v>Antiquitas</v>
      </c>
      <c r="Q315" t="str">
        <f>_xlfn.XLOOKUP(frasest[[#This Row],[author_es]],autorest[author_es],autorest[image])</f>
        <v>https://i.ibb.co/HDVQmSDL/sanjeronimo.png</v>
      </c>
      <c r="R315">
        <f>_xlfn.XLOOKUP(frasest[[#This Row],[author_es]],autorest[author_es],autorest[image_atr])</f>
        <v>0</v>
      </c>
    </row>
    <row r="316" spans="1:18">
      <c r="A316">
        <v>315</v>
      </c>
      <c r="B316" t="s">
        <v>1110</v>
      </c>
      <c r="C316" t="s">
        <v>1111</v>
      </c>
      <c r="D316" t="s">
        <v>1111</v>
      </c>
      <c r="E316" t="s">
        <v>1094</v>
      </c>
      <c r="F316" t="s">
        <v>1095</v>
      </c>
      <c r="G316" t="str">
        <f>_xlfn.XLOOKUP(frasest[[#This Row],[author_es]],autorest[author_es],autorest[author_la])</f>
        <v>Hieronymus Stridonensis</v>
      </c>
      <c r="H316" t="str">
        <f>_xlfn.XLOOKUP(frasest[[#This Row],[author_es]],autorest[author_es],autorest[bio_es])</f>
        <v>Padre y Doctor de la Iglesia, traductor de la Biblia al latín (Vulgata). Erudito políglota, asceta y polemista, patrono de los traductores.</v>
      </c>
      <c r="I316" t="str">
        <f>_xlfn.XLOOKUP(frasest[[#This Row],[author_es]],autorest[author_es],autorest[bio_la])</f>
        <v>Pater et Doctor Ecclesiae, translator Bibliae in Latinum (Vulgata). Eruditus polyglottus, asceta et polemista, patronus interpretum.</v>
      </c>
      <c r="J316" t="str">
        <f>_xlfn.XLOOKUP(frasest[[#This Row],[author_es]],autorest[author_es],autorest[iso3691])</f>
        <v>la</v>
      </c>
      <c r="K316" t="str">
        <f>_xlfn.XLOOKUP(frasest[[#This Row],[author_es]],autorest[author_es],autorest[language_es])</f>
        <v>Latín</v>
      </c>
      <c r="L316" t="str">
        <f>_xlfn.XLOOKUP(frasest[[#This Row],[author_es]],autorest[author_es],autorest[language_la])</f>
        <v>Lingua Latina</v>
      </c>
      <c r="M316" t="str">
        <f>_xlfn.XLOOKUP(frasest[[#This Row],[author_es]],autorest[author_es],autorest[nation_es])</f>
        <v>Roma</v>
      </c>
      <c r="N316" t="str">
        <f>_xlfn.XLOOKUP(frasest[[#This Row],[author_es]],autorest[author_es],autorest[nation_la])</f>
        <v>Roma</v>
      </c>
      <c r="O316" t="str">
        <f>_xlfn.XLOOKUP(frasest[[#This Row],[author_es]],autorest[author_es],autorest[age_es])</f>
        <v>Edad Antigua</v>
      </c>
      <c r="P316" t="str">
        <f>_xlfn.XLOOKUP(frasest[[#This Row],[author_es]],autorest[author_es],autorest[age_la])</f>
        <v>Antiquitas</v>
      </c>
      <c r="Q316" t="str">
        <f>_xlfn.XLOOKUP(frasest[[#This Row],[author_es]],autorest[author_es],autorest[image])</f>
        <v>https://i.ibb.co/HDVQmSDL/sanjeronimo.png</v>
      </c>
      <c r="R316">
        <f>_xlfn.XLOOKUP(frasest[[#This Row],[author_es]],autorest[author_es],autorest[image_atr])</f>
        <v>0</v>
      </c>
    </row>
    <row r="317" spans="1:18">
      <c r="A317">
        <v>316</v>
      </c>
      <c r="B317" t="s">
        <v>1112</v>
      </c>
      <c r="C317" t="s">
        <v>1113</v>
      </c>
      <c r="D317" t="s">
        <v>1113</v>
      </c>
      <c r="E317" t="s">
        <v>1094</v>
      </c>
      <c r="F317" t="s">
        <v>1095</v>
      </c>
      <c r="G317" t="str">
        <f>_xlfn.XLOOKUP(frasest[[#This Row],[author_es]],autorest[author_es],autorest[author_la])</f>
        <v>Hieronymus Stridonensis</v>
      </c>
      <c r="H317" t="str">
        <f>_xlfn.XLOOKUP(frasest[[#This Row],[author_es]],autorest[author_es],autorest[bio_es])</f>
        <v>Padre y Doctor de la Iglesia, traductor de la Biblia al latín (Vulgata). Erudito políglota, asceta y polemista, patrono de los traductores.</v>
      </c>
      <c r="I317" t="str">
        <f>_xlfn.XLOOKUP(frasest[[#This Row],[author_es]],autorest[author_es],autorest[bio_la])</f>
        <v>Pater et Doctor Ecclesiae, translator Bibliae in Latinum (Vulgata). Eruditus polyglottus, asceta et polemista, patronus interpretum.</v>
      </c>
      <c r="J317" t="str">
        <f>_xlfn.XLOOKUP(frasest[[#This Row],[author_es]],autorest[author_es],autorest[iso3691])</f>
        <v>la</v>
      </c>
      <c r="K317" t="str">
        <f>_xlfn.XLOOKUP(frasest[[#This Row],[author_es]],autorest[author_es],autorest[language_es])</f>
        <v>Latín</v>
      </c>
      <c r="L317" t="str">
        <f>_xlfn.XLOOKUP(frasest[[#This Row],[author_es]],autorest[author_es],autorest[language_la])</f>
        <v>Lingua Latina</v>
      </c>
      <c r="M317" t="str">
        <f>_xlfn.XLOOKUP(frasest[[#This Row],[author_es]],autorest[author_es],autorest[nation_es])</f>
        <v>Roma</v>
      </c>
      <c r="N317" t="str">
        <f>_xlfn.XLOOKUP(frasest[[#This Row],[author_es]],autorest[author_es],autorest[nation_la])</f>
        <v>Roma</v>
      </c>
      <c r="O317" t="str">
        <f>_xlfn.XLOOKUP(frasest[[#This Row],[author_es]],autorest[author_es],autorest[age_es])</f>
        <v>Edad Antigua</v>
      </c>
      <c r="P317" t="str">
        <f>_xlfn.XLOOKUP(frasest[[#This Row],[author_es]],autorest[author_es],autorest[age_la])</f>
        <v>Antiquitas</v>
      </c>
      <c r="Q317" t="str">
        <f>_xlfn.XLOOKUP(frasest[[#This Row],[author_es]],autorest[author_es],autorest[image])</f>
        <v>https://i.ibb.co/HDVQmSDL/sanjeronimo.png</v>
      </c>
      <c r="R317">
        <f>_xlfn.XLOOKUP(frasest[[#This Row],[author_es]],autorest[author_es],autorest[image_atr])</f>
        <v>0</v>
      </c>
    </row>
    <row r="318" spans="1:18">
      <c r="A318">
        <v>317</v>
      </c>
      <c r="B318" t="s">
        <v>1114</v>
      </c>
      <c r="C318" t="s">
        <v>1115</v>
      </c>
      <c r="D318" t="s">
        <v>1115</v>
      </c>
      <c r="E318" t="s">
        <v>1116</v>
      </c>
      <c r="F318" t="s">
        <v>1117</v>
      </c>
      <c r="G318" t="str">
        <f>_xlfn.XLOOKUP(frasest[[#This Row],[author_es]],autorest[author_es],autorest[author_la])</f>
        <v>Leo Magnus</v>
      </c>
      <c r="H318" t="str">
        <f>_xlfn.XLOOKUP(frasest[[#This Row],[author_es]],autorest[author_es],autorest[bio_es])</f>
        <v>Papa, Doctor de la Iglesia. Convocó el Concilio de Calcedonia, detuvo a Atila en las puertas de Roma. Defensor de la primacía papal y la cristología ortodoxa.</v>
      </c>
      <c r="I318" t="str">
        <f>_xlfn.XLOOKUP(frasest[[#This Row],[author_es]],autorest[author_es],autorest[bio_la])</f>
        <v>Papa, Doctor Ecclesiae. Concilium Chalcedonense convocavit, Attilam ad portas Romae inhibuit. Primatus papalis et christologiae orthodoxae defensor.</v>
      </c>
      <c r="J318" t="str">
        <f>_xlfn.XLOOKUP(frasest[[#This Row],[author_es]],autorest[author_es],autorest[iso3691])</f>
        <v>la</v>
      </c>
      <c r="K318" t="str">
        <f>_xlfn.XLOOKUP(frasest[[#This Row],[author_es]],autorest[author_es],autorest[language_es])</f>
        <v>Latín</v>
      </c>
      <c r="L318" t="str">
        <f>_xlfn.XLOOKUP(frasest[[#This Row],[author_es]],autorest[author_es],autorest[language_la])</f>
        <v>Lingua Latina</v>
      </c>
      <c r="M318" t="str">
        <f>_xlfn.XLOOKUP(frasest[[#This Row],[author_es]],autorest[author_es],autorest[nation_es])</f>
        <v>Roma</v>
      </c>
      <c r="N318" t="str">
        <f>_xlfn.XLOOKUP(frasest[[#This Row],[author_es]],autorest[author_es],autorest[nation_la])</f>
        <v>Roma</v>
      </c>
      <c r="O318" t="str">
        <f>_xlfn.XLOOKUP(frasest[[#This Row],[author_es]],autorest[author_es],autorest[age_es])</f>
        <v>Edad Antigua</v>
      </c>
      <c r="P318" t="str">
        <f>_xlfn.XLOOKUP(frasest[[#This Row],[author_es]],autorest[author_es],autorest[age_la])</f>
        <v>Antiquitas</v>
      </c>
      <c r="Q318" t="str">
        <f>_xlfn.XLOOKUP(frasest[[#This Row],[author_es]],autorest[author_es],autorest[image])</f>
        <v>https://i.ibb.co/63WDrBK/sanleonmagno.png</v>
      </c>
      <c r="R318">
        <f>_xlfn.XLOOKUP(frasest[[#This Row],[author_es]],autorest[author_es],autorest[image_atr])</f>
        <v>0</v>
      </c>
    </row>
    <row r="319" spans="1:18">
      <c r="A319">
        <v>318</v>
      </c>
      <c r="B319" t="s">
        <v>1118</v>
      </c>
      <c r="C319" t="s">
        <v>1119</v>
      </c>
      <c r="D319" t="s">
        <v>1119</v>
      </c>
      <c r="E319" t="s">
        <v>1116</v>
      </c>
      <c r="F319" t="s">
        <v>1117</v>
      </c>
      <c r="G319" t="str">
        <f>_xlfn.XLOOKUP(frasest[[#This Row],[author_es]],autorest[author_es],autorest[author_la])</f>
        <v>Leo Magnus</v>
      </c>
      <c r="H319" t="str">
        <f>_xlfn.XLOOKUP(frasest[[#This Row],[author_es]],autorest[author_es],autorest[bio_es])</f>
        <v>Papa, Doctor de la Iglesia. Convocó el Concilio de Calcedonia, detuvo a Atila en las puertas de Roma. Defensor de la primacía papal y la cristología ortodoxa.</v>
      </c>
      <c r="I319" t="str">
        <f>_xlfn.XLOOKUP(frasest[[#This Row],[author_es]],autorest[author_es],autorest[bio_la])</f>
        <v>Papa, Doctor Ecclesiae. Concilium Chalcedonense convocavit, Attilam ad portas Romae inhibuit. Primatus papalis et christologiae orthodoxae defensor.</v>
      </c>
      <c r="J319" t="str">
        <f>_xlfn.XLOOKUP(frasest[[#This Row],[author_es]],autorest[author_es],autorest[iso3691])</f>
        <v>la</v>
      </c>
      <c r="K319" t="str">
        <f>_xlfn.XLOOKUP(frasest[[#This Row],[author_es]],autorest[author_es],autorest[language_es])</f>
        <v>Latín</v>
      </c>
      <c r="L319" t="str">
        <f>_xlfn.XLOOKUP(frasest[[#This Row],[author_es]],autorest[author_es],autorest[language_la])</f>
        <v>Lingua Latina</v>
      </c>
      <c r="M319" t="str">
        <f>_xlfn.XLOOKUP(frasest[[#This Row],[author_es]],autorest[author_es],autorest[nation_es])</f>
        <v>Roma</v>
      </c>
      <c r="N319" t="str">
        <f>_xlfn.XLOOKUP(frasest[[#This Row],[author_es]],autorest[author_es],autorest[nation_la])</f>
        <v>Roma</v>
      </c>
      <c r="O319" t="str">
        <f>_xlfn.XLOOKUP(frasest[[#This Row],[author_es]],autorest[author_es],autorest[age_es])</f>
        <v>Edad Antigua</v>
      </c>
      <c r="P319" t="str">
        <f>_xlfn.XLOOKUP(frasest[[#This Row],[author_es]],autorest[author_es],autorest[age_la])</f>
        <v>Antiquitas</v>
      </c>
      <c r="Q319" t="str">
        <f>_xlfn.XLOOKUP(frasest[[#This Row],[author_es]],autorest[author_es],autorest[image])</f>
        <v>https://i.ibb.co/63WDrBK/sanleonmagno.png</v>
      </c>
      <c r="R319">
        <f>_xlfn.XLOOKUP(frasest[[#This Row],[author_es]],autorest[author_es],autorest[image_atr])</f>
        <v>0</v>
      </c>
    </row>
    <row r="320" spans="1:18">
      <c r="A320">
        <v>319</v>
      </c>
      <c r="B320" t="s">
        <v>1120</v>
      </c>
      <c r="C320" t="s">
        <v>1121</v>
      </c>
      <c r="D320" t="s">
        <v>1121</v>
      </c>
      <c r="E320" t="s">
        <v>1116</v>
      </c>
      <c r="F320" t="s">
        <v>1117</v>
      </c>
      <c r="G320" t="str">
        <f>_xlfn.XLOOKUP(frasest[[#This Row],[author_es]],autorest[author_es],autorest[author_la])</f>
        <v>Leo Magnus</v>
      </c>
      <c r="H320" t="str">
        <f>_xlfn.XLOOKUP(frasest[[#This Row],[author_es]],autorest[author_es],autorest[bio_es])</f>
        <v>Papa, Doctor de la Iglesia. Convocó el Concilio de Calcedonia, detuvo a Atila en las puertas de Roma. Defensor de la primacía papal y la cristología ortodoxa.</v>
      </c>
      <c r="I320" t="str">
        <f>_xlfn.XLOOKUP(frasest[[#This Row],[author_es]],autorest[author_es],autorest[bio_la])</f>
        <v>Papa, Doctor Ecclesiae. Concilium Chalcedonense convocavit, Attilam ad portas Romae inhibuit. Primatus papalis et christologiae orthodoxae defensor.</v>
      </c>
      <c r="J320" t="str">
        <f>_xlfn.XLOOKUP(frasest[[#This Row],[author_es]],autorest[author_es],autorest[iso3691])</f>
        <v>la</v>
      </c>
      <c r="K320" t="str">
        <f>_xlfn.XLOOKUP(frasest[[#This Row],[author_es]],autorest[author_es],autorest[language_es])</f>
        <v>Latín</v>
      </c>
      <c r="L320" t="str">
        <f>_xlfn.XLOOKUP(frasest[[#This Row],[author_es]],autorest[author_es],autorest[language_la])</f>
        <v>Lingua Latina</v>
      </c>
      <c r="M320" t="str">
        <f>_xlfn.XLOOKUP(frasest[[#This Row],[author_es]],autorest[author_es],autorest[nation_es])</f>
        <v>Roma</v>
      </c>
      <c r="N320" t="str">
        <f>_xlfn.XLOOKUP(frasest[[#This Row],[author_es]],autorest[author_es],autorest[nation_la])</f>
        <v>Roma</v>
      </c>
      <c r="O320" t="str">
        <f>_xlfn.XLOOKUP(frasest[[#This Row],[author_es]],autorest[author_es],autorest[age_es])</f>
        <v>Edad Antigua</v>
      </c>
      <c r="P320" t="str">
        <f>_xlfn.XLOOKUP(frasest[[#This Row],[author_es]],autorest[author_es],autorest[age_la])</f>
        <v>Antiquitas</v>
      </c>
      <c r="Q320" t="str">
        <f>_xlfn.XLOOKUP(frasest[[#This Row],[author_es]],autorest[author_es],autorest[image])</f>
        <v>https://i.ibb.co/63WDrBK/sanleonmagno.png</v>
      </c>
      <c r="R320">
        <f>_xlfn.XLOOKUP(frasest[[#This Row],[author_es]],autorest[author_es],autorest[image_atr])</f>
        <v>0</v>
      </c>
    </row>
    <row r="321" spans="1:18">
      <c r="A321">
        <v>320</v>
      </c>
      <c r="B321" t="s">
        <v>1122</v>
      </c>
      <c r="C321" t="s">
        <v>1123</v>
      </c>
      <c r="D321" t="s">
        <v>1123</v>
      </c>
      <c r="E321" t="s">
        <v>1116</v>
      </c>
      <c r="F321" t="s">
        <v>1117</v>
      </c>
      <c r="G321" t="str">
        <f>_xlfn.XLOOKUP(frasest[[#This Row],[author_es]],autorest[author_es],autorest[author_la])</f>
        <v>Leo Magnus</v>
      </c>
      <c r="H321" t="str">
        <f>_xlfn.XLOOKUP(frasest[[#This Row],[author_es]],autorest[author_es],autorest[bio_es])</f>
        <v>Papa, Doctor de la Iglesia. Convocó el Concilio de Calcedonia, detuvo a Atila en las puertas de Roma. Defensor de la primacía papal y la cristología ortodoxa.</v>
      </c>
      <c r="I321" t="str">
        <f>_xlfn.XLOOKUP(frasest[[#This Row],[author_es]],autorest[author_es],autorest[bio_la])</f>
        <v>Papa, Doctor Ecclesiae. Concilium Chalcedonense convocavit, Attilam ad portas Romae inhibuit. Primatus papalis et christologiae orthodoxae defensor.</v>
      </c>
      <c r="J321" t="str">
        <f>_xlfn.XLOOKUP(frasest[[#This Row],[author_es]],autorest[author_es],autorest[iso3691])</f>
        <v>la</v>
      </c>
      <c r="K321" t="str">
        <f>_xlfn.XLOOKUP(frasest[[#This Row],[author_es]],autorest[author_es],autorest[language_es])</f>
        <v>Latín</v>
      </c>
      <c r="L321" t="str">
        <f>_xlfn.XLOOKUP(frasest[[#This Row],[author_es]],autorest[author_es],autorest[language_la])</f>
        <v>Lingua Latina</v>
      </c>
      <c r="M321" t="str">
        <f>_xlfn.XLOOKUP(frasest[[#This Row],[author_es]],autorest[author_es],autorest[nation_es])</f>
        <v>Roma</v>
      </c>
      <c r="N321" t="str">
        <f>_xlfn.XLOOKUP(frasest[[#This Row],[author_es]],autorest[author_es],autorest[nation_la])</f>
        <v>Roma</v>
      </c>
      <c r="O321" t="str">
        <f>_xlfn.XLOOKUP(frasest[[#This Row],[author_es]],autorest[author_es],autorest[age_es])</f>
        <v>Edad Antigua</v>
      </c>
      <c r="P321" t="str">
        <f>_xlfn.XLOOKUP(frasest[[#This Row],[author_es]],autorest[author_es],autorest[age_la])</f>
        <v>Antiquitas</v>
      </c>
      <c r="Q321" t="str">
        <f>_xlfn.XLOOKUP(frasest[[#This Row],[author_es]],autorest[author_es],autorest[image])</f>
        <v>https://i.ibb.co/63WDrBK/sanleonmagno.png</v>
      </c>
      <c r="R321">
        <f>_xlfn.XLOOKUP(frasest[[#This Row],[author_es]],autorest[author_es],autorest[image_atr])</f>
        <v>0</v>
      </c>
    </row>
    <row r="322" spans="1:18">
      <c r="A322">
        <v>321</v>
      </c>
      <c r="B322" t="s">
        <v>1124</v>
      </c>
      <c r="C322" t="s">
        <v>1125</v>
      </c>
      <c r="D322" t="s">
        <v>1125</v>
      </c>
      <c r="E322" t="s">
        <v>1116</v>
      </c>
      <c r="F322" t="s">
        <v>1117</v>
      </c>
      <c r="G322" t="str">
        <f>_xlfn.XLOOKUP(frasest[[#This Row],[author_es]],autorest[author_es],autorest[author_la])</f>
        <v>Leo Magnus</v>
      </c>
      <c r="H322" t="str">
        <f>_xlfn.XLOOKUP(frasest[[#This Row],[author_es]],autorest[author_es],autorest[bio_es])</f>
        <v>Papa, Doctor de la Iglesia. Convocó el Concilio de Calcedonia, detuvo a Atila en las puertas de Roma. Defensor de la primacía papal y la cristología ortodoxa.</v>
      </c>
      <c r="I322" t="str">
        <f>_xlfn.XLOOKUP(frasest[[#This Row],[author_es]],autorest[author_es],autorest[bio_la])</f>
        <v>Papa, Doctor Ecclesiae. Concilium Chalcedonense convocavit, Attilam ad portas Romae inhibuit. Primatus papalis et christologiae orthodoxae defensor.</v>
      </c>
      <c r="J322" t="str">
        <f>_xlfn.XLOOKUP(frasest[[#This Row],[author_es]],autorest[author_es],autorest[iso3691])</f>
        <v>la</v>
      </c>
      <c r="K322" t="str">
        <f>_xlfn.XLOOKUP(frasest[[#This Row],[author_es]],autorest[author_es],autorest[language_es])</f>
        <v>Latín</v>
      </c>
      <c r="L322" t="str">
        <f>_xlfn.XLOOKUP(frasest[[#This Row],[author_es]],autorest[author_es],autorest[language_la])</f>
        <v>Lingua Latina</v>
      </c>
      <c r="M322" t="str">
        <f>_xlfn.XLOOKUP(frasest[[#This Row],[author_es]],autorest[author_es],autorest[nation_es])</f>
        <v>Roma</v>
      </c>
      <c r="N322" t="str">
        <f>_xlfn.XLOOKUP(frasest[[#This Row],[author_es]],autorest[author_es],autorest[nation_la])</f>
        <v>Roma</v>
      </c>
      <c r="O322" t="str">
        <f>_xlfn.XLOOKUP(frasest[[#This Row],[author_es]],autorest[author_es],autorest[age_es])</f>
        <v>Edad Antigua</v>
      </c>
      <c r="P322" t="str">
        <f>_xlfn.XLOOKUP(frasest[[#This Row],[author_es]],autorest[author_es],autorest[age_la])</f>
        <v>Antiquitas</v>
      </c>
      <c r="Q322" t="str">
        <f>_xlfn.XLOOKUP(frasest[[#This Row],[author_es]],autorest[author_es],autorest[image])</f>
        <v>https://i.ibb.co/63WDrBK/sanleonmagno.png</v>
      </c>
      <c r="R322">
        <f>_xlfn.XLOOKUP(frasest[[#This Row],[author_es]],autorest[author_es],autorest[image_atr])</f>
        <v>0</v>
      </c>
    </row>
    <row r="323" spans="1:18">
      <c r="A323">
        <v>322</v>
      </c>
      <c r="B323" t="s">
        <v>1126</v>
      </c>
      <c r="C323" t="s">
        <v>1127</v>
      </c>
      <c r="D323" t="s">
        <v>1127</v>
      </c>
      <c r="E323" t="s">
        <v>1116</v>
      </c>
      <c r="F323" t="s">
        <v>1117</v>
      </c>
      <c r="G323" t="str">
        <f>_xlfn.XLOOKUP(frasest[[#This Row],[author_es]],autorest[author_es],autorest[author_la])</f>
        <v>Leo Magnus</v>
      </c>
      <c r="H323" t="str">
        <f>_xlfn.XLOOKUP(frasest[[#This Row],[author_es]],autorest[author_es],autorest[bio_es])</f>
        <v>Papa, Doctor de la Iglesia. Convocó el Concilio de Calcedonia, detuvo a Atila en las puertas de Roma. Defensor de la primacía papal y la cristología ortodoxa.</v>
      </c>
      <c r="I323" t="str">
        <f>_xlfn.XLOOKUP(frasest[[#This Row],[author_es]],autorest[author_es],autorest[bio_la])</f>
        <v>Papa, Doctor Ecclesiae. Concilium Chalcedonense convocavit, Attilam ad portas Romae inhibuit. Primatus papalis et christologiae orthodoxae defensor.</v>
      </c>
      <c r="J323" t="str">
        <f>_xlfn.XLOOKUP(frasest[[#This Row],[author_es]],autorest[author_es],autorest[iso3691])</f>
        <v>la</v>
      </c>
      <c r="K323" t="str">
        <f>_xlfn.XLOOKUP(frasest[[#This Row],[author_es]],autorest[author_es],autorest[language_es])</f>
        <v>Latín</v>
      </c>
      <c r="L323" t="str">
        <f>_xlfn.XLOOKUP(frasest[[#This Row],[author_es]],autorest[author_es],autorest[language_la])</f>
        <v>Lingua Latina</v>
      </c>
      <c r="M323" t="str">
        <f>_xlfn.XLOOKUP(frasest[[#This Row],[author_es]],autorest[author_es],autorest[nation_es])</f>
        <v>Roma</v>
      </c>
      <c r="N323" t="str">
        <f>_xlfn.XLOOKUP(frasest[[#This Row],[author_es]],autorest[author_es],autorest[nation_la])</f>
        <v>Roma</v>
      </c>
      <c r="O323" t="str">
        <f>_xlfn.XLOOKUP(frasest[[#This Row],[author_es]],autorest[author_es],autorest[age_es])</f>
        <v>Edad Antigua</v>
      </c>
      <c r="P323" t="str">
        <f>_xlfn.XLOOKUP(frasest[[#This Row],[author_es]],autorest[author_es],autorest[age_la])</f>
        <v>Antiquitas</v>
      </c>
      <c r="Q323" t="str">
        <f>_xlfn.XLOOKUP(frasest[[#This Row],[author_es]],autorest[author_es],autorest[image])</f>
        <v>https://i.ibb.co/63WDrBK/sanleonmagno.png</v>
      </c>
      <c r="R323">
        <f>_xlfn.XLOOKUP(frasest[[#This Row],[author_es]],autorest[author_es],autorest[image_atr])</f>
        <v>0</v>
      </c>
    </row>
    <row r="324" spans="1:18">
      <c r="A324">
        <v>323</v>
      </c>
      <c r="B324" t="s">
        <v>1128</v>
      </c>
      <c r="C324" t="s">
        <v>1129</v>
      </c>
      <c r="D324" t="s">
        <v>1129</v>
      </c>
      <c r="E324" t="s">
        <v>1116</v>
      </c>
      <c r="F324" t="s">
        <v>1117</v>
      </c>
      <c r="G324" t="str">
        <f>_xlfn.XLOOKUP(frasest[[#This Row],[author_es]],autorest[author_es],autorest[author_la])</f>
        <v>Leo Magnus</v>
      </c>
      <c r="H324" t="str">
        <f>_xlfn.XLOOKUP(frasest[[#This Row],[author_es]],autorest[author_es],autorest[bio_es])</f>
        <v>Papa, Doctor de la Iglesia. Convocó el Concilio de Calcedonia, detuvo a Atila en las puertas de Roma. Defensor de la primacía papal y la cristología ortodoxa.</v>
      </c>
      <c r="I324" t="str">
        <f>_xlfn.XLOOKUP(frasest[[#This Row],[author_es]],autorest[author_es],autorest[bio_la])</f>
        <v>Papa, Doctor Ecclesiae. Concilium Chalcedonense convocavit, Attilam ad portas Romae inhibuit. Primatus papalis et christologiae orthodoxae defensor.</v>
      </c>
      <c r="J324" t="str">
        <f>_xlfn.XLOOKUP(frasest[[#This Row],[author_es]],autorest[author_es],autorest[iso3691])</f>
        <v>la</v>
      </c>
      <c r="K324" t="str">
        <f>_xlfn.XLOOKUP(frasest[[#This Row],[author_es]],autorest[author_es],autorest[language_es])</f>
        <v>Latín</v>
      </c>
      <c r="L324" t="str">
        <f>_xlfn.XLOOKUP(frasest[[#This Row],[author_es]],autorest[author_es],autorest[language_la])</f>
        <v>Lingua Latina</v>
      </c>
      <c r="M324" t="str">
        <f>_xlfn.XLOOKUP(frasest[[#This Row],[author_es]],autorest[author_es],autorest[nation_es])</f>
        <v>Roma</v>
      </c>
      <c r="N324" t="str">
        <f>_xlfn.XLOOKUP(frasest[[#This Row],[author_es]],autorest[author_es],autorest[nation_la])</f>
        <v>Roma</v>
      </c>
      <c r="O324" t="str">
        <f>_xlfn.XLOOKUP(frasest[[#This Row],[author_es]],autorest[author_es],autorest[age_es])</f>
        <v>Edad Antigua</v>
      </c>
      <c r="P324" t="str">
        <f>_xlfn.XLOOKUP(frasest[[#This Row],[author_es]],autorest[author_es],autorest[age_la])</f>
        <v>Antiquitas</v>
      </c>
      <c r="Q324" t="str">
        <f>_xlfn.XLOOKUP(frasest[[#This Row],[author_es]],autorest[author_es],autorest[image])</f>
        <v>https://i.ibb.co/63WDrBK/sanleonmagno.png</v>
      </c>
      <c r="R324">
        <f>_xlfn.XLOOKUP(frasest[[#This Row],[author_es]],autorest[author_es],autorest[image_atr])</f>
        <v>0</v>
      </c>
    </row>
    <row r="325" spans="1:18">
      <c r="A325">
        <v>324</v>
      </c>
      <c r="B325" t="s">
        <v>1130</v>
      </c>
      <c r="C325" t="s">
        <v>1131</v>
      </c>
      <c r="D325" t="s">
        <v>1131</v>
      </c>
      <c r="E325" t="s">
        <v>1116</v>
      </c>
      <c r="F325" t="s">
        <v>1117</v>
      </c>
      <c r="G325" t="str">
        <f>_xlfn.XLOOKUP(frasest[[#This Row],[author_es]],autorest[author_es],autorest[author_la])</f>
        <v>Leo Magnus</v>
      </c>
      <c r="H325" t="str">
        <f>_xlfn.XLOOKUP(frasest[[#This Row],[author_es]],autorest[author_es],autorest[bio_es])</f>
        <v>Papa, Doctor de la Iglesia. Convocó el Concilio de Calcedonia, detuvo a Atila en las puertas de Roma. Defensor de la primacía papal y la cristología ortodoxa.</v>
      </c>
      <c r="I325" t="str">
        <f>_xlfn.XLOOKUP(frasest[[#This Row],[author_es]],autorest[author_es],autorest[bio_la])</f>
        <v>Papa, Doctor Ecclesiae. Concilium Chalcedonense convocavit, Attilam ad portas Romae inhibuit. Primatus papalis et christologiae orthodoxae defensor.</v>
      </c>
      <c r="J325" t="str">
        <f>_xlfn.XLOOKUP(frasest[[#This Row],[author_es]],autorest[author_es],autorest[iso3691])</f>
        <v>la</v>
      </c>
      <c r="K325" t="str">
        <f>_xlfn.XLOOKUP(frasest[[#This Row],[author_es]],autorest[author_es],autorest[language_es])</f>
        <v>Latín</v>
      </c>
      <c r="L325" t="str">
        <f>_xlfn.XLOOKUP(frasest[[#This Row],[author_es]],autorest[author_es],autorest[language_la])</f>
        <v>Lingua Latina</v>
      </c>
      <c r="M325" t="str">
        <f>_xlfn.XLOOKUP(frasest[[#This Row],[author_es]],autorest[author_es],autorest[nation_es])</f>
        <v>Roma</v>
      </c>
      <c r="N325" t="str">
        <f>_xlfn.XLOOKUP(frasest[[#This Row],[author_es]],autorest[author_es],autorest[nation_la])</f>
        <v>Roma</v>
      </c>
      <c r="O325" t="str">
        <f>_xlfn.XLOOKUP(frasest[[#This Row],[author_es]],autorest[author_es],autorest[age_es])</f>
        <v>Edad Antigua</v>
      </c>
      <c r="P325" t="str">
        <f>_xlfn.XLOOKUP(frasest[[#This Row],[author_es]],autorest[author_es],autorest[age_la])</f>
        <v>Antiquitas</v>
      </c>
      <c r="Q325" t="str">
        <f>_xlfn.XLOOKUP(frasest[[#This Row],[author_es]],autorest[author_es],autorest[image])</f>
        <v>https://i.ibb.co/63WDrBK/sanleonmagno.png</v>
      </c>
      <c r="R325">
        <f>_xlfn.XLOOKUP(frasest[[#This Row],[author_es]],autorest[author_es],autorest[image_atr])</f>
        <v>0</v>
      </c>
    </row>
    <row r="326" spans="1:18">
      <c r="A326">
        <v>325</v>
      </c>
      <c r="B326" t="s">
        <v>1132</v>
      </c>
      <c r="C326" t="s">
        <v>1133</v>
      </c>
      <c r="D326" t="s">
        <v>1133</v>
      </c>
      <c r="E326" t="s">
        <v>1116</v>
      </c>
      <c r="F326" t="s">
        <v>1117</v>
      </c>
      <c r="G326" t="str">
        <f>_xlfn.XLOOKUP(frasest[[#This Row],[author_es]],autorest[author_es],autorest[author_la])</f>
        <v>Leo Magnus</v>
      </c>
      <c r="H326" t="str">
        <f>_xlfn.XLOOKUP(frasest[[#This Row],[author_es]],autorest[author_es],autorest[bio_es])</f>
        <v>Papa, Doctor de la Iglesia. Convocó el Concilio de Calcedonia, detuvo a Atila en las puertas de Roma. Defensor de la primacía papal y la cristología ortodoxa.</v>
      </c>
      <c r="I326" t="str">
        <f>_xlfn.XLOOKUP(frasest[[#This Row],[author_es]],autorest[author_es],autorest[bio_la])</f>
        <v>Papa, Doctor Ecclesiae. Concilium Chalcedonense convocavit, Attilam ad portas Romae inhibuit. Primatus papalis et christologiae orthodoxae defensor.</v>
      </c>
      <c r="J326" t="str">
        <f>_xlfn.XLOOKUP(frasest[[#This Row],[author_es]],autorest[author_es],autorest[iso3691])</f>
        <v>la</v>
      </c>
      <c r="K326" t="str">
        <f>_xlfn.XLOOKUP(frasest[[#This Row],[author_es]],autorest[author_es],autorest[language_es])</f>
        <v>Latín</v>
      </c>
      <c r="L326" t="str">
        <f>_xlfn.XLOOKUP(frasest[[#This Row],[author_es]],autorest[author_es],autorest[language_la])</f>
        <v>Lingua Latina</v>
      </c>
      <c r="M326" t="str">
        <f>_xlfn.XLOOKUP(frasest[[#This Row],[author_es]],autorest[author_es],autorest[nation_es])</f>
        <v>Roma</v>
      </c>
      <c r="N326" t="str">
        <f>_xlfn.XLOOKUP(frasest[[#This Row],[author_es]],autorest[author_es],autorest[nation_la])</f>
        <v>Roma</v>
      </c>
      <c r="O326" t="str">
        <f>_xlfn.XLOOKUP(frasest[[#This Row],[author_es]],autorest[author_es],autorest[age_es])</f>
        <v>Edad Antigua</v>
      </c>
      <c r="P326" t="str">
        <f>_xlfn.XLOOKUP(frasest[[#This Row],[author_es]],autorest[author_es],autorest[age_la])</f>
        <v>Antiquitas</v>
      </c>
      <c r="Q326" t="str">
        <f>_xlfn.XLOOKUP(frasest[[#This Row],[author_es]],autorest[author_es],autorest[image])</f>
        <v>https://i.ibb.co/63WDrBK/sanleonmagno.png</v>
      </c>
      <c r="R326">
        <f>_xlfn.XLOOKUP(frasest[[#This Row],[author_es]],autorest[author_es],autorest[image_atr])</f>
        <v>0</v>
      </c>
    </row>
    <row r="327" spans="1:18">
      <c r="A327">
        <v>326</v>
      </c>
      <c r="B327" t="s">
        <v>1134</v>
      </c>
      <c r="C327" t="s">
        <v>1135</v>
      </c>
      <c r="D327" t="s">
        <v>1135</v>
      </c>
      <c r="E327" t="s">
        <v>1116</v>
      </c>
      <c r="F327" t="s">
        <v>1117</v>
      </c>
      <c r="G327" t="str">
        <f>_xlfn.XLOOKUP(frasest[[#This Row],[author_es]],autorest[author_es],autorest[author_la])</f>
        <v>Leo Magnus</v>
      </c>
      <c r="H327" t="str">
        <f>_xlfn.XLOOKUP(frasest[[#This Row],[author_es]],autorest[author_es],autorest[bio_es])</f>
        <v>Papa, Doctor de la Iglesia. Convocó el Concilio de Calcedonia, detuvo a Atila en las puertas de Roma. Defensor de la primacía papal y la cristología ortodoxa.</v>
      </c>
      <c r="I327" t="str">
        <f>_xlfn.XLOOKUP(frasest[[#This Row],[author_es]],autorest[author_es],autorest[bio_la])</f>
        <v>Papa, Doctor Ecclesiae. Concilium Chalcedonense convocavit, Attilam ad portas Romae inhibuit. Primatus papalis et christologiae orthodoxae defensor.</v>
      </c>
      <c r="J327" t="str">
        <f>_xlfn.XLOOKUP(frasest[[#This Row],[author_es]],autorest[author_es],autorest[iso3691])</f>
        <v>la</v>
      </c>
      <c r="K327" t="str">
        <f>_xlfn.XLOOKUP(frasest[[#This Row],[author_es]],autorest[author_es],autorest[language_es])</f>
        <v>Latín</v>
      </c>
      <c r="L327" t="str">
        <f>_xlfn.XLOOKUP(frasest[[#This Row],[author_es]],autorest[author_es],autorest[language_la])</f>
        <v>Lingua Latina</v>
      </c>
      <c r="M327" t="str">
        <f>_xlfn.XLOOKUP(frasest[[#This Row],[author_es]],autorest[author_es],autorest[nation_es])</f>
        <v>Roma</v>
      </c>
      <c r="N327" t="str">
        <f>_xlfn.XLOOKUP(frasest[[#This Row],[author_es]],autorest[author_es],autorest[nation_la])</f>
        <v>Roma</v>
      </c>
      <c r="O327" t="str">
        <f>_xlfn.XLOOKUP(frasest[[#This Row],[author_es]],autorest[author_es],autorest[age_es])</f>
        <v>Edad Antigua</v>
      </c>
      <c r="P327" t="str">
        <f>_xlfn.XLOOKUP(frasest[[#This Row],[author_es]],autorest[author_es],autorest[age_la])</f>
        <v>Antiquitas</v>
      </c>
      <c r="Q327" t="str">
        <f>_xlfn.XLOOKUP(frasest[[#This Row],[author_es]],autorest[author_es],autorest[image])</f>
        <v>https://i.ibb.co/63WDrBK/sanleonmagno.png</v>
      </c>
      <c r="R327">
        <f>_xlfn.XLOOKUP(frasest[[#This Row],[author_es]],autorest[author_es],autorest[image_atr])</f>
        <v>0</v>
      </c>
    </row>
    <row r="328" spans="1:18">
      <c r="A328">
        <v>327</v>
      </c>
      <c r="B328" t="s">
        <v>1136</v>
      </c>
      <c r="C328" t="s">
        <v>1137</v>
      </c>
      <c r="D328" t="s">
        <v>1137</v>
      </c>
      <c r="E328" t="s">
        <v>1138</v>
      </c>
      <c r="F328" t="s">
        <v>1139</v>
      </c>
      <c r="G328" t="str">
        <f>_xlfn.XLOOKUP(frasest[[#This Row],[author_es]],autorest[author_es],autorest[author_la])</f>
        <v>Cyprianus Carthaginensis</v>
      </c>
      <c r="H328" t="str">
        <f>_xlfn.XLOOKUP(frasest[[#This Row],[author_es]],autorest[author_es],autorest[bio_es])</f>
        <v>Obispo de Cartago, Padre de la Iglesia y mártir. Teólogo de la unidad eclesiástica, autor de "Sobre la unidad de la Iglesia". Martirizado durante la persecución de Valeriano.</v>
      </c>
      <c r="I328" t="str">
        <f>_xlfn.XLOOKUP(frasest[[#This Row],[author_es]],autorest[author_es],autorest[bio_la])</f>
        <v>Episcopus Carthaginensis, Pater Ecclesiae et martyr. Theologus unitatis ecclesiasticae, auctor "De unitate Ecclesiae". In persecutione Valeriani martyrizatus.</v>
      </c>
      <c r="J328" t="str">
        <f>_xlfn.XLOOKUP(frasest[[#This Row],[author_es]],autorest[author_es],autorest[iso3691])</f>
        <v>la</v>
      </c>
      <c r="K328" t="str">
        <f>_xlfn.XLOOKUP(frasest[[#This Row],[author_es]],autorest[author_es],autorest[language_es])</f>
        <v>Latín</v>
      </c>
      <c r="L328" t="str">
        <f>_xlfn.XLOOKUP(frasest[[#This Row],[author_es]],autorest[author_es],autorest[language_la])</f>
        <v>Lingua Latina</v>
      </c>
      <c r="M328" t="str">
        <f>_xlfn.XLOOKUP(frasest[[#This Row],[author_es]],autorest[author_es],autorest[nation_es])</f>
        <v>Roma</v>
      </c>
      <c r="N328" t="str">
        <f>_xlfn.XLOOKUP(frasest[[#This Row],[author_es]],autorest[author_es],autorest[nation_la])</f>
        <v>Roma</v>
      </c>
      <c r="O328" t="str">
        <f>_xlfn.XLOOKUP(frasest[[#This Row],[author_es]],autorest[author_es],autorest[age_es])</f>
        <v>Edad Antigua</v>
      </c>
      <c r="P328" t="str">
        <f>_xlfn.XLOOKUP(frasest[[#This Row],[author_es]],autorest[author_es],autorest[age_la])</f>
        <v>Antiquitas</v>
      </c>
      <c r="Q328" t="str">
        <f>_xlfn.XLOOKUP(frasest[[#This Row],[author_es]],autorest[author_es],autorest[image])</f>
        <v>https://i.ibb.co/gZSsK5S4/sancipriano.png</v>
      </c>
      <c r="R328">
        <f>_xlfn.XLOOKUP(frasest[[#This Row],[author_es]],autorest[author_es],autorest[image_atr])</f>
        <v>0</v>
      </c>
    </row>
    <row r="329" spans="1:18">
      <c r="A329">
        <v>328</v>
      </c>
      <c r="B329" t="s">
        <v>1140</v>
      </c>
      <c r="C329" t="s">
        <v>1141</v>
      </c>
      <c r="D329" t="s">
        <v>1141</v>
      </c>
      <c r="E329" t="s">
        <v>1138</v>
      </c>
      <c r="F329" t="s">
        <v>1139</v>
      </c>
      <c r="G329" t="str">
        <f>_xlfn.XLOOKUP(frasest[[#This Row],[author_es]],autorest[author_es],autorest[author_la])</f>
        <v>Cyprianus Carthaginensis</v>
      </c>
      <c r="H329" t="str">
        <f>_xlfn.XLOOKUP(frasest[[#This Row],[author_es]],autorest[author_es],autorest[bio_es])</f>
        <v>Obispo de Cartago, Padre de la Iglesia y mártir. Teólogo de la unidad eclesiástica, autor de "Sobre la unidad de la Iglesia". Martirizado durante la persecución de Valeriano.</v>
      </c>
      <c r="I329" t="str">
        <f>_xlfn.XLOOKUP(frasest[[#This Row],[author_es]],autorest[author_es],autorest[bio_la])</f>
        <v>Episcopus Carthaginensis, Pater Ecclesiae et martyr. Theologus unitatis ecclesiasticae, auctor "De unitate Ecclesiae". In persecutione Valeriani martyrizatus.</v>
      </c>
      <c r="J329" t="str">
        <f>_xlfn.XLOOKUP(frasest[[#This Row],[author_es]],autorest[author_es],autorest[iso3691])</f>
        <v>la</v>
      </c>
      <c r="K329" t="str">
        <f>_xlfn.XLOOKUP(frasest[[#This Row],[author_es]],autorest[author_es],autorest[language_es])</f>
        <v>Latín</v>
      </c>
      <c r="L329" t="str">
        <f>_xlfn.XLOOKUP(frasest[[#This Row],[author_es]],autorest[author_es],autorest[language_la])</f>
        <v>Lingua Latina</v>
      </c>
      <c r="M329" t="str">
        <f>_xlfn.XLOOKUP(frasest[[#This Row],[author_es]],autorest[author_es],autorest[nation_es])</f>
        <v>Roma</v>
      </c>
      <c r="N329" t="str">
        <f>_xlfn.XLOOKUP(frasest[[#This Row],[author_es]],autorest[author_es],autorest[nation_la])</f>
        <v>Roma</v>
      </c>
      <c r="O329" t="str">
        <f>_xlfn.XLOOKUP(frasest[[#This Row],[author_es]],autorest[author_es],autorest[age_es])</f>
        <v>Edad Antigua</v>
      </c>
      <c r="P329" t="str">
        <f>_xlfn.XLOOKUP(frasest[[#This Row],[author_es]],autorest[author_es],autorest[age_la])</f>
        <v>Antiquitas</v>
      </c>
      <c r="Q329" t="str">
        <f>_xlfn.XLOOKUP(frasest[[#This Row],[author_es]],autorest[author_es],autorest[image])</f>
        <v>https://i.ibb.co/gZSsK5S4/sancipriano.png</v>
      </c>
      <c r="R329">
        <f>_xlfn.XLOOKUP(frasest[[#This Row],[author_es]],autorest[author_es],autorest[image_atr])</f>
        <v>0</v>
      </c>
    </row>
    <row r="330" spans="1:18">
      <c r="A330">
        <v>329</v>
      </c>
      <c r="B330" t="s">
        <v>1142</v>
      </c>
      <c r="C330" t="s">
        <v>1143</v>
      </c>
      <c r="D330" t="s">
        <v>1143</v>
      </c>
      <c r="E330" t="s">
        <v>1138</v>
      </c>
      <c r="F330" t="s">
        <v>1139</v>
      </c>
      <c r="G330" t="str">
        <f>_xlfn.XLOOKUP(frasest[[#This Row],[author_es]],autorest[author_es],autorest[author_la])</f>
        <v>Cyprianus Carthaginensis</v>
      </c>
      <c r="H330" t="str">
        <f>_xlfn.XLOOKUP(frasest[[#This Row],[author_es]],autorest[author_es],autorest[bio_es])</f>
        <v>Obispo de Cartago, Padre de la Iglesia y mártir. Teólogo de la unidad eclesiástica, autor de "Sobre la unidad de la Iglesia". Martirizado durante la persecución de Valeriano.</v>
      </c>
      <c r="I330" t="str">
        <f>_xlfn.XLOOKUP(frasest[[#This Row],[author_es]],autorest[author_es],autorest[bio_la])</f>
        <v>Episcopus Carthaginensis, Pater Ecclesiae et martyr. Theologus unitatis ecclesiasticae, auctor "De unitate Ecclesiae". In persecutione Valeriani martyrizatus.</v>
      </c>
      <c r="J330" t="str">
        <f>_xlfn.XLOOKUP(frasest[[#This Row],[author_es]],autorest[author_es],autorest[iso3691])</f>
        <v>la</v>
      </c>
      <c r="K330" t="str">
        <f>_xlfn.XLOOKUP(frasest[[#This Row],[author_es]],autorest[author_es],autorest[language_es])</f>
        <v>Latín</v>
      </c>
      <c r="L330" t="str">
        <f>_xlfn.XLOOKUP(frasest[[#This Row],[author_es]],autorest[author_es],autorest[language_la])</f>
        <v>Lingua Latina</v>
      </c>
      <c r="M330" t="str">
        <f>_xlfn.XLOOKUP(frasest[[#This Row],[author_es]],autorest[author_es],autorest[nation_es])</f>
        <v>Roma</v>
      </c>
      <c r="N330" t="str">
        <f>_xlfn.XLOOKUP(frasest[[#This Row],[author_es]],autorest[author_es],autorest[nation_la])</f>
        <v>Roma</v>
      </c>
      <c r="O330" t="str">
        <f>_xlfn.XLOOKUP(frasest[[#This Row],[author_es]],autorest[author_es],autorest[age_es])</f>
        <v>Edad Antigua</v>
      </c>
      <c r="P330" t="str">
        <f>_xlfn.XLOOKUP(frasest[[#This Row],[author_es]],autorest[author_es],autorest[age_la])</f>
        <v>Antiquitas</v>
      </c>
      <c r="Q330" t="str">
        <f>_xlfn.XLOOKUP(frasest[[#This Row],[author_es]],autorest[author_es],autorest[image])</f>
        <v>https://i.ibb.co/gZSsK5S4/sancipriano.png</v>
      </c>
      <c r="R330">
        <f>_xlfn.XLOOKUP(frasest[[#This Row],[author_es]],autorest[author_es],autorest[image_atr])</f>
        <v>0</v>
      </c>
    </row>
    <row r="331" spans="1:18">
      <c r="A331">
        <v>330</v>
      </c>
      <c r="B331" t="s">
        <v>1144</v>
      </c>
      <c r="C331" t="s">
        <v>1145</v>
      </c>
      <c r="D331" t="s">
        <v>1145</v>
      </c>
      <c r="E331" t="s">
        <v>1138</v>
      </c>
      <c r="F331" t="s">
        <v>1146</v>
      </c>
      <c r="G331" t="str">
        <f>_xlfn.XLOOKUP(frasest[[#This Row],[author_es]],autorest[author_es],autorest[author_la])</f>
        <v>Cyprianus Carthaginensis</v>
      </c>
      <c r="H331" t="str">
        <f>_xlfn.XLOOKUP(frasest[[#This Row],[author_es]],autorest[author_es],autorest[bio_es])</f>
        <v>Obispo de Cartago, Padre de la Iglesia y mártir. Teólogo de la unidad eclesiástica, autor de "Sobre la unidad de la Iglesia". Martirizado durante la persecución de Valeriano.</v>
      </c>
      <c r="I331" t="str">
        <f>_xlfn.XLOOKUP(frasest[[#This Row],[author_es]],autorest[author_es],autorest[bio_la])</f>
        <v>Episcopus Carthaginensis, Pater Ecclesiae et martyr. Theologus unitatis ecclesiasticae, auctor "De unitate Ecclesiae". In persecutione Valeriani martyrizatus.</v>
      </c>
      <c r="J331" t="str">
        <f>_xlfn.XLOOKUP(frasest[[#This Row],[author_es]],autorest[author_es],autorest[iso3691])</f>
        <v>la</v>
      </c>
      <c r="K331" t="str">
        <f>_xlfn.XLOOKUP(frasest[[#This Row],[author_es]],autorest[author_es],autorest[language_es])</f>
        <v>Latín</v>
      </c>
      <c r="L331" t="str">
        <f>_xlfn.XLOOKUP(frasest[[#This Row],[author_es]],autorest[author_es],autorest[language_la])</f>
        <v>Lingua Latina</v>
      </c>
      <c r="M331" t="str">
        <f>_xlfn.XLOOKUP(frasest[[#This Row],[author_es]],autorest[author_es],autorest[nation_es])</f>
        <v>Roma</v>
      </c>
      <c r="N331" t="str">
        <f>_xlfn.XLOOKUP(frasest[[#This Row],[author_es]],autorest[author_es],autorest[nation_la])</f>
        <v>Roma</v>
      </c>
      <c r="O331" t="str">
        <f>_xlfn.XLOOKUP(frasest[[#This Row],[author_es]],autorest[author_es],autorest[age_es])</f>
        <v>Edad Antigua</v>
      </c>
      <c r="P331" t="str">
        <f>_xlfn.XLOOKUP(frasest[[#This Row],[author_es]],autorest[author_es],autorest[age_la])</f>
        <v>Antiquitas</v>
      </c>
      <c r="Q331" t="str">
        <f>_xlfn.XLOOKUP(frasest[[#This Row],[author_es]],autorest[author_es],autorest[image])</f>
        <v>https://i.ibb.co/gZSsK5S4/sancipriano.png</v>
      </c>
      <c r="R331">
        <f>_xlfn.XLOOKUP(frasest[[#This Row],[author_es]],autorest[author_es],autorest[image_atr])</f>
        <v>0</v>
      </c>
    </row>
    <row r="332" spans="1:18">
      <c r="A332">
        <v>331</v>
      </c>
      <c r="B332" t="s">
        <v>1147</v>
      </c>
      <c r="C332" t="s">
        <v>1148</v>
      </c>
      <c r="D332" t="s">
        <v>1148</v>
      </c>
      <c r="E332" t="s">
        <v>1138</v>
      </c>
      <c r="F332" t="s">
        <v>1149</v>
      </c>
      <c r="G332" t="str">
        <f>_xlfn.XLOOKUP(frasest[[#This Row],[author_es]],autorest[author_es],autorest[author_la])</f>
        <v>Cyprianus Carthaginensis</v>
      </c>
      <c r="H332" t="str">
        <f>_xlfn.XLOOKUP(frasest[[#This Row],[author_es]],autorest[author_es],autorest[bio_es])</f>
        <v>Obispo de Cartago, Padre de la Iglesia y mártir. Teólogo de la unidad eclesiástica, autor de "Sobre la unidad de la Iglesia". Martirizado durante la persecución de Valeriano.</v>
      </c>
      <c r="I332" t="str">
        <f>_xlfn.XLOOKUP(frasest[[#This Row],[author_es]],autorest[author_es],autorest[bio_la])</f>
        <v>Episcopus Carthaginensis, Pater Ecclesiae et martyr. Theologus unitatis ecclesiasticae, auctor "De unitate Ecclesiae". In persecutione Valeriani martyrizatus.</v>
      </c>
      <c r="J332" t="str">
        <f>_xlfn.XLOOKUP(frasest[[#This Row],[author_es]],autorest[author_es],autorest[iso3691])</f>
        <v>la</v>
      </c>
      <c r="K332" t="str">
        <f>_xlfn.XLOOKUP(frasest[[#This Row],[author_es]],autorest[author_es],autorest[language_es])</f>
        <v>Latín</v>
      </c>
      <c r="L332" t="str">
        <f>_xlfn.XLOOKUP(frasest[[#This Row],[author_es]],autorest[author_es],autorest[language_la])</f>
        <v>Lingua Latina</v>
      </c>
      <c r="M332" t="str">
        <f>_xlfn.XLOOKUP(frasest[[#This Row],[author_es]],autorest[author_es],autorest[nation_es])</f>
        <v>Roma</v>
      </c>
      <c r="N332" t="str">
        <f>_xlfn.XLOOKUP(frasest[[#This Row],[author_es]],autorest[author_es],autorest[nation_la])</f>
        <v>Roma</v>
      </c>
      <c r="O332" t="str">
        <f>_xlfn.XLOOKUP(frasest[[#This Row],[author_es]],autorest[author_es],autorest[age_es])</f>
        <v>Edad Antigua</v>
      </c>
      <c r="P332" t="str">
        <f>_xlfn.XLOOKUP(frasest[[#This Row],[author_es]],autorest[author_es],autorest[age_la])</f>
        <v>Antiquitas</v>
      </c>
      <c r="Q332" t="str">
        <f>_xlfn.XLOOKUP(frasest[[#This Row],[author_es]],autorest[author_es],autorest[image])</f>
        <v>https://i.ibb.co/gZSsK5S4/sancipriano.png</v>
      </c>
      <c r="R332">
        <f>_xlfn.XLOOKUP(frasest[[#This Row],[author_es]],autorest[author_es],autorest[image_atr])</f>
        <v>0</v>
      </c>
    </row>
    <row r="333" spans="1:18">
      <c r="A333">
        <v>332</v>
      </c>
      <c r="B333" t="s">
        <v>1150</v>
      </c>
      <c r="C333" t="s">
        <v>1151</v>
      </c>
      <c r="D333" t="s">
        <v>1151</v>
      </c>
      <c r="E333" t="s">
        <v>1138</v>
      </c>
      <c r="F333" t="s">
        <v>1152</v>
      </c>
      <c r="G333" t="str">
        <f>_xlfn.XLOOKUP(frasest[[#This Row],[author_es]],autorest[author_es],autorest[author_la])</f>
        <v>Cyprianus Carthaginensis</v>
      </c>
      <c r="H333" t="str">
        <f>_xlfn.XLOOKUP(frasest[[#This Row],[author_es]],autorest[author_es],autorest[bio_es])</f>
        <v>Obispo de Cartago, Padre de la Iglesia y mártir. Teólogo de la unidad eclesiástica, autor de "Sobre la unidad de la Iglesia". Martirizado durante la persecución de Valeriano.</v>
      </c>
      <c r="I333" t="str">
        <f>_xlfn.XLOOKUP(frasest[[#This Row],[author_es]],autorest[author_es],autorest[bio_la])</f>
        <v>Episcopus Carthaginensis, Pater Ecclesiae et martyr. Theologus unitatis ecclesiasticae, auctor "De unitate Ecclesiae". In persecutione Valeriani martyrizatus.</v>
      </c>
      <c r="J333" t="str">
        <f>_xlfn.XLOOKUP(frasest[[#This Row],[author_es]],autorest[author_es],autorest[iso3691])</f>
        <v>la</v>
      </c>
      <c r="K333" t="str">
        <f>_xlfn.XLOOKUP(frasest[[#This Row],[author_es]],autorest[author_es],autorest[language_es])</f>
        <v>Latín</v>
      </c>
      <c r="L333" t="str">
        <f>_xlfn.XLOOKUP(frasest[[#This Row],[author_es]],autorest[author_es],autorest[language_la])</f>
        <v>Lingua Latina</v>
      </c>
      <c r="M333" t="str">
        <f>_xlfn.XLOOKUP(frasest[[#This Row],[author_es]],autorest[author_es],autorest[nation_es])</f>
        <v>Roma</v>
      </c>
      <c r="N333" t="str">
        <f>_xlfn.XLOOKUP(frasest[[#This Row],[author_es]],autorest[author_es],autorest[nation_la])</f>
        <v>Roma</v>
      </c>
      <c r="O333" t="str">
        <f>_xlfn.XLOOKUP(frasest[[#This Row],[author_es]],autorest[author_es],autorest[age_es])</f>
        <v>Edad Antigua</v>
      </c>
      <c r="P333" t="str">
        <f>_xlfn.XLOOKUP(frasest[[#This Row],[author_es]],autorest[author_es],autorest[age_la])</f>
        <v>Antiquitas</v>
      </c>
      <c r="Q333" t="str">
        <f>_xlfn.XLOOKUP(frasest[[#This Row],[author_es]],autorest[author_es],autorest[image])</f>
        <v>https://i.ibb.co/gZSsK5S4/sancipriano.png</v>
      </c>
      <c r="R333">
        <f>_xlfn.XLOOKUP(frasest[[#This Row],[author_es]],autorest[author_es],autorest[image_atr])</f>
        <v>0</v>
      </c>
    </row>
    <row r="334" spans="1:18">
      <c r="A334">
        <v>333</v>
      </c>
      <c r="B334" t="s">
        <v>1153</v>
      </c>
      <c r="C334" t="s">
        <v>1154</v>
      </c>
      <c r="D334" t="s">
        <v>1154</v>
      </c>
      <c r="E334" t="s">
        <v>1138</v>
      </c>
      <c r="F334" t="s">
        <v>1155</v>
      </c>
      <c r="G334" t="str">
        <f>_xlfn.XLOOKUP(frasest[[#This Row],[author_es]],autorest[author_es],autorest[author_la])</f>
        <v>Cyprianus Carthaginensis</v>
      </c>
      <c r="H334" t="str">
        <f>_xlfn.XLOOKUP(frasest[[#This Row],[author_es]],autorest[author_es],autorest[bio_es])</f>
        <v>Obispo de Cartago, Padre de la Iglesia y mártir. Teólogo de la unidad eclesiástica, autor de "Sobre la unidad de la Iglesia". Martirizado durante la persecución de Valeriano.</v>
      </c>
      <c r="I334" t="str">
        <f>_xlfn.XLOOKUP(frasest[[#This Row],[author_es]],autorest[author_es],autorest[bio_la])</f>
        <v>Episcopus Carthaginensis, Pater Ecclesiae et martyr. Theologus unitatis ecclesiasticae, auctor "De unitate Ecclesiae". In persecutione Valeriani martyrizatus.</v>
      </c>
      <c r="J334" t="str">
        <f>_xlfn.XLOOKUP(frasest[[#This Row],[author_es]],autorest[author_es],autorest[iso3691])</f>
        <v>la</v>
      </c>
      <c r="K334" t="str">
        <f>_xlfn.XLOOKUP(frasest[[#This Row],[author_es]],autorest[author_es],autorest[language_es])</f>
        <v>Latín</v>
      </c>
      <c r="L334" t="str">
        <f>_xlfn.XLOOKUP(frasest[[#This Row],[author_es]],autorest[author_es],autorest[language_la])</f>
        <v>Lingua Latina</v>
      </c>
      <c r="M334" t="str">
        <f>_xlfn.XLOOKUP(frasest[[#This Row],[author_es]],autorest[author_es],autorest[nation_es])</f>
        <v>Roma</v>
      </c>
      <c r="N334" t="str">
        <f>_xlfn.XLOOKUP(frasest[[#This Row],[author_es]],autorest[author_es],autorest[nation_la])</f>
        <v>Roma</v>
      </c>
      <c r="O334" t="str">
        <f>_xlfn.XLOOKUP(frasest[[#This Row],[author_es]],autorest[author_es],autorest[age_es])</f>
        <v>Edad Antigua</v>
      </c>
      <c r="P334" t="str">
        <f>_xlfn.XLOOKUP(frasest[[#This Row],[author_es]],autorest[author_es],autorest[age_la])</f>
        <v>Antiquitas</v>
      </c>
      <c r="Q334" t="str">
        <f>_xlfn.XLOOKUP(frasest[[#This Row],[author_es]],autorest[author_es],autorest[image])</f>
        <v>https://i.ibb.co/gZSsK5S4/sancipriano.png</v>
      </c>
      <c r="R334">
        <f>_xlfn.XLOOKUP(frasest[[#This Row],[author_es]],autorest[author_es],autorest[image_atr])</f>
        <v>0</v>
      </c>
    </row>
    <row r="335" spans="1:18">
      <c r="A335">
        <v>334</v>
      </c>
      <c r="B335" t="s">
        <v>1156</v>
      </c>
      <c r="C335" t="s">
        <v>1157</v>
      </c>
      <c r="D335" t="s">
        <v>1157</v>
      </c>
      <c r="E335" t="s">
        <v>1138</v>
      </c>
      <c r="F335" t="s">
        <v>1139</v>
      </c>
      <c r="G335" t="str">
        <f>_xlfn.XLOOKUP(frasest[[#This Row],[author_es]],autorest[author_es],autorest[author_la])</f>
        <v>Cyprianus Carthaginensis</v>
      </c>
      <c r="H335" t="str">
        <f>_xlfn.XLOOKUP(frasest[[#This Row],[author_es]],autorest[author_es],autorest[bio_es])</f>
        <v>Obispo de Cartago, Padre de la Iglesia y mártir. Teólogo de la unidad eclesiástica, autor de "Sobre la unidad de la Iglesia". Martirizado durante la persecución de Valeriano.</v>
      </c>
      <c r="I335" t="str">
        <f>_xlfn.XLOOKUP(frasest[[#This Row],[author_es]],autorest[author_es],autorest[bio_la])</f>
        <v>Episcopus Carthaginensis, Pater Ecclesiae et martyr. Theologus unitatis ecclesiasticae, auctor "De unitate Ecclesiae". In persecutione Valeriani martyrizatus.</v>
      </c>
      <c r="J335" t="str">
        <f>_xlfn.XLOOKUP(frasest[[#This Row],[author_es]],autorest[author_es],autorest[iso3691])</f>
        <v>la</v>
      </c>
      <c r="K335" t="str">
        <f>_xlfn.XLOOKUP(frasest[[#This Row],[author_es]],autorest[author_es],autorest[language_es])</f>
        <v>Latín</v>
      </c>
      <c r="L335" t="str">
        <f>_xlfn.XLOOKUP(frasest[[#This Row],[author_es]],autorest[author_es],autorest[language_la])</f>
        <v>Lingua Latina</v>
      </c>
      <c r="M335" t="str">
        <f>_xlfn.XLOOKUP(frasest[[#This Row],[author_es]],autorest[author_es],autorest[nation_es])</f>
        <v>Roma</v>
      </c>
      <c r="N335" t="str">
        <f>_xlfn.XLOOKUP(frasest[[#This Row],[author_es]],autorest[author_es],autorest[nation_la])</f>
        <v>Roma</v>
      </c>
      <c r="O335" t="str">
        <f>_xlfn.XLOOKUP(frasest[[#This Row],[author_es]],autorest[author_es],autorest[age_es])</f>
        <v>Edad Antigua</v>
      </c>
      <c r="P335" t="str">
        <f>_xlfn.XLOOKUP(frasest[[#This Row],[author_es]],autorest[author_es],autorest[age_la])</f>
        <v>Antiquitas</v>
      </c>
      <c r="Q335" t="str">
        <f>_xlfn.XLOOKUP(frasest[[#This Row],[author_es]],autorest[author_es],autorest[image])</f>
        <v>https://i.ibb.co/gZSsK5S4/sancipriano.png</v>
      </c>
      <c r="R335">
        <f>_xlfn.XLOOKUP(frasest[[#This Row],[author_es]],autorest[author_es],autorest[image_atr])</f>
        <v>0</v>
      </c>
    </row>
    <row r="336" spans="1:18">
      <c r="A336">
        <v>335</v>
      </c>
      <c r="B336" t="s">
        <v>1158</v>
      </c>
      <c r="C336" t="s">
        <v>1159</v>
      </c>
      <c r="D336" t="s">
        <v>1159</v>
      </c>
      <c r="E336" t="s">
        <v>1138</v>
      </c>
      <c r="F336" t="s">
        <v>1139</v>
      </c>
      <c r="G336" t="str">
        <f>_xlfn.XLOOKUP(frasest[[#This Row],[author_es]],autorest[author_es],autorest[author_la])</f>
        <v>Cyprianus Carthaginensis</v>
      </c>
      <c r="H336" t="str">
        <f>_xlfn.XLOOKUP(frasest[[#This Row],[author_es]],autorest[author_es],autorest[bio_es])</f>
        <v>Obispo de Cartago, Padre de la Iglesia y mártir. Teólogo de la unidad eclesiástica, autor de "Sobre la unidad de la Iglesia". Martirizado durante la persecución de Valeriano.</v>
      </c>
      <c r="I336" t="str">
        <f>_xlfn.XLOOKUP(frasest[[#This Row],[author_es]],autorest[author_es],autorest[bio_la])</f>
        <v>Episcopus Carthaginensis, Pater Ecclesiae et martyr. Theologus unitatis ecclesiasticae, auctor "De unitate Ecclesiae". In persecutione Valeriani martyrizatus.</v>
      </c>
      <c r="J336" t="str">
        <f>_xlfn.XLOOKUP(frasest[[#This Row],[author_es]],autorest[author_es],autorest[iso3691])</f>
        <v>la</v>
      </c>
      <c r="K336" t="str">
        <f>_xlfn.XLOOKUP(frasest[[#This Row],[author_es]],autorest[author_es],autorest[language_es])</f>
        <v>Latín</v>
      </c>
      <c r="L336" t="str">
        <f>_xlfn.XLOOKUP(frasest[[#This Row],[author_es]],autorest[author_es],autorest[language_la])</f>
        <v>Lingua Latina</v>
      </c>
      <c r="M336" t="str">
        <f>_xlfn.XLOOKUP(frasest[[#This Row],[author_es]],autorest[author_es],autorest[nation_es])</f>
        <v>Roma</v>
      </c>
      <c r="N336" t="str">
        <f>_xlfn.XLOOKUP(frasest[[#This Row],[author_es]],autorest[author_es],autorest[nation_la])</f>
        <v>Roma</v>
      </c>
      <c r="O336" t="str">
        <f>_xlfn.XLOOKUP(frasest[[#This Row],[author_es]],autorest[author_es],autorest[age_es])</f>
        <v>Edad Antigua</v>
      </c>
      <c r="P336" t="str">
        <f>_xlfn.XLOOKUP(frasest[[#This Row],[author_es]],autorest[author_es],autorest[age_la])</f>
        <v>Antiquitas</v>
      </c>
      <c r="Q336" t="str">
        <f>_xlfn.XLOOKUP(frasest[[#This Row],[author_es]],autorest[author_es],autorest[image])</f>
        <v>https://i.ibb.co/gZSsK5S4/sancipriano.png</v>
      </c>
      <c r="R336">
        <f>_xlfn.XLOOKUP(frasest[[#This Row],[author_es]],autorest[author_es],autorest[image_atr])</f>
        <v>0</v>
      </c>
    </row>
    <row r="337" spans="1:18">
      <c r="A337">
        <v>336</v>
      </c>
      <c r="B337" t="s">
        <v>1160</v>
      </c>
      <c r="C337" t="s">
        <v>1161</v>
      </c>
      <c r="D337" t="s">
        <v>1161</v>
      </c>
      <c r="E337" t="s">
        <v>1138</v>
      </c>
      <c r="F337" t="s">
        <v>1162</v>
      </c>
      <c r="G337" t="str">
        <f>_xlfn.XLOOKUP(frasest[[#This Row],[author_es]],autorest[author_es],autorest[author_la])</f>
        <v>Cyprianus Carthaginensis</v>
      </c>
      <c r="H337" t="str">
        <f>_xlfn.XLOOKUP(frasest[[#This Row],[author_es]],autorest[author_es],autorest[bio_es])</f>
        <v>Obispo de Cartago, Padre de la Iglesia y mártir. Teólogo de la unidad eclesiástica, autor de "Sobre la unidad de la Iglesia". Martirizado durante la persecución de Valeriano.</v>
      </c>
      <c r="I337" t="str">
        <f>_xlfn.XLOOKUP(frasest[[#This Row],[author_es]],autorest[author_es],autorest[bio_la])</f>
        <v>Episcopus Carthaginensis, Pater Ecclesiae et martyr. Theologus unitatis ecclesiasticae, auctor "De unitate Ecclesiae". In persecutione Valeriani martyrizatus.</v>
      </c>
      <c r="J337" t="str">
        <f>_xlfn.XLOOKUP(frasest[[#This Row],[author_es]],autorest[author_es],autorest[iso3691])</f>
        <v>la</v>
      </c>
      <c r="K337" t="str">
        <f>_xlfn.XLOOKUP(frasest[[#This Row],[author_es]],autorest[author_es],autorest[language_es])</f>
        <v>Latín</v>
      </c>
      <c r="L337" t="str">
        <f>_xlfn.XLOOKUP(frasest[[#This Row],[author_es]],autorest[author_es],autorest[language_la])</f>
        <v>Lingua Latina</v>
      </c>
      <c r="M337" t="str">
        <f>_xlfn.XLOOKUP(frasest[[#This Row],[author_es]],autorest[author_es],autorest[nation_es])</f>
        <v>Roma</v>
      </c>
      <c r="N337" t="str">
        <f>_xlfn.XLOOKUP(frasest[[#This Row],[author_es]],autorest[author_es],autorest[nation_la])</f>
        <v>Roma</v>
      </c>
      <c r="O337" t="str">
        <f>_xlfn.XLOOKUP(frasest[[#This Row],[author_es]],autorest[author_es],autorest[age_es])</f>
        <v>Edad Antigua</v>
      </c>
      <c r="P337" t="str">
        <f>_xlfn.XLOOKUP(frasest[[#This Row],[author_es]],autorest[author_es],autorest[age_la])</f>
        <v>Antiquitas</v>
      </c>
      <c r="Q337" t="str">
        <f>_xlfn.XLOOKUP(frasest[[#This Row],[author_es]],autorest[author_es],autorest[image])</f>
        <v>https://i.ibb.co/gZSsK5S4/sancipriano.png</v>
      </c>
      <c r="R337">
        <f>_xlfn.XLOOKUP(frasest[[#This Row],[author_es]],autorest[author_es],autorest[image_atr])</f>
        <v>0</v>
      </c>
    </row>
    <row r="338" spans="1:18">
      <c r="A338">
        <v>337</v>
      </c>
      <c r="B338" t="s">
        <v>1163</v>
      </c>
      <c r="C338" t="s">
        <v>1164</v>
      </c>
      <c r="D338" t="s">
        <v>1164</v>
      </c>
      <c r="E338" t="s">
        <v>1165</v>
      </c>
      <c r="F338" t="s">
        <v>1166</v>
      </c>
      <c r="G338" t="str">
        <f>_xlfn.XLOOKUP(frasest[[#This Row],[author_es]],autorest[author_es],autorest[author_la])</f>
        <v>Anselmus Cantuariensis</v>
      </c>
      <c r="H338" t="str">
        <f>_xlfn.XLOOKUP(frasest[[#This Row],[author_es]],autorest[author_es],autorest[bio_es])</f>
        <v>Arzobispo de Canterbury, Doctor de la Iglesia y filósofo. Autor del argumento ontológico de la existencia de Dios. Padre de la escolástica.</v>
      </c>
      <c r="I338" t="str">
        <f>_xlfn.XLOOKUP(frasest[[#This Row],[author_es]],autorest[author_es],autorest[bio_la])</f>
        <v>Archiepiscopus Cantuariensis, Doctor Ecclesiae et philosophus. Auctor argumenti ontologici existentiae Dei. Pater scholasticae.</v>
      </c>
      <c r="J338" t="str">
        <f>_xlfn.XLOOKUP(frasest[[#This Row],[author_es]],autorest[author_es],autorest[iso3691])</f>
        <v>la</v>
      </c>
      <c r="K338" t="str">
        <f>_xlfn.XLOOKUP(frasest[[#This Row],[author_es]],autorest[author_es],autorest[language_es])</f>
        <v>Latín</v>
      </c>
      <c r="L338" t="str">
        <f>_xlfn.XLOOKUP(frasest[[#This Row],[author_es]],autorest[author_es],autorest[language_la])</f>
        <v>Lingua Latina</v>
      </c>
      <c r="M338" t="str">
        <f>_xlfn.XLOOKUP(frasest[[#This Row],[author_es]],autorest[author_es],autorest[nation_es])</f>
        <v>Italia</v>
      </c>
      <c r="N338" t="str">
        <f>_xlfn.XLOOKUP(frasest[[#This Row],[author_es]],autorest[author_es],autorest[nation_la])</f>
        <v>Italia</v>
      </c>
      <c r="O338" t="str">
        <f>_xlfn.XLOOKUP(frasest[[#This Row],[author_es]],autorest[author_es],autorest[age_es])</f>
        <v>Edad Media</v>
      </c>
      <c r="P338" t="str">
        <f>_xlfn.XLOOKUP(frasest[[#This Row],[author_es]],autorest[author_es],autorest[age_la])</f>
        <v>Medium Aevum</v>
      </c>
      <c r="Q338" t="str">
        <f>_xlfn.XLOOKUP(frasest[[#This Row],[author_es]],autorest[author_es],autorest[image])</f>
        <v>https://i.ibb.co/Lz7Qxttz/sananselmocant.png</v>
      </c>
      <c r="R338">
        <f>_xlfn.XLOOKUP(frasest[[#This Row],[author_es]],autorest[author_es],autorest[image_atr])</f>
        <v>0</v>
      </c>
    </row>
    <row r="339" spans="1:18">
      <c r="A339">
        <v>338</v>
      </c>
      <c r="B339" t="s">
        <v>1167</v>
      </c>
      <c r="C339" t="s">
        <v>1168</v>
      </c>
      <c r="D339" t="s">
        <v>1168</v>
      </c>
      <c r="E339" t="s">
        <v>1165</v>
      </c>
      <c r="F339" t="s">
        <v>1166</v>
      </c>
      <c r="G339" t="str">
        <f>_xlfn.XLOOKUP(frasest[[#This Row],[author_es]],autorest[author_es],autorest[author_la])</f>
        <v>Anselmus Cantuariensis</v>
      </c>
      <c r="H339" t="str">
        <f>_xlfn.XLOOKUP(frasest[[#This Row],[author_es]],autorest[author_es],autorest[bio_es])</f>
        <v>Arzobispo de Canterbury, Doctor de la Iglesia y filósofo. Autor del argumento ontológico de la existencia de Dios. Padre de la escolástica.</v>
      </c>
      <c r="I339" t="str">
        <f>_xlfn.XLOOKUP(frasest[[#This Row],[author_es]],autorest[author_es],autorest[bio_la])</f>
        <v>Archiepiscopus Cantuariensis, Doctor Ecclesiae et philosophus. Auctor argumenti ontologici existentiae Dei. Pater scholasticae.</v>
      </c>
      <c r="J339" t="str">
        <f>_xlfn.XLOOKUP(frasest[[#This Row],[author_es]],autorest[author_es],autorest[iso3691])</f>
        <v>la</v>
      </c>
      <c r="K339" t="str">
        <f>_xlfn.XLOOKUP(frasest[[#This Row],[author_es]],autorest[author_es],autorest[language_es])</f>
        <v>Latín</v>
      </c>
      <c r="L339" t="str">
        <f>_xlfn.XLOOKUP(frasest[[#This Row],[author_es]],autorest[author_es],autorest[language_la])</f>
        <v>Lingua Latina</v>
      </c>
      <c r="M339" t="str">
        <f>_xlfn.XLOOKUP(frasest[[#This Row],[author_es]],autorest[author_es],autorest[nation_es])</f>
        <v>Italia</v>
      </c>
      <c r="N339" t="str">
        <f>_xlfn.XLOOKUP(frasest[[#This Row],[author_es]],autorest[author_es],autorest[nation_la])</f>
        <v>Italia</v>
      </c>
      <c r="O339" t="str">
        <f>_xlfn.XLOOKUP(frasest[[#This Row],[author_es]],autorest[author_es],autorest[age_es])</f>
        <v>Edad Media</v>
      </c>
      <c r="P339" t="str">
        <f>_xlfn.XLOOKUP(frasest[[#This Row],[author_es]],autorest[author_es],autorest[age_la])</f>
        <v>Medium Aevum</v>
      </c>
      <c r="Q339" t="str">
        <f>_xlfn.XLOOKUP(frasest[[#This Row],[author_es]],autorest[author_es],autorest[image])</f>
        <v>https://i.ibb.co/Lz7Qxttz/sananselmocant.png</v>
      </c>
      <c r="R339">
        <f>_xlfn.XLOOKUP(frasest[[#This Row],[author_es]],autorest[author_es],autorest[image_atr])</f>
        <v>0</v>
      </c>
    </row>
    <row r="340" spans="1:18">
      <c r="A340">
        <v>339</v>
      </c>
      <c r="B340" t="s">
        <v>1169</v>
      </c>
      <c r="C340" t="s">
        <v>1170</v>
      </c>
      <c r="D340" t="s">
        <v>1170</v>
      </c>
      <c r="E340" t="s">
        <v>1165</v>
      </c>
      <c r="F340" t="s">
        <v>1171</v>
      </c>
      <c r="G340" t="str">
        <f>_xlfn.XLOOKUP(frasest[[#This Row],[author_es]],autorest[author_es],autorest[author_la])</f>
        <v>Anselmus Cantuariensis</v>
      </c>
      <c r="H340" t="str">
        <f>_xlfn.XLOOKUP(frasest[[#This Row],[author_es]],autorest[author_es],autorest[bio_es])</f>
        <v>Arzobispo de Canterbury, Doctor de la Iglesia y filósofo. Autor del argumento ontológico de la existencia de Dios. Padre de la escolástica.</v>
      </c>
      <c r="I340" t="str">
        <f>_xlfn.XLOOKUP(frasest[[#This Row],[author_es]],autorest[author_es],autorest[bio_la])</f>
        <v>Archiepiscopus Cantuariensis, Doctor Ecclesiae et philosophus. Auctor argumenti ontologici existentiae Dei. Pater scholasticae.</v>
      </c>
      <c r="J340" t="str">
        <f>_xlfn.XLOOKUP(frasest[[#This Row],[author_es]],autorest[author_es],autorest[iso3691])</f>
        <v>la</v>
      </c>
      <c r="K340" t="str">
        <f>_xlfn.XLOOKUP(frasest[[#This Row],[author_es]],autorest[author_es],autorest[language_es])</f>
        <v>Latín</v>
      </c>
      <c r="L340" t="str">
        <f>_xlfn.XLOOKUP(frasest[[#This Row],[author_es]],autorest[author_es],autorest[language_la])</f>
        <v>Lingua Latina</v>
      </c>
      <c r="M340" t="str">
        <f>_xlfn.XLOOKUP(frasest[[#This Row],[author_es]],autorest[author_es],autorest[nation_es])</f>
        <v>Italia</v>
      </c>
      <c r="N340" t="str">
        <f>_xlfn.XLOOKUP(frasest[[#This Row],[author_es]],autorest[author_es],autorest[nation_la])</f>
        <v>Italia</v>
      </c>
      <c r="O340" t="str">
        <f>_xlfn.XLOOKUP(frasest[[#This Row],[author_es]],autorest[author_es],autorest[age_es])</f>
        <v>Edad Media</v>
      </c>
      <c r="P340" t="str">
        <f>_xlfn.XLOOKUP(frasest[[#This Row],[author_es]],autorest[author_es],autorest[age_la])</f>
        <v>Medium Aevum</v>
      </c>
      <c r="Q340" t="str">
        <f>_xlfn.XLOOKUP(frasest[[#This Row],[author_es]],autorest[author_es],autorest[image])</f>
        <v>https://i.ibb.co/Lz7Qxttz/sananselmocant.png</v>
      </c>
      <c r="R340">
        <f>_xlfn.XLOOKUP(frasest[[#This Row],[author_es]],autorest[author_es],autorest[image_atr])</f>
        <v>0</v>
      </c>
    </row>
    <row r="341" spans="1:18">
      <c r="A341">
        <v>340</v>
      </c>
      <c r="B341" t="s">
        <v>1172</v>
      </c>
      <c r="C341" t="s">
        <v>1173</v>
      </c>
      <c r="D341" t="s">
        <v>1173</v>
      </c>
      <c r="E341" t="s">
        <v>1165</v>
      </c>
      <c r="F341" t="s">
        <v>1174</v>
      </c>
      <c r="G341" t="str">
        <f>_xlfn.XLOOKUP(frasest[[#This Row],[author_es]],autorest[author_es],autorest[author_la])</f>
        <v>Anselmus Cantuariensis</v>
      </c>
      <c r="H341" t="str">
        <f>_xlfn.XLOOKUP(frasest[[#This Row],[author_es]],autorest[author_es],autorest[bio_es])</f>
        <v>Arzobispo de Canterbury, Doctor de la Iglesia y filósofo. Autor del argumento ontológico de la existencia de Dios. Padre de la escolástica.</v>
      </c>
      <c r="I341" t="str">
        <f>_xlfn.XLOOKUP(frasest[[#This Row],[author_es]],autorest[author_es],autorest[bio_la])</f>
        <v>Archiepiscopus Cantuariensis, Doctor Ecclesiae et philosophus. Auctor argumenti ontologici existentiae Dei. Pater scholasticae.</v>
      </c>
      <c r="J341" t="str">
        <f>_xlfn.XLOOKUP(frasest[[#This Row],[author_es]],autorest[author_es],autorest[iso3691])</f>
        <v>la</v>
      </c>
      <c r="K341" t="str">
        <f>_xlfn.XLOOKUP(frasest[[#This Row],[author_es]],autorest[author_es],autorest[language_es])</f>
        <v>Latín</v>
      </c>
      <c r="L341" t="str">
        <f>_xlfn.XLOOKUP(frasest[[#This Row],[author_es]],autorest[author_es],autorest[language_la])</f>
        <v>Lingua Latina</v>
      </c>
      <c r="M341" t="str">
        <f>_xlfn.XLOOKUP(frasest[[#This Row],[author_es]],autorest[author_es],autorest[nation_es])</f>
        <v>Italia</v>
      </c>
      <c r="N341" t="str">
        <f>_xlfn.XLOOKUP(frasest[[#This Row],[author_es]],autorest[author_es],autorest[nation_la])</f>
        <v>Italia</v>
      </c>
      <c r="O341" t="str">
        <f>_xlfn.XLOOKUP(frasest[[#This Row],[author_es]],autorest[author_es],autorest[age_es])</f>
        <v>Edad Media</v>
      </c>
      <c r="P341" t="str">
        <f>_xlfn.XLOOKUP(frasest[[#This Row],[author_es]],autorest[author_es],autorest[age_la])</f>
        <v>Medium Aevum</v>
      </c>
      <c r="Q341" t="str">
        <f>_xlfn.XLOOKUP(frasest[[#This Row],[author_es]],autorest[author_es],autorest[image])</f>
        <v>https://i.ibb.co/Lz7Qxttz/sananselmocant.png</v>
      </c>
      <c r="R341">
        <f>_xlfn.XLOOKUP(frasest[[#This Row],[author_es]],autorest[author_es],autorest[image_atr])</f>
        <v>0</v>
      </c>
    </row>
    <row r="342" spans="1:18">
      <c r="A342">
        <v>341</v>
      </c>
      <c r="B342" t="s">
        <v>1175</v>
      </c>
      <c r="C342" t="s">
        <v>1176</v>
      </c>
      <c r="D342" t="s">
        <v>1176</v>
      </c>
      <c r="E342" t="s">
        <v>1165</v>
      </c>
      <c r="F342" t="s">
        <v>1177</v>
      </c>
      <c r="G342" t="str">
        <f>_xlfn.XLOOKUP(frasest[[#This Row],[author_es]],autorest[author_es],autorest[author_la])</f>
        <v>Anselmus Cantuariensis</v>
      </c>
      <c r="H342" t="str">
        <f>_xlfn.XLOOKUP(frasest[[#This Row],[author_es]],autorest[author_es],autorest[bio_es])</f>
        <v>Arzobispo de Canterbury, Doctor de la Iglesia y filósofo. Autor del argumento ontológico de la existencia de Dios. Padre de la escolástica.</v>
      </c>
      <c r="I342" t="str">
        <f>_xlfn.XLOOKUP(frasest[[#This Row],[author_es]],autorest[author_es],autorest[bio_la])</f>
        <v>Archiepiscopus Cantuariensis, Doctor Ecclesiae et philosophus. Auctor argumenti ontologici existentiae Dei. Pater scholasticae.</v>
      </c>
      <c r="J342" t="str">
        <f>_xlfn.XLOOKUP(frasest[[#This Row],[author_es]],autorest[author_es],autorest[iso3691])</f>
        <v>la</v>
      </c>
      <c r="K342" t="str">
        <f>_xlfn.XLOOKUP(frasest[[#This Row],[author_es]],autorest[author_es],autorest[language_es])</f>
        <v>Latín</v>
      </c>
      <c r="L342" t="str">
        <f>_xlfn.XLOOKUP(frasest[[#This Row],[author_es]],autorest[author_es],autorest[language_la])</f>
        <v>Lingua Latina</v>
      </c>
      <c r="M342" t="str">
        <f>_xlfn.XLOOKUP(frasest[[#This Row],[author_es]],autorest[author_es],autorest[nation_es])</f>
        <v>Italia</v>
      </c>
      <c r="N342" t="str">
        <f>_xlfn.XLOOKUP(frasest[[#This Row],[author_es]],autorest[author_es],autorest[nation_la])</f>
        <v>Italia</v>
      </c>
      <c r="O342" t="str">
        <f>_xlfn.XLOOKUP(frasest[[#This Row],[author_es]],autorest[author_es],autorest[age_es])</f>
        <v>Edad Media</v>
      </c>
      <c r="P342" t="str">
        <f>_xlfn.XLOOKUP(frasest[[#This Row],[author_es]],autorest[author_es],autorest[age_la])</f>
        <v>Medium Aevum</v>
      </c>
      <c r="Q342" t="str">
        <f>_xlfn.XLOOKUP(frasest[[#This Row],[author_es]],autorest[author_es],autorest[image])</f>
        <v>https://i.ibb.co/Lz7Qxttz/sananselmocant.png</v>
      </c>
      <c r="R342">
        <f>_xlfn.XLOOKUP(frasest[[#This Row],[author_es]],autorest[author_es],autorest[image_atr])</f>
        <v>0</v>
      </c>
    </row>
    <row r="343" spans="1:18">
      <c r="A343">
        <v>342</v>
      </c>
      <c r="B343" t="s">
        <v>1178</v>
      </c>
      <c r="C343" t="s">
        <v>1179</v>
      </c>
      <c r="D343" t="s">
        <v>1179</v>
      </c>
      <c r="E343" t="s">
        <v>1165</v>
      </c>
      <c r="F343" t="s">
        <v>1180</v>
      </c>
      <c r="G343" t="str">
        <f>_xlfn.XLOOKUP(frasest[[#This Row],[author_es]],autorest[author_es],autorest[author_la])</f>
        <v>Anselmus Cantuariensis</v>
      </c>
      <c r="H343" t="str">
        <f>_xlfn.XLOOKUP(frasest[[#This Row],[author_es]],autorest[author_es],autorest[bio_es])</f>
        <v>Arzobispo de Canterbury, Doctor de la Iglesia y filósofo. Autor del argumento ontológico de la existencia de Dios. Padre de la escolástica.</v>
      </c>
      <c r="I343" t="str">
        <f>_xlfn.XLOOKUP(frasest[[#This Row],[author_es]],autorest[author_es],autorest[bio_la])</f>
        <v>Archiepiscopus Cantuariensis, Doctor Ecclesiae et philosophus. Auctor argumenti ontologici existentiae Dei. Pater scholasticae.</v>
      </c>
      <c r="J343" t="str">
        <f>_xlfn.XLOOKUP(frasest[[#This Row],[author_es]],autorest[author_es],autorest[iso3691])</f>
        <v>la</v>
      </c>
      <c r="K343" t="str">
        <f>_xlfn.XLOOKUP(frasest[[#This Row],[author_es]],autorest[author_es],autorest[language_es])</f>
        <v>Latín</v>
      </c>
      <c r="L343" t="str">
        <f>_xlfn.XLOOKUP(frasest[[#This Row],[author_es]],autorest[author_es],autorest[language_la])</f>
        <v>Lingua Latina</v>
      </c>
      <c r="M343" t="str">
        <f>_xlfn.XLOOKUP(frasest[[#This Row],[author_es]],autorest[author_es],autorest[nation_es])</f>
        <v>Italia</v>
      </c>
      <c r="N343" t="str">
        <f>_xlfn.XLOOKUP(frasest[[#This Row],[author_es]],autorest[author_es],autorest[nation_la])</f>
        <v>Italia</v>
      </c>
      <c r="O343" t="str">
        <f>_xlfn.XLOOKUP(frasest[[#This Row],[author_es]],autorest[author_es],autorest[age_es])</f>
        <v>Edad Media</v>
      </c>
      <c r="P343" t="str">
        <f>_xlfn.XLOOKUP(frasest[[#This Row],[author_es]],autorest[author_es],autorest[age_la])</f>
        <v>Medium Aevum</v>
      </c>
      <c r="Q343" t="str">
        <f>_xlfn.XLOOKUP(frasest[[#This Row],[author_es]],autorest[author_es],autorest[image])</f>
        <v>https://i.ibb.co/Lz7Qxttz/sananselmocant.png</v>
      </c>
      <c r="R343">
        <f>_xlfn.XLOOKUP(frasest[[#This Row],[author_es]],autorest[author_es],autorest[image_atr])</f>
        <v>0</v>
      </c>
    </row>
    <row r="344" spans="1:18">
      <c r="A344">
        <v>343</v>
      </c>
      <c r="B344" t="s">
        <v>1181</v>
      </c>
      <c r="C344" t="s">
        <v>1182</v>
      </c>
      <c r="D344" t="s">
        <v>1182</v>
      </c>
      <c r="E344" t="s">
        <v>1165</v>
      </c>
      <c r="F344" t="s">
        <v>1183</v>
      </c>
      <c r="G344" t="str">
        <f>_xlfn.XLOOKUP(frasest[[#This Row],[author_es]],autorest[author_es],autorest[author_la])</f>
        <v>Anselmus Cantuariensis</v>
      </c>
      <c r="H344" t="str">
        <f>_xlfn.XLOOKUP(frasest[[#This Row],[author_es]],autorest[author_es],autorest[bio_es])</f>
        <v>Arzobispo de Canterbury, Doctor de la Iglesia y filósofo. Autor del argumento ontológico de la existencia de Dios. Padre de la escolástica.</v>
      </c>
      <c r="I344" t="str">
        <f>_xlfn.XLOOKUP(frasest[[#This Row],[author_es]],autorest[author_es],autorest[bio_la])</f>
        <v>Archiepiscopus Cantuariensis, Doctor Ecclesiae et philosophus. Auctor argumenti ontologici existentiae Dei. Pater scholasticae.</v>
      </c>
      <c r="J344" t="str">
        <f>_xlfn.XLOOKUP(frasest[[#This Row],[author_es]],autorest[author_es],autorest[iso3691])</f>
        <v>la</v>
      </c>
      <c r="K344" t="str">
        <f>_xlfn.XLOOKUP(frasest[[#This Row],[author_es]],autorest[author_es],autorest[language_es])</f>
        <v>Latín</v>
      </c>
      <c r="L344" t="str">
        <f>_xlfn.XLOOKUP(frasest[[#This Row],[author_es]],autorest[author_es],autorest[language_la])</f>
        <v>Lingua Latina</v>
      </c>
      <c r="M344" t="str">
        <f>_xlfn.XLOOKUP(frasest[[#This Row],[author_es]],autorest[author_es],autorest[nation_es])</f>
        <v>Italia</v>
      </c>
      <c r="N344" t="str">
        <f>_xlfn.XLOOKUP(frasest[[#This Row],[author_es]],autorest[author_es],autorest[nation_la])</f>
        <v>Italia</v>
      </c>
      <c r="O344" t="str">
        <f>_xlfn.XLOOKUP(frasest[[#This Row],[author_es]],autorest[author_es],autorest[age_es])</f>
        <v>Edad Media</v>
      </c>
      <c r="P344" t="str">
        <f>_xlfn.XLOOKUP(frasest[[#This Row],[author_es]],autorest[author_es],autorest[age_la])</f>
        <v>Medium Aevum</v>
      </c>
      <c r="Q344" t="str">
        <f>_xlfn.XLOOKUP(frasest[[#This Row],[author_es]],autorest[author_es],autorest[image])</f>
        <v>https://i.ibb.co/Lz7Qxttz/sananselmocant.png</v>
      </c>
      <c r="R344">
        <f>_xlfn.XLOOKUP(frasest[[#This Row],[author_es]],autorest[author_es],autorest[image_atr])</f>
        <v>0</v>
      </c>
    </row>
    <row r="345" spans="1:18">
      <c r="A345">
        <v>344</v>
      </c>
      <c r="B345" t="s">
        <v>1184</v>
      </c>
      <c r="C345" t="s">
        <v>1185</v>
      </c>
      <c r="D345" t="s">
        <v>1185</v>
      </c>
      <c r="E345" t="s">
        <v>1165</v>
      </c>
      <c r="F345" t="s">
        <v>1186</v>
      </c>
      <c r="G345" t="str">
        <f>_xlfn.XLOOKUP(frasest[[#This Row],[author_es]],autorest[author_es],autorest[author_la])</f>
        <v>Anselmus Cantuariensis</v>
      </c>
      <c r="H345" t="str">
        <f>_xlfn.XLOOKUP(frasest[[#This Row],[author_es]],autorest[author_es],autorest[bio_es])</f>
        <v>Arzobispo de Canterbury, Doctor de la Iglesia y filósofo. Autor del argumento ontológico de la existencia de Dios. Padre de la escolástica.</v>
      </c>
      <c r="I345" t="str">
        <f>_xlfn.XLOOKUP(frasest[[#This Row],[author_es]],autorest[author_es],autorest[bio_la])</f>
        <v>Archiepiscopus Cantuariensis, Doctor Ecclesiae et philosophus. Auctor argumenti ontologici existentiae Dei. Pater scholasticae.</v>
      </c>
      <c r="J345" t="str">
        <f>_xlfn.XLOOKUP(frasest[[#This Row],[author_es]],autorest[author_es],autorest[iso3691])</f>
        <v>la</v>
      </c>
      <c r="K345" t="str">
        <f>_xlfn.XLOOKUP(frasest[[#This Row],[author_es]],autorest[author_es],autorest[language_es])</f>
        <v>Latín</v>
      </c>
      <c r="L345" t="str">
        <f>_xlfn.XLOOKUP(frasest[[#This Row],[author_es]],autorest[author_es],autorest[language_la])</f>
        <v>Lingua Latina</v>
      </c>
      <c r="M345" t="str">
        <f>_xlfn.XLOOKUP(frasest[[#This Row],[author_es]],autorest[author_es],autorest[nation_es])</f>
        <v>Italia</v>
      </c>
      <c r="N345" t="str">
        <f>_xlfn.XLOOKUP(frasest[[#This Row],[author_es]],autorest[author_es],autorest[nation_la])</f>
        <v>Italia</v>
      </c>
      <c r="O345" t="str">
        <f>_xlfn.XLOOKUP(frasest[[#This Row],[author_es]],autorest[author_es],autorest[age_es])</f>
        <v>Edad Media</v>
      </c>
      <c r="P345" t="str">
        <f>_xlfn.XLOOKUP(frasest[[#This Row],[author_es]],autorest[author_es],autorest[age_la])</f>
        <v>Medium Aevum</v>
      </c>
      <c r="Q345" t="str">
        <f>_xlfn.XLOOKUP(frasest[[#This Row],[author_es]],autorest[author_es],autorest[image])</f>
        <v>https://i.ibb.co/Lz7Qxttz/sananselmocant.png</v>
      </c>
      <c r="R345">
        <f>_xlfn.XLOOKUP(frasest[[#This Row],[author_es]],autorest[author_es],autorest[image_atr])</f>
        <v>0</v>
      </c>
    </row>
    <row r="346" spans="1:18">
      <c r="A346">
        <v>345</v>
      </c>
      <c r="B346" t="s">
        <v>1187</v>
      </c>
      <c r="C346" t="s">
        <v>1188</v>
      </c>
      <c r="D346" t="s">
        <v>1188</v>
      </c>
      <c r="E346" t="s">
        <v>1165</v>
      </c>
      <c r="F346" t="s">
        <v>1189</v>
      </c>
      <c r="G346" t="str">
        <f>_xlfn.XLOOKUP(frasest[[#This Row],[author_es]],autorest[author_es],autorest[author_la])</f>
        <v>Anselmus Cantuariensis</v>
      </c>
      <c r="H346" t="str">
        <f>_xlfn.XLOOKUP(frasest[[#This Row],[author_es]],autorest[author_es],autorest[bio_es])</f>
        <v>Arzobispo de Canterbury, Doctor de la Iglesia y filósofo. Autor del argumento ontológico de la existencia de Dios. Padre de la escolástica.</v>
      </c>
      <c r="I346" t="str">
        <f>_xlfn.XLOOKUP(frasest[[#This Row],[author_es]],autorest[author_es],autorest[bio_la])</f>
        <v>Archiepiscopus Cantuariensis, Doctor Ecclesiae et philosophus. Auctor argumenti ontologici existentiae Dei. Pater scholasticae.</v>
      </c>
      <c r="J346" t="str">
        <f>_xlfn.XLOOKUP(frasest[[#This Row],[author_es]],autorest[author_es],autorest[iso3691])</f>
        <v>la</v>
      </c>
      <c r="K346" t="str">
        <f>_xlfn.XLOOKUP(frasest[[#This Row],[author_es]],autorest[author_es],autorest[language_es])</f>
        <v>Latín</v>
      </c>
      <c r="L346" t="str">
        <f>_xlfn.XLOOKUP(frasest[[#This Row],[author_es]],autorest[author_es],autorest[language_la])</f>
        <v>Lingua Latina</v>
      </c>
      <c r="M346" t="str">
        <f>_xlfn.XLOOKUP(frasest[[#This Row],[author_es]],autorest[author_es],autorest[nation_es])</f>
        <v>Italia</v>
      </c>
      <c r="N346" t="str">
        <f>_xlfn.XLOOKUP(frasest[[#This Row],[author_es]],autorest[author_es],autorest[nation_la])</f>
        <v>Italia</v>
      </c>
      <c r="O346" t="str">
        <f>_xlfn.XLOOKUP(frasest[[#This Row],[author_es]],autorest[author_es],autorest[age_es])</f>
        <v>Edad Media</v>
      </c>
      <c r="P346" t="str">
        <f>_xlfn.XLOOKUP(frasest[[#This Row],[author_es]],autorest[author_es],autorest[age_la])</f>
        <v>Medium Aevum</v>
      </c>
      <c r="Q346" t="str">
        <f>_xlfn.XLOOKUP(frasest[[#This Row],[author_es]],autorest[author_es],autorest[image])</f>
        <v>https://i.ibb.co/Lz7Qxttz/sananselmocant.png</v>
      </c>
      <c r="R346">
        <f>_xlfn.XLOOKUP(frasest[[#This Row],[author_es]],autorest[author_es],autorest[image_atr])</f>
        <v>0</v>
      </c>
    </row>
    <row r="347" spans="1:18">
      <c r="A347">
        <v>346</v>
      </c>
      <c r="B347" t="s">
        <v>1190</v>
      </c>
      <c r="C347" t="s">
        <v>1191</v>
      </c>
      <c r="D347" t="s">
        <v>1191</v>
      </c>
      <c r="E347" t="s">
        <v>1165</v>
      </c>
      <c r="F347" t="s">
        <v>1192</v>
      </c>
      <c r="G347" t="str">
        <f>_xlfn.XLOOKUP(frasest[[#This Row],[author_es]],autorest[author_es],autorest[author_la])</f>
        <v>Anselmus Cantuariensis</v>
      </c>
      <c r="H347" t="str">
        <f>_xlfn.XLOOKUP(frasest[[#This Row],[author_es]],autorest[author_es],autorest[bio_es])</f>
        <v>Arzobispo de Canterbury, Doctor de la Iglesia y filósofo. Autor del argumento ontológico de la existencia de Dios. Padre de la escolástica.</v>
      </c>
      <c r="I347" t="str">
        <f>_xlfn.XLOOKUP(frasest[[#This Row],[author_es]],autorest[author_es],autorest[bio_la])</f>
        <v>Archiepiscopus Cantuariensis, Doctor Ecclesiae et philosophus. Auctor argumenti ontologici existentiae Dei. Pater scholasticae.</v>
      </c>
      <c r="J347" t="str">
        <f>_xlfn.XLOOKUP(frasest[[#This Row],[author_es]],autorest[author_es],autorest[iso3691])</f>
        <v>la</v>
      </c>
      <c r="K347" t="str">
        <f>_xlfn.XLOOKUP(frasest[[#This Row],[author_es]],autorest[author_es],autorest[language_es])</f>
        <v>Latín</v>
      </c>
      <c r="L347" t="str">
        <f>_xlfn.XLOOKUP(frasest[[#This Row],[author_es]],autorest[author_es],autorest[language_la])</f>
        <v>Lingua Latina</v>
      </c>
      <c r="M347" t="str">
        <f>_xlfn.XLOOKUP(frasest[[#This Row],[author_es]],autorest[author_es],autorest[nation_es])</f>
        <v>Italia</v>
      </c>
      <c r="N347" t="str">
        <f>_xlfn.XLOOKUP(frasest[[#This Row],[author_es]],autorest[author_es],autorest[nation_la])</f>
        <v>Italia</v>
      </c>
      <c r="O347" t="str">
        <f>_xlfn.XLOOKUP(frasest[[#This Row],[author_es]],autorest[author_es],autorest[age_es])</f>
        <v>Edad Media</v>
      </c>
      <c r="P347" t="str">
        <f>_xlfn.XLOOKUP(frasest[[#This Row],[author_es]],autorest[author_es],autorest[age_la])</f>
        <v>Medium Aevum</v>
      </c>
      <c r="Q347" t="str">
        <f>_xlfn.XLOOKUP(frasest[[#This Row],[author_es]],autorest[author_es],autorest[image])</f>
        <v>https://i.ibb.co/Lz7Qxttz/sananselmocant.png</v>
      </c>
      <c r="R347">
        <f>_xlfn.XLOOKUP(frasest[[#This Row],[author_es]],autorest[author_es],autorest[image_atr])</f>
        <v>0</v>
      </c>
    </row>
    <row r="348" spans="1:18">
      <c r="A348">
        <v>347</v>
      </c>
      <c r="B348" t="s">
        <v>1193</v>
      </c>
      <c r="C348" t="s">
        <v>1194</v>
      </c>
      <c r="D348" t="s">
        <v>1194</v>
      </c>
      <c r="E348" t="s">
        <v>1195</v>
      </c>
      <c r="F348" t="s">
        <v>1196</v>
      </c>
      <c r="G348" t="str">
        <f>_xlfn.XLOOKUP(frasest[[#This Row],[author_es]],autorest[author_es],autorest[author_la])</f>
        <v>Gulielmus de Ockham</v>
      </c>
      <c r="H348" t="str">
        <f>_xlfn.XLOOKUP(frasest[[#This Row],[author_es]],autorest[author_es],autorest[bio_es])</f>
        <v>Filósofo y teólogo franciscano inglés. Padre del nominalismo, autor de la "navaja de Ockham" (principio de parsimonia). Defensor de la separación entre fe y razón.</v>
      </c>
      <c r="I348" t="str">
        <f>_xlfn.XLOOKUP(frasest[[#This Row],[author_es]],autorest[author_es],autorest[bio_la])</f>
        <v>Philosophus et theologus Franciscanus Anglicus. Pater nominalismi, auctor "novaculae Occami" (principium parsimoniae). Separationis inter fidem et rationem defensor.</v>
      </c>
      <c r="J348" t="str">
        <f>_xlfn.XLOOKUP(frasest[[#This Row],[author_es]],autorest[author_es],autorest[iso3691])</f>
        <v>en</v>
      </c>
      <c r="K348" t="str">
        <f>_xlfn.XLOOKUP(frasest[[#This Row],[author_es]],autorest[author_es],autorest[language_es])</f>
        <v>Inglés</v>
      </c>
      <c r="L348" t="str">
        <f>_xlfn.XLOOKUP(frasest[[#This Row],[author_es]],autorest[author_es],autorest[language_la])</f>
        <v>Lingua Anglica</v>
      </c>
      <c r="M348" t="str">
        <f>_xlfn.XLOOKUP(frasest[[#This Row],[author_es]],autorest[author_es],autorest[nation_es])</f>
        <v>Reino Unido</v>
      </c>
      <c r="N348" t="str">
        <f>_xlfn.XLOOKUP(frasest[[#This Row],[author_es]],autorest[author_es],autorest[nation_la])</f>
        <v>Regnum Unitum</v>
      </c>
      <c r="O348" t="str">
        <f>_xlfn.XLOOKUP(frasest[[#This Row],[author_es]],autorest[author_es],autorest[age_es])</f>
        <v>Edad Media</v>
      </c>
      <c r="P348" t="str">
        <f>_xlfn.XLOOKUP(frasest[[#This Row],[author_es]],autorest[author_es],autorest[age_la])</f>
        <v>Medium Aevum</v>
      </c>
      <c r="Q348" t="str">
        <f>_xlfn.XLOOKUP(frasest[[#This Row],[author_es]],autorest[author_es],autorest[image])</f>
        <v>https://i.ibb.co/G38ns2JL/ockcham.png</v>
      </c>
      <c r="R348">
        <f>_xlfn.XLOOKUP(frasest[[#This Row],[author_es]],autorest[author_es],autorest[image_atr])</f>
        <v>0</v>
      </c>
    </row>
    <row r="349" spans="1:18">
      <c r="A349">
        <v>348</v>
      </c>
      <c r="B349" t="s">
        <v>1197</v>
      </c>
      <c r="C349" t="s">
        <v>1198</v>
      </c>
      <c r="D349" t="s">
        <v>1198</v>
      </c>
      <c r="E349" t="s">
        <v>1195</v>
      </c>
      <c r="F349" t="s">
        <v>1196</v>
      </c>
      <c r="G349" t="str">
        <f>_xlfn.XLOOKUP(frasest[[#This Row],[author_es]],autorest[author_es],autorest[author_la])</f>
        <v>Gulielmus de Ockham</v>
      </c>
      <c r="H349" t="str">
        <f>_xlfn.XLOOKUP(frasest[[#This Row],[author_es]],autorest[author_es],autorest[bio_es])</f>
        <v>Filósofo y teólogo franciscano inglés. Padre del nominalismo, autor de la "navaja de Ockham" (principio de parsimonia). Defensor de la separación entre fe y razón.</v>
      </c>
      <c r="I349" t="str">
        <f>_xlfn.XLOOKUP(frasest[[#This Row],[author_es]],autorest[author_es],autorest[bio_la])</f>
        <v>Philosophus et theologus Franciscanus Anglicus. Pater nominalismi, auctor "novaculae Occami" (principium parsimoniae). Separationis inter fidem et rationem defensor.</v>
      </c>
      <c r="J349" t="str">
        <f>_xlfn.XLOOKUP(frasest[[#This Row],[author_es]],autorest[author_es],autorest[iso3691])</f>
        <v>en</v>
      </c>
      <c r="K349" t="str">
        <f>_xlfn.XLOOKUP(frasest[[#This Row],[author_es]],autorest[author_es],autorest[language_es])</f>
        <v>Inglés</v>
      </c>
      <c r="L349" t="str">
        <f>_xlfn.XLOOKUP(frasest[[#This Row],[author_es]],autorest[author_es],autorest[language_la])</f>
        <v>Lingua Anglica</v>
      </c>
      <c r="M349" t="str">
        <f>_xlfn.XLOOKUP(frasest[[#This Row],[author_es]],autorest[author_es],autorest[nation_es])</f>
        <v>Reino Unido</v>
      </c>
      <c r="N349" t="str">
        <f>_xlfn.XLOOKUP(frasest[[#This Row],[author_es]],autorest[author_es],autorest[nation_la])</f>
        <v>Regnum Unitum</v>
      </c>
      <c r="O349" t="str">
        <f>_xlfn.XLOOKUP(frasest[[#This Row],[author_es]],autorest[author_es],autorest[age_es])</f>
        <v>Edad Media</v>
      </c>
      <c r="P349" t="str">
        <f>_xlfn.XLOOKUP(frasest[[#This Row],[author_es]],autorest[author_es],autorest[age_la])</f>
        <v>Medium Aevum</v>
      </c>
      <c r="Q349" t="str">
        <f>_xlfn.XLOOKUP(frasest[[#This Row],[author_es]],autorest[author_es],autorest[image])</f>
        <v>https://i.ibb.co/G38ns2JL/ockcham.png</v>
      </c>
      <c r="R349">
        <f>_xlfn.XLOOKUP(frasest[[#This Row],[author_es]],autorest[author_es],autorest[image_atr])</f>
        <v>0</v>
      </c>
    </row>
    <row r="350" spans="1:18">
      <c r="A350">
        <v>349</v>
      </c>
      <c r="B350" t="s">
        <v>1199</v>
      </c>
      <c r="C350" t="s">
        <v>1200</v>
      </c>
      <c r="D350" t="s">
        <v>1200</v>
      </c>
      <c r="E350" t="s">
        <v>1195</v>
      </c>
      <c r="F350" t="s">
        <v>1196</v>
      </c>
      <c r="G350" t="str">
        <f>_xlfn.XLOOKUP(frasest[[#This Row],[author_es]],autorest[author_es],autorest[author_la])</f>
        <v>Gulielmus de Ockham</v>
      </c>
      <c r="H350" t="str">
        <f>_xlfn.XLOOKUP(frasest[[#This Row],[author_es]],autorest[author_es],autorest[bio_es])</f>
        <v>Filósofo y teólogo franciscano inglés. Padre del nominalismo, autor de la "navaja de Ockham" (principio de parsimonia). Defensor de la separación entre fe y razón.</v>
      </c>
      <c r="I350" t="str">
        <f>_xlfn.XLOOKUP(frasest[[#This Row],[author_es]],autorest[author_es],autorest[bio_la])</f>
        <v>Philosophus et theologus Franciscanus Anglicus. Pater nominalismi, auctor "novaculae Occami" (principium parsimoniae). Separationis inter fidem et rationem defensor.</v>
      </c>
      <c r="J350" t="str">
        <f>_xlfn.XLOOKUP(frasest[[#This Row],[author_es]],autorest[author_es],autorest[iso3691])</f>
        <v>en</v>
      </c>
      <c r="K350" t="str">
        <f>_xlfn.XLOOKUP(frasest[[#This Row],[author_es]],autorest[author_es],autorest[language_es])</f>
        <v>Inglés</v>
      </c>
      <c r="L350" t="str">
        <f>_xlfn.XLOOKUP(frasest[[#This Row],[author_es]],autorest[author_es],autorest[language_la])</f>
        <v>Lingua Anglica</v>
      </c>
      <c r="M350" t="str">
        <f>_xlfn.XLOOKUP(frasest[[#This Row],[author_es]],autorest[author_es],autorest[nation_es])</f>
        <v>Reino Unido</v>
      </c>
      <c r="N350" t="str">
        <f>_xlfn.XLOOKUP(frasest[[#This Row],[author_es]],autorest[author_es],autorest[nation_la])</f>
        <v>Regnum Unitum</v>
      </c>
      <c r="O350" t="str">
        <f>_xlfn.XLOOKUP(frasest[[#This Row],[author_es]],autorest[author_es],autorest[age_es])</f>
        <v>Edad Media</v>
      </c>
      <c r="P350" t="str">
        <f>_xlfn.XLOOKUP(frasest[[#This Row],[author_es]],autorest[author_es],autorest[age_la])</f>
        <v>Medium Aevum</v>
      </c>
      <c r="Q350" t="str">
        <f>_xlfn.XLOOKUP(frasest[[#This Row],[author_es]],autorest[author_es],autorest[image])</f>
        <v>https://i.ibb.co/G38ns2JL/ockcham.png</v>
      </c>
      <c r="R350">
        <f>_xlfn.XLOOKUP(frasest[[#This Row],[author_es]],autorest[author_es],autorest[image_atr])</f>
        <v>0</v>
      </c>
    </row>
    <row r="351" spans="1:18">
      <c r="A351">
        <v>350</v>
      </c>
      <c r="B351" t="s">
        <v>1201</v>
      </c>
      <c r="C351" t="s">
        <v>1202</v>
      </c>
      <c r="D351" t="s">
        <v>1202</v>
      </c>
      <c r="E351" t="s">
        <v>1195</v>
      </c>
      <c r="F351" t="s">
        <v>1196</v>
      </c>
      <c r="G351" t="str">
        <f>_xlfn.XLOOKUP(frasest[[#This Row],[author_es]],autorest[author_es],autorest[author_la])</f>
        <v>Gulielmus de Ockham</v>
      </c>
      <c r="H351" t="str">
        <f>_xlfn.XLOOKUP(frasest[[#This Row],[author_es]],autorest[author_es],autorest[bio_es])</f>
        <v>Filósofo y teólogo franciscano inglés. Padre del nominalismo, autor de la "navaja de Ockham" (principio de parsimonia). Defensor de la separación entre fe y razón.</v>
      </c>
      <c r="I351" t="str">
        <f>_xlfn.XLOOKUP(frasest[[#This Row],[author_es]],autorest[author_es],autorest[bio_la])</f>
        <v>Philosophus et theologus Franciscanus Anglicus. Pater nominalismi, auctor "novaculae Occami" (principium parsimoniae). Separationis inter fidem et rationem defensor.</v>
      </c>
      <c r="J351" t="str">
        <f>_xlfn.XLOOKUP(frasest[[#This Row],[author_es]],autorest[author_es],autorest[iso3691])</f>
        <v>en</v>
      </c>
      <c r="K351" t="str">
        <f>_xlfn.XLOOKUP(frasest[[#This Row],[author_es]],autorest[author_es],autorest[language_es])</f>
        <v>Inglés</v>
      </c>
      <c r="L351" t="str">
        <f>_xlfn.XLOOKUP(frasest[[#This Row],[author_es]],autorest[author_es],autorest[language_la])</f>
        <v>Lingua Anglica</v>
      </c>
      <c r="M351" t="str">
        <f>_xlfn.XLOOKUP(frasest[[#This Row],[author_es]],autorest[author_es],autorest[nation_es])</f>
        <v>Reino Unido</v>
      </c>
      <c r="N351" t="str">
        <f>_xlfn.XLOOKUP(frasest[[#This Row],[author_es]],autorest[author_es],autorest[nation_la])</f>
        <v>Regnum Unitum</v>
      </c>
      <c r="O351" t="str">
        <f>_xlfn.XLOOKUP(frasest[[#This Row],[author_es]],autorest[author_es],autorest[age_es])</f>
        <v>Edad Media</v>
      </c>
      <c r="P351" t="str">
        <f>_xlfn.XLOOKUP(frasest[[#This Row],[author_es]],autorest[author_es],autorest[age_la])</f>
        <v>Medium Aevum</v>
      </c>
      <c r="Q351" t="str">
        <f>_xlfn.XLOOKUP(frasest[[#This Row],[author_es]],autorest[author_es],autorest[image])</f>
        <v>https://i.ibb.co/G38ns2JL/ockcham.png</v>
      </c>
      <c r="R351">
        <f>_xlfn.XLOOKUP(frasest[[#This Row],[author_es]],autorest[author_es],autorest[image_atr])</f>
        <v>0</v>
      </c>
    </row>
    <row r="352" spans="1:18">
      <c r="A352">
        <v>351</v>
      </c>
      <c r="B352" t="s">
        <v>1203</v>
      </c>
      <c r="C352" t="s">
        <v>1204</v>
      </c>
      <c r="D352" t="s">
        <v>1204</v>
      </c>
      <c r="E352" t="s">
        <v>1195</v>
      </c>
      <c r="F352" t="s">
        <v>1205</v>
      </c>
      <c r="G352" t="str">
        <f>_xlfn.XLOOKUP(frasest[[#This Row],[author_es]],autorest[author_es],autorest[author_la])</f>
        <v>Gulielmus de Ockham</v>
      </c>
      <c r="H352" t="str">
        <f>_xlfn.XLOOKUP(frasest[[#This Row],[author_es]],autorest[author_es],autorest[bio_es])</f>
        <v>Filósofo y teólogo franciscano inglés. Padre del nominalismo, autor de la "navaja de Ockham" (principio de parsimonia). Defensor de la separación entre fe y razón.</v>
      </c>
      <c r="I352" t="str">
        <f>_xlfn.XLOOKUP(frasest[[#This Row],[author_es]],autorest[author_es],autorest[bio_la])</f>
        <v>Philosophus et theologus Franciscanus Anglicus. Pater nominalismi, auctor "novaculae Occami" (principium parsimoniae). Separationis inter fidem et rationem defensor.</v>
      </c>
      <c r="J352" t="str">
        <f>_xlfn.XLOOKUP(frasest[[#This Row],[author_es]],autorest[author_es],autorest[iso3691])</f>
        <v>en</v>
      </c>
      <c r="K352" t="str">
        <f>_xlfn.XLOOKUP(frasest[[#This Row],[author_es]],autorest[author_es],autorest[language_es])</f>
        <v>Inglés</v>
      </c>
      <c r="L352" t="str">
        <f>_xlfn.XLOOKUP(frasest[[#This Row],[author_es]],autorest[author_es],autorest[language_la])</f>
        <v>Lingua Anglica</v>
      </c>
      <c r="M352" t="str">
        <f>_xlfn.XLOOKUP(frasest[[#This Row],[author_es]],autorest[author_es],autorest[nation_es])</f>
        <v>Reino Unido</v>
      </c>
      <c r="N352" t="str">
        <f>_xlfn.XLOOKUP(frasest[[#This Row],[author_es]],autorest[author_es],autorest[nation_la])</f>
        <v>Regnum Unitum</v>
      </c>
      <c r="O352" t="str">
        <f>_xlfn.XLOOKUP(frasest[[#This Row],[author_es]],autorest[author_es],autorest[age_es])</f>
        <v>Edad Media</v>
      </c>
      <c r="P352" t="str">
        <f>_xlfn.XLOOKUP(frasest[[#This Row],[author_es]],autorest[author_es],autorest[age_la])</f>
        <v>Medium Aevum</v>
      </c>
      <c r="Q352" t="str">
        <f>_xlfn.XLOOKUP(frasest[[#This Row],[author_es]],autorest[author_es],autorest[image])</f>
        <v>https://i.ibb.co/G38ns2JL/ockcham.png</v>
      </c>
      <c r="R352">
        <f>_xlfn.XLOOKUP(frasest[[#This Row],[author_es]],autorest[author_es],autorest[image_atr])</f>
        <v>0</v>
      </c>
    </row>
    <row r="353" spans="1:18">
      <c r="A353">
        <v>352</v>
      </c>
      <c r="B353" t="s">
        <v>1206</v>
      </c>
      <c r="C353" t="s">
        <v>1207</v>
      </c>
      <c r="D353" t="s">
        <v>1207</v>
      </c>
      <c r="E353" t="s">
        <v>1195</v>
      </c>
      <c r="F353" t="s">
        <v>1205</v>
      </c>
      <c r="G353" t="str">
        <f>_xlfn.XLOOKUP(frasest[[#This Row],[author_es]],autorest[author_es],autorest[author_la])</f>
        <v>Gulielmus de Ockham</v>
      </c>
      <c r="H353" t="str">
        <f>_xlfn.XLOOKUP(frasest[[#This Row],[author_es]],autorest[author_es],autorest[bio_es])</f>
        <v>Filósofo y teólogo franciscano inglés. Padre del nominalismo, autor de la "navaja de Ockham" (principio de parsimonia). Defensor de la separación entre fe y razón.</v>
      </c>
      <c r="I353" t="str">
        <f>_xlfn.XLOOKUP(frasest[[#This Row],[author_es]],autorest[author_es],autorest[bio_la])</f>
        <v>Philosophus et theologus Franciscanus Anglicus. Pater nominalismi, auctor "novaculae Occami" (principium parsimoniae). Separationis inter fidem et rationem defensor.</v>
      </c>
      <c r="J353" t="str">
        <f>_xlfn.XLOOKUP(frasest[[#This Row],[author_es]],autorest[author_es],autorest[iso3691])</f>
        <v>en</v>
      </c>
      <c r="K353" t="str">
        <f>_xlfn.XLOOKUP(frasest[[#This Row],[author_es]],autorest[author_es],autorest[language_es])</f>
        <v>Inglés</v>
      </c>
      <c r="L353" t="str">
        <f>_xlfn.XLOOKUP(frasest[[#This Row],[author_es]],autorest[author_es],autorest[language_la])</f>
        <v>Lingua Anglica</v>
      </c>
      <c r="M353" t="str">
        <f>_xlfn.XLOOKUP(frasest[[#This Row],[author_es]],autorest[author_es],autorest[nation_es])</f>
        <v>Reino Unido</v>
      </c>
      <c r="N353" t="str">
        <f>_xlfn.XLOOKUP(frasest[[#This Row],[author_es]],autorest[author_es],autorest[nation_la])</f>
        <v>Regnum Unitum</v>
      </c>
      <c r="O353" t="str">
        <f>_xlfn.XLOOKUP(frasest[[#This Row],[author_es]],autorest[author_es],autorest[age_es])</f>
        <v>Edad Media</v>
      </c>
      <c r="P353" t="str">
        <f>_xlfn.XLOOKUP(frasest[[#This Row],[author_es]],autorest[author_es],autorest[age_la])</f>
        <v>Medium Aevum</v>
      </c>
      <c r="Q353" t="str">
        <f>_xlfn.XLOOKUP(frasest[[#This Row],[author_es]],autorest[author_es],autorest[image])</f>
        <v>https://i.ibb.co/G38ns2JL/ockcham.png</v>
      </c>
      <c r="R353">
        <f>_xlfn.XLOOKUP(frasest[[#This Row],[author_es]],autorest[author_es],autorest[image_atr])</f>
        <v>0</v>
      </c>
    </row>
    <row r="354" spans="1:18">
      <c r="A354">
        <v>353</v>
      </c>
      <c r="B354" t="s">
        <v>1208</v>
      </c>
      <c r="C354" t="s">
        <v>1209</v>
      </c>
      <c r="D354" t="s">
        <v>1209</v>
      </c>
      <c r="E354" t="s">
        <v>1195</v>
      </c>
      <c r="F354" t="s">
        <v>1205</v>
      </c>
      <c r="G354" t="str">
        <f>_xlfn.XLOOKUP(frasest[[#This Row],[author_es]],autorest[author_es],autorest[author_la])</f>
        <v>Gulielmus de Ockham</v>
      </c>
      <c r="H354" t="str">
        <f>_xlfn.XLOOKUP(frasest[[#This Row],[author_es]],autorest[author_es],autorest[bio_es])</f>
        <v>Filósofo y teólogo franciscano inglés. Padre del nominalismo, autor de la "navaja de Ockham" (principio de parsimonia). Defensor de la separación entre fe y razón.</v>
      </c>
      <c r="I354" t="str">
        <f>_xlfn.XLOOKUP(frasest[[#This Row],[author_es]],autorest[author_es],autorest[bio_la])</f>
        <v>Philosophus et theologus Franciscanus Anglicus. Pater nominalismi, auctor "novaculae Occami" (principium parsimoniae). Separationis inter fidem et rationem defensor.</v>
      </c>
      <c r="J354" t="str">
        <f>_xlfn.XLOOKUP(frasest[[#This Row],[author_es]],autorest[author_es],autorest[iso3691])</f>
        <v>en</v>
      </c>
      <c r="K354" t="str">
        <f>_xlfn.XLOOKUP(frasest[[#This Row],[author_es]],autorest[author_es],autorest[language_es])</f>
        <v>Inglés</v>
      </c>
      <c r="L354" t="str">
        <f>_xlfn.XLOOKUP(frasest[[#This Row],[author_es]],autorest[author_es],autorest[language_la])</f>
        <v>Lingua Anglica</v>
      </c>
      <c r="M354" t="str">
        <f>_xlfn.XLOOKUP(frasest[[#This Row],[author_es]],autorest[author_es],autorest[nation_es])</f>
        <v>Reino Unido</v>
      </c>
      <c r="N354" t="str">
        <f>_xlfn.XLOOKUP(frasest[[#This Row],[author_es]],autorest[author_es],autorest[nation_la])</f>
        <v>Regnum Unitum</v>
      </c>
      <c r="O354" t="str">
        <f>_xlfn.XLOOKUP(frasest[[#This Row],[author_es]],autorest[author_es],autorest[age_es])</f>
        <v>Edad Media</v>
      </c>
      <c r="P354" t="str">
        <f>_xlfn.XLOOKUP(frasest[[#This Row],[author_es]],autorest[author_es],autorest[age_la])</f>
        <v>Medium Aevum</v>
      </c>
      <c r="Q354" t="str">
        <f>_xlfn.XLOOKUP(frasest[[#This Row],[author_es]],autorest[author_es],autorest[image])</f>
        <v>https://i.ibb.co/G38ns2JL/ockcham.png</v>
      </c>
      <c r="R354">
        <f>_xlfn.XLOOKUP(frasest[[#This Row],[author_es]],autorest[author_es],autorest[image_atr])</f>
        <v>0</v>
      </c>
    </row>
    <row r="355" spans="1:18">
      <c r="A355">
        <v>354</v>
      </c>
      <c r="B355" t="s">
        <v>1210</v>
      </c>
      <c r="C355" t="s">
        <v>1211</v>
      </c>
      <c r="D355" t="s">
        <v>1211</v>
      </c>
      <c r="E355" t="s">
        <v>1195</v>
      </c>
      <c r="F355" t="s">
        <v>1205</v>
      </c>
      <c r="G355" t="str">
        <f>_xlfn.XLOOKUP(frasest[[#This Row],[author_es]],autorest[author_es],autorest[author_la])</f>
        <v>Gulielmus de Ockham</v>
      </c>
      <c r="H355" t="str">
        <f>_xlfn.XLOOKUP(frasest[[#This Row],[author_es]],autorest[author_es],autorest[bio_es])</f>
        <v>Filósofo y teólogo franciscano inglés. Padre del nominalismo, autor de la "navaja de Ockham" (principio de parsimonia). Defensor de la separación entre fe y razón.</v>
      </c>
      <c r="I355" t="str">
        <f>_xlfn.XLOOKUP(frasest[[#This Row],[author_es]],autorest[author_es],autorest[bio_la])</f>
        <v>Philosophus et theologus Franciscanus Anglicus. Pater nominalismi, auctor "novaculae Occami" (principium parsimoniae). Separationis inter fidem et rationem defensor.</v>
      </c>
      <c r="J355" t="str">
        <f>_xlfn.XLOOKUP(frasest[[#This Row],[author_es]],autorest[author_es],autorest[iso3691])</f>
        <v>en</v>
      </c>
      <c r="K355" t="str">
        <f>_xlfn.XLOOKUP(frasest[[#This Row],[author_es]],autorest[author_es],autorest[language_es])</f>
        <v>Inglés</v>
      </c>
      <c r="L355" t="str">
        <f>_xlfn.XLOOKUP(frasest[[#This Row],[author_es]],autorest[author_es],autorest[language_la])</f>
        <v>Lingua Anglica</v>
      </c>
      <c r="M355" t="str">
        <f>_xlfn.XLOOKUP(frasest[[#This Row],[author_es]],autorest[author_es],autorest[nation_es])</f>
        <v>Reino Unido</v>
      </c>
      <c r="N355" t="str">
        <f>_xlfn.XLOOKUP(frasest[[#This Row],[author_es]],autorest[author_es],autorest[nation_la])</f>
        <v>Regnum Unitum</v>
      </c>
      <c r="O355" t="str">
        <f>_xlfn.XLOOKUP(frasest[[#This Row],[author_es]],autorest[author_es],autorest[age_es])</f>
        <v>Edad Media</v>
      </c>
      <c r="P355" t="str">
        <f>_xlfn.XLOOKUP(frasest[[#This Row],[author_es]],autorest[author_es],autorest[age_la])</f>
        <v>Medium Aevum</v>
      </c>
      <c r="Q355" t="str">
        <f>_xlfn.XLOOKUP(frasest[[#This Row],[author_es]],autorest[author_es],autorest[image])</f>
        <v>https://i.ibb.co/G38ns2JL/ockcham.png</v>
      </c>
      <c r="R355">
        <f>_xlfn.XLOOKUP(frasest[[#This Row],[author_es]],autorest[author_es],autorest[image_atr])</f>
        <v>0</v>
      </c>
    </row>
    <row r="356" spans="1:18">
      <c r="A356">
        <v>355</v>
      </c>
      <c r="B356" t="s">
        <v>1212</v>
      </c>
      <c r="C356" t="s">
        <v>1213</v>
      </c>
      <c r="D356" t="s">
        <v>1213</v>
      </c>
      <c r="E356" t="s">
        <v>1195</v>
      </c>
      <c r="F356" t="s">
        <v>1196</v>
      </c>
      <c r="G356" t="str">
        <f>_xlfn.XLOOKUP(frasest[[#This Row],[author_es]],autorest[author_es],autorest[author_la])</f>
        <v>Gulielmus de Ockham</v>
      </c>
      <c r="H356" t="str">
        <f>_xlfn.XLOOKUP(frasest[[#This Row],[author_es]],autorest[author_es],autorest[bio_es])</f>
        <v>Filósofo y teólogo franciscano inglés. Padre del nominalismo, autor de la "navaja de Ockham" (principio de parsimonia). Defensor de la separación entre fe y razón.</v>
      </c>
      <c r="I356" t="str">
        <f>_xlfn.XLOOKUP(frasest[[#This Row],[author_es]],autorest[author_es],autorest[bio_la])</f>
        <v>Philosophus et theologus Franciscanus Anglicus. Pater nominalismi, auctor "novaculae Occami" (principium parsimoniae). Separationis inter fidem et rationem defensor.</v>
      </c>
      <c r="J356" t="str">
        <f>_xlfn.XLOOKUP(frasest[[#This Row],[author_es]],autorest[author_es],autorest[iso3691])</f>
        <v>en</v>
      </c>
      <c r="K356" t="str">
        <f>_xlfn.XLOOKUP(frasest[[#This Row],[author_es]],autorest[author_es],autorest[language_es])</f>
        <v>Inglés</v>
      </c>
      <c r="L356" t="str">
        <f>_xlfn.XLOOKUP(frasest[[#This Row],[author_es]],autorest[author_es],autorest[language_la])</f>
        <v>Lingua Anglica</v>
      </c>
      <c r="M356" t="str">
        <f>_xlfn.XLOOKUP(frasest[[#This Row],[author_es]],autorest[author_es],autorest[nation_es])</f>
        <v>Reino Unido</v>
      </c>
      <c r="N356" t="str">
        <f>_xlfn.XLOOKUP(frasest[[#This Row],[author_es]],autorest[author_es],autorest[nation_la])</f>
        <v>Regnum Unitum</v>
      </c>
      <c r="O356" t="str">
        <f>_xlfn.XLOOKUP(frasest[[#This Row],[author_es]],autorest[author_es],autorest[age_es])</f>
        <v>Edad Media</v>
      </c>
      <c r="P356" t="str">
        <f>_xlfn.XLOOKUP(frasest[[#This Row],[author_es]],autorest[author_es],autorest[age_la])</f>
        <v>Medium Aevum</v>
      </c>
      <c r="Q356" t="str">
        <f>_xlfn.XLOOKUP(frasest[[#This Row],[author_es]],autorest[author_es],autorest[image])</f>
        <v>https://i.ibb.co/G38ns2JL/ockcham.png</v>
      </c>
      <c r="R356">
        <f>_xlfn.XLOOKUP(frasest[[#This Row],[author_es]],autorest[author_es],autorest[image_atr])</f>
        <v>0</v>
      </c>
    </row>
    <row r="357" spans="1:18">
      <c r="A357">
        <v>356</v>
      </c>
      <c r="B357" t="s">
        <v>1214</v>
      </c>
      <c r="C357" t="s">
        <v>1215</v>
      </c>
      <c r="D357" t="s">
        <v>1215</v>
      </c>
      <c r="E357" t="s">
        <v>1195</v>
      </c>
      <c r="F357" t="s">
        <v>1205</v>
      </c>
      <c r="G357" t="str">
        <f>_xlfn.XLOOKUP(frasest[[#This Row],[author_es]],autorest[author_es],autorest[author_la])</f>
        <v>Gulielmus de Ockham</v>
      </c>
      <c r="H357" t="str">
        <f>_xlfn.XLOOKUP(frasest[[#This Row],[author_es]],autorest[author_es],autorest[bio_es])</f>
        <v>Filósofo y teólogo franciscano inglés. Padre del nominalismo, autor de la "navaja de Ockham" (principio de parsimonia). Defensor de la separación entre fe y razón.</v>
      </c>
      <c r="I357" t="str">
        <f>_xlfn.XLOOKUP(frasest[[#This Row],[author_es]],autorest[author_es],autorest[bio_la])</f>
        <v>Philosophus et theologus Franciscanus Anglicus. Pater nominalismi, auctor "novaculae Occami" (principium parsimoniae). Separationis inter fidem et rationem defensor.</v>
      </c>
      <c r="J357" t="str">
        <f>_xlfn.XLOOKUP(frasest[[#This Row],[author_es]],autorest[author_es],autorest[iso3691])</f>
        <v>en</v>
      </c>
      <c r="K357" t="str">
        <f>_xlfn.XLOOKUP(frasest[[#This Row],[author_es]],autorest[author_es],autorest[language_es])</f>
        <v>Inglés</v>
      </c>
      <c r="L357" t="str">
        <f>_xlfn.XLOOKUP(frasest[[#This Row],[author_es]],autorest[author_es],autorest[language_la])</f>
        <v>Lingua Anglica</v>
      </c>
      <c r="M357" t="str">
        <f>_xlfn.XLOOKUP(frasest[[#This Row],[author_es]],autorest[author_es],autorest[nation_es])</f>
        <v>Reino Unido</v>
      </c>
      <c r="N357" t="str">
        <f>_xlfn.XLOOKUP(frasest[[#This Row],[author_es]],autorest[author_es],autorest[nation_la])</f>
        <v>Regnum Unitum</v>
      </c>
      <c r="O357" t="str">
        <f>_xlfn.XLOOKUP(frasest[[#This Row],[author_es]],autorest[author_es],autorest[age_es])</f>
        <v>Edad Media</v>
      </c>
      <c r="P357" t="str">
        <f>_xlfn.XLOOKUP(frasest[[#This Row],[author_es]],autorest[author_es],autorest[age_la])</f>
        <v>Medium Aevum</v>
      </c>
      <c r="Q357" t="str">
        <f>_xlfn.XLOOKUP(frasest[[#This Row],[author_es]],autorest[author_es],autorest[image])</f>
        <v>https://i.ibb.co/G38ns2JL/ockcham.png</v>
      </c>
      <c r="R357">
        <f>_xlfn.XLOOKUP(frasest[[#This Row],[author_es]],autorest[author_es],autorest[image_atr])</f>
        <v>0</v>
      </c>
    </row>
    <row r="358" spans="1:18">
      <c r="A358">
        <v>357</v>
      </c>
      <c r="B358" t="s">
        <v>1216</v>
      </c>
      <c r="C358" t="s">
        <v>1217</v>
      </c>
      <c r="D358" t="s">
        <v>1217</v>
      </c>
      <c r="E358" t="s">
        <v>57</v>
      </c>
      <c r="F358" t="s">
        <v>1218</v>
      </c>
      <c r="G358" t="str">
        <f>_xlfn.XLOOKUP(frasest[[#This Row],[author_es]],autorest[author_es],autorest[author_la])</f>
        <v>Aurelius Augustinus</v>
      </c>
      <c r="H358" t="str">
        <f>_xlfn.XLOOKUP(frasest[[#This Row],[author_es]],autorest[author_es],autorest[bio_es])</f>
        <v>Filósofo y teólogo cristiano.</v>
      </c>
      <c r="I358" t="str">
        <f>_xlfn.XLOOKUP(frasest[[#This Row],[author_es]],autorest[author_es],autorest[bio_la])</f>
        <v>Philosophus et theologus Christianus.</v>
      </c>
      <c r="J358" t="str">
        <f>_xlfn.XLOOKUP(frasest[[#This Row],[author_es]],autorest[author_es],autorest[iso3691])</f>
        <v>la</v>
      </c>
      <c r="K358" t="str">
        <f>_xlfn.XLOOKUP(frasest[[#This Row],[author_es]],autorest[author_es],autorest[language_es])</f>
        <v>Latín</v>
      </c>
      <c r="L358" t="str">
        <f>_xlfn.XLOOKUP(frasest[[#This Row],[author_es]],autorest[author_es],autorest[language_la])</f>
        <v>Lingua Latina</v>
      </c>
      <c r="M358" t="str">
        <f>_xlfn.XLOOKUP(frasest[[#This Row],[author_es]],autorest[author_es],autorest[nation_es])</f>
        <v>Roma</v>
      </c>
      <c r="N358" t="str">
        <f>_xlfn.XLOOKUP(frasest[[#This Row],[author_es]],autorest[author_es],autorest[nation_la])</f>
        <v>Roma</v>
      </c>
      <c r="O358" t="str">
        <f>_xlfn.XLOOKUP(frasest[[#This Row],[author_es]],autorest[author_es],autorest[age_es])</f>
        <v>Edad Antigua</v>
      </c>
      <c r="P358" t="str">
        <f>_xlfn.XLOOKUP(frasest[[#This Row],[author_es]],autorest[author_es],autorest[age_la])</f>
        <v>Antiquitas</v>
      </c>
      <c r="Q358" t="str">
        <f>_xlfn.XLOOKUP(frasest[[#This Row],[author_es]],autorest[author_es],autorest[image])</f>
        <v>https://i.ibb.co/chhLXqTZ/agustin.png</v>
      </c>
      <c r="R358">
        <f>_xlfn.XLOOKUP(frasest[[#This Row],[author_es]],autorest[author_es],autorest[image_atr])</f>
        <v>0</v>
      </c>
    </row>
    <row r="359" spans="1:18">
      <c r="A359">
        <v>358</v>
      </c>
      <c r="B359" t="s">
        <v>1219</v>
      </c>
      <c r="C359" t="s">
        <v>1220</v>
      </c>
      <c r="D359" t="s">
        <v>1220</v>
      </c>
      <c r="E359" t="s">
        <v>57</v>
      </c>
      <c r="F359" t="s">
        <v>1221</v>
      </c>
      <c r="G359" t="str">
        <f>_xlfn.XLOOKUP(frasest[[#This Row],[author_es]],autorest[author_es],autorest[author_la])</f>
        <v>Aurelius Augustinus</v>
      </c>
      <c r="H359" t="str">
        <f>_xlfn.XLOOKUP(frasest[[#This Row],[author_es]],autorest[author_es],autorest[bio_es])</f>
        <v>Filósofo y teólogo cristiano.</v>
      </c>
      <c r="I359" t="str">
        <f>_xlfn.XLOOKUP(frasest[[#This Row],[author_es]],autorest[author_es],autorest[bio_la])</f>
        <v>Philosophus et theologus Christianus.</v>
      </c>
      <c r="J359" t="str">
        <f>_xlfn.XLOOKUP(frasest[[#This Row],[author_es]],autorest[author_es],autorest[iso3691])</f>
        <v>la</v>
      </c>
      <c r="K359" t="str">
        <f>_xlfn.XLOOKUP(frasest[[#This Row],[author_es]],autorest[author_es],autorest[language_es])</f>
        <v>Latín</v>
      </c>
      <c r="L359" t="str">
        <f>_xlfn.XLOOKUP(frasest[[#This Row],[author_es]],autorest[author_es],autorest[language_la])</f>
        <v>Lingua Latina</v>
      </c>
      <c r="M359" t="str">
        <f>_xlfn.XLOOKUP(frasest[[#This Row],[author_es]],autorest[author_es],autorest[nation_es])</f>
        <v>Roma</v>
      </c>
      <c r="N359" t="str">
        <f>_xlfn.XLOOKUP(frasest[[#This Row],[author_es]],autorest[author_es],autorest[nation_la])</f>
        <v>Roma</v>
      </c>
      <c r="O359" t="str">
        <f>_xlfn.XLOOKUP(frasest[[#This Row],[author_es]],autorest[author_es],autorest[age_es])</f>
        <v>Edad Antigua</v>
      </c>
      <c r="P359" t="str">
        <f>_xlfn.XLOOKUP(frasest[[#This Row],[author_es]],autorest[author_es],autorest[age_la])</f>
        <v>Antiquitas</v>
      </c>
      <c r="Q359" t="str">
        <f>_xlfn.XLOOKUP(frasest[[#This Row],[author_es]],autorest[author_es],autorest[image])</f>
        <v>https://i.ibb.co/chhLXqTZ/agustin.png</v>
      </c>
      <c r="R359">
        <f>_xlfn.XLOOKUP(frasest[[#This Row],[author_es]],autorest[author_es],autorest[image_atr])</f>
        <v>0</v>
      </c>
    </row>
    <row r="360" spans="1:18">
      <c r="A360">
        <v>359</v>
      </c>
      <c r="B360" t="s">
        <v>1222</v>
      </c>
      <c r="C360" t="s">
        <v>1223</v>
      </c>
      <c r="D360" t="s">
        <v>1223</v>
      </c>
      <c r="E360" t="s">
        <v>940</v>
      </c>
      <c r="F360" t="s">
        <v>1224</v>
      </c>
      <c r="G360" t="str">
        <f>_xlfn.XLOOKUP(frasest[[#This Row],[author_es]],autorest[author_es],autorest[author_la])</f>
        <v>Athanasius Alexandrinus</v>
      </c>
      <c r="H360" t="str">
        <f>_xlfn.XLOOKUP(frasest[[#This Row],[author_es]],autorest[author_es],autorest[bio_es])</f>
        <v>Obispo de Alejandría, Doctor de la Iglesia y defensor de la ortodoxia nicena contra el arrianismo. Autor de la "Vida de San Antonio", influyente en la espiritualidad monástica.</v>
      </c>
      <c r="I360" t="str">
        <f>_xlfn.XLOOKUP(frasest[[#This Row],[author_es]],autorest[author_es],autorest[bio_la])</f>
        <v>Episcopus Alexandrinus, Doctor Ecclesiae et defensor orthodoxiae Nicaenae contra arianismum. Auctor "Vita Sancti Antonii", in spiritualitate monastica influens.</v>
      </c>
      <c r="J360" t="str">
        <f>_xlfn.XLOOKUP(frasest[[#This Row],[author_es]],autorest[author_es],autorest[iso3691])</f>
        <v>la</v>
      </c>
      <c r="K360" t="str">
        <f>_xlfn.XLOOKUP(frasest[[#This Row],[author_es]],autorest[author_es],autorest[language_es])</f>
        <v>Latín</v>
      </c>
      <c r="L360" t="str">
        <f>_xlfn.XLOOKUP(frasest[[#This Row],[author_es]],autorest[author_es],autorest[language_la])</f>
        <v>Lingua Latina</v>
      </c>
      <c r="M360" t="str">
        <f>_xlfn.XLOOKUP(frasest[[#This Row],[author_es]],autorest[author_es],autorest[nation_es])</f>
        <v>Roma</v>
      </c>
      <c r="N360" t="str">
        <f>_xlfn.XLOOKUP(frasest[[#This Row],[author_es]],autorest[author_es],autorest[nation_la])</f>
        <v>Roma</v>
      </c>
      <c r="O360" t="str">
        <f>_xlfn.XLOOKUP(frasest[[#This Row],[author_es]],autorest[author_es],autorest[age_es])</f>
        <v>Edad Antigua</v>
      </c>
      <c r="P360" t="str">
        <f>_xlfn.XLOOKUP(frasest[[#This Row],[author_es]],autorest[author_es],autorest[age_la])</f>
        <v>Antiquitas</v>
      </c>
      <c r="Q360" t="str">
        <f>_xlfn.XLOOKUP(frasest[[#This Row],[author_es]],autorest[author_es],autorest[image])</f>
        <v>https://i.ibb.co/N2qBhZS8/atanasio.png</v>
      </c>
      <c r="R360">
        <f>_xlfn.XLOOKUP(frasest[[#This Row],[author_es]],autorest[author_es],autorest[image_atr])</f>
        <v>0</v>
      </c>
    </row>
    <row r="361" spans="1:18">
      <c r="A361">
        <v>360</v>
      </c>
      <c r="B361" t="s">
        <v>1225</v>
      </c>
      <c r="C361" t="s">
        <v>1226</v>
      </c>
      <c r="D361" t="s">
        <v>1226</v>
      </c>
      <c r="E361" t="s">
        <v>172</v>
      </c>
      <c r="F361" t="s">
        <v>1227</v>
      </c>
      <c r="G361" t="str">
        <f>_xlfn.XLOOKUP(frasest[[#This Row],[author_es]],autorest[author_es],autorest[author_la])</f>
        <v>Thomas Aquinas</v>
      </c>
      <c r="H361" t="str">
        <f>_xlfn.XLOOKUP(frasest[[#This Row],[author_es]],autorest[author_es],autorest[bio_es])</f>
        <v>Filósofo y teólogo italiano, representante de la Escolástica. Autor de la "Summa Theologica".</v>
      </c>
      <c r="I361" t="str">
        <f>_xlfn.XLOOKUP(frasest[[#This Row],[author_es]],autorest[author_es],autorest[bio_la])</f>
        <v>Philosophus et theologus Italicus, Scholasticae repraesentans. Auctor "Summa Theologica".</v>
      </c>
      <c r="J361" t="str">
        <f>_xlfn.XLOOKUP(frasest[[#This Row],[author_es]],autorest[author_es],autorest[iso3691])</f>
        <v>la</v>
      </c>
      <c r="K361" t="str">
        <f>_xlfn.XLOOKUP(frasest[[#This Row],[author_es]],autorest[author_es],autorest[language_es])</f>
        <v>Latín</v>
      </c>
      <c r="L361" t="str">
        <f>_xlfn.XLOOKUP(frasest[[#This Row],[author_es]],autorest[author_es],autorest[language_la])</f>
        <v>Lingua Latina</v>
      </c>
      <c r="M361" t="str">
        <f>_xlfn.XLOOKUP(frasest[[#This Row],[author_es]],autorest[author_es],autorest[nation_es])</f>
        <v>Italia</v>
      </c>
      <c r="N361" t="str">
        <f>_xlfn.XLOOKUP(frasest[[#This Row],[author_es]],autorest[author_es],autorest[nation_la])</f>
        <v>Italia</v>
      </c>
      <c r="O361" t="str">
        <f>_xlfn.XLOOKUP(frasest[[#This Row],[author_es]],autorest[author_es],autorest[age_es])</f>
        <v>Edad Media</v>
      </c>
      <c r="P361" t="str">
        <f>_xlfn.XLOOKUP(frasest[[#This Row],[author_es]],autorest[author_es],autorest[age_la])</f>
        <v>Medium Aevum</v>
      </c>
      <c r="Q361" t="str">
        <f>_xlfn.XLOOKUP(frasest[[#This Row],[author_es]],autorest[author_es],autorest[image])</f>
        <v>https://i.ibb.co/wG8jHsv/tomasaquino.png</v>
      </c>
      <c r="R361">
        <f>_xlfn.XLOOKUP(frasest[[#This Row],[author_es]],autorest[author_es],autorest[image_atr])</f>
        <v>0</v>
      </c>
    </row>
    <row r="362" spans="1:18">
      <c r="A362">
        <v>361</v>
      </c>
      <c r="B362" t="s">
        <v>1228</v>
      </c>
      <c r="C362" t="s">
        <v>1229</v>
      </c>
      <c r="D362" t="s">
        <v>1229</v>
      </c>
      <c r="E362" t="s">
        <v>1002</v>
      </c>
      <c r="F362" t="s">
        <v>1230</v>
      </c>
      <c r="G362" t="str">
        <f>_xlfn.XLOOKUP(frasest[[#This Row],[author_es]],autorest[author_es],autorest[author_la])</f>
        <v>Gregorius Nazianzenus</v>
      </c>
      <c r="H362" t="str">
        <f>_xlfn.XLOOKUP(frasest[[#This Row],[author_es]],autorest[author_es],autorest[bio_es])</f>
        <v>Arzobispo de Constantinopla, Doctor de la Iglesia y Padre Capadocio. Llamado "el Teólogo", gran orador y defensor de la Trinidad. Uno de los tres Padres Capadocios.</v>
      </c>
      <c r="I362" t="str">
        <f>_xlfn.XLOOKUP(frasest[[#This Row],[author_es]],autorest[author_es],autorest[bio_la])</f>
        <v>Archiepiscopus Constantinopolitanus, Doctor Ecclesiae et Pater Cappadocius. "Theologus" vocatus, orator magnus et defensor Trinitatis. Unus ex tribus Patribus Cappadociis.</v>
      </c>
      <c r="J362" t="str">
        <f>_xlfn.XLOOKUP(frasest[[#This Row],[author_es]],autorest[author_es],autorest[iso3691])</f>
        <v>la</v>
      </c>
      <c r="K362" t="str">
        <f>_xlfn.XLOOKUP(frasest[[#This Row],[author_es]],autorest[author_es],autorest[language_es])</f>
        <v>Latín</v>
      </c>
      <c r="L362" t="str">
        <f>_xlfn.XLOOKUP(frasest[[#This Row],[author_es]],autorest[author_es],autorest[language_la])</f>
        <v>Lingua Latina</v>
      </c>
      <c r="M362" t="str">
        <f>_xlfn.XLOOKUP(frasest[[#This Row],[author_es]],autorest[author_es],autorest[nation_es])</f>
        <v>Roma</v>
      </c>
      <c r="N362" t="str">
        <f>_xlfn.XLOOKUP(frasest[[#This Row],[author_es]],autorest[author_es],autorest[nation_la])</f>
        <v>Roma</v>
      </c>
      <c r="O362" t="str">
        <f>_xlfn.XLOOKUP(frasest[[#This Row],[author_es]],autorest[author_es],autorest[age_es])</f>
        <v>Edad Antigua</v>
      </c>
      <c r="P362" t="str">
        <f>_xlfn.XLOOKUP(frasest[[#This Row],[author_es]],autorest[author_es],autorest[age_la])</f>
        <v>Antiquitas</v>
      </c>
      <c r="Q362" t="str">
        <f>_xlfn.XLOOKUP(frasest[[#This Row],[author_es]],autorest[author_es],autorest[image])</f>
        <v>https://i.ibb.co/whvy5Lhm/sangregorioana.png</v>
      </c>
      <c r="R362">
        <f>_xlfn.XLOOKUP(frasest[[#This Row],[author_es]],autorest[author_es],autorest[image_atr])</f>
        <v>0</v>
      </c>
    </row>
    <row r="363" spans="1:18">
      <c r="A363">
        <v>362</v>
      </c>
      <c r="B363" t="s">
        <v>1231</v>
      </c>
      <c r="C363" t="s">
        <v>1232</v>
      </c>
      <c r="D363" t="s">
        <v>1231</v>
      </c>
      <c r="E363" t="s">
        <v>24</v>
      </c>
      <c r="G363" t="str">
        <f>_xlfn.XLOOKUP(frasest[[#This Row],[author_es]],autorest[author_es],autorest[author_la])</f>
        <v>Sententia Hispanica</v>
      </c>
      <c r="H363" t="str">
        <f>_xlfn.XLOOKUP(frasest[[#This Row],[author_es]],autorest[author_es],autorest[bio_es])</f>
        <v>Refranes populares de la tradición oral hispana que expresan de forma breve y ingeniosa enseñanzas prácticas sobre la vida cotidiana.</v>
      </c>
      <c r="I363" t="str">
        <f>_xlfn.XLOOKUP(frasest[[#This Row],[author_es]],autorest[author_es],autorest[bio_la])</f>
        <v>Collectio sententiarum Hispanicarum.</v>
      </c>
      <c r="J363" t="str">
        <f>_xlfn.XLOOKUP(frasest[[#This Row],[author_es]],autorest[author_es],autorest[iso3691])</f>
        <v>es</v>
      </c>
      <c r="K363" t="str">
        <f>_xlfn.XLOOKUP(frasest[[#This Row],[author_es]],autorest[author_es],autorest[language_es])</f>
        <v>Español</v>
      </c>
      <c r="L363" t="str">
        <f>_xlfn.XLOOKUP(frasest[[#This Row],[author_es]],autorest[author_es],autorest[language_la])</f>
        <v>Lingua Hispanica</v>
      </c>
      <c r="M363" t="str">
        <f>_xlfn.XLOOKUP(frasest[[#This Row],[author_es]],autorest[author_es],autorest[nation_es])</f>
        <v>España</v>
      </c>
      <c r="N363" t="str">
        <f>_xlfn.XLOOKUP(frasest[[#This Row],[author_es]],autorest[author_es],autorest[nation_la])</f>
        <v>Hispania</v>
      </c>
      <c r="O363" t="str">
        <f>_xlfn.XLOOKUP(frasest[[#This Row],[author_es]],autorest[author_es],autorest[age_es])</f>
        <v>Epoca Desconocida</v>
      </c>
      <c r="P363" t="str">
        <f>_xlfn.XLOOKUP(frasest[[#This Row],[author_es]],autorest[author_es],autorest[age_la])</f>
        <v>Epocha Ignota</v>
      </c>
      <c r="Q363" t="str">
        <f>_xlfn.XLOOKUP(frasest[[#This Row],[author_es]],autorest[author_es],autorest[image])</f>
        <v>https://i.ibb.co/Y4f7TZWm/espa-a.png</v>
      </c>
      <c r="R363">
        <f>_xlfn.XLOOKUP(frasest[[#This Row],[author_es]],autorest[author_es],autorest[image_atr])</f>
        <v>0</v>
      </c>
    </row>
    <row r="364" spans="1:18">
      <c r="A364">
        <v>363</v>
      </c>
      <c r="B364" t="s">
        <v>1233</v>
      </c>
      <c r="C364" t="s">
        <v>1234</v>
      </c>
      <c r="D364" t="s">
        <v>1235</v>
      </c>
      <c r="E364" t="s">
        <v>1236</v>
      </c>
      <c r="G364" t="str">
        <f>_xlfn.XLOOKUP(frasest[[#This Row],[author_es]],autorest[author_es],autorest[author_la])</f>
        <v>Sententia Vasconica</v>
      </c>
      <c r="H364" t="str">
        <f>_xlfn.XLOOKUP(frasest[[#This Row],[author_es]],autorest[author_es],autorest[bio_es])</f>
        <v>Proverbios de la tradición oral vasca que reflejan la relación con la naturaleza, el trabajo y los valores comunitarios del pueblo vasco.</v>
      </c>
      <c r="I364" t="str">
        <f>_xlfn.XLOOKUP(frasest[[#This Row],[author_es]],autorest[author_es],autorest[bio_la])</f>
        <v>Collectio sententiarum Vasconicarum.</v>
      </c>
      <c r="J364" t="str">
        <f>_xlfn.XLOOKUP(frasest[[#This Row],[author_es]],autorest[author_es],autorest[iso3691])</f>
        <v>eu</v>
      </c>
      <c r="K364" t="str">
        <f>_xlfn.XLOOKUP(frasest[[#This Row],[author_es]],autorest[author_es],autorest[language_es])</f>
        <v>Euskara</v>
      </c>
      <c r="L364" t="str">
        <f>_xlfn.XLOOKUP(frasest[[#This Row],[author_es]],autorest[author_es],autorest[language_la])</f>
        <v>Lingua Vasconica</v>
      </c>
      <c r="M364" t="str">
        <f>_xlfn.XLOOKUP(frasest[[#This Row],[author_es]],autorest[author_es],autorest[nation_es])</f>
        <v>España</v>
      </c>
      <c r="N364" t="str">
        <f>_xlfn.XLOOKUP(frasest[[#This Row],[author_es]],autorest[author_es],autorest[nation_la])</f>
        <v>Hispania</v>
      </c>
      <c r="O364" t="str">
        <f>_xlfn.XLOOKUP(frasest[[#This Row],[author_es]],autorest[author_es],autorest[age_es])</f>
        <v>Epoca Desconocida</v>
      </c>
      <c r="P364" t="str">
        <f>_xlfn.XLOOKUP(frasest[[#This Row],[author_es]],autorest[author_es],autorest[age_la])</f>
        <v>Epocha Ignota</v>
      </c>
      <c r="Q364" t="str">
        <f>_xlfn.XLOOKUP(frasest[[#This Row],[author_es]],autorest[author_es],autorest[image])</f>
        <v>https://i.ibb.co/bjgxB3kn/euskadi.png</v>
      </c>
      <c r="R364">
        <f>_xlfn.XLOOKUP(frasest[[#This Row],[author_es]],autorest[author_es],autorest[image_atr])</f>
        <v>0</v>
      </c>
    </row>
    <row r="365" spans="1:18">
      <c r="A365">
        <v>364</v>
      </c>
      <c r="B365" t="s">
        <v>1237</v>
      </c>
      <c r="C365" t="s">
        <v>1238</v>
      </c>
      <c r="D365" t="s">
        <v>1239</v>
      </c>
      <c r="E365" t="s">
        <v>1240</v>
      </c>
      <c r="F365" t="s">
        <v>1241</v>
      </c>
      <c r="G365" t="str">
        <f>_xlfn.XLOOKUP(frasest[[#This Row],[author_es]],autorest[author_es],autorest[author_la])</f>
        <v>Albertus Camus</v>
      </c>
      <c r="H365" t="str">
        <f>_xlfn.XLOOKUP(frasest[[#This Row],[author_es]],autorest[author_es],autorest[bio_es])</f>
        <v>Escritor, filósofo y periodista francés. Premio Nobel de Literatura en 1957, representante del existencialismo y el absurdo.</v>
      </c>
      <c r="I365" t="str">
        <f>_xlfn.XLOOKUP(frasest[[#This Row],[author_es]],autorest[author_es],autorest[bio_la])</f>
        <v>Scriba, philosophus et diurnarius Francogallicus. Praemium Nobel Litterarum anno 1957, existentialismus et absurdi repraesentans.</v>
      </c>
      <c r="J365" t="str">
        <f>_xlfn.XLOOKUP(frasest[[#This Row],[author_es]],autorest[author_es],autorest[iso3691])</f>
        <v>fr</v>
      </c>
      <c r="K365" t="str">
        <f>_xlfn.XLOOKUP(frasest[[#This Row],[author_es]],autorest[author_es],autorest[language_es])</f>
        <v>Francés</v>
      </c>
      <c r="L365" t="str">
        <f>_xlfn.XLOOKUP(frasest[[#This Row],[author_es]],autorest[author_es],autorest[language_la])</f>
        <v>Lingua Gallica</v>
      </c>
      <c r="M365" t="str">
        <f>_xlfn.XLOOKUP(frasest[[#This Row],[author_es]],autorest[author_es],autorest[nation_es])</f>
        <v>Francia</v>
      </c>
      <c r="N365" t="str">
        <f>_xlfn.XLOOKUP(frasest[[#This Row],[author_es]],autorest[author_es],autorest[nation_la])</f>
        <v>Francia</v>
      </c>
      <c r="O365" t="str">
        <f>_xlfn.XLOOKUP(frasest[[#This Row],[author_es]],autorest[author_es],autorest[age_es])</f>
        <v>Edad Contemporánea</v>
      </c>
      <c r="P365" t="str">
        <f>_xlfn.XLOOKUP(frasest[[#This Row],[author_es]],autorest[author_es],autorest[age_la])</f>
        <v>Aetas Contemporanea</v>
      </c>
      <c r="Q365" t="str">
        <f>_xlfn.XLOOKUP(frasest[[#This Row],[author_es]],autorest[author_es],autorest[image])</f>
        <v>https://i.ibb.co/qYHNPQ2Z/camus.png</v>
      </c>
      <c r="R365">
        <f>_xlfn.XLOOKUP(frasest[[#This Row],[author_es]],autorest[author_es],autorest[image_atr])</f>
        <v>0</v>
      </c>
    </row>
    <row r="366" spans="1:18">
      <c r="A366">
        <v>365</v>
      </c>
      <c r="B366" t="s">
        <v>1242</v>
      </c>
      <c r="C366" t="s">
        <v>1243</v>
      </c>
      <c r="D366" t="s">
        <v>1244</v>
      </c>
      <c r="E366" t="s">
        <v>1245</v>
      </c>
      <c r="F366" t="s">
        <v>1246</v>
      </c>
      <c r="G366" t="str">
        <f>_xlfn.XLOOKUP(frasest[[#This Row],[author_es]],autorest[author_es],autorest[author_la])</f>
        <v>Beata Teresia Calcuttensis</v>
      </c>
      <c r="H366" t="str">
        <f>_xlfn.XLOOKUP(frasest[[#This Row],[author_es]],autorest[author_es],autorest[bio_es])</f>
        <v>Monja católica y misionera albanesa, fundadora de las Misioneras de la Caridad. Premio Nobel de la Paz 1979 por su trabajo con los más pobres.</v>
      </c>
      <c r="I366" t="str">
        <f>_xlfn.XLOOKUP(frasest[[#This Row],[author_es]],autorest[author_es],autorest[bio_la])</f>
        <v>Soror catholica et missionaria Albanensis, Missionariarum Caritatis fundatrix. Praemium Nobel Pacis anno 1979 propter laborem cum pauperrimis.</v>
      </c>
      <c r="J366" t="str">
        <f>_xlfn.XLOOKUP(frasest[[#This Row],[author_es]],autorest[author_es],autorest[iso3691])</f>
        <v>sq</v>
      </c>
      <c r="K366" t="str">
        <f>_xlfn.XLOOKUP(frasest[[#This Row],[author_es]],autorest[author_es],autorest[language_es])</f>
        <v>Albanés</v>
      </c>
      <c r="L366" t="str">
        <f>_xlfn.XLOOKUP(frasest[[#This Row],[author_es]],autorest[author_es],autorest[language_la])</f>
        <v>Lingua Albanica</v>
      </c>
      <c r="M366" t="str">
        <f>_xlfn.XLOOKUP(frasest[[#This Row],[author_es]],autorest[author_es],autorest[nation_es])</f>
        <v>Albania</v>
      </c>
      <c r="N366" t="str">
        <f>_xlfn.XLOOKUP(frasest[[#This Row],[author_es]],autorest[author_es],autorest[nation_la])</f>
        <v>Albania</v>
      </c>
      <c r="O366" t="str">
        <f>_xlfn.XLOOKUP(frasest[[#This Row],[author_es]],autorest[author_es],autorest[age_es])</f>
        <v>Edad Contemporánea</v>
      </c>
      <c r="P366" t="str">
        <f>_xlfn.XLOOKUP(frasest[[#This Row],[author_es]],autorest[author_es],autorest[age_la])</f>
        <v>Aetas Contemporanea</v>
      </c>
      <c r="Q366" t="str">
        <f>_xlfn.XLOOKUP(frasest[[#This Row],[author_es]],autorest[author_es],autorest[image])</f>
        <v>https://i.ibb.co/MkxqpJ6j/calcuta.png</v>
      </c>
      <c r="R366">
        <f>_xlfn.XLOOKUP(frasest[[#This Row],[author_es]],autorest[author_es],autorest[image_atr])</f>
        <v>0</v>
      </c>
    </row>
    <row r="367" spans="1:18">
      <c r="A367">
        <v>366</v>
      </c>
      <c r="B367" t="s">
        <v>1247</v>
      </c>
      <c r="C367" t="s">
        <v>1248</v>
      </c>
      <c r="D367" t="s">
        <v>1249</v>
      </c>
      <c r="E367" t="s">
        <v>1250</v>
      </c>
      <c r="F367" t="s">
        <v>1251</v>
      </c>
      <c r="G367" t="str">
        <f>_xlfn.XLOOKUP(frasest[[#This Row],[author_es]],autorest[author_es],autorest[author_la])</f>
        <v>Sanctus Franciscus Assisiensis</v>
      </c>
      <c r="H367" t="str">
        <f>_xlfn.XLOOKUP(frasest[[#This Row],[author_es]],autorest[author_es],autorest[bio_es])</f>
        <v>Fraile católico italiano, fundador de la Orden Franciscana. Conocido por su amor a la naturaleza, la pobreza y la paz.</v>
      </c>
      <c r="I367" t="str">
        <f>_xlfn.XLOOKUP(frasest[[#This Row],[author_es]],autorest[author_es],autorest[bio_la])</f>
        <v>Frater catholicus Italicus, Ordinis Franciscani fundator. Notus propter amorem naturae, paupertatis et pacis.</v>
      </c>
      <c r="J367" t="str">
        <f>_xlfn.XLOOKUP(frasest[[#This Row],[author_es]],autorest[author_es],autorest[iso3691])</f>
        <v>it</v>
      </c>
      <c r="K367" t="str">
        <f>_xlfn.XLOOKUP(frasest[[#This Row],[author_es]],autorest[author_es],autorest[language_es])</f>
        <v>Italiano</v>
      </c>
      <c r="L367" t="str">
        <f>_xlfn.XLOOKUP(frasest[[#This Row],[author_es]],autorest[author_es],autorest[language_la])</f>
        <v>Lingua Italica</v>
      </c>
      <c r="M367" t="str">
        <f>_xlfn.XLOOKUP(frasest[[#This Row],[author_es]],autorest[author_es],autorest[nation_es])</f>
        <v>Italia</v>
      </c>
      <c r="N367" t="str">
        <f>_xlfn.XLOOKUP(frasest[[#This Row],[author_es]],autorest[author_es],autorest[nation_la])</f>
        <v>Italia</v>
      </c>
      <c r="O367" t="str">
        <f>_xlfn.XLOOKUP(frasest[[#This Row],[author_es]],autorest[author_es],autorest[age_es])</f>
        <v>Edad Media</v>
      </c>
      <c r="P367" t="str">
        <f>_xlfn.XLOOKUP(frasest[[#This Row],[author_es]],autorest[author_es],autorest[age_la])</f>
        <v>Medium Aevum</v>
      </c>
      <c r="Q367" t="str">
        <f>_xlfn.XLOOKUP(frasest[[#This Row],[author_es]],autorest[author_es],autorest[image])</f>
        <v>https://i.ibb.co/VWvD2P4t/asis.png</v>
      </c>
      <c r="R367">
        <f>_xlfn.XLOOKUP(frasest[[#This Row],[author_es]],autorest[author_es],autorest[image_atr])</f>
        <v>0</v>
      </c>
    </row>
    <row r="368" spans="1:18">
      <c r="A368">
        <v>367</v>
      </c>
      <c r="B368" t="s">
        <v>1252</v>
      </c>
      <c r="C368" t="s">
        <v>1253</v>
      </c>
      <c r="D368" t="s">
        <v>1254</v>
      </c>
      <c r="E368" t="s">
        <v>1255</v>
      </c>
      <c r="F368" t="s">
        <v>1256</v>
      </c>
      <c r="G368" t="str">
        <f>_xlfn.XLOOKUP(frasest[[#This Row],[author_es]],autorest[author_es],autorest[author_la])</f>
        <v>Leonardus Vincius</v>
      </c>
      <c r="H368" t="str">
        <f>_xlfn.XLOOKUP(frasest[[#This Row],[author_es]],autorest[author_es],autorest[bio_es])</f>
        <v>Artista, inventor y científico italiano del Renacimiento.</v>
      </c>
      <c r="I368" t="str">
        <f>_xlfn.XLOOKUP(frasest[[#This Row],[author_es]],autorest[author_es],autorest[bio_la])</f>
        <v>Artifex, inventor et physicus Italicus Renaissance.</v>
      </c>
      <c r="J368" t="str">
        <f>_xlfn.XLOOKUP(frasest[[#This Row],[author_es]],autorest[author_es],autorest[iso3691])</f>
        <v>la</v>
      </c>
      <c r="K368" t="str">
        <f>_xlfn.XLOOKUP(frasest[[#This Row],[author_es]],autorest[author_es],autorest[language_es])</f>
        <v>Latín</v>
      </c>
      <c r="L368" t="str">
        <f>_xlfn.XLOOKUP(frasest[[#This Row],[author_es]],autorest[author_es],autorest[language_la])</f>
        <v>Lingua Latina</v>
      </c>
      <c r="M368" t="str">
        <f>_xlfn.XLOOKUP(frasest[[#This Row],[author_es]],autorest[author_es],autorest[nation_es])</f>
        <v>Italia</v>
      </c>
      <c r="N368" t="str">
        <f>_xlfn.XLOOKUP(frasest[[#This Row],[author_es]],autorest[author_es],autorest[nation_la])</f>
        <v>Italia</v>
      </c>
      <c r="O368" t="str">
        <f>_xlfn.XLOOKUP(frasest[[#This Row],[author_es]],autorest[author_es],autorest[age_es])</f>
        <v>Edad Media</v>
      </c>
      <c r="P368" t="str">
        <f>_xlfn.XLOOKUP(frasest[[#This Row],[author_es]],autorest[author_es],autorest[age_la])</f>
        <v>Medium Aevum</v>
      </c>
      <c r="Q368" t="str">
        <f>_xlfn.XLOOKUP(frasest[[#This Row],[author_es]],autorest[author_es],autorest[image])</f>
        <v>https://i.ibb.co/prKj8Gtz/davinci.png</v>
      </c>
      <c r="R368">
        <f>_xlfn.XLOOKUP(frasest[[#This Row],[author_es]],autorest[author_es],autorest[image_atr])</f>
        <v>0</v>
      </c>
    </row>
    <row r="369" spans="1:18">
      <c r="A369">
        <v>368</v>
      </c>
      <c r="B369" t="s">
        <v>1257</v>
      </c>
      <c r="C369" t="s">
        <v>1258</v>
      </c>
      <c r="D369" t="s">
        <v>1259</v>
      </c>
      <c r="E369" t="s">
        <v>1255</v>
      </c>
      <c r="F369" t="s">
        <v>1260</v>
      </c>
      <c r="G369" t="str">
        <f>_xlfn.XLOOKUP(frasest[[#This Row],[author_es]],autorest[author_es],autorest[author_la])</f>
        <v>Leonardus Vincius</v>
      </c>
      <c r="H369" t="str">
        <f>_xlfn.XLOOKUP(frasest[[#This Row],[author_es]],autorest[author_es],autorest[bio_es])</f>
        <v>Artista, inventor y científico italiano del Renacimiento.</v>
      </c>
      <c r="I369" t="str">
        <f>_xlfn.XLOOKUP(frasest[[#This Row],[author_es]],autorest[author_es],autorest[bio_la])</f>
        <v>Artifex, inventor et physicus Italicus Renaissance.</v>
      </c>
      <c r="J369" t="str">
        <f>_xlfn.XLOOKUP(frasest[[#This Row],[author_es]],autorest[author_es],autorest[iso3691])</f>
        <v>la</v>
      </c>
      <c r="K369" t="str">
        <f>_xlfn.XLOOKUP(frasest[[#This Row],[author_es]],autorest[author_es],autorest[language_es])</f>
        <v>Latín</v>
      </c>
      <c r="L369" t="str">
        <f>_xlfn.XLOOKUP(frasest[[#This Row],[author_es]],autorest[author_es],autorest[language_la])</f>
        <v>Lingua Latina</v>
      </c>
      <c r="M369" t="str">
        <f>_xlfn.XLOOKUP(frasest[[#This Row],[author_es]],autorest[author_es],autorest[nation_es])</f>
        <v>Italia</v>
      </c>
      <c r="N369" t="str">
        <f>_xlfn.XLOOKUP(frasest[[#This Row],[author_es]],autorest[author_es],autorest[nation_la])</f>
        <v>Italia</v>
      </c>
      <c r="O369" t="str">
        <f>_xlfn.XLOOKUP(frasest[[#This Row],[author_es]],autorest[author_es],autorest[age_es])</f>
        <v>Edad Media</v>
      </c>
      <c r="P369" t="str">
        <f>_xlfn.XLOOKUP(frasest[[#This Row],[author_es]],autorest[author_es],autorest[age_la])</f>
        <v>Medium Aevum</v>
      </c>
      <c r="Q369" t="str">
        <f>_xlfn.XLOOKUP(frasest[[#This Row],[author_es]],autorest[author_es],autorest[image])</f>
        <v>https://i.ibb.co/prKj8Gtz/davinci.png</v>
      </c>
      <c r="R369">
        <f>_xlfn.XLOOKUP(frasest[[#This Row],[author_es]],autorest[author_es],autorest[image_atr])</f>
        <v>0</v>
      </c>
    </row>
    <row r="370" spans="1:18">
      <c r="A370">
        <v>369</v>
      </c>
      <c r="B370" t="s">
        <v>1261</v>
      </c>
      <c r="C370" t="s">
        <v>1262</v>
      </c>
      <c r="D370" t="s">
        <v>1263</v>
      </c>
      <c r="E370" t="s">
        <v>1255</v>
      </c>
      <c r="F370" t="s">
        <v>1264</v>
      </c>
      <c r="G370" t="str">
        <f>_xlfn.XLOOKUP(frasest[[#This Row],[author_es]],autorest[author_es],autorest[author_la])</f>
        <v>Leonardus Vincius</v>
      </c>
      <c r="H370" t="str">
        <f>_xlfn.XLOOKUP(frasest[[#This Row],[author_es]],autorest[author_es],autorest[bio_es])</f>
        <v>Artista, inventor y científico italiano del Renacimiento.</v>
      </c>
      <c r="I370" t="str">
        <f>_xlfn.XLOOKUP(frasest[[#This Row],[author_es]],autorest[author_es],autorest[bio_la])</f>
        <v>Artifex, inventor et physicus Italicus Renaissance.</v>
      </c>
      <c r="J370" t="str">
        <f>_xlfn.XLOOKUP(frasest[[#This Row],[author_es]],autorest[author_es],autorest[iso3691])</f>
        <v>la</v>
      </c>
      <c r="K370" t="str">
        <f>_xlfn.XLOOKUP(frasest[[#This Row],[author_es]],autorest[author_es],autorest[language_es])</f>
        <v>Latín</v>
      </c>
      <c r="L370" t="str">
        <f>_xlfn.XLOOKUP(frasest[[#This Row],[author_es]],autorest[author_es],autorest[language_la])</f>
        <v>Lingua Latina</v>
      </c>
      <c r="M370" t="str">
        <f>_xlfn.XLOOKUP(frasest[[#This Row],[author_es]],autorest[author_es],autorest[nation_es])</f>
        <v>Italia</v>
      </c>
      <c r="N370" t="str">
        <f>_xlfn.XLOOKUP(frasest[[#This Row],[author_es]],autorest[author_es],autorest[nation_la])</f>
        <v>Italia</v>
      </c>
      <c r="O370" t="str">
        <f>_xlfn.XLOOKUP(frasest[[#This Row],[author_es]],autorest[author_es],autorest[age_es])</f>
        <v>Edad Media</v>
      </c>
      <c r="P370" t="str">
        <f>_xlfn.XLOOKUP(frasest[[#This Row],[author_es]],autorest[author_es],autorest[age_la])</f>
        <v>Medium Aevum</v>
      </c>
      <c r="Q370" t="str">
        <f>_xlfn.XLOOKUP(frasest[[#This Row],[author_es]],autorest[author_es],autorest[image])</f>
        <v>https://i.ibb.co/prKj8Gtz/davinci.png</v>
      </c>
      <c r="R370">
        <f>_xlfn.XLOOKUP(frasest[[#This Row],[author_es]],autorest[author_es],autorest[image_atr])</f>
        <v>0</v>
      </c>
    </row>
    <row r="371" spans="1:18">
      <c r="A371">
        <v>370</v>
      </c>
      <c r="B371" t="s">
        <v>1265</v>
      </c>
      <c r="C371" t="s">
        <v>1266</v>
      </c>
      <c r="D371" t="s">
        <v>1267</v>
      </c>
      <c r="E371" t="s">
        <v>1255</v>
      </c>
      <c r="F371" t="s">
        <v>1268</v>
      </c>
      <c r="G371" t="str">
        <f>_xlfn.XLOOKUP(frasest[[#This Row],[author_es]],autorest[author_es],autorest[author_la])</f>
        <v>Leonardus Vincius</v>
      </c>
      <c r="H371" t="str">
        <f>_xlfn.XLOOKUP(frasest[[#This Row],[author_es]],autorest[author_es],autorest[bio_es])</f>
        <v>Artista, inventor y científico italiano del Renacimiento.</v>
      </c>
      <c r="I371" t="str">
        <f>_xlfn.XLOOKUP(frasest[[#This Row],[author_es]],autorest[author_es],autorest[bio_la])</f>
        <v>Artifex, inventor et physicus Italicus Renaissance.</v>
      </c>
      <c r="J371" t="str">
        <f>_xlfn.XLOOKUP(frasest[[#This Row],[author_es]],autorest[author_es],autorest[iso3691])</f>
        <v>la</v>
      </c>
      <c r="K371" t="str">
        <f>_xlfn.XLOOKUP(frasest[[#This Row],[author_es]],autorest[author_es],autorest[language_es])</f>
        <v>Latín</v>
      </c>
      <c r="L371" t="str">
        <f>_xlfn.XLOOKUP(frasest[[#This Row],[author_es]],autorest[author_es],autorest[language_la])</f>
        <v>Lingua Latina</v>
      </c>
      <c r="M371" t="str">
        <f>_xlfn.XLOOKUP(frasest[[#This Row],[author_es]],autorest[author_es],autorest[nation_es])</f>
        <v>Italia</v>
      </c>
      <c r="N371" t="str">
        <f>_xlfn.XLOOKUP(frasest[[#This Row],[author_es]],autorest[author_es],autorest[nation_la])</f>
        <v>Italia</v>
      </c>
      <c r="O371" t="str">
        <f>_xlfn.XLOOKUP(frasest[[#This Row],[author_es]],autorest[author_es],autorest[age_es])</f>
        <v>Edad Media</v>
      </c>
      <c r="P371" t="str">
        <f>_xlfn.XLOOKUP(frasest[[#This Row],[author_es]],autorest[author_es],autorest[age_la])</f>
        <v>Medium Aevum</v>
      </c>
      <c r="Q371" t="str">
        <f>_xlfn.XLOOKUP(frasest[[#This Row],[author_es]],autorest[author_es],autorest[image])</f>
        <v>https://i.ibb.co/prKj8Gtz/davinci.png</v>
      </c>
      <c r="R371">
        <f>_xlfn.XLOOKUP(frasest[[#This Row],[author_es]],autorest[author_es],autorest[image_atr])</f>
        <v>0</v>
      </c>
    </row>
    <row r="372" spans="1:18">
      <c r="A372">
        <v>371</v>
      </c>
      <c r="B372" t="s">
        <v>1269</v>
      </c>
      <c r="C372" t="s">
        <v>1270</v>
      </c>
      <c r="D372" t="s">
        <v>1271</v>
      </c>
      <c r="E372" t="s">
        <v>1255</v>
      </c>
      <c r="F372" t="s">
        <v>1272</v>
      </c>
      <c r="G372" t="str">
        <f>_xlfn.XLOOKUP(frasest[[#This Row],[author_es]],autorest[author_es],autorest[author_la])</f>
        <v>Leonardus Vincius</v>
      </c>
      <c r="H372" t="str">
        <f>_xlfn.XLOOKUP(frasest[[#This Row],[author_es]],autorest[author_es],autorest[bio_es])</f>
        <v>Artista, inventor y científico italiano del Renacimiento.</v>
      </c>
      <c r="I372" t="str">
        <f>_xlfn.XLOOKUP(frasest[[#This Row],[author_es]],autorest[author_es],autorest[bio_la])</f>
        <v>Artifex, inventor et physicus Italicus Renaissance.</v>
      </c>
      <c r="J372" t="str">
        <f>_xlfn.XLOOKUP(frasest[[#This Row],[author_es]],autorest[author_es],autorest[iso3691])</f>
        <v>la</v>
      </c>
      <c r="K372" t="str">
        <f>_xlfn.XLOOKUP(frasest[[#This Row],[author_es]],autorest[author_es],autorest[language_es])</f>
        <v>Latín</v>
      </c>
      <c r="L372" t="str">
        <f>_xlfn.XLOOKUP(frasest[[#This Row],[author_es]],autorest[author_es],autorest[language_la])</f>
        <v>Lingua Latina</v>
      </c>
      <c r="M372" t="str">
        <f>_xlfn.XLOOKUP(frasest[[#This Row],[author_es]],autorest[author_es],autorest[nation_es])</f>
        <v>Italia</v>
      </c>
      <c r="N372" t="str">
        <f>_xlfn.XLOOKUP(frasest[[#This Row],[author_es]],autorest[author_es],autorest[nation_la])</f>
        <v>Italia</v>
      </c>
      <c r="O372" t="str">
        <f>_xlfn.XLOOKUP(frasest[[#This Row],[author_es]],autorest[author_es],autorest[age_es])</f>
        <v>Edad Media</v>
      </c>
      <c r="P372" t="str">
        <f>_xlfn.XLOOKUP(frasest[[#This Row],[author_es]],autorest[author_es],autorest[age_la])</f>
        <v>Medium Aevum</v>
      </c>
      <c r="Q372" t="str">
        <f>_xlfn.XLOOKUP(frasest[[#This Row],[author_es]],autorest[author_es],autorest[image])</f>
        <v>https://i.ibb.co/prKj8Gtz/davinci.png</v>
      </c>
      <c r="R372">
        <f>_xlfn.XLOOKUP(frasest[[#This Row],[author_es]],autorest[author_es],autorest[image_atr])</f>
        <v>0</v>
      </c>
    </row>
    <row r="373" spans="1:18">
      <c r="A373">
        <v>372</v>
      </c>
      <c r="B373" t="s">
        <v>1273</v>
      </c>
      <c r="C373" t="s">
        <v>1274</v>
      </c>
      <c r="D373" s="1" t="s">
        <v>148</v>
      </c>
      <c r="E373" t="s">
        <v>36</v>
      </c>
      <c r="G373" t="str">
        <f>_xlfn.XLOOKUP(frasest[[#This Row],[author_es]],autorest[author_es],autorest[author_la])</f>
        <v>Proverbium Sinense</v>
      </c>
      <c r="H373" t="str">
        <f>_xlfn.XLOOKUP(frasest[[#This Row],[author_es]],autorest[author_es],autorest[bio_es])</f>
        <v>Conjunto de proverbios tradicionales de la cultura china que transmiten sabiduría popular, valores morales y enseñanzas prácticas transmitidas oralmente durante siglos.</v>
      </c>
      <c r="I373" t="str">
        <f>_xlfn.XLOOKUP(frasest[[#This Row],[author_es]],autorest[author_es],autorest[bio_la])</f>
        <v>Collectio sententiarum Sinensium, magnopere in cultura tradita.</v>
      </c>
      <c r="J373" t="str">
        <f>_xlfn.XLOOKUP(frasest[[#This Row],[author_es]],autorest[author_es],autorest[iso3691])</f>
        <v>zh</v>
      </c>
      <c r="K373" t="str">
        <f>_xlfn.XLOOKUP(frasest[[#This Row],[author_es]],autorest[author_es],autorest[language_es])</f>
        <v>Chino</v>
      </c>
      <c r="L373" t="str">
        <f>_xlfn.XLOOKUP(frasest[[#This Row],[author_es]],autorest[author_es],autorest[language_la])</f>
        <v>Lingua Sinica</v>
      </c>
      <c r="M373" t="str">
        <f>_xlfn.XLOOKUP(frasest[[#This Row],[author_es]],autorest[author_es],autorest[nation_es])</f>
        <v>China</v>
      </c>
      <c r="N373" t="str">
        <f>_xlfn.XLOOKUP(frasest[[#This Row],[author_es]],autorest[author_es],autorest[nation_la])</f>
        <v>Sinae</v>
      </c>
      <c r="O373" t="str">
        <f>_xlfn.XLOOKUP(frasest[[#This Row],[author_es]],autorest[author_es],autorest[age_es])</f>
        <v>Epoca Desconocida</v>
      </c>
      <c r="P373" t="str">
        <f>_xlfn.XLOOKUP(frasest[[#This Row],[author_es]],autorest[author_es],autorest[age_la])</f>
        <v>Epocha Ignota</v>
      </c>
      <c r="Q373" t="str">
        <f>_xlfn.XLOOKUP(frasest[[#This Row],[author_es]],autorest[author_es],autorest[image])</f>
        <v>https://i.ibb.co/qLfpZm6h/china.png</v>
      </c>
      <c r="R373">
        <f>_xlfn.XLOOKUP(frasest[[#This Row],[author_es]],autorest[author_es],autorest[image_atr])</f>
        <v>0</v>
      </c>
    </row>
    <row r="374" spans="1:18">
      <c r="A374">
        <v>373</v>
      </c>
      <c r="B374" t="s">
        <v>1275</v>
      </c>
      <c r="C374" t="s">
        <v>1276</v>
      </c>
      <c r="D374" s="1" t="s">
        <v>1277</v>
      </c>
      <c r="E374" t="s">
        <v>36</v>
      </c>
      <c r="G374" t="str">
        <f>_xlfn.XLOOKUP(frasest[[#This Row],[author_es]],autorest[author_es],autorest[author_la])</f>
        <v>Proverbium Sinense</v>
      </c>
      <c r="H374" t="str">
        <f>_xlfn.XLOOKUP(frasest[[#This Row],[author_es]],autorest[author_es],autorest[bio_es])</f>
        <v>Conjunto de proverbios tradicionales de la cultura china que transmiten sabiduría popular, valores morales y enseñanzas prácticas transmitidas oralmente durante siglos.</v>
      </c>
      <c r="I374" t="str">
        <f>_xlfn.XLOOKUP(frasest[[#This Row],[author_es]],autorest[author_es],autorest[bio_la])</f>
        <v>Collectio sententiarum Sinensium, magnopere in cultura tradita.</v>
      </c>
      <c r="J374" t="str">
        <f>_xlfn.XLOOKUP(frasest[[#This Row],[author_es]],autorest[author_es],autorest[iso3691])</f>
        <v>zh</v>
      </c>
      <c r="K374" t="str">
        <f>_xlfn.XLOOKUP(frasest[[#This Row],[author_es]],autorest[author_es],autorest[language_es])</f>
        <v>Chino</v>
      </c>
      <c r="L374" t="str">
        <f>_xlfn.XLOOKUP(frasest[[#This Row],[author_es]],autorest[author_es],autorest[language_la])</f>
        <v>Lingua Sinica</v>
      </c>
      <c r="M374" t="str">
        <f>_xlfn.XLOOKUP(frasest[[#This Row],[author_es]],autorest[author_es],autorest[nation_es])</f>
        <v>China</v>
      </c>
      <c r="N374" t="str">
        <f>_xlfn.XLOOKUP(frasest[[#This Row],[author_es]],autorest[author_es],autorest[nation_la])</f>
        <v>Sinae</v>
      </c>
      <c r="O374" t="str">
        <f>_xlfn.XLOOKUP(frasest[[#This Row],[author_es]],autorest[author_es],autorest[age_es])</f>
        <v>Epoca Desconocida</v>
      </c>
      <c r="P374" t="str">
        <f>_xlfn.XLOOKUP(frasest[[#This Row],[author_es]],autorest[author_es],autorest[age_la])</f>
        <v>Epocha Ignota</v>
      </c>
      <c r="Q374" t="str">
        <f>_xlfn.XLOOKUP(frasest[[#This Row],[author_es]],autorest[author_es],autorest[image])</f>
        <v>https://i.ibb.co/qLfpZm6h/china.png</v>
      </c>
      <c r="R374">
        <f>_xlfn.XLOOKUP(frasest[[#This Row],[author_es]],autorest[author_es],autorest[image_atr])</f>
        <v>0</v>
      </c>
    </row>
    <row r="375" spans="1:18">
      <c r="A375">
        <v>374</v>
      </c>
      <c r="B375" t="s">
        <v>1278</v>
      </c>
      <c r="C375" t="s">
        <v>1279</v>
      </c>
      <c r="D375" s="1" t="s">
        <v>1280</v>
      </c>
      <c r="E375" t="s">
        <v>36</v>
      </c>
      <c r="G375" t="str">
        <f>_xlfn.XLOOKUP(frasest[[#This Row],[author_es]],autorest[author_es],autorest[author_la])</f>
        <v>Proverbium Sinense</v>
      </c>
      <c r="H375" t="str">
        <f>_xlfn.XLOOKUP(frasest[[#This Row],[author_es]],autorest[author_es],autorest[bio_es])</f>
        <v>Conjunto de proverbios tradicionales de la cultura china que transmiten sabiduría popular, valores morales y enseñanzas prácticas transmitidas oralmente durante siglos.</v>
      </c>
      <c r="I375" t="str">
        <f>_xlfn.XLOOKUP(frasest[[#This Row],[author_es]],autorest[author_es],autorest[bio_la])</f>
        <v>Collectio sententiarum Sinensium, magnopere in cultura tradita.</v>
      </c>
      <c r="J375" t="str">
        <f>_xlfn.XLOOKUP(frasest[[#This Row],[author_es]],autorest[author_es],autorest[iso3691])</f>
        <v>zh</v>
      </c>
      <c r="K375" t="str">
        <f>_xlfn.XLOOKUP(frasest[[#This Row],[author_es]],autorest[author_es],autorest[language_es])</f>
        <v>Chino</v>
      </c>
      <c r="L375" t="str">
        <f>_xlfn.XLOOKUP(frasest[[#This Row],[author_es]],autorest[author_es],autorest[language_la])</f>
        <v>Lingua Sinica</v>
      </c>
      <c r="M375" t="str">
        <f>_xlfn.XLOOKUP(frasest[[#This Row],[author_es]],autorest[author_es],autorest[nation_es])</f>
        <v>China</v>
      </c>
      <c r="N375" t="str">
        <f>_xlfn.XLOOKUP(frasest[[#This Row],[author_es]],autorest[author_es],autorest[nation_la])</f>
        <v>Sinae</v>
      </c>
      <c r="O375" t="str">
        <f>_xlfn.XLOOKUP(frasest[[#This Row],[author_es]],autorest[author_es],autorest[age_es])</f>
        <v>Epoca Desconocida</v>
      </c>
      <c r="P375" t="str">
        <f>_xlfn.XLOOKUP(frasest[[#This Row],[author_es]],autorest[author_es],autorest[age_la])</f>
        <v>Epocha Ignota</v>
      </c>
      <c r="Q375" t="str">
        <f>_xlfn.XLOOKUP(frasest[[#This Row],[author_es]],autorest[author_es],autorest[image])</f>
        <v>https://i.ibb.co/qLfpZm6h/china.png</v>
      </c>
      <c r="R375">
        <f>_xlfn.XLOOKUP(frasest[[#This Row],[author_es]],autorest[author_es],autorest[image_atr])</f>
        <v>0</v>
      </c>
    </row>
    <row r="376" spans="1:18">
      <c r="A376">
        <v>375</v>
      </c>
      <c r="B376" t="s">
        <v>1281</v>
      </c>
      <c r="C376" t="s">
        <v>1282</v>
      </c>
      <c r="D376" s="1" t="s">
        <v>1283</v>
      </c>
      <c r="E376" t="s">
        <v>36</v>
      </c>
      <c r="G376" t="str">
        <f>_xlfn.XLOOKUP(frasest[[#This Row],[author_es]],autorest[author_es],autorest[author_la])</f>
        <v>Proverbium Sinense</v>
      </c>
      <c r="H376" t="str">
        <f>_xlfn.XLOOKUP(frasest[[#This Row],[author_es]],autorest[author_es],autorest[bio_es])</f>
        <v>Conjunto de proverbios tradicionales de la cultura china que transmiten sabiduría popular, valores morales y enseñanzas prácticas transmitidas oralmente durante siglos.</v>
      </c>
      <c r="I376" t="str">
        <f>_xlfn.XLOOKUP(frasest[[#This Row],[author_es]],autorest[author_es],autorest[bio_la])</f>
        <v>Collectio sententiarum Sinensium, magnopere in cultura tradita.</v>
      </c>
      <c r="J376" t="str">
        <f>_xlfn.XLOOKUP(frasest[[#This Row],[author_es]],autorest[author_es],autorest[iso3691])</f>
        <v>zh</v>
      </c>
      <c r="K376" t="str">
        <f>_xlfn.XLOOKUP(frasest[[#This Row],[author_es]],autorest[author_es],autorest[language_es])</f>
        <v>Chino</v>
      </c>
      <c r="L376" t="str">
        <f>_xlfn.XLOOKUP(frasest[[#This Row],[author_es]],autorest[author_es],autorest[language_la])</f>
        <v>Lingua Sinica</v>
      </c>
      <c r="M376" t="str">
        <f>_xlfn.XLOOKUP(frasest[[#This Row],[author_es]],autorest[author_es],autorest[nation_es])</f>
        <v>China</v>
      </c>
      <c r="N376" t="str">
        <f>_xlfn.XLOOKUP(frasest[[#This Row],[author_es]],autorest[author_es],autorest[nation_la])</f>
        <v>Sinae</v>
      </c>
      <c r="O376" t="str">
        <f>_xlfn.XLOOKUP(frasest[[#This Row],[author_es]],autorest[author_es],autorest[age_es])</f>
        <v>Epoca Desconocida</v>
      </c>
      <c r="P376" t="str">
        <f>_xlfn.XLOOKUP(frasest[[#This Row],[author_es]],autorest[author_es],autorest[age_la])</f>
        <v>Epocha Ignota</v>
      </c>
      <c r="Q376" t="str">
        <f>_xlfn.XLOOKUP(frasest[[#This Row],[author_es]],autorest[author_es],autorest[image])</f>
        <v>https://i.ibb.co/qLfpZm6h/china.png</v>
      </c>
      <c r="R376">
        <f>_xlfn.XLOOKUP(frasest[[#This Row],[author_es]],autorest[author_es],autorest[image_atr])</f>
        <v>0</v>
      </c>
    </row>
    <row r="377" spans="1:18">
      <c r="A377">
        <v>376</v>
      </c>
      <c r="B377" t="s">
        <v>1284</v>
      </c>
      <c r="C377" t="s">
        <v>1285</v>
      </c>
      <c r="D377" s="1" t="s">
        <v>1286</v>
      </c>
      <c r="E377" t="s">
        <v>36</v>
      </c>
      <c r="G377" t="str">
        <f>_xlfn.XLOOKUP(frasest[[#This Row],[author_es]],autorest[author_es],autorest[author_la])</f>
        <v>Proverbium Sinense</v>
      </c>
      <c r="H377" t="str">
        <f>_xlfn.XLOOKUP(frasest[[#This Row],[author_es]],autorest[author_es],autorest[bio_es])</f>
        <v>Conjunto de proverbios tradicionales de la cultura china que transmiten sabiduría popular, valores morales y enseñanzas prácticas transmitidas oralmente durante siglos.</v>
      </c>
      <c r="I377" t="str">
        <f>_xlfn.XLOOKUP(frasest[[#This Row],[author_es]],autorest[author_es],autorest[bio_la])</f>
        <v>Collectio sententiarum Sinensium, magnopere in cultura tradita.</v>
      </c>
      <c r="J377" t="str">
        <f>_xlfn.XLOOKUP(frasest[[#This Row],[author_es]],autorest[author_es],autorest[iso3691])</f>
        <v>zh</v>
      </c>
      <c r="K377" t="str">
        <f>_xlfn.XLOOKUP(frasest[[#This Row],[author_es]],autorest[author_es],autorest[language_es])</f>
        <v>Chino</v>
      </c>
      <c r="L377" t="str">
        <f>_xlfn.XLOOKUP(frasest[[#This Row],[author_es]],autorest[author_es],autorest[language_la])</f>
        <v>Lingua Sinica</v>
      </c>
      <c r="M377" t="str">
        <f>_xlfn.XLOOKUP(frasest[[#This Row],[author_es]],autorest[author_es],autorest[nation_es])</f>
        <v>China</v>
      </c>
      <c r="N377" t="str">
        <f>_xlfn.XLOOKUP(frasest[[#This Row],[author_es]],autorest[author_es],autorest[nation_la])</f>
        <v>Sinae</v>
      </c>
      <c r="O377" t="str">
        <f>_xlfn.XLOOKUP(frasest[[#This Row],[author_es]],autorest[author_es],autorest[age_es])</f>
        <v>Epoca Desconocida</v>
      </c>
      <c r="P377" t="str">
        <f>_xlfn.XLOOKUP(frasest[[#This Row],[author_es]],autorest[author_es],autorest[age_la])</f>
        <v>Epocha Ignota</v>
      </c>
      <c r="Q377" t="str">
        <f>_xlfn.XLOOKUP(frasest[[#This Row],[author_es]],autorest[author_es],autorest[image])</f>
        <v>https://i.ibb.co/qLfpZm6h/china.png</v>
      </c>
      <c r="R377">
        <f>_xlfn.XLOOKUP(frasest[[#This Row],[author_es]],autorest[author_es],autorest[image_atr])</f>
        <v>0</v>
      </c>
    </row>
    <row r="378" spans="1:18">
      <c r="A378">
        <v>377</v>
      </c>
      <c r="B378" t="s">
        <v>1287</v>
      </c>
      <c r="C378" t="s">
        <v>1288</v>
      </c>
      <c r="D378" s="1" t="s">
        <v>1289</v>
      </c>
      <c r="E378" t="s">
        <v>36</v>
      </c>
      <c r="G378" t="str">
        <f>_xlfn.XLOOKUP(frasest[[#This Row],[author_es]],autorest[author_es],autorest[author_la])</f>
        <v>Proverbium Sinense</v>
      </c>
      <c r="H378" t="str">
        <f>_xlfn.XLOOKUP(frasest[[#This Row],[author_es]],autorest[author_es],autorest[bio_es])</f>
        <v>Conjunto de proverbios tradicionales de la cultura china que transmiten sabiduría popular, valores morales y enseñanzas prácticas transmitidas oralmente durante siglos.</v>
      </c>
      <c r="I378" t="str">
        <f>_xlfn.XLOOKUP(frasest[[#This Row],[author_es]],autorest[author_es],autorest[bio_la])</f>
        <v>Collectio sententiarum Sinensium, magnopere in cultura tradita.</v>
      </c>
      <c r="J378" t="str">
        <f>_xlfn.XLOOKUP(frasest[[#This Row],[author_es]],autorest[author_es],autorest[iso3691])</f>
        <v>zh</v>
      </c>
      <c r="K378" t="str">
        <f>_xlfn.XLOOKUP(frasest[[#This Row],[author_es]],autorest[author_es],autorest[language_es])</f>
        <v>Chino</v>
      </c>
      <c r="L378" t="str">
        <f>_xlfn.XLOOKUP(frasest[[#This Row],[author_es]],autorest[author_es],autorest[language_la])</f>
        <v>Lingua Sinica</v>
      </c>
      <c r="M378" t="str">
        <f>_xlfn.XLOOKUP(frasest[[#This Row],[author_es]],autorest[author_es],autorest[nation_es])</f>
        <v>China</v>
      </c>
      <c r="N378" t="str">
        <f>_xlfn.XLOOKUP(frasest[[#This Row],[author_es]],autorest[author_es],autorest[nation_la])</f>
        <v>Sinae</v>
      </c>
      <c r="O378" t="str">
        <f>_xlfn.XLOOKUP(frasest[[#This Row],[author_es]],autorest[author_es],autorest[age_es])</f>
        <v>Epoca Desconocida</v>
      </c>
      <c r="P378" t="str">
        <f>_xlfn.XLOOKUP(frasest[[#This Row],[author_es]],autorest[author_es],autorest[age_la])</f>
        <v>Epocha Ignota</v>
      </c>
      <c r="Q378" t="str">
        <f>_xlfn.XLOOKUP(frasest[[#This Row],[author_es]],autorest[author_es],autorest[image])</f>
        <v>https://i.ibb.co/qLfpZm6h/china.png</v>
      </c>
      <c r="R378">
        <f>_xlfn.XLOOKUP(frasest[[#This Row],[author_es]],autorest[author_es],autorest[image_atr])</f>
        <v>0</v>
      </c>
    </row>
    <row r="379" spans="1:18">
      <c r="A379">
        <v>378</v>
      </c>
      <c r="B379" t="s">
        <v>1290</v>
      </c>
      <c r="C379" t="s">
        <v>1291</v>
      </c>
      <c r="D379" s="1" t="s">
        <v>1292</v>
      </c>
      <c r="E379" t="s">
        <v>36</v>
      </c>
      <c r="G379" t="str">
        <f>_xlfn.XLOOKUP(frasest[[#This Row],[author_es]],autorest[author_es],autorest[author_la])</f>
        <v>Proverbium Sinense</v>
      </c>
      <c r="H379" t="str">
        <f>_xlfn.XLOOKUP(frasest[[#This Row],[author_es]],autorest[author_es],autorest[bio_es])</f>
        <v>Conjunto de proverbios tradicionales de la cultura china que transmiten sabiduría popular, valores morales y enseñanzas prácticas transmitidas oralmente durante siglos.</v>
      </c>
      <c r="I379" t="str">
        <f>_xlfn.XLOOKUP(frasest[[#This Row],[author_es]],autorest[author_es],autorest[bio_la])</f>
        <v>Collectio sententiarum Sinensium, magnopere in cultura tradita.</v>
      </c>
      <c r="J379" t="str">
        <f>_xlfn.XLOOKUP(frasest[[#This Row],[author_es]],autorest[author_es],autorest[iso3691])</f>
        <v>zh</v>
      </c>
      <c r="K379" t="str">
        <f>_xlfn.XLOOKUP(frasest[[#This Row],[author_es]],autorest[author_es],autorest[language_es])</f>
        <v>Chino</v>
      </c>
      <c r="L379" t="str">
        <f>_xlfn.XLOOKUP(frasest[[#This Row],[author_es]],autorest[author_es],autorest[language_la])</f>
        <v>Lingua Sinica</v>
      </c>
      <c r="M379" t="str">
        <f>_xlfn.XLOOKUP(frasest[[#This Row],[author_es]],autorest[author_es],autorest[nation_es])</f>
        <v>China</v>
      </c>
      <c r="N379" t="str">
        <f>_xlfn.XLOOKUP(frasest[[#This Row],[author_es]],autorest[author_es],autorest[nation_la])</f>
        <v>Sinae</v>
      </c>
      <c r="O379" t="str">
        <f>_xlfn.XLOOKUP(frasest[[#This Row],[author_es]],autorest[author_es],autorest[age_es])</f>
        <v>Epoca Desconocida</v>
      </c>
      <c r="P379" t="str">
        <f>_xlfn.XLOOKUP(frasest[[#This Row],[author_es]],autorest[author_es],autorest[age_la])</f>
        <v>Epocha Ignota</v>
      </c>
      <c r="Q379" t="str">
        <f>_xlfn.XLOOKUP(frasest[[#This Row],[author_es]],autorest[author_es],autorest[image])</f>
        <v>https://i.ibb.co/qLfpZm6h/china.png</v>
      </c>
      <c r="R379">
        <f>_xlfn.XLOOKUP(frasest[[#This Row],[author_es]],autorest[author_es],autorest[image_atr])</f>
        <v>0</v>
      </c>
    </row>
    <row r="380" spans="1:18">
      <c r="A380">
        <v>379</v>
      </c>
      <c r="B380" t="s">
        <v>1293</v>
      </c>
      <c r="C380" t="s">
        <v>1294</v>
      </c>
      <c r="D380" s="1" t="s">
        <v>1295</v>
      </c>
      <c r="E380" t="s">
        <v>36</v>
      </c>
      <c r="G380" t="str">
        <f>_xlfn.XLOOKUP(frasest[[#This Row],[author_es]],autorest[author_es],autorest[author_la])</f>
        <v>Proverbium Sinense</v>
      </c>
      <c r="H380" t="str">
        <f>_xlfn.XLOOKUP(frasest[[#This Row],[author_es]],autorest[author_es],autorest[bio_es])</f>
        <v>Conjunto de proverbios tradicionales de la cultura china que transmiten sabiduría popular, valores morales y enseñanzas prácticas transmitidas oralmente durante siglos.</v>
      </c>
      <c r="I380" t="str">
        <f>_xlfn.XLOOKUP(frasest[[#This Row],[author_es]],autorest[author_es],autorest[bio_la])</f>
        <v>Collectio sententiarum Sinensium, magnopere in cultura tradita.</v>
      </c>
      <c r="J380" t="str">
        <f>_xlfn.XLOOKUP(frasest[[#This Row],[author_es]],autorest[author_es],autorest[iso3691])</f>
        <v>zh</v>
      </c>
      <c r="K380" t="str">
        <f>_xlfn.XLOOKUP(frasest[[#This Row],[author_es]],autorest[author_es],autorest[language_es])</f>
        <v>Chino</v>
      </c>
      <c r="L380" t="str">
        <f>_xlfn.XLOOKUP(frasest[[#This Row],[author_es]],autorest[author_es],autorest[language_la])</f>
        <v>Lingua Sinica</v>
      </c>
      <c r="M380" t="str">
        <f>_xlfn.XLOOKUP(frasest[[#This Row],[author_es]],autorest[author_es],autorest[nation_es])</f>
        <v>China</v>
      </c>
      <c r="N380" t="str">
        <f>_xlfn.XLOOKUP(frasest[[#This Row],[author_es]],autorest[author_es],autorest[nation_la])</f>
        <v>Sinae</v>
      </c>
      <c r="O380" t="str">
        <f>_xlfn.XLOOKUP(frasest[[#This Row],[author_es]],autorest[author_es],autorest[age_es])</f>
        <v>Epoca Desconocida</v>
      </c>
      <c r="P380" t="str">
        <f>_xlfn.XLOOKUP(frasest[[#This Row],[author_es]],autorest[author_es],autorest[age_la])</f>
        <v>Epocha Ignota</v>
      </c>
      <c r="Q380" t="str">
        <f>_xlfn.XLOOKUP(frasest[[#This Row],[author_es]],autorest[author_es],autorest[image])</f>
        <v>https://i.ibb.co/qLfpZm6h/china.png</v>
      </c>
      <c r="R380">
        <f>_xlfn.XLOOKUP(frasest[[#This Row],[author_es]],autorest[author_es],autorest[image_atr])</f>
        <v>0</v>
      </c>
    </row>
    <row r="381" spans="1:18">
      <c r="A381">
        <v>380</v>
      </c>
      <c r="B381" t="s">
        <v>1296</v>
      </c>
      <c r="C381" t="s">
        <v>1297</v>
      </c>
      <c r="D381" t="s">
        <v>1298</v>
      </c>
      <c r="E381" t="s">
        <v>1299</v>
      </c>
      <c r="F381" t="s">
        <v>1300</v>
      </c>
      <c r="G381" t="str">
        <f>_xlfn.XLOOKUP(frasest[[#This Row],[author_es]],autorest[author_es],autorest[author_la])</f>
        <v>Sanctus Ioannes a Cruce</v>
      </c>
      <c r="H381"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Row],[author_es]],autorest[author_es],autorest[iso3691])</f>
        <v>es</v>
      </c>
      <c r="K381" t="str">
        <f>_xlfn.XLOOKUP(frasest[[#This Row],[author_es]],autorest[author_es],autorest[language_es])</f>
        <v>Español</v>
      </c>
      <c r="L381" t="str">
        <f>_xlfn.XLOOKUP(frasest[[#This Row],[author_es]],autorest[author_es],autorest[language_la])</f>
        <v>Lingua Hispanica</v>
      </c>
      <c r="M381" t="str">
        <f>_xlfn.XLOOKUP(frasest[[#This Row],[author_es]],autorest[author_es],autorest[nation_es])</f>
        <v>España</v>
      </c>
      <c r="N381" t="str">
        <f>_xlfn.XLOOKUP(frasest[[#This Row],[author_es]],autorest[author_es],autorest[nation_la])</f>
        <v>Hispania</v>
      </c>
      <c r="O381" t="str">
        <f>_xlfn.XLOOKUP(frasest[[#This Row],[author_es]],autorest[author_es],autorest[age_es])</f>
        <v>Edad Moderna</v>
      </c>
      <c r="P381" t="str">
        <f>_xlfn.XLOOKUP(frasest[[#This Row],[author_es]],autorest[author_es],autorest[age_la])</f>
        <v>Nova Aetas</v>
      </c>
      <c r="Q381" t="str">
        <f>_xlfn.XLOOKUP(frasest[[#This Row],[author_es]],autorest[author_es],autorest[image])</f>
        <v>https://i.ibb.co/ynPqYx5K/sanjuandelacruz.png</v>
      </c>
      <c r="R381">
        <f>_xlfn.XLOOKUP(frasest[[#This Row],[author_es]],autorest[author_es],autorest[image_atr])</f>
        <v>0</v>
      </c>
    </row>
    <row r="382" spans="1:18">
      <c r="A382">
        <v>381</v>
      </c>
      <c r="B382" t="s">
        <v>1301</v>
      </c>
      <c r="C382" t="s">
        <v>1302</v>
      </c>
      <c r="D382" t="s">
        <v>1303</v>
      </c>
      <c r="E382" t="s">
        <v>1299</v>
      </c>
      <c r="F382" t="s">
        <v>1304</v>
      </c>
      <c r="G382" t="str">
        <f>_xlfn.XLOOKUP(frasest[[#This Row],[author_es]],autorest[author_es],autorest[author_la])</f>
        <v>Sanctus Ioannes a Cruce</v>
      </c>
      <c r="H382"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Row],[author_es]],autorest[author_es],autorest[iso3691])</f>
        <v>es</v>
      </c>
      <c r="K382" t="str">
        <f>_xlfn.XLOOKUP(frasest[[#This Row],[author_es]],autorest[author_es],autorest[language_es])</f>
        <v>Español</v>
      </c>
      <c r="L382" t="str">
        <f>_xlfn.XLOOKUP(frasest[[#This Row],[author_es]],autorest[author_es],autorest[language_la])</f>
        <v>Lingua Hispanica</v>
      </c>
      <c r="M382" t="str">
        <f>_xlfn.XLOOKUP(frasest[[#This Row],[author_es]],autorest[author_es],autorest[nation_es])</f>
        <v>España</v>
      </c>
      <c r="N382" t="str">
        <f>_xlfn.XLOOKUP(frasest[[#This Row],[author_es]],autorest[author_es],autorest[nation_la])</f>
        <v>Hispania</v>
      </c>
      <c r="O382" t="str">
        <f>_xlfn.XLOOKUP(frasest[[#This Row],[author_es]],autorest[author_es],autorest[age_es])</f>
        <v>Edad Moderna</v>
      </c>
      <c r="P382" t="str">
        <f>_xlfn.XLOOKUP(frasest[[#This Row],[author_es]],autorest[author_es],autorest[age_la])</f>
        <v>Nova Aetas</v>
      </c>
      <c r="Q382" t="str">
        <f>_xlfn.XLOOKUP(frasest[[#This Row],[author_es]],autorest[author_es],autorest[image])</f>
        <v>https://i.ibb.co/ynPqYx5K/sanjuandelacruz.png</v>
      </c>
      <c r="R382">
        <f>_xlfn.XLOOKUP(frasest[[#This Row],[author_es]],autorest[author_es],autorest[image_atr])</f>
        <v>0</v>
      </c>
    </row>
    <row r="383" spans="1:18">
      <c r="A383">
        <v>382</v>
      </c>
      <c r="B383" t="s">
        <v>1305</v>
      </c>
      <c r="C383" t="s">
        <v>1306</v>
      </c>
      <c r="D383" t="s">
        <v>1307</v>
      </c>
      <c r="E383" t="s">
        <v>1299</v>
      </c>
      <c r="F383" t="s">
        <v>1308</v>
      </c>
      <c r="G383" t="str">
        <f>_xlfn.XLOOKUP(frasest[[#This Row],[author_es]],autorest[author_es],autorest[author_la])</f>
        <v>Sanctus Ioannes a Cruce</v>
      </c>
      <c r="H383"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Row],[author_es]],autorest[author_es],autorest[iso3691])</f>
        <v>es</v>
      </c>
      <c r="K383" t="str">
        <f>_xlfn.XLOOKUP(frasest[[#This Row],[author_es]],autorest[author_es],autorest[language_es])</f>
        <v>Español</v>
      </c>
      <c r="L383" t="str">
        <f>_xlfn.XLOOKUP(frasest[[#This Row],[author_es]],autorest[author_es],autorest[language_la])</f>
        <v>Lingua Hispanica</v>
      </c>
      <c r="M383" t="str">
        <f>_xlfn.XLOOKUP(frasest[[#This Row],[author_es]],autorest[author_es],autorest[nation_es])</f>
        <v>España</v>
      </c>
      <c r="N383" t="str">
        <f>_xlfn.XLOOKUP(frasest[[#This Row],[author_es]],autorest[author_es],autorest[nation_la])</f>
        <v>Hispania</v>
      </c>
      <c r="O383" t="str">
        <f>_xlfn.XLOOKUP(frasest[[#This Row],[author_es]],autorest[author_es],autorest[age_es])</f>
        <v>Edad Moderna</v>
      </c>
      <c r="P383" t="str">
        <f>_xlfn.XLOOKUP(frasest[[#This Row],[author_es]],autorest[author_es],autorest[age_la])</f>
        <v>Nova Aetas</v>
      </c>
      <c r="Q383" t="str">
        <f>_xlfn.XLOOKUP(frasest[[#This Row],[author_es]],autorest[author_es],autorest[image])</f>
        <v>https://i.ibb.co/ynPqYx5K/sanjuandelacruz.png</v>
      </c>
      <c r="R383">
        <f>_xlfn.XLOOKUP(frasest[[#This Row],[author_es]],autorest[author_es],autorest[image_atr])</f>
        <v>0</v>
      </c>
    </row>
    <row r="384" spans="1:18">
      <c r="A384">
        <v>383</v>
      </c>
      <c r="B384" t="s">
        <v>1309</v>
      </c>
      <c r="C384" t="s">
        <v>1310</v>
      </c>
      <c r="D384" t="s">
        <v>1309</v>
      </c>
      <c r="E384" t="s">
        <v>1299</v>
      </c>
      <c r="F384" t="s">
        <v>1311</v>
      </c>
      <c r="G384" t="str">
        <f>_xlfn.XLOOKUP(frasest[[#This Row],[author_es]],autorest[author_es],autorest[author_la])</f>
        <v>Sanctus Ioannes a Cruce</v>
      </c>
      <c r="H384"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Row],[author_es]],autorest[author_es],autorest[iso3691])</f>
        <v>es</v>
      </c>
      <c r="K384" t="str">
        <f>_xlfn.XLOOKUP(frasest[[#This Row],[author_es]],autorest[author_es],autorest[language_es])</f>
        <v>Español</v>
      </c>
      <c r="L384" t="str">
        <f>_xlfn.XLOOKUP(frasest[[#This Row],[author_es]],autorest[author_es],autorest[language_la])</f>
        <v>Lingua Hispanica</v>
      </c>
      <c r="M384" t="str">
        <f>_xlfn.XLOOKUP(frasest[[#This Row],[author_es]],autorest[author_es],autorest[nation_es])</f>
        <v>España</v>
      </c>
      <c r="N384" t="str">
        <f>_xlfn.XLOOKUP(frasest[[#This Row],[author_es]],autorest[author_es],autorest[nation_la])</f>
        <v>Hispania</v>
      </c>
      <c r="O384" t="str">
        <f>_xlfn.XLOOKUP(frasest[[#This Row],[author_es]],autorest[author_es],autorest[age_es])</f>
        <v>Edad Moderna</v>
      </c>
      <c r="P384" t="str">
        <f>_xlfn.XLOOKUP(frasest[[#This Row],[author_es]],autorest[author_es],autorest[age_la])</f>
        <v>Nova Aetas</v>
      </c>
      <c r="Q384" t="str">
        <f>_xlfn.XLOOKUP(frasest[[#This Row],[author_es]],autorest[author_es],autorest[image])</f>
        <v>https://i.ibb.co/ynPqYx5K/sanjuandelacruz.png</v>
      </c>
      <c r="R384">
        <f>_xlfn.XLOOKUP(frasest[[#This Row],[author_es]],autorest[author_es],autorest[image_atr])</f>
        <v>0</v>
      </c>
    </row>
    <row r="385" spans="1:18">
      <c r="A385">
        <v>384</v>
      </c>
      <c r="B385" t="s">
        <v>1312</v>
      </c>
      <c r="C385" t="s">
        <v>1313</v>
      </c>
      <c r="D385" t="s">
        <v>1314</v>
      </c>
      <c r="E385" t="s">
        <v>1299</v>
      </c>
      <c r="F385" t="s">
        <v>1315</v>
      </c>
      <c r="G385" t="str">
        <f>_xlfn.XLOOKUP(frasest[[#This Row],[author_es]],autorest[author_es],autorest[author_la])</f>
        <v>Sanctus Ioannes a Cruce</v>
      </c>
      <c r="H385"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Row],[author_es]],autorest[author_es],autorest[iso3691])</f>
        <v>es</v>
      </c>
      <c r="K385" t="str">
        <f>_xlfn.XLOOKUP(frasest[[#This Row],[author_es]],autorest[author_es],autorest[language_es])</f>
        <v>Español</v>
      </c>
      <c r="L385" t="str">
        <f>_xlfn.XLOOKUP(frasest[[#This Row],[author_es]],autorest[author_es],autorest[language_la])</f>
        <v>Lingua Hispanica</v>
      </c>
      <c r="M385" t="str">
        <f>_xlfn.XLOOKUP(frasest[[#This Row],[author_es]],autorest[author_es],autorest[nation_es])</f>
        <v>España</v>
      </c>
      <c r="N385" t="str">
        <f>_xlfn.XLOOKUP(frasest[[#This Row],[author_es]],autorest[author_es],autorest[nation_la])</f>
        <v>Hispania</v>
      </c>
      <c r="O385" t="str">
        <f>_xlfn.XLOOKUP(frasest[[#This Row],[author_es]],autorest[author_es],autorest[age_es])</f>
        <v>Edad Moderna</v>
      </c>
      <c r="P385" t="str">
        <f>_xlfn.XLOOKUP(frasest[[#This Row],[author_es]],autorest[author_es],autorest[age_la])</f>
        <v>Nova Aetas</v>
      </c>
      <c r="Q385" t="str">
        <f>_xlfn.XLOOKUP(frasest[[#This Row],[author_es]],autorest[author_es],autorest[image])</f>
        <v>https://i.ibb.co/ynPqYx5K/sanjuandelacruz.png</v>
      </c>
      <c r="R385">
        <f>_xlfn.XLOOKUP(frasest[[#This Row],[author_es]],autorest[author_es],autorest[image_atr])</f>
        <v>0</v>
      </c>
    </row>
    <row r="386" spans="1:18">
      <c r="A386">
        <v>385</v>
      </c>
      <c r="B386" t="s">
        <v>1316</v>
      </c>
      <c r="C386" t="s">
        <v>1317</v>
      </c>
      <c r="D386" t="s">
        <v>1316</v>
      </c>
      <c r="E386" t="s">
        <v>1318</v>
      </c>
      <c r="F386" t="s">
        <v>1319</v>
      </c>
      <c r="G386" t="str">
        <f>_xlfn.XLOOKUP(frasest[[#This Row],[author_es]],autorest[author_es],autorest[author_la])</f>
        <v>Sancta Theresia ab Iesu</v>
      </c>
      <c r="H386"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Row],[author_es]],autorest[author_es],autorest[iso3691])</f>
        <v>es</v>
      </c>
      <c r="K386" t="str">
        <f>_xlfn.XLOOKUP(frasest[[#This Row],[author_es]],autorest[author_es],autorest[language_es])</f>
        <v>Español</v>
      </c>
      <c r="L386" t="str">
        <f>_xlfn.XLOOKUP(frasest[[#This Row],[author_es]],autorest[author_es],autorest[language_la])</f>
        <v>Lingua Hispanica</v>
      </c>
      <c r="M386" t="str">
        <f>_xlfn.XLOOKUP(frasest[[#This Row],[author_es]],autorest[author_es],autorest[nation_es])</f>
        <v>España</v>
      </c>
      <c r="N386" t="str">
        <f>_xlfn.XLOOKUP(frasest[[#This Row],[author_es]],autorest[author_es],autorest[nation_la])</f>
        <v>Hispania</v>
      </c>
      <c r="O386" t="str">
        <f>_xlfn.XLOOKUP(frasest[[#This Row],[author_es]],autorest[author_es],autorest[age_es])</f>
        <v>Edad Moderna</v>
      </c>
      <c r="P386" t="str">
        <f>_xlfn.XLOOKUP(frasest[[#This Row],[author_es]],autorest[author_es],autorest[age_la])</f>
        <v>Nova Aetas</v>
      </c>
      <c r="Q386" t="str">
        <f>_xlfn.XLOOKUP(frasest[[#This Row],[author_es]],autorest[author_es],autorest[image])</f>
        <v>https://i.ibb.co/nqTZx8JJ/santateresadejesus.png</v>
      </c>
      <c r="R386">
        <f>_xlfn.XLOOKUP(frasest[[#This Row],[author_es]],autorest[author_es],autorest[image_atr])</f>
        <v>0</v>
      </c>
    </row>
    <row r="387" spans="1:18">
      <c r="A387">
        <v>386</v>
      </c>
      <c r="B387" t="s">
        <v>1320</v>
      </c>
      <c r="C387" t="s">
        <v>1321</v>
      </c>
      <c r="D387" t="s">
        <v>1320</v>
      </c>
      <c r="E387" t="s">
        <v>1318</v>
      </c>
      <c r="F387" t="s">
        <v>1322</v>
      </c>
      <c r="G387" t="str">
        <f>_xlfn.XLOOKUP(frasest[[#This Row],[author_es]],autorest[author_es],autorest[author_la])</f>
        <v>Sancta Theresia ab Iesu</v>
      </c>
      <c r="H387"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Row],[author_es]],autorest[author_es],autorest[iso3691])</f>
        <v>es</v>
      </c>
      <c r="K387" t="str">
        <f>_xlfn.XLOOKUP(frasest[[#This Row],[author_es]],autorest[author_es],autorest[language_es])</f>
        <v>Español</v>
      </c>
      <c r="L387" t="str">
        <f>_xlfn.XLOOKUP(frasest[[#This Row],[author_es]],autorest[author_es],autorest[language_la])</f>
        <v>Lingua Hispanica</v>
      </c>
      <c r="M387" t="str">
        <f>_xlfn.XLOOKUP(frasest[[#This Row],[author_es]],autorest[author_es],autorest[nation_es])</f>
        <v>España</v>
      </c>
      <c r="N387" t="str">
        <f>_xlfn.XLOOKUP(frasest[[#This Row],[author_es]],autorest[author_es],autorest[nation_la])</f>
        <v>Hispania</v>
      </c>
      <c r="O387" t="str">
        <f>_xlfn.XLOOKUP(frasest[[#This Row],[author_es]],autorest[author_es],autorest[age_es])</f>
        <v>Edad Moderna</v>
      </c>
      <c r="P387" t="str">
        <f>_xlfn.XLOOKUP(frasest[[#This Row],[author_es]],autorest[author_es],autorest[age_la])</f>
        <v>Nova Aetas</v>
      </c>
      <c r="Q387" t="str">
        <f>_xlfn.XLOOKUP(frasest[[#This Row],[author_es]],autorest[author_es],autorest[image])</f>
        <v>https://i.ibb.co/nqTZx8JJ/santateresadejesus.png</v>
      </c>
      <c r="R387">
        <f>_xlfn.XLOOKUP(frasest[[#This Row],[author_es]],autorest[author_es],autorest[image_atr])</f>
        <v>0</v>
      </c>
    </row>
    <row r="388" spans="1:18">
      <c r="A388">
        <v>387</v>
      </c>
      <c r="B388" t="s">
        <v>1323</v>
      </c>
      <c r="C388" t="s">
        <v>1324</v>
      </c>
      <c r="D388" t="s">
        <v>1323</v>
      </c>
      <c r="E388" t="s">
        <v>1318</v>
      </c>
      <c r="F388" t="s">
        <v>1325</v>
      </c>
      <c r="G388" t="str">
        <f>_xlfn.XLOOKUP(frasest[[#This Row],[author_es]],autorest[author_es],autorest[author_la])</f>
        <v>Sancta Theresia ab Iesu</v>
      </c>
      <c r="H388"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Row],[author_es]],autorest[author_es],autorest[iso3691])</f>
        <v>es</v>
      </c>
      <c r="K388" t="str">
        <f>_xlfn.XLOOKUP(frasest[[#This Row],[author_es]],autorest[author_es],autorest[language_es])</f>
        <v>Español</v>
      </c>
      <c r="L388" t="str">
        <f>_xlfn.XLOOKUP(frasest[[#This Row],[author_es]],autorest[author_es],autorest[language_la])</f>
        <v>Lingua Hispanica</v>
      </c>
      <c r="M388" t="str">
        <f>_xlfn.XLOOKUP(frasest[[#This Row],[author_es]],autorest[author_es],autorest[nation_es])</f>
        <v>España</v>
      </c>
      <c r="N388" t="str">
        <f>_xlfn.XLOOKUP(frasest[[#This Row],[author_es]],autorest[author_es],autorest[nation_la])</f>
        <v>Hispania</v>
      </c>
      <c r="O388" t="str">
        <f>_xlfn.XLOOKUP(frasest[[#This Row],[author_es]],autorest[author_es],autorest[age_es])</f>
        <v>Edad Moderna</v>
      </c>
      <c r="P388" t="str">
        <f>_xlfn.XLOOKUP(frasest[[#This Row],[author_es]],autorest[author_es],autorest[age_la])</f>
        <v>Nova Aetas</v>
      </c>
      <c r="Q388" t="str">
        <f>_xlfn.XLOOKUP(frasest[[#This Row],[author_es]],autorest[author_es],autorest[image])</f>
        <v>https://i.ibb.co/nqTZx8JJ/santateresadejesus.png</v>
      </c>
      <c r="R388">
        <f>_xlfn.XLOOKUP(frasest[[#This Row],[author_es]],autorest[author_es],autorest[image_atr])</f>
        <v>0</v>
      </c>
    </row>
    <row r="389" spans="1:18">
      <c r="A389">
        <v>388</v>
      </c>
      <c r="B389" t="s">
        <v>1326</v>
      </c>
      <c r="C389" t="s">
        <v>1327</v>
      </c>
      <c r="D389" t="s">
        <v>1328</v>
      </c>
      <c r="E389" t="s">
        <v>1318</v>
      </c>
      <c r="F389" t="s">
        <v>1329</v>
      </c>
      <c r="G389" t="str">
        <f>_xlfn.XLOOKUP(frasest[[#This Row],[author_es]],autorest[author_es],autorest[author_la])</f>
        <v>Sancta Theresia ab Iesu</v>
      </c>
      <c r="H389"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Row],[author_es]],autorest[author_es],autorest[iso3691])</f>
        <v>es</v>
      </c>
      <c r="K389" t="str">
        <f>_xlfn.XLOOKUP(frasest[[#This Row],[author_es]],autorest[author_es],autorest[language_es])</f>
        <v>Español</v>
      </c>
      <c r="L389" t="str">
        <f>_xlfn.XLOOKUP(frasest[[#This Row],[author_es]],autorest[author_es],autorest[language_la])</f>
        <v>Lingua Hispanica</v>
      </c>
      <c r="M389" t="str">
        <f>_xlfn.XLOOKUP(frasest[[#This Row],[author_es]],autorest[author_es],autorest[nation_es])</f>
        <v>España</v>
      </c>
      <c r="N389" t="str">
        <f>_xlfn.XLOOKUP(frasest[[#This Row],[author_es]],autorest[author_es],autorest[nation_la])</f>
        <v>Hispania</v>
      </c>
      <c r="O389" t="str">
        <f>_xlfn.XLOOKUP(frasest[[#This Row],[author_es]],autorest[author_es],autorest[age_es])</f>
        <v>Edad Moderna</v>
      </c>
      <c r="P389" t="str">
        <f>_xlfn.XLOOKUP(frasest[[#This Row],[author_es]],autorest[author_es],autorest[age_la])</f>
        <v>Nova Aetas</v>
      </c>
      <c r="Q389" t="str">
        <f>_xlfn.XLOOKUP(frasest[[#This Row],[author_es]],autorest[author_es],autorest[image])</f>
        <v>https://i.ibb.co/nqTZx8JJ/santateresadejesus.png</v>
      </c>
      <c r="R389">
        <f>_xlfn.XLOOKUP(frasest[[#This Row],[author_es]],autorest[author_es],autorest[image_atr])</f>
        <v>0</v>
      </c>
    </row>
    <row r="390" spans="1:18">
      <c r="A390">
        <v>389</v>
      </c>
      <c r="B390" t="s">
        <v>1330</v>
      </c>
      <c r="C390" t="s">
        <v>1331</v>
      </c>
      <c r="D390" t="s">
        <v>1330</v>
      </c>
      <c r="E390" t="s">
        <v>1318</v>
      </c>
      <c r="F390" t="s">
        <v>1325</v>
      </c>
      <c r="G390" t="str">
        <f>_xlfn.XLOOKUP(frasest[[#This Row],[author_es]],autorest[author_es],autorest[author_la])</f>
        <v>Sancta Theresia ab Iesu</v>
      </c>
      <c r="H390"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Row],[author_es]],autorest[author_es],autorest[iso3691])</f>
        <v>es</v>
      </c>
      <c r="K390" t="str">
        <f>_xlfn.XLOOKUP(frasest[[#This Row],[author_es]],autorest[author_es],autorest[language_es])</f>
        <v>Español</v>
      </c>
      <c r="L390" t="str">
        <f>_xlfn.XLOOKUP(frasest[[#This Row],[author_es]],autorest[author_es],autorest[language_la])</f>
        <v>Lingua Hispanica</v>
      </c>
      <c r="M390" t="str">
        <f>_xlfn.XLOOKUP(frasest[[#This Row],[author_es]],autorest[author_es],autorest[nation_es])</f>
        <v>España</v>
      </c>
      <c r="N390" t="str">
        <f>_xlfn.XLOOKUP(frasest[[#This Row],[author_es]],autorest[author_es],autorest[nation_la])</f>
        <v>Hispania</v>
      </c>
      <c r="O390" t="str">
        <f>_xlfn.XLOOKUP(frasest[[#This Row],[author_es]],autorest[author_es],autorest[age_es])</f>
        <v>Edad Moderna</v>
      </c>
      <c r="P390" t="str">
        <f>_xlfn.XLOOKUP(frasest[[#This Row],[author_es]],autorest[author_es],autorest[age_la])</f>
        <v>Nova Aetas</v>
      </c>
      <c r="Q390" t="str">
        <f>_xlfn.XLOOKUP(frasest[[#This Row],[author_es]],autorest[author_es],autorest[image])</f>
        <v>https://i.ibb.co/nqTZx8JJ/santateresadejesus.png</v>
      </c>
      <c r="R390">
        <f>_xlfn.XLOOKUP(frasest[[#This Row],[author_es]],autorest[author_es],autorest[image_atr])</f>
        <v>0</v>
      </c>
    </row>
    <row r="391" spans="1:18">
      <c r="A391">
        <v>390</v>
      </c>
      <c r="B391" t="s">
        <v>1332</v>
      </c>
      <c r="C391" t="s">
        <v>1333</v>
      </c>
      <c r="D391" t="s">
        <v>1332</v>
      </c>
      <c r="E391" t="s">
        <v>1318</v>
      </c>
      <c r="F391" t="s">
        <v>1322</v>
      </c>
      <c r="G391" t="str">
        <f>_xlfn.XLOOKUP(frasest[[#This Row],[author_es]],autorest[author_es],autorest[author_la])</f>
        <v>Sancta Theresia ab Iesu</v>
      </c>
      <c r="H391"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Row],[author_es]],autorest[author_es],autorest[iso3691])</f>
        <v>es</v>
      </c>
      <c r="K391" t="str">
        <f>_xlfn.XLOOKUP(frasest[[#This Row],[author_es]],autorest[author_es],autorest[language_es])</f>
        <v>Español</v>
      </c>
      <c r="L391" t="str">
        <f>_xlfn.XLOOKUP(frasest[[#This Row],[author_es]],autorest[author_es],autorest[language_la])</f>
        <v>Lingua Hispanica</v>
      </c>
      <c r="M391" t="str">
        <f>_xlfn.XLOOKUP(frasest[[#This Row],[author_es]],autorest[author_es],autorest[nation_es])</f>
        <v>España</v>
      </c>
      <c r="N391" t="str">
        <f>_xlfn.XLOOKUP(frasest[[#This Row],[author_es]],autorest[author_es],autorest[nation_la])</f>
        <v>Hispania</v>
      </c>
      <c r="O391" t="str">
        <f>_xlfn.XLOOKUP(frasest[[#This Row],[author_es]],autorest[author_es],autorest[age_es])</f>
        <v>Edad Moderna</v>
      </c>
      <c r="P391" t="str">
        <f>_xlfn.XLOOKUP(frasest[[#This Row],[author_es]],autorest[author_es],autorest[age_la])</f>
        <v>Nova Aetas</v>
      </c>
      <c r="Q391" t="str">
        <f>_xlfn.XLOOKUP(frasest[[#This Row],[author_es]],autorest[author_es],autorest[image])</f>
        <v>https://i.ibb.co/nqTZx8JJ/santateresadejesus.png</v>
      </c>
      <c r="R391">
        <f>_xlfn.XLOOKUP(frasest[[#This Row],[author_es]],autorest[author_es],autorest[image_atr])</f>
        <v>0</v>
      </c>
    </row>
    <row r="392" spans="1:18">
      <c r="A392">
        <v>391</v>
      </c>
      <c r="B392" t="s">
        <v>1334</v>
      </c>
      <c r="C392" t="s">
        <v>1335</v>
      </c>
      <c r="D392" t="s">
        <v>1336</v>
      </c>
      <c r="E392" t="s">
        <v>1337</v>
      </c>
      <c r="F392" t="s">
        <v>1338</v>
      </c>
      <c r="G392" t="str">
        <f>_xlfn.XLOOKUP(frasest[[#This Row],[author_es]],autorest[author_es],autorest[author_la])</f>
        <v>Sanctus Ioannes Bosco</v>
      </c>
      <c r="H392"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Row],[author_es]],autorest[author_es],autorest[iso3691])</f>
        <v>it</v>
      </c>
      <c r="K392" t="str">
        <f>_xlfn.XLOOKUP(frasest[[#This Row],[author_es]],autorest[author_es],autorest[language_es])</f>
        <v>Italiano</v>
      </c>
      <c r="L392" t="str">
        <f>_xlfn.XLOOKUP(frasest[[#This Row],[author_es]],autorest[author_es],autorest[language_la])</f>
        <v>Lingua Italica</v>
      </c>
      <c r="M392" t="str">
        <f>_xlfn.XLOOKUP(frasest[[#This Row],[author_es]],autorest[author_es],autorest[nation_es])</f>
        <v>Italia</v>
      </c>
      <c r="N392" t="str">
        <f>_xlfn.XLOOKUP(frasest[[#This Row],[author_es]],autorest[author_es],autorest[nation_la])</f>
        <v>Italia</v>
      </c>
      <c r="O392" t="str">
        <f>_xlfn.XLOOKUP(frasest[[#This Row],[author_es]],autorest[author_es],autorest[age_es])</f>
        <v>Edad Contemporánea</v>
      </c>
      <c r="P392" t="str">
        <f>_xlfn.XLOOKUP(frasest[[#This Row],[author_es]],autorest[author_es],autorest[age_la])</f>
        <v>Aetas Contemporanea</v>
      </c>
      <c r="Q392" t="str">
        <f>_xlfn.XLOOKUP(frasest[[#This Row],[author_es]],autorest[author_es],autorest[image])</f>
        <v>https://i.ibb.co/hRrvF9Vk/sanjuanbosco.png</v>
      </c>
      <c r="R392">
        <f>_xlfn.XLOOKUP(frasest[[#This Row],[author_es]],autorest[author_es],autorest[image_atr])</f>
        <v>0</v>
      </c>
    </row>
    <row r="393" spans="1:18">
      <c r="A393">
        <v>392</v>
      </c>
      <c r="B393" t="s">
        <v>1339</v>
      </c>
      <c r="C393" t="s">
        <v>1340</v>
      </c>
      <c r="D393" t="s">
        <v>1341</v>
      </c>
      <c r="E393" t="s">
        <v>1337</v>
      </c>
      <c r="F393" t="s">
        <v>1342</v>
      </c>
      <c r="G393" t="str">
        <f>_xlfn.XLOOKUP(frasest[[#This Row],[author_es]],autorest[author_es],autorest[author_la])</f>
        <v>Sanctus Ioannes Bosco</v>
      </c>
      <c r="H393"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Row],[author_es]],autorest[author_es],autorest[iso3691])</f>
        <v>it</v>
      </c>
      <c r="K393" t="str">
        <f>_xlfn.XLOOKUP(frasest[[#This Row],[author_es]],autorest[author_es],autorest[language_es])</f>
        <v>Italiano</v>
      </c>
      <c r="L393" t="str">
        <f>_xlfn.XLOOKUP(frasest[[#This Row],[author_es]],autorest[author_es],autorest[language_la])</f>
        <v>Lingua Italica</v>
      </c>
      <c r="M393" t="str">
        <f>_xlfn.XLOOKUP(frasest[[#This Row],[author_es]],autorest[author_es],autorest[nation_es])</f>
        <v>Italia</v>
      </c>
      <c r="N393" t="str">
        <f>_xlfn.XLOOKUP(frasest[[#This Row],[author_es]],autorest[author_es],autorest[nation_la])</f>
        <v>Italia</v>
      </c>
      <c r="O393" t="str">
        <f>_xlfn.XLOOKUP(frasest[[#This Row],[author_es]],autorest[author_es],autorest[age_es])</f>
        <v>Edad Contemporánea</v>
      </c>
      <c r="P393" t="str">
        <f>_xlfn.XLOOKUP(frasest[[#This Row],[author_es]],autorest[author_es],autorest[age_la])</f>
        <v>Aetas Contemporanea</v>
      </c>
      <c r="Q393" t="str">
        <f>_xlfn.XLOOKUP(frasest[[#This Row],[author_es]],autorest[author_es],autorest[image])</f>
        <v>https://i.ibb.co/hRrvF9Vk/sanjuanbosco.png</v>
      </c>
      <c r="R393">
        <f>_xlfn.XLOOKUP(frasest[[#This Row],[author_es]],autorest[author_es],autorest[image_atr])</f>
        <v>0</v>
      </c>
    </row>
    <row r="394" spans="1:18">
      <c r="A394">
        <v>393</v>
      </c>
      <c r="B394" t="s">
        <v>1343</v>
      </c>
      <c r="C394" t="s">
        <v>1344</v>
      </c>
      <c r="D394" t="s">
        <v>1345</v>
      </c>
      <c r="E394" t="s">
        <v>1337</v>
      </c>
      <c r="F394" t="s">
        <v>1346</v>
      </c>
      <c r="G394" t="str">
        <f>_xlfn.XLOOKUP(frasest[[#This Row],[author_es]],autorest[author_es],autorest[author_la])</f>
        <v>Sanctus Ioannes Bosco</v>
      </c>
      <c r="H394"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Row],[author_es]],autorest[author_es],autorest[iso3691])</f>
        <v>it</v>
      </c>
      <c r="K394" t="str">
        <f>_xlfn.XLOOKUP(frasest[[#This Row],[author_es]],autorest[author_es],autorest[language_es])</f>
        <v>Italiano</v>
      </c>
      <c r="L394" t="str">
        <f>_xlfn.XLOOKUP(frasest[[#This Row],[author_es]],autorest[author_es],autorest[language_la])</f>
        <v>Lingua Italica</v>
      </c>
      <c r="M394" t="str">
        <f>_xlfn.XLOOKUP(frasest[[#This Row],[author_es]],autorest[author_es],autorest[nation_es])</f>
        <v>Italia</v>
      </c>
      <c r="N394" t="str">
        <f>_xlfn.XLOOKUP(frasest[[#This Row],[author_es]],autorest[author_es],autorest[nation_la])</f>
        <v>Italia</v>
      </c>
      <c r="O394" t="str">
        <f>_xlfn.XLOOKUP(frasest[[#This Row],[author_es]],autorest[author_es],autorest[age_es])</f>
        <v>Edad Contemporánea</v>
      </c>
      <c r="P394" t="str">
        <f>_xlfn.XLOOKUP(frasest[[#This Row],[author_es]],autorest[author_es],autorest[age_la])</f>
        <v>Aetas Contemporanea</v>
      </c>
      <c r="Q394" t="str">
        <f>_xlfn.XLOOKUP(frasest[[#This Row],[author_es]],autorest[author_es],autorest[image])</f>
        <v>https://i.ibb.co/hRrvF9Vk/sanjuanbosco.png</v>
      </c>
      <c r="R394">
        <f>_xlfn.XLOOKUP(frasest[[#This Row],[author_es]],autorest[author_es],autorest[image_atr])</f>
        <v>0</v>
      </c>
    </row>
    <row r="395" spans="1:18">
      <c r="A395">
        <v>394</v>
      </c>
      <c r="B395" t="s">
        <v>1347</v>
      </c>
      <c r="C395" t="s">
        <v>1348</v>
      </c>
      <c r="D395" t="s">
        <v>1349</v>
      </c>
      <c r="E395" t="s">
        <v>1337</v>
      </c>
      <c r="F395" t="s">
        <v>1350</v>
      </c>
      <c r="G395" t="str">
        <f>_xlfn.XLOOKUP(frasest[[#This Row],[author_es]],autorest[author_es],autorest[author_la])</f>
        <v>Sanctus Ioannes Bosco</v>
      </c>
      <c r="H395"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Row],[author_es]],autorest[author_es],autorest[iso3691])</f>
        <v>it</v>
      </c>
      <c r="K395" t="str">
        <f>_xlfn.XLOOKUP(frasest[[#This Row],[author_es]],autorest[author_es],autorest[language_es])</f>
        <v>Italiano</v>
      </c>
      <c r="L395" t="str">
        <f>_xlfn.XLOOKUP(frasest[[#This Row],[author_es]],autorest[author_es],autorest[language_la])</f>
        <v>Lingua Italica</v>
      </c>
      <c r="M395" t="str">
        <f>_xlfn.XLOOKUP(frasest[[#This Row],[author_es]],autorest[author_es],autorest[nation_es])</f>
        <v>Italia</v>
      </c>
      <c r="N395" t="str">
        <f>_xlfn.XLOOKUP(frasest[[#This Row],[author_es]],autorest[author_es],autorest[nation_la])</f>
        <v>Italia</v>
      </c>
      <c r="O395" t="str">
        <f>_xlfn.XLOOKUP(frasest[[#This Row],[author_es]],autorest[author_es],autorest[age_es])</f>
        <v>Edad Contemporánea</v>
      </c>
      <c r="P395" t="str">
        <f>_xlfn.XLOOKUP(frasest[[#This Row],[author_es]],autorest[author_es],autorest[age_la])</f>
        <v>Aetas Contemporanea</v>
      </c>
      <c r="Q395" t="str">
        <f>_xlfn.XLOOKUP(frasest[[#This Row],[author_es]],autorest[author_es],autorest[image])</f>
        <v>https://i.ibb.co/hRrvF9Vk/sanjuanbosco.png</v>
      </c>
      <c r="R395">
        <f>_xlfn.XLOOKUP(frasest[[#This Row],[author_es]],autorest[author_es],autorest[image_atr])</f>
        <v>0</v>
      </c>
    </row>
    <row r="396" spans="1:18">
      <c r="A396">
        <v>395</v>
      </c>
      <c r="B396" t="s">
        <v>1351</v>
      </c>
      <c r="C396" t="s">
        <v>1352</v>
      </c>
      <c r="D396" t="s">
        <v>1353</v>
      </c>
      <c r="E396" t="s">
        <v>1337</v>
      </c>
      <c r="F396" t="s">
        <v>1354</v>
      </c>
      <c r="G396" t="str">
        <f>_xlfn.XLOOKUP(frasest[[#This Row],[author_es]],autorest[author_es],autorest[author_la])</f>
        <v>Sanctus Ioannes Bosco</v>
      </c>
      <c r="H396"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Row],[author_es]],autorest[author_es],autorest[iso3691])</f>
        <v>it</v>
      </c>
      <c r="K396" t="str">
        <f>_xlfn.XLOOKUP(frasest[[#This Row],[author_es]],autorest[author_es],autorest[language_es])</f>
        <v>Italiano</v>
      </c>
      <c r="L396" t="str">
        <f>_xlfn.XLOOKUP(frasest[[#This Row],[author_es]],autorest[author_es],autorest[language_la])</f>
        <v>Lingua Italica</v>
      </c>
      <c r="M396" t="str">
        <f>_xlfn.XLOOKUP(frasest[[#This Row],[author_es]],autorest[author_es],autorest[nation_es])</f>
        <v>Italia</v>
      </c>
      <c r="N396" t="str">
        <f>_xlfn.XLOOKUP(frasest[[#This Row],[author_es]],autorest[author_es],autorest[nation_la])</f>
        <v>Italia</v>
      </c>
      <c r="O396" t="str">
        <f>_xlfn.XLOOKUP(frasest[[#This Row],[author_es]],autorest[author_es],autorest[age_es])</f>
        <v>Edad Contemporánea</v>
      </c>
      <c r="P396" t="str">
        <f>_xlfn.XLOOKUP(frasest[[#This Row],[author_es]],autorest[author_es],autorest[age_la])</f>
        <v>Aetas Contemporanea</v>
      </c>
      <c r="Q396" t="str">
        <f>_xlfn.XLOOKUP(frasest[[#This Row],[author_es]],autorest[author_es],autorest[image])</f>
        <v>https://i.ibb.co/hRrvF9Vk/sanjuanbosco.png</v>
      </c>
      <c r="R396">
        <f>_xlfn.XLOOKUP(frasest[[#This Row],[author_es]],autorest[author_es],autorest[image_atr])</f>
        <v>0</v>
      </c>
    </row>
    <row r="397" spans="1:18">
      <c r="A397">
        <v>396</v>
      </c>
      <c r="B397" t="s">
        <v>1355</v>
      </c>
      <c r="C397" t="s">
        <v>1356</v>
      </c>
      <c r="D397" t="s">
        <v>1357</v>
      </c>
      <c r="E397" t="s">
        <v>1337</v>
      </c>
      <c r="F397" t="s">
        <v>1338</v>
      </c>
      <c r="G397" t="str">
        <f>_xlfn.XLOOKUP(frasest[[#This Row],[author_es]],autorest[author_es],autorest[author_la])</f>
        <v>Sanctus Ioannes Bosco</v>
      </c>
      <c r="H397"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Row],[author_es]],autorest[author_es],autorest[iso3691])</f>
        <v>it</v>
      </c>
      <c r="K397" t="str">
        <f>_xlfn.XLOOKUP(frasest[[#This Row],[author_es]],autorest[author_es],autorest[language_es])</f>
        <v>Italiano</v>
      </c>
      <c r="L397" t="str">
        <f>_xlfn.XLOOKUP(frasest[[#This Row],[author_es]],autorest[author_es],autorest[language_la])</f>
        <v>Lingua Italica</v>
      </c>
      <c r="M397" t="str">
        <f>_xlfn.XLOOKUP(frasest[[#This Row],[author_es]],autorest[author_es],autorest[nation_es])</f>
        <v>Italia</v>
      </c>
      <c r="N397" t="str">
        <f>_xlfn.XLOOKUP(frasest[[#This Row],[author_es]],autorest[author_es],autorest[nation_la])</f>
        <v>Italia</v>
      </c>
      <c r="O397" t="str">
        <f>_xlfn.XLOOKUP(frasest[[#This Row],[author_es]],autorest[author_es],autorest[age_es])</f>
        <v>Edad Contemporánea</v>
      </c>
      <c r="P397" t="str">
        <f>_xlfn.XLOOKUP(frasest[[#This Row],[author_es]],autorest[author_es],autorest[age_la])</f>
        <v>Aetas Contemporanea</v>
      </c>
      <c r="Q397" t="str">
        <f>_xlfn.XLOOKUP(frasest[[#This Row],[author_es]],autorest[author_es],autorest[image])</f>
        <v>https://i.ibb.co/hRrvF9Vk/sanjuanbosco.png</v>
      </c>
      <c r="R397">
        <f>_xlfn.XLOOKUP(frasest[[#This Row],[author_es]],autorest[author_es],autorest[image_atr])</f>
        <v>0</v>
      </c>
    </row>
    <row r="398" spans="1:18">
      <c r="A398">
        <v>397</v>
      </c>
      <c r="B398" t="s">
        <v>1358</v>
      </c>
      <c r="C398" t="s">
        <v>1359</v>
      </c>
      <c r="D398" t="s">
        <v>1358</v>
      </c>
      <c r="E398" t="s">
        <v>1360</v>
      </c>
      <c r="F398" t="s">
        <v>1361</v>
      </c>
      <c r="G398" t="str">
        <f>_xlfn.XLOOKUP(frasest[[#This Row],[author_es]],autorest[author_es],autorest[author_la])</f>
        <v>Benedictus XVI</v>
      </c>
      <c r="H398"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Row],[author_es]],autorest[author_es],autorest[iso3691])</f>
        <v>de</v>
      </c>
      <c r="K398" t="str">
        <f>_xlfn.XLOOKUP(frasest[[#This Row],[author_es]],autorest[author_es],autorest[language_es])</f>
        <v>Alemán</v>
      </c>
      <c r="L398" t="str">
        <f>_xlfn.XLOOKUP(frasest[[#This Row],[author_es]],autorest[author_es],autorest[language_la])</f>
        <v>Lingua Germanica</v>
      </c>
      <c r="M398" t="str">
        <f>_xlfn.XLOOKUP(frasest[[#This Row],[author_es]],autorest[author_es],autorest[nation_es])</f>
        <v>Alemania</v>
      </c>
      <c r="N398" t="str">
        <f>_xlfn.XLOOKUP(frasest[[#This Row],[author_es]],autorest[author_es],autorest[nation_la])</f>
        <v>Germania</v>
      </c>
      <c r="O398" t="str">
        <f>_xlfn.XLOOKUP(frasest[[#This Row],[author_es]],autorest[author_es],autorest[age_es])</f>
        <v>Edad Contemporánea</v>
      </c>
      <c r="P398" t="str">
        <f>_xlfn.XLOOKUP(frasest[[#This Row],[author_es]],autorest[author_es],autorest[age_la])</f>
        <v>Aetas Contemporanea</v>
      </c>
      <c r="Q398" t="str">
        <f>_xlfn.XLOOKUP(frasest[[#This Row],[author_es]],autorest[author_es],autorest[image])</f>
        <v>https://i.ibb.co/4nL3Mpnc/benedictoxvi.png</v>
      </c>
      <c r="R398">
        <f>_xlfn.XLOOKUP(frasest[[#This Row],[author_es]],autorest[author_es],autorest[image_atr])</f>
        <v>0</v>
      </c>
    </row>
    <row r="399" spans="1:18">
      <c r="A399">
        <v>398</v>
      </c>
      <c r="B399" t="s">
        <v>1362</v>
      </c>
      <c r="C399" t="s">
        <v>1363</v>
      </c>
      <c r="D399" t="s">
        <v>1362</v>
      </c>
      <c r="E399" t="s">
        <v>1360</v>
      </c>
      <c r="F399" t="s">
        <v>1364</v>
      </c>
      <c r="G399" t="str">
        <f>_xlfn.XLOOKUP(frasest[[#This Row],[author_es]],autorest[author_es],autorest[author_la])</f>
        <v>Benedictus XVI</v>
      </c>
      <c r="H399"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Row],[author_es]],autorest[author_es],autorest[iso3691])</f>
        <v>de</v>
      </c>
      <c r="K399" t="str">
        <f>_xlfn.XLOOKUP(frasest[[#This Row],[author_es]],autorest[author_es],autorest[language_es])</f>
        <v>Alemán</v>
      </c>
      <c r="L399" t="str">
        <f>_xlfn.XLOOKUP(frasest[[#This Row],[author_es]],autorest[author_es],autorest[language_la])</f>
        <v>Lingua Germanica</v>
      </c>
      <c r="M399" t="str">
        <f>_xlfn.XLOOKUP(frasest[[#This Row],[author_es]],autorest[author_es],autorest[nation_es])</f>
        <v>Alemania</v>
      </c>
      <c r="N399" t="str">
        <f>_xlfn.XLOOKUP(frasest[[#This Row],[author_es]],autorest[author_es],autorest[nation_la])</f>
        <v>Germania</v>
      </c>
      <c r="O399" t="str">
        <f>_xlfn.XLOOKUP(frasest[[#This Row],[author_es]],autorest[author_es],autorest[age_es])</f>
        <v>Edad Contemporánea</v>
      </c>
      <c r="P399" t="str">
        <f>_xlfn.XLOOKUP(frasest[[#This Row],[author_es]],autorest[author_es],autorest[age_la])</f>
        <v>Aetas Contemporanea</v>
      </c>
      <c r="Q399" t="str">
        <f>_xlfn.XLOOKUP(frasest[[#This Row],[author_es]],autorest[author_es],autorest[image])</f>
        <v>https://i.ibb.co/4nL3Mpnc/benedictoxvi.png</v>
      </c>
      <c r="R399">
        <f>_xlfn.XLOOKUP(frasest[[#This Row],[author_es]],autorest[author_es],autorest[image_atr])</f>
        <v>0</v>
      </c>
    </row>
    <row r="400" spans="1:18">
      <c r="A400">
        <v>399</v>
      </c>
      <c r="B400" t="s">
        <v>1365</v>
      </c>
      <c r="C400" t="s">
        <v>1366</v>
      </c>
      <c r="D400" t="s">
        <v>1365</v>
      </c>
      <c r="E400" t="s">
        <v>1360</v>
      </c>
      <c r="F400" t="s">
        <v>1367</v>
      </c>
      <c r="G400" t="str">
        <f>_xlfn.XLOOKUP(frasest[[#This Row],[author_es]],autorest[author_es],autorest[author_la])</f>
        <v>Benedictus XVI</v>
      </c>
      <c r="H400"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Row],[author_es]],autorest[author_es],autorest[iso3691])</f>
        <v>de</v>
      </c>
      <c r="K400" t="str">
        <f>_xlfn.XLOOKUP(frasest[[#This Row],[author_es]],autorest[author_es],autorest[language_es])</f>
        <v>Alemán</v>
      </c>
      <c r="L400" t="str">
        <f>_xlfn.XLOOKUP(frasest[[#This Row],[author_es]],autorest[author_es],autorest[language_la])</f>
        <v>Lingua Germanica</v>
      </c>
      <c r="M400" t="str">
        <f>_xlfn.XLOOKUP(frasest[[#This Row],[author_es]],autorest[author_es],autorest[nation_es])</f>
        <v>Alemania</v>
      </c>
      <c r="N400" t="str">
        <f>_xlfn.XLOOKUP(frasest[[#This Row],[author_es]],autorest[author_es],autorest[nation_la])</f>
        <v>Germania</v>
      </c>
      <c r="O400" t="str">
        <f>_xlfn.XLOOKUP(frasest[[#This Row],[author_es]],autorest[author_es],autorest[age_es])</f>
        <v>Edad Contemporánea</v>
      </c>
      <c r="P400" t="str">
        <f>_xlfn.XLOOKUP(frasest[[#This Row],[author_es]],autorest[author_es],autorest[age_la])</f>
        <v>Aetas Contemporanea</v>
      </c>
      <c r="Q400" t="str">
        <f>_xlfn.XLOOKUP(frasest[[#This Row],[author_es]],autorest[author_es],autorest[image])</f>
        <v>https://i.ibb.co/4nL3Mpnc/benedictoxvi.png</v>
      </c>
      <c r="R400">
        <f>_xlfn.XLOOKUP(frasest[[#This Row],[author_es]],autorest[author_es],autorest[image_atr])</f>
        <v>0</v>
      </c>
    </row>
    <row r="401" spans="1:18">
      <c r="A401">
        <v>400</v>
      </c>
      <c r="B401" t="s">
        <v>1368</v>
      </c>
      <c r="C401" t="s">
        <v>1369</v>
      </c>
      <c r="D401" t="s">
        <v>1368</v>
      </c>
      <c r="E401" t="s">
        <v>1360</v>
      </c>
      <c r="F401" t="s">
        <v>1370</v>
      </c>
      <c r="G401" t="str">
        <f>_xlfn.XLOOKUP(frasest[[#This Row],[author_es]],autorest[author_es],autorest[author_la])</f>
        <v>Benedictus XVI</v>
      </c>
      <c r="H401"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Row],[author_es]],autorest[author_es],autorest[iso3691])</f>
        <v>de</v>
      </c>
      <c r="K401" t="str">
        <f>_xlfn.XLOOKUP(frasest[[#This Row],[author_es]],autorest[author_es],autorest[language_es])</f>
        <v>Alemán</v>
      </c>
      <c r="L401" t="str">
        <f>_xlfn.XLOOKUP(frasest[[#This Row],[author_es]],autorest[author_es],autorest[language_la])</f>
        <v>Lingua Germanica</v>
      </c>
      <c r="M401" t="str">
        <f>_xlfn.XLOOKUP(frasest[[#This Row],[author_es]],autorest[author_es],autorest[nation_es])</f>
        <v>Alemania</v>
      </c>
      <c r="N401" t="str">
        <f>_xlfn.XLOOKUP(frasest[[#This Row],[author_es]],autorest[author_es],autorest[nation_la])</f>
        <v>Germania</v>
      </c>
      <c r="O401" t="str">
        <f>_xlfn.XLOOKUP(frasest[[#This Row],[author_es]],autorest[author_es],autorest[age_es])</f>
        <v>Edad Contemporánea</v>
      </c>
      <c r="P401" t="str">
        <f>_xlfn.XLOOKUP(frasest[[#This Row],[author_es]],autorest[author_es],autorest[age_la])</f>
        <v>Aetas Contemporanea</v>
      </c>
      <c r="Q401" t="str">
        <f>_xlfn.XLOOKUP(frasest[[#This Row],[author_es]],autorest[author_es],autorest[image])</f>
        <v>https://i.ibb.co/4nL3Mpnc/benedictoxvi.png</v>
      </c>
      <c r="R401">
        <f>_xlfn.XLOOKUP(frasest[[#This Row],[author_es]],autorest[author_es],autorest[image_atr])</f>
        <v>0</v>
      </c>
    </row>
    <row r="402" spans="1:18">
      <c r="A402">
        <v>401</v>
      </c>
      <c r="B402" t="s">
        <v>1371</v>
      </c>
      <c r="C402" t="s">
        <v>1372</v>
      </c>
      <c r="D402" t="s">
        <v>1371</v>
      </c>
      <c r="E402" t="s">
        <v>1360</v>
      </c>
      <c r="F402" t="s">
        <v>1373</v>
      </c>
      <c r="G402" t="str">
        <f>_xlfn.XLOOKUP(frasest[[#This Row],[author_es]],autorest[author_es],autorest[author_la])</f>
        <v>Benedictus XVI</v>
      </c>
      <c r="H402"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Row],[author_es]],autorest[author_es],autorest[iso3691])</f>
        <v>de</v>
      </c>
      <c r="K402" t="str">
        <f>_xlfn.XLOOKUP(frasest[[#This Row],[author_es]],autorest[author_es],autorest[language_es])</f>
        <v>Alemán</v>
      </c>
      <c r="L402" t="str">
        <f>_xlfn.XLOOKUP(frasest[[#This Row],[author_es]],autorest[author_es],autorest[language_la])</f>
        <v>Lingua Germanica</v>
      </c>
      <c r="M402" t="str">
        <f>_xlfn.XLOOKUP(frasest[[#This Row],[author_es]],autorest[author_es],autorest[nation_es])</f>
        <v>Alemania</v>
      </c>
      <c r="N402" t="str">
        <f>_xlfn.XLOOKUP(frasest[[#This Row],[author_es]],autorest[author_es],autorest[nation_la])</f>
        <v>Germania</v>
      </c>
      <c r="O402" t="str">
        <f>_xlfn.XLOOKUP(frasest[[#This Row],[author_es]],autorest[author_es],autorest[age_es])</f>
        <v>Edad Contemporánea</v>
      </c>
      <c r="P402" t="str">
        <f>_xlfn.XLOOKUP(frasest[[#This Row],[author_es]],autorest[author_es],autorest[age_la])</f>
        <v>Aetas Contemporanea</v>
      </c>
      <c r="Q402" t="str">
        <f>_xlfn.XLOOKUP(frasest[[#This Row],[author_es]],autorest[author_es],autorest[image])</f>
        <v>https://i.ibb.co/4nL3Mpnc/benedictoxvi.png</v>
      </c>
      <c r="R402">
        <f>_xlfn.XLOOKUP(frasest[[#This Row],[author_es]],autorest[author_es],autorest[image_atr])</f>
        <v>0</v>
      </c>
    </row>
    <row r="403" spans="1:18">
      <c r="A403">
        <v>402</v>
      </c>
      <c r="B403" t="s">
        <v>1374</v>
      </c>
      <c r="C403" t="s">
        <v>1375</v>
      </c>
      <c r="D403" t="s">
        <v>1374</v>
      </c>
      <c r="E403" t="s">
        <v>1360</v>
      </c>
      <c r="F403" t="s">
        <v>1376</v>
      </c>
      <c r="G403" t="str">
        <f>_xlfn.XLOOKUP(frasest[[#This Row],[author_es]],autorest[author_es],autorest[author_la])</f>
        <v>Benedictus XVI</v>
      </c>
      <c r="H403"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Row],[author_es]],autorest[author_es],autorest[iso3691])</f>
        <v>de</v>
      </c>
      <c r="K403" t="str">
        <f>_xlfn.XLOOKUP(frasest[[#This Row],[author_es]],autorest[author_es],autorest[language_es])</f>
        <v>Alemán</v>
      </c>
      <c r="L403" t="str">
        <f>_xlfn.XLOOKUP(frasest[[#This Row],[author_es]],autorest[author_es],autorest[language_la])</f>
        <v>Lingua Germanica</v>
      </c>
      <c r="M403" t="str">
        <f>_xlfn.XLOOKUP(frasest[[#This Row],[author_es]],autorest[author_es],autorest[nation_es])</f>
        <v>Alemania</v>
      </c>
      <c r="N403" t="str">
        <f>_xlfn.XLOOKUP(frasest[[#This Row],[author_es]],autorest[author_es],autorest[nation_la])</f>
        <v>Germania</v>
      </c>
      <c r="O403" t="str">
        <f>_xlfn.XLOOKUP(frasest[[#This Row],[author_es]],autorest[author_es],autorest[age_es])</f>
        <v>Edad Contemporánea</v>
      </c>
      <c r="P403" t="str">
        <f>_xlfn.XLOOKUP(frasest[[#This Row],[author_es]],autorest[author_es],autorest[age_la])</f>
        <v>Aetas Contemporanea</v>
      </c>
      <c r="Q403" t="str">
        <f>_xlfn.XLOOKUP(frasest[[#This Row],[author_es]],autorest[author_es],autorest[image])</f>
        <v>https://i.ibb.co/4nL3Mpnc/benedictoxvi.png</v>
      </c>
      <c r="R403">
        <f>_xlfn.XLOOKUP(frasest[[#This Row],[author_es]],autorest[author_es],autorest[image_atr])</f>
        <v>0</v>
      </c>
    </row>
    <row r="404" spans="1:18">
      <c r="A404">
        <v>403</v>
      </c>
      <c r="B404" t="s">
        <v>1377</v>
      </c>
      <c r="C404" t="s">
        <v>1378</v>
      </c>
      <c r="D404" t="s">
        <v>1379</v>
      </c>
      <c r="E404" t="s">
        <v>1380</v>
      </c>
      <c r="F404" t="s">
        <v>1381</v>
      </c>
      <c r="G404" t="str">
        <f>_xlfn.XLOOKUP(frasest[[#This Row],[author_es]],autorest[author_es],autorest[author_la])</f>
        <v>Sancta Theresia a Lisieux</v>
      </c>
      <c r="H404"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Row],[author_es]],autorest[author_es],autorest[iso3691])</f>
        <v>fr</v>
      </c>
      <c r="K404" t="str">
        <f>_xlfn.XLOOKUP(frasest[[#This Row],[author_es]],autorest[author_es],autorest[language_es])</f>
        <v>Francés</v>
      </c>
      <c r="L404" t="str">
        <f>_xlfn.XLOOKUP(frasest[[#This Row],[author_es]],autorest[author_es],autorest[language_la])</f>
        <v>Lingua Gallica</v>
      </c>
      <c r="M404" t="str">
        <f>_xlfn.XLOOKUP(frasest[[#This Row],[author_es]],autorest[author_es],autorest[nation_es])</f>
        <v>Francia</v>
      </c>
      <c r="N404" t="str">
        <f>_xlfn.XLOOKUP(frasest[[#This Row],[author_es]],autorest[author_es],autorest[nation_la])</f>
        <v>Francia</v>
      </c>
      <c r="O404" t="str">
        <f>_xlfn.XLOOKUP(frasest[[#This Row],[author_es]],autorest[author_es],autorest[age_es])</f>
        <v>Edad Contemporánea</v>
      </c>
      <c r="P404" t="str">
        <f>_xlfn.XLOOKUP(frasest[[#This Row],[author_es]],autorest[author_es],autorest[age_la])</f>
        <v>Aetas Contemporanea</v>
      </c>
      <c r="Q404" t="str">
        <f>_xlfn.XLOOKUP(frasest[[#This Row],[author_es]],autorest[author_es],autorest[image])</f>
        <v>https://i.ibb.co/jNM8XWz/santateresitadelissieux.png</v>
      </c>
      <c r="R404">
        <f>_xlfn.XLOOKUP(frasest[[#This Row],[author_es]],autorest[author_es],autorest[image_atr])</f>
        <v>0</v>
      </c>
    </row>
    <row r="405" spans="1:18">
      <c r="A405">
        <v>404</v>
      </c>
      <c r="B405" t="s">
        <v>1382</v>
      </c>
      <c r="C405" t="s">
        <v>1383</v>
      </c>
      <c r="D405" t="s">
        <v>1384</v>
      </c>
      <c r="E405" t="s">
        <v>1380</v>
      </c>
      <c r="F405" t="s">
        <v>1385</v>
      </c>
      <c r="G405" t="str">
        <f>_xlfn.XLOOKUP(frasest[[#This Row],[author_es]],autorest[author_es],autorest[author_la])</f>
        <v>Sancta Theresia a Lisieux</v>
      </c>
      <c r="H405"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Row],[author_es]],autorest[author_es],autorest[iso3691])</f>
        <v>fr</v>
      </c>
      <c r="K405" t="str">
        <f>_xlfn.XLOOKUP(frasest[[#This Row],[author_es]],autorest[author_es],autorest[language_es])</f>
        <v>Francés</v>
      </c>
      <c r="L405" t="str">
        <f>_xlfn.XLOOKUP(frasest[[#This Row],[author_es]],autorest[author_es],autorest[language_la])</f>
        <v>Lingua Gallica</v>
      </c>
      <c r="M405" t="str">
        <f>_xlfn.XLOOKUP(frasest[[#This Row],[author_es]],autorest[author_es],autorest[nation_es])</f>
        <v>Francia</v>
      </c>
      <c r="N405" t="str">
        <f>_xlfn.XLOOKUP(frasest[[#This Row],[author_es]],autorest[author_es],autorest[nation_la])</f>
        <v>Francia</v>
      </c>
      <c r="O405" t="str">
        <f>_xlfn.XLOOKUP(frasest[[#This Row],[author_es]],autorest[author_es],autorest[age_es])</f>
        <v>Edad Contemporánea</v>
      </c>
      <c r="P405" t="str">
        <f>_xlfn.XLOOKUP(frasest[[#This Row],[author_es]],autorest[author_es],autorest[age_la])</f>
        <v>Aetas Contemporanea</v>
      </c>
      <c r="Q405" t="str">
        <f>_xlfn.XLOOKUP(frasest[[#This Row],[author_es]],autorest[author_es],autorest[image])</f>
        <v>https://i.ibb.co/jNM8XWz/santateresitadelissieux.png</v>
      </c>
      <c r="R405">
        <f>_xlfn.XLOOKUP(frasest[[#This Row],[author_es]],autorest[author_es],autorest[image_atr])</f>
        <v>0</v>
      </c>
    </row>
    <row r="406" spans="1:18">
      <c r="A406">
        <v>405</v>
      </c>
      <c r="B406" t="s">
        <v>1386</v>
      </c>
      <c r="C406" t="s">
        <v>1387</v>
      </c>
      <c r="D406" t="s">
        <v>1388</v>
      </c>
      <c r="E406" t="s">
        <v>1380</v>
      </c>
      <c r="F406" t="s">
        <v>1389</v>
      </c>
      <c r="G406" t="str">
        <f>_xlfn.XLOOKUP(frasest[[#This Row],[author_es]],autorest[author_es],autorest[author_la])</f>
        <v>Sancta Theresia a Lisieux</v>
      </c>
      <c r="H406"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Row],[author_es]],autorest[author_es],autorest[iso3691])</f>
        <v>fr</v>
      </c>
      <c r="K406" t="str">
        <f>_xlfn.XLOOKUP(frasest[[#This Row],[author_es]],autorest[author_es],autorest[language_es])</f>
        <v>Francés</v>
      </c>
      <c r="L406" t="str">
        <f>_xlfn.XLOOKUP(frasest[[#This Row],[author_es]],autorest[author_es],autorest[language_la])</f>
        <v>Lingua Gallica</v>
      </c>
      <c r="M406" t="str">
        <f>_xlfn.XLOOKUP(frasest[[#This Row],[author_es]],autorest[author_es],autorest[nation_es])</f>
        <v>Francia</v>
      </c>
      <c r="N406" t="str">
        <f>_xlfn.XLOOKUP(frasest[[#This Row],[author_es]],autorest[author_es],autorest[nation_la])</f>
        <v>Francia</v>
      </c>
      <c r="O406" t="str">
        <f>_xlfn.XLOOKUP(frasest[[#This Row],[author_es]],autorest[author_es],autorest[age_es])</f>
        <v>Edad Contemporánea</v>
      </c>
      <c r="P406" t="str">
        <f>_xlfn.XLOOKUP(frasest[[#This Row],[author_es]],autorest[author_es],autorest[age_la])</f>
        <v>Aetas Contemporanea</v>
      </c>
      <c r="Q406" t="str">
        <f>_xlfn.XLOOKUP(frasest[[#This Row],[author_es]],autorest[author_es],autorest[image])</f>
        <v>https://i.ibb.co/jNM8XWz/santateresitadelissieux.png</v>
      </c>
      <c r="R406">
        <f>_xlfn.XLOOKUP(frasest[[#This Row],[author_es]],autorest[author_es],autorest[image_atr])</f>
        <v>0</v>
      </c>
    </row>
    <row r="407" spans="1:18">
      <c r="A407">
        <v>406</v>
      </c>
      <c r="B407" t="s">
        <v>1390</v>
      </c>
      <c r="C407" t="s">
        <v>1391</v>
      </c>
      <c r="D407" t="s">
        <v>1392</v>
      </c>
      <c r="E407" t="s">
        <v>1380</v>
      </c>
      <c r="F407" t="s">
        <v>1393</v>
      </c>
      <c r="G407" t="str">
        <f>_xlfn.XLOOKUP(frasest[[#This Row],[author_es]],autorest[author_es],autorest[author_la])</f>
        <v>Sancta Theresia a Lisieux</v>
      </c>
      <c r="H407"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Row],[author_es]],autorest[author_es],autorest[iso3691])</f>
        <v>fr</v>
      </c>
      <c r="K407" t="str">
        <f>_xlfn.XLOOKUP(frasest[[#This Row],[author_es]],autorest[author_es],autorest[language_es])</f>
        <v>Francés</v>
      </c>
      <c r="L407" t="str">
        <f>_xlfn.XLOOKUP(frasest[[#This Row],[author_es]],autorest[author_es],autorest[language_la])</f>
        <v>Lingua Gallica</v>
      </c>
      <c r="M407" t="str">
        <f>_xlfn.XLOOKUP(frasest[[#This Row],[author_es]],autorest[author_es],autorest[nation_es])</f>
        <v>Francia</v>
      </c>
      <c r="N407" t="str">
        <f>_xlfn.XLOOKUP(frasest[[#This Row],[author_es]],autorest[author_es],autorest[nation_la])</f>
        <v>Francia</v>
      </c>
      <c r="O407" t="str">
        <f>_xlfn.XLOOKUP(frasest[[#This Row],[author_es]],autorest[author_es],autorest[age_es])</f>
        <v>Edad Contemporánea</v>
      </c>
      <c r="P407" t="str">
        <f>_xlfn.XLOOKUP(frasest[[#This Row],[author_es]],autorest[author_es],autorest[age_la])</f>
        <v>Aetas Contemporanea</v>
      </c>
      <c r="Q407" t="str">
        <f>_xlfn.XLOOKUP(frasest[[#This Row],[author_es]],autorest[author_es],autorest[image])</f>
        <v>https://i.ibb.co/jNM8XWz/santateresitadelissieux.png</v>
      </c>
      <c r="R407">
        <f>_xlfn.XLOOKUP(frasest[[#This Row],[author_es]],autorest[author_es],autorest[image_atr])</f>
        <v>0</v>
      </c>
    </row>
    <row r="408" spans="1:18">
      <c r="A408">
        <v>407</v>
      </c>
      <c r="B408" t="s">
        <v>1394</v>
      </c>
      <c r="C408" t="s">
        <v>1395</v>
      </c>
      <c r="D408" t="s">
        <v>1396</v>
      </c>
      <c r="E408" t="s">
        <v>1380</v>
      </c>
      <c r="F408" t="s">
        <v>1397</v>
      </c>
      <c r="G408" t="str">
        <f>_xlfn.XLOOKUP(frasest[[#This Row],[author_es]],autorest[author_es],autorest[author_la])</f>
        <v>Sancta Theresia a Lisieux</v>
      </c>
      <c r="H408"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Row],[author_es]],autorest[author_es],autorest[iso3691])</f>
        <v>fr</v>
      </c>
      <c r="K408" t="str">
        <f>_xlfn.XLOOKUP(frasest[[#This Row],[author_es]],autorest[author_es],autorest[language_es])</f>
        <v>Francés</v>
      </c>
      <c r="L408" t="str">
        <f>_xlfn.XLOOKUP(frasest[[#This Row],[author_es]],autorest[author_es],autorest[language_la])</f>
        <v>Lingua Gallica</v>
      </c>
      <c r="M408" t="str">
        <f>_xlfn.XLOOKUP(frasest[[#This Row],[author_es]],autorest[author_es],autorest[nation_es])</f>
        <v>Francia</v>
      </c>
      <c r="N408" t="str">
        <f>_xlfn.XLOOKUP(frasest[[#This Row],[author_es]],autorest[author_es],autorest[nation_la])</f>
        <v>Francia</v>
      </c>
      <c r="O408" t="str">
        <f>_xlfn.XLOOKUP(frasest[[#This Row],[author_es]],autorest[author_es],autorest[age_es])</f>
        <v>Edad Contemporánea</v>
      </c>
      <c r="P408" t="str">
        <f>_xlfn.XLOOKUP(frasest[[#This Row],[author_es]],autorest[author_es],autorest[age_la])</f>
        <v>Aetas Contemporanea</v>
      </c>
      <c r="Q408" t="str">
        <f>_xlfn.XLOOKUP(frasest[[#This Row],[author_es]],autorest[author_es],autorest[image])</f>
        <v>https://i.ibb.co/jNM8XWz/santateresitadelissieux.png</v>
      </c>
      <c r="R408">
        <f>_xlfn.XLOOKUP(frasest[[#This Row],[author_es]],autorest[author_es],autorest[image_atr])</f>
        <v>0</v>
      </c>
    </row>
    <row r="409" spans="1:18">
      <c r="A409">
        <v>408</v>
      </c>
      <c r="B409" t="s">
        <v>1398</v>
      </c>
      <c r="C409" t="s">
        <v>1399</v>
      </c>
      <c r="D409" t="s">
        <v>1400</v>
      </c>
      <c r="E409" t="s">
        <v>1380</v>
      </c>
      <c r="F409" t="s">
        <v>1401</v>
      </c>
      <c r="G409" t="str">
        <f>_xlfn.XLOOKUP(frasest[[#This Row],[author_es]],autorest[author_es],autorest[author_la])</f>
        <v>Sancta Theresia a Lisieux</v>
      </c>
      <c r="H409"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Row],[author_es]],autorest[author_es],autorest[iso3691])</f>
        <v>fr</v>
      </c>
      <c r="K409" t="str">
        <f>_xlfn.XLOOKUP(frasest[[#This Row],[author_es]],autorest[author_es],autorest[language_es])</f>
        <v>Francés</v>
      </c>
      <c r="L409" t="str">
        <f>_xlfn.XLOOKUP(frasest[[#This Row],[author_es]],autorest[author_es],autorest[language_la])</f>
        <v>Lingua Gallica</v>
      </c>
      <c r="M409" t="str">
        <f>_xlfn.XLOOKUP(frasest[[#This Row],[author_es]],autorest[author_es],autorest[nation_es])</f>
        <v>Francia</v>
      </c>
      <c r="N409" t="str">
        <f>_xlfn.XLOOKUP(frasest[[#This Row],[author_es]],autorest[author_es],autorest[nation_la])</f>
        <v>Francia</v>
      </c>
      <c r="O409" t="str">
        <f>_xlfn.XLOOKUP(frasest[[#This Row],[author_es]],autorest[author_es],autorest[age_es])</f>
        <v>Edad Contemporánea</v>
      </c>
      <c r="P409" t="str">
        <f>_xlfn.XLOOKUP(frasest[[#This Row],[author_es]],autorest[author_es],autorest[age_la])</f>
        <v>Aetas Contemporanea</v>
      </c>
      <c r="Q409" t="str">
        <f>_xlfn.XLOOKUP(frasest[[#This Row],[author_es]],autorest[author_es],autorest[image])</f>
        <v>https://i.ibb.co/jNM8XWz/santateresitadelissieux.png</v>
      </c>
      <c r="R409">
        <f>_xlfn.XLOOKUP(frasest[[#This Row],[author_es]],autorest[author_es],autorest[image_atr])</f>
        <v>0</v>
      </c>
    </row>
    <row r="410" spans="1:18">
      <c r="A410">
        <v>409</v>
      </c>
      <c r="B410" t="s">
        <v>1402</v>
      </c>
      <c r="C410" t="s">
        <v>1403</v>
      </c>
      <c r="D410" t="s">
        <v>1404</v>
      </c>
      <c r="E410" t="s">
        <v>1405</v>
      </c>
      <c r="F410" t="s">
        <v>1406</v>
      </c>
      <c r="G410" t="str">
        <f>_xlfn.XLOOKUP(frasest[[#This Row],[author_es]],autorest[author_es],autorest[author_la])</f>
        <v>Maria Montessori</v>
      </c>
      <c r="H410"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Row],[author_es]],autorest[author_es],autorest[iso3691])</f>
        <v>it</v>
      </c>
      <c r="K410" t="str">
        <f>_xlfn.XLOOKUP(frasest[[#This Row],[author_es]],autorest[author_es],autorest[language_es])</f>
        <v>Italiano</v>
      </c>
      <c r="L410" t="str">
        <f>_xlfn.XLOOKUP(frasest[[#This Row],[author_es]],autorest[author_es],autorest[language_la])</f>
        <v>Lingua Italica</v>
      </c>
      <c r="M410" t="str">
        <f>_xlfn.XLOOKUP(frasest[[#This Row],[author_es]],autorest[author_es],autorest[nation_es])</f>
        <v>Italia</v>
      </c>
      <c r="N410" t="str">
        <f>_xlfn.XLOOKUP(frasest[[#This Row],[author_es]],autorest[author_es],autorest[nation_la])</f>
        <v>Italia</v>
      </c>
      <c r="O410" t="str">
        <f>_xlfn.XLOOKUP(frasest[[#This Row],[author_es]],autorest[author_es],autorest[age_es])</f>
        <v>Edad Contemporánea</v>
      </c>
      <c r="P410" t="str">
        <f>_xlfn.XLOOKUP(frasest[[#This Row],[author_es]],autorest[author_es],autorest[age_la])</f>
        <v>Aetas Contemporanea</v>
      </c>
      <c r="Q410" t="str">
        <f>_xlfn.XLOOKUP(frasest[[#This Row],[author_es]],autorest[author_es],autorest[image])</f>
        <v>https://i.ibb.co/XfpNXLtH/mariamontessori.png</v>
      </c>
      <c r="R410">
        <f>_xlfn.XLOOKUP(frasest[[#This Row],[author_es]],autorest[author_es],autorest[image_atr])</f>
        <v>0</v>
      </c>
    </row>
    <row r="411" spans="1:18">
      <c r="A411">
        <v>410</v>
      </c>
      <c r="B411" t="s">
        <v>1407</v>
      </c>
      <c r="C411" t="s">
        <v>1408</v>
      </c>
      <c r="D411" t="s">
        <v>1409</v>
      </c>
      <c r="E411" t="s">
        <v>1405</v>
      </c>
      <c r="F411" t="s">
        <v>1410</v>
      </c>
      <c r="G411" t="str">
        <f>_xlfn.XLOOKUP(frasest[[#This Row],[author_es]],autorest[author_es],autorest[author_la])</f>
        <v>Maria Montessori</v>
      </c>
      <c r="H411"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Row],[author_es]],autorest[author_es],autorest[iso3691])</f>
        <v>it</v>
      </c>
      <c r="K411" t="str">
        <f>_xlfn.XLOOKUP(frasest[[#This Row],[author_es]],autorest[author_es],autorest[language_es])</f>
        <v>Italiano</v>
      </c>
      <c r="L411" t="str">
        <f>_xlfn.XLOOKUP(frasest[[#This Row],[author_es]],autorest[author_es],autorest[language_la])</f>
        <v>Lingua Italica</v>
      </c>
      <c r="M411" t="str">
        <f>_xlfn.XLOOKUP(frasest[[#This Row],[author_es]],autorest[author_es],autorest[nation_es])</f>
        <v>Italia</v>
      </c>
      <c r="N411" t="str">
        <f>_xlfn.XLOOKUP(frasest[[#This Row],[author_es]],autorest[author_es],autorest[nation_la])</f>
        <v>Italia</v>
      </c>
      <c r="O411" t="str">
        <f>_xlfn.XLOOKUP(frasest[[#This Row],[author_es]],autorest[author_es],autorest[age_es])</f>
        <v>Edad Contemporánea</v>
      </c>
      <c r="P411" t="str">
        <f>_xlfn.XLOOKUP(frasest[[#This Row],[author_es]],autorest[author_es],autorest[age_la])</f>
        <v>Aetas Contemporanea</v>
      </c>
      <c r="Q411" t="str">
        <f>_xlfn.XLOOKUP(frasest[[#This Row],[author_es]],autorest[author_es],autorest[image])</f>
        <v>https://i.ibb.co/XfpNXLtH/mariamontessori.png</v>
      </c>
      <c r="R411">
        <f>_xlfn.XLOOKUP(frasest[[#This Row],[author_es]],autorest[author_es],autorest[image_atr])</f>
        <v>0</v>
      </c>
    </row>
    <row r="412" spans="1:18">
      <c r="A412">
        <v>411</v>
      </c>
      <c r="B412" t="s">
        <v>1411</v>
      </c>
      <c r="C412" t="s">
        <v>1412</v>
      </c>
      <c r="D412" t="s">
        <v>1413</v>
      </c>
      <c r="E412" t="s">
        <v>1405</v>
      </c>
      <c r="F412" t="s">
        <v>1414</v>
      </c>
      <c r="G412" t="str">
        <f>_xlfn.XLOOKUP(frasest[[#This Row],[author_es]],autorest[author_es],autorest[author_la])</f>
        <v>Maria Montessori</v>
      </c>
      <c r="H412"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Row],[author_es]],autorest[author_es],autorest[iso3691])</f>
        <v>it</v>
      </c>
      <c r="K412" t="str">
        <f>_xlfn.XLOOKUP(frasest[[#This Row],[author_es]],autorest[author_es],autorest[language_es])</f>
        <v>Italiano</v>
      </c>
      <c r="L412" t="str">
        <f>_xlfn.XLOOKUP(frasest[[#This Row],[author_es]],autorest[author_es],autorest[language_la])</f>
        <v>Lingua Italica</v>
      </c>
      <c r="M412" t="str">
        <f>_xlfn.XLOOKUP(frasest[[#This Row],[author_es]],autorest[author_es],autorest[nation_es])</f>
        <v>Italia</v>
      </c>
      <c r="N412" t="str">
        <f>_xlfn.XLOOKUP(frasest[[#This Row],[author_es]],autorest[author_es],autorest[nation_la])</f>
        <v>Italia</v>
      </c>
      <c r="O412" t="str">
        <f>_xlfn.XLOOKUP(frasest[[#This Row],[author_es]],autorest[author_es],autorest[age_es])</f>
        <v>Edad Contemporánea</v>
      </c>
      <c r="P412" t="str">
        <f>_xlfn.XLOOKUP(frasest[[#This Row],[author_es]],autorest[author_es],autorest[age_la])</f>
        <v>Aetas Contemporanea</v>
      </c>
      <c r="Q412" t="str">
        <f>_xlfn.XLOOKUP(frasest[[#This Row],[author_es]],autorest[author_es],autorest[image])</f>
        <v>https://i.ibb.co/XfpNXLtH/mariamontessori.png</v>
      </c>
      <c r="R412">
        <f>_xlfn.XLOOKUP(frasest[[#This Row],[author_es]],autorest[author_es],autorest[image_atr])</f>
        <v>0</v>
      </c>
    </row>
    <row r="413" spans="1:18">
      <c r="A413">
        <v>412</v>
      </c>
      <c r="B413" t="s">
        <v>1415</v>
      </c>
      <c r="C413" t="s">
        <v>1416</v>
      </c>
      <c r="D413" t="s">
        <v>1417</v>
      </c>
      <c r="E413" t="s">
        <v>1405</v>
      </c>
      <c r="F413" t="s">
        <v>1418</v>
      </c>
      <c r="G413" t="str">
        <f>_xlfn.XLOOKUP(frasest[[#This Row],[author_es]],autorest[author_es],autorest[author_la])</f>
        <v>Maria Montessori</v>
      </c>
      <c r="H413"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Row],[author_es]],autorest[author_es],autorest[iso3691])</f>
        <v>it</v>
      </c>
      <c r="K413" t="str">
        <f>_xlfn.XLOOKUP(frasest[[#This Row],[author_es]],autorest[author_es],autorest[language_es])</f>
        <v>Italiano</v>
      </c>
      <c r="L413" t="str">
        <f>_xlfn.XLOOKUP(frasest[[#This Row],[author_es]],autorest[author_es],autorest[language_la])</f>
        <v>Lingua Italica</v>
      </c>
      <c r="M413" t="str">
        <f>_xlfn.XLOOKUP(frasest[[#This Row],[author_es]],autorest[author_es],autorest[nation_es])</f>
        <v>Italia</v>
      </c>
      <c r="N413" t="str">
        <f>_xlfn.XLOOKUP(frasest[[#This Row],[author_es]],autorest[author_es],autorest[nation_la])</f>
        <v>Italia</v>
      </c>
      <c r="O413" t="str">
        <f>_xlfn.XLOOKUP(frasest[[#This Row],[author_es]],autorest[author_es],autorest[age_es])</f>
        <v>Edad Contemporánea</v>
      </c>
      <c r="P413" t="str">
        <f>_xlfn.XLOOKUP(frasest[[#This Row],[author_es]],autorest[author_es],autorest[age_la])</f>
        <v>Aetas Contemporanea</v>
      </c>
      <c r="Q413" t="str">
        <f>_xlfn.XLOOKUP(frasest[[#This Row],[author_es]],autorest[author_es],autorest[image])</f>
        <v>https://i.ibb.co/XfpNXLtH/mariamontessori.png</v>
      </c>
      <c r="R413">
        <f>_xlfn.XLOOKUP(frasest[[#This Row],[author_es]],autorest[author_es],autorest[image_atr])</f>
        <v>0</v>
      </c>
    </row>
    <row r="414" spans="1:18">
      <c r="A414">
        <v>413</v>
      </c>
      <c r="B414" t="s">
        <v>1419</v>
      </c>
      <c r="C414" t="s">
        <v>1420</v>
      </c>
      <c r="D414" t="s">
        <v>1421</v>
      </c>
      <c r="E414" t="s">
        <v>1405</v>
      </c>
      <c r="F414" t="s">
        <v>1422</v>
      </c>
      <c r="G414" t="str">
        <f>_xlfn.XLOOKUP(frasest[[#This Row],[author_es]],autorest[author_es],autorest[author_la])</f>
        <v>Maria Montessori</v>
      </c>
      <c r="H414"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Row],[author_es]],autorest[author_es],autorest[iso3691])</f>
        <v>it</v>
      </c>
      <c r="K414" t="str">
        <f>_xlfn.XLOOKUP(frasest[[#This Row],[author_es]],autorest[author_es],autorest[language_es])</f>
        <v>Italiano</v>
      </c>
      <c r="L414" t="str">
        <f>_xlfn.XLOOKUP(frasest[[#This Row],[author_es]],autorest[author_es],autorest[language_la])</f>
        <v>Lingua Italica</v>
      </c>
      <c r="M414" t="str">
        <f>_xlfn.XLOOKUP(frasest[[#This Row],[author_es]],autorest[author_es],autorest[nation_es])</f>
        <v>Italia</v>
      </c>
      <c r="N414" t="str">
        <f>_xlfn.XLOOKUP(frasest[[#This Row],[author_es]],autorest[author_es],autorest[nation_la])</f>
        <v>Italia</v>
      </c>
      <c r="O414" t="str">
        <f>_xlfn.XLOOKUP(frasest[[#This Row],[author_es]],autorest[author_es],autorest[age_es])</f>
        <v>Edad Contemporánea</v>
      </c>
      <c r="P414" t="str">
        <f>_xlfn.XLOOKUP(frasest[[#This Row],[author_es]],autorest[author_es],autorest[age_la])</f>
        <v>Aetas Contemporanea</v>
      </c>
      <c r="Q414" t="str">
        <f>_xlfn.XLOOKUP(frasest[[#This Row],[author_es]],autorest[author_es],autorest[image])</f>
        <v>https://i.ibb.co/XfpNXLtH/mariamontessori.png</v>
      </c>
      <c r="R414">
        <f>_xlfn.XLOOKUP(frasest[[#This Row],[author_es]],autorest[author_es],autorest[image_atr])</f>
        <v>0</v>
      </c>
    </row>
    <row r="415" spans="1:18">
      <c r="A415">
        <v>414</v>
      </c>
      <c r="B415" t="s">
        <v>1423</v>
      </c>
      <c r="C415" t="s">
        <v>1424</v>
      </c>
      <c r="D415" t="s">
        <v>1425</v>
      </c>
      <c r="E415" t="s">
        <v>1405</v>
      </c>
      <c r="F415" t="s">
        <v>1426</v>
      </c>
      <c r="G415" t="str">
        <f>_xlfn.XLOOKUP(frasest[[#This Row],[author_es]],autorest[author_es],autorest[author_la])</f>
        <v>Maria Montessori</v>
      </c>
      <c r="H415"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Row],[author_es]],autorest[author_es],autorest[iso3691])</f>
        <v>it</v>
      </c>
      <c r="K415" t="str">
        <f>_xlfn.XLOOKUP(frasest[[#This Row],[author_es]],autorest[author_es],autorest[language_es])</f>
        <v>Italiano</v>
      </c>
      <c r="L415" t="str">
        <f>_xlfn.XLOOKUP(frasest[[#This Row],[author_es]],autorest[author_es],autorest[language_la])</f>
        <v>Lingua Italica</v>
      </c>
      <c r="M415" t="str">
        <f>_xlfn.XLOOKUP(frasest[[#This Row],[author_es]],autorest[author_es],autorest[nation_es])</f>
        <v>Italia</v>
      </c>
      <c r="N415" t="str">
        <f>_xlfn.XLOOKUP(frasest[[#This Row],[author_es]],autorest[author_es],autorest[nation_la])</f>
        <v>Italia</v>
      </c>
      <c r="O415" t="str">
        <f>_xlfn.XLOOKUP(frasest[[#This Row],[author_es]],autorest[author_es],autorest[age_es])</f>
        <v>Edad Contemporánea</v>
      </c>
      <c r="P415" t="str">
        <f>_xlfn.XLOOKUP(frasest[[#This Row],[author_es]],autorest[author_es],autorest[age_la])</f>
        <v>Aetas Contemporanea</v>
      </c>
      <c r="Q415" t="str">
        <f>_xlfn.XLOOKUP(frasest[[#This Row],[author_es]],autorest[author_es],autorest[image])</f>
        <v>https://i.ibb.co/XfpNXLtH/mariamontessori.png</v>
      </c>
      <c r="R415">
        <f>_xlfn.XLOOKUP(frasest[[#This Row],[author_es]],autorest[author_es],autorest[image_atr])</f>
        <v>0</v>
      </c>
    </row>
    <row r="416" spans="1:18">
      <c r="A416">
        <v>415</v>
      </c>
      <c r="B416" t="s">
        <v>1427</v>
      </c>
      <c r="C416" t="s">
        <v>1428</v>
      </c>
      <c r="D416" t="s">
        <v>1429</v>
      </c>
      <c r="E416" t="s">
        <v>1430</v>
      </c>
      <c r="F416" t="s">
        <v>1431</v>
      </c>
      <c r="G416" t="str">
        <f>_xlfn.XLOOKUP(frasest[[#This Row],[author_es]],autorest[author_es],autorest[author_la])</f>
        <v>Paulus Freire</v>
      </c>
      <c r="H416"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Row],[author_es]],autorest[author_es],autorest[iso3691])</f>
        <v>pt</v>
      </c>
      <c r="K416" t="str">
        <f>_xlfn.XLOOKUP(frasest[[#This Row],[author_es]],autorest[author_es],autorest[language_es])</f>
        <v>Portugués</v>
      </c>
      <c r="L416" t="str">
        <f>_xlfn.XLOOKUP(frasest[[#This Row],[author_es]],autorest[author_es],autorest[language_la])</f>
        <v>Lingua Lusitanica</v>
      </c>
      <c r="M416" t="str">
        <f>_xlfn.XLOOKUP(frasest[[#This Row],[author_es]],autorest[author_es],autorest[nation_es])</f>
        <v>Brasil</v>
      </c>
      <c r="N416" t="str">
        <f>_xlfn.XLOOKUP(frasest[[#This Row],[author_es]],autorest[author_es],autorest[nation_la])</f>
        <v>Brasilia</v>
      </c>
      <c r="O416" t="str">
        <f>_xlfn.XLOOKUP(frasest[[#This Row],[author_es]],autorest[author_es],autorest[age_es])</f>
        <v>Edad Contemporánea</v>
      </c>
      <c r="P416" t="str">
        <f>_xlfn.XLOOKUP(frasest[[#This Row],[author_es]],autorest[author_es],autorest[age_la])</f>
        <v>Aetas Contemporanea</v>
      </c>
      <c r="Q416" t="str">
        <f>_xlfn.XLOOKUP(frasest[[#This Row],[author_es]],autorest[author_es],autorest[image])</f>
        <v>https://i.ibb.co/8g9CdD0p/paulofreire.png</v>
      </c>
      <c r="R416">
        <f>_xlfn.XLOOKUP(frasest[[#This Row],[author_es]],autorest[author_es],autorest[image_atr])</f>
        <v>0</v>
      </c>
    </row>
    <row r="417" spans="1:18">
      <c r="A417">
        <v>416</v>
      </c>
      <c r="B417" t="s">
        <v>1432</v>
      </c>
      <c r="C417" t="s">
        <v>1433</v>
      </c>
      <c r="D417" t="s">
        <v>1434</v>
      </c>
      <c r="E417" t="s">
        <v>1430</v>
      </c>
      <c r="F417" t="s">
        <v>1435</v>
      </c>
      <c r="G417" t="str">
        <f>_xlfn.XLOOKUP(frasest[[#This Row],[author_es]],autorest[author_es],autorest[author_la])</f>
        <v>Paulus Freire</v>
      </c>
      <c r="H417"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Row],[author_es]],autorest[author_es],autorest[iso3691])</f>
        <v>pt</v>
      </c>
      <c r="K417" t="str">
        <f>_xlfn.XLOOKUP(frasest[[#This Row],[author_es]],autorest[author_es],autorest[language_es])</f>
        <v>Portugués</v>
      </c>
      <c r="L417" t="str">
        <f>_xlfn.XLOOKUP(frasest[[#This Row],[author_es]],autorest[author_es],autorest[language_la])</f>
        <v>Lingua Lusitanica</v>
      </c>
      <c r="M417" t="str">
        <f>_xlfn.XLOOKUP(frasest[[#This Row],[author_es]],autorest[author_es],autorest[nation_es])</f>
        <v>Brasil</v>
      </c>
      <c r="N417" t="str">
        <f>_xlfn.XLOOKUP(frasest[[#This Row],[author_es]],autorest[author_es],autorest[nation_la])</f>
        <v>Brasilia</v>
      </c>
      <c r="O417" t="str">
        <f>_xlfn.XLOOKUP(frasest[[#This Row],[author_es]],autorest[author_es],autorest[age_es])</f>
        <v>Edad Contemporánea</v>
      </c>
      <c r="P417" t="str">
        <f>_xlfn.XLOOKUP(frasest[[#This Row],[author_es]],autorest[author_es],autorest[age_la])</f>
        <v>Aetas Contemporanea</v>
      </c>
      <c r="Q417" t="str">
        <f>_xlfn.XLOOKUP(frasest[[#This Row],[author_es]],autorest[author_es],autorest[image])</f>
        <v>https://i.ibb.co/8g9CdD0p/paulofreire.png</v>
      </c>
      <c r="R417">
        <f>_xlfn.XLOOKUP(frasest[[#This Row],[author_es]],autorest[author_es],autorest[image_atr])</f>
        <v>0</v>
      </c>
    </row>
    <row r="418" spans="1:18">
      <c r="A418">
        <v>417</v>
      </c>
      <c r="B418" t="s">
        <v>1436</v>
      </c>
      <c r="C418" t="s">
        <v>1437</v>
      </c>
      <c r="D418" t="s">
        <v>1438</v>
      </c>
      <c r="E418" t="s">
        <v>1430</v>
      </c>
      <c r="F418" t="s">
        <v>1439</v>
      </c>
      <c r="G418" t="str">
        <f>_xlfn.XLOOKUP(frasest[[#This Row],[author_es]],autorest[author_es],autorest[author_la])</f>
        <v>Paulus Freire</v>
      </c>
      <c r="H418"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Row],[author_es]],autorest[author_es],autorest[iso3691])</f>
        <v>pt</v>
      </c>
      <c r="K418" t="str">
        <f>_xlfn.XLOOKUP(frasest[[#This Row],[author_es]],autorest[author_es],autorest[language_es])</f>
        <v>Portugués</v>
      </c>
      <c r="L418" t="str">
        <f>_xlfn.XLOOKUP(frasest[[#This Row],[author_es]],autorest[author_es],autorest[language_la])</f>
        <v>Lingua Lusitanica</v>
      </c>
      <c r="M418" t="str">
        <f>_xlfn.XLOOKUP(frasest[[#This Row],[author_es]],autorest[author_es],autorest[nation_es])</f>
        <v>Brasil</v>
      </c>
      <c r="N418" t="str">
        <f>_xlfn.XLOOKUP(frasest[[#This Row],[author_es]],autorest[author_es],autorest[nation_la])</f>
        <v>Brasilia</v>
      </c>
      <c r="O418" t="str">
        <f>_xlfn.XLOOKUP(frasest[[#This Row],[author_es]],autorest[author_es],autorest[age_es])</f>
        <v>Edad Contemporánea</v>
      </c>
      <c r="P418" t="str">
        <f>_xlfn.XLOOKUP(frasest[[#This Row],[author_es]],autorest[author_es],autorest[age_la])</f>
        <v>Aetas Contemporanea</v>
      </c>
      <c r="Q418" t="str">
        <f>_xlfn.XLOOKUP(frasest[[#This Row],[author_es]],autorest[author_es],autorest[image])</f>
        <v>https://i.ibb.co/8g9CdD0p/paulofreire.png</v>
      </c>
      <c r="R418">
        <f>_xlfn.XLOOKUP(frasest[[#This Row],[author_es]],autorest[author_es],autorest[image_atr])</f>
        <v>0</v>
      </c>
    </row>
    <row r="419" spans="1:18">
      <c r="A419">
        <v>418</v>
      </c>
      <c r="B419" t="s">
        <v>1440</v>
      </c>
      <c r="C419" t="s">
        <v>1441</v>
      </c>
      <c r="D419" t="s">
        <v>1442</v>
      </c>
      <c r="E419" t="s">
        <v>1430</v>
      </c>
      <c r="F419" t="s">
        <v>1443</v>
      </c>
      <c r="G419" t="str">
        <f>_xlfn.XLOOKUP(frasest[[#This Row],[author_es]],autorest[author_es],autorest[author_la])</f>
        <v>Paulus Freire</v>
      </c>
      <c r="H419"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Row],[author_es]],autorest[author_es],autorest[iso3691])</f>
        <v>pt</v>
      </c>
      <c r="K419" t="str">
        <f>_xlfn.XLOOKUP(frasest[[#This Row],[author_es]],autorest[author_es],autorest[language_es])</f>
        <v>Portugués</v>
      </c>
      <c r="L419" t="str">
        <f>_xlfn.XLOOKUP(frasest[[#This Row],[author_es]],autorest[author_es],autorest[language_la])</f>
        <v>Lingua Lusitanica</v>
      </c>
      <c r="M419" t="str">
        <f>_xlfn.XLOOKUP(frasest[[#This Row],[author_es]],autorest[author_es],autorest[nation_es])</f>
        <v>Brasil</v>
      </c>
      <c r="N419" t="str">
        <f>_xlfn.XLOOKUP(frasest[[#This Row],[author_es]],autorest[author_es],autorest[nation_la])</f>
        <v>Brasilia</v>
      </c>
      <c r="O419" t="str">
        <f>_xlfn.XLOOKUP(frasest[[#This Row],[author_es]],autorest[author_es],autorest[age_es])</f>
        <v>Edad Contemporánea</v>
      </c>
      <c r="P419" t="str">
        <f>_xlfn.XLOOKUP(frasest[[#This Row],[author_es]],autorest[author_es],autorest[age_la])</f>
        <v>Aetas Contemporanea</v>
      </c>
      <c r="Q419" t="str">
        <f>_xlfn.XLOOKUP(frasest[[#This Row],[author_es]],autorest[author_es],autorest[image])</f>
        <v>https://i.ibb.co/8g9CdD0p/paulofreire.png</v>
      </c>
      <c r="R419">
        <f>_xlfn.XLOOKUP(frasest[[#This Row],[author_es]],autorest[author_es],autorest[image_atr])</f>
        <v>0</v>
      </c>
    </row>
    <row r="420" spans="1:18">
      <c r="A420">
        <v>419</v>
      </c>
      <c r="B420" t="s">
        <v>1444</v>
      </c>
      <c r="C420" t="s">
        <v>1445</v>
      </c>
      <c r="D420" t="s">
        <v>1446</v>
      </c>
      <c r="E420" t="s">
        <v>1430</v>
      </c>
      <c r="F420" t="s">
        <v>1447</v>
      </c>
      <c r="G420" t="str">
        <f>_xlfn.XLOOKUP(frasest[[#This Row],[author_es]],autorest[author_es],autorest[author_la])</f>
        <v>Paulus Freire</v>
      </c>
      <c r="H420"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Row],[author_es]],autorest[author_es],autorest[iso3691])</f>
        <v>pt</v>
      </c>
      <c r="K420" t="str">
        <f>_xlfn.XLOOKUP(frasest[[#This Row],[author_es]],autorest[author_es],autorest[language_es])</f>
        <v>Portugués</v>
      </c>
      <c r="L420" t="str">
        <f>_xlfn.XLOOKUP(frasest[[#This Row],[author_es]],autorest[author_es],autorest[language_la])</f>
        <v>Lingua Lusitanica</v>
      </c>
      <c r="M420" t="str">
        <f>_xlfn.XLOOKUP(frasest[[#This Row],[author_es]],autorest[author_es],autorest[nation_es])</f>
        <v>Brasil</v>
      </c>
      <c r="N420" t="str">
        <f>_xlfn.XLOOKUP(frasest[[#This Row],[author_es]],autorest[author_es],autorest[nation_la])</f>
        <v>Brasilia</v>
      </c>
      <c r="O420" t="str">
        <f>_xlfn.XLOOKUP(frasest[[#This Row],[author_es]],autorest[author_es],autorest[age_es])</f>
        <v>Edad Contemporánea</v>
      </c>
      <c r="P420" t="str">
        <f>_xlfn.XLOOKUP(frasest[[#This Row],[author_es]],autorest[author_es],autorest[age_la])</f>
        <v>Aetas Contemporanea</v>
      </c>
      <c r="Q420" t="str">
        <f>_xlfn.XLOOKUP(frasest[[#This Row],[author_es]],autorest[author_es],autorest[image])</f>
        <v>https://i.ibb.co/8g9CdD0p/paulofreire.png</v>
      </c>
      <c r="R420">
        <f>_xlfn.XLOOKUP(frasest[[#This Row],[author_es]],autorest[author_es],autorest[image_atr])</f>
        <v>0</v>
      </c>
    </row>
    <row r="421" spans="1:18">
      <c r="A421">
        <v>420</v>
      </c>
      <c r="B421" t="s">
        <v>1448</v>
      </c>
      <c r="C421" t="s">
        <v>1449</v>
      </c>
      <c r="D421" t="s">
        <v>1450</v>
      </c>
      <c r="E421" t="s">
        <v>1430</v>
      </c>
      <c r="F421" t="s">
        <v>1451</v>
      </c>
      <c r="G421" t="str">
        <f>_xlfn.XLOOKUP(frasest[[#This Row],[author_es]],autorest[author_es],autorest[author_la])</f>
        <v>Paulus Freire</v>
      </c>
      <c r="H421"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Row],[author_es]],autorest[author_es],autorest[iso3691])</f>
        <v>pt</v>
      </c>
      <c r="K421" t="str">
        <f>_xlfn.XLOOKUP(frasest[[#This Row],[author_es]],autorest[author_es],autorest[language_es])</f>
        <v>Portugués</v>
      </c>
      <c r="L421" t="str">
        <f>_xlfn.XLOOKUP(frasest[[#This Row],[author_es]],autorest[author_es],autorest[language_la])</f>
        <v>Lingua Lusitanica</v>
      </c>
      <c r="M421" t="str">
        <f>_xlfn.XLOOKUP(frasest[[#This Row],[author_es]],autorest[author_es],autorest[nation_es])</f>
        <v>Brasil</v>
      </c>
      <c r="N421" t="str">
        <f>_xlfn.XLOOKUP(frasest[[#This Row],[author_es]],autorest[author_es],autorest[nation_la])</f>
        <v>Brasilia</v>
      </c>
      <c r="O421" t="str">
        <f>_xlfn.XLOOKUP(frasest[[#This Row],[author_es]],autorest[author_es],autorest[age_es])</f>
        <v>Edad Contemporánea</v>
      </c>
      <c r="P421" t="str">
        <f>_xlfn.XLOOKUP(frasest[[#This Row],[author_es]],autorest[author_es],autorest[age_la])</f>
        <v>Aetas Contemporanea</v>
      </c>
      <c r="Q421" t="str">
        <f>_xlfn.XLOOKUP(frasest[[#This Row],[author_es]],autorest[author_es],autorest[image])</f>
        <v>https://i.ibb.co/8g9CdD0p/paulofreire.png</v>
      </c>
      <c r="R421">
        <f>_xlfn.XLOOKUP(frasest[[#This Row],[author_es]],autorest[author_es],autorest[image_atr])</f>
        <v>0</v>
      </c>
    </row>
    <row r="422" spans="1:18">
      <c r="A422">
        <v>421</v>
      </c>
      <c r="B422" t="s">
        <v>1452</v>
      </c>
      <c r="C422" t="s">
        <v>1453</v>
      </c>
      <c r="D422" t="s">
        <v>1453</v>
      </c>
      <c r="E422" t="s">
        <v>1454</v>
      </c>
      <c r="F422" t="s">
        <v>1453</v>
      </c>
      <c r="G422" t="str">
        <f>_xlfn.XLOOKUP(frasest[[#This Row],[author_es]],autorest[author_es],autorest[author_la])</f>
        <v>Sanctus Iosephus Calasanctius</v>
      </c>
      <c r="H422"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Row],[author_es]],autorest[author_es],autorest[iso3691])</f>
        <v>la</v>
      </c>
      <c r="K422" t="str">
        <f>_xlfn.XLOOKUP(frasest[[#This Row],[author_es]],autorest[author_es],autorest[language_es])</f>
        <v>Latín</v>
      </c>
      <c r="L422" t="str">
        <f>_xlfn.XLOOKUP(frasest[[#This Row],[author_es]],autorest[author_es],autorest[language_la])</f>
        <v>Lingua Latina</v>
      </c>
      <c r="M422" t="str">
        <f>_xlfn.XLOOKUP(frasest[[#This Row],[author_es]],autorest[author_es],autorest[nation_es])</f>
        <v>España</v>
      </c>
      <c r="N422" t="str">
        <f>_xlfn.XLOOKUP(frasest[[#This Row],[author_es]],autorest[author_es],autorest[nation_la])</f>
        <v>Hispania</v>
      </c>
      <c r="O422" t="str">
        <f>_xlfn.XLOOKUP(frasest[[#This Row],[author_es]],autorest[author_es],autorest[age_es])</f>
        <v>Edad Moderna</v>
      </c>
      <c r="P422" t="str">
        <f>_xlfn.XLOOKUP(frasest[[#This Row],[author_es]],autorest[author_es],autorest[age_la])</f>
        <v>Nova Aetas</v>
      </c>
      <c r="Q422" t="str">
        <f>_xlfn.XLOOKUP(frasest[[#This Row],[author_es]],autorest[author_es],autorest[image])</f>
        <v>https://i.ibb.co/C5vjn9Hz/sanjosedecalasanz.png</v>
      </c>
      <c r="R422">
        <f>_xlfn.XLOOKUP(frasest[[#This Row],[author_es]],autorest[author_es],autorest[image_atr])</f>
        <v>0</v>
      </c>
    </row>
    <row r="423" spans="1:18">
      <c r="A423">
        <v>422</v>
      </c>
      <c r="B423" t="s">
        <v>1455</v>
      </c>
      <c r="C423" t="s">
        <v>1456</v>
      </c>
      <c r="D423" t="s">
        <v>1456</v>
      </c>
      <c r="E423" t="s">
        <v>1454</v>
      </c>
      <c r="F423" t="s">
        <v>1457</v>
      </c>
      <c r="G423" t="str">
        <f>_xlfn.XLOOKUP(frasest[[#This Row],[author_es]],autorest[author_es],autorest[author_la])</f>
        <v>Sanctus Iosephus Calasanctius</v>
      </c>
      <c r="H423"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Row],[author_es]],autorest[author_es],autorest[iso3691])</f>
        <v>la</v>
      </c>
      <c r="K423" t="str">
        <f>_xlfn.XLOOKUP(frasest[[#This Row],[author_es]],autorest[author_es],autorest[language_es])</f>
        <v>Latín</v>
      </c>
      <c r="L423" t="str">
        <f>_xlfn.XLOOKUP(frasest[[#This Row],[author_es]],autorest[author_es],autorest[language_la])</f>
        <v>Lingua Latina</v>
      </c>
      <c r="M423" t="str">
        <f>_xlfn.XLOOKUP(frasest[[#This Row],[author_es]],autorest[author_es],autorest[nation_es])</f>
        <v>España</v>
      </c>
      <c r="N423" t="str">
        <f>_xlfn.XLOOKUP(frasest[[#This Row],[author_es]],autorest[author_es],autorest[nation_la])</f>
        <v>Hispania</v>
      </c>
      <c r="O423" t="str">
        <f>_xlfn.XLOOKUP(frasest[[#This Row],[author_es]],autorest[author_es],autorest[age_es])</f>
        <v>Edad Moderna</v>
      </c>
      <c r="P423" t="str">
        <f>_xlfn.XLOOKUP(frasest[[#This Row],[author_es]],autorest[author_es],autorest[age_la])</f>
        <v>Nova Aetas</v>
      </c>
      <c r="Q423" t="str">
        <f>_xlfn.XLOOKUP(frasest[[#This Row],[author_es]],autorest[author_es],autorest[image])</f>
        <v>https://i.ibb.co/C5vjn9Hz/sanjosedecalasanz.png</v>
      </c>
      <c r="R423">
        <f>_xlfn.XLOOKUP(frasest[[#This Row],[author_es]],autorest[author_es],autorest[image_atr])</f>
        <v>0</v>
      </c>
    </row>
    <row r="424" spans="1:18">
      <c r="A424">
        <v>423</v>
      </c>
      <c r="B424" t="s">
        <v>1458</v>
      </c>
      <c r="C424" t="s">
        <v>1459</v>
      </c>
      <c r="D424" t="s">
        <v>1459</v>
      </c>
      <c r="E424" t="s">
        <v>1454</v>
      </c>
      <c r="F424" t="s">
        <v>1457</v>
      </c>
      <c r="G424" t="str">
        <f>_xlfn.XLOOKUP(frasest[[#This Row],[author_es]],autorest[author_es],autorest[author_la])</f>
        <v>Sanctus Iosephus Calasanctius</v>
      </c>
      <c r="H424"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Row],[author_es]],autorest[author_es],autorest[iso3691])</f>
        <v>la</v>
      </c>
      <c r="K424" t="str">
        <f>_xlfn.XLOOKUP(frasest[[#This Row],[author_es]],autorest[author_es],autorest[language_es])</f>
        <v>Latín</v>
      </c>
      <c r="L424" t="str">
        <f>_xlfn.XLOOKUP(frasest[[#This Row],[author_es]],autorest[author_es],autorest[language_la])</f>
        <v>Lingua Latina</v>
      </c>
      <c r="M424" t="str">
        <f>_xlfn.XLOOKUP(frasest[[#This Row],[author_es]],autorest[author_es],autorest[nation_es])</f>
        <v>España</v>
      </c>
      <c r="N424" t="str">
        <f>_xlfn.XLOOKUP(frasest[[#This Row],[author_es]],autorest[author_es],autorest[nation_la])</f>
        <v>Hispania</v>
      </c>
      <c r="O424" t="str">
        <f>_xlfn.XLOOKUP(frasest[[#This Row],[author_es]],autorest[author_es],autorest[age_es])</f>
        <v>Edad Moderna</v>
      </c>
      <c r="P424" t="str">
        <f>_xlfn.XLOOKUP(frasest[[#This Row],[author_es]],autorest[author_es],autorest[age_la])</f>
        <v>Nova Aetas</v>
      </c>
      <c r="Q424" t="str">
        <f>_xlfn.XLOOKUP(frasest[[#This Row],[author_es]],autorest[author_es],autorest[image])</f>
        <v>https://i.ibb.co/C5vjn9Hz/sanjosedecalasanz.png</v>
      </c>
      <c r="R424">
        <f>_xlfn.XLOOKUP(frasest[[#This Row],[author_es]],autorest[author_es],autorest[image_atr])</f>
        <v>0</v>
      </c>
    </row>
    <row r="425" spans="1:18">
      <c r="A425">
        <v>424</v>
      </c>
      <c r="B425" t="s">
        <v>1460</v>
      </c>
      <c r="C425" t="s">
        <v>1461</v>
      </c>
      <c r="D425" t="s">
        <v>1461</v>
      </c>
      <c r="E425" t="s">
        <v>1454</v>
      </c>
      <c r="F425" t="s">
        <v>1457</v>
      </c>
      <c r="G425" t="str">
        <f>_xlfn.XLOOKUP(frasest[[#This Row],[author_es]],autorest[author_es],autorest[author_la])</f>
        <v>Sanctus Iosephus Calasanctius</v>
      </c>
      <c r="H425"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Row],[author_es]],autorest[author_es],autorest[iso3691])</f>
        <v>la</v>
      </c>
      <c r="K425" t="str">
        <f>_xlfn.XLOOKUP(frasest[[#This Row],[author_es]],autorest[author_es],autorest[language_es])</f>
        <v>Latín</v>
      </c>
      <c r="L425" t="str">
        <f>_xlfn.XLOOKUP(frasest[[#This Row],[author_es]],autorest[author_es],autorest[language_la])</f>
        <v>Lingua Latina</v>
      </c>
      <c r="M425" t="str">
        <f>_xlfn.XLOOKUP(frasest[[#This Row],[author_es]],autorest[author_es],autorest[nation_es])</f>
        <v>España</v>
      </c>
      <c r="N425" t="str">
        <f>_xlfn.XLOOKUP(frasest[[#This Row],[author_es]],autorest[author_es],autorest[nation_la])</f>
        <v>Hispania</v>
      </c>
      <c r="O425" t="str">
        <f>_xlfn.XLOOKUP(frasest[[#This Row],[author_es]],autorest[author_es],autorest[age_es])</f>
        <v>Edad Moderna</v>
      </c>
      <c r="P425" t="str">
        <f>_xlfn.XLOOKUP(frasest[[#This Row],[author_es]],autorest[author_es],autorest[age_la])</f>
        <v>Nova Aetas</v>
      </c>
      <c r="Q425" t="str">
        <f>_xlfn.XLOOKUP(frasest[[#This Row],[author_es]],autorest[author_es],autorest[image])</f>
        <v>https://i.ibb.co/C5vjn9Hz/sanjosedecalasanz.png</v>
      </c>
      <c r="R425">
        <f>_xlfn.XLOOKUP(frasest[[#This Row],[author_es]],autorest[author_es],autorest[image_atr])</f>
        <v>0</v>
      </c>
    </row>
    <row r="426" spans="1:18">
      <c r="A426">
        <v>425</v>
      </c>
      <c r="B426" t="s">
        <v>1462</v>
      </c>
      <c r="C426" t="s">
        <v>1463</v>
      </c>
      <c r="D426" t="s">
        <v>1463</v>
      </c>
      <c r="E426" t="s">
        <v>1454</v>
      </c>
      <c r="F426" t="s">
        <v>1457</v>
      </c>
      <c r="G426" t="str">
        <f>_xlfn.XLOOKUP(frasest[[#This Row],[author_es]],autorest[author_es],autorest[author_la])</f>
        <v>Sanctus Iosephus Calasanctius</v>
      </c>
      <c r="H426"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Row],[author_es]],autorest[author_es],autorest[iso3691])</f>
        <v>la</v>
      </c>
      <c r="K426" t="str">
        <f>_xlfn.XLOOKUP(frasest[[#This Row],[author_es]],autorest[author_es],autorest[language_es])</f>
        <v>Latín</v>
      </c>
      <c r="L426" t="str">
        <f>_xlfn.XLOOKUP(frasest[[#This Row],[author_es]],autorest[author_es],autorest[language_la])</f>
        <v>Lingua Latina</v>
      </c>
      <c r="M426" t="str">
        <f>_xlfn.XLOOKUP(frasest[[#This Row],[author_es]],autorest[author_es],autorest[nation_es])</f>
        <v>España</v>
      </c>
      <c r="N426" t="str">
        <f>_xlfn.XLOOKUP(frasest[[#This Row],[author_es]],autorest[author_es],autorest[nation_la])</f>
        <v>Hispania</v>
      </c>
      <c r="O426" t="str">
        <f>_xlfn.XLOOKUP(frasest[[#This Row],[author_es]],autorest[author_es],autorest[age_es])</f>
        <v>Edad Moderna</v>
      </c>
      <c r="P426" t="str">
        <f>_xlfn.XLOOKUP(frasest[[#This Row],[author_es]],autorest[author_es],autorest[age_la])</f>
        <v>Nova Aetas</v>
      </c>
      <c r="Q426" t="str">
        <f>_xlfn.XLOOKUP(frasest[[#This Row],[author_es]],autorest[author_es],autorest[image])</f>
        <v>https://i.ibb.co/C5vjn9Hz/sanjosedecalasanz.png</v>
      </c>
      <c r="R426">
        <f>_xlfn.XLOOKUP(frasest[[#This Row],[author_es]],autorest[author_es],autorest[image_atr])</f>
        <v>0</v>
      </c>
    </row>
    <row r="427" spans="1:18">
      <c r="A427">
        <v>426</v>
      </c>
      <c r="B427" t="s">
        <v>1464</v>
      </c>
      <c r="C427" t="s">
        <v>1465</v>
      </c>
      <c r="D427" t="s">
        <v>1465</v>
      </c>
      <c r="E427" t="s">
        <v>1454</v>
      </c>
      <c r="F427" t="s">
        <v>1457</v>
      </c>
      <c r="G427" t="str">
        <f>_xlfn.XLOOKUP(frasest[[#This Row],[author_es]],autorest[author_es],autorest[author_la])</f>
        <v>Sanctus Iosephus Calasanctius</v>
      </c>
      <c r="H427"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Row],[author_es]],autorest[author_es],autorest[iso3691])</f>
        <v>la</v>
      </c>
      <c r="K427" t="str">
        <f>_xlfn.XLOOKUP(frasest[[#This Row],[author_es]],autorest[author_es],autorest[language_es])</f>
        <v>Latín</v>
      </c>
      <c r="L427" t="str">
        <f>_xlfn.XLOOKUP(frasest[[#This Row],[author_es]],autorest[author_es],autorest[language_la])</f>
        <v>Lingua Latina</v>
      </c>
      <c r="M427" t="str">
        <f>_xlfn.XLOOKUP(frasest[[#This Row],[author_es]],autorest[author_es],autorest[nation_es])</f>
        <v>España</v>
      </c>
      <c r="N427" t="str">
        <f>_xlfn.XLOOKUP(frasest[[#This Row],[author_es]],autorest[author_es],autorest[nation_la])</f>
        <v>Hispania</v>
      </c>
      <c r="O427" t="str">
        <f>_xlfn.XLOOKUP(frasest[[#This Row],[author_es]],autorest[author_es],autorest[age_es])</f>
        <v>Edad Moderna</v>
      </c>
      <c r="P427" t="str">
        <f>_xlfn.XLOOKUP(frasest[[#This Row],[author_es]],autorest[author_es],autorest[age_la])</f>
        <v>Nova Aetas</v>
      </c>
      <c r="Q427" t="str">
        <f>_xlfn.XLOOKUP(frasest[[#This Row],[author_es]],autorest[author_es],autorest[image])</f>
        <v>https://i.ibb.co/C5vjn9Hz/sanjosedecalasanz.png</v>
      </c>
      <c r="R427">
        <f>_xlfn.XLOOKUP(frasest[[#This Row],[author_es]],autorest[author_es],autorest[image_atr])</f>
        <v>0</v>
      </c>
    </row>
    <row r="428" spans="1:18">
      <c r="A428">
        <v>427</v>
      </c>
      <c r="B428" t="s">
        <v>1466</v>
      </c>
      <c r="C428" t="s">
        <v>1467</v>
      </c>
      <c r="D428" t="s">
        <v>1467</v>
      </c>
      <c r="E428" t="s">
        <v>1468</v>
      </c>
      <c r="F428" t="s">
        <v>1469</v>
      </c>
      <c r="G428" t="str">
        <f>_xlfn.XLOOKUP(frasest[[#This Row],[author_es]],autorest[author_es],autorest[author_la])</f>
        <v>Desiderius Erasmus Roterodamus</v>
      </c>
      <c r="H428"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Row],[author_es]],autorest[author_es],autorest[iso3691])</f>
        <v>la</v>
      </c>
      <c r="K428" t="str">
        <f>_xlfn.XLOOKUP(frasest[[#This Row],[author_es]],autorest[author_es],autorest[language_es])</f>
        <v>Latín</v>
      </c>
      <c r="L428" t="str">
        <f>_xlfn.XLOOKUP(frasest[[#This Row],[author_es]],autorest[author_es],autorest[language_la])</f>
        <v>Lingua Latina</v>
      </c>
      <c r="M428" t="str">
        <f>_xlfn.XLOOKUP(frasest[[#This Row],[author_es]],autorest[author_es],autorest[nation_es])</f>
        <v>Países Bajos</v>
      </c>
      <c r="N428" t="str">
        <f>_xlfn.XLOOKUP(frasest[[#This Row],[author_es]],autorest[author_es],autorest[nation_la])</f>
        <v>Nederlandia</v>
      </c>
      <c r="O428" t="str">
        <f>_xlfn.XLOOKUP(frasest[[#This Row],[author_es]],autorest[author_es],autorest[age_es])</f>
        <v>Edad Media</v>
      </c>
      <c r="P428" t="str">
        <f>_xlfn.XLOOKUP(frasest[[#This Row],[author_es]],autorest[author_es],autorest[age_la])</f>
        <v>Medium Aevum</v>
      </c>
      <c r="Q428" t="str">
        <f>_xlfn.XLOOKUP(frasest[[#This Row],[author_es]],autorest[author_es],autorest[image])</f>
        <v>https://i.ibb.co/7d7hCTQ3/erasmo.png</v>
      </c>
      <c r="R428">
        <f>_xlfn.XLOOKUP(frasest[[#This Row],[author_es]],autorest[author_es],autorest[image_atr])</f>
        <v>0</v>
      </c>
    </row>
    <row r="429" spans="1:18">
      <c r="A429">
        <v>428</v>
      </c>
      <c r="B429" t="s">
        <v>1470</v>
      </c>
      <c r="C429" t="s">
        <v>1471</v>
      </c>
      <c r="D429" t="s">
        <v>1471</v>
      </c>
      <c r="E429" t="s">
        <v>1468</v>
      </c>
      <c r="F429" t="s">
        <v>1472</v>
      </c>
      <c r="G429" t="str">
        <f>_xlfn.XLOOKUP(frasest[[#This Row],[author_es]],autorest[author_es],autorest[author_la])</f>
        <v>Desiderius Erasmus Roterodamus</v>
      </c>
      <c r="H429"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Row],[author_es]],autorest[author_es],autorest[iso3691])</f>
        <v>la</v>
      </c>
      <c r="K429" t="str">
        <f>_xlfn.XLOOKUP(frasest[[#This Row],[author_es]],autorest[author_es],autorest[language_es])</f>
        <v>Latín</v>
      </c>
      <c r="L429" t="str">
        <f>_xlfn.XLOOKUP(frasest[[#This Row],[author_es]],autorest[author_es],autorest[language_la])</f>
        <v>Lingua Latina</v>
      </c>
      <c r="M429" t="str">
        <f>_xlfn.XLOOKUP(frasest[[#This Row],[author_es]],autorest[author_es],autorest[nation_es])</f>
        <v>Países Bajos</v>
      </c>
      <c r="N429" t="str">
        <f>_xlfn.XLOOKUP(frasest[[#This Row],[author_es]],autorest[author_es],autorest[nation_la])</f>
        <v>Nederlandia</v>
      </c>
      <c r="O429" t="str">
        <f>_xlfn.XLOOKUP(frasest[[#This Row],[author_es]],autorest[author_es],autorest[age_es])</f>
        <v>Edad Media</v>
      </c>
      <c r="P429" t="str">
        <f>_xlfn.XLOOKUP(frasest[[#This Row],[author_es]],autorest[author_es],autorest[age_la])</f>
        <v>Medium Aevum</v>
      </c>
      <c r="Q429" t="str">
        <f>_xlfn.XLOOKUP(frasest[[#This Row],[author_es]],autorest[author_es],autorest[image])</f>
        <v>https://i.ibb.co/7d7hCTQ3/erasmo.png</v>
      </c>
      <c r="R429">
        <f>_xlfn.XLOOKUP(frasest[[#This Row],[author_es]],autorest[author_es],autorest[image_atr])</f>
        <v>0</v>
      </c>
    </row>
    <row r="430" spans="1:18">
      <c r="A430">
        <v>429</v>
      </c>
      <c r="B430" t="s">
        <v>1473</v>
      </c>
      <c r="C430" t="s">
        <v>1474</v>
      </c>
      <c r="D430" t="s">
        <v>1474</v>
      </c>
      <c r="E430" t="s">
        <v>1468</v>
      </c>
      <c r="F430" t="s">
        <v>1475</v>
      </c>
      <c r="G430" t="str">
        <f>_xlfn.XLOOKUP(frasest[[#This Row],[author_es]],autorest[author_es],autorest[author_la])</f>
        <v>Desiderius Erasmus Roterodamus</v>
      </c>
      <c r="H430"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Row],[author_es]],autorest[author_es],autorest[iso3691])</f>
        <v>la</v>
      </c>
      <c r="K430" t="str">
        <f>_xlfn.XLOOKUP(frasest[[#This Row],[author_es]],autorest[author_es],autorest[language_es])</f>
        <v>Latín</v>
      </c>
      <c r="L430" t="str">
        <f>_xlfn.XLOOKUP(frasest[[#This Row],[author_es]],autorest[author_es],autorest[language_la])</f>
        <v>Lingua Latina</v>
      </c>
      <c r="M430" t="str">
        <f>_xlfn.XLOOKUP(frasest[[#This Row],[author_es]],autorest[author_es],autorest[nation_es])</f>
        <v>Países Bajos</v>
      </c>
      <c r="N430" t="str">
        <f>_xlfn.XLOOKUP(frasest[[#This Row],[author_es]],autorest[author_es],autorest[nation_la])</f>
        <v>Nederlandia</v>
      </c>
      <c r="O430" t="str">
        <f>_xlfn.XLOOKUP(frasest[[#This Row],[author_es]],autorest[author_es],autorest[age_es])</f>
        <v>Edad Media</v>
      </c>
      <c r="P430" t="str">
        <f>_xlfn.XLOOKUP(frasest[[#This Row],[author_es]],autorest[author_es],autorest[age_la])</f>
        <v>Medium Aevum</v>
      </c>
      <c r="Q430" t="str">
        <f>_xlfn.XLOOKUP(frasest[[#This Row],[author_es]],autorest[author_es],autorest[image])</f>
        <v>https://i.ibb.co/7d7hCTQ3/erasmo.png</v>
      </c>
      <c r="R430">
        <f>_xlfn.XLOOKUP(frasest[[#This Row],[author_es]],autorest[author_es],autorest[image_atr])</f>
        <v>0</v>
      </c>
    </row>
    <row r="431" spans="1:18">
      <c r="A431">
        <v>430</v>
      </c>
      <c r="B431" t="s">
        <v>1476</v>
      </c>
      <c r="C431" t="s">
        <v>1477</v>
      </c>
      <c r="D431" t="s">
        <v>1477</v>
      </c>
      <c r="E431" t="s">
        <v>1468</v>
      </c>
      <c r="F431" t="s">
        <v>1478</v>
      </c>
      <c r="G431" t="str">
        <f>_xlfn.XLOOKUP(frasest[[#This Row],[author_es]],autorest[author_es],autorest[author_la])</f>
        <v>Desiderius Erasmus Roterodamus</v>
      </c>
      <c r="H431"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Row],[author_es]],autorest[author_es],autorest[iso3691])</f>
        <v>la</v>
      </c>
      <c r="K431" t="str">
        <f>_xlfn.XLOOKUP(frasest[[#This Row],[author_es]],autorest[author_es],autorest[language_es])</f>
        <v>Latín</v>
      </c>
      <c r="L431" t="str">
        <f>_xlfn.XLOOKUP(frasest[[#This Row],[author_es]],autorest[author_es],autorest[language_la])</f>
        <v>Lingua Latina</v>
      </c>
      <c r="M431" t="str">
        <f>_xlfn.XLOOKUP(frasest[[#This Row],[author_es]],autorest[author_es],autorest[nation_es])</f>
        <v>Países Bajos</v>
      </c>
      <c r="N431" t="str">
        <f>_xlfn.XLOOKUP(frasest[[#This Row],[author_es]],autorest[author_es],autorest[nation_la])</f>
        <v>Nederlandia</v>
      </c>
      <c r="O431" t="str">
        <f>_xlfn.XLOOKUP(frasest[[#This Row],[author_es]],autorest[author_es],autorest[age_es])</f>
        <v>Edad Media</v>
      </c>
      <c r="P431" t="str">
        <f>_xlfn.XLOOKUP(frasest[[#This Row],[author_es]],autorest[author_es],autorest[age_la])</f>
        <v>Medium Aevum</v>
      </c>
      <c r="Q431" t="str">
        <f>_xlfn.XLOOKUP(frasest[[#This Row],[author_es]],autorest[author_es],autorest[image])</f>
        <v>https://i.ibb.co/7d7hCTQ3/erasmo.png</v>
      </c>
      <c r="R431">
        <f>_xlfn.XLOOKUP(frasest[[#This Row],[author_es]],autorest[author_es],autorest[image_atr])</f>
        <v>0</v>
      </c>
    </row>
    <row r="432" spans="1:18">
      <c r="A432">
        <v>431</v>
      </c>
      <c r="B432" t="s">
        <v>1479</v>
      </c>
      <c r="C432" t="s">
        <v>1480</v>
      </c>
      <c r="D432" t="s">
        <v>1480</v>
      </c>
      <c r="E432" t="s">
        <v>1468</v>
      </c>
      <c r="F432" t="s">
        <v>1481</v>
      </c>
      <c r="G432" t="str">
        <f>_xlfn.XLOOKUP(frasest[[#This Row],[author_es]],autorest[author_es],autorest[author_la])</f>
        <v>Desiderius Erasmus Roterodamus</v>
      </c>
      <c r="H432"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Row],[author_es]],autorest[author_es],autorest[iso3691])</f>
        <v>la</v>
      </c>
      <c r="K432" t="str">
        <f>_xlfn.XLOOKUP(frasest[[#This Row],[author_es]],autorest[author_es],autorest[language_es])</f>
        <v>Latín</v>
      </c>
      <c r="L432" t="str">
        <f>_xlfn.XLOOKUP(frasest[[#This Row],[author_es]],autorest[author_es],autorest[language_la])</f>
        <v>Lingua Latina</v>
      </c>
      <c r="M432" t="str">
        <f>_xlfn.XLOOKUP(frasest[[#This Row],[author_es]],autorest[author_es],autorest[nation_es])</f>
        <v>Países Bajos</v>
      </c>
      <c r="N432" t="str">
        <f>_xlfn.XLOOKUP(frasest[[#This Row],[author_es]],autorest[author_es],autorest[nation_la])</f>
        <v>Nederlandia</v>
      </c>
      <c r="O432" t="str">
        <f>_xlfn.XLOOKUP(frasest[[#This Row],[author_es]],autorest[author_es],autorest[age_es])</f>
        <v>Edad Media</v>
      </c>
      <c r="P432" t="str">
        <f>_xlfn.XLOOKUP(frasest[[#This Row],[author_es]],autorest[author_es],autorest[age_la])</f>
        <v>Medium Aevum</v>
      </c>
      <c r="Q432" t="str">
        <f>_xlfn.XLOOKUP(frasest[[#This Row],[author_es]],autorest[author_es],autorest[image])</f>
        <v>https://i.ibb.co/7d7hCTQ3/erasmo.png</v>
      </c>
      <c r="R432">
        <f>_xlfn.XLOOKUP(frasest[[#This Row],[author_es]],autorest[author_es],autorest[image_atr])</f>
        <v>0</v>
      </c>
    </row>
    <row r="433" spans="1:18">
      <c r="A433">
        <v>432</v>
      </c>
      <c r="B433" t="s">
        <v>1482</v>
      </c>
      <c r="C433" t="s">
        <v>1483</v>
      </c>
      <c r="D433" t="s">
        <v>1483</v>
      </c>
      <c r="E433" t="s">
        <v>1468</v>
      </c>
      <c r="F433" t="s">
        <v>1481</v>
      </c>
      <c r="G433" t="str">
        <f>_xlfn.XLOOKUP(frasest[[#This Row],[author_es]],autorest[author_es],autorest[author_la])</f>
        <v>Desiderius Erasmus Roterodamus</v>
      </c>
      <c r="H433"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Row],[author_es]],autorest[author_es],autorest[iso3691])</f>
        <v>la</v>
      </c>
      <c r="K433" t="str">
        <f>_xlfn.XLOOKUP(frasest[[#This Row],[author_es]],autorest[author_es],autorest[language_es])</f>
        <v>Latín</v>
      </c>
      <c r="L433" t="str">
        <f>_xlfn.XLOOKUP(frasest[[#This Row],[author_es]],autorest[author_es],autorest[language_la])</f>
        <v>Lingua Latina</v>
      </c>
      <c r="M433" t="str">
        <f>_xlfn.XLOOKUP(frasest[[#This Row],[author_es]],autorest[author_es],autorest[nation_es])</f>
        <v>Países Bajos</v>
      </c>
      <c r="N433" t="str">
        <f>_xlfn.XLOOKUP(frasest[[#This Row],[author_es]],autorest[author_es],autorest[nation_la])</f>
        <v>Nederlandia</v>
      </c>
      <c r="O433" t="str">
        <f>_xlfn.XLOOKUP(frasest[[#This Row],[author_es]],autorest[author_es],autorest[age_es])</f>
        <v>Edad Media</v>
      </c>
      <c r="P433" t="str">
        <f>_xlfn.XLOOKUP(frasest[[#This Row],[author_es]],autorest[author_es],autorest[age_la])</f>
        <v>Medium Aevum</v>
      </c>
      <c r="Q433" t="str">
        <f>_xlfn.XLOOKUP(frasest[[#This Row],[author_es]],autorest[author_es],autorest[image])</f>
        <v>https://i.ibb.co/7d7hCTQ3/erasmo.png</v>
      </c>
      <c r="R433">
        <f>_xlfn.XLOOKUP(frasest[[#This Row],[author_es]],autorest[author_es],autorest[image_atr])</f>
        <v>0</v>
      </c>
    </row>
    <row r="434" spans="1:18">
      <c r="A434">
        <v>433</v>
      </c>
      <c r="B434" t="s">
        <v>1484</v>
      </c>
      <c r="C434" t="s">
        <v>1485</v>
      </c>
      <c r="D434" t="s">
        <v>1486</v>
      </c>
      <c r="E434" t="s">
        <v>1487</v>
      </c>
      <c r="F434" t="s">
        <v>1488</v>
      </c>
      <c r="G434" t="str">
        <f>_xlfn.XLOOKUP(frasest[[#This Row],[author_es]],autorest[author_es],autorest[author_la])</f>
        <v>Arthurus Schopenhauer</v>
      </c>
      <c r="H434"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Row],[author_es]],autorest[author_es],autorest[iso3691])</f>
        <v>de</v>
      </c>
      <c r="K434" t="str">
        <f>_xlfn.XLOOKUP(frasest[[#This Row],[author_es]],autorest[author_es],autorest[language_es])</f>
        <v>Alemán</v>
      </c>
      <c r="L434" t="str">
        <f>_xlfn.XLOOKUP(frasest[[#This Row],[author_es]],autorest[author_es],autorest[language_la])</f>
        <v>Lingua Germanica</v>
      </c>
      <c r="M434" t="str">
        <f>_xlfn.XLOOKUP(frasest[[#This Row],[author_es]],autorest[author_es],autorest[nation_es])</f>
        <v>Alemania</v>
      </c>
      <c r="N434" t="str">
        <f>_xlfn.XLOOKUP(frasest[[#This Row],[author_es]],autorest[author_es],autorest[nation_la])</f>
        <v>Germania</v>
      </c>
      <c r="O434" t="str">
        <f>_xlfn.XLOOKUP(frasest[[#This Row],[author_es]],autorest[author_es],autorest[age_es])</f>
        <v>Edad Moderna</v>
      </c>
      <c r="P434" t="str">
        <f>_xlfn.XLOOKUP(frasest[[#This Row],[author_es]],autorest[author_es],autorest[age_la])</f>
        <v>Nova Aetas</v>
      </c>
      <c r="Q434" t="str">
        <f>_xlfn.XLOOKUP(frasest[[#This Row],[author_es]],autorest[author_es],autorest[image])</f>
        <v>https://i.ibb.co/1B16KyZ/shopenhauer.png</v>
      </c>
      <c r="R434">
        <f>_xlfn.XLOOKUP(frasest[[#This Row],[author_es]],autorest[author_es],autorest[image_atr])</f>
        <v>0</v>
      </c>
    </row>
    <row r="435" spans="1:18">
      <c r="A435">
        <v>434</v>
      </c>
      <c r="B435" t="s">
        <v>1489</v>
      </c>
      <c r="C435" t="s">
        <v>1490</v>
      </c>
      <c r="D435" t="s">
        <v>1491</v>
      </c>
      <c r="E435" t="s">
        <v>1487</v>
      </c>
      <c r="F435" t="s">
        <v>1492</v>
      </c>
      <c r="G435" t="str">
        <f>_xlfn.XLOOKUP(frasest[[#This Row],[author_es]],autorest[author_es],autorest[author_la])</f>
        <v>Arthurus Schopenhauer</v>
      </c>
      <c r="H435"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Row],[author_es]],autorest[author_es],autorest[iso3691])</f>
        <v>de</v>
      </c>
      <c r="K435" t="str">
        <f>_xlfn.XLOOKUP(frasest[[#This Row],[author_es]],autorest[author_es],autorest[language_es])</f>
        <v>Alemán</v>
      </c>
      <c r="L435" t="str">
        <f>_xlfn.XLOOKUP(frasest[[#This Row],[author_es]],autorest[author_es],autorest[language_la])</f>
        <v>Lingua Germanica</v>
      </c>
      <c r="M435" t="str">
        <f>_xlfn.XLOOKUP(frasest[[#This Row],[author_es]],autorest[author_es],autorest[nation_es])</f>
        <v>Alemania</v>
      </c>
      <c r="N435" t="str">
        <f>_xlfn.XLOOKUP(frasest[[#This Row],[author_es]],autorest[author_es],autorest[nation_la])</f>
        <v>Germania</v>
      </c>
      <c r="O435" t="str">
        <f>_xlfn.XLOOKUP(frasest[[#This Row],[author_es]],autorest[author_es],autorest[age_es])</f>
        <v>Edad Moderna</v>
      </c>
      <c r="P435" t="str">
        <f>_xlfn.XLOOKUP(frasest[[#This Row],[author_es]],autorest[author_es],autorest[age_la])</f>
        <v>Nova Aetas</v>
      </c>
      <c r="Q435" t="str">
        <f>_xlfn.XLOOKUP(frasest[[#This Row],[author_es]],autorest[author_es],autorest[image])</f>
        <v>https://i.ibb.co/1B16KyZ/shopenhauer.png</v>
      </c>
      <c r="R435">
        <f>_xlfn.XLOOKUP(frasest[[#This Row],[author_es]],autorest[author_es],autorest[image_atr])</f>
        <v>0</v>
      </c>
    </row>
    <row r="436" spans="1:18">
      <c r="A436">
        <v>435</v>
      </c>
      <c r="B436" t="s">
        <v>1493</v>
      </c>
      <c r="C436" t="s">
        <v>1494</v>
      </c>
      <c r="D436" t="s">
        <v>1495</v>
      </c>
      <c r="E436" t="s">
        <v>1487</v>
      </c>
      <c r="F436" t="s">
        <v>1496</v>
      </c>
      <c r="G436" t="str">
        <f>_xlfn.XLOOKUP(frasest[[#This Row],[author_es]],autorest[author_es],autorest[author_la])</f>
        <v>Arthurus Schopenhauer</v>
      </c>
      <c r="H436"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Row],[author_es]],autorest[author_es],autorest[iso3691])</f>
        <v>de</v>
      </c>
      <c r="K436" t="str">
        <f>_xlfn.XLOOKUP(frasest[[#This Row],[author_es]],autorest[author_es],autorest[language_es])</f>
        <v>Alemán</v>
      </c>
      <c r="L436" t="str">
        <f>_xlfn.XLOOKUP(frasest[[#This Row],[author_es]],autorest[author_es],autorest[language_la])</f>
        <v>Lingua Germanica</v>
      </c>
      <c r="M436" t="str">
        <f>_xlfn.XLOOKUP(frasest[[#This Row],[author_es]],autorest[author_es],autorest[nation_es])</f>
        <v>Alemania</v>
      </c>
      <c r="N436" t="str">
        <f>_xlfn.XLOOKUP(frasest[[#This Row],[author_es]],autorest[author_es],autorest[nation_la])</f>
        <v>Germania</v>
      </c>
      <c r="O436" t="str">
        <f>_xlfn.XLOOKUP(frasest[[#This Row],[author_es]],autorest[author_es],autorest[age_es])</f>
        <v>Edad Moderna</v>
      </c>
      <c r="P436" t="str">
        <f>_xlfn.XLOOKUP(frasest[[#This Row],[author_es]],autorest[author_es],autorest[age_la])</f>
        <v>Nova Aetas</v>
      </c>
      <c r="Q436" t="str">
        <f>_xlfn.XLOOKUP(frasest[[#This Row],[author_es]],autorest[author_es],autorest[image])</f>
        <v>https://i.ibb.co/1B16KyZ/shopenhauer.png</v>
      </c>
      <c r="R436">
        <f>_xlfn.XLOOKUP(frasest[[#This Row],[author_es]],autorest[author_es],autorest[image_atr])</f>
        <v>0</v>
      </c>
    </row>
    <row r="437" spans="1:18">
      <c r="A437">
        <v>436</v>
      </c>
      <c r="B437" t="s">
        <v>1497</v>
      </c>
      <c r="C437" t="s">
        <v>1498</v>
      </c>
      <c r="D437" t="s">
        <v>1499</v>
      </c>
      <c r="E437" t="s">
        <v>1487</v>
      </c>
      <c r="F437" t="s">
        <v>1500</v>
      </c>
      <c r="G437" t="str">
        <f>_xlfn.XLOOKUP(frasest[[#This Row],[author_es]],autorest[author_es],autorest[author_la])</f>
        <v>Arthurus Schopenhauer</v>
      </c>
      <c r="H437"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Row],[author_es]],autorest[author_es],autorest[iso3691])</f>
        <v>de</v>
      </c>
      <c r="K437" t="str">
        <f>_xlfn.XLOOKUP(frasest[[#This Row],[author_es]],autorest[author_es],autorest[language_es])</f>
        <v>Alemán</v>
      </c>
      <c r="L437" t="str">
        <f>_xlfn.XLOOKUP(frasest[[#This Row],[author_es]],autorest[author_es],autorest[language_la])</f>
        <v>Lingua Germanica</v>
      </c>
      <c r="M437" t="str">
        <f>_xlfn.XLOOKUP(frasest[[#This Row],[author_es]],autorest[author_es],autorest[nation_es])</f>
        <v>Alemania</v>
      </c>
      <c r="N437" t="str">
        <f>_xlfn.XLOOKUP(frasest[[#This Row],[author_es]],autorest[author_es],autorest[nation_la])</f>
        <v>Germania</v>
      </c>
      <c r="O437" t="str">
        <f>_xlfn.XLOOKUP(frasest[[#This Row],[author_es]],autorest[author_es],autorest[age_es])</f>
        <v>Edad Moderna</v>
      </c>
      <c r="P437" t="str">
        <f>_xlfn.XLOOKUP(frasest[[#This Row],[author_es]],autorest[author_es],autorest[age_la])</f>
        <v>Nova Aetas</v>
      </c>
      <c r="Q437" t="str">
        <f>_xlfn.XLOOKUP(frasest[[#This Row],[author_es]],autorest[author_es],autorest[image])</f>
        <v>https://i.ibb.co/1B16KyZ/shopenhauer.png</v>
      </c>
      <c r="R437">
        <f>_xlfn.XLOOKUP(frasest[[#This Row],[author_es]],autorest[author_es],autorest[image_atr])</f>
        <v>0</v>
      </c>
    </row>
    <row r="438" spans="1:18">
      <c r="A438">
        <v>437</v>
      </c>
      <c r="B438" t="s">
        <v>1501</v>
      </c>
      <c r="C438" t="s">
        <v>1502</v>
      </c>
      <c r="D438" t="s">
        <v>1503</v>
      </c>
      <c r="E438" t="s">
        <v>1487</v>
      </c>
      <c r="F438" t="s">
        <v>1504</v>
      </c>
      <c r="G438" t="str">
        <f>_xlfn.XLOOKUP(frasest[[#This Row],[author_es]],autorest[author_es],autorest[author_la])</f>
        <v>Arthurus Schopenhauer</v>
      </c>
      <c r="H438"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Row],[author_es]],autorest[author_es],autorest[iso3691])</f>
        <v>de</v>
      </c>
      <c r="K438" t="str">
        <f>_xlfn.XLOOKUP(frasest[[#This Row],[author_es]],autorest[author_es],autorest[language_es])</f>
        <v>Alemán</v>
      </c>
      <c r="L438" t="str">
        <f>_xlfn.XLOOKUP(frasest[[#This Row],[author_es]],autorest[author_es],autorest[language_la])</f>
        <v>Lingua Germanica</v>
      </c>
      <c r="M438" t="str">
        <f>_xlfn.XLOOKUP(frasest[[#This Row],[author_es]],autorest[author_es],autorest[nation_es])</f>
        <v>Alemania</v>
      </c>
      <c r="N438" t="str">
        <f>_xlfn.XLOOKUP(frasest[[#This Row],[author_es]],autorest[author_es],autorest[nation_la])</f>
        <v>Germania</v>
      </c>
      <c r="O438" t="str">
        <f>_xlfn.XLOOKUP(frasest[[#This Row],[author_es]],autorest[author_es],autorest[age_es])</f>
        <v>Edad Moderna</v>
      </c>
      <c r="P438" t="str">
        <f>_xlfn.XLOOKUP(frasest[[#This Row],[author_es]],autorest[author_es],autorest[age_la])</f>
        <v>Nova Aetas</v>
      </c>
      <c r="Q438" t="str">
        <f>_xlfn.XLOOKUP(frasest[[#This Row],[author_es]],autorest[author_es],autorest[image])</f>
        <v>https://i.ibb.co/1B16KyZ/shopenhauer.png</v>
      </c>
      <c r="R438">
        <f>_xlfn.XLOOKUP(frasest[[#This Row],[author_es]],autorest[author_es],autorest[image_atr])</f>
        <v>0</v>
      </c>
    </row>
    <row r="439" spans="1:18">
      <c r="A439">
        <v>438</v>
      </c>
      <c r="B439" t="s">
        <v>1505</v>
      </c>
      <c r="C439" t="s">
        <v>1506</v>
      </c>
      <c r="D439" t="s">
        <v>1507</v>
      </c>
      <c r="E439" t="s">
        <v>1487</v>
      </c>
      <c r="F439" t="s">
        <v>1508</v>
      </c>
      <c r="G439" t="str">
        <f>_xlfn.XLOOKUP(frasest[[#This Row],[author_es]],autorest[author_es],autorest[author_la])</f>
        <v>Arthurus Schopenhauer</v>
      </c>
      <c r="H439"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Row],[author_es]],autorest[author_es],autorest[iso3691])</f>
        <v>de</v>
      </c>
      <c r="K439" t="str">
        <f>_xlfn.XLOOKUP(frasest[[#This Row],[author_es]],autorest[author_es],autorest[language_es])</f>
        <v>Alemán</v>
      </c>
      <c r="L439" t="str">
        <f>_xlfn.XLOOKUP(frasest[[#This Row],[author_es]],autorest[author_es],autorest[language_la])</f>
        <v>Lingua Germanica</v>
      </c>
      <c r="M439" t="str">
        <f>_xlfn.XLOOKUP(frasest[[#This Row],[author_es]],autorest[author_es],autorest[nation_es])</f>
        <v>Alemania</v>
      </c>
      <c r="N439" t="str">
        <f>_xlfn.XLOOKUP(frasest[[#This Row],[author_es]],autorest[author_es],autorest[nation_la])</f>
        <v>Germania</v>
      </c>
      <c r="O439" t="str">
        <f>_xlfn.XLOOKUP(frasest[[#This Row],[author_es]],autorest[author_es],autorest[age_es])</f>
        <v>Edad Moderna</v>
      </c>
      <c r="P439" t="str">
        <f>_xlfn.XLOOKUP(frasest[[#This Row],[author_es]],autorest[author_es],autorest[age_la])</f>
        <v>Nova Aetas</v>
      </c>
      <c r="Q439" t="str">
        <f>_xlfn.XLOOKUP(frasest[[#This Row],[author_es]],autorest[author_es],autorest[image])</f>
        <v>https://i.ibb.co/1B16KyZ/shopenhauer.png</v>
      </c>
      <c r="R439">
        <f>_xlfn.XLOOKUP(frasest[[#This Row],[author_es]],autorest[author_es],autorest[image_atr])</f>
        <v>0</v>
      </c>
    </row>
    <row r="440" spans="1:18">
      <c r="A440">
        <v>439</v>
      </c>
      <c r="B440" t="s">
        <v>1509</v>
      </c>
      <c r="C440" t="s">
        <v>1510</v>
      </c>
      <c r="D440" t="s">
        <v>1511</v>
      </c>
      <c r="E440" t="s">
        <v>1512</v>
      </c>
      <c r="F440" t="s">
        <v>1513</v>
      </c>
      <c r="G440" t="str">
        <f>_xlfn.XLOOKUP(frasest[[#This Row],[author_es]],autorest[author_es],autorest[author_la])</f>
        <v>Hannah Arendt</v>
      </c>
      <c r="H440"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Row],[author_es]],autorest[author_es],autorest[iso3691])</f>
        <v>de</v>
      </c>
      <c r="K440" t="str">
        <f>_xlfn.XLOOKUP(frasest[[#This Row],[author_es]],autorest[author_es],autorest[language_es])</f>
        <v>Alemán</v>
      </c>
      <c r="L440" t="str">
        <f>_xlfn.XLOOKUP(frasest[[#This Row],[author_es]],autorest[author_es],autorest[language_la])</f>
        <v>Lingua Germanica</v>
      </c>
      <c r="M440" t="str">
        <f>_xlfn.XLOOKUP(frasest[[#This Row],[author_es]],autorest[author_es],autorest[nation_es])</f>
        <v>Alemania</v>
      </c>
      <c r="N440" t="str">
        <f>_xlfn.XLOOKUP(frasest[[#This Row],[author_es]],autorest[author_es],autorest[nation_la])</f>
        <v>Germania</v>
      </c>
      <c r="O440" t="str">
        <f>_xlfn.XLOOKUP(frasest[[#This Row],[author_es]],autorest[author_es],autorest[age_es])</f>
        <v>Edad Contemporánea</v>
      </c>
      <c r="P440" t="str">
        <f>_xlfn.XLOOKUP(frasest[[#This Row],[author_es]],autorest[author_es],autorest[age_la])</f>
        <v>Aetas Contemporanea</v>
      </c>
      <c r="Q440" t="str">
        <f>_xlfn.XLOOKUP(frasest[[#This Row],[author_es]],autorest[author_es],autorest[image])</f>
        <v>https://i.ibb.co/spVH8Jj1/hannaharendt.png</v>
      </c>
      <c r="R440">
        <f>_xlfn.XLOOKUP(frasest[[#This Row],[author_es]],autorest[author_es],autorest[image_atr])</f>
        <v>0</v>
      </c>
    </row>
    <row r="441" spans="1:18">
      <c r="A441">
        <v>440</v>
      </c>
      <c r="B441" t="s">
        <v>1514</v>
      </c>
      <c r="C441" t="s">
        <v>1515</v>
      </c>
      <c r="D441" t="s">
        <v>1516</v>
      </c>
      <c r="E441" t="s">
        <v>1512</v>
      </c>
      <c r="F441" t="s">
        <v>1517</v>
      </c>
      <c r="G441" t="str">
        <f>_xlfn.XLOOKUP(frasest[[#This Row],[author_es]],autorest[author_es],autorest[author_la])</f>
        <v>Hannah Arendt</v>
      </c>
      <c r="H441"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Row],[author_es]],autorest[author_es],autorest[iso3691])</f>
        <v>de</v>
      </c>
      <c r="K441" t="str">
        <f>_xlfn.XLOOKUP(frasest[[#This Row],[author_es]],autorest[author_es],autorest[language_es])</f>
        <v>Alemán</v>
      </c>
      <c r="L441" t="str">
        <f>_xlfn.XLOOKUP(frasest[[#This Row],[author_es]],autorest[author_es],autorest[language_la])</f>
        <v>Lingua Germanica</v>
      </c>
      <c r="M441" t="str">
        <f>_xlfn.XLOOKUP(frasest[[#This Row],[author_es]],autorest[author_es],autorest[nation_es])</f>
        <v>Alemania</v>
      </c>
      <c r="N441" t="str">
        <f>_xlfn.XLOOKUP(frasest[[#This Row],[author_es]],autorest[author_es],autorest[nation_la])</f>
        <v>Germania</v>
      </c>
      <c r="O441" t="str">
        <f>_xlfn.XLOOKUP(frasest[[#This Row],[author_es]],autorest[author_es],autorest[age_es])</f>
        <v>Edad Contemporánea</v>
      </c>
      <c r="P441" t="str">
        <f>_xlfn.XLOOKUP(frasest[[#This Row],[author_es]],autorest[author_es],autorest[age_la])</f>
        <v>Aetas Contemporanea</v>
      </c>
      <c r="Q441" t="str">
        <f>_xlfn.XLOOKUP(frasest[[#This Row],[author_es]],autorest[author_es],autorest[image])</f>
        <v>https://i.ibb.co/spVH8Jj1/hannaharendt.png</v>
      </c>
      <c r="R441">
        <f>_xlfn.XLOOKUP(frasest[[#This Row],[author_es]],autorest[author_es],autorest[image_atr])</f>
        <v>0</v>
      </c>
    </row>
    <row r="442" spans="1:18">
      <c r="A442">
        <v>441</v>
      </c>
      <c r="B442" t="s">
        <v>1518</v>
      </c>
      <c r="C442" t="s">
        <v>1519</v>
      </c>
      <c r="D442" t="s">
        <v>1520</v>
      </c>
      <c r="E442" t="s">
        <v>1512</v>
      </c>
      <c r="F442" t="s">
        <v>1521</v>
      </c>
      <c r="G442" t="str">
        <f>_xlfn.XLOOKUP(frasest[[#This Row],[author_es]],autorest[author_es],autorest[author_la])</f>
        <v>Hannah Arendt</v>
      </c>
      <c r="H442"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Row],[author_es]],autorest[author_es],autorest[iso3691])</f>
        <v>de</v>
      </c>
      <c r="K442" t="str">
        <f>_xlfn.XLOOKUP(frasest[[#This Row],[author_es]],autorest[author_es],autorest[language_es])</f>
        <v>Alemán</v>
      </c>
      <c r="L442" t="str">
        <f>_xlfn.XLOOKUP(frasest[[#This Row],[author_es]],autorest[author_es],autorest[language_la])</f>
        <v>Lingua Germanica</v>
      </c>
      <c r="M442" t="str">
        <f>_xlfn.XLOOKUP(frasest[[#This Row],[author_es]],autorest[author_es],autorest[nation_es])</f>
        <v>Alemania</v>
      </c>
      <c r="N442" t="str">
        <f>_xlfn.XLOOKUP(frasest[[#This Row],[author_es]],autorest[author_es],autorest[nation_la])</f>
        <v>Germania</v>
      </c>
      <c r="O442" t="str">
        <f>_xlfn.XLOOKUP(frasest[[#This Row],[author_es]],autorest[author_es],autorest[age_es])</f>
        <v>Edad Contemporánea</v>
      </c>
      <c r="P442" t="str">
        <f>_xlfn.XLOOKUP(frasest[[#This Row],[author_es]],autorest[author_es],autorest[age_la])</f>
        <v>Aetas Contemporanea</v>
      </c>
      <c r="Q442" t="str">
        <f>_xlfn.XLOOKUP(frasest[[#This Row],[author_es]],autorest[author_es],autorest[image])</f>
        <v>https://i.ibb.co/spVH8Jj1/hannaharendt.png</v>
      </c>
      <c r="R442">
        <f>_xlfn.XLOOKUP(frasest[[#This Row],[author_es]],autorest[author_es],autorest[image_atr])</f>
        <v>0</v>
      </c>
    </row>
    <row r="443" spans="1:18">
      <c r="A443">
        <v>442</v>
      </c>
      <c r="B443" t="s">
        <v>1522</v>
      </c>
      <c r="C443" t="s">
        <v>1523</v>
      </c>
      <c r="D443" t="s">
        <v>1524</v>
      </c>
      <c r="E443" t="s">
        <v>1512</v>
      </c>
      <c r="F443" t="s">
        <v>1525</v>
      </c>
      <c r="G443" t="str">
        <f>_xlfn.XLOOKUP(frasest[[#This Row],[author_es]],autorest[author_es],autorest[author_la])</f>
        <v>Hannah Arendt</v>
      </c>
      <c r="H443"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Row],[author_es]],autorest[author_es],autorest[iso3691])</f>
        <v>de</v>
      </c>
      <c r="K443" t="str">
        <f>_xlfn.XLOOKUP(frasest[[#This Row],[author_es]],autorest[author_es],autorest[language_es])</f>
        <v>Alemán</v>
      </c>
      <c r="L443" t="str">
        <f>_xlfn.XLOOKUP(frasest[[#This Row],[author_es]],autorest[author_es],autorest[language_la])</f>
        <v>Lingua Germanica</v>
      </c>
      <c r="M443" t="str">
        <f>_xlfn.XLOOKUP(frasest[[#This Row],[author_es]],autorest[author_es],autorest[nation_es])</f>
        <v>Alemania</v>
      </c>
      <c r="N443" t="str">
        <f>_xlfn.XLOOKUP(frasest[[#This Row],[author_es]],autorest[author_es],autorest[nation_la])</f>
        <v>Germania</v>
      </c>
      <c r="O443" t="str">
        <f>_xlfn.XLOOKUP(frasest[[#This Row],[author_es]],autorest[author_es],autorest[age_es])</f>
        <v>Edad Contemporánea</v>
      </c>
      <c r="P443" t="str">
        <f>_xlfn.XLOOKUP(frasest[[#This Row],[author_es]],autorest[author_es],autorest[age_la])</f>
        <v>Aetas Contemporanea</v>
      </c>
      <c r="Q443" t="str">
        <f>_xlfn.XLOOKUP(frasest[[#This Row],[author_es]],autorest[author_es],autorest[image])</f>
        <v>https://i.ibb.co/spVH8Jj1/hannaharendt.png</v>
      </c>
      <c r="R443">
        <f>_xlfn.XLOOKUP(frasest[[#This Row],[author_es]],autorest[author_es],autorest[image_atr])</f>
        <v>0</v>
      </c>
    </row>
    <row r="444" spans="1:18">
      <c r="A444">
        <v>443</v>
      </c>
      <c r="B444" t="s">
        <v>1526</v>
      </c>
      <c r="C444" t="s">
        <v>1527</v>
      </c>
      <c r="D444" t="s">
        <v>1528</v>
      </c>
      <c r="E444" t="s">
        <v>1512</v>
      </c>
      <c r="F444" t="s">
        <v>1529</v>
      </c>
      <c r="G444" t="str">
        <f>_xlfn.XLOOKUP(frasest[[#This Row],[author_es]],autorest[author_es],autorest[author_la])</f>
        <v>Hannah Arendt</v>
      </c>
      <c r="H444"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Row],[author_es]],autorest[author_es],autorest[iso3691])</f>
        <v>de</v>
      </c>
      <c r="K444" t="str">
        <f>_xlfn.XLOOKUP(frasest[[#This Row],[author_es]],autorest[author_es],autorest[language_es])</f>
        <v>Alemán</v>
      </c>
      <c r="L444" t="str">
        <f>_xlfn.XLOOKUP(frasest[[#This Row],[author_es]],autorest[author_es],autorest[language_la])</f>
        <v>Lingua Germanica</v>
      </c>
      <c r="M444" t="str">
        <f>_xlfn.XLOOKUP(frasest[[#This Row],[author_es]],autorest[author_es],autorest[nation_es])</f>
        <v>Alemania</v>
      </c>
      <c r="N444" t="str">
        <f>_xlfn.XLOOKUP(frasest[[#This Row],[author_es]],autorest[author_es],autorest[nation_la])</f>
        <v>Germania</v>
      </c>
      <c r="O444" t="str">
        <f>_xlfn.XLOOKUP(frasest[[#This Row],[author_es]],autorest[author_es],autorest[age_es])</f>
        <v>Edad Contemporánea</v>
      </c>
      <c r="P444" t="str">
        <f>_xlfn.XLOOKUP(frasest[[#This Row],[author_es]],autorest[author_es],autorest[age_la])</f>
        <v>Aetas Contemporanea</v>
      </c>
      <c r="Q444" t="str">
        <f>_xlfn.XLOOKUP(frasest[[#This Row],[author_es]],autorest[author_es],autorest[image])</f>
        <v>https://i.ibb.co/spVH8Jj1/hannaharendt.png</v>
      </c>
      <c r="R444">
        <f>_xlfn.XLOOKUP(frasest[[#This Row],[author_es]],autorest[author_es],autorest[image_atr])</f>
        <v>0</v>
      </c>
    </row>
    <row r="445" spans="1:18">
      <c r="A445">
        <v>444</v>
      </c>
      <c r="B445" t="s">
        <v>1530</v>
      </c>
      <c r="C445" t="s">
        <v>1531</v>
      </c>
      <c r="D445" t="s">
        <v>1532</v>
      </c>
      <c r="E445" t="s">
        <v>1512</v>
      </c>
      <c r="F445" t="s">
        <v>1533</v>
      </c>
      <c r="G445" t="str">
        <f>_xlfn.XLOOKUP(frasest[[#This Row],[author_es]],autorest[author_es],autorest[author_la])</f>
        <v>Hannah Arendt</v>
      </c>
      <c r="H445"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Row],[author_es]],autorest[author_es],autorest[iso3691])</f>
        <v>de</v>
      </c>
      <c r="K445" t="str">
        <f>_xlfn.XLOOKUP(frasest[[#This Row],[author_es]],autorest[author_es],autorest[language_es])</f>
        <v>Alemán</v>
      </c>
      <c r="L445" t="str">
        <f>_xlfn.XLOOKUP(frasest[[#This Row],[author_es]],autorest[author_es],autorest[language_la])</f>
        <v>Lingua Germanica</v>
      </c>
      <c r="M445" t="str">
        <f>_xlfn.XLOOKUP(frasest[[#This Row],[author_es]],autorest[author_es],autorest[nation_es])</f>
        <v>Alemania</v>
      </c>
      <c r="N445" t="str">
        <f>_xlfn.XLOOKUP(frasest[[#This Row],[author_es]],autorest[author_es],autorest[nation_la])</f>
        <v>Germania</v>
      </c>
      <c r="O445" t="str">
        <f>_xlfn.XLOOKUP(frasest[[#This Row],[author_es]],autorest[author_es],autorest[age_es])</f>
        <v>Edad Contemporánea</v>
      </c>
      <c r="P445" t="str">
        <f>_xlfn.XLOOKUP(frasest[[#This Row],[author_es]],autorest[author_es],autorest[age_la])</f>
        <v>Aetas Contemporanea</v>
      </c>
      <c r="Q445" t="str">
        <f>_xlfn.XLOOKUP(frasest[[#This Row],[author_es]],autorest[author_es],autorest[image])</f>
        <v>https://i.ibb.co/spVH8Jj1/hannaharendt.png</v>
      </c>
      <c r="R445">
        <f>_xlfn.XLOOKUP(frasest[[#This Row],[author_es]],autorest[author_es],autorest[image_atr])</f>
        <v>0</v>
      </c>
    </row>
    <row r="446" spans="1:18">
      <c r="A446">
        <v>445</v>
      </c>
      <c r="B446" t="s">
        <v>1534</v>
      </c>
      <c r="C446" t="s">
        <v>1535</v>
      </c>
      <c r="D446" t="s">
        <v>1536</v>
      </c>
      <c r="E446" t="s">
        <v>1537</v>
      </c>
      <c r="F446" t="s">
        <v>1538</v>
      </c>
      <c r="G446" t="str">
        <f>_xlfn.XLOOKUP(frasest[[#This Row],[author_es]],autorest[author_es],autorest[author_la])</f>
        <v>Immanuel Kant</v>
      </c>
      <c r="H446"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Row],[author_es]],autorest[author_es],autorest[iso3691])</f>
        <v>de</v>
      </c>
      <c r="K446" t="str">
        <f>_xlfn.XLOOKUP(frasest[[#This Row],[author_es]],autorest[author_es],autorest[language_es])</f>
        <v>Alemán</v>
      </c>
      <c r="L446" t="str">
        <f>_xlfn.XLOOKUP(frasest[[#This Row],[author_es]],autorest[author_es],autorest[language_la])</f>
        <v>Lingua Germanica</v>
      </c>
      <c r="M446" t="str">
        <f>_xlfn.XLOOKUP(frasest[[#This Row],[author_es]],autorest[author_es],autorest[nation_es])</f>
        <v>Alemania</v>
      </c>
      <c r="N446" t="str">
        <f>_xlfn.XLOOKUP(frasest[[#This Row],[author_es]],autorest[author_es],autorest[nation_la])</f>
        <v>Germania</v>
      </c>
      <c r="O446" t="str">
        <f>_xlfn.XLOOKUP(frasest[[#This Row],[author_es]],autorest[author_es],autorest[age_es])</f>
        <v>Edad Moderna</v>
      </c>
      <c r="P446" t="str">
        <f>_xlfn.XLOOKUP(frasest[[#This Row],[author_es]],autorest[author_es],autorest[age_la])</f>
        <v>Nova Aetas</v>
      </c>
      <c r="Q446" t="str">
        <f>_xlfn.XLOOKUP(frasest[[#This Row],[author_es]],autorest[author_es],autorest[image])</f>
        <v>https://i.ibb.co/MkNPjK5r/kant.png</v>
      </c>
      <c r="R446">
        <f>_xlfn.XLOOKUP(frasest[[#This Row],[author_es]],autorest[author_es],autorest[image_atr])</f>
        <v>0</v>
      </c>
    </row>
    <row r="447" spans="1:18">
      <c r="A447">
        <v>446</v>
      </c>
      <c r="B447" t="s">
        <v>1539</v>
      </c>
      <c r="C447" t="s">
        <v>1540</v>
      </c>
      <c r="D447" t="s">
        <v>1541</v>
      </c>
      <c r="E447" t="s">
        <v>1537</v>
      </c>
      <c r="F447" t="s">
        <v>1538</v>
      </c>
      <c r="G447" t="str">
        <f>_xlfn.XLOOKUP(frasest[[#This Row],[author_es]],autorest[author_es],autorest[author_la])</f>
        <v>Immanuel Kant</v>
      </c>
      <c r="H447"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Row],[author_es]],autorest[author_es],autorest[iso3691])</f>
        <v>de</v>
      </c>
      <c r="K447" t="str">
        <f>_xlfn.XLOOKUP(frasest[[#This Row],[author_es]],autorest[author_es],autorest[language_es])</f>
        <v>Alemán</v>
      </c>
      <c r="L447" t="str">
        <f>_xlfn.XLOOKUP(frasest[[#This Row],[author_es]],autorest[author_es],autorest[language_la])</f>
        <v>Lingua Germanica</v>
      </c>
      <c r="M447" t="str">
        <f>_xlfn.XLOOKUP(frasest[[#This Row],[author_es]],autorest[author_es],autorest[nation_es])</f>
        <v>Alemania</v>
      </c>
      <c r="N447" t="str">
        <f>_xlfn.XLOOKUP(frasest[[#This Row],[author_es]],autorest[author_es],autorest[nation_la])</f>
        <v>Germania</v>
      </c>
      <c r="O447" t="str">
        <f>_xlfn.XLOOKUP(frasest[[#This Row],[author_es]],autorest[author_es],autorest[age_es])</f>
        <v>Edad Moderna</v>
      </c>
      <c r="P447" t="str">
        <f>_xlfn.XLOOKUP(frasest[[#This Row],[author_es]],autorest[author_es],autorest[age_la])</f>
        <v>Nova Aetas</v>
      </c>
      <c r="Q447" t="str">
        <f>_xlfn.XLOOKUP(frasest[[#This Row],[author_es]],autorest[author_es],autorest[image])</f>
        <v>https://i.ibb.co/MkNPjK5r/kant.png</v>
      </c>
      <c r="R447">
        <f>_xlfn.XLOOKUP(frasest[[#This Row],[author_es]],autorest[author_es],autorest[image_atr])</f>
        <v>0</v>
      </c>
    </row>
    <row r="448" spans="1:18">
      <c r="A448">
        <v>447</v>
      </c>
      <c r="B448" t="s">
        <v>1542</v>
      </c>
      <c r="C448" t="s">
        <v>1543</v>
      </c>
      <c r="D448" t="s">
        <v>1544</v>
      </c>
      <c r="E448" t="s">
        <v>1537</v>
      </c>
      <c r="F448" t="s">
        <v>1545</v>
      </c>
      <c r="G448" t="str">
        <f>_xlfn.XLOOKUP(frasest[[#This Row],[author_es]],autorest[author_es],autorest[author_la])</f>
        <v>Immanuel Kant</v>
      </c>
      <c r="H448"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Row],[author_es]],autorest[author_es],autorest[iso3691])</f>
        <v>de</v>
      </c>
      <c r="K448" t="str">
        <f>_xlfn.XLOOKUP(frasest[[#This Row],[author_es]],autorest[author_es],autorest[language_es])</f>
        <v>Alemán</v>
      </c>
      <c r="L448" t="str">
        <f>_xlfn.XLOOKUP(frasest[[#This Row],[author_es]],autorest[author_es],autorest[language_la])</f>
        <v>Lingua Germanica</v>
      </c>
      <c r="M448" t="str">
        <f>_xlfn.XLOOKUP(frasest[[#This Row],[author_es]],autorest[author_es],autorest[nation_es])</f>
        <v>Alemania</v>
      </c>
      <c r="N448" t="str">
        <f>_xlfn.XLOOKUP(frasest[[#This Row],[author_es]],autorest[author_es],autorest[nation_la])</f>
        <v>Germania</v>
      </c>
      <c r="O448" t="str">
        <f>_xlfn.XLOOKUP(frasest[[#This Row],[author_es]],autorest[author_es],autorest[age_es])</f>
        <v>Edad Moderna</v>
      </c>
      <c r="P448" t="str">
        <f>_xlfn.XLOOKUP(frasest[[#This Row],[author_es]],autorest[author_es],autorest[age_la])</f>
        <v>Nova Aetas</v>
      </c>
      <c r="Q448" t="str">
        <f>_xlfn.XLOOKUP(frasest[[#This Row],[author_es]],autorest[author_es],autorest[image])</f>
        <v>https://i.ibb.co/MkNPjK5r/kant.png</v>
      </c>
      <c r="R448">
        <f>_xlfn.XLOOKUP(frasest[[#This Row],[author_es]],autorest[author_es],autorest[image_atr])</f>
        <v>0</v>
      </c>
    </row>
    <row r="449" spans="1:18">
      <c r="A449">
        <v>448</v>
      </c>
      <c r="B449" t="s">
        <v>1546</v>
      </c>
      <c r="C449" t="s">
        <v>1547</v>
      </c>
      <c r="D449" t="s">
        <v>1548</v>
      </c>
      <c r="E449" t="s">
        <v>1537</v>
      </c>
      <c r="F449" t="s">
        <v>1549</v>
      </c>
      <c r="G449" t="str">
        <f>_xlfn.XLOOKUP(frasest[[#This Row],[author_es]],autorest[author_es],autorest[author_la])</f>
        <v>Immanuel Kant</v>
      </c>
      <c r="H449"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Row],[author_es]],autorest[author_es],autorest[iso3691])</f>
        <v>de</v>
      </c>
      <c r="K449" t="str">
        <f>_xlfn.XLOOKUP(frasest[[#This Row],[author_es]],autorest[author_es],autorest[language_es])</f>
        <v>Alemán</v>
      </c>
      <c r="L449" t="str">
        <f>_xlfn.XLOOKUP(frasest[[#This Row],[author_es]],autorest[author_es],autorest[language_la])</f>
        <v>Lingua Germanica</v>
      </c>
      <c r="M449" t="str">
        <f>_xlfn.XLOOKUP(frasest[[#This Row],[author_es]],autorest[author_es],autorest[nation_es])</f>
        <v>Alemania</v>
      </c>
      <c r="N449" t="str">
        <f>_xlfn.XLOOKUP(frasest[[#This Row],[author_es]],autorest[author_es],autorest[nation_la])</f>
        <v>Germania</v>
      </c>
      <c r="O449" t="str">
        <f>_xlfn.XLOOKUP(frasest[[#This Row],[author_es]],autorest[author_es],autorest[age_es])</f>
        <v>Edad Moderna</v>
      </c>
      <c r="P449" t="str">
        <f>_xlfn.XLOOKUP(frasest[[#This Row],[author_es]],autorest[author_es],autorest[age_la])</f>
        <v>Nova Aetas</v>
      </c>
      <c r="Q449" t="str">
        <f>_xlfn.XLOOKUP(frasest[[#This Row],[author_es]],autorest[author_es],autorest[image])</f>
        <v>https://i.ibb.co/MkNPjK5r/kant.png</v>
      </c>
      <c r="R449">
        <f>_xlfn.XLOOKUP(frasest[[#This Row],[author_es]],autorest[author_es],autorest[image_atr])</f>
        <v>0</v>
      </c>
    </row>
    <row r="450" spans="1:18">
      <c r="A450">
        <v>449</v>
      </c>
      <c r="B450" t="s">
        <v>1550</v>
      </c>
      <c r="C450" t="s">
        <v>1551</v>
      </c>
      <c r="D450" t="s">
        <v>1552</v>
      </c>
      <c r="E450" t="s">
        <v>1537</v>
      </c>
      <c r="F450" t="s">
        <v>1549</v>
      </c>
      <c r="G450" t="str">
        <f>_xlfn.XLOOKUP(frasest[[#This Row],[author_es]],autorest[author_es],autorest[author_la])</f>
        <v>Immanuel Kant</v>
      </c>
      <c r="H450"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Row],[author_es]],autorest[author_es],autorest[iso3691])</f>
        <v>de</v>
      </c>
      <c r="K450" t="str">
        <f>_xlfn.XLOOKUP(frasest[[#This Row],[author_es]],autorest[author_es],autorest[language_es])</f>
        <v>Alemán</v>
      </c>
      <c r="L450" t="str">
        <f>_xlfn.XLOOKUP(frasest[[#This Row],[author_es]],autorest[author_es],autorest[language_la])</f>
        <v>Lingua Germanica</v>
      </c>
      <c r="M450" t="str">
        <f>_xlfn.XLOOKUP(frasest[[#This Row],[author_es]],autorest[author_es],autorest[nation_es])</f>
        <v>Alemania</v>
      </c>
      <c r="N450" t="str">
        <f>_xlfn.XLOOKUP(frasest[[#This Row],[author_es]],autorest[author_es],autorest[nation_la])</f>
        <v>Germania</v>
      </c>
      <c r="O450" t="str">
        <f>_xlfn.XLOOKUP(frasest[[#This Row],[author_es]],autorest[author_es],autorest[age_es])</f>
        <v>Edad Moderna</v>
      </c>
      <c r="P450" t="str">
        <f>_xlfn.XLOOKUP(frasest[[#This Row],[author_es]],autorest[author_es],autorest[age_la])</f>
        <v>Nova Aetas</v>
      </c>
      <c r="Q450" t="str">
        <f>_xlfn.XLOOKUP(frasest[[#This Row],[author_es]],autorest[author_es],autorest[image])</f>
        <v>https://i.ibb.co/MkNPjK5r/kant.png</v>
      </c>
      <c r="R450">
        <f>_xlfn.XLOOKUP(frasest[[#This Row],[author_es]],autorest[author_es],autorest[image_atr])</f>
        <v>0</v>
      </c>
    </row>
    <row r="451" spans="1:18">
      <c r="A451">
        <v>450</v>
      </c>
      <c r="B451" t="s">
        <v>1553</v>
      </c>
      <c r="C451" t="s">
        <v>1554</v>
      </c>
      <c r="D451" t="s">
        <v>1555</v>
      </c>
      <c r="E451" t="s">
        <v>1537</v>
      </c>
      <c r="F451" t="s">
        <v>1556</v>
      </c>
      <c r="G451" t="str">
        <f>_xlfn.XLOOKUP(frasest[[#This Row],[author_es]],autorest[author_es],autorest[author_la])</f>
        <v>Immanuel Kant</v>
      </c>
      <c r="H451"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Row],[author_es]],autorest[author_es],autorest[iso3691])</f>
        <v>de</v>
      </c>
      <c r="K451" t="str">
        <f>_xlfn.XLOOKUP(frasest[[#This Row],[author_es]],autorest[author_es],autorest[language_es])</f>
        <v>Alemán</v>
      </c>
      <c r="L451" t="str">
        <f>_xlfn.XLOOKUP(frasest[[#This Row],[author_es]],autorest[author_es],autorest[language_la])</f>
        <v>Lingua Germanica</v>
      </c>
      <c r="M451" t="str">
        <f>_xlfn.XLOOKUP(frasest[[#This Row],[author_es]],autorest[author_es],autorest[nation_es])</f>
        <v>Alemania</v>
      </c>
      <c r="N451" t="str">
        <f>_xlfn.XLOOKUP(frasest[[#This Row],[author_es]],autorest[author_es],autorest[nation_la])</f>
        <v>Germania</v>
      </c>
      <c r="O451" t="str">
        <f>_xlfn.XLOOKUP(frasest[[#This Row],[author_es]],autorest[author_es],autorest[age_es])</f>
        <v>Edad Moderna</v>
      </c>
      <c r="P451" t="str">
        <f>_xlfn.XLOOKUP(frasest[[#This Row],[author_es]],autorest[author_es],autorest[age_la])</f>
        <v>Nova Aetas</v>
      </c>
      <c r="Q451" t="str">
        <f>_xlfn.XLOOKUP(frasest[[#This Row],[author_es]],autorest[author_es],autorest[image])</f>
        <v>https://i.ibb.co/MkNPjK5r/kant.png</v>
      </c>
      <c r="R451">
        <f>_xlfn.XLOOKUP(frasest[[#This Row],[author_es]],autorest[author_es],autorest[image_atr])</f>
        <v>0</v>
      </c>
    </row>
    <row r="452" spans="1:18">
      <c r="A452">
        <v>451</v>
      </c>
      <c r="B452" t="s">
        <v>1557</v>
      </c>
      <c r="C452" t="s">
        <v>1558</v>
      </c>
      <c r="D452" t="s">
        <v>1557</v>
      </c>
      <c r="E452" t="s">
        <v>1559</v>
      </c>
      <c r="F452" t="s">
        <v>1560</v>
      </c>
      <c r="G452" t="str">
        <f>_xlfn.XLOOKUP(frasest[[#This Row],[author_es]],autorest[author_es],autorest[author_la])</f>
        <v>Iosephus Ortega y Gasset</v>
      </c>
      <c r="H452"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Row],[author_es]],autorest[author_es],autorest[iso3691])</f>
        <v>es</v>
      </c>
      <c r="K452" t="str">
        <f>_xlfn.XLOOKUP(frasest[[#This Row],[author_es]],autorest[author_es],autorest[language_es])</f>
        <v>Español</v>
      </c>
      <c r="L452" t="str">
        <f>_xlfn.XLOOKUP(frasest[[#This Row],[author_es]],autorest[author_es],autorest[language_la])</f>
        <v>Lingua Hispanica</v>
      </c>
      <c r="M452" t="str">
        <f>_xlfn.XLOOKUP(frasest[[#This Row],[author_es]],autorest[author_es],autorest[nation_es])</f>
        <v>España</v>
      </c>
      <c r="N452" t="str">
        <f>_xlfn.XLOOKUP(frasest[[#This Row],[author_es]],autorest[author_es],autorest[nation_la])</f>
        <v>Hispania</v>
      </c>
      <c r="O452" t="str">
        <f>_xlfn.XLOOKUP(frasest[[#This Row],[author_es]],autorest[author_es],autorest[age_es])</f>
        <v>Edad Contemporánea</v>
      </c>
      <c r="P452" t="str">
        <f>_xlfn.XLOOKUP(frasest[[#This Row],[author_es]],autorest[author_es],autorest[age_la])</f>
        <v>Aetas Contemporanea</v>
      </c>
      <c r="Q452" t="str">
        <f>_xlfn.XLOOKUP(frasest[[#This Row],[author_es]],autorest[author_es],autorest[image])</f>
        <v>https://i.ibb.co/xtYX3S7h/ortega.png</v>
      </c>
      <c r="R452">
        <f>_xlfn.XLOOKUP(frasest[[#This Row],[author_es]],autorest[author_es],autorest[image_atr])</f>
        <v>0</v>
      </c>
    </row>
    <row r="453" spans="1:18">
      <c r="A453">
        <v>452</v>
      </c>
      <c r="B453" t="s">
        <v>1561</v>
      </c>
      <c r="C453" t="s">
        <v>1562</v>
      </c>
      <c r="D453" t="s">
        <v>1561</v>
      </c>
      <c r="E453" t="s">
        <v>1559</v>
      </c>
      <c r="F453" t="s">
        <v>1563</v>
      </c>
      <c r="G453" t="str">
        <f>_xlfn.XLOOKUP(frasest[[#This Row],[author_es]],autorest[author_es],autorest[author_la])</f>
        <v>Iosephus Ortega y Gasset</v>
      </c>
      <c r="H453"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Row],[author_es]],autorest[author_es],autorest[iso3691])</f>
        <v>es</v>
      </c>
      <c r="K453" t="str">
        <f>_xlfn.XLOOKUP(frasest[[#This Row],[author_es]],autorest[author_es],autorest[language_es])</f>
        <v>Español</v>
      </c>
      <c r="L453" t="str">
        <f>_xlfn.XLOOKUP(frasest[[#This Row],[author_es]],autorest[author_es],autorest[language_la])</f>
        <v>Lingua Hispanica</v>
      </c>
      <c r="M453" t="str">
        <f>_xlfn.XLOOKUP(frasest[[#This Row],[author_es]],autorest[author_es],autorest[nation_es])</f>
        <v>España</v>
      </c>
      <c r="N453" t="str">
        <f>_xlfn.XLOOKUP(frasest[[#This Row],[author_es]],autorest[author_es],autorest[nation_la])</f>
        <v>Hispania</v>
      </c>
      <c r="O453" t="str">
        <f>_xlfn.XLOOKUP(frasest[[#This Row],[author_es]],autorest[author_es],autorest[age_es])</f>
        <v>Edad Contemporánea</v>
      </c>
      <c r="P453" t="str">
        <f>_xlfn.XLOOKUP(frasest[[#This Row],[author_es]],autorest[author_es],autorest[age_la])</f>
        <v>Aetas Contemporanea</v>
      </c>
      <c r="Q453" t="str">
        <f>_xlfn.XLOOKUP(frasest[[#This Row],[author_es]],autorest[author_es],autorest[image])</f>
        <v>https://i.ibb.co/xtYX3S7h/ortega.png</v>
      </c>
      <c r="R453">
        <f>_xlfn.XLOOKUP(frasest[[#This Row],[author_es]],autorest[author_es],autorest[image_atr])</f>
        <v>0</v>
      </c>
    </row>
    <row r="454" spans="1:18">
      <c r="A454">
        <v>453</v>
      </c>
      <c r="B454" t="s">
        <v>1564</v>
      </c>
      <c r="C454" t="s">
        <v>1565</v>
      </c>
      <c r="D454" t="s">
        <v>1564</v>
      </c>
      <c r="E454" t="s">
        <v>1559</v>
      </c>
      <c r="F454" t="s">
        <v>1566</v>
      </c>
      <c r="G454" t="str">
        <f>_xlfn.XLOOKUP(frasest[[#This Row],[author_es]],autorest[author_es],autorest[author_la])</f>
        <v>Iosephus Ortega y Gasset</v>
      </c>
      <c r="H454"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Row],[author_es]],autorest[author_es],autorest[iso3691])</f>
        <v>es</v>
      </c>
      <c r="K454" t="str">
        <f>_xlfn.XLOOKUP(frasest[[#This Row],[author_es]],autorest[author_es],autorest[language_es])</f>
        <v>Español</v>
      </c>
      <c r="L454" t="str">
        <f>_xlfn.XLOOKUP(frasest[[#This Row],[author_es]],autorest[author_es],autorest[language_la])</f>
        <v>Lingua Hispanica</v>
      </c>
      <c r="M454" t="str">
        <f>_xlfn.XLOOKUP(frasest[[#This Row],[author_es]],autorest[author_es],autorest[nation_es])</f>
        <v>España</v>
      </c>
      <c r="N454" t="str">
        <f>_xlfn.XLOOKUP(frasest[[#This Row],[author_es]],autorest[author_es],autorest[nation_la])</f>
        <v>Hispania</v>
      </c>
      <c r="O454" t="str">
        <f>_xlfn.XLOOKUP(frasest[[#This Row],[author_es]],autorest[author_es],autorest[age_es])</f>
        <v>Edad Contemporánea</v>
      </c>
      <c r="P454" t="str">
        <f>_xlfn.XLOOKUP(frasest[[#This Row],[author_es]],autorest[author_es],autorest[age_la])</f>
        <v>Aetas Contemporanea</v>
      </c>
      <c r="Q454" t="str">
        <f>_xlfn.XLOOKUP(frasest[[#This Row],[author_es]],autorest[author_es],autorest[image])</f>
        <v>https://i.ibb.co/xtYX3S7h/ortega.png</v>
      </c>
      <c r="R454">
        <f>_xlfn.XLOOKUP(frasest[[#This Row],[author_es]],autorest[author_es],autorest[image_atr])</f>
        <v>0</v>
      </c>
    </row>
    <row r="455" spans="1:18">
      <c r="A455">
        <v>454</v>
      </c>
      <c r="B455" t="s">
        <v>1567</v>
      </c>
      <c r="C455" t="s">
        <v>1568</v>
      </c>
      <c r="D455" t="s">
        <v>1567</v>
      </c>
      <c r="E455" t="s">
        <v>1559</v>
      </c>
      <c r="F455" t="s">
        <v>1563</v>
      </c>
      <c r="G455" t="str">
        <f>_xlfn.XLOOKUP(frasest[[#This Row],[author_es]],autorest[author_es],autorest[author_la])</f>
        <v>Iosephus Ortega y Gasset</v>
      </c>
      <c r="H455"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Row],[author_es]],autorest[author_es],autorest[iso3691])</f>
        <v>es</v>
      </c>
      <c r="K455" t="str">
        <f>_xlfn.XLOOKUP(frasest[[#This Row],[author_es]],autorest[author_es],autorest[language_es])</f>
        <v>Español</v>
      </c>
      <c r="L455" t="str">
        <f>_xlfn.XLOOKUP(frasest[[#This Row],[author_es]],autorest[author_es],autorest[language_la])</f>
        <v>Lingua Hispanica</v>
      </c>
      <c r="M455" t="str">
        <f>_xlfn.XLOOKUP(frasest[[#This Row],[author_es]],autorest[author_es],autorest[nation_es])</f>
        <v>España</v>
      </c>
      <c r="N455" t="str">
        <f>_xlfn.XLOOKUP(frasest[[#This Row],[author_es]],autorest[author_es],autorest[nation_la])</f>
        <v>Hispania</v>
      </c>
      <c r="O455" t="str">
        <f>_xlfn.XLOOKUP(frasest[[#This Row],[author_es]],autorest[author_es],autorest[age_es])</f>
        <v>Edad Contemporánea</v>
      </c>
      <c r="P455" t="str">
        <f>_xlfn.XLOOKUP(frasest[[#This Row],[author_es]],autorest[author_es],autorest[age_la])</f>
        <v>Aetas Contemporanea</v>
      </c>
      <c r="Q455" t="str">
        <f>_xlfn.XLOOKUP(frasest[[#This Row],[author_es]],autorest[author_es],autorest[image])</f>
        <v>https://i.ibb.co/xtYX3S7h/ortega.png</v>
      </c>
      <c r="R455">
        <f>_xlfn.XLOOKUP(frasest[[#This Row],[author_es]],autorest[author_es],autorest[image_atr])</f>
        <v>0</v>
      </c>
    </row>
    <row r="456" spans="1:18">
      <c r="A456">
        <v>455</v>
      </c>
      <c r="B456" t="s">
        <v>1569</v>
      </c>
      <c r="C456" t="s">
        <v>1570</v>
      </c>
      <c r="D456" t="s">
        <v>1569</v>
      </c>
      <c r="E456" t="s">
        <v>1559</v>
      </c>
      <c r="F456" t="s">
        <v>1571</v>
      </c>
      <c r="G456" t="str">
        <f>_xlfn.XLOOKUP(frasest[[#This Row],[author_es]],autorest[author_es],autorest[author_la])</f>
        <v>Iosephus Ortega y Gasset</v>
      </c>
      <c r="H456"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Row],[author_es]],autorest[author_es],autorest[iso3691])</f>
        <v>es</v>
      </c>
      <c r="K456" t="str">
        <f>_xlfn.XLOOKUP(frasest[[#This Row],[author_es]],autorest[author_es],autorest[language_es])</f>
        <v>Español</v>
      </c>
      <c r="L456" t="str">
        <f>_xlfn.XLOOKUP(frasest[[#This Row],[author_es]],autorest[author_es],autorest[language_la])</f>
        <v>Lingua Hispanica</v>
      </c>
      <c r="M456" t="str">
        <f>_xlfn.XLOOKUP(frasest[[#This Row],[author_es]],autorest[author_es],autorest[nation_es])</f>
        <v>España</v>
      </c>
      <c r="N456" t="str">
        <f>_xlfn.XLOOKUP(frasest[[#This Row],[author_es]],autorest[author_es],autorest[nation_la])</f>
        <v>Hispania</v>
      </c>
      <c r="O456" t="str">
        <f>_xlfn.XLOOKUP(frasest[[#This Row],[author_es]],autorest[author_es],autorest[age_es])</f>
        <v>Edad Contemporánea</v>
      </c>
      <c r="P456" t="str">
        <f>_xlfn.XLOOKUP(frasest[[#This Row],[author_es]],autorest[author_es],autorest[age_la])</f>
        <v>Aetas Contemporanea</v>
      </c>
      <c r="Q456" t="str">
        <f>_xlfn.XLOOKUP(frasest[[#This Row],[author_es]],autorest[author_es],autorest[image])</f>
        <v>https://i.ibb.co/xtYX3S7h/ortega.png</v>
      </c>
      <c r="R456">
        <f>_xlfn.XLOOKUP(frasest[[#This Row],[author_es]],autorest[author_es],autorest[image_atr])</f>
        <v>0</v>
      </c>
    </row>
    <row r="457" spans="1:18">
      <c r="A457">
        <v>456</v>
      </c>
      <c r="B457" t="s">
        <v>1572</v>
      </c>
      <c r="C457" t="s">
        <v>1573</v>
      </c>
      <c r="D457" t="s">
        <v>1572</v>
      </c>
      <c r="E457" t="s">
        <v>1559</v>
      </c>
      <c r="F457" t="s">
        <v>1563</v>
      </c>
      <c r="G457" t="str">
        <f>_xlfn.XLOOKUP(frasest[[#This Row],[author_es]],autorest[author_es],autorest[author_la])</f>
        <v>Iosephus Ortega y Gasset</v>
      </c>
      <c r="H457"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Row],[author_es]],autorest[author_es],autorest[iso3691])</f>
        <v>es</v>
      </c>
      <c r="K457" t="str">
        <f>_xlfn.XLOOKUP(frasest[[#This Row],[author_es]],autorest[author_es],autorest[language_es])</f>
        <v>Español</v>
      </c>
      <c r="L457" t="str">
        <f>_xlfn.XLOOKUP(frasest[[#This Row],[author_es]],autorest[author_es],autorest[language_la])</f>
        <v>Lingua Hispanica</v>
      </c>
      <c r="M457" t="str">
        <f>_xlfn.XLOOKUP(frasest[[#This Row],[author_es]],autorest[author_es],autorest[nation_es])</f>
        <v>España</v>
      </c>
      <c r="N457" t="str">
        <f>_xlfn.XLOOKUP(frasest[[#This Row],[author_es]],autorest[author_es],autorest[nation_la])</f>
        <v>Hispania</v>
      </c>
      <c r="O457" t="str">
        <f>_xlfn.XLOOKUP(frasest[[#This Row],[author_es]],autorest[author_es],autorest[age_es])</f>
        <v>Edad Contemporánea</v>
      </c>
      <c r="P457" t="str">
        <f>_xlfn.XLOOKUP(frasest[[#This Row],[author_es]],autorest[author_es],autorest[age_la])</f>
        <v>Aetas Contemporanea</v>
      </c>
      <c r="Q457" t="str">
        <f>_xlfn.XLOOKUP(frasest[[#This Row],[author_es]],autorest[author_es],autorest[image])</f>
        <v>https://i.ibb.co/xtYX3S7h/ortega.png</v>
      </c>
      <c r="R457">
        <f>_xlfn.XLOOKUP(frasest[[#This Row],[author_es]],autorest[author_es],autorest[image_atr])</f>
        <v>0</v>
      </c>
    </row>
    <row r="458" spans="1:18">
      <c r="A458">
        <v>457</v>
      </c>
      <c r="B458" t="s">
        <v>1574</v>
      </c>
      <c r="C458" t="s">
        <v>1575</v>
      </c>
      <c r="D458" t="s">
        <v>1576</v>
      </c>
      <c r="E458" t="s">
        <v>1577</v>
      </c>
      <c r="F458" t="s">
        <v>1578</v>
      </c>
      <c r="G458" t="str">
        <f>_xlfn.XLOOKUP(frasest[[#This Row],[author_es]],autorest[author_es],autorest[author_la])</f>
        <v>Soren Kierkegaard</v>
      </c>
      <c r="H458"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Row],[author_es]],autorest[author_es],autorest[iso3691])</f>
        <v>da</v>
      </c>
      <c r="K458" t="str">
        <f>_xlfn.XLOOKUP(frasest[[#This Row],[author_es]],autorest[author_es],autorest[language_es])</f>
        <v>Danés</v>
      </c>
      <c r="L458" t="str">
        <f>_xlfn.XLOOKUP(frasest[[#This Row],[author_es]],autorest[author_es],autorest[language_la])</f>
        <v>Lingua Danica</v>
      </c>
      <c r="M458" t="str">
        <f>_xlfn.XLOOKUP(frasest[[#This Row],[author_es]],autorest[author_es],autorest[nation_es])</f>
        <v>Dinamarca</v>
      </c>
      <c r="N458" t="str">
        <f>_xlfn.XLOOKUP(frasest[[#This Row],[author_es]],autorest[author_es],autorest[nation_la])</f>
        <v>Dania</v>
      </c>
      <c r="O458" t="str">
        <f>_xlfn.XLOOKUP(frasest[[#This Row],[author_es]],autorest[author_es],autorest[age_es])</f>
        <v>Edad Contemporánea</v>
      </c>
      <c r="P458" t="str">
        <f>_xlfn.XLOOKUP(frasest[[#This Row],[author_es]],autorest[author_es],autorest[age_la])</f>
        <v>Aetas Contemporanea</v>
      </c>
      <c r="Q458" t="str">
        <f>_xlfn.XLOOKUP(frasest[[#This Row],[author_es]],autorest[author_es],autorest[image])</f>
        <v>https://i.ibb.co/h0XxRwM/kiekergard.png</v>
      </c>
      <c r="R458">
        <f>_xlfn.XLOOKUP(frasest[[#This Row],[author_es]],autorest[author_es],autorest[image_atr])</f>
        <v>0</v>
      </c>
    </row>
    <row r="459" spans="1:18">
      <c r="A459">
        <v>458</v>
      </c>
      <c r="B459" t="s">
        <v>1579</v>
      </c>
      <c r="C459" t="s">
        <v>1580</v>
      </c>
      <c r="D459" t="s">
        <v>1581</v>
      </c>
      <c r="E459" t="s">
        <v>1577</v>
      </c>
      <c r="F459" t="s">
        <v>1582</v>
      </c>
      <c r="G459" t="str">
        <f>_xlfn.XLOOKUP(frasest[[#This Row],[author_es]],autorest[author_es],autorest[author_la])</f>
        <v>Soren Kierkegaard</v>
      </c>
      <c r="H459"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Row],[author_es]],autorest[author_es],autorest[iso3691])</f>
        <v>da</v>
      </c>
      <c r="K459" t="str">
        <f>_xlfn.XLOOKUP(frasest[[#This Row],[author_es]],autorest[author_es],autorest[language_es])</f>
        <v>Danés</v>
      </c>
      <c r="L459" t="str">
        <f>_xlfn.XLOOKUP(frasest[[#This Row],[author_es]],autorest[author_es],autorest[language_la])</f>
        <v>Lingua Danica</v>
      </c>
      <c r="M459" t="str">
        <f>_xlfn.XLOOKUP(frasest[[#This Row],[author_es]],autorest[author_es],autorest[nation_es])</f>
        <v>Dinamarca</v>
      </c>
      <c r="N459" t="str">
        <f>_xlfn.XLOOKUP(frasest[[#This Row],[author_es]],autorest[author_es],autorest[nation_la])</f>
        <v>Dania</v>
      </c>
      <c r="O459" t="str">
        <f>_xlfn.XLOOKUP(frasest[[#This Row],[author_es]],autorest[author_es],autorest[age_es])</f>
        <v>Edad Contemporánea</v>
      </c>
      <c r="P459" t="str">
        <f>_xlfn.XLOOKUP(frasest[[#This Row],[author_es]],autorest[author_es],autorest[age_la])</f>
        <v>Aetas Contemporanea</v>
      </c>
      <c r="Q459" t="str">
        <f>_xlfn.XLOOKUP(frasest[[#This Row],[author_es]],autorest[author_es],autorest[image])</f>
        <v>https://i.ibb.co/h0XxRwM/kiekergard.png</v>
      </c>
      <c r="R459">
        <f>_xlfn.XLOOKUP(frasest[[#This Row],[author_es]],autorest[author_es],autorest[image_atr])</f>
        <v>0</v>
      </c>
    </row>
    <row r="460" spans="1:18">
      <c r="A460">
        <v>459</v>
      </c>
      <c r="B460" t="s">
        <v>1583</v>
      </c>
      <c r="C460" t="s">
        <v>1584</v>
      </c>
      <c r="D460" t="s">
        <v>1585</v>
      </c>
      <c r="E460" t="s">
        <v>1577</v>
      </c>
      <c r="F460" t="s">
        <v>1586</v>
      </c>
      <c r="G460" t="str">
        <f>_xlfn.XLOOKUP(frasest[[#This Row],[author_es]],autorest[author_es],autorest[author_la])</f>
        <v>Soren Kierkegaard</v>
      </c>
      <c r="H460"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Row],[author_es]],autorest[author_es],autorest[iso3691])</f>
        <v>da</v>
      </c>
      <c r="K460" t="str">
        <f>_xlfn.XLOOKUP(frasest[[#This Row],[author_es]],autorest[author_es],autorest[language_es])</f>
        <v>Danés</v>
      </c>
      <c r="L460" t="str">
        <f>_xlfn.XLOOKUP(frasest[[#This Row],[author_es]],autorest[author_es],autorest[language_la])</f>
        <v>Lingua Danica</v>
      </c>
      <c r="M460" t="str">
        <f>_xlfn.XLOOKUP(frasest[[#This Row],[author_es]],autorest[author_es],autorest[nation_es])</f>
        <v>Dinamarca</v>
      </c>
      <c r="N460" t="str">
        <f>_xlfn.XLOOKUP(frasest[[#This Row],[author_es]],autorest[author_es],autorest[nation_la])</f>
        <v>Dania</v>
      </c>
      <c r="O460" t="str">
        <f>_xlfn.XLOOKUP(frasest[[#This Row],[author_es]],autorest[author_es],autorest[age_es])</f>
        <v>Edad Contemporánea</v>
      </c>
      <c r="P460" t="str">
        <f>_xlfn.XLOOKUP(frasest[[#This Row],[author_es]],autorest[author_es],autorest[age_la])</f>
        <v>Aetas Contemporanea</v>
      </c>
      <c r="Q460" t="str">
        <f>_xlfn.XLOOKUP(frasest[[#This Row],[author_es]],autorest[author_es],autorest[image])</f>
        <v>https://i.ibb.co/h0XxRwM/kiekergard.png</v>
      </c>
      <c r="R460">
        <f>_xlfn.XLOOKUP(frasest[[#This Row],[author_es]],autorest[author_es],autorest[image_atr])</f>
        <v>0</v>
      </c>
    </row>
    <row r="461" spans="1:18">
      <c r="A461">
        <v>460</v>
      </c>
      <c r="B461" t="s">
        <v>1587</v>
      </c>
      <c r="C461" t="s">
        <v>1588</v>
      </c>
      <c r="D461" t="s">
        <v>1589</v>
      </c>
      <c r="E461" t="s">
        <v>1577</v>
      </c>
      <c r="F461" t="s">
        <v>1578</v>
      </c>
      <c r="G461" t="str">
        <f>_xlfn.XLOOKUP(frasest[[#This Row],[author_es]],autorest[author_es],autorest[author_la])</f>
        <v>Soren Kierkegaard</v>
      </c>
      <c r="H461"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Row],[author_es]],autorest[author_es],autorest[iso3691])</f>
        <v>da</v>
      </c>
      <c r="K461" t="str">
        <f>_xlfn.XLOOKUP(frasest[[#This Row],[author_es]],autorest[author_es],autorest[language_es])</f>
        <v>Danés</v>
      </c>
      <c r="L461" t="str">
        <f>_xlfn.XLOOKUP(frasest[[#This Row],[author_es]],autorest[author_es],autorest[language_la])</f>
        <v>Lingua Danica</v>
      </c>
      <c r="M461" t="str">
        <f>_xlfn.XLOOKUP(frasest[[#This Row],[author_es]],autorest[author_es],autorest[nation_es])</f>
        <v>Dinamarca</v>
      </c>
      <c r="N461" t="str">
        <f>_xlfn.XLOOKUP(frasest[[#This Row],[author_es]],autorest[author_es],autorest[nation_la])</f>
        <v>Dania</v>
      </c>
      <c r="O461" t="str">
        <f>_xlfn.XLOOKUP(frasest[[#This Row],[author_es]],autorest[author_es],autorest[age_es])</f>
        <v>Edad Contemporánea</v>
      </c>
      <c r="P461" t="str">
        <f>_xlfn.XLOOKUP(frasest[[#This Row],[author_es]],autorest[author_es],autorest[age_la])</f>
        <v>Aetas Contemporanea</v>
      </c>
      <c r="Q461" t="str">
        <f>_xlfn.XLOOKUP(frasest[[#This Row],[author_es]],autorest[author_es],autorest[image])</f>
        <v>https://i.ibb.co/h0XxRwM/kiekergard.png</v>
      </c>
      <c r="R461">
        <f>_xlfn.XLOOKUP(frasest[[#This Row],[author_es]],autorest[author_es],autorest[image_atr])</f>
        <v>0</v>
      </c>
    </row>
    <row r="462" spans="1:18">
      <c r="A462">
        <v>461</v>
      </c>
      <c r="B462" t="s">
        <v>1590</v>
      </c>
      <c r="C462" t="s">
        <v>1591</v>
      </c>
      <c r="D462" t="s">
        <v>1592</v>
      </c>
      <c r="E462" t="s">
        <v>1577</v>
      </c>
      <c r="F462" t="s">
        <v>1593</v>
      </c>
      <c r="G462" t="str">
        <f>_xlfn.XLOOKUP(frasest[[#This Row],[author_es]],autorest[author_es],autorest[author_la])</f>
        <v>Soren Kierkegaard</v>
      </c>
      <c r="H462"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Row],[author_es]],autorest[author_es],autorest[iso3691])</f>
        <v>da</v>
      </c>
      <c r="K462" t="str">
        <f>_xlfn.XLOOKUP(frasest[[#This Row],[author_es]],autorest[author_es],autorest[language_es])</f>
        <v>Danés</v>
      </c>
      <c r="L462" t="str">
        <f>_xlfn.XLOOKUP(frasest[[#This Row],[author_es]],autorest[author_es],autorest[language_la])</f>
        <v>Lingua Danica</v>
      </c>
      <c r="M462" t="str">
        <f>_xlfn.XLOOKUP(frasest[[#This Row],[author_es]],autorest[author_es],autorest[nation_es])</f>
        <v>Dinamarca</v>
      </c>
      <c r="N462" t="str">
        <f>_xlfn.XLOOKUP(frasest[[#This Row],[author_es]],autorest[author_es],autorest[nation_la])</f>
        <v>Dania</v>
      </c>
      <c r="O462" t="str">
        <f>_xlfn.XLOOKUP(frasest[[#This Row],[author_es]],autorest[author_es],autorest[age_es])</f>
        <v>Edad Contemporánea</v>
      </c>
      <c r="P462" t="str">
        <f>_xlfn.XLOOKUP(frasest[[#This Row],[author_es]],autorest[author_es],autorest[age_la])</f>
        <v>Aetas Contemporanea</v>
      </c>
      <c r="Q462" t="str">
        <f>_xlfn.XLOOKUP(frasest[[#This Row],[author_es]],autorest[author_es],autorest[image])</f>
        <v>https://i.ibb.co/h0XxRwM/kiekergard.png</v>
      </c>
      <c r="R462">
        <f>_xlfn.XLOOKUP(frasest[[#This Row],[author_es]],autorest[author_es],autorest[image_atr])</f>
        <v>0</v>
      </c>
    </row>
    <row r="463" spans="1:18">
      <c r="A463">
        <v>462</v>
      </c>
      <c r="B463" t="s">
        <v>1594</v>
      </c>
      <c r="C463" t="s">
        <v>1595</v>
      </c>
      <c r="D463" t="s">
        <v>1596</v>
      </c>
      <c r="E463" t="s">
        <v>1577</v>
      </c>
      <c r="F463" t="s">
        <v>1597</v>
      </c>
      <c r="G463" t="str">
        <f>_xlfn.XLOOKUP(frasest[[#This Row],[author_es]],autorest[author_es],autorest[author_la])</f>
        <v>Soren Kierkegaard</v>
      </c>
      <c r="H463"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Row],[author_es]],autorest[author_es],autorest[iso3691])</f>
        <v>da</v>
      </c>
      <c r="K463" t="str">
        <f>_xlfn.XLOOKUP(frasest[[#This Row],[author_es]],autorest[author_es],autorest[language_es])</f>
        <v>Danés</v>
      </c>
      <c r="L463" t="str">
        <f>_xlfn.XLOOKUP(frasest[[#This Row],[author_es]],autorest[author_es],autorest[language_la])</f>
        <v>Lingua Danica</v>
      </c>
      <c r="M463" t="str">
        <f>_xlfn.XLOOKUP(frasest[[#This Row],[author_es]],autorest[author_es],autorest[nation_es])</f>
        <v>Dinamarca</v>
      </c>
      <c r="N463" t="str">
        <f>_xlfn.XLOOKUP(frasest[[#This Row],[author_es]],autorest[author_es],autorest[nation_la])</f>
        <v>Dania</v>
      </c>
      <c r="O463" t="str">
        <f>_xlfn.XLOOKUP(frasest[[#This Row],[author_es]],autorest[author_es],autorest[age_es])</f>
        <v>Edad Contemporánea</v>
      </c>
      <c r="P463" t="str">
        <f>_xlfn.XLOOKUP(frasest[[#This Row],[author_es]],autorest[author_es],autorest[age_la])</f>
        <v>Aetas Contemporanea</v>
      </c>
      <c r="Q463" t="str">
        <f>_xlfn.XLOOKUP(frasest[[#This Row],[author_es]],autorest[author_es],autorest[image])</f>
        <v>https://i.ibb.co/h0XxRwM/kiekergard.png</v>
      </c>
      <c r="R463">
        <f>_xlfn.XLOOKUP(frasest[[#This Row],[author_es]],autorest[author_es],autorest[image_atr])</f>
        <v>0</v>
      </c>
    </row>
    <row r="464" spans="1:18">
      <c r="A464">
        <v>463</v>
      </c>
      <c r="B464" t="s">
        <v>1598</v>
      </c>
      <c r="C464" t="s">
        <v>1599</v>
      </c>
      <c r="D464" t="s">
        <v>1599</v>
      </c>
      <c r="E464" t="s">
        <v>1600</v>
      </c>
      <c r="F464" t="s">
        <v>1601</v>
      </c>
      <c r="G464" t="str">
        <f>_xlfn.XLOOKUP(frasest[[#This Row],[author_es]],autorest[author_es],autorest[author_la])</f>
        <v>Iohannes Amos Comenius</v>
      </c>
      <c r="H464"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Row],[author_es]],autorest[author_es],autorest[iso3691])</f>
        <v>la</v>
      </c>
      <c r="K464" t="str">
        <f>_xlfn.XLOOKUP(frasest[[#This Row],[author_es]],autorest[author_es],autorest[language_es])</f>
        <v>Latín</v>
      </c>
      <c r="L464" t="str">
        <f>_xlfn.XLOOKUP(frasest[[#This Row],[author_es]],autorest[author_es],autorest[language_la])</f>
        <v>Lingua Latina</v>
      </c>
      <c r="M464" t="str">
        <f>_xlfn.XLOOKUP(frasest[[#This Row],[author_es]],autorest[author_es],autorest[nation_es])</f>
        <v>Chequia</v>
      </c>
      <c r="N464" t="str">
        <f>_xlfn.XLOOKUP(frasest[[#This Row],[author_es]],autorest[author_es],autorest[nation_la])</f>
        <v>Cechia</v>
      </c>
      <c r="O464" t="str">
        <f>_xlfn.XLOOKUP(frasest[[#This Row],[author_es]],autorest[author_es],autorest[age_es])</f>
        <v>Edad Moderna</v>
      </c>
      <c r="P464" t="str">
        <f>_xlfn.XLOOKUP(frasest[[#This Row],[author_es]],autorest[author_es],autorest[age_la])</f>
        <v>Nova Aetas</v>
      </c>
      <c r="Q464" t="str">
        <f>_xlfn.XLOOKUP(frasest[[#This Row],[author_es]],autorest[author_es],autorest[image])</f>
        <v>https://i.ibb.co/fzJrNW0W/comenio.png</v>
      </c>
      <c r="R464">
        <f>_xlfn.XLOOKUP(frasest[[#This Row],[author_es]],autorest[author_es],autorest[image_atr])</f>
        <v>0</v>
      </c>
    </row>
    <row r="465" spans="1:18">
      <c r="A465">
        <v>464</v>
      </c>
      <c r="B465" t="s">
        <v>1602</v>
      </c>
      <c r="C465" t="s">
        <v>1603</v>
      </c>
      <c r="D465" t="s">
        <v>1603</v>
      </c>
      <c r="E465" t="s">
        <v>1600</v>
      </c>
      <c r="F465" t="s">
        <v>1604</v>
      </c>
      <c r="G465" t="str">
        <f>_xlfn.XLOOKUP(frasest[[#This Row],[author_es]],autorest[author_es],autorest[author_la])</f>
        <v>Iohannes Amos Comenius</v>
      </c>
      <c r="H465"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Row],[author_es]],autorest[author_es],autorest[iso3691])</f>
        <v>la</v>
      </c>
      <c r="K465" t="str">
        <f>_xlfn.XLOOKUP(frasest[[#This Row],[author_es]],autorest[author_es],autorest[language_es])</f>
        <v>Latín</v>
      </c>
      <c r="L465" t="str">
        <f>_xlfn.XLOOKUP(frasest[[#This Row],[author_es]],autorest[author_es],autorest[language_la])</f>
        <v>Lingua Latina</v>
      </c>
      <c r="M465" t="str">
        <f>_xlfn.XLOOKUP(frasest[[#This Row],[author_es]],autorest[author_es],autorest[nation_es])</f>
        <v>Chequia</v>
      </c>
      <c r="N465" t="str">
        <f>_xlfn.XLOOKUP(frasest[[#This Row],[author_es]],autorest[author_es],autorest[nation_la])</f>
        <v>Cechia</v>
      </c>
      <c r="O465" t="str">
        <f>_xlfn.XLOOKUP(frasest[[#This Row],[author_es]],autorest[author_es],autorest[age_es])</f>
        <v>Edad Moderna</v>
      </c>
      <c r="P465" t="str">
        <f>_xlfn.XLOOKUP(frasest[[#This Row],[author_es]],autorest[author_es],autorest[age_la])</f>
        <v>Nova Aetas</v>
      </c>
      <c r="Q465" t="str">
        <f>_xlfn.XLOOKUP(frasest[[#This Row],[author_es]],autorest[author_es],autorest[image])</f>
        <v>https://i.ibb.co/fzJrNW0W/comenio.png</v>
      </c>
      <c r="R465">
        <f>_xlfn.XLOOKUP(frasest[[#This Row],[author_es]],autorest[author_es],autorest[image_atr])</f>
        <v>0</v>
      </c>
    </row>
    <row r="466" spans="1:18">
      <c r="A466">
        <v>465</v>
      </c>
      <c r="B466" t="s">
        <v>1605</v>
      </c>
      <c r="C466" t="s">
        <v>1606</v>
      </c>
      <c r="D466" t="s">
        <v>1606</v>
      </c>
      <c r="E466" t="s">
        <v>1600</v>
      </c>
      <c r="F466" t="s">
        <v>1607</v>
      </c>
      <c r="G466" t="str">
        <f>_xlfn.XLOOKUP(frasest[[#This Row],[author_es]],autorest[author_es],autorest[author_la])</f>
        <v>Iohannes Amos Comenius</v>
      </c>
      <c r="H466"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Row],[author_es]],autorest[author_es],autorest[iso3691])</f>
        <v>la</v>
      </c>
      <c r="K466" t="str">
        <f>_xlfn.XLOOKUP(frasest[[#This Row],[author_es]],autorest[author_es],autorest[language_es])</f>
        <v>Latín</v>
      </c>
      <c r="L466" t="str">
        <f>_xlfn.XLOOKUP(frasest[[#This Row],[author_es]],autorest[author_es],autorest[language_la])</f>
        <v>Lingua Latina</v>
      </c>
      <c r="M466" t="str">
        <f>_xlfn.XLOOKUP(frasest[[#This Row],[author_es]],autorest[author_es],autorest[nation_es])</f>
        <v>Chequia</v>
      </c>
      <c r="N466" t="str">
        <f>_xlfn.XLOOKUP(frasest[[#This Row],[author_es]],autorest[author_es],autorest[nation_la])</f>
        <v>Cechia</v>
      </c>
      <c r="O466" t="str">
        <f>_xlfn.XLOOKUP(frasest[[#This Row],[author_es]],autorest[author_es],autorest[age_es])</f>
        <v>Edad Moderna</v>
      </c>
      <c r="P466" t="str">
        <f>_xlfn.XLOOKUP(frasest[[#This Row],[author_es]],autorest[author_es],autorest[age_la])</f>
        <v>Nova Aetas</v>
      </c>
      <c r="Q466" t="str">
        <f>_xlfn.XLOOKUP(frasest[[#This Row],[author_es]],autorest[author_es],autorest[image])</f>
        <v>https://i.ibb.co/fzJrNW0W/comenio.png</v>
      </c>
      <c r="R466">
        <f>_xlfn.XLOOKUP(frasest[[#This Row],[author_es]],autorest[author_es],autorest[image_atr])</f>
        <v>0</v>
      </c>
    </row>
    <row r="467" spans="1:18">
      <c r="A467">
        <v>466</v>
      </c>
      <c r="B467" t="s">
        <v>1608</v>
      </c>
      <c r="C467" t="s">
        <v>1609</v>
      </c>
      <c r="D467" t="s">
        <v>1609</v>
      </c>
      <c r="E467" t="s">
        <v>1600</v>
      </c>
      <c r="F467" t="s">
        <v>1610</v>
      </c>
      <c r="G467" t="str">
        <f>_xlfn.XLOOKUP(frasest[[#This Row],[author_es]],autorest[author_es],autorest[author_la])</f>
        <v>Iohannes Amos Comenius</v>
      </c>
      <c r="H467"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Row],[author_es]],autorest[author_es],autorest[iso3691])</f>
        <v>la</v>
      </c>
      <c r="K467" t="str">
        <f>_xlfn.XLOOKUP(frasest[[#This Row],[author_es]],autorest[author_es],autorest[language_es])</f>
        <v>Latín</v>
      </c>
      <c r="L467" t="str">
        <f>_xlfn.XLOOKUP(frasest[[#This Row],[author_es]],autorest[author_es],autorest[language_la])</f>
        <v>Lingua Latina</v>
      </c>
      <c r="M467" t="str">
        <f>_xlfn.XLOOKUP(frasest[[#This Row],[author_es]],autorest[author_es],autorest[nation_es])</f>
        <v>Chequia</v>
      </c>
      <c r="N467" t="str">
        <f>_xlfn.XLOOKUP(frasest[[#This Row],[author_es]],autorest[author_es],autorest[nation_la])</f>
        <v>Cechia</v>
      </c>
      <c r="O467" t="str">
        <f>_xlfn.XLOOKUP(frasest[[#This Row],[author_es]],autorest[author_es],autorest[age_es])</f>
        <v>Edad Moderna</v>
      </c>
      <c r="P467" t="str">
        <f>_xlfn.XLOOKUP(frasest[[#This Row],[author_es]],autorest[author_es],autorest[age_la])</f>
        <v>Nova Aetas</v>
      </c>
      <c r="Q467" t="str">
        <f>_xlfn.XLOOKUP(frasest[[#This Row],[author_es]],autorest[author_es],autorest[image])</f>
        <v>https://i.ibb.co/fzJrNW0W/comenio.png</v>
      </c>
      <c r="R467">
        <f>_xlfn.XLOOKUP(frasest[[#This Row],[author_es]],autorest[author_es],autorest[image_atr])</f>
        <v>0</v>
      </c>
    </row>
    <row r="468" spans="1:18">
      <c r="A468">
        <v>467</v>
      </c>
      <c r="B468" t="s">
        <v>1611</v>
      </c>
      <c r="C468" t="s">
        <v>1612</v>
      </c>
      <c r="D468" t="s">
        <v>1612</v>
      </c>
      <c r="E468" t="s">
        <v>1600</v>
      </c>
      <c r="F468" t="s">
        <v>1613</v>
      </c>
      <c r="G468" t="str">
        <f>_xlfn.XLOOKUP(frasest[[#This Row],[author_es]],autorest[author_es],autorest[author_la])</f>
        <v>Iohannes Amos Comenius</v>
      </c>
      <c r="H468"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Row],[author_es]],autorest[author_es],autorest[iso3691])</f>
        <v>la</v>
      </c>
      <c r="K468" t="str">
        <f>_xlfn.XLOOKUP(frasest[[#This Row],[author_es]],autorest[author_es],autorest[language_es])</f>
        <v>Latín</v>
      </c>
      <c r="L468" t="str">
        <f>_xlfn.XLOOKUP(frasest[[#This Row],[author_es]],autorest[author_es],autorest[language_la])</f>
        <v>Lingua Latina</v>
      </c>
      <c r="M468" t="str">
        <f>_xlfn.XLOOKUP(frasest[[#This Row],[author_es]],autorest[author_es],autorest[nation_es])</f>
        <v>Chequia</v>
      </c>
      <c r="N468" t="str">
        <f>_xlfn.XLOOKUP(frasest[[#This Row],[author_es]],autorest[author_es],autorest[nation_la])</f>
        <v>Cechia</v>
      </c>
      <c r="O468" t="str">
        <f>_xlfn.XLOOKUP(frasest[[#This Row],[author_es]],autorest[author_es],autorest[age_es])</f>
        <v>Edad Moderna</v>
      </c>
      <c r="P468" t="str">
        <f>_xlfn.XLOOKUP(frasest[[#This Row],[author_es]],autorest[author_es],autorest[age_la])</f>
        <v>Nova Aetas</v>
      </c>
      <c r="Q468" t="str">
        <f>_xlfn.XLOOKUP(frasest[[#This Row],[author_es]],autorest[author_es],autorest[image])</f>
        <v>https://i.ibb.co/fzJrNW0W/comenio.png</v>
      </c>
      <c r="R468">
        <f>_xlfn.XLOOKUP(frasest[[#This Row],[author_es]],autorest[author_es],autorest[image_atr])</f>
        <v>0</v>
      </c>
    </row>
    <row r="469" spans="1:18">
      <c r="A469">
        <v>468</v>
      </c>
      <c r="B469" t="s">
        <v>1614</v>
      </c>
      <c r="C469" t="s">
        <v>1615</v>
      </c>
      <c r="D469" t="s">
        <v>1615</v>
      </c>
      <c r="E469" t="s">
        <v>1600</v>
      </c>
      <c r="F469" t="s">
        <v>1616</v>
      </c>
      <c r="G469" t="str">
        <f>_xlfn.XLOOKUP(frasest[[#This Row],[author_es]],autorest[author_es],autorest[author_la])</f>
        <v>Iohannes Amos Comenius</v>
      </c>
      <c r="H469"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Row],[author_es]],autorest[author_es],autorest[iso3691])</f>
        <v>la</v>
      </c>
      <c r="K469" t="str">
        <f>_xlfn.XLOOKUP(frasest[[#This Row],[author_es]],autorest[author_es],autorest[language_es])</f>
        <v>Latín</v>
      </c>
      <c r="L469" t="str">
        <f>_xlfn.XLOOKUP(frasest[[#This Row],[author_es]],autorest[author_es],autorest[language_la])</f>
        <v>Lingua Latina</v>
      </c>
      <c r="M469" t="str">
        <f>_xlfn.XLOOKUP(frasest[[#This Row],[author_es]],autorest[author_es],autorest[nation_es])</f>
        <v>Chequia</v>
      </c>
      <c r="N469" t="str">
        <f>_xlfn.XLOOKUP(frasest[[#This Row],[author_es]],autorest[author_es],autorest[nation_la])</f>
        <v>Cechia</v>
      </c>
      <c r="O469" t="str">
        <f>_xlfn.XLOOKUP(frasest[[#This Row],[author_es]],autorest[author_es],autorest[age_es])</f>
        <v>Edad Moderna</v>
      </c>
      <c r="P469" t="str">
        <f>_xlfn.XLOOKUP(frasest[[#This Row],[author_es]],autorest[author_es],autorest[age_la])</f>
        <v>Nova Aetas</v>
      </c>
      <c r="Q469" t="str">
        <f>_xlfn.XLOOKUP(frasest[[#This Row],[author_es]],autorest[author_es],autorest[image])</f>
        <v>https://i.ibb.co/fzJrNW0W/comenio.png</v>
      </c>
      <c r="R469">
        <f>_xlfn.XLOOKUP(frasest[[#This Row],[author_es]],autorest[author_es],autorest[image_atr])</f>
        <v>0</v>
      </c>
    </row>
    <row r="470" spans="1:18">
      <c r="A470">
        <v>469</v>
      </c>
      <c r="B470" t="s">
        <v>1617</v>
      </c>
      <c r="C470" t="s">
        <v>1618</v>
      </c>
      <c r="D470" t="s">
        <v>1619</v>
      </c>
      <c r="E470" t="s">
        <v>1620</v>
      </c>
      <c r="F470" t="s">
        <v>1621</v>
      </c>
      <c r="G470" t="str">
        <f>_xlfn.XLOOKUP(frasest[[#This Row],[author_es]],autorest[author_es],autorest[author_la])</f>
        <v>Ioannes Iacobus Rousseau</v>
      </c>
      <c r="H470"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Row],[author_es]],autorest[author_es],autorest[iso3691])</f>
        <v>fr</v>
      </c>
      <c r="K470" t="str">
        <f>_xlfn.XLOOKUP(frasest[[#This Row],[author_es]],autorest[author_es],autorest[language_es])</f>
        <v>Francés</v>
      </c>
      <c r="L470" t="str">
        <f>_xlfn.XLOOKUP(frasest[[#This Row],[author_es]],autorest[author_es],autorest[language_la])</f>
        <v>Lingua Gallica</v>
      </c>
      <c r="M470" t="str">
        <f>_xlfn.XLOOKUP(frasest[[#This Row],[author_es]],autorest[author_es],autorest[nation_es])</f>
        <v>Suiza</v>
      </c>
      <c r="N470" t="str">
        <f>_xlfn.XLOOKUP(frasest[[#This Row],[author_es]],autorest[author_es],autorest[nation_la])</f>
        <v>Helvetia</v>
      </c>
      <c r="O470" t="str">
        <f>_xlfn.XLOOKUP(frasest[[#This Row],[author_es]],autorest[author_es],autorest[age_es])</f>
        <v>Edad Moderna</v>
      </c>
      <c r="P470" t="str">
        <f>_xlfn.XLOOKUP(frasest[[#This Row],[author_es]],autorest[author_es],autorest[age_la])</f>
        <v>Nova Aetas</v>
      </c>
      <c r="Q470" t="str">
        <f>_xlfn.XLOOKUP(frasest[[#This Row],[author_es]],autorest[author_es],autorest[image])</f>
        <v>https://i.ibb.co/3yBzY0N8/rousseau.png</v>
      </c>
      <c r="R470">
        <f>_xlfn.XLOOKUP(frasest[[#This Row],[author_es]],autorest[author_es],autorest[image_atr])</f>
        <v>0</v>
      </c>
    </row>
    <row r="471" spans="1:18">
      <c r="A471">
        <v>470</v>
      </c>
      <c r="B471" t="s">
        <v>1622</v>
      </c>
      <c r="C471" t="s">
        <v>1623</v>
      </c>
      <c r="D471" t="s">
        <v>1624</v>
      </c>
      <c r="E471" t="s">
        <v>1620</v>
      </c>
      <c r="F471" t="s">
        <v>1621</v>
      </c>
      <c r="G471" t="str">
        <f>_xlfn.XLOOKUP(frasest[[#This Row],[author_es]],autorest[author_es],autorest[author_la])</f>
        <v>Ioannes Iacobus Rousseau</v>
      </c>
      <c r="H471"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Row],[author_es]],autorest[author_es],autorest[iso3691])</f>
        <v>fr</v>
      </c>
      <c r="K471" t="str">
        <f>_xlfn.XLOOKUP(frasest[[#This Row],[author_es]],autorest[author_es],autorest[language_es])</f>
        <v>Francés</v>
      </c>
      <c r="L471" t="str">
        <f>_xlfn.XLOOKUP(frasest[[#This Row],[author_es]],autorest[author_es],autorest[language_la])</f>
        <v>Lingua Gallica</v>
      </c>
      <c r="M471" t="str">
        <f>_xlfn.XLOOKUP(frasest[[#This Row],[author_es]],autorest[author_es],autorest[nation_es])</f>
        <v>Suiza</v>
      </c>
      <c r="N471" t="str">
        <f>_xlfn.XLOOKUP(frasest[[#This Row],[author_es]],autorest[author_es],autorest[nation_la])</f>
        <v>Helvetia</v>
      </c>
      <c r="O471" t="str">
        <f>_xlfn.XLOOKUP(frasest[[#This Row],[author_es]],autorest[author_es],autorest[age_es])</f>
        <v>Edad Moderna</v>
      </c>
      <c r="P471" t="str">
        <f>_xlfn.XLOOKUP(frasest[[#This Row],[author_es]],autorest[author_es],autorest[age_la])</f>
        <v>Nova Aetas</v>
      </c>
      <c r="Q471" t="str">
        <f>_xlfn.XLOOKUP(frasest[[#This Row],[author_es]],autorest[author_es],autorest[image])</f>
        <v>https://i.ibb.co/3yBzY0N8/rousseau.png</v>
      </c>
      <c r="R471">
        <f>_xlfn.XLOOKUP(frasest[[#This Row],[author_es]],autorest[author_es],autorest[image_atr])</f>
        <v>0</v>
      </c>
    </row>
    <row r="472" spans="1:18">
      <c r="A472">
        <v>471</v>
      </c>
      <c r="B472" t="s">
        <v>1625</v>
      </c>
      <c r="C472" t="s">
        <v>1626</v>
      </c>
      <c r="D472" t="s">
        <v>1627</v>
      </c>
      <c r="E472" t="s">
        <v>1620</v>
      </c>
      <c r="F472" t="s">
        <v>1621</v>
      </c>
      <c r="G472" t="str">
        <f>_xlfn.XLOOKUP(frasest[[#This Row],[author_es]],autorest[author_es],autorest[author_la])</f>
        <v>Ioannes Iacobus Rousseau</v>
      </c>
      <c r="H472"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Row],[author_es]],autorest[author_es],autorest[iso3691])</f>
        <v>fr</v>
      </c>
      <c r="K472" t="str">
        <f>_xlfn.XLOOKUP(frasest[[#This Row],[author_es]],autorest[author_es],autorest[language_es])</f>
        <v>Francés</v>
      </c>
      <c r="L472" t="str">
        <f>_xlfn.XLOOKUP(frasest[[#This Row],[author_es]],autorest[author_es],autorest[language_la])</f>
        <v>Lingua Gallica</v>
      </c>
      <c r="M472" t="str">
        <f>_xlfn.XLOOKUP(frasest[[#This Row],[author_es]],autorest[author_es],autorest[nation_es])</f>
        <v>Suiza</v>
      </c>
      <c r="N472" t="str">
        <f>_xlfn.XLOOKUP(frasest[[#This Row],[author_es]],autorest[author_es],autorest[nation_la])</f>
        <v>Helvetia</v>
      </c>
      <c r="O472" t="str">
        <f>_xlfn.XLOOKUP(frasest[[#This Row],[author_es]],autorest[author_es],autorest[age_es])</f>
        <v>Edad Moderna</v>
      </c>
      <c r="P472" t="str">
        <f>_xlfn.XLOOKUP(frasest[[#This Row],[author_es]],autorest[author_es],autorest[age_la])</f>
        <v>Nova Aetas</v>
      </c>
      <c r="Q472" t="str">
        <f>_xlfn.XLOOKUP(frasest[[#This Row],[author_es]],autorest[author_es],autorest[image])</f>
        <v>https://i.ibb.co/3yBzY0N8/rousseau.png</v>
      </c>
      <c r="R472">
        <f>_xlfn.XLOOKUP(frasest[[#This Row],[author_es]],autorest[author_es],autorest[image_atr])</f>
        <v>0</v>
      </c>
    </row>
    <row r="473" spans="1:18">
      <c r="A473">
        <v>472</v>
      </c>
      <c r="B473" t="s">
        <v>1628</v>
      </c>
      <c r="C473" t="s">
        <v>1629</v>
      </c>
      <c r="D473" t="s">
        <v>1630</v>
      </c>
      <c r="E473" t="s">
        <v>1620</v>
      </c>
      <c r="F473" t="s">
        <v>1621</v>
      </c>
      <c r="G473" t="str">
        <f>_xlfn.XLOOKUP(frasest[[#This Row],[author_es]],autorest[author_es],autorest[author_la])</f>
        <v>Ioannes Iacobus Rousseau</v>
      </c>
      <c r="H473"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Row],[author_es]],autorest[author_es],autorest[iso3691])</f>
        <v>fr</v>
      </c>
      <c r="K473" t="str">
        <f>_xlfn.XLOOKUP(frasest[[#This Row],[author_es]],autorest[author_es],autorest[language_es])</f>
        <v>Francés</v>
      </c>
      <c r="L473" t="str">
        <f>_xlfn.XLOOKUP(frasest[[#This Row],[author_es]],autorest[author_es],autorest[language_la])</f>
        <v>Lingua Gallica</v>
      </c>
      <c r="M473" t="str">
        <f>_xlfn.XLOOKUP(frasest[[#This Row],[author_es]],autorest[author_es],autorest[nation_es])</f>
        <v>Suiza</v>
      </c>
      <c r="N473" t="str">
        <f>_xlfn.XLOOKUP(frasest[[#This Row],[author_es]],autorest[author_es],autorest[nation_la])</f>
        <v>Helvetia</v>
      </c>
      <c r="O473" t="str">
        <f>_xlfn.XLOOKUP(frasest[[#This Row],[author_es]],autorest[author_es],autorest[age_es])</f>
        <v>Edad Moderna</v>
      </c>
      <c r="P473" t="str">
        <f>_xlfn.XLOOKUP(frasest[[#This Row],[author_es]],autorest[author_es],autorest[age_la])</f>
        <v>Nova Aetas</v>
      </c>
      <c r="Q473" t="str">
        <f>_xlfn.XLOOKUP(frasest[[#This Row],[author_es]],autorest[author_es],autorest[image])</f>
        <v>https://i.ibb.co/3yBzY0N8/rousseau.png</v>
      </c>
      <c r="R473">
        <f>_xlfn.XLOOKUP(frasest[[#This Row],[author_es]],autorest[author_es],autorest[image_atr])</f>
        <v>0</v>
      </c>
    </row>
    <row r="474" spans="1:18">
      <c r="A474">
        <v>473</v>
      </c>
      <c r="B474" t="s">
        <v>1631</v>
      </c>
      <c r="C474" t="s">
        <v>1632</v>
      </c>
      <c r="D474" t="s">
        <v>1633</v>
      </c>
      <c r="E474" t="s">
        <v>1620</v>
      </c>
      <c r="F474" t="s">
        <v>1621</v>
      </c>
      <c r="G474" t="str">
        <f>_xlfn.XLOOKUP(frasest[[#This Row],[author_es]],autorest[author_es],autorest[author_la])</f>
        <v>Ioannes Iacobus Rousseau</v>
      </c>
      <c r="H474"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Row],[author_es]],autorest[author_es],autorest[iso3691])</f>
        <v>fr</v>
      </c>
      <c r="K474" t="str">
        <f>_xlfn.XLOOKUP(frasest[[#This Row],[author_es]],autorest[author_es],autorest[language_es])</f>
        <v>Francés</v>
      </c>
      <c r="L474" t="str">
        <f>_xlfn.XLOOKUP(frasest[[#This Row],[author_es]],autorest[author_es],autorest[language_la])</f>
        <v>Lingua Gallica</v>
      </c>
      <c r="M474" t="str">
        <f>_xlfn.XLOOKUP(frasest[[#This Row],[author_es]],autorest[author_es],autorest[nation_es])</f>
        <v>Suiza</v>
      </c>
      <c r="N474" t="str">
        <f>_xlfn.XLOOKUP(frasest[[#This Row],[author_es]],autorest[author_es],autorest[nation_la])</f>
        <v>Helvetia</v>
      </c>
      <c r="O474" t="str">
        <f>_xlfn.XLOOKUP(frasest[[#This Row],[author_es]],autorest[author_es],autorest[age_es])</f>
        <v>Edad Moderna</v>
      </c>
      <c r="P474" t="str">
        <f>_xlfn.XLOOKUP(frasest[[#This Row],[author_es]],autorest[author_es],autorest[age_la])</f>
        <v>Nova Aetas</v>
      </c>
      <c r="Q474" t="str">
        <f>_xlfn.XLOOKUP(frasest[[#This Row],[author_es]],autorest[author_es],autorest[image])</f>
        <v>https://i.ibb.co/3yBzY0N8/rousseau.png</v>
      </c>
      <c r="R474">
        <f>_xlfn.XLOOKUP(frasest[[#This Row],[author_es]],autorest[author_es],autorest[image_atr])</f>
        <v>0</v>
      </c>
    </row>
    <row r="475" spans="1:18">
      <c r="A475">
        <v>474</v>
      </c>
      <c r="B475" t="s">
        <v>1634</v>
      </c>
      <c r="C475" t="s">
        <v>1635</v>
      </c>
      <c r="D475" t="s">
        <v>1636</v>
      </c>
      <c r="E475" t="s">
        <v>1620</v>
      </c>
      <c r="F475" t="s">
        <v>1637</v>
      </c>
      <c r="G475" t="str">
        <f>_xlfn.XLOOKUP(frasest[[#This Row],[author_es]],autorest[author_es],autorest[author_la])</f>
        <v>Ioannes Iacobus Rousseau</v>
      </c>
      <c r="H475"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Row],[author_es]],autorest[author_es],autorest[iso3691])</f>
        <v>fr</v>
      </c>
      <c r="K475" t="str">
        <f>_xlfn.XLOOKUP(frasest[[#This Row],[author_es]],autorest[author_es],autorest[language_es])</f>
        <v>Francés</v>
      </c>
      <c r="L475" t="str">
        <f>_xlfn.XLOOKUP(frasest[[#This Row],[author_es]],autorest[author_es],autorest[language_la])</f>
        <v>Lingua Gallica</v>
      </c>
      <c r="M475" t="str">
        <f>_xlfn.XLOOKUP(frasest[[#This Row],[author_es]],autorest[author_es],autorest[nation_es])</f>
        <v>Suiza</v>
      </c>
      <c r="N475" t="str">
        <f>_xlfn.XLOOKUP(frasest[[#This Row],[author_es]],autorest[author_es],autorest[nation_la])</f>
        <v>Helvetia</v>
      </c>
      <c r="O475" t="str">
        <f>_xlfn.XLOOKUP(frasest[[#This Row],[author_es]],autorest[author_es],autorest[age_es])</f>
        <v>Edad Moderna</v>
      </c>
      <c r="P475" t="str">
        <f>_xlfn.XLOOKUP(frasest[[#This Row],[author_es]],autorest[author_es],autorest[age_la])</f>
        <v>Nova Aetas</v>
      </c>
      <c r="Q475" t="str">
        <f>_xlfn.XLOOKUP(frasest[[#This Row],[author_es]],autorest[author_es],autorest[image])</f>
        <v>https://i.ibb.co/3yBzY0N8/rousseau.png</v>
      </c>
      <c r="R475">
        <f>_xlfn.XLOOKUP(frasest[[#This Row],[author_es]],autorest[author_es],autorest[image_atr])</f>
        <v>0</v>
      </c>
    </row>
    <row r="476" spans="1:18">
      <c r="A476">
        <v>475</v>
      </c>
      <c r="B476" t="s">
        <v>1638</v>
      </c>
      <c r="C476" t="s">
        <v>1639</v>
      </c>
      <c r="D476" t="s">
        <v>1640</v>
      </c>
      <c r="E476" t="s">
        <v>1641</v>
      </c>
      <c r="F476" t="s">
        <v>1642</v>
      </c>
      <c r="G476" t="str">
        <f>_xlfn.XLOOKUP(frasest[[#This Row],[author_es]],autorest[author_es],autorest[author_la])</f>
        <v>Iohannes Henricus Pestalozzi</v>
      </c>
      <c r="H476"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Row],[author_es]],autorest[author_es],autorest[iso3691])</f>
        <v>de</v>
      </c>
      <c r="K476" t="str">
        <f>_xlfn.XLOOKUP(frasest[[#This Row],[author_es]],autorest[author_es],autorest[language_es])</f>
        <v>Alemán</v>
      </c>
      <c r="L476" t="str">
        <f>_xlfn.XLOOKUP(frasest[[#This Row],[author_es]],autorest[author_es],autorest[language_la])</f>
        <v>Lingua Germanica</v>
      </c>
      <c r="M476" t="str">
        <f>_xlfn.XLOOKUP(frasest[[#This Row],[author_es]],autorest[author_es],autorest[nation_es])</f>
        <v>Suiza</v>
      </c>
      <c r="N476" t="str">
        <f>_xlfn.XLOOKUP(frasest[[#This Row],[author_es]],autorest[author_es],autorest[nation_la])</f>
        <v>Helvetia</v>
      </c>
      <c r="O476" t="str">
        <f>_xlfn.XLOOKUP(frasest[[#This Row],[author_es]],autorest[author_es],autorest[age_es])</f>
        <v>Edad Moderna</v>
      </c>
      <c r="P476" t="str">
        <f>_xlfn.XLOOKUP(frasest[[#This Row],[author_es]],autorest[author_es],autorest[age_la])</f>
        <v>Nova Aetas</v>
      </c>
      <c r="Q476" t="str">
        <f>_xlfn.XLOOKUP(frasest[[#This Row],[author_es]],autorest[author_es],autorest[image])</f>
        <v>https://i.ibb.co/nNjVdCkf/pestalozzi.png</v>
      </c>
      <c r="R476">
        <f>_xlfn.XLOOKUP(frasest[[#This Row],[author_es]],autorest[author_es],autorest[image_atr])</f>
        <v>0</v>
      </c>
    </row>
    <row r="477" spans="1:18">
      <c r="A477">
        <v>476</v>
      </c>
      <c r="B477" t="s">
        <v>1643</v>
      </c>
      <c r="C477" t="s">
        <v>1644</v>
      </c>
      <c r="D477" t="s">
        <v>1645</v>
      </c>
      <c r="E477" t="s">
        <v>1641</v>
      </c>
      <c r="F477" t="s">
        <v>1642</v>
      </c>
      <c r="G477" t="str">
        <f>_xlfn.XLOOKUP(frasest[[#This Row],[author_es]],autorest[author_es],autorest[author_la])</f>
        <v>Iohannes Henricus Pestalozzi</v>
      </c>
      <c r="H477"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Row],[author_es]],autorest[author_es],autorest[iso3691])</f>
        <v>de</v>
      </c>
      <c r="K477" t="str">
        <f>_xlfn.XLOOKUP(frasest[[#This Row],[author_es]],autorest[author_es],autorest[language_es])</f>
        <v>Alemán</v>
      </c>
      <c r="L477" t="str">
        <f>_xlfn.XLOOKUP(frasest[[#This Row],[author_es]],autorest[author_es],autorest[language_la])</f>
        <v>Lingua Germanica</v>
      </c>
      <c r="M477" t="str">
        <f>_xlfn.XLOOKUP(frasest[[#This Row],[author_es]],autorest[author_es],autorest[nation_es])</f>
        <v>Suiza</v>
      </c>
      <c r="N477" t="str">
        <f>_xlfn.XLOOKUP(frasest[[#This Row],[author_es]],autorest[author_es],autorest[nation_la])</f>
        <v>Helvetia</v>
      </c>
      <c r="O477" t="str">
        <f>_xlfn.XLOOKUP(frasest[[#This Row],[author_es]],autorest[author_es],autorest[age_es])</f>
        <v>Edad Moderna</v>
      </c>
      <c r="P477" t="str">
        <f>_xlfn.XLOOKUP(frasest[[#This Row],[author_es]],autorest[author_es],autorest[age_la])</f>
        <v>Nova Aetas</v>
      </c>
      <c r="Q477" t="str">
        <f>_xlfn.XLOOKUP(frasest[[#This Row],[author_es]],autorest[author_es],autorest[image])</f>
        <v>https://i.ibb.co/nNjVdCkf/pestalozzi.png</v>
      </c>
      <c r="R477">
        <f>_xlfn.XLOOKUP(frasest[[#This Row],[author_es]],autorest[author_es],autorest[image_atr])</f>
        <v>0</v>
      </c>
    </row>
    <row r="478" spans="1:18">
      <c r="A478">
        <v>477</v>
      </c>
      <c r="B478" t="s">
        <v>1646</v>
      </c>
      <c r="C478" t="s">
        <v>1647</v>
      </c>
      <c r="D478" t="s">
        <v>1648</v>
      </c>
      <c r="E478" t="s">
        <v>1641</v>
      </c>
      <c r="F478" t="s">
        <v>1642</v>
      </c>
      <c r="G478" t="str">
        <f>_xlfn.XLOOKUP(frasest[[#This Row],[author_es]],autorest[author_es],autorest[author_la])</f>
        <v>Iohannes Henricus Pestalozzi</v>
      </c>
      <c r="H478"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Row],[author_es]],autorest[author_es],autorest[iso3691])</f>
        <v>de</v>
      </c>
      <c r="K478" t="str">
        <f>_xlfn.XLOOKUP(frasest[[#This Row],[author_es]],autorest[author_es],autorest[language_es])</f>
        <v>Alemán</v>
      </c>
      <c r="L478" t="str">
        <f>_xlfn.XLOOKUP(frasest[[#This Row],[author_es]],autorest[author_es],autorest[language_la])</f>
        <v>Lingua Germanica</v>
      </c>
      <c r="M478" t="str">
        <f>_xlfn.XLOOKUP(frasest[[#This Row],[author_es]],autorest[author_es],autorest[nation_es])</f>
        <v>Suiza</v>
      </c>
      <c r="N478" t="str">
        <f>_xlfn.XLOOKUP(frasest[[#This Row],[author_es]],autorest[author_es],autorest[nation_la])</f>
        <v>Helvetia</v>
      </c>
      <c r="O478" t="str">
        <f>_xlfn.XLOOKUP(frasest[[#This Row],[author_es]],autorest[author_es],autorest[age_es])</f>
        <v>Edad Moderna</v>
      </c>
      <c r="P478" t="str">
        <f>_xlfn.XLOOKUP(frasest[[#This Row],[author_es]],autorest[author_es],autorest[age_la])</f>
        <v>Nova Aetas</v>
      </c>
      <c r="Q478" t="str">
        <f>_xlfn.XLOOKUP(frasest[[#This Row],[author_es]],autorest[author_es],autorest[image])</f>
        <v>https://i.ibb.co/nNjVdCkf/pestalozzi.png</v>
      </c>
      <c r="R478">
        <f>_xlfn.XLOOKUP(frasest[[#This Row],[author_es]],autorest[author_es],autorest[image_atr])</f>
        <v>0</v>
      </c>
    </row>
    <row r="479" spans="1:18">
      <c r="A479">
        <v>478</v>
      </c>
      <c r="B479" t="s">
        <v>1649</v>
      </c>
      <c r="C479" t="s">
        <v>1650</v>
      </c>
      <c r="D479" t="s">
        <v>1651</v>
      </c>
      <c r="E479" t="s">
        <v>1641</v>
      </c>
      <c r="F479" t="s">
        <v>1642</v>
      </c>
      <c r="G479" t="str">
        <f>_xlfn.XLOOKUP(frasest[[#This Row],[author_es]],autorest[author_es],autorest[author_la])</f>
        <v>Iohannes Henricus Pestalozzi</v>
      </c>
      <c r="H479"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Row],[author_es]],autorest[author_es],autorest[iso3691])</f>
        <v>de</v>
      </c>
      <c r="K479" t="str">
        <f>_xlfn.XLOOKUP(frasest[[#This Row],[author_es]],autorest[author_es],autorest[language_es])</f>
        <v>Alemán</v>
      </c>
      <c r="L479" t="str">
        <f>_xlfn.XLOOKUP(frasest[[#This Row],[author_es]],autorest[author_es],autorest[language_la])</f>
        <v>Lingua Germanica</v>
      </c>
      <c r="M479" t="str">
        <f>_xlfn.XLOOKUP(frasest[[#This Row],[author_es]],autorest[author_es],autorest[nation_es])</f>
        <v>Suiza</v>
      </c>
      <c r="N479" t="str">
        <f>_xlfn.XLOOKUP(frasest[[#This Row],[author_es]],autorest[author_es],autorest[nation_la])</f>
        <v>Helvetia</v>
      </c>
      <c r="O479" t="str">
        <f>_xlfn.XLOOKUP(frasest[[#This Row],[author_es]],autorest[author_es],autorest[age_es])</f>
        <v>Edad Moderna</v>
      </c>
      <c r="P479" t="str">
        <f>_xlfn.XLOOKUP(frasest[[#This Row],[author_es]],autorest[author_es],autorest[age_la])</f>
        <v>Nova Aetas</v>
      </c>
      <c r="Q479" t="str">
        <f>_xlfn.XLOOKUP(frasest[[#This Row],[author_es]],autorest[author_es],autorest[image])</f>
        <v>https://i.ibb.co/nNjVdCkf/pestalozzi.png</v>
      </c>
      <c r="R479">
        <f>_xlfn.XLOOKUP(frasest[[#This Row],[author_es]],autorest[author_es],autorest[image_atr])</f>
        <v>0</v>
      </c>
    </row>
    <row r="480" spans="1:18">
      <c r="A480">
        <v>479</v>
      </c>
      <c r="B480" t="s">
        <v>1652</v>
      </c>
      <c r="C480" t="s">
        <v>1653</v>
      </c>
      <c r="D480" t="s">
        <v>1654</v>
      </c>
      <c r="E480" t="s">
        <v>1641</v>
      </c>
      <c r="F480" t="s">
        <v>1642</v>
      </c>
      <c r="G480" t="str">
        <f>_xlfn.XLOOKUP(frasest[[#This Row],[author_es]],autorest[author_es],autorest[author_la])</f>
        <v>Iohannes Henricus Pestalozzi</v>
      </c>
      <c r="H480"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Row],[author_es]],autorest[author_es],autorest[iso3691])</f>
        <v>de</v>
      </c>
      <c r="K480" t="str">
        <f>_xlfn.XLOOKUP(frasest[[#This Row],[author_es]],autorest[author_es],autorest[language_es])</f>
        <v>Alemán</v>
      </c>
      <c r="L480" t="str">
        <f>_xlfn.XLOOKUP(frasest[[#This Row],[author_es]],autorest[author_es],autorest[language_la])</f>
        <v>Lingua Germanica</v>
      </c>
      <c r="M480" t="str">
        <f>_xlfn.XLOOKUP(frasest[[#This Row],[author_es]],autorest[author_es],autorest[nation_es])</f>
        <v>Suiza</v>
      </c>
      <c r="N480" t="str">
        <f>_xlfn.XLOOKUP(frasest[[#This Row],[author_es]],autorest[author_es],autorest[nation_la])</f>
        <v>Helvetia</v>
      </c>
      <c r="O480" t="str">
        <f>_xlfn.XLOOKUP(frasest[[#This Row],[author_es]],autorest[author_es],autorest[age_es])</f>
        <v>Edad Moderna</v>
      </c>
      <c r="P480" t="str">
        <f>_xlfn.XLOOKUP(frasest[[#This Row],[author_es]],autorest[author_es],autorest[age_la])</f>
        <v>Nova Aetas</v>
      </c>
      <c r="Q480" t="str">
        <f>_xlfn.XLOOKUP(frasest[[#This Row],[author_es]],autorest[author_es],autorest[image])</f>
        <v>https://i.ibb.co/nNjVdCkf/pestalozzi.png</v>
      </c>
      <c r="R480">
        <f>_xlfn.XLOOKUP(frasest[[#This Row],[author_es]],autorest[author_es],autorest[image_atr])</f>
        <v>0</v>
      </c>
    </row>
    <row r="481" spans="1:18">
      <c r="A481">
        <v>480</v>
      </c>
      <c r="B481" t="s">
        <v>1655</v>
      </c>
      <c r="C481" t="s">
        <v>1656</v>
      </c>
      <c r="D481" t="s">
        <v>1657</v>
      </c>
      <c r="E481" t="s">
        <v>1641</v>
      </c>
      <c r="F481" t="s">
        <v>1642</v>
      </c>
      <c r="G481" t="str">
        <f>_xlfn.XLOOKUP(frasest[[#This Row],[author_es]],autorest[author_es],autorest[author_la])</f>
        <v>Iohannes Henricus Pestalozzi</v>
      </c>
      <c r="H481"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Row],[author_es]],autorest[author_es],autorest[iso3691])</f>
        <v>de</v>
      </c>
      <c r="K481" t="str">
        <f>_xlfn.XLOOKUP(frasest[[#This Row],[author_es]],autorest[author_es],autorest[language_es])</f>
        <v>Alemán</v>
      </c>
      <c r="L481" t="str">
        <f>_xlfn.XLOOKUP(frasest[[#This Row],[author_es]],autorest[author_es],autorest[language_la])</f>
        <v>Lingua Germanica</v>
      </c>
      <c r="M481" t="str">
        <f>_xlfn.XLOOKUP(frasest[[#This Row],[author_es]],autorest[author_es],autorest[nation_es])</f>
        <v>Suiza</v>
      </c>
      <c r="N481" t="str">
        <f>_xlfn.XLOOKUP(frasest[[#This Row],[author_es]],autorest[author_es],autorest[nation_la])</f>
        <v>Helvetia</v>
      </c>
      <c r="O481" t="str">
        <f>_xlfn.XLOOKUP(frasest[[#This Row],[author_es]],autorest[author_es],autorest[age_es])</f>
        <v>Edad Moderna</v>
      </c>
      <c r="P481" t="str">
        <f>_xlfn.XLOOKUP(frasest[[#This Row],[author_es]],autorest[author_es],autorest[age_la])</f>
        <v>Nova Aetas</v>
      </c>
      <c r="Q481" t="str">
        <f>_xlfn.XLOOKUP(frasest[[#This Row],[author_es]],autorest[author_es],autorest[image])</f>
        <v>https://i.ibb.co/nNjVdCkf/pestalozzi.png</v>
      </c>
      <c r="R481">
        <f>_xlfn.XLOOKUP(frasest[[#This Row],[author_es]],autorest[author_es],autorest[image_atr])</f>
        <v>0</v>
      </c>
    </row>
    <row r="482" spans="1:18">
      <c r="A482">
        <v>481</v>
      </c>
      <c r="B482" t="s">
        <v>1658</v>
      </c>
      <c r="C482" t="s">
        <v>1659</v>
      </c>
      <c r="D482" t="s">
        <v>1660</v>
      </c>
      <c r="E482" t="s">
        <v>1661</v>
      </c>
      <c r="F482" t="s">
        <v>1662</v>
      </c>
      <c r="G482" t="str">
        <f>_xlfn.XLOOKUP(frasest[[#This Row],[author_es]],autorest[author_es],autorest[author_la])</f>
        <v>Ioannes Piaget</v>
      </c>
      <c r="H482"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Row],[author_es]],autorest[author_es],autorest[iso3691])</f>
        <v>fr</v>
      </c>
      <c r="K482" t="str">
        <f>_xlfn.XLOOKUP(frasest[[#This Row],[author_es]],autorest[author_es],autorest[language_es])</f>
        <v>Francés</v>
      </c>
      <c r="L482" t="str">
        <f>_xlfn.XLOOKUP(frasest[[#This Row],[author_es]],autorest[author_es],autorest[language_la])</f>
        <v>Lingua Gallica</v>
      </c>
      <c r="M482" t="str">
        <f>_xlfn.XLOOKUP(frasest[[#This Row],[author_es]],autorest[author_es],autorest[nation_es])</f>
        <v>Suiza</v>
      </c>
      <c r="N482" t="str">
        <f>_xlfn.XLOOKUP(frasest[[#This Row],[author_es]],autorest[author_es],autorest[nation_la])</f>
        <v>Helvetia</v>
      </c>
      <c r="O482" t="str">
        <f>_xlfn.XLOOKUP(frasest[[#This Row],[author_es]],autorest[author_es],autorest[age_es])</f>
        <v>Edad Contemporánea</v>
      </c>
      <c r="P482" t="str">
        <f>_xlfn.XLOOKUP(frasest[[#This Row],[author_es]],autorest[author_es],autorest[age_la])</f>
        <v>Aetas Contemporanea</v>
      </c>
      <c r="Q482" t="str">
        <f>_xlfn.XLOOKUP(frasest[[#This Row],[author_es]],autorest[author_es],autorest[image])</f>
        <v>https://i.ibb.co/5xBrX10s/jeanpiaget.png</v>
      </c>
      <c r="R482">
        <f>_xlfn.XLOOKUP(frasest[[#This Row],[author_es]],autorest[author_es],autorest[image_atr])</f>
        <v>0</v>
      </c>
    </row>
    <row r="483" spans="1:18">
      <c r="A483">
        <v>482</v>
      </c>
      <c r="B483" t="s">
        <v>1663</v>
      </c>
      <c r="C483" t="s">
        <v>1664</v>
      </c>
      <c r="D483" t="s">
        <v>1665</v>
      </c>
      <c r="E483" t="s">
        <v>1661</v>
      </c>
      <c r="F483" t="s">
        <v>1662</v>
      </c>
      <c r="G483" t="str">
        <f>_xlfn.XLOOKUP(frasest[[#This Row],[author_es]],autorest[author_es],autorest[author_la])</f>
        <v>Ioannes Piaget</v>
      </c>
      <c r="H483"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Row],[author_es]],autorest[author_es],autorest[iso3691])</f>
        <v>fr</v>
      </c>
      <c r="K483" t="str">
        <f>_xlfn.XLOOKUP(frasest[[#This Row],[author_es]],autorest[author_es],autorest[language_es])</f>
        <v>Francés</v>
      </c>
      <c r="L483" t="str">
        <f>_xlfn.XLOOKUP(frasest[[#This Row],[author_es]],autorest[author_es],autorest[language_la])</f>
        <v>Lingua Gallica</v>
      </c>
      <c r="M483" t="str">
        <f>_xlfn.XLOOKUP(frasest[[#This Row],[author_es]],autorest[author_es],autorest[nation_es])</f>
        <v>Suiza</v>
      </c>
      <c r="N483" t="str">
        <f>_xlfn.XLOOKUP(frasest[[#This Row],[author_es]],autorest[author_es],autorest[nation_la])</f>
        <v>Helvetia</v>
      </c>
      <c r="O483" t="str">
        <f>_xlfn.XLOOKUP(frasest[[#This Row],[author_es]],autorest[author_es],autorest[age_es])</f>
        <v>Edad Contemporánea</v>
      </c>
      <c r="P483" t="str">
        <f>_xlfn.XLOOKUP(frasest[[#This Row],[author_es]],autorest[author_es],autorest[age_la])</f>
        <v>Aetas Contemporanea</v>
      </c>
      <c r="Q483" t="str">
        <f>_xlfn.XLOOKUP(frasest[[#This Row],[author_es]],autorest[author_es],autorest[image])</f>
        <v>https://i.ibb.co/5xBrX10s/jeanpiaget.png</v>
      </c>
      <c r="R483">
        <f>_xlfn.XLOOKUP(frasest[[#This Row],[author_es]],autorest[author_es],autorest[image_atr])</f>
        <v>0</v>
      </c>
    </row>
    <row r="484" spans="1:18">
      <c r="A484">
        <v>483</v>
      </c>
      <c r="B484" t="s">
        <v>1666</v>
      </c>
      <c r="C484" t="s">
        <v>1667</v>
      </c>
      <c r="D484" t="s">
        <v>1668</v>
      </c>
      <c r="E484" t="s">
        <v>1661</v>
      </c>
      <c r="F484" t="s">
        <v>1662</v>
      </c>
      <c r="G484" t="str">
        <f>_xlfn.XLOOKUP(frasest[[#This Row],[author_es]],autorest[author_es],autorest[author_la])</f>
        <v>Ioannes Piaget</v>
      </c>
      <c r="H484"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Row],[author_es]],autorest[author_es],autorest[iso3691])</f>
        <v>fr</v>
      </c>
      <c r="K484" t="str">
        <f>_xlfn.XLOOKUP(frasest[[#This Row],[author_es]],autorest[author_es],autorest[language_es])</f>
        <v>Francés</v>
      </c>
      <c r="L484" t="str">
        <f>_xlfn.XLOOKUP(frasest[[#This Row],[author_es]],autorest[author_es],autorest[language_la])</f>
        <v>Lingua Gallica</v>
      </c>
      <c r="M484" t="str">
        <f>_xlfn.XLOOKUP(frasest[[#This Row],[author_es]],autorest[author_es],autorest[nation_es])</f>
        <v>Suiza</v>
      </c>
      <c r="N484" t="str">
        <f>_xlfn.XLOOKUP(frasest[[#This Row],[author_es]],autorest[author_es],autorest[nation_la])</f>
        <v>Helvetia</v>
      </c>
      <c r="O484" t="str">
        <f>_xlfn.XLOOKUP(frasest[[#This Row],[author_es]],autorest[author_es],autorest[age_es])</f>
        <v>Edad Contemporánea</v>
      </c>
      <c r="P484" t="str">
        <f>_xlfn.XLOOKUP(frasest[[#This Row],[author_es]],autorest[author_es],autorest[age_la])</f>
        <v>Aetas Contemporanea</v>
      </c>
      <c r="Q484" t="str">
        <f>_xlfn.XLOOKUP(frasest[[#This Row],[author_es]],autorest[author_es],autorest[image])</f>
        <v>https://i.ibb.co/5xBrX10s/jeanpiaget.png</v>
      </c>
      <c r="R484">
        <f>_xlfn.XLOOKUP(frasest[[#This Row],[author_es]],autorest[author_es],autorest[image_atr])</f>
        <v>0</v>
      </c>
    </row>
    <row r="485" spans="1:18">
      <c r="A485">
        <v>484</v>
      </c>
      <c r="B485" t="s">
        <v>1669</v>
      </c>
      <c r="C485" t="s">
        <v>1670</v>
      </c>
      <c r="D485" t="s">
        <v>1671</v>
      </c>
      <c r="E485" t="s">
        <v>1661</v>
      </c>
      <c r="F485" t="s">
        <v>1662</v>
      </c>
      <c r="G485" t="str">
        <f>_xlfn.XLOOKUP(frasest[[#This Row],[author_es]],autorest[author_es],autorest[author_la])</f>
        <v>Ioannes Piaget</v>
      </c>
      <c r="H485"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Row],[author_es]],autorest[author_es],autorest[iso3691])</f>
        <v>fr</v>
      </c>
      <c r="K485" t="str">
        <f>_xlfn.XLOOKUP(frasest[[#This Row],[author_es]],autorest[author_es],autorest[language_es])</f>
        <v>Francés</v>
      </c>
      <c r="L485" t="str">
        <f>_xlfn.XLOOKUP(frasest[[#This Row],[author_es]],autorest[author_es],autorest[language_la])</f>
        <v>Lingua Gallica</v>
      </c>
      <c r="M485" t="str">
        <f>_xlfn.XLOOKUP(frasest[[#This Row],[author_es]],autorest[author_es],autorest[nation_es])</f>
        <v>Suiza</v>
      </c>
      <c r="N485" t="str">
        <f>_xlfn.XLOOKUP(frasest[[#This Row],[author_es]],autorest[author_es],autorest[nation_la])</f>
        <v>Helvetia</v>
      </c>
      <c r="O485" t="str">
        <f>_xlfn.XLOOKUP(frasest[[#This Row],[author_es]],autorest[author_es],autorest[age_es])</f>
        <v>Edad Contemporánea</v>
      </c>
      <c r="P485" t="str">
        <f>_xlfn.XLOOKUP(frasest[[#This Row],[author_es]],autorest[author_es],autorest[age_la])</f>
        <v>Aetas Contemporanea</v>
      </c>
      <c r="Q485" t="str">
        <f>_xlfn.XLOOKUP(frasest[[#This Row],[author_es]],autorest[author_es],autorest[image])</f>
        <v>https://i.ibb.co/5xBrX10s/jeanpiaget.png</v>
      </c>
      <c r="R485">
        <f>_xlfn.XLOOKUP(frasest[[#This Row],[author_es]],autorest[author_es],autorest[image_atr])</f>
        <v>0</v>
      </c>
    </row>
    <row r="486" spans="1:18">
      <c r="A486">
        <v>485</v>
      </c>
      <c r="B486" t="s">
        <v>1672</v>
      </c>
      <c r="C486" t="s">
        <v>1673</v>
      </c>
      <c r="D486" t="s">
        <v>1674</v>
      </c>
      <c r="E486" t="s">
        <v>1661</v>
      </c>
      <c r="F486" t="s">
        <v>1662</v>
      </c>
      <c r="G486" t="str">
        <f>_xlfn.XLOOKUP(frasest[[#This Row],[author_es]],autorest[author_es],autorest[author_la])</f>
        <v>Ioannes Piaget</v>
      </c>
      <c r="H486"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Row],[author_es]],autorest[author_es],autorest[iso3691])</f>
        <v>fr</v>
      </c>
      <c r="K486" t="str">
        <f>_xlfn.XLOOKUP(frasest[[#This Row],[author_es]],autorest[author_es],autorest[language_es])</f>
        <v>Francés</v>
      </c>
      <c r="L486" t="str">
        <f>_xlfn.XLOOKUP(frasest[[#This Row],[author_es]],autorest[author_es],autorest[language_la])</f>
        <v>Lingua Gallica</v>
      </c>
      <c r="M486" t="str">
        <f>_xlfn.XLOOKUP(frasest[[#This Row],[author_es]],autorest[author_es],autorest[nation_es])</f>
        <v>Suiza</v>
      </c>
      <c r="N486" t="str">
        <f>_xlfn.XLOOKUP(frasest[[#This Row],[author_es]],autorest[author_es],autorest[nation_la])</f>
        <v>Helvetia</v>
      </c>
      <c r="O486" t="str">
        <f>_xlfn.XLOOKUP(frasest[[#This Row],[author_es]],autorest[author_es],autorest[age_es])</f>
        <v>Edad Contemporánea</v>
      </c>
      <c r="P486" t="str">
        <f>_xlfn.XLOOKUP(frasest[[#This Row],[author_es]],autorest[author_es],autorest[age_la])</f>
        <v>Aetas Contemporanea</v>
      </c>
      <c r="Q486" t="str">
        <f>_xlfn.XLOOKUP(frasest[[#This Row],[author_es]],autorest[author_es],autorest[image])</f>
        <v>https://i.ibb.co/5xBrX10s/jeanpiaget.png</v>
      </c>
      <c r="R486">
        <f>_xlfn.XLOOKUP(frasest[[#This Row],[author_es]],autorest[author_es],autorest[image_atr])</f>
        <v>0</v>
      </c>
    </row>
    <row r="487" spans="1:18">
      <c r="A487">
        <v>486</v>
      </c>
      <c r="B487" t="s">
        <v>1675</v>
      </c>
      <c r="C487" t="s">
        <v>1676</v>
      </c>
      <c r="D487" t="s">
        <v>1677</v>
      </c>
      <c r="E487" t="s">
        <v>1661</v>
      </c>
      <c r="F487" t="s">
        <v>1662</v>
      </c>
      <c r="G487" t="str">
        <f>_xlfn.XLOOKUP(frasest[[#This Row],[author_es]],autorest[author_es],autorest[author_la])</f>
        <v>Ioannes Piaget</v>
      </c>
      <c r="H487"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Row],[author_es]],autorest[author_es],autorest[iso3691])</f>
        <v>fr</v>
      </c>
      <c r="K487" t="str">
        <f>_xlfn.XLOOKUP(frasest[[#This Row],[author_es]],autorest[author_es],autorest[language_es])</f>
        <v>Francés</v>
      </c>
      <c r="L487" t="str">
        <f>_xlfn.XLOOKUP(frasest[[#This Row],[author_es]],autorest[author_es],autorest[language_la])</f>
        <v>Lingua Gallica</v>
      </c>
      <c r="M487" t="str">
        <f>_xlfn.XLOOKUP(frasest[[#This Row],[author_es]],autorest[author_es],autorest[nation_es])</f>
        <v>Suiza</v>
      </c>
      <c r="N487" t="str">
        <f>_xlfn.XLOOKUP(frasest[[#This Row],[author_es]],autorest[author_es],autorest[nation_la])</f>
        <v>Helvetia</v>
      </c>
      <c r="O487" t="str">
        <f>_xlfn.XLOOKUP(frasest[[#This Row],[author_es]],autorest[author_es],autorest[age_es])</f>
        <v>Edad Contemporánea</v>
      </c>
      <c r="P487" t="str">
        <f>_xlfn.XLOOKUP(frasest[[#This Row],[author_es]],autorest[author_es],autorest[age_la])</f>
        <v>Aetas Contemporanea</v>
      </c>
      <c r="Q487" t="str">
        <f>_xlfn.XLOOKUP(frasest[[#This Row],[author_es]],autorest[author_es],autorest[image])</f>
        <v>https://i.ibb.co/5xBrX10s/jeanpiaget.png</v>
      </c>
      <c r="R487">
        <f>_xlfn.XLOOKUP(frasest[[#This Row],[author_es]],autorest[author_es],autorest[image_atr])</f>
        <v>0</v>
      </c>
    </row>
    <row r="488" spans="1:18">
      <c r="A488">
        <v>487</v>
      </c>
      <c r="B488" t="s">
        <v>1678</v>
      </c>
      <c r="C488" t="s">
        <v>1679</v>
      </c>
      <c r="D488" t="s">
        <v>1680</v>
      </c>
      <c r="E488" t="s">
        <v>1681</v>
      </c>
      <c r="F488" t="s">
        <v>1682</v>
      </c>
      <c r="G488" t="str">
        <f>_xlfn.XLOOKUP(frasest[[#This Row],[author_es]],autorest[author_es],autorest[author_la])</f>
        <v>Lev Vygotsky</v>
      </c>
      <c r="H488"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Row],[author_es]],autorest[author_es],autorest[iso3691])</f>
        <v>ru</v>
      </c>
      <c r="K488" t="str">
        <f>_xlfn.XLOOKUP(frasest[[#This Row],[author_es]],autorest[author_es],autorest[language_es])</f>
        <v>Ruso</v>
      </c>
      <c r="L488" t="str">
        <f>_xlfn.XLOOKUP(frasest[[#This Row],[author_es]],autorest[author_es],autorest[language_la])</f>
        <v>Lingua Russica</v>
      </c>
      <c r="M488" t="str">
        <f>_xlfn.XLOOKUP(frasest[[#This Row],[author_es]],autorest[author_es],autorest[nation_es])</f>
        <v>Rusia</v>
      </c>
      <c r="N488" t="str">
        <f>_xlfn.XLOOKUP(frasest[[#This Row],[author_es]],autorest[author_es],autorest[nation_la])</f>
        <v>Russia</v>
      </c>
      <c r="O488" t="str">
        <f>_xlfn.XLOOKUP(frasest[[#This Row],[author_es]],autorest[author_es],autorest[age_es])</f>
        <v>Edad Contemporánea</v>
      </c>
      <c r="P488" t="str">
        <f>_xlfn.XLOOKUP(frasest[[#This Row],[author_es]],autorest[author_es],autorest[age_la])</f>
        <v>Aetas Contemporanea</v>
      </c>
      <c r="Q488" t="str">
        <f>_xlfn.XLOOKUP(frasest[[#This Row],[author_es]],autorest[author_es],autorest[image])</f>
        <v>https://i.ibb.co/60c7p4y9/vigotsky.png</v>
      </c>
      <c r="R488">
        <f>_xlfn.XLOOKUP(frasest[[#This Row],[author_es]],autorest[author_es],autorest[image_atr])</f>
        <v>0</v>
      </c>
    </row>
    <row r="489" spans="1:18">
      <c r="A489">
        <v>488</v>
      </c>
      <c r="B489" t="s">
        <v>1683</v>
      </c>
      <c r="C489" t="s">
        <v>1684</v>
      </c>
      <c r="D489" t="s">
        <v>1685</v>
      </c>
      <c r="E489" t="s">
        <v>1681</v>
      </c>
      <c r="F489" t="s">
        <v>1682</v>
      </c>
      <c r="G489" t="str">
        <f>_xlfn.XLOOKUP(frasest[[#This Row],[author_es]],autorest[author_es],autorest[author_la])</f>
        <v>Lev Vygotsky</v>
      </c>
      <c r="H489"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Row],[author_es]],autorest[author_es],autorest[iso3691])</f>
        <v>ru</v>
      </c>
      <c r="K489" t="str">
        <f>_xlfn.XLOOKUP(frasest[[#This Row],[author_es]],autorest[author_es],autorest[language_es])</f>
        <v>Ruso</v>
      </c>
      <c r="L489" t="str">
        <f>_xlfn.XLOOKUP(frasest[[#This Row],[author_es]],autorest[author_es],autorest[language_la])</f>
        <v>Lingua Russica</v>
      </c>
      <c r="M489" t="str">
        <f>_xlfn.XLOOKUP(frasest[[#This Row],[author_es]],autorest[author_es],autorest[nation_es])</f>
        <v>Rusia</v>
      </c>
      <c r="N489" t="str">
        <f>_xlfn.XLOOKUP(frasest[[#This Row],[author_es]],autorest[author_es],autorest[nation_la])</f>
        <v>Russia</v>
      </c>
      <c r="O489" t="str">
        <f>_xlfn.XLOOKUP(frasest[[#This Row],[author_es]],autorest[author_es],autorest[age_es])</f>
        <v>Edad Contemporánea</v>
      </c>
      <c r="P489" t="str">
        <f>_xlfn.XLOOKUP(frasest[[#This Row],[author_es]],autorest[author_es],autorest[age_la])</f>
        <v>Aetas Contemporanea</v>
      </c>
      <c r="Q489" t="str">
        <f>_xlfn.XLOOKUP(frasest[[#This Row],[author_es]],autorest[author_es],autorest[image])</f>
        <v>https://i.ibb.co/60c7p4y9/vigotsky.png</v>
      </c>
      <c r="R489">
        <f>_xlfn.XLOOKUP(frasest[[#This Row],[author_es]],autorest[author_es],autorest[image_atr])</f>
        <v>0</v>
      </c>
    </row>
    <row r="490" spans="1:18">
      <c r="A490">
        <v>489</v>
      </c>
      <c r="B490" t="s">
        <v>1686</v>
      </c>
      <c r="C490" t="s">
        <v>1687</v>
      </c>
      <c r="D490" t="s">
        <v>1688</v>
      </c>
      <c r="E490" t="s">
        <v>1681</v>
      </c>
      <c r="F490" t="s">
        <v>1682</v>
      </c>
      <c r="G490" t="str">
        <f>_xlfn.XLOOKUP(frasest[[#This Row],[author_es]],autorest[author_es],autorest[author_la])</f>
        <v>Lev Vygotsky</v>
      </c>
      <c r="H490"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Row],[author_es]],autorest[author_es],autorest[iso3691])</f>
        <v>ru</v>
      </c>
      <c r="K490" t="str">
        <f>_xlfn.XLOOKUP(frasest[[#This Row],[author_es]],autorest[author_es],autorest[language_es])</f>
        <v>Ruso</v>
      </c>
      <c r="L490" t="str">
        <f>_xlfn.XLOOKUP(frasest[[#This Row],[author_es]],autorest[author_es],autorest[language_la])</f>
        <v>Lingua Russica</v>
      </c>
      <c r="M490" t="str">
        <f>_xlfn.XLOOKUP(frasest[[#This Row],[author_es]],autorest[author_es],autorest[nation_es])</f>
        <v>Rusia</v>
      </c>
      <c r="N490" t="str">
        <f>_xlfn.XLOOKUP(frasest[[#This Row],[author_es]],autorest[author_es],autorest[nation_la])</f>
        <v>Russia</v>
      </c>
      <c r="O490" t="str">
        <f>_xlfn.XLOOKUP(frasest[[#This Row],[author_es]],autorest[author_es],autorest[age_es])</f>
        <v>Edad Contemporánea</v>
      </c>
      <c r="P490" t="str">
        <f>_xlfn.XLOOKUP(frasest[[#This Row],[author_es]],autorest[author_es],autorest[age_la])</f>
        <v>Aetas Contemporanea</v>
      </c>
      <c r="Q490" t="str">
        <f>_xlfn.XLOOKUP(frasest[[#This Row],[author_es]],autorest[author_es],autorest[image])</f>
        <v>https://i.ibb.co/60c7p4y9/vigotsky.png</v>
      </c>
      <c r="R490">
        <f>_xlfn.XLOOKUP(frasest[[#This Row],[author_es]],autorest[author_es],autorest[image_atr])</f>
        <v>0</v>
      </c>
    </row>
    <row r="491" spans="1:18">
      <c r="A491">
        <v>490</v>
      </c>
      <c r="B491" t="s">
        <v>1689</v>
      </c>
      <c r="C491" t="s">
        <v>1690</v>
      </c>
      <c r="D491" t="s">
        <v>1691</v>
      </c>
      <c r="E491" t="s">
        <v>1681</v>
      </c>
      <c r="F491" t="s">
        <v>1682</v>
      </c>
      <c r="G491" t="str">
        <f>_xlfn.XLOOKUP(frasest[[#This Row],[author_es]],autorest[author_es],autorest[author_la])</f>
        <v>Lev Vygotsky</v>
      </c>
      <c r="H491"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Row],[author_es]],autorest[author_es],autorest[iso3691])</f>
        <v>ru</v>
      </c>
      <c r="K491" t="str">
        <f>_xlfn.XLOOKUP(frasest[[#This Row],[author_es]],autorest[author_es],autorest[language_es])</f>
        <v>Ruso</v>
      </c>
      <c r="L491" t="str">
        <f>_xlfn.XLOOKUP(frasest[[#This Row],[author_es]],autorest[author_es],autorest[language_la])</f>
        <v>Lingua Russica</v>
      </c>
      <c r="M491" t="str">
        <f>_xlfn.XLOOKUP(frasest[[#This Row],[author_es]],autorest[author_es],autorest[nation_es])</f>
        <v>Rusia</v>
      </c>
      <c r="N491" t="str">
        <f>_xlfn.XLOOKUP(frasest[[#This Row],[author_es]],autorest[author_es],autorest[nation_la])</f>
        <v>Russia</v>
      </c>
      <c r="O491" t="str">
        <f>_xlfn.XLOOKUP(frasest[[#This Row],[author_es]],autorest[author_es],autorest[age_es])</f>
        <v>Edad Contemporánea</v>
      </c>
      <c r="P491" t="str">
        <f>_xlfn.XLOOKUP(frasest[[#This Row],[author_es]],autorest[author_es],autorest[age_la])</f>
        <v>Aetas Contemporanea</v>
      </c>
      <c r="Q491" t="str">
        <f>_xlfn.XLOOKUP(frasest[[#This Row],[author_es]],autorest[author_es],autorest[image])</f>
        <v>https://i.ibb.co/60c7p4y9/vigotsky.png</v>
      </c>
      <c r="R491">
        <f>_xlfn.XLOOKUP(frasest[[#This Row],[author_es]],autorest[author_es],autorest[image_atr])</f>
        <v>0</v>
      </c>
    </row>
    <row r="492" spans="1:18">
      <c r="A492">
        <v>491</v>
      </c>
      <c r="B492" t="s">
        <v>1692</v>
      </c>
      <c r="C492" t="s">
        <v>1693</v>
      </c>
      <c r="D492" t="s">
        <v>1694</v>
      </c>
      <c r="E492" t="s">
        <v>1681</v>
      </c>
      <c r="F492" t="s">
        <v>1682</v>
      </c>
      <c r="G492" t="str">
        <f>_xlfn.XLOOKUP(frasest[[#This Row],[author_es]],autorest[author_es],autorest[author_la])</f>
        <v>Lev Vygotsky</v>
      </c>
      <c r="H492"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Row],[author_es]],autorest[author_es],autorest[iso3691])</f>
        <v>ru</v>
      </c>
      <c r="K492" t="str">
        <f>_xlfn.XLOOKUP(frasest[[#This Row],[author_es]],autorest[author_es],autorest[language_es])</f>
        <v>Ruso</v>
      </c>
      <c r="L492" t="str">
        <f>_xlfn.XLOOKUP(frasest[[#This Row],[author_es]],autorest[author_es],autorest[language_la])</f>
        <v>Lingua Russica</v>
      </c>
      <c r="M492" t="str">
        <f>_xlfn.XLOOKUP(frasest[[#This Row],[author_es]],autorest[author_es],autorest[nation_es])</f>
        <v>Rusia</v>
      </c>
      <c r="N492" t="str">
        <f>_xlfn.XLOOKUP(frasest[[#This Row],[author_es]],autorest[author_es],autorest[nation_la])</f>
        <v>Russia</v>
      </c>
      <c r="O492" t="str">
        <f>_xlfn.XLOOKUP(frasest[[#This Row],[author_es]],autorest[author_es],autorest[age_es])</f>
        <v>Edad Contemporánea</v>
      </c>
      <c r="P492" t="str">
        <f>_xlfn.XLOOKUP(frasest[[#This Row],[author_es]],autorest[author_es],autorest[age_la])</f>
        <v>Aetas Contemporanea</v>
      </c>
      <c r="Q492" t="str">
        <f>_xlfn.XLOOKUP(frasest[[#This Row],[author_es]],autorest[author_es],autorest[image])</f>
        <v>https://i.ibb.co/60c7p4y9/vigotsky.png</v>
      </c>
      <c r="R492">
        <f>_xlfn.XLOOKUP(frasest[[#This Row],[author_es]],autorest[author_es],autorest[image_atr])</f>
        <v>0</v>
      </c>
    </row>
    <row r="493" spans="1:18">
      <c r="A493">
        <v>492</v>
      </c>
      <c r="B493" t="s">
        <v>1695</v>
      </c>
      <c r="C493" t="s">
        <v>1696</v>
      </c>
      <c r="D493" t="s">
        <v>1697</v>
      </c>
      <c r="E493" t="s">
        <v>1681</v>
      </c>
      <c r="F493" t="s">
        <v>1682</v>
      </c>
      <c r="G493" t="str">
        <f>_xlfn.XLOOKUP(frasest[[#This Row],[author_es]],autorest[author_es],autorest[author_la])</f>
        <v>Lev Vygotsky</v>
      </c>
      <c r="H493"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Row],[author_es]],autorest[author_es],autorest[iso3691])</f>
        <v>ru</v>
      </c>
      <c r="K493" t="str">
        <f>_xlfn.XLOOKUP(frasest[[#This Row],[author_es]],autorest[author_es],autorest[language_es])</f>
        <v>Ruso</v>
      </c>
      <c r="L493" t="str">
        <f>_xlfn.XLOOKUP(frasest[[#This Row],[author_es]],autorest[author_es],autorest[language_la])</f>
        <v>Lingua Russica</v>
      </c>
      <c r="M493" t="str">
        <f>_xlfn.XLOOKUP(frasest[[#This Row],[author_es]],autorest[author_es],autorest[nation_es])</f>
        <v>Rusia</v>
      </c>
      <c r="N493" t="str">
        <f>_xlfn.XLOOKUP(frasest[[#This Row],[author_es]],autorest[author_es],autorest[nation_la])</f>
        <v>Russia</v>
      </c>
      <c r="O493" t="str">
        <f>_xlfn.XLOOKUP(frasest[[#This Row],[author_es]],autorest[author_es],autorest[age_es])</f>
        <v>Edad Contemporánea</v>
      </c>
      <c r="P493" t="str">
        <f>_xlfn.XLOOKUP(frasest[[#This Row],[author_es]],autorest[author_es],autorest[age_la])</f>
        <v>Aetas Contemporanea</v>
      </c>
      <c r="Q493" t="str">
        <f>_xlfn.XLOOKUP(frasest[[#This Row],[author_es]],autorest[author_es],autorest[image])</f>
        <v>https://i.ibb.co/60c7p4y9/vigotsky.png</v>
      </c>
      <c r="R493">
        <f>_xlfn.XLOOKUP(frasest[[#This Row],[author_es]],autorest[author_es],autorest[image_atr])</f>
        <v>0</v>
      </c>
    </row>
    <row r="494" spans="1:18">
      <c r="A494">
        <v>493</v>
      </c>
      <c r="B494" t="s">
        <v>1698</v>
      </c>
      <c r="C494" t="s">
        <v>1699</v>
      </c>
      <c r="D494" t="s">
        <v>1700</v>
      </c>
      <c r="E494" t="s">
        <v>1701</v>
      </c>
      <c r="F494" t="s">
        <v>1702</v>
      </c>
      <c r="G494" t="str">
        <f>_xlfn.XLOOKUP(frasest[[#This Row],[author_es]],autorest[author_es],autorest[author_la])</f>
        <v>Fridericus Froebel</v>
      </c>
      <c r="H49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Row],[author_es]],autorest[author_es],autorest[iso3691])</f>
        <v>de</v>
      </c>
      <c r="K494" t="str">
        <f>_xlfn.XLOOKUP(frasest[[#This Row],[author_es]],autorest[author_es],autorest[language_es])</f>
        <v>Alemán</v>
      </c>
      <c r="L494" t="str">
        <f>_xlfn.XLOOKUP(frasest[[#This Row],[author_es]],autorest[author_es],autorest[language_la])</f>
        <v>Lingua Germanica</v>
      </c>
      <c r="M494" t="str">
        <f>_xlfn.XLOOKUP(frasest[[#This Row],[author_es]],autorest[author_es],autorest[nation_es])</f>
        <v>Alemania</v>
      </c>
      <c r="N494" t="str">
        <f>_xlfn.XLOOKUP(frasest[[#This Row],[author_es]],autorest[author_es],autorest[nation_la])</f>
        <v>Germania</v>
      </c>
      <c r="O494" t="str">
        <f>_xlfn.XLOOKUP(frasest[[#This Row],[author_es]],autorest[author_es],autorest[age_es])</f>
        <v>Edad Moderna</v>
      </c>
      <c r="P494" t="str">
        <f>_xlfn.XLOOKUP(frasest[[#This Row],[author_es]],autorest[author_es],autorest[age_la])</f>
        <v>Nova Aetas</v>
      </c>
      <c r="Q494" t="str">
        <f>_xlfn.XLOOKUP(frasest[[#This Row],[author_es]],autorest[author_es],autorest[image])</f>
        <v>https://i.ibb.co/0jwMS3vT/froebel.png</v>
      </c>
      <c r="R494">
        <f>_xlfn.XLOOKUP(frasest[[#This Row],[author_es]],autorest[author_es],autorest[image_atr])</f>
        <v>0</v>
      </c>
    </row>
    <row r="495" spans="1:18">
      <c r="A495">
        <v>494</v>
      </c>
      <c r="B495" t="s">
        <v>1703</v>
      </c>
      <c r="C495" t="s">
        <v>1704</v>
      </c>
      <c r="D495" t="s">
        <v>1705</v>
      </c>
      <c r="E495" t="s">
        <v>1701</v>
      </c>
      <c r="F495" t="s">
        <v>1702</v>
      </c>
      <c r="G495" t="str">
        <f>_xlfn.XLOOKUP(frasest[[#This Row],[author_es]],autorest[author_es],autorest[author_la])</f>
        <v>Fridericus Froebel</v>
      </c>
      <c r="H49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Row],[author_es]],autorest[author_es],autorest[iso3691])</f>
        <v>de</v>
      </c>
      <c r="K495" t="str">
        <f>_xlfn.XLOOKUP(frasest[[#This Row],[author_es]],autorest[author_es],autorest[language_es])</f>
        <v>Alemán</v>
      </c>
      <c r="L495" t="str">
        <f>_xlfn.XLOOKUP(frasest[[#This Row],[author_es]],autorest[author_es],autorest[language_la])</f>
        <v>Lingua Germanica</v>
      </c>
      <c r="M495" t="str">
        <f>_xlfn.XLOOKUP(frasest[[#This Row],[author_es]],autorest[author_es],autorest[nation_es])</f>
        <v>Alemania</v>
      </c>
      <c r="N495" t="str">
        <f>_xlfn.XLOOKUP(frasest[[#This Row],[author_es]],autorest[author_es],autorest[nation_la])</f>
        <v>Germania</v>
      </c>
      <c r="O495" t="str">
        <f>_xlfn.XLOOKUP(frasest[[#This Row],[author_es]],autorest[author_es],autorest[age_es])</f>
        <v>Edad Moderna</v>
      </c>
      <c r="P495" t="str">
        <f>_xlfn.XLOOKUP(frasest[[#This Row],[author_es]],autorest[author_es],autorest[age_la])</f>
        <v>Nova Aetas</v>
      </c>
      <c r="Q495" t="str">
        <f>_xlfn.XLOOKUP(frasest[[#This Row],[author_es]],autorest[author_es],autorest[image])</f>
        <v>https://i.ibb.co/0jwMS3vT/froebel.png</v>
      </c>
      <c r="R495">
        <f>_xlfn.XLOOKUP(frasest[[#This Row],[author_es]],autorest[author_es],autorest[image_atr])</f>
        <v>0</v>
      </c>
    </row>
    <row r="496" spans="1:18">
      <c r="A496">
        <v>495</v>
      </c>
      <c r="B496" t="s">
        <v>1706</v>
      </c>
      <c r="C496" t="s">
        <v>1707</v>
      </c>
      <c r="D496" t="s">
        <v>1708</v>
      </c>
      <c r="E496" t="s">
        <v>1701</v>
      </c>
      <c r="F496" t="s">
        <v>1702</v>
      </c>
      <c r="G496" t="str">
        <f>_xlfn.XLOOKUP(frasest[[#This Row],[author_es]],autorest[author_es],autorest[author_la])</f>
        <v>Fridericus Froebel</v>
      </c>
      <c r="H496"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Row],[author_es]],autorest[author_es],autorest[iso3691])</f>
        <v>de</v>
      </c>
      <c r="K496" t="str">
        <f>_xlfn.XLOOKUP(frasest[[#This Row],[author_es]],autorest[author_es],autorest[language_es])</f>
        <v>Alemán</v>
      </c>
      <c r="L496" t="str">
        <f>_xlfn.XLOOKUP(frasest[[#This Row],[author_es]],autorest[author_es],autorest[language_la])</f>
        <v>Lingua Germanica</v>
      </c>
      <c r="M496" t="str">
        <f>_xlfn.XLOOKUP(frasest[[#This Row],[author_es]],autorest[author_es],autorest[nation_es])</f>
        <v>Alemania</v>
      </c>
      <c r="N496" t="str">
        <f>_xlfn.XLOOKUP(frasest[[#This Row],[author_es]],autorest[author_es],autorest[nation_la])</f>
        <v>Germania</v>
      </c>
      <c r="O496" t="str">
        <f>_xlfn.XLOOKUP(frasest[[#This Row],[author_es]],autorest[author_es],autorest[age_es])</f>
        <v>Edad Moderna</v>
      </c>
      <c r="P496" t="str">
        <f>_xlfn.XLOOKUP(frasest[[#This Row],[author_es]],autorest[author_es],autorest[age_la])</f>
        <v>Nova Aetas</v>
      </c>
      <c r="Q496" t="str">
        <f>_xlfn.XLOOKUP(frasest[[#This Row],[author_es]],autorest[author_es],autorest[image])</f>
        <v>https://i.ibb.co/0jwMS3vT/froebel.png</v>
      </c>
      <c r="R496">
        <f>_xlfn.XLOOKUP(frasest[[#This Row],[author_es]],autorest[author_es],autorest[image_atr])</f>
        <v>0</v>
      </c>
    </row>
    <row r="497" spans="1:18">
      <c r="A497">
        <v>496</v>
      </c>
      <c r="B497" t="s">
        <v>1709</v>
      </c>
      <c r="C497" t="s">
        <v>1710</v>
      </c>
      <c r="D497" t="s">
        <v>1711</v>
      </c>
      <c r="E497" t="s">
        <v>1701</v>
      </c>
      <c r="F497" t="s">
        <v>1702</v>
      </c>
      <c r="G497" t="str">
        <f>_xlfn.XLOOKUP(frasest[[#This Row],[author_es]],autorest[author_es],autorest[author_la])</f>
        <v>Fridericus Froebel</v>
      </c>
      <c r="H497"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Row],[author_es]],autorest[author_es],autorest[iso3691])</f>
        <v>de</v>
      </c>
      <c r="K497" t="str">
        <f>_xlfn.XLOOKUP(frasest[[#This Row],[author_es]],autorest[author_es],autorest[language_es])</f>
        <v>Alemán</v>
      </c>
      <c r="L497" t="str">
        <f>_xlfn.XLOOKUP(frasest[[#This Row],[author_es]],autorest[author_es],autorest[language_la])</f>
        <v>Lingua Germanica</v>
      </c>
      <c r="M497" t="str">
        <f>_xlfn.XLOOKUP(frasest[[#This Row],[author_es]],autorest[author_es],autorest[nation_es])</f>
        <v>Alemania</v>
      </c>
      <c r="N497" t="str">
        <f>_xlfn.XLOOKUP(frasest[[#This Row],[author_es]],autorest[author_es],autorest[nation_la])</f>
        <v>Germania</v>
      </c>
      <c r="O497" t="str">
        <f>_xlfn.XLOOKUP(frasest[[#This Row],[author_es]],autorest[author_es],autorest[age_es])</f>
        <v>Edad Moderna</v>
      </c>
      <c r="P497" t="str">
        <f>_xlfn.XLOOKUP(frasest[[#This Row],[author_es]],autorest[author_es],autorest[age_la])</f>
        <v>Nova Aetas</v>
      </c>
      <c r="Q497" t="str">
        <f>_xlfn.XLOOKUP(frasest[[#This Row],[author_es]],autorest[author_es],autorest[image])</f>
        <v>https://i.ibb.co/0jwMS3vT/froebel.png</v>
      </c>
      <c r="R497">
        <f>_xlfn.XLOOKUP(frasest[[#This Row],[author_es]],autorest[author_es],autorest[image_atr])</f>
        <v>0</v>
      </c>
    </row>
    <row r="498" spans="1:18">
      <c r="A498">
        <v>497</v>
      </c>
      <c r="B498" t="s">
        <v>1712</v>
      </c>
      <c r="C498" t="s">
        <v>1713</v>
      </c>
      <c r="D498" t="s">
        <v>1714</v>
      </c>
      <c r="E498" t="s">
        <v>1701</v>
      </c>
      <c r="F498" t="s">
        <v>1702</v>
      </c>
      <c r="G498" t="str">
        <f>_xlfn.XLOOKUP(frasest[[#This Row],[author_es]],autorest[author_es],autorest[author_la])</f>
        <v>Fridericus Froebel</v>
      </c>
      <c r="H498"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Row],[author_es]],autorest[author_es],autorest[iso3691])</f>
        <v>de</v>
      </c>
      <c r="K498" t="str">
        <f>_xlfn.XLOOKUP(frasest[[#This Row],[author_es]],autorest[author_es],autorest[language_es])</f>
        <v>Alemán</v>
      </c>
      <c r="L498" t="str">
        <f>_xlfn.XLOOKUP(frasest[[#This Row],[author_es]],autorest[author_es],autorest[language_la])</f>
        <v>Lingua Germanica</v>
      </c>
      <c r="M498" t="str">
        <f>_xlfn.XLOOKUP(frasest[[#This Row],[author_es]],autorest[author_es],autorest[nation_es])</f>
        <v>Alemania</v>
      </c>
      <c r="N498" t="str">
        <f>_xlfn.XLOOKUP(frasest[[#This Row],[author_es]],autorest[author_es],autorest[nation_la])</f>
        <v>Germania</v>
      </c>
      <c r="O498" t="str">
        <f>_xlfn.XLOOKUP(frasest[[#This Row],[author_es]],autorest[author_es],autorest[age_es])</f>
        <v>Edad Moderna</v>
      </c>
      <c r="P498" t="str">
        <f>_xlfn.XLOOKUP(frasest[[#This Row],[author_es]],autorest[author_es],autorest[age_la])</f>
        <v>Nova Aetas</v>
      </c>
      <c r="Q498" t="str">
        <f>_xlfn.XLOOKUP(frasest[[#This Row],[author_es]],autorest[author_es],autorest[image])</f>
        <v>https://i.ibb.co/0jwMS3vT/froebel.png</v>
      </c>
      <c r="R498">
        <f>_xlfn.XLOOKUP(frasest[[#This Row],[author_es]],autorest[author_es],autorest[image_atr])</f>
        <v>0</v>
      </c>
    </row>
    <row r="499" spans="1:18">
      <c r="A499">
        <v>498</v>
      </c>
      <c r="B499" t="s">
        <v>1715</v>
      </c>
      <c r="C499" t="s">
        <v>1716</v>
      </c>
      <c r="D499" t="s">
        <v>1717</v>
      </c>
      <c r="E499" t="s">
        <v>1701</v>
      </c>
      <c r="F499" t="s">
        <v>1702</v>
      </c>
      <c r="G499" t="str">
        <f>_xlfn.XLOOKUP(frasest[[#This Row],[author_es]],autorest[author_es],autorest[author_la])</f>
        <v>Fridericus Froebel</v>
      </c>
      <c r="H499"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Row],[author_es]],autorest[author_es],autorest[iso3691])</f>
        <v>de</v>
      </c>
      <c r="K499" t="str">
        <f>_xlfn.XLOOKUP(frasest[[#This Row],[author_es]],autorest[author_es],autorest[language_es])</f>
        <v>Alemán</v>
      </c>
      <c r="L499" t="str">
        <f>_xlfn.XLOOKUP(frasest[[#This Row],[author_es]],autorest[author_es],autorest[language_la])</f>
        <v>Lingua Germanica</v>
      </c>
      <c r="M499" t="str">
        <f>_xlfn.XLOOKUP(frasest[[#This Row],[author_es]],autorest[author_es],autorest[nation_es])</f>
        <v>Alemania</v>
      </c>
      <c r="N499" t="str">
        <f>_xlfn.XLOOKUP(frasest[[#This Row],[author_es]],autorest[author_es],autorest[nation_la])</f>
        <v>Germania</v>
      </c>
      <c r="O499" t="str">
        <f>_xlfn.XLOOKUP(frasest[[#This Row],[author_es]],autorest[author_es],autorest[age_es])</f>
        <v>Edad Moderna</v>
      </c>
      <c r="P499" t="str">
        <f>_xlfn.XLOOKUP(frasest[[#This Row],[author_es]],autorest[author_es],autorest[age_la])</f>
        <v>Nova Aetas</v>
      </c>
      <c r="Q499" t="str">
        <f>_xlfn.XLOOKUP(frasest[[#This Row],[author_es]],autorest[author_es],autorest[image])</f>
        <v>https://i.ibb.co/0jwMS3vT/froebel.png</v>
      </c>
      <c r="R499">
        <f>_xlfn.XLOOKUP(frasest[[#This Row],[author_es]],autorest[author_es],autorest[image_atr])</f>
        <v>0</v>
      </c>
    </row>
    <row r="500" spans="1:18">
      <c r="A500">
        <v>499</v>
      </c>
      <c r="B500" t="s">
        <v>1718</v>
      </c>
      <c r="C500" t="s">
        <v>1719</v>
      </c>
      <c r="D500" t="s">
        <v>1720</v>
      </c>
      <c r="E500" t="s">
        <v>1721</v>
      </c>
      <c r="F500" t="s">
        <v>1722</v>
      </c>
      <c r="G500" t="str">
        <f>_xlfn.XLOOKUP(frasest[[#This Row],[author_es]],autorest[author_es],autorest[author_la])</f>
        <v>Ovidius Decroly</v>
      </c>
      <c r="H500"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Row],[author_es]],autorest[author_es],autorest[iso3691])</f>
        <v>fr</v>
      </c>
      <c r="K500" t="str">
        <f>_xlfn.XLOOKUP(frasest[[#This Row],[author_es]],autorest[author_es],autorest[language_es])</f>
        <v>Francés</v>
      </c>
      <c r="L500" t="str">
        <f>_xlfn.XLOOKUP(frasest[[#This Row],[author_es]],autorest[author_es],autorest[language_la])</f>
        <v>Lingua Gallica</v>
      </c>
      <c r="M500" t="str">
        <f>_xlfn.XLOOKUP(frasest[[#This Row],[author_es]],autorest[author_es],autorest[nation_es])</f>
        <v>Bélgica</v>
      </c>
      <c r="N500" t="str">
        <f>_xlfn.XLOOKUP(frasest[[#This Row],[author_es]],autorest[author_es],autorest[nation_la])</f>
        <v>Belgica</v>
      </c>
      <c r="O500" t="str">
        <f>_xlfn.XLOOKUP(frasest[[#This Row],[author_es]],autorest[author_es],autorest[age_es])</f>
        <v>Edad Contemporánea</v>
      </c>
      <c r="P500" t="str">
        <f>_xlfn.XLOOKUP(frasest[[#This Row],[author_es]],autorest[author_es],autorest[age_la])</f>
        <v>Aetas Contemporanea</v>
      </c>
      <c r="Q500" t="str">
        <f>_xlfn.XLOOKUP(frasest[[#This Row],[author_es]],autorest[author_es],autorest[image])</f>
        <v>https://i.ibb.co/C5S7WqXv/decroly.png</v>
      </c>
      <c r="R500">
        <f>_xlfn.XLOOKUP(frasest[[#This Row],[author_es]],autorest[author_es],autorest[image_atr])</f>
        <v>0</v>
      </c>
    </row>
    <row r="501" spans="1:18">
      <c r="A501">
        <v>500</v>
      </c>
      <c r="B501" t="s">
        <v>1723</v>
      </c>
      <c r="C501" t="s">
        <v>1724</v>
      </c>
      <c r="D501" t="s">
        <v>1725</v>
      </c>
      <c r="E501" t="s">
        <v>1721</v>
      </c>
      <c r="F501" t="s">
        <v>1722</v>
      </c>
      <c r="G501" t="str">
        <f>_xlfn.XLOOKUP(frasest[[#This Row],[author_es]],autorest[author_es],autorest[author_la])</f>
        <v>Ovidius Decroly</v>
      </c>
      <c r="H501"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Row],[author_es]],autorest[author_es],autorest[iso3691])</f>
        <v>fr</v>
      </c>
      <c r="K501" t="str">
        <f>_xlfn.XLOOKUP(frasest[[#This Row],[author_es]],autorest[author_es],autorest[language_es])</f>
        <v>Francés</v>
      </c>
      <c r="L501" t="str">
        <f>_xlfn.XLOOKUP(frasest[[#This Row],[author_es]],autorest[author_es],autorest[language_la])</f>
        <v>Lingua Gallica</v>
      </c>
      <c r="M501" t="str">
        <f>_xlfn.XLOOKUP(frasest[[#This Row],[author_es]],autorest[author_es],autorest[nation_es])</f>
        <v>Bélgica</v>
      </c>
      <c r="N501" t="str">
        <f>_xlfn.XLOOKUP(frasest[[#This Row],[author_es]],autorest[author_es],autorest[nation_la])</f>
        <v>Belgica</v>
      </c>
      <c r="O501" t="str">
        <f>_xlfn.XLOOKUP(frasest[[#This Row],[author_es]],autorest[author_es],autorest[age_es])</f>
        <v>Edad Contemporánea</v>
      </c>
      <c r="P501" t="str">
        <f>_xlfn.XLOOKUP(frasest[[#This Row],[author_es]],autorest[author_es],autorest[age_la])</f>
        <v>Aetas Contemporanea</v>
      </c>
      <c r="Q501" t="str">
        <f>_xlfn.XLOOKUP(frasest[[#This Row],[author_es]],autorest[author_es],autorest[image])</f>
        <v>https://i.ibb.co/C5S7WqXv/decroly.png</v>
      </c>
      <c r="R501">
        <f>_xlfn.XLOOKUP(frasest[[#This Row],[author_es]],autorest[author_es],autorest[image_atr])</f>
        <v>0</v>
      </c>
    </row>
    <row r="502" spans="1:18">
      <c r="A502">
        <v>501</v>
      </c>
      <c r="B502" t="s">
        <v>1726</v>
      </c>
      <c r="C502" t="s">
        <v>1727</v>
      </c>
      <c r="D502" t="s">
        <v>1728</v>
      </c>
      <c r="E502" t="s">
        <v>1721</v>
      </c>
      <c r="F502" t="s">
        <v>1722</v>
      </c>
      <c r="G502" t="str">
        <f>_xlfn.XLOOKUP(frasest[[#This Row],[author_es]],autorest[author_es],autorest[author_la])</f>
        <v>Ovidius Decroly</v>
      </c>
      <c r="H502"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Row],[author_es]],autorest[author_es],autorest[iso3691])</f>
        <v>fr</v>
      </c>
      <c r="K502" t="str">
        <f>_xlfn.XLOOKUP(frasest[[#This Row],[author_es]],autorest[author_es],autorest[language_es])</f>
        <v>Francés</v>
      </c>
      <c r="L502" t="str">
        <f>_xlfn.XLOOKUP(frasest[[#This Row],[author_es]],autorest[author_es],autorest[language_la])</f>
        <v>Lingua Gallica</v>
      </c>
      <c r="M502" t="str">
        <f>_xlfn.XLOOKUP(frasest[[#This Row],[author_es]],autorest[author_es],autorest[nation_es])</f>
        <v>Bélgica</v>
      </c>
      <c r="N502" t="str">
        <f>_xlfn.XLOOKUP(frasest[[#This Row],[author_es]],autorest[author_es],autorest[nation_la])</f>
        <v>Belgica</v>
      </c>
      <c r="O502" t="str">
        <f>_xlfn.XLOOKUP(frasest[[#This Row],[author_es]],autorest[author_es],autorest[age_es])</f>
        <v>Edad Contemporánea</v>
      </c>
      <c r="P502" t="str">
        <f>_xlfn.XLOOKUP(frasest[[#This Row],[author_es]],autorest[author_es],autorest[age_la])</f>
        <v>Aetas Contemporanea</v>
      </c>
      <c r="Q502" t="str">
        <f>_xlfn.XLOOKUP(frasest[[#This Row],[author_es]],autorest[author_es],autorest[image])</f>
        <v>https://i.ibb.co/C5S7WqXv/decroly.png</v>
      </c>
      <c r="R502">
        <f>_xlfn.XLOOKUP(frasest[[#This Row],[author_es]],autorest[author_es],autorest[image_atr])</f>
        <v>0</v>
      </c>
    </row>
    <row r="503" spans="1:18">
      <c r="A503">
        <v>502</v>
      </c>
      <c r="B503" t="s">
        <v>1729</v>
      </c>
      <c r="C503" t="s">
        <v>1730</v>
      </c>
      <c r="D503" t="s">
        <v>1731</v>
      </c>
      <c r="E503" t="s">
        <v>1721</v>
      </c>
      <c r="F503" t="s">
        <v>1722</v>
      </c>
      <c r="G503" t="str">
        <f>_xlfn.XLOOKUP(frasest[[#This Row],[author_es]],autorest[author_es],autorest[author_la])</f>
        <v>Ovidius Decroly</v>
      </c>
      <c r="H503"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Row],[author_es]],autorest[author_es],autorest[iso3691])</f>
        <v>fr</v>
      </c>
      <c r="K503" t="str">
        <f>_xlfn.XLOOKUP(frasest[[#This Row],[author_es]],autorest[author_es],autorest[language_es])</f>
        <v>Francés</v>
      </c>
      <c r="L503" t="str">
        <f>_xlfn.XLOOKUP(frasest[[#This Row],[author_es]],autorest[author_es],autorest[language_la])</f>
        <v>Lingua Gallica</v>
      </c>
      <c r="M503" t="str">
        <f>_xlfn.XLOOKUP(frasest[[#This Row],[author_es]],autorest[author_es],autorest[nation_es])</f>
        <v>Bélgica</v>
      </c>
      <c r="N503" t="str">
        <f>_xlfn.XLOOKUP(frasest[[#This Row],[author_es]],autorest[author_es],autorest[nation_la])</f>
        <v>Belgica</v>
      </c>
      <c r="O503" t="str">
        <f>_xlfn.XLOOKUP(frasest[[#This Row],[author_es]],autorest[author_es],autorest[age_es])</f>
        <v>Edad Contemporánea</v>
      </c>
      <c r="P503" t="str">
        <f>_xlfn.XLOOKUP(frasest[[#This Row],[author_es]],autorest[author_es],autorest[age_la])</f>
        <v>Aetas Contemporanea</v>
      </c>
      <c r="Q503" t="str">
        <f>_xlfn.XLOOKUP(frasest[[#This Row],[author_es]],autorest[author_es],autorest[image])</f>
        <v>https://i.ibb.co/C5S7WqXv/decroly.png</v>
      </c>
      <c r="R503">
        <f>_xlfn.XLOOKUP(frasest[[#This Row],[author_es]],autorest[author_es],autorest[image_atr])</f>
        <v>0</v>
      </c>
    </row>
    <row r="504" spans="1:18">
      <c r="A504">
        <v>503</v>
      </c>
      <c r="B504" t="s">
        <v>1732</v>
      </c>
      <c r="C504" t="s">
        <v>1733</v>
      </c>
      <c r="D504" t="s">
        <v>1734</v>
      </c>
      <c r="E504" t="s">
        <v>1721</v>
      </c>
      <c r="F504" t="s">
        <v>1722</v>
      </c>
      <c r="G504" t="str">
        <f>_xlfn.XLOOKUP(frasest[[#This Row],[author_es]],autorest[author_es],autorest[author_la])</f>
        <v>Ovidius Decroly</v>
      </c>
      <c r="H504"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Row],[author_es]],autorest[author_es],autorest[iso3691])</f>
        <v>fr</v>
      </c>
      <c r="K504" t="str">
        <f>_xlfn.XLOOKUP(frasest[[#This Row],[author_es]],autorest[author_es],autorest[language_es])</f>
        <v>Francés</v>
      </c>
      <c r="L504" t="str">
        <f>_xlfn.XLOOKUP(frasest[[#This Row],[author_es]],autorest[author_es],autorest[language_la])</f>
        <v>Lingua Gallica</v>
      </c>
      <c r="M504" t="str">
        <f>_xlfn.XLOOKUP(frasest[[#This Row],[author_es]],autorest[author_es],autorest[nation_es])</f>
        <v>Bélgica</v>
      </c>
      <c r="N504" t="str">
        <f>_xlfn.XLOOKUP(frasest[[#This Row],[author_es]],autorest[author_es],autorest[nation_la])</f>
        <v>Belgica</v>
      </c>
      <c r="O504" t="str">
        <f>_xlfn.XLOOKUP(frasest[[#This Row],[author_es]],autorest[author_es],autorest[age_es])</f>
        <v>Edad Contemporánea</v>
      </c>
      <c r="P504" t="str">
        <f>_xlfn.XLOOKUP(frasest[[#This Row],[author_es]],autorest[author_es],autorest[age_la])</f>
        <v>Aetas Contemporanea</v>
      </c>
      <c r="Q504" t="str">
        <f>_xlfn.XLOOKUP(frasest[[#This Row],[author_es]],autorest[author_es],autorest[image])</f>
        <v>https://i.ibb.co/C5S7WqXv/decroly.png</v>
      </c>
      <c r="R504">
        <f>_xlfn.XLOOKUP(frasest[[#This Row],[author_es]],autorest[author_es],autorest[image_atr])</f>
        <v>0</v>
      </c>
    </row>
    <row r="505" spans="1:18">
      <c r="A505">
        <v>504</v>
      </c>
      <c r="B505" t="s">
        <v>1735</v>
      </c>
      <c r="C505" t="s">
        <v>1736</v>
      </c>
      <c r="D505" t="s">
        <v>1737</v>
      </c>
      <c r="E505" t="s">
        <v>1721</v>
      </c>
      <c r="F505" t="s">
        <v>1722</v>
      </c>
      <c r="G505" t="str">
        <f>_xlfn.XLOOKUP(frasest[[#This Row],[author_es]],autorest[author_es],autorest[author_la])</f>
        <v>Ovidius Decroly</v>
      </c>
      <c r="H505"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Row],[author_es]],autorest[author_es],autorest[iso3691])</f>
        <v>fr</v>
      </c>
      <c r="K505" t="str">
        <f>_xlfn.XLOOKUP(frasest[[#This Row],[author_es]],autorest[author_es],autorest[language_es])</f>
        <v>Francés</v>
      </c>
      <c r="L505" t="str">
        <f>_xlfn.XLOOKUP(frasest[[#This Row],[author_es]],autorest[author_es],autorest[language_la])</f>
        <v>Lingua Gallica</v>
      </c>
      <c r="M505" t="str">
        <f>_xlfn.XLOOKUP(frasest[[#This Row],[author_es]],autorest[author_es],autorest[nation_es])</f>
        <v>Bélgica</v>
      </c>
      <c r="N505" t="str">
        <f>_xlfn.XLOOKUP(frasest[[#This Row],[author_es]],autorest[author_es],autorest[nation_la])</f>
        <v>Belgica</v>
      </c>
      <c r="O505" t="str">
        <f>_xlfn.XLOOKUP(frasest[[#This Row],[author_es]],autorest[author_es],autorest[age_es])</f>
        <v>Edad Contemporánea</v>
      </c>
      <c r="P505" t="str">
        <f>_xlfn.XLOOKUP(frasest[[#This Row],[author_es]],autorest[author_es],autorest[age_la])</f>
        <v>Aetas Contemporanea</v>
      </c>
      <c r="Q505" t="str">
        <f>_xlfn.XLOOKUP(frasest[[#This Row],[author_es]],autorest[author_es],autorest[image])</f>
        <v>https://i.ibb.co/C5S7WqXv/decroly.png</v>
      </c>
      <c r="R505">
        <f>_xlfn.XLOOKUP(frasest[[#This Row],[author_es]],autorest[author_es],autorest[image_atr])</f>
        <v>0</v>
      </c>
    </row>
    <row r="506" spans="1:18">
      <c r="A506">
        <v>505</v>
      </c>
      <c r="B506" t="s">
        <v>1738</v>
      </c>
      <c r="C506" t="s">
        <v>1739</v>
      </c>
      <c r="D506" t="s">
        <v>1740</v>
      </c>
      <c r="E506" t="s">
        <v>1741</v>
      </c>
      <c r="F506" t="s">
        <v>1742</v>
      </c>
      <c r="G506" t="str">
        <f>_xlfn.XLOOKUP(frasest[[#This Row],[author_es]],autorest[author_es],autorest[author_la])</f>
        <v>Sanctus Philippus Nerius</v>
      </c>
      <c r="H506"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Row],[author_es]],autorest[author_es],autorest[iso3691])</f>
        <v>it</v>
      </c>
      <c r="K506" t="str">
        <f>_xlfn.XLOOKUP(frasest[[#This Row],[author_es]],autorest[author_es],autorest[language_es])</f>
        <v>Italiano</v>
      </c>
      <c r="L506" t="str">
        <f>_xlfn.XLOOKUP(frasest[[#This Row],[author_es]],autorest[author_es],autorest[language_la])</f>
        <v>Lingua Italica</v>
      </c>
      <c r="M506" t="str">
        <f>_xlfn.XLOOKUP(frasest[[#This Row],[author_es]],autorest[author_es],autorest[nation_es])</f>
        <v>Italia</v>
      </c>
      <c r="N506" t="str">
        <f>_xlfn.XLOOKUP(frasest[[#This Row],[author_es]],autorest[author_es],autorest[nation_la])</f>
        <v>Italia</v>
      </c>
      <c r="O506" t="str">
        <f>_xlfn.XLOOKUP(frasest[[#This Row],[author_es]],autorest[author_es],autorest[age_es])</f>
        <v>Edad Moderna</v>
      </c>
      <c r="P506" t="str">
        <f>_xlfn.XLOOKUP(frasest[[#This Row],[author_es]],autorest[author_es],autorest[age_la])</f>
        <v>Nova Aetas</v>
      </c>
      <c r="Q506" t="str">
        <f>_xlfn.XLOOKUP(frasest[[#This Row],[author_es]],autorest[author_es],autorest[image])</f>
        <v>https://i.ibb.co/60VT5xTj/sanfelipeneri.png</v>
      </c>
      <c r="R506">
        <f>_xlfn.XLOOKUP(frasest[[#This Row],[author_es]],autorest[author_es],autorest[image_atr])</f>
        <v>0</v>
      </c>
    </row>
    <row r="507" spans="1:18">
      <c r="A507">
        <v>506</v>
      </c>
      <c r="B507" t="s">
        <v>1743</v>
      </c>
      <c r="C507" t="s">
        <v>1744</v>
      </c>
      <c r="D507" t="s">
        <v>1745</v>
      </c>
      <c r="E507" t="s">
        <v>1741</v>
      </c>
      <c r="F507" t="s">
        <v>1742</v>
      </c>
      <c r="G507" t="str">
        <f>_xlfn.XLOOKUP(frasest[[#This Row],[author_es]],autorest[author_es],autorest[author_la])</f>
        <v>Sanctus Philippus Nerius</v>
      </c>
      <c r="H507"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Row],[author_es]],autorest[author_es],autorest[iso3691])</f>
        <v>it</v>
      </c>
      <c r="K507" t="str">
        <f>_xlfn.XLOOKUP(frasest[[#This Row],[author_es]],autorest[author_es],autorest[language_es])</f>
        <v>Italiano</v>
      </c>
      <c r="L507" t="str">
        <f>_xlfn.XLOOKUP(frasest[[#This Row],[author_es]],autorest[author_es],autorest[language_la])</f>
        <v>Lingua Italica</v>
      </c>
      <c r="M507" t="str">
        <f>_xlfn.XLOOKUP(frasest[[#This Row],[author_es]],autorest[author_es],autorest[nation_es])</f>
        <v>Italia</v>
      </c>
      <c r="N507" t="str">
        <f>_xlfn.XLOOKUP(frasest[[#This Row],[author_es]],autorest[author_es],autorest[nation_la])</f>
        <v>Italia</v>
      </c>
      <c r="O507" t="str">
        <f>_xlfn.XLOOKUP(frasest[[#This Row],[author_es]],autorest[author_es],autorest[age_es])</f>
        <v>Edad Moderna</v>
      </c>
      <c r="P507" t="str">
        <f>_xlfn.XLOOKUP(frasest[[#This Row],[author_es]],autorest[author_es],autorest[age_la])</f>
        <v>Nova Aetas</v>
      </c>
      <c r="Q507" t="str">
        <f>_xlfn.XLOOKUP(frasest[[#This Row],[author_es]],autorest[author_es],autorest[image])</f>
        <v>https://i.ibb.co/60VT5xTj/sanfelipeneri.png</v>
      </c>
      <c r="R507">
        <f>_xlfn.XLOOKUP(frasest[[#This Row],[author_es]],autorest[author_es],autorest[image_atr])</f>
        <v>0</v>
      </c>
    </row>
    <row r="508" spans="1:18">
      <c r="A508">
        <v>507</v>
      </c>
      <c r="B508" t="s">
        <v>1746</v>
      </c>
      <c r="C508" t="s">
        <v>1747</v>
      </c>
      <c r="D508" t="s">
        <v>1748</v>
      </c>
      <c r="E508" t="s">
        <v>1741</v>
      </c>
      <c r="F508" t="s">
        <v>1742</v>
      </c>
      <c r="G508" t="str">
        <f>_xlfn.XLOOKUP(frasest[[#This Row],[author_es]],autorest[author_es],autorest[author_la])</f>
        <v>Sanctus Philippus Nerius</v>
      </c>
      <c r="H508"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Row],[author_es]],autorest[author_es],autorest[iso3691])</f>
        <v>it</v>
      </c>
      <c r="K508" t="str">
        <f>_xlfn.XLOOKUP(frasest[[#This Row],[author_es]],autorest[author_es],autorest[language_es])</f>
        <v>Italiano</v>
      </c>
      <c r="L508" t="str">
        <f>_xlfn.XLOOKUP(frasest[[#This Row],[author_es]],autorest[author_es],autorest[language_la])</f>
        <v>Lingua Italica</v>
      </c>
      <c r="M508" t="str">
        <f>_xlfn.XLOOKUP(frasest[[#This Row],[author_es]],autorest[author_es],autorest[nation_es])</f>
        <v>Italia</v>
      </c>
      <c r="N508" t="str">
        <f>_xlfn.XLOOKUP(frasest[[#This Row],[author_es]],autorest[author_es],autorest[nation_la])</f>
        <v>Italia</v>
      </c>
      <c r="O508" t="str">
        <f>_xlfn.XLOOKUP(frasest[[#This Row],[author_es]],autorest[author_es],autorest[age_es])</f>
        <v>Edad Moderna</v>
      </c>
      <c r="P508" t="str">
        <f>_xlfn.XLOOKUP(frasest[[#This Row],[author_es]],autorest[author_es],autorest[age_la])</f>
        <v>Nova Aetas</v>
      </c>
      <c r="Q508" t="str">
        <f>_xlfn.XLOOKUP(frasest[[#This Row],[author_es]],autorest[author_es],autorest[image])</f>
        <v>https://i.ibb.co/60VT5xTj/sanfelipeneri.png</v>
      </c>
      <c r="R508">
        <f>_xlfn.XLOOKUP(frasest[[#This Row],[author_es]],autorest[author_es],autorest[image_atr])</f>
        <v>0</v>
      </c>
    </row>
    <row r="509" spans="1:18">
      <c r="A509">
        <v>508</v>
      </c>
      <c r="B509" t="s">
        <v>1749</v>
      </c>
      <c r="C509" t="s">
        <v>1750</v>
      </c>
      <c r="D509" t="s">
        <v>1751</v>
      </c>
      <c r="E509" t="s">
        <v>1741</v>
      </c>
      <c r="F509" t="s">
        <v>1742</v>
      </c>
      <c r="G509" t="str">
        <f>_xlfn.XLOOKUP(frasest[[#This Row],[author_es]],autorest[author_es],autorest[author_la])</f>
        <v>Sanctus Philippus Nerius</v>
      </c>
      <c r="H509"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Row],[author_es]],autorest[author_es],autorest[iso3691])</f>
        <v>it</v>
      </c>
      <c r="K509" t="str">
        <f>_xlfn.XLOOKUP(frasest[[#This Row],[author_es]],autorest[author_es],autorest[language_es])</f>
        <v>Italiano</v>
      </c>
      <c r="L509" t="str">
        <f>_xlfn.XLOOKUP(frasest[[#This Row],[author_es]],autorest[author_es],autorest[language_la])</f>
        <v>Lingua Italica</v>
      </c>
      <c r="M509" t="str">
        <f>_xlfn.XLOOKUP(frasest[[#This Row],[author_es]],autorest[author_es],autorest[nation_es])</f>
        <v>Italia</v>
      </c>
      <c r="N509" t="str">
        <f>_xlfn.XLOOKUP(frasest[[#This Row],[author_es]],autorest[author_es],autorest[nation_la])</f>
        <v>Italia</v>
      </c>
      <c r="O509" t="str">
        <f>_xlfn.XLOOKUP(frasest[[#This Row],[author_es]],autorest[author_es],autorest[age_es])</f>
        <v>Edad Moderna</v>
      </c>
      <c r="P509" t="str">
        <f>_xlfn.XLOOKUP(frasest[[#This Row],[author_es]],autorest[author_es],autorest[age_la])</f>
        <v>Nova Aetas</v>
      </c>
      <c r="Q509" t="str">
        <f>_xlfn.XLOOKUP(frasest[[#This Row],[author_es]],autorest[author_es],autorest[image])</f>
        <v>https://i.ibb.co/60VT5xTj/sanfelipeneri.png</v>
      </c>
      <c r="R509">
        <f>_xlfn.XLOOKUP(frasest[[#This Row],[author_es]],autorest[author_es],autorest[image_atr])</f>
        <v>0</v>
      </c>
    </row>
    <row r="510" spans="1:18">
      <c r="A510">
        <v>509</v>
      </c>
      <c r="B510" t="s">
        <v>1752</v>
      </c>
      <c r="C510" t="s">
        <v>1753</v>
      </c>
      <c r="D510" t="s">
        <v>1754</v>
      </c>
      <c r="E510" t="s">
        <v>1741</v>
      </c>
      <c r="F510" t="s">
        <v>1742</v>
      </c>
      <c r="G510" t="str">
        <f>_xlfn.XLOOKUP(frasest[[#This Row],[author_es]],autorest[author_es],autorest[author_la])</f>
        <v>Sanctus Philippus Nerius</v>
      </c>
      <c r="H510"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Row],[author_es]],autorest[author_es],autorest[iso3691])</f>
        <v>it</v>
      </c>
      <c r="K510" t="str">
        <f>_xlfn.XLOOKUP(frasest[[#This Row],[author_es]],autorest[author_es],autorest[language_es])</f>
        <v>Italiano</v>
      </c>
      <c r="L510" t="str">
        <f>_xlfn.XLOOKUP(frasest[[#This Row],[author_es]],autorest[author_es],autorest[language_la])</f>
        <v>Lingua Italica</v>
      </c>
      <c r="M510" t="str">
        <f>_xlfn.XLOOKUP(frasest[[#This Row],[author_es]],autorest[author_es],autorest[nation_es])</f>
        <v>Italia</v>
      </c>
      <c r="N510" t="str">
        <f>_xlfn.XLOOKUP(frasest[[#This Row],[author_es]],autorest[author_es],autorest[nation_la])</f>
        <v>Italia</v>
      </c>
      <c r="O510" t="str">
        <f>_xlfn.XLOOKUP(frasest[[#This Row],[author_es]],autorest[author_es],autorest[age_es])</f>
        <v>Edad Moderna</v>
      </c>
      <c r="P510" t="str">
        <f>_xlfn.XLOOKUP(frasest[[#This Row],[author_es]],autorest[author_es],autorest[age_la])</f>
        <v>Nova Aetas</v>
      </c>
      <c r="Q510" t="str">
        <f>_xlfn.XLOOKUP(frasest[[#This Row],[author_es]],autorest[author_es],autorest[image])</f>
        <v>https://i.ibb.co/60VT5xTj/sanfelipeneri.png</v>
      </c>
      <c r="R510">
        <f>_xlfn.XLOOKUP(frasest[[#This Row],[author_es]],autorest[author_es],autorest[image_atr])</f>
        <v>0</v>
      </c>
    </row>
    <row r="511" spans="1:18">
      <c r="A511">
        <v>510</v>
      </c>
      <c r="B511" t="s">
        <v>1755</v>
      </c>
      <c r="C511" t="s">
        <v>1756</v>
      </c>
      <c r="D511" t="s">
        <v>1757</v>
      </c>
      <c r="E511" t="s">
        <v>1741</v>
      </c>
      <c r="F511" t="s">
        <v>1742</v>
      </c>
      <c r="G511" t="str">
        <f>_xlfn.XLOOKUP(frasest[[#This Row],[author_es]],autorest[author_es],autorest[author_la])</f>
        <v>Sanctus Philippus Nerius</v>
      </c>
      <c r="H511"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Row],[author_es]],autorest[author_es],autorest[iso3691])</f>
        <v>it</v>
      </c>
      <c r="K511" t="str">
        <f>_xlfn.XLOOKUP(frasest[[#This Row],[author_es]],autorest[author_es],autorest[language_es])</f>
        <v>Italiano</v>
      </c>
      <c r="L511" t="str">
        <f>_xlfn.XLOOKUP(frasest[[#This Row],[author_es]],autorest[author_es],autorest[language_la])</f>
        <v>Lingua Italica</v>
      </c>
      <c r="M511" t="str">
        <f>_xlfn.XLOOKUP(frasest[[#This Row],[author_es]],autorest[author_es],autorest[nation_es])</f>
        <v>Italia</v>
      </c>
      <c r="N511" t="str">
        <f>_xlfn.XLOOKUP(frasest[[#This Row],[author_es]],autorest[author_es],autorest[nation_la])</f>
        <v>Italia</v>
      </c>
      <c r="O511" t="str">
        <f>_xlfn.XLOOKUP(frasest[[#This Row],[author_es]],autorest[author_es],autorest[age_es])</f>
        <v>Edad Moderna</v>
      </c>
      <c r="P511" t="str">
        <f>_xlfn.XLOOKUP(frasest[[#This Row],[author_es]],autorest[author_es],autorest[age_la])</f>
        <v>Nova Aetas</v>
      </c>
      <c r="Q511" t="str">
        <f>_xlfn.XLOOKUP(frasest[[#This Row],[author_es]],autorest[author_es],autorest[image])</f>
        <v>https://i.ibb.co/60VT5xTj/sanfelipeneri.png</v>
      </c>
      <c r="R511">
        <f>_xlfn.XLOOKUP(frasest[[#This Row],[author_es]],autorest[author_es],autorest[image_atr])</f>
        <v>0</v>
      </c>
    </row>
    <row r="512" spans="1:18">
      <c r="A512">
        <v>511</v>
      </c>
      <c r="B512" t="s">
        <v>1758</v>
      </c>
      <c r="C512" t="s">
        <v>1759</v>
      </c>
      <c r="D512" t="s">
        <v>1760</v>
      </c>
      <c r="E512" t="s">
        <v>1741</v>
      </c>
      <c r="F512" t="s">
        <v>1742</v>
      </c>
      <c r="G512" t="str">
        <f>_xlfn.XLOOKUP(frasest[[#This Row],[author_es]],autorest[author_es],autorest[author_la])</f>
        <v>Sanctus Philippus Nerius</v>
      </c>
      <c r="H512"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Row],[author_es]],autorest[author_es],autorest[iso3691])</f>
        <v>it</v>
      </c>
      <c r="K512" t="str">
        <f>_xlfn.XLOOKUP(frasest[[#This Row],[author_es]],autorest[author_es],autorest[language_es])</f>
        <v>Italiano</v>
      </c>
      <c r="L512" t="str">
        <f>_xlfn.XLOOKUP(frasest[[#This Row],[author_es]],autorest[author_es],autorest[language_la])</f>
        <v>Lingua Italica</v>
      </c>
      <c r="M512" t="str">
        <f>_xlfn.XLOOKUP(frasest[[#This Row],[author_es]],autorest[author_es],autorest[nation_es])</f>
        <v>Italia</v>
      </c>
      <c r="N512" t="str">
        <f>_xlfn.XLOOKUP(frasest[[#This Row],[author_es]],autorest[author_es],autorest[nation_la])</f>
        <v>Italia</v>
      </c>
      <c r="O512" t="str">
        <f>_xlfn.XLOOKUP(frasest[[#This Row],[author_es]],autorest[author_es],autorest[age_es])</f>
        <v>Edad Moderna</v>
      </c>
      <c r="P512" t="str">
        <f>_xlfn.XLOOKUP(frasest[[#This Row],[author_es]],autorest[author_es],autorest[age_la])</f>
        <v>Nova Aetas</v>
      </c>
      <c r="Q512" t="str">
        <f>_xlfn.XLOOKUP(frasest[[#This Row],[author_es]],autorest[author_es],autorest[image])</f>
        <v>https://i.ibb.co/60VT5xTj/sanfelipeneri.png</v>
      </c>
      <c r="R512">
        <f>_xlfn.XLOOKUP(frasest[[#This Row],[author_es]],autorest[author_es],autorest[image_atr])</f>
        <v>0</v>
      </c>
    </row>
    <row r="513" spans="1:18">
      <c r="A513">
        <v>512</v>
      </c>
      <c r="B513" t="s">
        <v>1761</v>
      </c>
      <c r="C513" t="s">
        <v>1762</v>
      </c>
      <c r="D513" t="s">
        <v>1763</v>
      </c>
      <c r="E513" t="s">
        <v>1741</v>
      </c>
      <c r="F513" t="s">
        <v>1742</v>
      </c>
      <c r="G513" t="str">
        <f>_xlfn.XLOOKUP(frasest[[#This Row],[author_es]],autorest[author_es],autorest[author_la])</f>
        <v>Sanctus Philippus Nerius</v>
      </c>
      <c r="H513"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Row],[author_es]],autorest[author_es],autorest[iso3691])</f>
        <v>it</v>
      </c>
      <c r="K513" t="str">
        <f>_xlfn.XLOOKUP(frasest[[#This Row],[author_es]],autorest[author_es],autorest[language_es])</f>
        <v>Italiano</v>
      </c>
      <c r="L513" t="str">
        <f>_xlfn.XLOOKUP(frasest[[#This Row],[author_es]],autorest[author_es],autorest[language_la])</f>
        <v>Lingua Italica</v>
      </c>
      <c r="M513" t="str">
        <f>_xlfn.XLOOKUP(frasest[[#This Row],[author_es]],autorest[author_es],autorest[nation_es])</f>
        <v>Italia</v>
      </c>
      <c r="N513" t="str">
        <f>_xlfn.XLOOKUP(frasest[[#This Row],[author_es]],autorest[author_es],autorest[nation_la])</f>
        <v>Italia</v>
      </c>
      <c r="O513" t="str">
        <f>_xlfn.XLOOKUP(frasest[[#This Row],[author_es]],autorest[author_es],autorest[age_es])</f>
        <v>Edad Moderna</v>
      </c>
      <c r="P513" t="str">
        <f>_xlfn.XLOOKUP(frasest[[#This Row],[author_es]],autorest[author_es],autorest[age_la])</f>
        <v>Nova Aetas</v>
      </c>
      <c r="Q513" t="str">
        <f>_xlfn.XLOOKUP(frasest[[#This Row],[author_es]],autorest[author_es],autorest[image])</f>
        <v>https://i.ibb.co/60VT5xTj/sanfelipeneri.png</v>
      </c>
      <c r="R513">
        <f>_xlfn.XLOOKUP(frasest[[#This Row],[author_es]],autorest[author_es],autorest[image_atr])</f>
        <v>0</v>
      </c>
    </row>
    <row r="514" spans="1:18">
      <c r="A514">
        <v>513</v>
      </c>
      <c r="B514" t="s">
        <v>1764</v>
      </c>
      <c r="C514" t="s">
        <v>1765</v>
      </c>
      <c r="D514" t="s">
        <v>1766</v>
      </c>
      <c r="E514" t="s">
        <v>1767</v>
      </c>
      <c r="F514" t="s">
        <v>1768</v>
      </c>
      <c r="G514" t="str">
        <f>_xlfn.XLOOKUP(frasest[[#This Row],[author_es]],autorest[author_es],autorest[author_la])</f>
        <v xml:space="preserve">Teresia Benedicta a Cruce </v>
      </c>
      <c r="H514"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Row],[author_es]],autorest[author_es],autorest[iso3691])</f>
        <v>de</v>
      </c>
      <c r="K514" t="str">
        <f>_xlfn.XLOOKUP(frasest[[#This Row],[author_es]],autorest[author_es],autorest[language_es])</f>
        <v>Alemán</v>
      </c>
      <c r="L514" t="str">
        <f>_xlfn.XLOOKUP(frasest[[#This Row],[author_es]],autorest[author_es],autorest[language_la])</f>
        <v>Lingua Germanica</v>
      </c>
      <c r="M514" t="str">
        <f>_xlfn.XLOOKUP(frasest[[#This Row],[author_es]],autorest[author_es],autorest[nation_es])</f>
        <v>Alemania</v>
      </c>
      <c r="N514" t="str">
        <f>_xlfn.XLOOKUP(frasest[[#This Row],[author_es]],autorest[author_es],autorest[nation_la])</f>
        <v>Germania</v>
      </c>
      <c r="O514" t="str">
        <f>_xlfn.XLOOKUP(frasest[[#This Row],[author_es]],autorest[author_es],autorest[age_es])</f>
        <v>Edad Contemporánea</v>
      </c>
      <c r="P514" t="str">
        <f>_xlfn.XLOOKUP(frasest[[#This Row],[author_es]],autorest[author_es],autorest[age_la])</f>
        <v>Aetas Contemporanea</v>
      </c>
      <c r="Q514" t="str">
        <f>_xlfn.XLOOKUP(frasest[[#This Row],[author_es]],autorest[author_es],autorest[image])</f>
        <v>https://i.ibb.co/sdgNknh0/santateresadelacruz.png</v>
      </c>
      <c r="R514">
        <f>_xlfn.XLOOKUP(frasest[[#This Row],[author_es]],autorest[author_es],autorest[image_atr])</f>
        <v>0</v>
      </c>
    </row>
    <row r="515" spans="1:18">
      <c r="A515">
        <v>514</v>
      </c>
      <c r="B515" t="s">
        <v>1769</v>
      </c>
      <c r="C515" t="s">
        <v>1770</v>
      </c>
      <c r="D515" t="s">
        <v>1771</v>
      </c>
      <c r="E515" t="s">
        <v>1767</v>
      </c>
      <c r="F515" t="s">
        <v>1768</v>
      </c>
      <c r="G515" t="str">
        <f>_xlfn.XLOOKUP(frasest[[#This Row],[author_es]],autorest[author_es],autorest[author_la])</f>
        <v xml:space="preserve">Teresia Benedicta a Cruce </v>
      </c>
      <c r="H515"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Row],[author_es]],autorest[author_es],autorest[iso3691])</f>
        <v>de</v>
      </c>
      <c r="K515" t="str">
        <f>_xlfn.XLOOKUP(frasest[[#This Row],[author_es]],autorest[author_es],autorest[language_es])</f>
        <v>Alemán</v>
      </c>
      <c r="L515" t="str">
        <f>_xlfn.XLOOKUP(frasest[[#This Row],[author_es]],autorest[author_es],autorest[language_la])</f>
        <v>Lingua Germanica</v>
      </c>
      <c r="M515" t="str">
        <f>_xlfn.XLOOKUP(frasest[[#This Row],[author_es]],autorest[author_es],autorest[nation_es])</f>
        <v>Alemania</v>
      </c>
      <c r="N515" t="str">
        <f>_xlfn.XLOOKUP(frasest[[#This Row],[author_es]],autorest[author_es],autorest[nation_la])</f>
        <v>Germania</v>
      </c>
      <c r="O515" t="str">
        <f>_xlfn.XLOOKUP(frasest[[#This Row],[author_es]],autorest[author_es],autorest[age_es])</f>
        <v>Edad Contemporánea</v>
      </c>
      <c r="P515" t="str">
        <f>_xlfn.XLOOKUP(frasest[[#This Row],[author_es]],autorest[author_es],autorest[age_la])</f>
        <v>Aetas Contemporanea</v>
      </c>
      <c r="Q515" t="str">
        <f>_xlfn.XLOOKUP(frasest[[#This Row],[author_es]],autorest[author_es],autorest[image])</f>
        <v>https://i.ibb.co/sdgNknh0/santateresadelacruz.png</v>
      </c>
      <c r="R515">
        <f>_xlfn.XLOOKUP(frasest[[#This Row],[author_es]],autorest[author_es],autorest[image_atr])</f>
        <v>0</v>
      </c>
    </row>
    <row r="516" spans="1:18">
      <c r="A516">
        <v>515</v>
      </c>
      <c r="B516" t="s">
        <v>1772</v>
      </c>
      <c r="C516" t="s">
        <v>1773</v>
      </c>
      <c r="D516" t="s">
        <v>1774</v>
      </c>
      <c r="E516" t="s">
        <v>1767</v>
      </c>
      <c r="F516" t="s">
        <v>1768</v>
      </c>
      <c r="G516" t="str">
        <f>_xlfn.XLOOKUP(frasest[[#This Row],[author_es]],autorest[author_es],autorest[author_la])</f>
        <v xml:space="preserve">Teresia Benedicta a Cruce </v>
      </c>
      <c r="H516"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Row],[author_es]],autorest[author_es],autorest[iso3691])</f>
        <v>de</v>
      </c>
      <c r="K516" t="str">
        <f>_xlfn.XLOOKUP(frasest[[#This Row],[author_es]],autorest[author_es],autorest[language_es])</f>
        <v>Alemán</v>
      </c>
      <c r="L516" t="str">
        <f>_xlfn.XLOOKUP(frasest[[#This Row],[author_es]],autorest[author_es],autorest[language_la])</f>
        <v>Lingua Germanica</v>
      </c>
      <c r="M516" t="str">
        <f>_xlfn.XLOOKUP(frasest[[#This Row],[author_es]],autorest[author_es],autorest[nation_es])</f>
        <v>Alemania</v>
      </c>
      <c r="N516" t="str">
        <f>_xlfn.XLOOKUP(frasest[[#This Row],[author_es]],autorest[author_es],autorest[nation_la])</f>
        <v>Germania</v>
      </c>
      <c r="O516" t="str">
        <f>_xlfn.XLOOKUP(frasest[[#This Row],[author_es]],autorest[author_es],autorest[age_es])</f>
        <v>Edad Contemporánea</v>
      </c>
      <c r="P516" t="str">
        <f>_xlfn.XLOOKUP(frasest[[#This Row],[author_es]],autorest[author_es],autorest[age_la])</f>
        <v>Aetas Contemporanea</v>
      </c>
      <c r="Q516" t="str">
        <f>_xlfn.XLOOKUP(frasest[[#This Row],[author_es]],autorest[author_es],autorest[image])</f>
        <v>https://i.ibb.co/sdgNknh0/santateresadelacruz.png</v>
      </c>
      <c r="R516">
        <f>_xlfn.XLOOKUP(frasest[[#This Row],[author_es]],autorest[author_es],autorest[image_atr])</f>
        <v>0</v>
      </c>
    </row>
    <row r="517" spans="1:18">
      <c r="A517">
        <v>516</v>
      </c>
      <c r="B517" t="s">
        <v>1775</v>
      </c>
      <c r="C517" t="s">
        <v>1776</v>
      </c>
      <c r="D517" t="s">
        <v>1777</v>
      </c>
      <c r="E517" t="s">
        <v>1767</v>
      </c>
      <c r="F517" t="s">
        <v>1768</v>
      </c>
      <c r="G517" t="str">
        <f>_xlfn.XLOOKUP(frasest[[#This Row],[author_es]],autorest[author_es],autorest[author_la])</f>
        <v xml:space="preserve">Teresia Benedicta a Cruce </v>
      </c>
      <c r="H517"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Row],[author_es]],autorest[author_es],autorest[iso3691])</f>
        <v>de</v>
      </c>
      <c r="K517" t="str">
        <f>_xlfn.XLOOKUP(frasest[[#This Row],[author_es]],autorest[author_es],autorest[language_es])</f>
        <v>Alemán</v>
      </c>
      <c r="L517" t="str">
        <f>_xlfn.XLOOKUP(frasest[[#This Row],[author_es]],autorest[author_es],autorest[language_la])</f>
        <v>Lingua Germanica</v>
      </c>
      <c r="M517" t="str">
        <f>_xlfn.XLOOKUP(frasest[[#This Row],[author_es]],autorest[author_es],autorest[nation_es])</f>
        <v>Alemania</v>
      </c>
      <c r="N517" t="str">
        <f>_xlfn.XLOOKUP(frasest[[#This Row],[author_es]],autorest[author_es],autorest[nation_la])</f>
        <v>Germania</v>
      </c>
      <c r="O517" t="str">
        <f>_xlfn.XLOOKUP(frasest[[#This Row],[author_es]],autorest[author_es],autorest[age_es])</f>
        <v>Edad Contemporánea</v>
      </c>
      <c r="P517" t="str">
        <f>_xlfn.XLOOKUP(frasest[[#This Row],[author_es]],autorest[author_es],autorest[age_la])</f>
        <v>Aetas Contemporanea</v>
      </c>
      <c r="Q517" t="str">
        <f>_xlfn.XLOOKUP(frasest[[#This Row],[author_es]],autorest[author_es],autorest[image])</f>
        <v>https://i.ibb.co/sdgNknh0/santateresadelacruz.png</v>
      </c>
      <c r="R517">
        <f>_xlfn.XLOOKUP(frasest[[#This Row],[author_es]],autorest[author_es],autorest[image_atr])</f>
        <v>0</v>
      </c>
    </row>
    <row r="518" spans="1:18">
      <c r="A518">
        <v>517</v>
      </c>
      <c r="B518" t="s">
        <v>1778</v>
      </c>
      <c r="C518" t="s">
        <v>1779</v>
      </c>
      <c r="D518" t="s">
        <v>1780</v>
      </c>
      <c r="E518" t="s">
        <v>1767</v>
      </c>
      <c r="F518" t="s">
        <v>1768</v>
      </c>
      <c r="G518" t="str">
        <f>_xlfn.XLOOKUP(frasest[[#This Row],[author_es]],autorest[author_es],autorest[author_la])</f>
        <v xml:space="preserve">Teresia Benedicta a Cruce </v>
      </c>
      <c r="H518"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Row],[author_es]],autorest[author_es],autorest[iso3691])</f>
        <v>de</v>
      </c>
      <c r="K518" t="str">
        <f>_xlfn.XLOOKUP(frasest[[#This Row],[author_es]],autorest[author_es],autorest[language_es])</f>
        <v>Alemán</v>
      </c>
      <c r="L518" t="str">
        <f>_xlfn.XLOOKUP(frasest[[#This Row],[author_es]],autorest[author_es],autorest[language_la])</f>
        <v>Lingua Germanica</v>
      </c>
      <c r="M518" t="str">
        <f>_xlfn.XLOOKUP(frasest[[#This Row],[author_es]],autorest[author_es],autorest[nation_es])</f>
        <v>Alemania</v>
      </c>
      <c r="N518" t="str">
        <f>_xlfn.XLOOKUP(frasest[[#This Row],[author_es]],autorest[author_es],autorest[nation_la])</f>
        <v>Germania</v>
      </c>
      <c r="O518" t="str">
        <f>_xlfn.XLOOKUP(frasest[[#This Row],[author_es]],autorest[author_es],autorest[age_es])</f>
        <v>Edad Contemporánea</v>
      </c>
      <c r="P518" t="str">
        <f>_xlfn.XLOOKUP(frasest[[#This Row],[author_es]],autorest[author_es],autorest[age_la])</f>
        <v>Aetas Contemporanea</v>
      </c>
      <c r="Q518" t="str">
        <f>_xlfn.XLOOKUP(frasest[[#This Row],[author_es]],autorest[author_es],autorest[image])</f>
        <v>https://i.ibb.co/sdgNknh0/santateresadelacruz.png</v>
      </c>
      <c r="R518">
        <f>_xlfn.XLOOKUP(frasest[[#This Row],[author_es]],autorest[author_es],autorest[image_atr])</f>
        <v>0</v>
      </c>
    </row>
    <row r="519" spans="1:18">
      <c r="A519">
        <v>518</v>
      </c>
      <c r="B519" t="s">
        <v>1781</v>
      </c>
      <c r="C519" t="s">
        <v>1782</v>
      </c>
      <c r="D519" t="s">
        <v>1783</v>
      </c>
      <c r="E519" t="s">
        <v>1767</v>
      </c>
      <c r="F519" t="s">
        <v>1768</v>
      </c>
      <c r="G519" t="str">
        <f>_xlfn.XLOOKUP(frasest[[#This Row],[author_es]],autorest[author_es],autorest[author_la])</f>
        <v xml:space="preserve">Teresia Benedicta a Cruce </v>
      </c>
      <c r="H519"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Row],[author_es]],autorest[author_es],autorest[iso3691])</f>
        <v>de</v>
      </c>
      <c r="K519" t="str">
        <f>_xlfn.XLOOKUP(frasest[[#This Row],[author_es]],autorest[author_es],autorest[language_es])</f>
        <v>Alemán</v>
      </c>
      <c r="L519" t="str">
        <f>_xlfn.XLOOKUP(frasest[[#This Row],[author_es]],autorest[author_es],autorest[language_la])</f>
        <v>Lingua Germanica</v>
      </c>
      <c r="M519" t="str">
        <f>_xlfn.XLOOKUP(frasest[[#This Row],[author_es]],autorest[author_es],autorest[nation_es])</f>
        <v>Alemania</v>
      </c>
      <c r="N519" t="str">
        <f>_xlfn.XLOOKUP(frasest[[#This Row],[author_es]],autorest[author_es],autorest[nation_la])</f>
        <v>Germania</v>
      </c>
      <c r="O519" t="str">
        <f>_xlfn.XLOOKUP(frasest[[#This Row],[author_es]],autorest[author_es],autorest[age_es])</f>
        <v>Edad Contemporánea</v>
      </c>
      <c r="P519" t="str">
        <f>_xlfn.XLOOKUP(frasest[[#This Row],[author_es]],autorest[author_es],autorest[age_la])</f>
        <v>Aetas Contemporanea</v>
      </c>
      <c r="Q519" t="str">
        <f>_xlfn.XLOOKUP(frasest[[#This Row],[author_es]],autorest[author_es],autorest[image])</f>
        <v>https://i.ibb.co/sdgNknh0/santateresadelacruz.png</v>
      </c>
      <c r="R519">
        <f>_xlfn.XLOOKUP(frasest[[#This Row],[author_es]],autorest[author_es],autorest[image_atr])</f>
        <v>0</v>
      </c>
    </row>
    <row r="520" spans="1:18">
      <c r="A520">
        <v>519</v>
      </c>
      <c r="B520" t="s">
        <v>1784</v>
      </c>
      <c r="C520" t="s">
        <v>1785</v>
      </c>
      <c r="D520" t="s">
        <v>1786</v>
      </c>
      <c r="E520" t="s">
        <v>1767</v>
      </c>
      <c r="F520" t="s">
        <v>1768</v>
      </c>
      <c r="G520" t="str">
        <f>_xlfn.XLOOKUP(frasest[[#This Row],[author_es]],autorest[author_es],autorest[author_la])</f>
        <v xml:space="preserve">Teresia Benedicta a Cruce </v>
      </c>
      <c r="H520"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Row],[author_es]],autorest[author_es],autorest[iso3691])</f>
        <v>de</v>
      </c>
      <c r="K520" t="str">
        <f>_xlfn.XLOOKUP(frasest[[#This Row],[author_es]],autorest[author_es],autorest[language_es])</f>
        <v>Alemán</v>
      </c>
      <c r="L520" t="str">
        <f>_xlfn.XLOOKUP(frasest[[#This Row],[author_es]],autorest[author_es],autorest[language_la])</f>
        <v>Lingua Germanica</v>
      </c>
      <c r="M520" t="str">
        <f>_xlfn.XLOOKUP(frasest[[#This Row],[author_es]],autorest[author_es],autorest[nation_es])</f>
        <v>Alemania</v>
      </c>
      <c r="N520" t="str">
        <f>_xlfn.XLOOKUP(frasest[[#This Row],[author_es]],autorest[author_es],autorest[nation_la])</f>
        <v>Germania</v>
      </c>
      <c r="O520" t="str">
        <f>_xlfn.XLOOKUP(frasest[[#This Row],[author_es]],autorest[author_es],autorest[age_es])</f>
        <v>Edad Contemporánea</v>
      </c>
      <c r="P520" t="str">
        <f>_xlfn.XLOOKUP(frasest[[#This Row],[author_es]],autorest[author_es],autorest[age_la])</f>
        <v>Aetas Contemporanea</v>
      </c>
      <c r="Q520" t="str">
        <f>_xlfn.XLOOKUP(frasest[[#This Row],[author_es]],autorest[author_es],autorest[image])</f>
        <v>https://i.ibb.co/sdgNknh0/santateresadelacruz.png</v>
      </c>
      <c r="R520">
        <f>_xlfn.XLOOKUP(frasest[[#This Row],[author_es]],autorest[author_es],autorest[image_atr])</f>
        <v>0</v>
      </c>
    </row>
    <row r="521" spans="1:18">
      <c r="A521">
        <v>520</v>
      </c>
      <c r="B521" t="s">
        <v>1787</v>
      </c>
      <c r="C521" t="s">
        <v>1788</v>
      </c>
      <c r="D521" t="s">
        <v>1789</v>
      </c>
      <c r="E521" t="s">
        <v>1767</v>
      </c>
      <c r="F521" t="s">
        <v>1768</v>
      </c>
      <c r="G521" t="str">
        <f>_xlfn.XLOOKUP(frasest[[#This Row],[author_es]],autorest[author_es],autorest[author_la])</f>
        <v xml:space="preserve">Teresia Benedicta a Cruce </v>
      </c>
      <c r="H521"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Row],[author_es]],autorest[author_es],autorest[iso3691])</f>
        <v>de</v>
      </c>
      <c r="K521" t="str">
        <f>_xlfn.XLOOKUP(frasest[[#This Row],[author_es]],autorest[author_es],autorest[language_es])</f>
        <v>Alemán</v>
      </c>
      <c r="L521" t="str">
        <f>_xlfn.XLOOKUP(frasest[[#This Row],[author_es]],autorest[author_es],autorest[language_la])</f>
        <v>Lingua Germanica</v>
      </c>
      <c r="M521" t="str">
        <f>_xlfn.XLOOKUP(frasest[[#This Row],[author_es]],autorest[author_es],autorest[nation_es])</f>
        <v>Alemania</v>
      </c>
      <c r="N521" t="str">
        <f>_xlfn.XLOOKUP(frasest[[#This Row],[author_es]],autorest[author_es],autorest[nation_la])</f>
        <v>Germania</v>
      </c>
      <c r="O521" t="str">
        <f>_xlfn.XLOOKUP(frasest[[#This Row],[author_es]],autorest[author_es],autorest[age_es])</f>
        <v>Edad Contemporánea</v>
      </c>
      <c r="P521" t="str">
        <f>_xlfn.XLOOKUP(frasest[[#This Row],[author_es]],autorest[author_es],autorest[age_la])</f>
        <v>Aetas Contemporanea</v>
      </c>
      <c r="Q521" t="str">
        <f>_xlfn.XLOOKUP(frasest[[#This Row],[author_es]],autorest[author_es],autorest[image])</f>
        <v>https://i.ibb.co/sdgNknh0/santateresadelacruz.png</v>
      </c>
      <c r="R521">
        <f>_xlfn.XLOOKUP(frasest[[#This Row],[author_es]],autorest[author_es],autorest[image_atr])</f>
        <v>0</v>
      </c>
    </row>
    <row r="522" spans="1:18">
      <c r="A522">
        <v>521</v>
      </c>
      <c r="B522" t="s">
        <v>1790</v>
      </c>
      <c r="C522" t="s">
        <v>1791</v>
      </c>
      <c r="D522" t="s">
        <v>1792</v>
      </c>
      <c r="E522" t="s">
        <v>1793</v>
      </c>
      <c r="F522" t="s">
        <v>1794</v>
      </c>
      <c r="G522" t="str">
        <f>_xlfn.XLOOKUP(frasest[[#This Row],[author_es]],autorest[author_es],autorest[author_la])</f>
        <v>Beatus Carolus Acutis</v>
      </c>
      <c r="H522"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2"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2" t="str">
        <f>_xlfn.XLOOKUP(frasest[[#This Row],[author_es]],autorest[author_es],autorest[iso3691])</f>
        <v>it</v>
      </c>
      <c r="K522" t="str">
        <f>_xlfn.XLOOKUP(frasest[[#This Row],[author_es]],autorest[author_es],autorest[language_es])</f>
        <v>Italiano</v>
      </c>
      <c r="L522" t="str">
        <f>_xlfn.XLOOKUP(frasest[[#This Row],[author_es]],autorest[author_es],autorest[language_la])</f>
        <v>Lingua Italica</v>
      </c>
      <c r="M522" t="str">
        <f>_xlfn.XLOOKUP(frasest[[#This Row],[author_es]],autorest[author_es],autorest[nation_es])</f>
        <v>Italia</v>
      </c>
      <c r="N522" t="str">
        <f>_xlfn.XLOOKUP(frasest[[#This Row],[author_es]],autorest[author_es],autorest[nation_la])</f>
        <v>Italia</v>
      </c>
      <c r="O522" t="str">
        <f>_xlfn.XLOOKUP(frasest[[#This Row],[author_es]],autorest[author_es],autorest[age_es])</f>
        <v>Edad Contemporánea</v>
      </c>
      <c r="P522" t="str">
        <f>_xlfn.XLOOKUP(frasest[[#This Row],[author_es]],autorest[author_es],autorest[age_la])</f>
        <v>Aetas Contemporanea</v>
      </c>
      <c r="Q522" t="str">
        <f>_xlfn.XLOOKUP(frasest[[#This Row],[author_es]],autorest[author_es],autorest[image])</f>
        <v>https://i.ibb.co/Xxv42TMM/carloacutis.png</v>
      </c>
      <c r="R522">
        <f>_xlfn.XLOOKUP(frasest[[#This Row],[author_es]],autorest[author_es],autorest[image_atr])</f>
        <v>0</v>
      </c>
    </row>
    <row r="523" spans="1:18">
      <c r="A523">
        <v>522</v>
      </c>
      <c r="B523" t="s">
        <v>1795</v>
      </c>
      <c r="C523" t="s">
        <v>1796</v>
      </c>
      <c r="D523" t="s">
        <v>1797</v>
      </c>
      <c r="E523" t="s">
        <v>1793</v>
      </c>
      <c r="F523" t="s">
        <v>1794</v>
      </c>
      <c r="G523" t="str">
        <f>_xlfn.XLOOKUP(frasest[[#This Row],[author_es]],autorest[author_es],autorest[author_la])</f>
        <v>Beatus Carolus Acutis</v>
      </c>
      <c r="H523"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3"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3" t="str">
        <f>_xlfn.XLOOKUP(frasest[[#This Row],[author_es]],autorest[author_es],autorest[iso3691])</f>
        <v>it</v>
      </c>
      <c r="K523" t="str">
        <f>_xlfn.XLOOKUP(frasest[[#This Row],[author_es]],autorest[author_es],autorest[language_es])</f>
        <v>Italiano</v>
      </c>
      <c r="L523" t="str">
        <f>_xlfn.XLOOKUP(frasest[[#This Row],[author_es]],autorest[author_es],autorest[language_la])</f>
        <v>Lingua Italica</v>
      </c>
      <c r="M523" t="str">
        <f>_xlfn.XLOOKUP(frasest[[#This Row],[author_es]],autorest[author_es],autorest[nation_es])</f>
        <v>Italia</v>
      </c>
      <c r="N523" t="str">
        <f>_xlfn.XLOOKUP(frasest[[#This Row],[author_es]],autorest[author_es],autorest[nation_la])</f>
        <v>Italia</v>
      </c>
      <c r="O523" t="str">
        <f>_xlfn.XLOOKUP(frasest[[#This Row],[author_es]],autorest[author_es],autorest[age_es])</f>
        <v>Edad Contemporánea</v>
      </c>
      <c r="P523" t="str">
        <f>_xlfn.XLOOKUP(frasest[[#This Row],[author_es]],autorest[author_es],autorest[age_la])</f>
        <v>Aetas Contemporanea</v>
      </c>
      <c r="Q523" t="str">
        <f>_xlfn.XLOOKUP(frasest[[#This Row],[author_es]],autorest[author_es],autorest[image])</f>
        <v>https://i.ibb.co/Xxv42TMM/carloacutis.png</v>
      </c>
      <c r="R523">
        <f>_xlfn.XLOOKUP(frasest[[#This Row],[author_es]],autorest[author_es],autorest[image_atr])</f>
        <v>0</v>
      </c>
    </row>
    <row r="524" spans="1:18">
      <c r="A524">
        <v>523</v>
      </c>
      <c r="B524" t="s">
        <v>1798</v>
      </c>
      <c r="C524" t="s">
        <v>1799</v>
      </c>
      <c r="D524" t="s">
        <v>1800</v>
      </c>
      <c r="E524" t="s">
        <v>1793</v>
      </c>
      <c r="F524" t="s">
        <v>1794</v>
      </c>
      <c r="G524" t="str">
        <f>_xlfn.XLOOKUP(frasest[[#This Row],[author_es]],autorest[author_es],autorest[author_la])</f>
        <v>Beatus Carolus Acutis</v>
      </c>
      <c r="H524"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4"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4" t="str">
        <f>_xlfn.XLOOKUP(frasest[[#This Row],[author_es]],autorest[author_es],autorest[iso3691])</f>
        <v>it</v>
      </c>
      <c r="K524" t="str">
        <f>_xlfn.XLOOKUP(frasest[[#This Row],[author_es]],autorest[author_es],autorest[language_es])</f>
        <v>Italiano</v>
      </c>
      <c r="L524" t="str">
        <f>_xlfn.XLOOKUP(frasest[[#This Row],[author_es]],autorest[author_es],autorest[language_la])</f>
        <v>Lingua Italica</v>
      </c>
      <c r="M524" t="str">
        <f>_xlfn.XLOOKUP(frasest[[#This Row],[author_es]],autorest[author_es],autorest[nation_es])</f>
        <v>Italia</v>
      </c>
      <c r="N524" t="str">
        <f>_xlfn.XLOOKUP(frasest[[#This Row],[author_es]],autorest[author_es],autorest[nation_la])</f>
        <v>Italia</v>
      </c>
      <c r="O524" t="str">
        <f>_xlfn.XLOOKUP(frasest[[#This Row],[author_es]],autorest[author_es],autorest[age_es])</f>
        <v>Edad Contemporánea</v>
      </c>
      <c r="P524" t="str">
        <f>_xlfn.XLOOKUP(frasest[[#This Row],[author_es]],autorest[author_es],autorest[age_la])</f>
        <v>Aetas Contemporanea</v>
      </c>
      <c r="Q524" t="str">
        <f>_xlfn.XLOOKUP(frasest[[#This Row],[author_es]],autorest[author_es],autorest[image])</f>
        <v>https://i.ibb.co/Xxv42TMM/carloacutis.png</v>
      </c>
      <c r="R524">
        <f>_xlfn.XLOOKUP(frasest[[#This Row],[author_es]],autorest[author_es],autorest[image_atr])</f>
        <v>0</v>
      </c>
    </row>
    <row r="525" spans="1:18">
      <c r="A525">
        <v>524</v>
      </c>
      <c r="B525" t="s">
        <v>1801</v>
      </c>
      <c r="C525" t="s">
        <v>1802</v>
      </c>
      <c r="D525" t="s">
        <v>1803</v>
      </c>
      <c r="E525" t="s">
        <v>1793</v>
      </c>
      <c r="F525" t="s">
        <v>1794</v>
      </c>
      <c r="G525" t="str">
        <f>_xlfn.XLOOKUP(frasest[[#This Row],[author_es]],autorest[author_es],autorest[author_la])</f>
        <v>Beatus Carolus Acutis</v>
      </c>
      <c r="H525"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5"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5" t="str">
        <f>_xlfn.XLOOKUP(frasest[[#This Row],[author_es]],autorest[author_es],autorest[iso3691])</f>
        <v>it</v>
      </c>
      <c r="K525" t="str">
        <f>_xlfn.XLOOKUP(frasest[[#This Row],[author_es]],autorest[author_es],autorest[language_es])</f>
        <v>Italiano</v>
      </c>
      <c r="L525" t="str">
        <f>_xlfn.XLOOKUP(frasest[[#This Row],[author_es]],autorest[author_es],autorest[language_la])</f>
        <v>Lingua Italica</v>
      </c>
      <c r="M525" t="str">
        <f>_xlfn.XLOOKUP(frasest[[#This Row],[author_es]],autorest[author_es],autorest[nation_es])</f>
        <v>Italia</v>
      </c>
      <c r="N525" t="str">
        <f>_xlfn.XLOOKUP(frasest[[#This Row],[author_es]],autorest[author_es],autorest[nation_la])</f>
        <v>Italia</v>
      </c>
      <c r="O525" t="str">
        <f>_xlfn.XLOOKUP(frasest[[#This Row],[author_es]],autorest[author_es],autorest[age_es])</f>
        <v>Edad Contemporánea</v>
      </c>
      <c r="P525" t="str">
        <f>_xlfn.XLOOKUP(frasest[[#This Row],[author_es]],autorest[author_es],autorest[age_la])</f>
        <v>Aetas Contemporanea</v>
      </c>
      <c r="Q525" t="str">
        <f>_xlfn.XLOOKUP(frasest[[#This Row],[author_es]],autorest[author_es],autorest[image])</f>
        <v>https://i.ibb.co/Xxv42TMM/carloacutis.png</v>
      </c>
      <c r="R525">
        <f>_xlfn.XLOOKUP(frasest[[#This Row],[author_es]],autorest[author_es],autorest[image_atr])</f>
        <v>0</v>
      </c>
    </row>
    <row r="526" spans="1:18">
      <c r="A526">
        <v>525</v>
      </c>
      <c r="B526" t="s">
        <v>1804</v>
      </c>
      <c r="C526" t="s">
        <v>1805</v>
      </c>
      <c r="D526" t="s">
        <v>1806</v>
      </c>
      <c r="E526" t="s">
        <v>1793</v>
      </c>
      <c r="F526" t="s">
        <v>1794</v>
      </c>
      <c r="G526" t="str">
        <f>_xlfn.XLOOKUP(frasest[[#This Row],[author_es]],autorest[author_es],autorest[author_la])</f>
        <v>Beatus Carolus Acutis</v>
      </c>
      <c r="H526"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6"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6" t="str">
        <f>_xlfn.XLOOKUP(frasest[[#This Row],[author_es]],autorest[author_es],autorest[iso3691])</f>
        <v>it</v>
      </c>
      <c r="K526" t="str">
        <f>_xlfn.XLOOKUP(frasest[[#This Row],[author_es]],autorest[author_es],autorest[language_es])</f>
        <v>Italiano</v>
      </c>
      <c r="L526" t="str">
        <f>_xlfn.XLOOKUP(frasest[[#This Row],[author_es]],autorest[author_es],autorest[language_la])</f>
        <v>Lingua Italica</v>
      </c>
      <c r="M526" t="str">
        <f>_xlfn.XLOOKUP(frasest[[#This Row],[author_es]],autorest[author_es],autorest[nation_es])</f>
        <v>Italia</v>
      </c>
      <c r="N526" t="str">
        <f>_xlfn.XLOOKUP(frasest[[#This Row],[author_es]],autorest[author_es],autorest[nation_la])</f>
        <v>Italia</v>
      </c>
      <c r="O526" t="str">
        <f>_xlfn.XLOOKUP(frasest[[#This Row],[author_es]],autorest[author_es],autorest[age_es])</f>
        <v>Edad Contemporánea</v>
      </c>
      <c r="P526" t="str">
        <f>_xlfn.XLOOKUP(frasest[[#This Row],[author_es]],autorest[author_es],autorest[age_la])</f>
        <v>Aetas Contemporanea</v>
      </c>
      <c r="Q526" t="str">
        <f>_xlfn.XLOOKUP(frasest[[#This Row],[author_es]],autorest[author_es],autorest[image])</f>
        <v>https://i.ibb.co/Xxv42TMM/carloacutis.png</v>
      </c>
      <c r="R526">
        <f>_xlfn.XLOOKUP(frasest[[#This Row],[author_es]],autorest[author_es],autorest[image_atr])</f>
        <v>0</v>
      </c>
    </row>
    <row r="527" spans="1:18">
      <c r="A527">
        <v>526</v>
      </c>
      <c r="B527" t="s">
        <v>1807</v>
      </c>
      <c r="C527" t="s">
        <v>1808</v>
      </c>
      <c r="D527" t="s">
        <v>1809</v>
      </c>
      <c r="E527" t="s">
        <v>1793</v>
      </c>
      <c r="F527" t="s">
        <v>1794</v>
      </c>
      <c r="G527" t="str">
        <f>_xlfn.XLOOKUP(frasest[[#This Row],[author_es]],autorest[author_es],autorest[author_la])</f>
        <v>Beatus Carolus Acutis</v>
      </c>
      <c r="H527"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7"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7" t="str">
        <f>_xlfn.XLOOKUP(frasest[[#This Row],[author_es]],autorest[author_es],autorest[iso3691])</f>
        <v>it</v>
      </c>
      <c r="K527" t="str">
        <f>_xlfn.XLOOKUP(frasest[[#This Row],[author_es]],autorest[author_es],autorest[language_es])</f>
        <v>Italiano</v>
      </c>
      <c r="L527" t="str">
        <f>_xlfn.XLOOKUP(frasest[[#This Row],[author_es]],autorest[author_es],autorest[language_la])</f>
        <v>Lingua Italica</v>
      </c>
      <c r="M527" t="str">
        <f>_xlfn.XLOOKUP(frasest[[#This Row],[author_es]],autorest[author_es],autorest[nation_es])</f>
        <v>Italia</v>
      </c>
      <c r="N527" t="str">
        <f>_xlfn.XLOOKUP(frasest[[#This Row],[author_es]],autorest[author_es],autorest[nation_la])</f>
        <v>Italia</v>
      </c>
      <c r="O527" t="str">
        <f>_xlfn.XLOOKUP(frasest[[#This Row],[author_es]],autorest[author_es],autorest[age_es])</f>
        <v>Edad Contemporánea</v>
      </c>
      <c r="P527" t="str">
        <f>_xlfn.XLOOKUP(frasest[[#This Row],[author_es]],autorest[author_es],autorest[age_la])</f>
        <v>Aetas Contemporanea</v>
      </c>
      <c r="Q527" t="str">
        <f>_xlfn.XLOOKUP(frasest[[#This Row],[author_es]],autorest[author_es],autorest[image])</f>
        <v>https://i.ibb.co/Xxv42TMM/carloacutis.png</v>
      </c>
      <c r="R527">
        <f>_xlfn.XLOOKUP(frasest[[#This Row],[author_es]],autorest[author_es],autorest[image_atr])</f>
        <v>0</v>
      </c>
    </row>
    <row r="528" spans="1:18">
      <c r="A528">
        <v>527</v>
      </c>
      <c r="B528" t="s">
        <v>1810</v>
      </c>
      <c r="C528" t="s">
        <v>1811</v>
      </c>
      <c r="D528" t="s">
        <v>1812</v>
      </c>
      <c r="E528" t="s">
        <v>1793</v>
      </c>
      <c r="F528" t="s">
        <v>1794</v>
      </c>
      <c r="G528" t="str">
        <f>_xlfn.XLOOKUP(frasest[[#This Row],[author_es]],autorest[author_es],autorest[author_la])</f>
        <v>Beatus Carolus Acutis</v>
      </c>
      <c r="H528"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8"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8" t="str">
        <f>_xlfn.XLOOKUP(frasest[[#This Row],[author_es]],autorest[author_es],autorest[iso3691])</f>
        <v>it</v>
      </c>
      <c r="K528" t="str">
        <f>_xlfn.XLOOKUP(frasest[[#This Row],[author_es]],autorest[author_es],autorest[language_es])</f>
        <v>Italiano</v>
      </c>
      <c r="L528" t="str">
        <f>_xlfn.XLOOKUP(frasest[[#This Row],[author_es]],autorest[author_es],autorest[language_la])</f>
        <v>Lingua Italica</v>
      </c>
      <c r="M528" t="str">
        <f>_xlfn.XLOOKUP(frasest[[#This Row],[author_es]],autorest[author_es],autorest[nation_es])</f>
        <v>Italia</v>
      </c>
      <c r="N528" t="str">
        <f>_xlfn.XLOOKUP(frasest[[#This Row],[author_es]],autorest[author_es],autorest[nation_la])</f>
        <v>Italia</v>
      </c>
      <c r="O528" t="str">
        <f>_xlfn.XLOOKUP(frasest[[#This Row],[author_es]],autorest[author_es],autorest[age_es])</f>
        <v>Edad Contemporánea</v>
      </c>
      <c r="P528" t="str">
        <f>_xlfn.XLOOKUP(frasest[[#This Row],[author_es]],autorest[author_es],autorest[age_la])</f>
        <v>Aetas Contemporanea</v>
      </c>
      <c r="Q528" t="str">
        <f>_xlfn.XLOOKUP(frasest[[#This Row],[author_es]],autorest[author_es],autorest[image])</f>
        <v>https://i.ibb.co/Xxv42TMM/carloacutis.png</v>
      </c>
      <c r="R528">
        <f>_xlfn.XLOOKUP(frasest[[#This Row],[author_es]],autorest[author_es],autorest[image_atr])</f>
        <v>0</v>
      </c>
    </row>
    <row r="529" spans="1:18">
      <c r="A529">
        <v>528</v>
      </c>
      <c r="B529" t="s">
        <v>1813</v>
      </c>
      <c r="C529" t="s">
        <v>1814</v>
      </c>
      <c r="D529" t="s">
        <v>1815</v>
      </c>
      <c r="E529" t="s">
        <v>1793</v>
      </c>
      <c r="F529" t="s">
        <v>1794</v>
      </c>
      <c r="G529" t="str">
        <f>_xlfn.XLOOKUP(frasest[[#This Row],[author_es]],autorest[author_es],autorest[author_la])</f>
        <v>Beatus Carolus Acutis</v>
      </c>
      <c r="H529"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9"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9" t="str">
        <f>_xlfn.XLOOKUP(frasest[[#This Row],[author_es]],autorest[author_es],autorest[iso3691])</f>
        <v>it</v>
      </c>
      <c r="K529" t="str">
        <f>_xlfn.XLOOKUP(frasest[[#This Row],[author_es]],autorest[author_es],autorest[language_es])</f>
        <v>Italiano</v>
      </c>
      <c r="L529" t="str">
        <f>_xlfn.XLOOKUP(frasest[[#This Row],[author_es]],autorest[author_es],autorest[language_la])</f>
        <v>Lingua Italica</v>
      </c>
      <c r="M529" t="str">
        <f>_xlfn.XLOOKUP(frasest[[#This Row],[author_es]],autorest[author_es],autorest[nation_es])</f>
        <v>Italia</v>
      </c>
      <c r="N529" t="str">
        <f>_xlfn.XLOOKUP(frasest[[#This Row],[author_es]],autorest[author_es],autorest[nation_la])</f>
        <v>Italia</v>
      </c>
      <c r="O529" t="str">
        <f>_xlfn.XLOOKUP(frasest[[#This Row],[author_es]],autorest[author_es],autorest[age_es])</f>
        <v>Edad Contemporánea</v>
      </c>
      <c r="P529" t="str">
        <f>_xlfn.XLOOKUP(frasest[[#This Row],[author_es]],autorest[author_es],autorest[age_la])</f>
        <v>Aetas Contemporanea</v>
      </c>
      <c r="Q529" t="str">
        <f>_xlfn.XLOOKUP(frasest[[#This Row],[author_es]],autorest[author_es],autorest[image])</f>
        <v>https://i.ibb.co/Xxv42TMM/carloacutis.png</v>
      </c>
      <c r="R529">
        <f>_xlfn.XLOOKUP(frasest[[#This Row],[author_es]],autorest[author_es],autorest[image_atr])</f>
        <v>0</v>
      </c>
    </row>
    <row r="530" spans="1:18">
      <c r="A530">
        <v>529</v>
      </c>
      <c r="B530" t="s">
        <v>1816</v>
      </c>
      <c r="C530" t="s">
        <v>1699</v>
      </c>
      <c r="D530" t="s">
        <v>1700</v>
      </c>
      <c r="E530" t="s">
        <v>1701</v>
      </c>
      <c r="F530" t="s">
        <v>1817</v>
      </c>
      <c r="G530" t="str">
        <f>_xlfn.XLOOKUP(frasest[[#This Row],[author_es]],autorest[author_es],autorest[author_la])</f>
        <v>Fridericus Froebel</v>
      </c>
      <c r="H530"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Row],[author_es]],autorest[author_es],autorest[iso3691])</f>
        <v>de</v>
      </c>
      <c r="K530" t="str">
        <f>_xlfn.XLOOKUP(frasest[[#This Row],[author_es]],autorest[author_es],autorest[language_es])</f>
        <v>Alemán</v>
      </c>
      <c r="L530" t="str">
        <f>_xlfn.XLOOKUP(frasest[[#This Row],[author_es]],autorest[author_es],autorest[language_la])</f>
        <v>Lingua Germanica</v>
      </c>
      <c r="M530" t="str">
        <f>_xlfn.XLOOKUP(frasest[[#This Row],[author_es]],autorest[author_es],autorest[nation_es])</f>
        <v>Alemania</v>
      </c>
      <c r="N530" t="str">
        <f>_xlfn.XLOOKUP(frasest[[#This Row],[author_es]],autorest[author_es],autorest[nation_la])</f>
        <v>Germania</v>
      </c>
      <c r="O530" t="str">
        <f>_xlfn.XLOOKUP(frasest[[#This Row],[author_es]],autorest[author_es],autorest[age_es])</f>
        <v>Edad Moderna</v>
      </c>
      <c r="P530" t="str">
        <f>_xlfn.XLOOKUP(frasest[[#This Row],[author_es]],autorest[author_es],autorest[age_la])</f>
        <v>Nova Aetas</v>
      </c>
      <c r="Q530" t="str">
        <f>_xlfn.XLOOKUP(frasest[[#This Row],[author_es]],autorest[author_es],autorest[image])</f>
        <v>https://i.ibb.co/0jwMS3vT/froebel.png</v>
      </c>
      <c r="R530">
        <f>_xlfn.XLOOKUP(frasest[[#This Row],[author_es]],autorest[author_es],autorest[image_atr])</f>
        <v>0</v>
      </c>
    </row>
    <row r="531" spans="1:18">
      <c r="A531">
        <v>530</v>
      </c>
      <c r="B531" t="s">
        <v>1703</v>
      </c>
      <c r="C531" t="s">
        <v>1704</v>
      </c>
      <c r="D531" t="s">
        <v>1705</v>
      </c>
      <c r="E531" t="s">
        <v>1701</v>
      </c>
      <c r="F531" t="s">
        <v>1817</v>
      </c>
      <c r="G531" t="str">
        <f>_xlfn.XLOOKUP(frasest[[#This Row],[author_es]],autorest[author_es],autorest[author_la])</f>
        <v>Fridericus Froebel</v>
      </c>
      <c r="H531"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Row],[author_es]],autorest[author_es],autorest[iso3691])</f>
        <v>de</v>
      </c>
      <c r="K531" t="str">
        <f>_xlfn.XLOOKUP(frasest[[#This Row],[author_es]],autorest[author_es],autorest[language_es])</f>
        <v>Alemán</v>
      </c>
      <c r="L531" t="str">
        <f>_xlfn.XLOOKUP(frasest[[#This Row],[author_es]],autorest[author_es],autorest[language_la])</f>
        <v>Lingua Germanica</v>
      </c>
      <c r="M531" t="str">
        <f>_xlfn.XLOOKUP(frasest[[#This Row],[author_es]],autorest[author_es],autorest[nation_es])</f>
        <v>Alemania</v>
      </c>
      <c r="N531" t="str">
        <f>_xlfn.XLOOKUP(frasest[[#This Row],[author_es]],autorest[author_es],autorest[nation_la])</f>
        <v>Germania</v>
      </c>
      <c r="O531" t="str">
        <f>_xlfn.XLOOKUP(frasest[[#This Row],[author_es]],autorest[author_es],autorest[age_es])</f>
        <v>Edad Moderna</v>
      </c>
      <c r="P531" t="str">
        <f>_xlfn.XLOOKUP(frasest[[#This Row],[author_es]],autorest[author_es],autorest[age_la])</f>
        <v>Nova Aetas</v>
      </c>
      <c r="Q531" t="str">
        <f>_xlfn.XLOOKUP(frasest[[#This Row],[author_es]],autorest[author_es],autorest[image])</f>
        <v>https://i.ibb.co/0jwMS3vT/froebel.png</v>
      </c>
      <c r="R531">
        <f>_xlfn.XLOOKUP(frasest[[#This Row],[author_es]],autorest[author_es],autorest[image_atr])</f>
        <v>0</v>
      </c>
    </row>
    <row r="532" spans="1:18">
      <c r="A532">
        <v>531</v>
      </c>
      <c r="B532" t="s">
        <v>1818</v>
      </c>
      <c r="C532" t="s">
        <v>1819</v>
      </c>
      <c r="D532" t="s">
        <v>1820</v>
      </c>
      <c r="E532" t="s">
        <v>1701</v>
      </c>
      <c r="F532" t="s">
        <v>1817</v>
      </c>
      <c r="G532" t="str">
        <f>_xlfn.XLOOKUP(frasest[[#This Row],[author_es]],autorest[author_es],autorest[author_la])</f>
        <v>Fridericus Froebel</v>
      </c>
      <c r="H532"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Row],[author_es]],autorest[author_es],autorest[iso3691])</f>
        <v>de</v>
      </c>
      <c r="K532" t="str">
        <f>_xlfn.XLOOKUP(frasest[[#This Row],[author_es]],autorest[author_es],autorest[language_es])</f>
        <v>Alemán</v>
      </c>
      <c r="L532" t="str">
        <f>_xlfn.XLOOKUP(frasest[[#This Row],[author_es]],autorest[author_es],autorest[language_la])</f>
        <v>Lingua Germanica</v>
      </c>
      <c r="M532" t="str">
        <f>_xlfn.XLOOKUP(frasest[[#This Row],[author_es]],autorest[author_es],autorest[nation_es])</f>
        <v>Alemania</v>
      </c>
      <c r="N532" t="str">
        <f>_xlfn.XLOOKUP(frasest[[#This Row],[author_es]],autorest[author_es],autorest[nation_la])</f>
        <v>Germania</v>
      </c>
      <c r="O532" t="str">
        <f>_xlfn.XLOOKUP(frasest[[#This Row],[author_es]],autorest[author_es],autorest[age_es])</f>
        <v>Edad Moderna</v>
      </c>
      <c r="P532" t="str">
        <f>_xlfn.XLOOKUP(frasest[[#This Row],[author_es]],autorest[author_es],autorest[age_la])</f>
        <v>Nova Aetas</v>
      </c>
      <c r="Q532" t="str">
        <f>_xlfn.XLOOKUP(frasest[[#This Row],[author_es]],autorest[author_es],autorest[image])</f>
        <v>https://i.ibb.co/0jwMS3vT/froebel.png</v>
      </c>
      <c r="R532">
        <f>_xlfn.XLOOKUP(frasest[[#This Row],[author_es]],autorest[author_es],autorest[image_atr])</f>
        <v>0</v>
      </c>
    </row>
    <row r="533" spans="1:18">
      <c r="A533">
        <v>532</v>
      </c>
      <c r="B533" t="s">
        <v>1709</v>
      </c>
      <c r="C533" t="s">
        <v>1821</v>
      </c>
      <c r="D533" t="s">
        <v>1711</v>
      </c>
      <c r="E533" t="s">
        <v>1701</v>
      </c>
      <c r="F533" t="s">
        <v>1817</v>
      </c>
      <c r="G533" t="str">
        <f>_xlfn.XLOOKUP(frasest[[#This Row],[author_es]],autorest[author_es],autorest[author_la])</f>
        <v>Fridericus Froebel</v>
      </c>
      <c r="H533"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Row],[author_es]],autorest[author_es],autorest[iso3691])</f>
        <v>de</v>
      </c>
      <c r="K533" t="str">
        <f>_xlfn.XLOOKUP(frasest[[#This Row],[author_es]],autorest[author_es],autorest[language_es])</f>
        <v>Alemán</v>
      </c>
      <c r="L533" t="str">
        <f>_xlfn.XLOOKUP(frasest[[#This Row],[author_es]],autorest[author_es],autorest[language_la])</f>
        <v>Lingua Germanica</v>
      </c>
      <c r="M533" t="str">
        <f>_xlfn.XLOOKUP(frasest[[#This Row],[author_es]],autorest[author_es],autorest[nation_es])</f>
        <v>Alemania</v>
      </c>
      <c r="N533" t="str">
        <f>_xlfn.XLOOKUP(frasest[[#This Row],[author_es]],autorest[author_es],autorest[nation_la])</f>
        <v>Germania</v>
      </c>
      <c r="O533" t="str">
        <f>_xlfn.XLOOKUP(frasest[[#This Row],[author_es]],autorest[author_es],autorest[age_es])</f>
        <v>Edad Moderna</v>
      </c>
      <c r="P533" t="str">
        <f>_xlfn.XLOOKUP(frasest[[#This Row],[author_es]],autorest[author_es],autorest[age_la])</f>
        <v>Nova Aetas</v>
      </c>
      <c r="Q533" t="str">
        <f>_xlfn.XLOOKUP(frasest[[#This Row],[author_es]],autorest[author_es],autorest[image])</f>
        <v>https://i.ibb.co/0jwMS3vT/froebel.png</v>
      </c>
      <c r="R533">
        <f>_xlfn.XLOOKUP(frasest[[#This Row],[author_es]],autorest[author_es],autorest[image_atr])</f>
        <v>0</v>
      </c>
    </row>
    <row r="534" spans="1:18">
      <c r="A534">
        <v>533</v>
      </c>
      <c r="B534" t="s">
        <v>1712</v>
      </c>
      <c r="C534" t="s">
        <v>1713</v>
      </c>
      <c r="D534" t="s">
        <v>1714</v>
      </c>
      <c r="E534" t="s">
        <v>1701</v>
      </c>
      <c r="F534" t="s">
        <v>1817</v>
      </c>
      <c r="G534" t="str">
        <f>_xlfn.XLOOKUP(frasest[[#This Row],[author_es]],autorest[author_es],autorest[author_la])</f>
        <v>Fridericus Froebel</v>
      </c>
      <c r="H53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Row],[author_es]],autorest[author_es],autorest[iso3691])</f>
        <v>de</v>
      </c>
      <c r="K534" t="str">
        <f>_xlfn.XLOOKUP(frasest[[#This Row],[author_es]],autorest[author_es],autorest[language_es])</f>
        <v>Alemán</v>
      </c>
      <c r="L534" t="str">
        <f>_xlfn.XLOOKUP(frasest[[#This Row],[author_es]],autorest[author_es],autorest[language_la])</f>
        <v>Lingua Germanica</v>
      </c>
      <c r="M534" t="str">
        <f>_xlfn.XLOOKUP(frasest[[#This Row],[author_es]],autorest[author_es],autorest[nation_es])</f>
        <v>Alemania</v>
      </c>
      <c r="N534" t="str">
        <f>_xlfn.XLOOKUP(frasest[[#This Row],[author_es]],autorest[author_es],autorest[nation_la])</f>
        <v>Germania</v>
      </c>
      <c r="O534" t="str">
        <f>_xlfn.XLOOKUP(frasest[[#This Row],[author_es]],autorest[author_es],autorest[age_es])</f>
        <v>Edad Moderna</v>
      </c>
      <c r="P534" t="str">
        <f>_xlfn.XLOOKUP(frasest[[#This Row],[author_es]],autorest[author_es],autorest[age_la])</f>
        <v>Nova Aetas</v>
      </c>
      <c r="Q534" t="str">
        <f>_xlfn.XLOOKUP(frasest[[#This Row],[author_es]],autorest[author_es],autorest[image])</f>
        <v>https://i.ibb.co/0jwMS3vT/froebel.png</v>
      </c>
      <c r="R534">
        <f>_xlfn.XLOOKUP(frasest[[#This Row],[author_es]],autorest[author_es],autorest[image_atr])</f>
        <v>0</v>
      </c>
    </row>
    <row r="535" spans="1:18">
      <c r="A535">
        <v>534</v>
      </c>
      <c r="B535" t="s">
        <v>1715</v>
      </c>
      <c r="C535" t="s">
        <v>1716</v>
      </c>
      <c r="D535" t="s">
        <v>1717</v>
      </c>
      <c r="E535" t="s">
        <v>1701</v>
      </c>
      <c r="F535" t="s">
        <v>1817</v>
      </c>
      <c r="G535" t="str">
        <f>_xlfn.XLOOKUP(frasest[[#This Row],[author_es]],autorest[author_es],autorest[author_la])</f>
        <v>Fridericus Froebel</v>
      </c>
      <c r="H53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Row],[author_es]],autorest[author_es],autorest[iso3691])</f>
        <v>de</v>
      </c>
      <c r="K535" t="str">
        <f>_xlfn.XLOOKUP(frasest[[#This Row],[author_es]],autorest[author_es],autorest[language_es])</f>
        <v>Alemán</v>
      </c>
      <c r="L535" t="str">
        <f>_xlfn.XLOOKUP(frasest[[#This Row],[author_es]],autorest[author_es],autorest[language_la])</f>
        <v>Lingua Germanica</v>
      </c>
      <c r="M535" t="str">
        <f>_xlfn.XLOOKUP(frasest[[#This Row],[author_es]],autorest[author_es],autorest[nation_es])</f>
        <v>Alemania</v>
      </c>
      <c r="N535" t="str">
        <f>_xlfn.XLOOKUP(frasest[[#This Row],[author_es]],autorest[author_es],autorest[nation_la])</f>
        <v>Germania</v>
      </c>
      <c r="O535" t="str">
        <f>_xlfn.XLOOKUP(frasest[[#This Row],[author_es]],autorest[author_es],autorest[age_es])</f>
        <v>Edad Moderna</v>
      </c>
      <c r="P535" t="str">
        <f>_xlfn.XLOOKUP(frasest[[#This Row],[author_es]],autorest[author_es],autorest[age_la])</f>
        <v>Nova Aetas</v>
      </c>
      <c r="Q535" t="str">
        <f>_xlfn.XLOOKUP(frasest[[#This Row],[author_es]],autorest[author_es],autorest[image])</f>
        <v>https://i.ibb.co/0jwMS3vT/froebel.png</v>
      </c>
      <c r="R535">
        <f>_xlfn.XLOOKUP(frasest[[#This Row],[author_es]],autorest[author_es],autorest[image_atr])</f>
        <v>0</v>
      </c>
    </row>
    <row r="536" spans="1:18">
      <c r="A536">
        <v>535</v>
      </c>
      <c r="B536" t="s">
        <v>1822</v>
      </c>
      <c r="C536" t="s">
        <v>1823</v>
      </c>
      <c r="D536" t="s">
        <v>1824</v>
      </c>
      <c r="E536" t="s">
        <v>1825</v>
      </c>
      <c r="F536" t="s">
        <v>1826</v>
      </c>
      <c r="G536" t="str">
        <f>_xlfn.XLOOKUP(frasest[[#This Row],[author_es]],autorest[author_es],autorest[author_la])</f>
        <v>Rudolphus Steiner</v>
      </c>
      <c r="H536"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Row],[author_es]],autorest[author_es],autorest[iso3691])</f>
        <v>de</v>
      </c>
      <c r="K536" t="str">
        <f>_xlfn.XLOOKUP(frasest[[#This Row],[author_es]],autorest[author_es],autorest[language_es])</f>
        <v>Alemán</v>
      </c>
      <c r="L536" t="str">
        <f>_xlfn.XLOOKUP(frasest[[#This Row],[author_es]],autorest[author_es],autorest[language_la])</f>
        <v>Lingua Germanica</v>
      </c>
      <c r="M536" t="str">
        <f>_xlfn.XLOOKUP(frasest[[#This Row],[author_es]],autorest[author_es],autorest[nation_es])</f>
        <v>Austria</v>
      </c>
      <c r="N536" t="str">
        <f>_xlfn.XLOOKUP(frasest[[#This Row],[author_es]],autorest[author_es],autorest[nation_la])</f>
        <v>Austria</v>
      </c>
      <c r="O536" t="str">
        <f>_xlfn.XLOOKUP(frasest[[#This Row],[author_es]],autorest[author_es],autorest[age_es])</f>
        <v>Edad Contemporánea</v>
      </c>
      <c r="P536" t="str">
        <f>_xlfn.XLOOKUP(frasest[[#This Row],[author_es]],autorest[author_es],autorest[age_la])</f>
        <v>Aetas Contemporanea</v>
      </c>
      <c r="Q536" t="str">
        <f>_xlfn.XLOOKUP(frasest[[#This Row],[author_es]],autorest[author_es],autorest[image])</f>
        <v>https://i.ibb.co/S7Bw3Wgz/steiner.png</v>
      </c>
      <c r="R536">
        <f>_xlfn.XLOOKUP(frasest[[#This Row],[author_es]],autorest[author_es],autorest[image_atr])</f>
        <v>0</v>
      </c>
    </row>
    <row r="537" spans="1:18">
      <c r="A537">
        <v>536</v>
      </c>
      <c r="B537" t="s">
        <v>1827</v>
      </c>
      <c r="C537" t="s">
        <v>1828</v>
      </c>
      <c r="D537" t="s">
        <v>1829</v>
      </c>
      <c r="E537" t="s">
        <v>1825</v>
      </c>
      <c r="F537" t="s">
        <v>1826</v>
      </c>
      <c r="G537" t="str">
        <f>_xlfn.XLOOKUP(frasest[[#This Row],[author_es]],autorest[author_es],autorest[author_la])</f>
        <v>Rudolphus Steiner</v>
      </c>
      <c r="H537"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Row],[author_es]],autorest[author_es],autorest[iso3691])</f>
        <v>de</v>
      </c>
      <c r="K537" t="str">
        <f>_xlfn.XLOOKUP(frasest[[#This Row],[author_es]],autorest[author_es],autorest[language_es])</f>
        <v>Alemán</v>
      </c>
      <c r="L537" t="str">
        <f>_xlfn.XLOOKUP(frasest[[#This Row],[author_es]],autorest[author_es],autorest[language_la])</f>
        <v>Lingua Germanica</v>
      </c>
      <c r="M537" t="str">
        <f>_xlfn.XLOOKUP(frasest[[#This Row],[author_es]],autorest[author_es],autorest[nation_es])</f>
        <v>Austria</v>
      </c>
      <c r="N537" t="str">
        <f>_xlfn.XLOOKUP(frasest[[#This Row],[author_es]],autorest[author_es],autorest[nation_la])</f>
        <v>Austria</v>
      </c>
      <c r="O537" t="str">
        <f>_xlfn.XLOOKUP(frasest[[#This Row],[author_es]],autorest[author_es],autorest[age_es])</f>
        <v>Edad Contemporánea</v>
      </c>
      <c r="P537" t="str">
        <f>_xlfn.XLOOKUP(frasest[[#This Row],[author_es]],autorest[author_es],autorest[age_la])</f>
        <v>Aetas Contemporanea</v>
      </c>
      <c r="Q537" t="str">
        <f>_xlfn.XLOOKUP(frasest[[#This Row],[author_es]],autorest[author_es],autorest[image])</f>
        <v>https://i.ibb.co/S7Bw3Wgz/steiner.png</v>
      </c>
      <c r="R537">
        <f>_xlfn.XLOOKUP(frasest[[#This Row],[author_es]],autorest[author_es],autorest[image_atr])</f>
        <v>0</v>
      </c>
    </row>
    <row r="538" spans="1:18">
      <c r="A538">
        <v>537</v>
      </c>
      <c r="B538" t="s">
        <v>1830</v>
      </c>
      <c r="C538" t="s">
        <v>1831</v>
      </c>
      <c r="D538" t="s">
        <v>1832</v>
      </c>
      <c r="E538" t="s">
        <v>1825</v>
      </c>
      <c r="F538" t="s">
        <v>1826</v>
      </c>
      <c r="G538" t="str">
        <f>_xlfn.XLOOKUP(frasest[[#This Row],[author_es]],autorest[author_es],autorest[author_la])</f>
        <v>Rudolphus Steiner</v>
      </c>
      <c r="H538"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Row],[author_es]],autorest[author_es],autorest[iso3691])</f>
        <v>de</v>
      </c>
      <c r="K538" t="str">
        <f>_xlfn.XLOOKUP(frasest[[#This Row],[author_es]],autorest[author_es],autorest[language_es])</f>
        <v>Alemán</v>
      </c>
      <c r="L538" t="str">
        <f>_xlfn.XLOOKUP(frasest[[#This Row],[author_es]],autorest[author_es],autorest[language_la])</f>
        <v>Lingua Germanica</v>
      </c>
      <c r="M538" t="str">
        <f>_xlfn.XLOOKUP(frasest[[#This Row],[author_es]],autorest[author_es],autorest[nation_es])</f>
        <v>Austria</v>
      </c>
      <c r="N538" t="str">
        <f>_xlfn.XLOOKUP(frasest[[#This Row],[author_es]],autorest[author_es],autorest[nation_la])</f>
        <v>Austria</v>
      </c>
      <c r="O538" t="str">
        <f>_xlfn.XLOOKUP(frasest[[#This Row],[author_es]],autorest[author_es],autorest[age_es])</f>
        <v>Edad Contemporánea</v>
      </c>
      <c r="P538" t="str">
        <f>_xlfn.XLOOKUP(frasest[[#This Row],[author_es]],autorest[author_es],autorest[age_la])</f>
        <v>Aetas Contemporanea</v>
      </c>
      <c r="Q538" t="str">
        <f>_xlfn.XLOOKUP(frasest[[#This Row],[author_es]],autorest[author_es],autorest[image])</f>
        <v>https://i.ibb.co/S7Bw3Wgz/steiner.png</v>
      </c>
      <c r="R538">
        <f>_xlfn.XLOOKUP(frasest[[#This Row],[author_es]],autorest[author_es],autorest[image_atr])</f>
        <v>0</v>
      </c>
    </row>
    <row r="539" spans="1:18">
      <c r="A539">
        <v>538</v>
      </c>
      <c r="B539" t="s">
        <v>1833</v>
      </c>
      <c r="C539" t="s">
        <v>1834</v>
      </c>
      <c r="D539" t="s">
        <v>1835</v>
      </c>
      <c r="E539" t="s">
        <v>1825</v>
      </c>
      <c r="F539" t="s">
        <v>1826</v>
      </c>
      <c r="G539" t="str">
        <f>_xlfn.XLOOKUP(frasest[[#This Row],[author_es]],autorest[author_es],autorest[author_la])</f>
        <v>Rudolphus Steiner</v>
      </c>
      <c r="H539"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Row],[author_es]],autorest[author_es],autorest[iso3691])</f>
        <v>de</v>
      </c>
      <c r="K539" t="str">
        <f>_xlfn.XLOOKUP(frasest[[#This Row],[author_es]],autorest[author_es],autorest[language_es])</f>
        <v>Alemán</v>
      </c>
      <c r="L539" t="str">
        <f>_xlfn.XLOOKUP(frasest[[#This Row],[author_es]],autorest[author_es],autorest[language_la])</f>
        <v>Lingua Germanica</v>
      </c>
      <c r="M539" t="str">
        <f>_xlfn.XLOOKUP(frasest[[#This Row],[author_es]],autorest[author_es],autorest[nation_es])</f>
        <v>Austria</v>
      </c>
      <c r="N539" t="str">
        <f>_xlfn.XLOOKUP(frasest[[#This Row],[author_es]],autorest[author_es],autorest[nation_la])</f>
        <v>Austria</v>
      </c>
      <c r="O539" t="str">
        <f>_xlfn.XLOOKUP(frasest[[#This Row],[author_es]],autorest[author_es],autorest[age_es])</f>
        <v>Edad Contemporánea</v>
      </c>
      <c r="P539" t="str">
        <f>_xlfn.XLOOKUP(frasest[[#This Row],[author_es]],autorest[author_es],autorest[age_la])</f>
        <v>Aetas Contemporanea</v>
      </c>
      <c r="Q539" t="str">
        <f>_xlfn.XLOOKUP(frasest[[#This Row],[author_es]],autorest[author_es],autorest[image])</f>
        <v>https://i.ibb.co/S7Bw3Wgz/steiner.png</v>
      </c>
      <c r="R539">
        <f>_xlfn.XLOOKUP(frasest[[#This Row],[author_es]],autorest[author_es],autorest[image_atr])</f>
        <v>0</v>
      </c>
    </row>
    <row r="540" spans="1:18">
      <c r="A540">
        <v>539</v>
      </c>
      <c r="B540" t="s">
        <v>1836</v>
      </c>
      <c r="C540" t="s">
        <v>1837</v>
      </c>
      <c r="D540" t="s">
        <v>1838</v>
      </c>
      <c r="E540" t="s">
        <v>1825</v>
      </c>
      <c r="F540" t="s">
        <v>1826</v>
      </c>
      <c r="G540" t="str">
        <f>_xlfn.XLOOKUP(frasest[[#This Row],[author_es]],autorest[author_es],autorest[author_la])</f>
        <v>Rudolphus Steiner</v>
      </c>
      <c r="H540"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Row],[author_es]],autorest[author_es],autorest[iso3691])</f>
        <v>de</v>
      </c>
      <c r="K540" t="str">
        <f>_xlfn.XLOOKUP(frasest[[#This Row],[author_es]],autorest[author_es],autorest[language_es])</f>
        <v>Alemán</v>
      </c>
      <c r="L540" t="str">
        <f>_xlfn.XLOOKUP(frasest[[#This Row],[author_es]],autorest[author_es],autorest[language_la])</f>
        <v>Lingua Germanica</v>
      </c>
      <c r="M540" t="str">
        <f>_xlfn.XLOOKUP(frasest[[#This Row],[author_es]],autorest[author_es],autorest[nation_es])</f>
        <v>Austria</v>
      </c>
      <c r="N540" t="str">
        <f>_xlfn.XLOOKUP(frasest[[#This Row],[author_es]],autorest[author_es],autorest[nation_la])</f>
        <v>Austria</v>
      </c>
      <c r="O540" t="str">
        <f>_xlfn.XLOOKUP(frasest[[#This Row],[author_es]],autorest[author_es],autorest[age_es])</f>
        <v>Edad Contemporánea</v>
      </c>
      <c r="P540" t="str">
        <f>_xlfn.XLOOKUP(frasest[[#This Row],[author_es]],autorest[author_es],autorest[age_la])</f>
        <v>Aetas Contemporanea</v>
      </c>
      <c r="Q540" t="str">
        <f>_xlfn.XLOOKUP(frasest[[#This Row],[author_es]],autorest[author_es],autorest[image])</f>
        <v>https://i.ibb.co/S7Bw3Wgz/steiner.png</v>
      </c>
      <c r="R540">
        <f>_xlfn.XLOOKUP(frasest[[#This Row],[author_es]],autorest[author_es],autorest[image_atr])</f>
        <v>0</v>
      </c>
    </row>
    <row r="541" spans="1:18">
      <c r="A541">
        <v>540</v>
      </c>
      <c r="B541" t="s">
        <v>1839</v>
      </c>
      <c r="C541" t="s">
        <v>1840</v>
      </c>
      <c r="D541" t="s">
        <v>1841</v>
      </c>
      <c r="E541" t="s">
        <v>1825</v>
      </c>
      <c r="F541" t="s">
        <v>1826</v>
      </c>
      <c r="G541" t="str">
        <f>_xlfn.XLOOKUP(frasest[[#This Row],[author_es]],autorest[author_es],autorest[author_la])</f>
        <v>Rudolphus Steiner</v>
      </c>
      <c r="H541"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Row],[author_es]],autorest[author_es],autorest[iso3691])</f>
        <v>de</v>
      </c>
      <c r="K541" t="str">
        <f>_xlfn.XLOOKUP(frasest[[#This Row],[author_es]],autorest[author_es],autorest[language_es])</f>
        <v>Alemán</v>
      </c>
      <c r="L541" t="str">
        <f>_xlfn.XLOOKUP(frasest[[#This Row],[author_es]],autorest[author_es],autorest[language_la])</f>
        <v>Lingua Germanica</v>
      </c>
      <c r="M541" t="str">
        <f>_xlfn.XLOOKUP(frasest[[#This Row],[author_es]],autorest[author_es],autorest[nation_es])</f>
        <v>Austria</v>
      </c>
      <c r="N541" t="str">
        <f>_xlfn.XLOOKUP(frasest[[#This Row],[author_es]],autorest[author_es],autorest[nation_la])</f>
        <v>Austria</v>
      </c>
      <c r="O541" t="str">
        <f>_xlfn.XLOOKUP(frasest[[#This Row],[author_es]],autorest[author_es],autorest[age_es])</f>
        <v>Edad Contemporánea</v>
      </c>
      <c r="P541" t="str">
        <f>_xlfn.XLOOKUP(frasest[[#This Row],[author_es]],autorest[author_es],autorest[age_la])</f>
        <v>Aetas Contemporanea</v>
      </c>
      <c r="Q541" t="str">
        <f>_xlfn.XLOOKUP(frasest[[#This Row],[author_es]],autorest[author_es],autorest[image])</f>
        <v>https://i.ibb.co/S7Bw3Wgz/steiner.png</v>
      </c>
      <c r="R541">
        <f>_xlfn.XLOOKUP(frasest[[#This Row],[author_es]],autorest[author_es],autorest[image_atr])</f>
        <v>0</v>
      </c>
    </row>
    <row r="542" spans="1:18">
      <c r="A542">
        <v>541</v>
      </c>
      <c r="B542" t="s">
        <v>1842</v>
      </c>
      <c r="C542" t="s">
        <v>1843</v>
      </c>
      <c r="D542" t="s">
        <v>1844</v>
      </c>
      <c r="E542" t="s">
        <v>1825</v>
      </c>
      <c r="F542" t="s">
        <v>1826</v>
      </c>
      <c r="G542" t="str">
        <f>_xlfn.XLOOKUP(frasest[[#This Row],[author_es]],autorest[author_es],autorest[author_la])</f>
        <v>Rudolphus Steiner</v>
      </c>
      <c r="H542"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Row],[author_es]],autorest[author_es],autorest[iso3691])</f>
        <v>de</v>
      </c>
      <c r="K542" t="str">
        <f>_xlfn.XLOOKUP(frasest[[#This Row],[author_es]],autorest[author_es],autorest[language_es])</f>
        <v>Alemán</v>
      </c>
      <c r="L542" t="str">
        <f>_xlfn.XLOOKUP(frasest[[#This Row],[author_es]],autorest[author_es],autorest[language_la])</f>
        <v>Lingua Germanica</v>
      </c>
      <c r="M542" t="str">
        <f>_xlfn.XLOOKUP(frasest[[#This Row],[author_es]],autorest[author_es],autorest[nation_es])</f>
        <v>Austria</v>
      </c>
      <c r="N542" t="str">
        <f>_xlfn.XLOOKUP(frasest[[#This Row],[author_es]],autorest[author_es],autorest[nation_la])</f>
        <v>Austria</v>
      </c>
      <c r="O542" t="str">
        <f>_xlfn.XLOOKUP(frasest[[#This Row],[author_es]],autorest[author_es],autorest[age_es])</f>
        <v>Edad Contemporánea</v>
      </c>
      <c r="P542" t="str">
        <f>_xlfn.XLOOKUP(frasest[[#This Row],[author_es]],autorest[author_es],autorest[age_la])</f>
        <v>Aetas Contemporanea</v>
      </c>
      <c r="Q542" t="str">
        <f>_xlfn.XLOOKUP(frasest[[#This Row],[author_es]],autorest[author_es],autorest[image])</f>
        <v>https://i.ibb.co/S7Bw3Wgz/steiner.png</v>
      </c>
      <c r="R542">
        <f>_xlfn.XLOOKUP(frasest[[#This Row],[author_es]],autorest[author_es],autorest[image_atr])</f>
        <v>0</v>
      </c>
    </row>
    <row r="543" spans="1:18">
      <c r="A543">
        <v>542</v>
      </c>
      <c r="B543" t="s">
        <v>1845</v>
      </c>
      <c r="C543" t="s">
        <v>1846</v>
      </c>
      <c r="D543" t="s">
        <v>1847</v>
      </c>
      <c r="E543" t="s">
        <v>1825</v>
      </c>
      <c r="F543" t="s">
        <v>1826</v>
      </c>
      <c r="G543" t="str">
        <f>_xlfn.XLOOKUP(frasest[[#This Row],[author_es]],autorest[author_es],autorest[author_la])</f>
        <v>Rudolphus Steiner</v>
      </c>
      <c r="H543"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Row],[author_es]],autorest[author_es],autorest[iso3691])</f>
        <v>de</v>
      </c>
      <c r="K543" t="str">
        <f>_xlfn.XLOOKUP(frasest[[#This Row],[author_es]],autorest[author_es],autorest[language_es])</f>
        <v>Alemán</v>
      </c>
      <c r="L543" t="str">
        <f>_xlfn.XLOOKUP(frasest[[#This Row],[author_es]],autorest[author_es],autorest[language_la])</f>
        <v>Lingua Germanica</v>
      </c>
      <c r="M543" t="str">
        <f>_xlfn.XLOOKUP(frasest[[#This Row],[author_es]],autorest[author_es],autorest[nation_es])</f>
        <v>Austria</v>
      </c>
      <c r="N543" t="str">
        <f>_xlfn.XLOOKUP(frasest[[#This Row],[author_es]],autorest[author_es],autorest[nation_la])</f>
        <v>Austria</v>
      </c>
      <c r="O543" t="str">
        <f>_xlfn.XLOOKUP(frasest[[#This Row],[author_es]],autorest[author_es],autorest[age_es])</f>
        <v>Edad Contemporánea</v>
      </c>
      <c r="P543" t="str">
        <f>_xlfn.XLOOKUP(frasest[[#This Row],[author_es]],autorest[author_es],autorest[age_la])</f>
        <v>Aetas Contemporanea</v>
      </c>
      <c r="Q543" t="str">
        <f>_xlfn.XLOOKUP(frasest[[#This Row],[author_es]],autorest[author_es],autorest[image])</f>
        <v>https://i.ibb.co/S7Bw3Wgz/steiner.png</v>
      </c>
      <c r="R543">
        <f>_xlfn.XLOOKUP(frasest[[#This Row],[author_es]],autorest[author_es],autorest[image_atr])</f>
        <v>0</v>
      </c>
    </row>
    <row r="544" spans="1:18">
      <c r="A544">
        <v>543</v>
      </c>
      <c r="B544" t="s">
        <v>1848</v>
      </c>
      <c r="C544" t="s">
        <v>1849</v>
      </c>
      <c r="D544" t="s">
        <v>1848</v>
      </c>
      <c r="E544" t="s">
        <v>1850</v>
      </c>
      <c r="F544" t="s">
        <v>1851</v>
      </c>
      <c r="G544" t="str">
        <f>_xlfn.XLOOKUP(frasest[[#This Row],[author_es]],autorest[author_es],autorest[author_la])</f>
        <v>Gabriela Mistral</v>
      </c>
      <c r="H544"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Row],[author_es]],autorest[author_es],autorest[iso3691])</f>
        <v>es</v>
      </c>
      <c r="K544" t="str">
        <f>_xlfn.XLOOKUP(frasest[[#This Row],[author_es]],autorest[author_es],autorest[language_es])</f>
        <v>Español</v>
      </c>
      <c r="L544" t="str">
        <f>_xlfn.XLOOKUP(frasest[[#This Row],[author_es]],autorest[author_es],autorest[language_la])</f>
        <v>Lingua Hispanica</v>
      </c>
      <c r="M544" t="str">
        <f>_xlfn.XLOOKUP(frasest[[#This Row],[author_es]],autorest[author_es],autorest[nation_es])</f>
        <v>Chile</v>
      </c>
      <c r="N544" t="str">
        <f>_xlfn.XLOOKUP(frasest[[#This Row],[author_es]],autorest[author_es],autorest[nation_la])</f>
        <v>Chili</v>
      </c>
      <c r="O544" t="str">
        <f>_xlfn.XLOOKUP(frasest[[#This Row],[author_es]],autorest[author_es],autorest[age_es])</f>
        <v>Edad Contemporánea</v>
      </c>
      <c r="P544" t="str">
        <f>_xlfn.XLOOKUP(frasest[[#This Row],[author_es]],autorest[author_es],autorest[age_la])</f>
        <v>Aetas Contemporanea</v>
      </c>
      <c r="Q544" t="str">
        <f>_xlfn.XLOOKUP(frasest[[#This Row],[author_es]],autorest[author_es],autorest[image])</f>
        <v>https://i.ibb.co/XTz1rHj/gabrielamistral.png</v>
      </c>
      <c r="R544">
        <f>_xlfn.XLOOKUP(frasest[[#This Row],[author_es]],autorest[author_es],autorest[image_atr])</f>
        <v>0</v>
      </c>
    </row>
    <row r="545" spans="1:18">
      <c r="A545">
        <v>544</v>
      </c>
      <c r="B545" t="s">
        <v>1852</v>
      </c>
      <c r="C545" t="s">
        <v>1853</v>
      </c>
      <c r="D545" t="s">
        <v>1852</v>
      </c>
      <c r="E545" t="s">
        <v>1850</v>
      </c>
      <c r="F545" t="s">
        <v>1854</v>
      </c>
      <c r="G545" t="str">
        <f>_xlfn.XLOOKUP(frasest[[#This Row],[author_es]],autorest[author_es],autorest[author_la])</f>
        <v>Gabriela Mistral</v>
      </c>
      <c r="H545"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Row],[author_es]],autorest[author_es],autorest[iso3691])</f>
        <v>es</v>
      </c>
      <c r="K545" t="str">
        <f>_xlfn.XLOOKUP(frasest[[#This Row],[author_es]],autorest[author_es],autorest[language_es])</f>
        <v>Español</v>
      </c>
      <c r="L545" t="str">
        <f>_xlfn.XLOOKUP(frasest[[#This Row],[author_es]],autorest[author_es],autorest[language_la])</f>
        <v>Lingua Hispanica</v>
      </c>
      <c r="M545" t="str">
        <f>_xlfn.XLOOKUP(frasest[[#This Row],[author_es]],autorest[author_es],autorest[nation_es])</f>
        <v>Chile</v>
      </c>
      <c r="N545" t="str">
        <f>_xlfn.XLOOKUP(frasest[[#This Row],[author_es]],autorest[author_es],autorest[nation_la])</f>
        <v>Chili</v>
      </c>
      <c r="O545" t="str">
        <f>_xlfn.XLOOKUP(frasest[[#This Row],[author_es]],autorest[author_es],autorest[age_es])</f>
        <v>Edad Contemporánea</v>
      </c>
      <c r="P545" t="str">
        <f>_xlfn.XLOOKUP(frasest[[#This Row],[author_es]],autorest[author_es],autorest[age_la])</f>
        <v>Aetas Contemporanea</v>
      </c>
      <c r="Q545" t="str">
        <f>_xlfn.XLOOKUP(frasest[[#This Row],[author_es]],autorest[author_es],autorest[image])</f>
        <v>https://i.ibb.co/XTz1rHj/gabrielamistral.png</v>
      </c>
      <c r="R545">
        <f>_xlfn.XLOOKUP(frasest[[#This Row],[author_es]],autorest[author_es],autorest[image_atr])</f>
        <v>0</v>
      </c>
    </row>
    <row r="546" spans="1:18">
      <c r="A546">
        <v>545</v>
      </c>
      <c r="B546" t="s">
        <v>1855</v>
      </c>
      <c r="C546" t="s">
        <v>1856</v>
      </c>
      <c r="D546" t="s">
        <v>1855</v>
      </c>
      <c r="E546" t="s">
        <v>1850</v>
      </c>
      <c r="F546" t="s">
        <v>1857</v>
      </c>
      <c r="G546" t="str">
        <f>_xlfn.XLOOKUP(frasest[[#This Row],[author_es]],autorest[author_es],autorest[author_la])</f>
        <v>Gabriela Mistral</v>
      </c>
      <c r="H546"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Row],[author_es]],autorest[author_es],autorest[iso3691])</f>
        <v>es</v>
      </c>
      <c r="K546" t="str">
        <f>_xlfn.XLOOKUP(frasest[[#This Row],[author_es]],autorest[author_es],autorest[language_es])</f>
        <v>Español</v>
      </c>
      <c r="L546" t="str">
        <f>_xlfn.XLOOKUP(frasest[[#This Row],[author_es]],autorest[author_es],autorest[language_la])</f>
        <v>Lingua Hispanica</v>
      </c>
      <c r="M546" t="str">
        <f>_xlfn.XLOOKUP(frasest[[#This Row],[author_es]],autorest[author_es],autorest[nation_es])</f>
        <v>Chile</v>
      </c>
      <c r="N546" t="str">
        <f>_xlfn.XLOOKUP(frasest[[#This Row],[author_es]],autorest[author_es],autorest[nation_la])</f>
        <v>Chili</v>
      </c>
      <c r="O546" t="str">
        <f>_xlfn.XLOOKUP(frasest[[#This Row],[author_es]],autorest[author_es],autorest[age_es])</f>
        <v>Edad Contemporánea</v>
      </c>
      <c r="P546" t="str">
        <f>_xlfn.XLOOKUP(frasest[[#This Row],[author_es]],autorest[author_es],autorest[age_la])</f>
        <v>Aetas Contemporanea</v>
      </c>
      <c r="Q546" t="str">
        <f>_xlfn.XLOOKUP(frasest[[#This Row],[author_es]],autorest[author_es],autorest[image])</f>
        <v>https://i.ibb.co/XTz1rHj/gabrielamistral.png</v>
      </c>
      <c r="R546">
        <f>_xlfn.XLOOKUP(frasest[[#This Row],[author_es]],autorest[author_es],autorest[image_atr])</f>
        <v>0</v>
      </c>
    </row>
    <row r="547" spans="1:18">
      <c r="A547">
        <v>546</v>
      </c>
      <c r="B547" t="s">
        <v>1858</v>
      </c>
      <c r="C547" t="s">
        <v>1859</v>
      </c>
      <c r="D547" t="s">
        <v>1858</v>
      </c>
      <c r="E547" t="s">
        <v>1850</v>
      </c>
      <c r="F547" t="s">
        <v>1860</v>
      </c>
      <c r="G547" t="str">
        <f>_xlfn.XLOOKUP(frasest[[#This Row],[author_es]],autorest[author_es],autorest[author_la])</f>
        <v>Gabriela Mistral</v>
      </c>
      <c r="H547"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Row],[author_es]],autorest[author_es],autorest[iso3691])</f>
        <v>es</v>
      </c>
      <c r="K547" t="str">
        <f>_xlfn.XLOOKUP(frasest[[#This Row],[author_es]],autorest[author_es],autorest[language_es])</f>
        <v>Español</v>
      </c>
      <c r="L547" t="str">
        <f>_xlfn.XLOOKUP(frasest[[#This Row],[author_es]],autorest[author_es],autorest[language_la])</f>
        <v>Lingua Hispanica</v>
      </c>
      <c r="M547" t="str">
        <f>_xlfn.XLOOKUP(frasest[[#This Row],[author_es]],autorest[author_es],autorest[nation_es])</f>
        <v>Chile</v>
      </c>
      <c r="N547" t="str">
        <f>_xlfn.XLOOKUP(frasest[[#This Row],[author_es]],autorest[author_es],autorest[nation_la])</f>
        <v>Chili</v>
      </c>
      <c r="O547" t="str">
        <f>_xlfn.XLOOKUP(frasest[[#This Row],[author_es]],autorest[author_es],autorest[age_es])</f>
        <v>Edad Contemporánea</v>
      </c>
      <c r="P547" t="str">
        <f>_xlfn.XLOOKUP(frasest[[#This Row],[author_es]],autorest[author_es],autorest[age_la])</f>
        <v>Aetas Contemporanea</v>
      </c>
      <c r="Q547" t="str">
        <f>_xlfn.XLOOKUP(frasest[[#This Row],[author_es]],autorest[author_es],autorest[image])</f>
        <v>https://i.ibb.co/XTz1rHj/gabrielamistral.png</v>
      </c>
      <c r="R547">
        <f>_xlfn.XLOOKUP(frasest[[#This Row],[author_es]],autorest[author_es],autorest[image_atr])</f>
        <v>0</v>
      </c>
    </row>
    <row r="548" spans="1:18">
      <c r="A548">
        <v>547</v>
      </c>
      <c r="B548" t="s">
        <v>1861</v>
      </c>
      <c r="C548" t="s">
        <v>1862</v>
      </c>
      <c r="D548" t="s">
        <v>1861</v>
      </c>
      <c r="E548" t="s">
        <v>1850</v>
      </c>
      <c r="F548" t="s">
        <v>1863</v>
      </c>
      <c r="G548" t="str">
        <f>_xlfn.XLOOKUP(frasest[[#This Row],[author_es]],autorest[author_es],autorest[author_la])</f>
        <v>Gabriela Mistral</v>
      </c>
      <c r="H548"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Row],[author_es]],autorest[author_es],autorest[iso3691])</f>
        <v>es</v>
      </c>
      <c r="K548" t="str">
        <f>_xlfn.XLOOKUP(frasest[[#This Row],[author_es]],autorest[author_es],autorest[language_es])</f>
        <v>Español</v>
      </c>
      <c r="L548" t="str">
        <f>_xlfn.XLOOKUP(frasest[[#This Row],[author_es]],autorest[author_es],autorest[language_la])</f>
        <v>Lingua Hispanica</v>
      </c>
      <c r="M548" t="str">
        <f>_xlfn.XLOOKUP(frasest[[#This Row],[author_es]],autorest[author_es],autorest[nation_es])</f>
        <v>Chile</v>
      </c>
      <c r="N548" t="str">
        <f>_xlfn.XLOOKUP(frasest[[#This Row],[author_es]],autorest[author_es],autorest[nation_la])</f>
        <v>Chili</v>
      </c>
      <c r="O548" t="str">
        <f>_xlfn.XLOOKUP(frasest[[#This Row],[author_es]],autorest[author_es],autorest[age_es])</f>
        <v>Edad Contemporánea</v>
      </c>
      <c r="P548" t="str">
        <f>_xlfn.XLOOKUP(frasest[[#This Row],[author_es]],autorest[author_es],autorest[age_la])</f>
        <v>Aetas Contemporanea</v>
      </c>
      <c r="Q548" t="str">
        <f>_xlfn.XLOOKUP(frasest[[#This Row],[author_es]],autorest[author_es],autorest[image])</f>
        <v>https://i.ibb.co/XTz1rHj/gabrielamistral.png</v>
      </c>
      <c r="R548">
        <f>_xlfn.XLOOKUP(frasest[[#This Row],[author_es]],autorest[author_es],autorest[image_atr])</f>
        <v>0</v>
      </c>
    </row>
    <row r="549" spans="1:18">
      <c r="A549">
        <v>548</v>
      </c>
      <c r="B549" t="s">
        <v>1864</v>
      </c>
      <c r="C549" t="s">
        <v>1865</v>
      </c>
      <c r="D549" t="s">
        <v>1864</v>
      </c>
      <c r="E549" t="s">
        <v>1850</v>
      </c>
      <c r="F549" t="s">
        <v>1866</v>
      </c>
      <c r="G549" t="str">
        <f>_xlfn.XLOOKUP(frasest[[#This Row],[author_es]],autorest[author_es],autorest[author_la])</f>
        <v>Gabriela Mistral</v>
      </c>
      <c r="H549"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Row],[author_es]],autorest[author_es],autorest[iso3691])</f>
        <v>es</v>
      </c>
      <c r="K549" t="str">
        <f>_xlfn.XLOOKUP(frasest[[#This Row],[author_es]],autorest[author_es],autorest[language_es])</f>
        <v>Español</v>
      </c>
      <c r="L549" t="str">
        <f>_xlfn.XLOOKUP(frasest[[#This Row],[author_es]],autorest[author_es],autorest[language_la])</f>
        <v>Lingua Hispanica</v>
      </c>
      <c r="M549" t="str">
        <f>_xlfn.XLOOKUP(frasest[[#This Row],[author_es]],autorest[author_es],autorest[nation_es])</f>
        <v>Chile</v>
      </c>
      <c r="N549" t="str">
        <f>_xlfn.XLOOKUP(frasest[[#This Row],[author_es]],autorest[author_es],autorest[nation_la])</f>
        <v>Chili</v>
      </c>
      <c r="O549" t="str">
        <f>_xlfn.XLOOKUP(frasest[[#This Row],[author_es]],autorest[author_es],autorest[age_es])</f>
        <v>Edad Contemporánea</v>
      </c>
      <c r="P549" t="str">
        <f>_xlfn.XLOOKUP(frasest[[#This Row],[author_es]],autorest[author_es],autorest[age_la])</f>
        <v>Aetas Contemporanea</v>
      </c>
      <c r="Q549" t="str">
        <f>_xlfn.XLOOKUP(frasest[[#This Row],[author_es]],autorest[author_es],autorest[image])</f>
        <v>https://i.ibb.co/XTz1rHj/gabrielamistral.png</v>
      </c>
      <c r="R549">
        <f>_xlfn.XLOOKUP(frasest[[#This Row],[author_es]],autorest[author_es],autorest[image_atr])</f>
        <v>0</v>
      </c>
    </row>
    <row r="550" spans="1:18">
      <c r="A550">
        <v>549</v>
      </c>
      <c r="B550" t="s">
        <v>1867</v>
      </c>
      <c r="C550" t="s">
        <v>1868</v>
      </c>
      <c r="D550" t="s">
        <v>1867</v>
      </c>
      <c r="E550" t="s">
        <v>1850</v>
      </c>
      <c r="F550" t="s">
        <v>1869</v>
      </c>
      <c r="G550" t="str">
        <f>_xlfn.XLOOKUP(frasest[[#This Row],[author_es]],autorest[author_es],autorest[author_la])</f>
        <v>Gabriela Mistral</v>
      </c>
      <c r="H550"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Row],[author_es]],autorest[author_es],autorest[iso3691])</f>
        <v>es</v>
      </c>
      <c r="K550" t="str">
        <f>_xlfn.XLOOKUP(frasest[[#This Row],[author_es]],autorest[author_es],autorest[language_es])</f>
        <v>Español</v>
      </c>
      <c r="L550" t="str">
        <f>_xlfn.XLOOKUP(frasest[[#This Row],[author_es]],autorest[author_es],autorest[language_la])</f>
        <v>Lingua Hispanica</v>
      </c>
      <c r="M550" t="str">
        <f>_xlfn.XLOOKUP(frasest[[#This Row],[author_es]],autorest[author_es],autorest[nation_es])</f>
        <v>Chile</v>
      </c>
      <c r="N550" t="str">
        <f>_xlfn.XLOOKUP(frasest[[#This Row],[author_es]],autorest[author_es],autorest[nation_la])</f>
        <v>Chili</v>
      </c>
      <c r="O550" t="str">
        <f>_xlfn.XLOOKUP(frasest[[#This Row],[author_es]],autorest[author_es],autorest[age_es])</f>
        <v>Edad Contemporánea</v>
      </c>
      <c r="P550" t="str">
        <f>_xlfn.XLOOKUP(frasest[[#This Row],[author_es]],autorest[author_es],autorest[age_la])</f>
        <v>Aetas Contemporanea</v>
      </c>
      <c r="Q550" t="str">
        <f>_xlfn.XLOOKUP(frasest[[#This Row],[author_es]],autorest[author_es],autorest[image])</f>
        <v>https://i.ibb.co/XTz1rHj/gabrielamistral.png</v>
      </c>
      <c r="R550">
        <f>_xlfn.XLOOKUP(frasest[[#This Row],[author_es]],autorest[author_es],autorest[image_atr])</f>
        <v>0</v>
      </c>
    </row>
    <row r="551" spans="1:18">
      <c r="A551">
        <v>550</v>
      </c>
      <c r="B551" t="s">
        <v>1870</v>
      </c>
      <c r="C551" t="s">
        <v>1871</v>
      </c>
      <c r="D551" t="s">
        <v>1870</v>
      </c>
      <c r="E551" t="s">
        <v>1850</v>
      </c>
      <c r="F551" t="s">
        <v>1872</v>
      </c>
      <c r="G551" t="str">
        <f>_xlfn.XLOOKUP(frasest[[#This Row],[author_es]],autorest[author_es],autorest[author_la])</f>
        <v>Gabriela Mistral</v>
      </c>
      <c r="H551"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Row],[author_es]],autorest[author_es],autorest[iso3691])</f>
        <v>es</v>
      </c>
      <c r="K551" t="str">
        <f>_xlfn.XLOOKUP(frasest[[#This Row],[author_es]],autorest[author_es],autorest[language_es])</f>
        <v>Español</v>
      </c>
      <c r="L551" t="str">
        <f>_xlfn.XLOOKUP(frasest[[#This Row],[author_es]],autorest[author_es],autorest[language_la])</f>
        <v>Lingua Hispanica</v>
      </c>
      <c r="M551" t="str">
        <f>_xlfn.XLOOKUP(frasest[[#This Row],[author_es]],autorest[author_es],autorest[nation_es])</f>
        <v>Chile</v>
      </c>
      <c r="N551" t="str">
        <f>_xlfn.XLOOKUP(frasest[[#This Row],[author_es]],autorest[author_es],autorest[nation_la])</f>
        <v>Chili</v>
      </c>
      <c r="O551" t="str">
        <f>_xlfn.XLOOKUP(frasest[[#This Row],[author_es]],autorest[author_es],autorest[age_es])</f>
        <v>Edad Contemporánea</v>
      </c>
      <c r="P551" t="str">
        <f>_xlfn.XLOOKUP(frasest[[#This Row],[author_es]],autorest[author_es],autorest[age_la])</f>
        <v>Aetas Contemporanea</v>
      </c>
      <c r="Q551" t="str">
        <f>_xlfn.XLOOKUP(frasest[[#This Row],[author_es]],autorest[author_es],autorest[image])</f>
        <v>https://i.ibb.co/XTz1rHj/gabrielamistral.png</v>
      </c>
      <c r="R551">
        <f>_xlfn.XLOOKUP(frasest[[#This Row],[author_es]],autorest[author_es],autorest[image_atr])</f>
        <v>0</v>
      </c>
    </row>
    <row r="552" spans="1:18">
      <c r="A552">
        <v>551</v>
      </c>
      <c r="B552" t="s">
        <v>1873</v>
      </c>
      <c r="C552" t="s">
        <v>1874</v>
      </c>
      <c r="D552" t="s">
        <v>1873</v>
      </c>
      <c r="E552" t="s">
        <v>1850</v>
      </c>
      <c r="F552" t="s">
        <v>1875</v>
      </c>
      <c r="G552" t="str">
        <f>_xlfn.XLOOKUP(frasest[[#This Row],[author_es]],autorest[author_es],autorest[author_la])</f>
        <v>Gabriela Mistral</v>
      </c>
      <c r="H552"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Row],[author_es]],autorest[author_es],autorest[iso3691])</f>
        <v>es</v>
      </c>
      <c r="K552" t="str">
        <f>_xlfn.XLOOKUP(frasest[[#This Row],[author_es]],autorest[author_es],autorest[language_es])</f>
        <v>Español</v>
      </c>
      <c r="L552" t="str">
        <f>_xlfn.XLOOKUP(frasest[[#This Row],[author_es]],autorest[author_es],autorest[language_la])</f>
        <v>Lingua Hispanica</v>
      </c>
      <c r="M552" t="str">
        <f>_xlfn.XLOOKUP(frasest[[#This Row],[author_es]],autorest[author_es],autorest[nation_es])</f>
        <v>Chile</v>
      </c>
      <c r="N552" t="str">
        <f>_xlfn.XLOOKUP(frasest[[#This Row],[author_es]],autorest[author_es],autorest[nation_la])</f>
        <v>Chili</v>
      </c>
      <c r="O552" t="str">
        <f>_xlfn.XLOOKUP(frasest[[#This Row],[author_es]],autorest[author_es],autorest[age_es])</f>
        <v>Edad Contemporánea</v>
      </c>
      <c r="P552" t="str">
        <f>_xlfn.XLOOKUP(frasest[[#This Row],[author_es]],autorest[author_es],autorest[age_la])</f>
        <v>Aetas Contemporanea</v>
      </c>
      <c r="Q552" t="str">
        <f>_xlfn.XLOOKUP(frasest[[#This Row],[author_es]],autorest[author_es],autorest[image])</f>
        <v>https://i.ibb.co/XTz1rHj/gabrielamistral.png</v>
      </c>
      <c r="R552">
        <f>_xlfn.XLOOKUP(frasest[[#This Row],[author_es]],autorest[author_es],autorest[image_atr])</f>
        <v>0</v>
      </c>
    </row>
    <row r="553" spans="1:18">
      <c r="A553">
        <v>552</v>
      </c>
      <c r="B553" t="s">
        <v>1876</v>
      </c>
      <c r="C553" t="s">
        <v>1877</v>
      </c>
      <c r="D553" t="s">
        <v>1876</v>
      </c>
      <c r="E553" t="s">
        <v>1850</v>
      </c>
      <c r="F553" t="s">
        <v>1878</v>
      </c>
      <c r="G553" t="str">
        <f>_xlfn.XLOOKUP(frasest[[#This Row],[author_es]],autorest[author_es],autorest[author_la])</f>
        <v>Gabriela Mistral</v>
      </c>
      <c r="H553"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Row],[author_es]],autorest[author_es],autorest[iso3691])</f>
        <v>es</v>
      </c>
      <c r="K553" t="str">
        <f>_xlfn.XLOOKUP(frasest[[#This Row],[author_es]],autorest[author_es],autorest[language_es])</f>
        <v>Español</v>
      </c>
      <c r="L553" t="str">
        <f>_xlfn.XLOOKUP(frasest[[#This Row],[author_es]],autorest[author_es],autorest[language_la])</f>
        <v>Lingua Hispanica</v>
      </c>
      <c r="M553" t="str">
        <f>_xlfn.XLOOKUP(frasest[[#This Row],[author_es]],autorest[author_es],autorest[nation_es])</f>
        <v>Chile</v>
      </c>
      <c r="N553" t="str">
        <f>_xlfn.XLOOKUP(frasest[[#This Row],[author_es]],autorest[author_es],autorest[nation_la])</f>
        <v>Chili</v>
      </c>
      <c r="O553" t="str">
        <f>_xlfn.XLOOKUP(frasest[[#This Row],[author_es]],autorest[author_es],autorest[age_es])</f>
        <v>Edad Contemporánea</v>
      </c>
      <c r="P553" t="str">
        <f>_xlfn.XLOOKUP(frasest[[#This Row],[author_es]],autorest[author_es],autorest[age_la])</f>
        <v>Aetas Contemporanea</v>
      </c>
      <c r="Q553" t="str">
        <f>_xlfn.XLOOKUP(frasest[[#This Row],[author_es]],autorest[author_es],autorest[image])</f>
        <v>https://i.ibb.co/XTz1rHj/gabrielamistral.png</v>
      </c>
      <c r="R553">
        <f>_xlfn.XLOOKUP(frasest[[#This Row],[author_es]],autorest[author_es],autorest[image_atr])</f>
        <v>0</v>
      </c>
    </row>
    <row r="554" spans="1:18">
      <c r="A554">
        <v>553</v>
      </c>
      <c r="B554" t="s">
        <v>1879</v>
      </c>
      <c r="C554" t="s">
        <v>1880</v>
      </c>
      <c r="D554" t="s">
        <v>1881</v>
      </c>
      <c r="E554" t="s">
        <v>1882</v>
      </c>
      <c r="F554" t="s">
        <v>1883</v>
      </c>
      <c r="G554" t="str">
        <f>_xlfn.XLOOKUP(frasest[[#This Row],[author_es]],autorest[author_es],autorest[author_la])</f>
        <v>Howardus Gardner</v>
      </c>
      <c r="H554"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Row],[author_es]],autorest[author_es],autorest[iso3691])</f>
        <v>en</v>
      </c>
      <c r="K554" t="str">
        <f>_xlfn.XLOOKUP(frasest[[#This Row],[author_es]],autorest[author_es],autorest[language_es])</f>
        <v>Inglés</v>
      </c>
      <c r="L554" t="str">
        <f>_xlfn.XLOOKUP(frasest[[#This Row],[author_es]],autorest[author_es],autorest[language_la])</f>
        <v>Lingua Anglica</v>
      </c>
      <c r="M554" t="str">
        <f>_xlfn.XLOOKUP(frasest[[#This Row],[author_es]],autorest[author_es],autorest[nation_es])</f>
        <v>Estados Unidos</v>
      </c>
      <c r="N554" t="str">
        <f>_xlfn.XLOOKUP(frasest[[#This Row],[author_es]],autorest[author_es],autorest[nation_la])</f>
        <v>Civitates Foederatae Americae</v>
      </c>
      <c r="O554" t="str">
        <f>_xlfn.XLOOKUP(frasest[[#This Row],[author_es]],autorest[author_es],autorest[age_es])</f>
        <v>Edad Contemporánea</v>
      </c>
      <c r="P554" t="str">
        <f>_xlfn.XLOOKUP(frasest[[#This Row],[author_es]],autorest[author_es],autorest[age_la])</f>
        <v>Aetas Contemporanea</v>
      </c>
      <c r="Q554" t="str">
        <f>_xlfn.XLOOKUP(frasest[[#This Row],[author_es]],autorest[author_es],autorest[image])</f>
        <v>https://i.ibb.co/6c49K80z/gardner.png</v>
      </c>
      <c r="R554">
        <f>_xlfn.XLOOKUP(frasest[[#This Row],[author_es]],autorest[author_es],autorest[image_atr])</f>
        <v>0</v>
      </c>
    </row>
    <row r="555" spans="1:18">
      <c r="A555">
        <v>554</v>
      </c>
      <c r="B555" t="s">
        <v>1884</v>
      </c>
      <c r="C555" t="s">
        <v>1885</v>
      </c>
      <c r="D555" t="s">
        <v>1886</v>
      </c>
      <c r="E555" t="s">
        <v>1882</v>
      </c>
      <c r="F555" t="s">
        <v>1887</v>
      </c>
      <c r="G555" t="str">
        <f>_xlfn.XLOOKUP(frasest[[#This Row],[author_es]],autorest[author_es],autorest[author_la])</f>
        <v>Howardus Gardner</v>
      </c>
      <c r="H555"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Row],[author_es]],autorest[author_es],autorest[iso3691])</f>
        <v>en</v>
      </c>
      <c r="K555" t="str">
        <f>_xlfn.XLOOKUP(frasest[[#This Row],[author_es]],autorest[author_es],autorest[language_es])</f>
        <v>Inglés</v>
      </c>
      <c r="L555" t="str">
        <f>_xlfn.XLOOKUP(frasest[[#This Row],[author_es]],autorest[author_es],autorest[language_la])</f>
        <v>Lingua Anglica</v>
      </c>
      <c r="M555" t="str">
        <f>_xlfn.XLOOKUP(frasest[[#This Row],[author_es]],autorest[author_es],autorest[nation_es])</f>
        <v>Estados Unidos</v>
      </c>
      <c r="N555" t="str">
        <f>_xlfn.XLOOKUP(frasest[[#This Row],[author_es]],autorest[author_es],autorest[nation_la])</f>
        <v>Civitates Foederatae Americae</v>
      </c>
      <c r="O555" t="str">
        <f>_xlfn.XLOOKUP(frasest[[#This Row],[author_es]],autorest[author_es],autorest[age_es])</f>
        <v>Edad Contemporánea</v>
      </c>
      <c r="P555" t="str">
        <f>_xlfn.XLOOKUP(frasest[[#This Row],[author_es]],autorest[author_es],autorest[age_la])</f>
        <v>Aetas Contemporanea</v>
      </c>
      <c r="Q555" t="str">
        <f>_xlfn.XLOOKUP(frasest[[#This Row],[author_es]],autorest[author_es],autorest[image])</f>
        <v>https://i.ibb.co/6c49K80z/gardner.png</v>
      </c>
      <c r="R555">
        <f>_xlfn.XLOOKUP(frasest[[#This Row],[author_es]],autorest[author_es],autorest[image_atr])</f>
        <v>0</v>
      </c>
    </row>
    <row r="556" spans="1:18">
      <c r="A556">
        <v>555</v>
      </c>
      <c r="B556" t="s">
        <v>1888</v>
      </c>
      <c r="C556" t="s">
        <v>1889</v>
      </c>
      <c r="D556" t="s">
        <v>1890</v>
      </c>
      <c r="E556" t="s">
        <v>1882</v>
      </c>
      <c r="F556" t="s">
        <v>1891</v>
      </c>
      <c r="G556" t="str">
        <f>_xlfn.XLOOKUP(frasest[[#This Row],[author_es]],autorest[author_es],autorest[author_la])</f>
        <v>Howardus Gardner</v>
      </c>
      <c r="H556"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Row],[author_es]],autorest[author_es],autorest[iso3691])</f>
        <v>en</v>
      </c>
      <c r="K556" t="str">
        <f>_xlfn.XLOOKUP(frasest[[#This Row],[author_es]],autorest[author_es],autorest[language_es])</f>
        <v>Inglés</v>
      </c>
      <c r="L556" t="str">
        <f>_xlfn.XLOOKUP(frasest[[#This Row],[author_es]],autorest[author_es],autorest[language_la])</f>
        <v>Lingua Anglica</v>
      </c>
      <c r="M556" t="str">
        <f>_xlfn.XLOOKUP(frasest[[#This Row],[author_es]],autorest[author_es],autorest[nation_es])</f>
        <v>Estados Unidos</v>
      </c>
      <c r="N556" t="str">
        <f>_xlfn.XLOOKUP(frasest[[#This Row],[author_es]],autorest[author_es],autorest[nation_la])</f>
        <v>Civitates Foederatae Americae</v>
      </c>
      <c r="O556" t="str">
        <f>_xlfn.XLOOKUP(frasest[[#This Row],[author_es]],autorest[author_es],autorest[age_es])</f>
        <v>Edad Contemporánea</v>
      </c>
      <c r="P556" t="str">
        <f>_xlfn.XLOOKUP(frasest[[#This Row],[author_es]],autorest[author_es],autorest[age_la])</f>
        <v>Aetas Contemporanea</v>
      </c>
      <c r="Q556" t="str">
        <f>_xlfn.XLOOKUP(frasest[[#This Row],[author_es]],autorest[author_es],autorest[image])</f>
        <v>https://i.ibb.co/6c49K80z/gardner.png</v>
      </c>
      <c r="R556">
        <f>_xlfn.XLOOKUP(frasest[[#This Row],[author_es]],autorest[author_es],autorest[image_atr])</f>
        <v>0</v>
      </c>
    </row>
    <row r="557" spans="1:18">
      <c r="A557">
        <v>556</v>
      </c>
      <c r="B557" t="s">
        <v>1892</v>
      </c>
      <c r="C557" t="s">
        <v>1893</v>
      </c>
      <c r="D557" t="s">
        <v>1894</v>
      </c>
      <c r="E557" t="s">
        <v>1882</v>
      </c>
      <c r="F557" t="s">
        <v>1895</v>
      </c>
      <c r="G557" t="str">
        <f>_xlfn.XLOOKUP(frasest[[#This Row],[author_es]],autorest[author_es],autorest[author_la])</f>
        <v>Howardus Gardner</v>
      </c>
      <c r="H557"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Row],[author_es]],autorest[author_es],autorest[iso3691])</f>
        <v>en</v>
      </c>
      <c r="K557" t="str">
        <f>_xlfn.XLOOKUP(frasest[[#This Row],[author_es]],autorest[author_es],autorest[language_es])</f>
        <v>Inglés</v>
      </c>
      <c r="L557" t="str">
        <f>_xlfn.XLOOKUP(frasest[[#This Row],[author_es]],autorest[author_es],autorest[language_la])</f>
        <v>Lingua Anglica</v>
      </c>
      <c r="M557" t="str">
        <f>_xlfn.XLOOKUP(frasest[[#This Row],[author_es]],autorest[author_es],autorest[nation_es])</f>
        <v>Estados Unidos</v>
      </c>
      <c r="N557" t="str">
        <f>_xlfn.XLOOKUP(frasest[[#This Row],[author_es]],autorest[author_es],autorest[nation_la])</f>
        <v>Civitates Foederatae Americae</v>
      </c>
      <c r="O557" t="str">
        <f>_xlfn.XLOOKUP(frasest[[#This Row],[author_es]],autorest[author_es],autorest[age_es])</f>
        <v>Edad Contemporánea</v>
      </c>
      <c r="P557" t="str">
        <f>_xlfn.XLOOKUP(frasest[[#This Row],[author_es]],autorest[author_es],autorest[age_la])</f>
        <v>Aetas Contemporanea</v>
      </c>
      <c r="Q557" t="str">
        <f>_xlfn.XLOOKUP(frasest[[#This Row],[author_es]],autorest[author_es],autorest[image])</f>
        <v>https://i.ibb.co/6c49K80z/gardner.png</v>
      </c>
      <c r="R557">
        <f>_xlfn.XLOOKUP(frasest[[#This Row],[author_es]],autorest[author_es],autorest[image_atr])</f>
        <v>0</v>
      </c>
    </row>
    <row r="558" spans="1:18">
      <c r="A558">
        <v>557</v>
      </c>
      <c r="B558" t="s">
        <v>1896</v>
      </c>
      <c r="C558" t="s">
        <v>1897</v>
      </c>
      <c r="D558" t="s">
        <v>1898</v>
      </c>
      <c r="E558" t="s">
        <v>1882</v>
      </c>
      <c r="F558" t="s">
        <v>1899</v>
      </c>
      <c r="G558" t="str">
        <f>_xlfn.XLOOKUP(frasest[[#This Row],[author_es]],autorest[author_es],autorest[author_la])</f>
        <v>Howardus Gardner</v>
      </c>
      <c r="H558"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Row],[author_es]],autorest[author_es],autorest[iso3691])</f>
        <v>en</v>
      </c>
      <c r="K558" t="str">
        <f>_xlfn.XLOOKUP(frasest[[#This Row],[author_es]],autorest[author_es],autorest[language_es])</f>
        <v>Inglés</v>
      </c>
      <c r="L558" t="str">
        <f>_xlfn.XLOOKUP(frasest[[#This Row],[author_es]],autorest[author_es],autorest[language_la])</f>
        <v>Lingua Anglica</v>
      </c>
      <c r="M558" t="str">
        <f>_xlfn.XLOOKUP(frasest[[#This Row],[author_es]],autorest[author_es],autorest[nation_es])</f>
        <v>Estados Unidos</v>
      </c>
      <c r="N558" t="str">
        <f>_xlfn.XLOOKUP(frasest[[#This Row],[author_es]],autorest[author_es],autorest[nation_la])</f>
        <v>Civitates Foederatae Americae</v>
      </c>
      <c r="O558" t="str">
        <f>_xlfn.XLOOKUP(frasest[[#This Row],[author_es]],autorest[author_es],autorest[age_es])</f>
        <v>Edad Contemporánea</v>
      </c>
      <c r="P558" t="str">
        <f>_xlfn.XLOOKUP(frasest[[#This Row],[author_es]],autorest[author_es],autorest[age_la])</f>
        <v>Aetas Contemporanea</v>
      </c>
      <c r="Q558" t="str">
        <f>_xlfn.XLOOKUP(frasest[[#This Row],[author_es]],autorest[author_es],autorest[image])</f>
        <v>https://i.ibb.co/6c49K80z/gardner.png</v>
      </c>
      <c r="R558">
        <f>_xlfn.XLOOKUP(frasest[[#This Row],[author_es]],autorest[author_es],autorest[image_atr])</f>
        <v>0</v>
      </c>
    </row>
    <row r="559" spans="1:18">
      <c r="A559">
        <v>558</v>
      </c>
      <c r="B559" t="s">
        <v>1900</v>
      </c>
      <c r="C559" t="s">
        <v>1901</v>
      </c>
      <c r="D559" t="s">
        <v>1902</v>
      </c>
      <c r="E559" t="s">
        <v>1882</v>
      </c>
      <c r="F559" t="s">
        <v>1903</v>
      </c>
      <c r="G559" t="str">
        <f>_xlfn.XLOOKUP(frasest[[#This Row],[author_es]],autorest[author_es],autorest[author_la])</f>
        <v>Howardus Gardner</v>
      </c>
      <c r="H559"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Row],[author_es]],autorest[author_es],autorest[iso3691])</f>
        <v>en</v>
      </c>
      <c r="K559" t="str">
        <f>_xlfn.XLOOKUP(frasest[[#This Row],[author_es]],autorest[author_es],autorest[language_es])</f>
        <v>Inglés</v>
      </c>
      <c r="L559" t="str">
        <f>_xlfn.XLOOKUP(frasest[[#This Row],[author_es]],autorest[author_es],autorest[language_la])</f>
        <v>Lingua Anglica</v>
      </c>
      <c r="M559" t="str">
        <f>_xlfn.XLOOKUP(frasest[[#This Row],[author_es]],autorest[author_es],autorest[nation_es])</f>
        <v>Estados Unidos</v>
      </c>
      <c r="N559" t="str">
        <f>_xlfn.XLOOKUP(frasest[[#This Row],[author_es]],autorest[author_es],autorest[nation_la])</f>
        <v>Civitates Foederatae Americae</v>
      </c>
      <c r="O559" t="str">
        <f>_xlfn.XLOOKUP(frasest[[#This Row],[author_es]],autorest[author_es],autorest[age_es])</f>
        <v>Edad Contemporánea</v>
      </c>
      <c r="P559" t="str">
        <f>_xlfn.XLOOKUP(frasest[[#This Row],[author_es]],autorest[author_es],autorest[age_la])</f>
        <v>Aetas Contemporanea</v>
      </c>
      <c r="Q559" t="str">
        <f>_xlfn.XLOOKUP(frasest[[#This Row],[author_es]],autorest[author_es],autorest[image])</f>
        <v>https://i.ibb.co/6c49K80z/gardner.png</v>
      </c>
      <c r="R559">
        <f>_xlfn.XLOOKUP(frasest[[#This Row],[author_es]],autorest[author_es],autorest[image_atr])</f>
        <v>0</v>
      </c>
    </row>
    <row r="560" spans="1:18">
      <c r="A560">
        <v>559</v>
      </c>
      <c r="B560" t="s">
        <v>1904</v>
      </c>
      <c r="C560" t="s">
        <v>1905</v>
      </c>
      <c r="D560" t="s">
        <v>1906</v>
      </c>
      <c r="E560" t="s">
        <v>1907</v>
      </c>
      <c r="F560" t="s">
        <v>1908</v>
      </c>
      <c r="G560" t="str">
        <f>_xlfn.XLOOKUP(frasest[[#This Row],[author_es]],autorest[author_es],autorest[author_la])</f>
        <v>Ken Robinson</v>
      </c>
      <c r="H560"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Row],[author_es]],autorest[author_es],autorest[iso3691])</f>
        <v>en</v>
      </c>
      <c r="K560" t="str">
        <f>_xlfn.XLOOKUP(frasest[[#This Row],[author_es]],autorest[author_es],autorest[language_es])</f>
        <v>Inglés</v>
      </c>
      <c r="L560" t="str">
        <f>_xlfn.XLOOKUP(frasest[[#This Row],[author_es]],autorest[author_es],autorest[language_la])</f>
        <v>Lingua Anglica</v>
      </c>
      <c r="M560" t="str">
        <f>_xlfn.XLOOKUP(frasest[[#This Row],[author_es]],autorest[author_es],autorest[nation_es])</f>
        <v>Reino Unido</v>
      </c>
      <c r="N560" t="str">
        <f>_xlfn.XLOOKUP(frasest[[#This Row],[author_es]],autorest[author_es],autorest[nation_la])</f>
        <v>Regnum Unitum</v>
      </c>
      <c r="O560" t="str">
        <f>_xlfn.XLOOKUP(frasest[[#This Row],[author_es]],autorest[author_es],autorest[age_es])</f>
        <v>Edad Contemporánea</v>
      </c>
      <c r="P560" t="str">
        <f>_xlfn.XLOOKUP(frasest[[#This Row],[author_es]],autorest[author_es],autorest[age_la])</f>
        <v>Aetas Contemporanea</v>
      </c>
      <c r="Q560" t="str">
        <f>_xlfn.XLOOKUP(frasest[[#This Row],[author_es]],autorest[author_es],autorest[image])</f>
        <v>https://i.ibb.co/pBt9Ty7Z/kenrobinson.png</v>
      </c>
      <c r="R560">
        <f>_xlfn.XLOOKUP(frasest[[#This Row],[author_es]],autorest[author_es],autorest[image_atr])</f>
        <v>0</v>
      </c>
    </row>
    <row r="561" spans="1:18">
      <c r="A561">
        <v>560</v>
      </c>
      <c r="B561" t="s">
        <v>1909</v>
      </c>
      <c r="C561" t="s">
        <v>1910</v>
      </c>
      <c r="D561" t="s">
        <v>1911</v>
      </c>
      <c r="E561" t="s">
        <v>1907</v>
      </c>
      <c r="F561" t="s">
        <v>1912</v>
      </c>
      <c r="G561" t="str">
        <f>_xlfn.XLOOKUP(frasest[[#This Row],[author_es]],autorest[author_es],autorest[author_la])</f>
        <v>Ken Robinson</v>
      </c>
      <c r="H561"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Row],[author_es]],autorest[author_es],autorest[iso3691])</f>
        <v>en</v>
      </c>
      <c r="K561" t="str">
        <f>_xlfn.XLOOKUP(frasest[[#This Row],[author_es]],autorest[author_es],autorest[language_es])</f>
        <v>Inglés</v>
      </c>
      <c r="L561" t="str">
        <f>_xlfn.XLOOKUP(frasest[[#This Row],[author_es]],autorest[author_es],autorest[language_la])</f>
        <v>Lingua Anglica</v>
      </c>
      <c r="M561" t="str">
        <f>_xlfn.XLOOKUP(frasest[[#This Row],[author_es]],autorest[author_es],autorest[nation_es])</f>
        <v>Reino Unido</v>
      </c>
      <c r="N561" t="str">
        <f>_xlfn.XLOOKUP(frasest[[#This Row],[author_es]],autorest[author_es],autorest[nation_la])</f>
        <v>Regnum Unitum</v>
      </c>
      <c r="O561" t="str">
        <f>_xlfn.XLOOKUP(frasest[[#This Row],[author_es]],autorest[author_es],autorest[age_es])</f>
        <v>Edad Contemporánea</v>
      </c>
      <c r="P561" t="str">
        <f>_xlfn.XLOOKUP(frasest[[#This Row],[author_es]],autorest[author_es],autorest[age_la])</f>
        <v>Aetas Contemporanea</v>
      </c>
      <c r="Q561" t="str">
        <f>_xlfn.XLOOKUP(frasest[[#This Row],[author_es]],autorest[author_es],autorest[image])</f>
        <v>https://i.ibb.co/pBt9Ty7Z/kenrobinson.png</v>
      </c>
      <c r="R561">
        <f>_xlfn.XLOOKUP(frasest[[#This Row],[author_es]],autorest[author_es],autorest[image_atr])</f>
        <v>0</v>
      </c>
    </row>
    <row r="562" spans="1:18">
      <c r="A562">
        <v>561</v>
      </c>
      <c r="B562" t="s">
        <v>1913</v>
      </c>
      <c r="C562" t="s">
        <v>1914</v>
      </c>
      <c r="D562" t="s">
        <v>1915</v>
      </c>
      <c r="E562" t="s">
        <v>1907</v>
      </c>
      <c r="F562" t="s">
        <v>1912</v>
      </c>
      <c r="G562" t="str">
        <f>_xlfn.XLOOKUP(frasest[[#This Row],[author_es]],autorest[author_es],autorest[author_la])</f>
        <v>Ken Robinson</v>
      </c>
      <c r="H562"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Row],[author_es]],autorest[author_es],autorest[iso3691])</f>
        <v>en</v>
      </c>
      <c r="K562" t="str">
        <f>_xlfn.XLOOKUP(frasest[[#This Row],[author_es]],autorest[author_es],autorest[language_es])</f>
        <v>Inglés</v>
      </c>
      <c r="L562" t="str">
        <f>_xlfn.XLOOKUP(frasest[[#This Row],[author_es]],autorest[author_es],autorest[language_la])</f>
        <v>Lingua Anglica</v>
      </c>
      <c r="M562" t="str">
        <f>_xlfn.XLOOKUP(frasest[[#This Row],[author_es]],autorest[author_es],autorest[nation_es])</f>
        <v>Reino Unido</v>
      </c>
      <c r="N562" t="str">
        <f>_xlfn.XLOOKUP(frasest[[#This Row],[author_es]],autorest[author_es],autorest[nation_la])</f>
        <v>Regnum Unitum</v>
      </c>
      <c r="O562" t="str">
        <f>_xlfn.XLOOKUP(frasest[[#This Row],[author_es]],autorest[author_es],autorest[age_es])</f>
        <v>Edad Contemporánea</v>
      </c>
      <c r="P562" t="str">
        <f>_xlfn.XLOOKUP(frasest[[#This Row],[author_es]],autorest[author_es],autorest[age_la])</f>
        <v>Aetas Contemporanea</v>
      </c>
      <c r="Q562" t="str">
        <f>_xlfn.XLOOKUP(frasest[[#This Row],[author_es]],autorest[author_es],autorest[image])</f>
        <v>https://i.ibb.co/pBt9Ty7Z/kenrobinson.png</v>
      </c>
      <c r="R562">
        <f>_xlfn.XLOOKUP(frasest[[#This Row],[author_es]],autorest[author_es],autorest[image_atr])</f>
        <v>0</v>
      </c>
    </row>
    <row r="563" spans="1:18">
      <c r="A563">
        <v>562</v>
      </c>
      <c r="B563" t="s">
        <v>1916</v>
      </c>
      <c r="C563" t="s">
        <v>1917</v>
      </c>
      <c r="D563" t="s">
        <v>1918</v>
      </c>
      <c r="E563" t="s">
        <v>1907</v>
      </c>
      <c r="F563" t="s">
        <v>1919</v>
      </c>
      <c r="G563" t="str">
        <f>_xlfn.XLOOKUP(frasest[[#This Row],[author_es]],autorest[author_es],autorest[author_la])</f>
        <v>Ken Robinson</v>
      </c>
      <c r="H563"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Row],[author_es]],autorest[author_es],autorest[iso3691])</f>
        <v>en</v>
      </c>
      <c r="K563" t="str">
        <f>_xlfn.XLOOKUP(frasest[[#This Row],[author_es]],autorest[author_es],autorest[language_es])</f>
        <v>Inglés</v>
      </c>
      <c r="L563" t="str">
        <f>_xlfn.XLOOKUP(frasest[[#This Row],[author_es]],autorest[author_es],autorest[language_la])</f>
        <v>Lingua Anglica</v>
      </c>
      <c r="M563" t="str">
        <f>_xlfn.XLOOKUP(frasest[[#This Row],[author_es]],autorest[author_es],autorest[nation_es])</f>
        <v>Reino Unido</v>
      </c>
      <c r="N563" t="str">
        <f>_xlfn.XLOOKUP(frasest[[#This Row],[author_es]],autorest[author_es],autorest[nation_la])</f>
        <v>Regnum Unitum</v>
      </c>
      <c r="O563" t="str">
        <f>_xlfn.XLOOKUP(frasest[[#This Row],[author_es]],autorest[author_es],autorest[age_es])</f>
        <v>Edad Contemporánea</v>
      </c>
      <c r="P563" t="str">
        <f>_xlfn.XLOOKUP(frasest[[#This Row],[author_es]],autorest[author_es],autorest[age_la])</f>
        <v>Aetas Contemporanea</v>
      </c>
      <c r="Q563" t="str">
        <f>_xlfn.XLOOKUP(frasest[[#This Row],[author_es]],autorest[author_es],autorest[image])</f>
        <v>https://i.ibb.co/pBt9Ty7Z/kenrobinson.png</v>
      </c>
      <c r="R563">
        <f>_xlfn.XLOOKUP(frasest[[#This Row],[author_es]],autorest[author_es],autorest[image_atr])</f>
        <v>0</v>
      </c>
    </row>
    <row r="564" spans="1:18">
      <c r="A564">
        <v>563</v>
      </c>
      <c r="B564" t="s">
        <v>1920</v>
      </c>
      <c r="C564" t="s">
        <v>1921</v>
      </c>
      <c r="D564" t="s">
        <v>1922</v>
      </c>
      <c r="E564" t="s">
        <v>1907</v>
      </c>
      <c r="F564" t="s">
        <v>1923</v>
      </c>
      <c r="G564" t="str">
        <f>_xlfn.XLOOKUP(frasest[[#This Row],[author_es]],autorest[author_es],autorest[author_la])</f>
        <v>Ken Robinson</v>
      </c>
      <c r="H564"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Row],[author_es]],autorest[author_es],autorest[iso3691])</f>
        <v>en</v>
      </c>
      <c r="K564" t="str">
        <f>_xlfn.XLOOKUP(frasest[[#This Row],[author_es]],autorest[author_es],autorest[language_es])</f>
        <v>Inglés</v>
      </c>
      <c r="L564" t="str">
        <f>_xlfn.XLOOKUP(frasest[[#This Row],[author_es]],autorest[author_es],autorest[language_la])</f>
        <v>Lingua Anglica</v>
      </c>
      <c r="M564" t="str">
        <f>_xlfn.XLOOKUP(frasest[[#This Row],[author_es]],autorest[author_es],autorest[nation_es])</f>
        <v>Reino Unido</v>
      </c>
      <c r="N564" t="str">
        <f>_xlfn.XLOOKUP(frasest[[#This Row],[author_es]],autorest[author_es],autorest[nation_la])</f>
        <v>Regnum Unitum</v>
      </c>
      <c r="O564" t="str">
        <f>_xlfn.XLOOKUP(frasest[[#This Row],[author_es]],autorest[author_es],autorest[age_es])</f>
        <v>Edad Contemporánea</v>
      </c>
      <c r="P564" t="str">
        <f>_xlfn.XLOOKUP(frasest[[#This Row],[author_es]],autorest[author_es],autorest[age_la])</f>
        <v>Aetas Contemporanea</v>
      </c>
      <c r="Q564" t="str">
        <f>_xlfn.XLOOKUP(frasest[[#This Row],[author_es]],autorest[author_es],autorest[image])</f>
        <v>https://i.ibb.co/pBt9Ty7Z/kenrobinson.png</v>
      </c>
      <c r="R564">
        <f>_xlfn.XLOOKUP(frasest[[#This Row],[author_es]],autorest[author_es],autorest[image_atr])</f>
        <v>0</v>
      </c>
    </row>
    <row r="565" spans="1:18">
      <c r="A565">
        <v>564</v>
      </c>
      <c r="B565" t="s">
        <v>1924</v>
      </c>
      <c r="C565" t="s">
        <v>1925</v>
      </c>
      <c r="D565" t="s">
        <v>1926</v>
      </c>
      <c r="E565" t="s">
        <v>1907</v>
      </c>
      <c r="F565" t="s">
        <v>1927</v>
      </c>
      <c r="G565" t="str">
        <f>_xlfn.XLOOKUP(frasest[[#This Row],[author_es]],autorest[author_es],autorest[author_la])</f>
        <v>Ken Robinson</v>
      </c>
      <c r="H565"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Row],[author_es]],autorest[author_es],autorest[iso3691])</f>
        <v>en</v>
      </c>
      <c r="K565" t="str">
        <f>_xlfn.XLOOKUP(frasest[[#This Row],[author_es]],autorest[author_es],autorest[language_es])</f>
        <v>Inglés</v>
      </c>
      <c r="L565" t="str">
        <f>_xlfn.XLOOKUP(frasest[[#This Row],[author_es]],autorest[author_es],autorest[language_la])</f>
        <v>Lingua Anglica</v>
      </c>
      <c r="M565" t="str">
        <f>_xlfn.XLOOKUP(frasest[[#This Row],[author_es]],autorest[author_es],autorest[nation_es])</f>
        <v>Reino Unido</v>
      </c>
      <c r="N565" t="str">
        <f>_xlfn.XLOOKUP(frasest[[#This Row],[author_es]],autorest[author_es],autorest[nation_la])</f>
        <v>Regnum Unitum</v>
      </c>
      <c r="O565" t="str">
        <f>_xlfn.XLOOKUP(frasest[[#This Row],[author_es]],autorest[author_es],autorest[age_es])</f>
        <v>Edad Contemporánea</v>
      </c>
      <c r="P565" t="str">
        <f>_xlfn.XLOOKUP(frasest[[#This Row],[author_es]],autorest[author_es],autorest[age_la])</f>
        <v>Aetas Contemporanea</v>
      </c>
      <c r="Q565" t="str">
        <f>_xlfn.XLOOKUP(frasest[[#This Row],[author_es]],autorest[author_es],autorest[image])</f>
        <v>https://i.ibb.co/pBt9Ty7Z/kenrobinson.png</v>
      </c>
      <c r="R565">
        <f>_xlfn.XLOOKUP(frasest[[#This Row],[author_es]],autorest[author_es],autorest[image_atr])</f>
        <v>0</v>
      </c>
    </row>
    <row r="566" spans="1:18">
      <c r="A566">
        <v>565</v>
      </c>
      <c r="B566" t="s">
        <v>1928</v>
      </c>
      <c r="C566" t="s">
        <v>1929</v>
      </c>
      <c r="D566" t="s">
        <v>1930</v>
      </c>
      <c r="E566" t="s">
        <v>1907</v>
      </c>
      <c r="F566" t="s">
        <v>1912</v>
      </c>
      <c r="G566" t="str">
        <f>_xlfn.XLOOKUP(frasest[[#This Row],[author_es]],autorest[author_es],autorest[author_la])</f>
        <v>Ken Robinson</v>
      </c>
      <c r="H566"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Row],[author_es]],autorest[author_es],autorest[iso3691])</f>
        <v>en</v>
      </c>
      <c r="K566" t="str">
        <f>_xlfn.XLOOKUP(frasest[[#This Row],[author_es]],autorest[author_es],autorest[language_es])</f>
        <v>Inglés</v>
      </c>
      <c r="L566" t="str">
        <f>_xlfn.XLOOKUP(frasest[[#This Row],[author_es]],autorest[author_es],autorest[language_la])</f>
        <v>Lingua Anglica</v>
      </c>
      <c r="M566" t="str">
        <f>_xlfn.XLOOKUP(frasest[[#This Row],[author_es]],autorest[author_es],autorest[nation_es])</f>
        <v>Reino Unido</v>
      </c>
      <c r="N566" t="str">
        <f>_xlfn.XLOOKUP(frasest[[#This Row],[author_es]],autorest[author_es],autorest[nation_la])</f>
        <v>Regnum Unitum</v>
      </c>
      <c r="O566" t="str">
        <f>_xlfn.XLOOKUP(frasest[[#This Row],[author_es]],autorest[author_es],autorest[age_es])</f>
        <v>Edad Contemporánea</v>
      </c>
      <c r="P566" t="str">
        <f>_xlfn.XLOOKUP(frasest[[#This Row],[author_es]],autorest[author_es],autorest[age_la])</f>
        <v>Aetas Contemporanea</v>
      </c>
      <c r="Q566" t="str">
        <f>_xlfn.XLOOKUP(frasest[[#This Row],[author_es]],autorest[author_es],autorest[image])</f>
        <v>https://i.ibb.co/pBt9Ty7Z/kenrobinson.png</v>
      </c>
      <c r="R566">
        <f>_xlfn.XLOOKUP(frasest[[#This Row],[author_es]],autorest[author_es],autorest[image_atr])</f>
        <v>0</v>
      </c>
    </row>
    <row r="567" spans="1:18">
      <c r="A567">
        <v>566</v>
      </c>
      <c r="B567" t="s">
        <v>1931</v>
      </c>
      <c r="C567" t="s">
        <v>1932</v>
      </c>
      <c r="D567" t="s">
        <v>1933</v>
      </c>
      <c r="E567" t="s">
        <v>1907</v>
      </c>
      <c r="F567" t="s">
        <v>1934</v>
      </c>
      <c r="G567" t="str">
        <f>_xlfn.XLOOKUP(frasest[[#This Row],[author_es]],autorest[author_es],autorest[author_la])</f>
        <v>Ken Robinson</v>
      </c>
      <c r="H567"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Row],[author_es]],autorest[author_es],autorest[iso3691])</f>
        <v>en</v>
      </c>
      <c r="K567" t="str">
        <f>_xlfn.XLOOKUP(frasest[[#This Row],[author_es]],autorest[author_es],autorest[language_es])</f>
        <v>Inglés</v>
      </c>
      <c r="L567" t="str">
        <f>_xlfn.XLOOKUP(frasest[[#This Row],[author_es]],autorest[author_es],autorest[language_la])</f>
        <v>Lingua Anglica</v>
      </c>
      <c r="M567" t="str">
        <f>_xlfn.XLOOKUP(frasest[[#This Row],[author_es]],autorest[author_es],autorest[nation_es])</f>
        <v>Reino Unido</v>
      </c>
      <c r="N567" t="str">
        <f>_xlfn.XLOOKUP(frasest[[#This Row],[author_es]],autorest[author_es],autorest[nation_la])</f>
        <v>Regnum Unitum</v>
      </c>
      <c r="O567" t="str">
        <f>_xlfn.XLOOKUP(frasest[[#This Row],[author_es]],autorest[author_es],autorest[age_es])</f>
        <v>Edad Contemporánea</v>
      </c>
      <c r="P567" t="str">
        <f>_xlfn.XLOOKUP(frasest[[#This Row],[author_es]],autorest[author_es],autorest[age_la])</f>
        <v>Aetas Contemporanea</v>
      </c>
      <c r="Q567" t="str">
        <f>_xlfn.XLOOKUP(frasest[[#This Row],[author_es]],autorest[author_es],autorest[image])</f>
        <v>https://i.ibb.co/pBt9Ty7Z/kenrobinson.png</v>
      </c>
      <c r="R567">
        <f>_xlfn.XLOOKUP(frasest[[#This Row],[author_es]],autorest[author_es],autorest[image_atr])</f>
        <v>0</v>
      </c>
    </row>
    <row r="568" spans="1:18">
      <c r="A568">
        <v>567</v>
      </c>
      <c r="B568" t="s">
        <v>1935</v>
      </c>
      <c r="C568" t="s">
        <v>1936</v>
      </c>
      <c r="D568" t="s">
        <v>1937</v>
      </c>
      <c r="E568" t="s">
        <v>1938</v>
      </c>
      <c r="F568" t="s">
        <v>1939</v>
      </c>
      <c r="G568" t="str">
        <f>_xlfn.XLOOKUP(frasest[[#This Row],[author_es]],autorest[author_es],autorest[author_la])</f>
        <v>Albertus Bandura</v>
      </c>
      <c r="H568"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Row],[author_es]],autorest[author_es],autorest[iso3691])</f>
        <v>en</v>
      </c>
      <c r="K568" t="str">
        <f>_xlfn.XLOOKUP(frasest[[#This Row],[author_es]],autorest[author_es],autorest[language_es])</f>
        <v>Inglés</v>
      </c>
      <c r="L568" t="str">
        <f>_xlfn.XLOOKUP(frasest[[#This Row],[author_es]],autorest[author_es],autorest[language_la])</f>
        <v>Lingua Anglica</v>
      </c>
      <c r="M568" t="str">
        <f>_xlfn.XLOOKUP(frasest[[#This Row],[author_es]],autorest[author_es],autorest[nation_es])</f>
        <v>Canadá</v>
      </c>
      <c r="N568" t="str">
        <f>_xlfn.XLOOKUP(frasest[[#This Row],[author_es]],autorest[author_es],autorest[nation_la])</f>
        <v>Canada</v>
      </c>
      <c r="O568" t="str">
        <f>_xlfn.XLOOKUP(frasest[[#This Row],[author_es]],autorest[author_es],autorest[age_es])</f>
        <v>Edad Contemporánea</v>
      </c>
      <c r="P568" t="str">
        <f>_xlfn.XLOOKUP(frasest[[#This Row],[author_es]],autorest[author_es],autorest[age_la])</f>
        <v>Aetas Contemporanea</v>
      </c>
      <c r="Q568" t="str">
        <f>_xlfn.XLOOKUP(frasest[[#This Row],[author_es]],autorest[author_es],autorest[image])</f>
        <v>https://i.ibb.co/21zkG8D5/albertbandura.png</v>
      </c>
      <c r="R568">
        <f>_xlfn.XLOOKUP(frasest[[#This Row],[author_es]],autorest[author_es],autorest[image_atr])</f>
        <v>0</v>
      </c>
    </row>
    <row r="569" spans="1:18">
      <c r="A569">
        <v>568</v>
      </c>
      <c r="B569" t="s">
        <v>1940</v>
      </c>
      <c r="C569" t="s">
        <v>1941</v>
      </c>
      <c r="D569" t="s">
        <v>1942</v>
      </c>
      <c r="E569" t="s">
        <v>1938</v>
      </c>
      <c r="F569" t="s">
        <v>1943</v>
      </c>
      <c r="G569" t="str">
        <f>_xlfn.XLOOKUP(frasest[[#This Row],[author_es]],autorest[author_es],autorest[author_la])</f>
        <v>Albertus Bandura</v>
      </c>
      <c r="H569"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Row],[author_es]],autorest[author_es],autorest[iso3691])</f>
        <v>en</v>
      </c>
      <c r="K569" t="str">
        <f>_xlfn.XLOOKUP(frasest[[#This Row],[author_es]],autorest[author_es],autorest[language_es])</f>
        <v>Inglés</v>
      </c>
      <c r="L569" t="str">
        <f>_xlfn.XLOOKUP(frasest[[#This Row],[author_es]],autorest[author_es],autorest[language_la])</f>
        <v>Lingua Anglica</v>
      </c>
      <c r="M569" t="str">
        <f>_xlfn.XLOOKUP(frasest[[#This Row],[author_es]],autorest[author_es],autorest[nation_es])</f>
        <v>Canadá</v>
      </c>
      <c r="N569" t="str">
        <f>_xlfn.XLOOKUP(frasest[[#This Row],[author_es]],autorest[author_es],autorest[nation_la])</f>
        <v>Canada</v>
      </c>
      <c r="O569" t="str">
        <f>_xlfn.XLOOKUP(frasest[[#This Row],[author_es]],autorest[author_es],autorest[age_es])</f>
        <v>Edad Contemporánea</v>
      </c>
      <c r="P569" t="str">
        <f>_xlfn.XLOOKUP(frasest[[#This Row],[author_es]],autorest[author_es],autorest[age_la])</f>
        <v>Aetas Contemporanea</v>
      </c>
      <c r="Q569" t="str">
        <f>_xlfn.XLOOKUP(frasest[[#This Row],[author_es]],autorest[author_es],autorest[image])</f>
        <v>https://i.ibb.co/21zkG8D5/albertbandura.png</v>
      </c>
      <c r="R569">
        <f>_xlfn.XLOOKUP(frasest[[#This Row],[author_es]],autorest[author_es],autorest[image_atr])</f>
        <v>0</v>
      </c>
    </row>
    <row r="570" spans="1:18">
      <c r="A570">
        <v>569</v>
      </c>
      <c r="B570" t="s">
        <v>1944</v>
      </c>
      <c r="C570" t="s">
        <v>1945</v>
      </c>
      <c r="D570" t="s">
        <v>1946</v>
      </c>
      <c r="E570" t="s">
        <v>1938</v>
      </c>
      <c r="F570" t="s">
        <v>1947</v>
      </c>
      <c r="G570" t="str">
        <f>_xlfn.XLOOKUP(frasest[[#This Row],[author_es]],autorest[author_es],autorest[author_la])</f>
        <v>Albertus Bandura</v>
      </c>
      <c r="H570"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Row],[author_es]],autorest[author_es],autorest[iso3691])</f>
        <v>en</v>
      </c>
      <c r="K570" t="str">
        <f>_xlfn.XLOOKUP(frasest[[#This Row],[author_es]],autorest[author_es],autorest[language_es])</f>
        <v>Inglés</v>
      </c>
      <c r="L570" t="str">
        <f>_xlfn.XLOOKUP(frasest[[#This Row],[author_es]],autorest[author_es],autorest[language_la])</f>
        <v>Lingua Anglica</v>
      </c>
      <c r="M570" t="str">
        <f>_xlfn.XLOOKUP(frasest[[#This Row],[author_es]],autorest[author_es],autorest[nation_es])</f>
        <v>Canadá</v>
      </c>
      <c r="N570" t="str">
        <f>_xlfn.XLOOKUP(frasest[[#This Row],[author_es]],autorest[author_es],autorest[nation_la])</f>
        <v>Canada</v>
      </c>
      <c r="O570" t="str">
        <f>_xlfn.XLOOKUP(frasest[[#This Row],[author_es]],autorest[author_es],autorest[age_es])</f>
        <v>Edad Contemporánea</v>
      </c>
      <c r="P570" t="str">
        <f>_xlfn.XLOOKUP(frasest[[#This Row],[author_es]],autorest[author_es],autorest[age_la])</f>
        <v>Aetas Contemporanea</v>
      </c>
      <c r="Q570" t="str">
        <f>_xlfn.XLOOKUP(frasest[[#This Row],[author_es]],autorest[author_es],autorest[image])</f>
        <v>https://i.ibb.co/21zkG8D5/albertbandura.png</v>
      </c>
      <c r="R570">
        <f>_xlfn.XLOOKUP(frasest[[#This Row],[author_es]],autorest[author_es],autorest[image_atr])</f>
        <v>0</v>
      </c>
    </row>
    <row r="571" spans="1:18">
      <c r="A571">
        <v>570</v>
      </c>
      <c r="B571" t="s">
        <v>1948</v>
      </c>
      <c r="C571" t="s">
        <v>1949</v>
      </c>
      <c r="D571" t="s">
        <v>1950</v>
      </c>
      <c r="E571" t="s">
        <v>1938</v>
      </c>
      <c r="F571" t="s">
        <v>1951</v>
      </c>
      <c r="G571" t="str">
        <f>_xlfn.XLOOKUP(frasest[[#This Row],[author_es]],autorest[author_es],autorest[author_la])</f>
        <v>Albertus Bandura</v>
      </c>
      <c r="H571"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Row],[author_es]],autorest[author_es],autorest[iso3691])</f>
        <v>en</v>
      </c>
      <c r="K571" t="str">
        <f>_xlfn.XLOOKUP(frasest[[#This Row],[author_es]],autorest[author_es],autorest[language_es])</f>
        <v>Inglés</v>
      </c>
      <c r="L571" t="str">
        <f>_xlfn.XLOOKUP(frasest[[#This Row],[author_es]],autorest[author_es],autorest[language_la])</f>
        <v>Lingua Anglica</v>
      </c>
      <c r="M571" t="str">
        <f>_xlfn.XLOOKUP(frasest[[#This Row],[author_es]],autorest[author_es],autorest[nation_es])</f>
        <v>Canadá</v>
      </c>
      <c r="N571" t="str">
        <f>_xlfn.XLOOKUP(frasest[[#This Row],[author_es]],autorest[author_es],autorest[nation_la])</f>
        <v>Canada</v>
      </c>
      <c r="O571" t="str">
        <f>_xlfn.XLOOKUP(frasest[[#This Row],[author_es]],autorest[author_es],autorest[age_es])</f>
        <v>Edad Contemporánea</v>
      </c>
      <c r="P571" t="str">
        <f>_xlfn.XLOOKUP(frasest[[#This Row],[author_es]],autorest[author_es],autorest[age_la])</f>
        <v>Aetas Contemporanea</v>
      </c>
      <c r="Q571" t="str">
        <f>_xlfn.XLOOKUP(frasest[[#This Row],[author_es]],autorest[author_es],autorest[image])</f>
        <v>https://i.ibb.co/21zkG8D5/albertbandura.png</v>
      </c>
      <c r="R571">
        <f>_xlfn.XLOOKUP(frasest[[#This Row],[author_es]],autorest[author_es],autorest[image_atr])</f>
        <v>0</v>
      </c>
    </row>
    <row r="572" spans="1:18">
      <c r="A572">
        <v>571</v>
      </c>
      <c r="B572" t="s">
        <v>1952</v>
      </c>
      <c r="C572" t="s">
        <v>1953</v>
      </c>
      <c r="D572" t="s">
        <v>1954</v>
      </c>
      <c r="E572" t="s">
        <v>1938</v>
      </c>
      <c r="F572" t="s">
        <v>1939</v>
      </c>
      <c r="G572" t="str">
        <f>_xlfn.XLOOKUP(frasest[[#This Row],[author_es]],autorest[author_es],autorest[author_la])</f>
        <v>Albertus Bandura</v>
      </c>
      <c r="H572"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Row],[author_es]],autorest[author_es],autorest[iso3691])</f>
        <v>en</v>
      </c>
      <c r="K572" t="str">
        <f>_xlfn.XLOOKUP(frasest[[#This Row],[author_es]],autorest[author_es],autorest[language_es])</f>
        <v>Inglés</v>
      </c>
      <c r="L572" t="str">
        <f>_xlfn.XLOOKUP(frasest[[#This Row],[author_es]],autorest[author_es],autorest[language_la])</f>
        <v>Lingua Anglica</v>
      </c>
      <c r="M572" t="str">
        <f>_xlfn.XLOOKUP(frasest[[#This Row],[author_es]],autorest[author_es],autorest[nation_es])</f>
        <v>Canadá</v>
      </c>
      <c r="N572" t="str">
        <f>_xlfn.XLOOKUP(frasest[[#This Row],[author_es]],autorest[author_es],autorest[nation_la])</f>
        <v>Canada</v>
      </c>
      <c r="O572" t="str">
        <f>_xlfn.XLOOKUP(frasest[[#This Row],[author_es]],autorest[author_es],autorest[age_es])</f>
        <v>Edad Contemporánea</v>
      </c>
      <c r="P572" t="str">
        <f>_xlfn.XLOOKUP(frasest[[#This Row],[author_es]],autorest[author_es],autorest[age_la])</f>
        <v>Aetas Contemporanea</v>
      </c>
      <c r="Q572" t="str">
        <f>_xlfn.XLOOKUP(frasest[[#This Row],[author_es]],autorest[author_es],autorest[image])</f>
        <v>https://i.ibb.co/21zkG8D5/albertbandura.png</v>
      </c>
      <c r="R572">
        <f>_xlfn.XLOOKUP(frasest[[#This Row],[author_es]],autorest[author_es],autorest[image_atr])</f>
        <v>0</v>
      </c>
    </row>
    <row r="573" spans="1:18">
      <c r="A573">
        <v>572</v>
      </c>
      <c r="B573" t="s">
        <v>1955</v>
      </c>
      <c r="C573" t="s">
        <v>1956</v>
      </c>
      <c r="D573" t="s">
        <v>1957</v>
      </c>
      <c r="E573" t="s">
        <v>1938</v>
      </c>
      <c r="F573" t="s">
        <v>1958</v>
      </c>
      <c r="G573" t="str">
        <f>_xlfn.XLOOKUP(frasest[[#This Row],[author_es]],autorest[author_es],autorest[author_la])</f>
        <v>Albertus Bandura</v>
      </c>
      <c r="H573"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Row],[author_es]],autorest[author_es],autorest[iso3691])</f>
        <v>en</v>
      </c>
      <c r="K573" t="str">
        <f>_xlfn.XLOOKUP(frasest[[#This Row],[author_es]],autorest[author_es],autorest[language_es])</f>
        <v>Inglés</v>
      </c>
      <c r="L573" t="str">
        <f>_xlfn.XLOOKUP(frasest[[#This Row],[author_es]],autorest[author_es],autorest[language_la])</f>
        <v>Lingua Anglica</v>
      </c>
      <c r="M573" t="str">
        <f>_xlfn.XLOOKUP(frasest[[#This Row],[author_es]],autorest[author_es],autorest[nation_es])</f>
        <v>Canadá</v>
      </c>
      <c r="N573" t="str">
        <f>_xlfn.XLOOKUP(frasest[[#This Row],[author_es]],autorest[author_es],autorest[nation_la])</f>
        <v>Canada</v>
      </c>
      <c r="O573" t="str">
        <f>_xlfn.XLOOKUP(frasest[[#This Row],[author_es]],autorest[author_es],autorest[age_es])</f>
        <v>Edad Contemporánea</v>
      </c>
      <c r="P573" t="str">
        <f>_xlfn.XLOOKUP(frasest[[#This Row],[author_es]],autorest[author_es],autorest[age_la])</f>
        <v>Aetas Contemporanea</v>
      </c>
      <c r="Q573" t="str">
        <f>_xlfn.XLOOKUP(frasest[[#This Row],[author_es]],autorest[author_es],autorest[image])</f>
        <v>https://i.ibb.co/21zkG8D5/albertbandura.png</v>
      </c>
      <c r="R573">
        <f>_xlfn.XLOOKUP(frasest[[#This Row],[author_es]],autorest[author_es],autorest[image_atr])</f>
        <v>0</v>
      </c>
    </row>
    <row r="574" spans="1:18">
      <c r="A574">
        <v>573</v>
      </c>
      <c r="B574" t="s">
        <v>1959</v>
      </c>
      <c r="C574" t="s">
        <v>1960</v>
      </c>
      <c r="D574" t="s">
        <v>1961</v>
      </c>
      <c r="E574" t="s">
        <v>1962</v>
      </c>
      <c r="F574" t="s">
        <v>1963</v>
      </c>
      <c r="G574" t="str">
        <f>_xlfn.XLOOKUP(frasest[[#This Row],[author_es]],autorest[author_es],autorest[author_la])</f>
        <v>Burrhus Frederic Skinner</v>
      </c>
      <c r="H574"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Row],[author_es]],autorest[author_es],autorest[iso3691])</f>
        <v>en</v>
      </c>
      <c r="K574" t="str">
        <f>_xlfn.XLOOKUP(frasest[[#This Row],[author_es]],autorest[author_es],autorest[language_es])</f>
        <v>Inglés</v>
      </c>
      <c r="L574" t="str">
        <f>_xlfn.XLOOKUP(frasest[[#This Row],[author_es]],autorest[author_es],autorest[language_la])</f>
        <v>Lingua Anglica</v>
      </c>
      <c r="M574" t="str">
        <f>_xlfn.XLOOKUP(frasest[[#This Row],[author_es]],autorest[author_es],autorest[nation_es])</f>
        <v>Estados Unidos</v>
      </c>
      <c r="N574" t="str">
        <f>_xlfn.XLOOKUP(frasest[[#This Row],[author_es]],autorest[author_es],autorest[nation_la])</f>
        <v>Civitates Foederatae Americae</v>
      </c>
      <c r="O574" t="str">
        <f>_xlfn.XLOOKUP(frasest[[#This Row],[author_es]],autorest[author_es],autorest[age_es])</f>
        <v>Edad Contemporánea</v>
      </c>
      <c r="P574" t="str">
        <f>_xlfn.XLOOKUP(frasest[[#This Row],[author_es]],autorest[author_es],autorest[age_la])</f>
        <v>Aetas Contemporanea</v>
      </c>
      <c r="Q574" t="str">
        <f>_xlfn.XLOOKUP(frasest[[#This Row],[author_es]],autorest[author_es],autorest[image])</f>
        <v>https://i.ibb.co/QFcznP4m/skinner.png</v>
      </c>
      <c r="R574">
        <f>_xlfn.XLOOKUP(frasest[[#This Row],[author_es]],autorest[author_es],autorest[image_atr])</f>
        <v>0</v>
      </c>
    </row>
    <row r="575" spans="1:18">
      <c r="A575">
        <v>574</v>
      </c>
      <c r="B575" t="s">
        <v>1964</v>
      </c>
      <c r="C575" t="s">
        <v>1965</v>
      </c>
      <c r="D575" t="s">
        <v>1966</v>
      </c>
      <c r="E575" t="s">
        <v>1962</v>
      </c>
      <c r="F575" t="s">
        <v>1967</v>
      </c>
      <c r="G575" t="str">
        <f>_xlfn.XLOOKUP(frasest[[#This Row],[author_es]],autorest[author_es],autorest[author_la])</f>
        <v>Burrhus Frederic Skinner</v>
      </c>
      <c r="H575"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Row],[author_es]],autorest[author_es],autorest[iso3691])</f>
        <v>en</v>
      </c>
      <c r="K575" t="str">
        <f>_xlfn.XLOOKUP(frasest[[#This Row],[author_es]],autorest[author_es],autorest[language_es])</f>
        <v>Inglés</v>
      </c>
      <c r="L575" t="str">
        <f>_xlfn.XLOOKUP(frasest[[#This Row],[author_es]],autorest[author_es],autorest[language_la])</f>
        <v>Lingua Anglica</v>
      </c>
      <c r="M575" t="str">
        <f>_xlfn.XLOOKUP(frasest[[#This Row],[author_es]],autorest[author_es],autorest[nation_es])</f>
        <v>Estados Unidos</v>
      </c>
      <c r="N575" t="str">
        <f>_xlfn.XLOOKUP(frasest[[#This Row],[author_es]],autorest[author_es],autorest[nation_la])</f>
        <v>Civitates Foederatae Americae</v>
      </c>
      <c r="O575" t="str">
        <f>_xlfn.XLOOKUP(frasest[[#This Row],[author_es]],autorest[author_es],autorest[age_es])</f>
        <v>Edad Contemporánea</v>
      </c>
      <c r="P575" t="str">
        <f>_xlfn.XLOOKUP(frasest[[#This Row],[author_es]],autorest[author_es],autorest[age_la])</f>
        <v>Aetas Contemporanea</v>
      </c>
      <c r="Q575" t="str">
        <f>_xlfn.XLOOKUP(frasest[[#This Row],[author_es]],autorest[author_es],autorest[image])</f>
        <v>https://i.ibb.co/QFcznP4m/skinner.png</v>
      </c>
      <c r="R575">
        <f>_xlfn.XLOOKUP(frasest[[#This Row],[author_es]],autorest[author_es],autorest[image_atr])</f>
        <v>0</v>
      </c>
    </row>
    <row r="576" spans="1:18">
      <c r="A576">
        <v>575</v>
      </c>
      <c r="B576" t="s">
        <v>1968</v>
      </c>
      <c r="C576" t="s">
        <v>1969</v>
      </c>
      <c r="D576" t="s">
        <v>1970</v>
      </c>
      <c r="E576" t="s">
        <v>1962</v>
      </c>
      <c r="F576" t="s">
        <v>1971</v>
      </c>
      <c r="G576" t="str">
        <f>_xlfn.XLOOKUP(frasest[[#This Row],[author_es]],autorest[author_es],autorest[author_la])</f>
        <v>Burrhus Frederic Skinner</v>
      </c>
      <c r="H576"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Row],[author_es]],autorest[author_es],autorest[iso3691])</f>
        <v>en</v>
      </c>
      <c r="K576" t="str">
        <f>_xlfn.XLOOKUP(frasest[[#This Row],[author_es]],autorest[author_es],autorest[language_es])</f>
        <v>Inglés</v>
      </c>
      <c r="L576" t="str">
        <f>_xlfn.XLOOKUP(frasest[[#This Row],[author_es]],autorest[author_es],autorest[language_la])</f>
        <v>Lingua Anglica</v>
      </c>
      <c r="M576" t="str">
        <f>_xlfn.XLOOKUP(frasest[[#This Row],[author_es]],autorest[author_es],autorest[nation_es])</f>
        <v>Estados Unidos</v>
      </c>
      <c r="N576" t="str">
        <f>_xlfn.XLOOKUP(frasest[[#This Row],[author_es]],autorest[author_es],autorest[nation_la])</f>
        <v>Civitates Foederatae Americae</v>
      </c>
      <c r="O576" t="str">
        <f>_xlfn.XLOOKUP(frasest[[#This Row],[author_es]],autorest[author_es],autorest[age_es])</f>
        <v>Edad Contemporánea</v>
      </c>
      <c r="P576" t="str">
        <f>_xlfn.XLOOKUP(frasest[[#This Row],[author_es]],autorest[author_es],autorest[age_la])</f>
        <v>Aetas Contemporanea</v>
      </c>
      <c r="Q576" t="str">
        <f>_xlfn.XLOOKUP(frasest[[#This Row],[author_es]],autorest[author_es],autorest[image])</f>
        <v>https://i.ibb.co/QFcznP4m/skinner.png</v>
      </c>
      <c r="R576">
        <f>_xlfn.XLOOKUP(frasest[[#This Row],[author_es]],autorest[author_es],autorest[image_atr])</f>
        <v>0</v>
      </c>
    </row>
    <row r="577" spans="1:18">
      <c r="A577">
        <v>576</v>
      </c>
      <c r="B577" t="s">
        <v>1972</v>
      </c>
      <c r="C577" t="s">
        <v>1973</v>
      </c>
      <c r="D577" t="s">
        <v>1974</v>
      </c>
      <c r="E577" t="s">
        <v>1962</v>
      </c>
      <c r="F577" t="s">
        <v>1975</v>
      </c>
      <c r="G577" t="str">
        <f>_xlfn.XLOOKUP(frasest[[#This Row],[author_es]],autorest[author_es],autorest[author_la])</f>
        <v>Burrhus Frederic Skinner</v>
      </c>
      <c r="H577"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Row],[author_es]],autorest[author_es],autorest[iso3691])</f>
        <v>en</v>
      </c>
      <c r="K577" t="str">
        <f>_xlfn.XLOOKUP(frasest[[#This Row],[author_es]],autorest[author_es],autorest[language_es])</f>
        <v>Inglés</v>
      </c>
      <c r="L577" t="str">
        <f>_xlfn.XLOOKUP(frasest[[#This Row],[author_es]],autorest[author_es],autorest[language_la])</f>
        <v>Lingua Anglica</v>
      </c>
      <c r="M577" t="str">
        <f>_xlfn.XLOOKUP(frasest[[#This Row],[author_es]],autorest[author_es],autorest[nation_es])</f>
        <v>Estados Unidos</v>
      </c>
      <c r="N577" t="str">
        <f>_xlfn.XLOOKUP(frasest[[#This Row],[author_es]],autorest[author_es],autorest[nation_la])</f>
        <v>Civitates Foederatae Americae</v>
      </c>
      <c r="O577" t="str">
        <f>_xlfn.XLOOKUP(frasest[[#This Row],[author_es]],autorest[author_es],autorest[age_es])</f>
        <v>Edad Contemporánea</v>
      </c>
      <c r="P577" t="str">
        <f>_xlfn.XLOOKUP(frasest[[#This Row],[author_es]],autorest[author_es],autorest[age_la])</f>
        <v>Aetas Contemporanea</v>
      </c>
      <c r="Q577" t="str">
        <f>_xlfn.XLOOKUP(frasest[[#This Row],[author_es]],autorest[author_es],autorest[image])</f>
        <v>https://i.ibb.co/QFcznP4m/skinner.png</v>
      </c>
      <c r="R577">
        <f>_xlfn.XLOOKUP(frasest[[#This Row],[author_es]],autorest[author_es],autorest[image_atr])</f>
        <v>0</v>
      </c>
    </row>
    <row r="578" spans="1:18">
      <c r="A578">
        <v>577</v>
      </c>
      <c r="B578" t="s">
        <v>1976</v>
      </c>
      <c r="C578" t="s">
        <v>1977</v>
      </c>
      <c r="D578" t="s">
        <v>1978</v>
      </c>
      <c r="E578" t="s">
        <v>1962</v>
      </c>
      <c r="F578" t="s">
        <v>1979</v>
      </c>
      <c r="G578" t="str">
        <f>_xlfn.XLOOKUP(frasest[[#This Row],[author_es]],autorest[author_es],autorest[author_la])</f>
        <v>Burrhus Frederic Skinner</v>
      </c>
      <c r="H578"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Row],[author_es]],autorest[author_es],autorest[iso3691])</f>
        <v>en</v>
      </c>
      <c r="K578" t="str">
        <f>_xlfn.XLOOKUP(frasest[[#This Row],[author_es]],autorest[author_es],autorest[language_es])</f>
        <v>Inglés</v>
      </c>
      <c r="L578" t="str">
        <f>_xlfn.XLOOKUP(frasest[[#This Row],[author_es]],autorest[author_es],autorest[language_la])</f>
        <v>Lingua Anglica</v>
      </c>
      <c r="M578" t="str">
        <f>_xlfn.XLOOKUP(frasest[[#This Row],[author_es]],autorest[author_es],autorest[nation_es])</f>
        <v>Estados Unidos</v>
      </c>
      <c r="N578" t="str">
        <f>_xlfn.XLOOKUP(frasest[[#This Row],[author_es]],autorest[author_es],autorest[nation_la])</f>
        <v>Civitates Foederatae Americae</v>
      </c>
      <c r="O578" t="str">
        <f>_xlfn.XLOOKUP(frasest[[#This Row],[author_es]],autorest[author_es],autorest[age_es])</f>
        <v>Edad Contemporánea</v>
      </c>
      <c r="P578" t="str">
        <f>_xlfn.XLOOKUP(frasest[[#This Row],[author_es]],autorest[author_es],autorest[age_la])</f>
        <v>Aetas Contemporanea</v>
      </c>
      <c r="Q578" t="str">
        <f>_xlfn.XLOOKUP(frasest[[#This Row],[author_es]],autorest[author_es],autorest[image])</f>
        <v>https://i.ibb.co/QFcznP4m/skinner.png</v>
      </c>
      <c r="R578">
        <f>_xlfn.XLOOKUP(frasest[[#This Row],[author_es]],autorest[author_es],autorest[image_atr])</f>
        <v>0</v>
      </c>
    </row>
    <row r="579" spans="1:18">
      <c r="A579">
        <v>578</v>
      </c>
      <c r="B579" t="s">
        <v>1980</v>
      </c>
      <c r="C579" t="s">
        <v>1981</v>
      </c>
      <c r="D579" t="s">
        <v>1982</v>
      </c>
      <c r="E579" t="s">
        <v>1962</v>
      </c>
      <c r="F579" t="s">
        <v>1983</v>
      </c>
      <c r="G579" t="str">
        <f>_xlfn.XLOOKUP(frasest[[#This Row],[author_es]],autorest[author_es],autorest[author_la])</f>
        <v>Burrhus Frederic Skinner</v>
      </c>
      <c r="H579"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Row],[author_es]],autorest[author_es],autorest[iso3691])</f>
        <v>en</v>
      </c>
      <c r="K579" t="str">
        <f>_xlfn.XLOOKUP(frasest[[#This Row],[author_es]],autorest[author_es],autorest[language_es])</f>
        <v>Inglés</v>
      </c>
      <c r="L579" t="str">
        <f>_xlfn.XLOOKUP(frasest[[#This Row],[author_es]],autorest[author_es],autorest[language_la])</f>
        <v>Lingua Anglica</v>
      </c>
      <c r="M579" t="str">
        <f>_xlfn.XLOOKUP(frasest[[#This Row],[author_es]],autorest[author_es],autorest[nation_es])</f>
        <v>Estados Unidos</v>
      </c>
      <c r="N579" t="str">
        <f>_xlfn.XLOOKUP(frasest[[#This Row],[author_es]],autorest[author_es],autorest[nation_la])</f>
        <v>Civitates Foederatae Americae</v>
      </c>
      <c r="O579" t="str">
        <f>_xlfn.XLOOKUP(frasest[[#This Row],[author_es]],autorest[author_es],autorest[age_es])</f>
        <v>Edad Contemporánea</v>
      </c>
      <c r="P579" t="str">
        <f>_xlfn.XLOOKUP(frasest[[#This Row],[author_es]],autorest[author_es],autorest[age_la])</f>
        <v>Aetas Contemporanea</v>
      </c>
      <c r="Q579" t="str">
        <f>_xlfn.XLOOKUP(frasest[[#This Row],[author_es]],autorest[author_es],autorest[image])</f>
        <v>https://i.ibb.co/QFcznP4m/skinner.png</v>
      </c>
      <c r="R579">
        <f>_xlfn.XLOOKUP(frasest[[#This Row],[author_es]],autorest[author_es],autorest[image_atr])</f>
        <v>0</v>
      </c>
    </row>
    <row r="580" spans="1:18">
      <c r="A580">
        <v>579</v>
      </c>
      <c r="B580" t="s">
        <v>1984</v>
      </c>
      <c r="C580" t="s">
        <v>1985</v>
      </c>
      <c r="D580" t="s">
        <v>1986</v>
      </c>
      <c r="E580" t="s">
        <v>1987</v>
      </c>
      <c r="F580" t="s">
        <v>1988</v>
      </c>
      <c r="G580" t="str">
        <f>_xlfn.XLOOKUP(frasest[[#This Row],[author_es]],autorest[author_es],autorest[author_la])</f>
        <v>Iacobus Maritain</v>
      </c>
      <c r="H580"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Row],[author_es]],autorest[author_es],autorest[iso3691])</f>
        <v>fr</v>
      </c>
      <c r="K580" t="str">
        <f>_xlfn.XLOOKUP(frasest[[#This Row],[author_es]],autorest[author_es],autorest[language_es])</f>
        <v>Francés</v>
      </c>
      <c r="L580" t="str">
        <f>_xlfn.XLOOKUP(frasest[[#This Row],[author_es]],autorest[author_es],autorest[language_la])</f>
        <v>Lingua Gallica</v>
      </c>
      <c r="M580" t="str">
        <f>_xlfn.XLOOKUP(frasest[[#This Row],[author_es]],autorest[author_es],autorest[nation_es])</f>
        <v>Francia</v>
      </c>
      <c r="N580" t="str">
        <f>_xlfn.XLOOKUP(frasest[[#This Row],[author_es]],autorest[author_es],autorest[nation_la])</f>
        <v>Francia</v>
      </c>
      <c r="O580" t="str">
        <f>_xlfn.XLOOKUP(frasest[[#This Row],[author_es]],autorest[author_es],autorest[age_es])</f>
        <v>Edad Contemporánea</v>
      </c>
      <c r="P580" t="str">
        <f>_xlfn.XLOOKUP(frasest[[#This Row],[author_es]],autorest[author_es],autorest[age_la])</f>
        <v>Aetas Contemporanea</v>
      </c>
      <c r="Q580" t="str">
        <f>_xlfn.XLOOKUP(frasest[[#This Row],[author_es]],autorest[author_es],autorest[image])</f>
        <v>https://i.ibb.co/tMwzk5gg/maritain.png</v>
      </c>
      <c r="R580">
        <f>_xlfn.XLOOKUP(frasest[[#This Row],[author_es]],autorest[author_es],autorest[image_atr])</f>
        <v>0</v>
      </c>
    </row>
    <row r="581" spans="1:18">
      <c r="A581">
        <v>580</v>
      </c>
      <c r="B581" t="s">
        <v>1989</v>
      </c>
      <c r="C581" t="s">
        <v>1990</v>
      </c>
      <c r="D581" t="s">
        <v>1991</v>
      </c>
      <c r="E581" t="s">
        <v>1987</v>
      </c>
      <c r="F581" t="s">
        <v>1992</v>
      </c>
      <c r="G581" t="str">
        <f>_xlfn.XLOOKUP(frasest[[#This Row],[author_es]],autorest[author_es],autorest[author_la])</f>
        <v>Iacobus Maritain</v>
      </c>
      <c r="H581"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Row],[author_es]],autorest[author_es],autorest[iso3691])</f>
        <v>fr</v>
      </c>
      <c r="K581" t="str">
        <f>_xlfn.XLOOKUP(frasest[[#This Row],[author_es]],autorest[author_es],autorest[language_es])</f>
        <v>Francés</v>
      </c>
      <c r="L581" t="str">
        <f>_xlfn.XLOOKUP(frasest[[#This Row],[author_es]],autorest[author_es],autorest[language_la])</f>
        <v>Lingua Gallica</v>
      </c>
      <c r="M581" t="str">
        <f>_xlfn.XLOOKUP(frasest[[#This Row],[author_es]],autorest[author_es],autorest[nation_es])</f>
        <v>Francia</v>
      </c>
      <c r="N581" t="str">
        <f>_xlfn.XLOOKUP(frasest[[#This Row],[author_es]],autorest[author_es],autorest[nation_la])</f>
        <v>Francia</v>
      </c>
      <c r="O581" t="str">
        <f>_xlfn.XLOOKUP(frasest[[#This Row],[author_es]],autorest[author_es],autorest[age_es])</f>
        <v>Edad Contemporánea</v>
      </c>
      <c r="P581" t="str">
        <f>_xlfn.XLOOKUP(frasest[[#This Row],[author_es]],autorest[author_es],autorest[age_la])</f>
        <v>Aetas Contemporanea</v>
      </c>
      <c r="Q581" t="str">
        <f>_xlfn.XLOOKUP(frasest[[#This Row],[author_es]],autorest[author_es],autorest[image])</f>
        <v>https://i.ibb.co/tMwzk5gg/maritain.png</v>
      </c>
      <c r="R581">
        <f>_xlfn.XLOOKUP(frasest[[#This Row],[author_es]],autorest[author_es],autorest[image_atr])</f>
        <v>0</v>
      </c>
    </row>
    <row r="582" spans="1:18">
      <c r="A582">
        <v>581</v>
      </c>
      <c r="B582" t="s">
        <v>1993</v>
      </c>
      <c r="C582" t="s">
        <v>1994</v>
      </c>
      <c r="D582" t="s">
        <v>1995</v>
      </c>
      <c r="E582" t="s">
        <v>1987</v>
      </c>
      <c r="F582" t="s">
        <v>1996</v>
      </c>
      <c r="G582" t="str">
        <f>_xlfn.XLOOKUP(frasest[[#This Row],[author_es]],autorest[author_es],autorest[author_la])</f>
        <v>Iacobus Maritain</v>
      </c>
      <c r="H582"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Row],[author_es]],autorest[author_es],autorest[iso3691])</f>
        <v>fr</v>
      </c>
      <c r="K582" t="str">
        <f>_xlfn.XLOOKUP(frasest[[#This Row],[author_es]],autorest[author_es],autorest[language_es])</f>
        <v>Francés</v>
      </c>
      <c r="L582" t="str">
        <f>_xlfn.XLOOKUP(frasest[[#This Row],[author_es]],autorest[author_es],autorest[language_la])</f>
        <v>Lingua Gallica</v>
      </c>
      <c r="M582" t="str">
        <f>_xlfn.XLOOKUP(frasest[[#This Row],[author_es]],autorest[author_es],autorest[nation_es])</f>
        <v>Francia</v>
      </c>
      <c r="N582" t="str">
        <f>_xlfn.XLOOKUP(frasest[[#This Row],[author_es]],autorest[author_es],autorest[nation_la])</f>
        <v>Francia</v>
      </c>
      <c r="O582" t="str">
        <f>_xlfn.XLOOKUP(frasest[[#This Row],[author_es]],autorest[author_es],autorest[age_es])</f>
        <v>Edad Contemporánea</v>
      </c>
      <c r="P582" t="str">
        <f>_xlfn.XLOOKUP(frasest[[#This Row],[author_es]],autorest[author_es],autorest[age_la])</f>
        <v>Aetas Contemporanea</v>
      </c>
      <c r="Q582" t="str">
        <f>_xlfn.XLOOKUP(frasest[[#This Row],[author_es]],autorest[author_es],autorest[image])</f>
        <v>https://i.ibb.co/tMwzk5gg/maritain.png</v>
      </c>
      <c r="R582">
        <f>_xlfn.XLOOKUP(frasest[[#This Row],[author_es]],autorest[author_es],autorest[image_atr])</f>
        <v>0</v>
      </c>
    </row>
    <row r="583" spans="1:18">
      <c r="A583">
        <v>582</v>
      </c>
      <c r="B583" t="s">
        <v>1997</v>
      </c>
      <c r="C583" t="s">
        <v>1998</v>
      </c>
      <c r="D583" t="s">
        <v>1999</v>
      </c>
      <c r="E583" t="s">
        <v>1987</v>
      </c>
      <c r="F583" t="s">
        <v>2000</v>
      </c>
      <c r="G583" t="str">
        <f>_xlfn.XLOOKUP(frasest[[#This Row],[author_es]],autorest[author_es],autorest[author_la])</f>
        <v>Iacobus Maritain</v>
      </c>
      <c r="H583"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Row],[author_es]],autorest[author_es],autorest[iso3691])</f>
        <v>fr</v>
      </c>
      <c r="K583" t="str">
        <f>_xlfn.XLOOKUP(frasest[[#This Row],[author_es]],autorest[author_es],autorest[language_es])</f>
        <v>Francés</v>
      </c>
      <c r="L583" t="str">
        <f>_xlfn.XLOOKUP(frasest[[#This Row],[author_es]],autorest[author_es],autorest[language_la])</f>
        <v>Lingua Gallica</v>
      </c>
      <c r="M583" t="str">
        <f>_xlfn.XLOOKUP(frasest[[#This Row],[author_es]],autorest[author_es],autorest[nation_es])</f>
        <v>Francia</v>
      </c>
      <c r="N583" t="str">
        <f>_xlfn.XLOOKUP(frasest[[#This Row],[author_es]],autorest[author_es],autorest[nation_la])</f>
        <v>Francia</v>
      </c>
      <c r="O583" t="str">
        <f>_xlfn.XLOOKUP(frasest[[#This Row],[author_es]],autorest[author_es],autorest[age_es])</f>
        <v>Edad Contemporánea</v>
      </c>
      <c r="P583" t="str">
        <f>_xlfn.XLOOKUP(frasest[[#This Row],[author_es]],autorest[author_es],autorest[age_la])</f>
        <v>Aetas Contemporanea</v>
      </c>
      <c r="Q583" t="str">
        <f>_xlfn.XLOOKUP(frasest[[#This Row],[author_es]],autorest[author_es],autorest[image])</f>
        <v>https://i.ibb.co/tMwzk5gg/maritain.png</v>
      </c>
      <c r="R583">
        <f>_xlfn.XLOOKUP(frasest[[#This Row],[author_es]],autorest[author_es],autorest[image_atr])</f>
        <v>0</v>
      </c>
    </row>
    <row r="584" spans="1:18">
      <c r="A584">
        <v>583</v>
      </c>
      <c r="B584" t="s">
        <v>2001</v>
      </c>
      <c r="C584" t="s">
        <v>2002</v>
      </c>
      <c r="D584" t="s">
        <v>2003</v>
      </c>
      <c r="E584" t="s">
        <v>1987</v>
      </c>
      <c r="F584" t="s">
        <v>2004</v>
      </c>
      <c r="G584" t="str">
        <f>_xlfn.XLOOKUP(frasest[[#This Row],[author_es]],autorest[author_es],autorest[author_la])</f>
        <v>Iacobus Maritain</v>
      </c>
      <c r="H584"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Row],[author_es]],autorest[author_es],autorest[iso3691])</f>
        <v>fr</v>
      </c>
      <c r="K584" t="str">
        <f>_xlfn.XLOOKUP(frasest[[#This Row],[author_es]],autorest[author_es],autorest[language_es])</f>
        <v>Francés</v>
      </c>
      <c r="L584" t="str">
        <f>_xlfn.XLOOKUP(frasest[[#This Row],[author_es]],autorest[author_es],autorest[language_la])</f>
        <v>Lingua Gallica</v>
      </c>
      <c r="M584" t="str">
        <f>_xlfn.XLOOKUP(frasest[[#This Row],[author_es]],autorest[author_es],autorest[nation_es])</f>
        <v>Francia</v>
      </c>
      <c r="N584" t="str">
        <f>_xlfn.XLOOKUP(frasest[[#This Row],[author_es]],autorest[author_es],autorest[nation_la])</f>
        <v>Francia</v>
      </c>
      <c r="O584" t="str">
        <f>_xlfn.XLOOKUP(frasest[[#This Row],[author_es]],autorest[author_es],autorest[age_es])</f>
        <v>Edad Contemporánea</v>
      </c>
      <c r="P584" t="str">
        <f>_xlfn.XLOOKUP(frasest[[#This Row],[author_es]],autorest[author_es],autorest[age_la])</f>
        <v>Aetas Contemporanea</v>
      </c>
      <c r="Q584" t="str">
        <f>_xlfn.XLOOKUP(frasest[[#This Row],[author_es]],autorest[author_es],autorest[image])</f>
        <v>https://i.ibb.co/tMwzk5gg/maritain.png</v>
      </c>
      <c r="R584">
        <f>_xlfn.XLOOKUP(frasest[[#This Row],[author_es]],autorest[author_es],autorest[image_atr])</f>
        <v>0</v>
      </c>
    </row>
    <row r="585" spans="1:18">
      <c r="A585">
        <v>584</v>
      </c>
      <c r="B585" t="s">
        <v>2005</v>
      </c>
      <c r="C585" t="s">
        <v>2006</v>
      </c>
      <c r="D585" t="s">
        <v>2007</v>
      </c>
      <c r="E585" t="s">
        <v>1987</v>
      </c>
      <c r="F585" t="s">
        <v>2008</v>
      </c>
      <c r="G585" t="str">
        <f>_xlfn.XLOOKUP(frasest[[#This Row],[author_es]],autorest[author_es],autorest[author_la])</f>
        <v>Iacobus Maritain</v>
      </c>
      <c r="H585"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Row],[author_es]],autorest[author_es],autorest[iso3691])</f>
        <v>fr</v>
      </c>
      <c r="K585" t="str">
        <f>_xlfn.XLOOKUP(frasest[[#This Row],[author_es]],autorest[author_es],autorest[language_es])</f>
        <v>Francés</v>
      </c>
      <c r="L585" t="str">
        <f>_xlfn.XLOOKUP(frasest[[#This Row],[author_es]],autorest[author_es],autorest[language_la])</f>
        <v>Lingua Gallica</v>
      </c>
      <c r="M585" t="str">
        <f>_xlfn.XLOOKUP(frasest[[#This Row],[author_es]],autorest[author_es],autorest[nation_es])</f>
        <v>Francia</v>
      </c>
      <c r="N585" t="str">
        <f>_xlfn.XLOOKUP(frasest[[#This Row],[author_es]],autorest[author_es],autorest[nation_la])</f>
        <v>Francia</v>
      </c>
      <c r="O585" t="str">
        <f>_xlfn.XLOOKUP(frasest[[#This Row],[author_es]],autorest[author_es],autorest[age_es])</f>
        <v>Edad Contemporánea</v>
      </c>
      <c r="P585" t="str">
        <f>_xlfn.XLOOKUP(frasest[[#This Row],[author_es]],autorest[author_es],autorest[age_la])</f>
        <v>Aetas Contemporanea</v>
      </c>
      <c r="Q585" t="str">
        <f>_xlfn.XLOOKUP(frasest[[#This Row],[author_es]],autorest[author_es],autorest[image])</f>
        <v>https://i.ibb.co/tMwzk5gg/maritain.png</v>
      </c>
      <c r="R585">
        <f>_xlfn.XLOOKUP(frasest[[#This Row],[author_es]],autorest[author_es],autorest[image_atr])</f>
        <v>0</v>
      </c>
    </row>
    <row r="586" spans="1:18">
      <c r="A586">
        <v>585</v>
      </c>
      <c r="B586" t="s">
        <v>2009</v>
      </c>
      <c r="C586" t="s">
        <v>2010</v>
      </c>
      <c r="D586" t="s">
        <v>2011</v>
      </c>
      <c r="E586" t="s">
        <v>2012</v>
      </c>
      <c r="F586" t="s">
        <v>2013</v>
      </c>
      <c r="G586" t="str">
        <f>_xlfn.XLOOKUP(frasest[[#This Row],[author_es]],autorest[author_es],autorest[author_la])</f>
        <v>Clive Staples Lewis</v>
      </c>
      <c r="H586"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Row],[author_es]],autorest[author_es],autorest[iso3691])</f>
        <v>en</v>
      </c>
      <c r="K586" t="str">
        <f>_xlfn.XLOOKUP(frasest[[#This Row],[author_es]],autorest[author_es],autorest[language_es])</f>
        <v>Inglés</v>
      </c>
      <c r="L586" t="str">
        <f>_xlfn.XLOOKUP(frasest[[#This Row],[author_es]],autorest[author_es],autorest[language_la])</f>
        <v>Lingua Anglica</v>
      </c>
      <c r="M586" t="str">
        <f>_xlfn.XLOOKUP(frasest[[#This Row],[author_es]],autorest[author_es],autorest[nation_es])</f>
        <v>Reino Unido</v>
      </c>
      <c r="N586" t="str">
        <f>_xlfn.XLOOKUP(frasest[[#This Row],[author_es]],autorest[author_es],autorest[nation_la])</f>
        <v>Regnum Unitum</v>
      </c>
      <c r="O586" t="str">
        <f>_xlfn.XLOOKUP(frasest[[#This Row],[author_es]],autorest[author_es],autorest[age_es])</f>
        <v>Edad Contemporánea</v>
      </c>
      <c r="P586" t="str">
        <f>_xlfn.XLOOKUP(frasest[[#This Row],[author_es]],autorest[author_es],autorest[age_la])</f>
        <v>Aetas Contemporanea</v>
      </c>
      <c r="Q586" t="str">
        <f>_xlfn.XLOOKUP(frasest[[#This Row],[author_es]],autorest[author_es],autorest[image])</f>
        <v>https://i.ibb.co/VY2H7VMM/cslewis.png</v>
      </c>
      <c r="R586">
        <f>_xlfn.XLOOKUP(frasest[[#This Row],[author_es]],autorest[author_es],autorest[image_atr])</f>
        <v>0</v>
      </c>
    </row>
    <row r="587" spans="1:18">
      <c r="A587">
        <v>586</v>
      </c>
      <c r="B587" t="s">
        <v>2014</v>
      </c>
      <c r="C587" t="s">
        <v>2015</v>
      </c>
      <c r="D587" t="s">
        <v>2016</v>
      </c>
      <c r="E587" t="s">
        <v>2012</v>
      </c>
      <c r="F587" t="s">
        <v>2017</v>
      </c>
      <c r="G587" t="str">
        <f>_xlfn.XLOOKUP(frasest[[#This Row],[author_es]],autorest[author_es],autorest[author_la])</f>
        <v>Clive Staples Lewis</v>
      </c>
      <c r="H587"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Row],[author_es]],autorest[author_es],autorest[iso3691])</f>
        <v>en</v>
      </c>
      <c r="K587" t="str">
        <f>_xlfn.XLOOKUP(frasest[[#This Row],[author_es]],autorest[author_es],autorest[language_es])</f>
        <v>Inglés</v>
      </c>
      <c r="L587" t="str">
        <f>_xlfn.XLOOKUP(frasest[[#This Row],[author_es]],autorest[author_es],autorest[language_la])</f>
        <v>Lingua Anglica</v>
      </c>
      <c r="M587" t="str">
        <f>_xlfn.XLOOKUP(frasest[[#This Row],[author_es]],autorest[author_es],autorest[nation_es])</f>
        <v>Reino Unido</v>
      </c>
      <c r="N587" t="str">
        <f>_xlfn.XLOOKUP(frasest[[#This Row],[author_es]],autorest[author_es],autorest[nation_la])</f>
        <v>Regnum Unitum</v>
      </c>
      <c r="O587" t="str">
        <f>_xlfn.XLOOKUP(frasest[[#This Row],[author_es]],autorest[author_es],autorest[age_es])</f>
        <v>Edad Contemporánea</v>
      </c>
      <c r="P587" t="str">
        <f>_xlfn.XLOOKUP(frasest[[#This Row],[author_es]],autorest[author_es],autorest[age_la])</f>
        <v>Aetas Contemporanea</v>
      </c>
      <c r="Q587" t="str">
        <f>_xlfn.XLOOKUP(frasest[[#This Row],[author_es]],autorest[author_es],autorest[image])</f>
        <v>https://i.ibb.co/VY2H7VMM/cslewis.png</v>
      </c>
      <c r="R587">
        <f>_xlfn.XLOOKUP(frasest[[#This Row],[author_es]],autorest[author_es],autorest[image_atr])</f>
        <v>0</v>
      </c>
    </row>
    <row r="588" spans="1:18">
      <c r="A588">
        <v>587</v>
      </c>
      <c r="B588" t="s">
        <v>2018</v>
      </c>
      <c r="C588" t="s">
        <v>2019</v>
      </c>
      <c r="D588" t="s">
        <v>2020</v>
      </c>
      <c r="E588" t="s">
        <v>2012</v>
      </c>
      <c r="F588" t="s">
        <v>2021</v>
      </c>
      <c r="G588" t="str">
        <f>_xlfn.XLOOKUP(frasest[[#This Row],[author_es]],autorest[author_es],autorest[author_la])</f>
        <v>Clive Staples Lewis</v>
      </c>
      <c r="H588"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Row],[author_es]],autorest[author_es],autorest[iso3691])</f>
        <v>en</v>
      </c>
      <c r="K588" t="str">
        <f>_xlfn.XLOOKUP(frasest[[#This Row],[author_es]],autorest[author_es],autorest[language_es])</f>
        <v>Inglés</v>
      </c>
      <c r="L588" t="str">
        <f>_xlfn.XLOOKUP(frasest[[#This Row],[author_es]],autorest[author_es],autorest[language_la])</f>
        <v>Lingua Anglica</v>
      </c>
      <c r="M588" t="str">
        <f>_xlfn.XLOOKUP(frasest[[#This Row],[author_es]],autorest[author_es],autorest[nation_es])</f>
        <v>Reino Unido</v>
      </c>
      <c r="N588" t="str">
        <f>_xlfn.XLOOKUP(frasest[[#This Row],[author_es]],autorest[author_es],autorest[nation_la])</f>
        <v>Regnum Unitum</v>
      </c>
      <c r="O588" t="str">
        <f>_xlfn.XLOOKUP(frasest[[#This Row],[author_es]],autorest[author_es],autorest[age_es])</f>
        <v>Edad Contemporánea</v>
      </c>
      <c r="P588" t="str">
        <f>_xlfn.XLOOKUP(frasest[[#This Row],[author_es]],autorest[author_es],autorest[age_la])</f>
        <v>Aetas Contemporanea</v>
      </c>
      <c r="Q588" t="str">
        <f>_xlfn.XLOOKUP(frasest[[#This Row],[author_es]],autorest[author_es],autorest[image])</f>
        <v>https://i.ibb.co/VY2H7VMM/cslewis.png</v>
      </c>
      <c r="R588">
        <f>_xlfn.XLOOKUP(frasest[[#This Row],[author_es]],autorest[author_es],autorest[image_atr])</f>
        <v>0</v>
      </c>
    </row>
    <row r="589" spans="1:18">
      <c r="A589">
        <v>588</v>
      </c>
      <c r="B589" t="s">
        <v>2022</v>
      </c>
      <c r="C589" t="s">
        <v>2023</v>
      </c>
      <c r="D589" t="s">
        <v>2024</v>
      </c>
      <c r="E589" t="s">
        <v>2012</v>
      </c>
      <c r="F589" t="s">
        <v>2021</v>
      </c>
      <c r="G589" t="str">
        <f>_xlfn.XLOOKUP(frasest[[#This Row],[author_es]],autorest[author_es],autorest[author_la])</f>
        <v>Clive Staples Lewis</v>
      </c>
      <c r="H589"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Row],[author_es]],autorest[author_es],autorest[iso3691])</f>
        <v>en</v>
      </c>
      <c r="K589" t="str">
        <f>_xlfn.XLOOKUP(frasest[[#This Row],[author_es]],autorest[author_es],autorest[language_es])</f>
        <v>Inglés</v>
      </c>
      <c r="L589" t="str">
        <f>_xlfn.XLOOKUP(frasest[[#This Row],[author_es]],autorest[author_es],autorest[language_la])</f>
        <v>Lingua Anglica</v>
      </c>
      <c r="M589" t="str">
        <f>_xlfn.XLOOKUP(frasest[[#This Row],[author_es]],autorest[author_es],autorest[nation_es])</f>
        <v>Reino Unido</v>
      </c>
      <c r="N589" t="str">
        <f>_xlfn.XLOOKUP(frasest[[#This Row],[author_es]],autorest[author_es],autorest[nation_la])</f>
        <v>Regnum Unitum</v>
      </c>
      <c r="O589" t="str">
        <f>_xlfn.XLOOKUP(frasest[[#This Row],[author_es]],autorest[author_es],autorest[age_es])</f>
        <v>Edad Contemporánea</v>
      </c>
      <c r="P589" t="str">
        <f>_xlfn.XLOOKUP(frasest[[#This Row],[author_es]],autorest[author_es],autorest[age_la])</f>
        <v>Aetas Contemporanea</v>
      </c>
      <c r="Q589" t="str">
        <f>_xlfn.XLOOKUP(frasest[[#This Row],[author_es]],autorest[author_es],autorest[image])</f>
        <v>https://i.ibb.co/VY2H7VMM/cslewis.png</v>
      </c>
      <c r="R589">
        <f>_xlfn.XLOOKUP(frasest[[#This Row],[author_es]],autorest[author_es],autorest[image_atr])</f>
        <v>0</v>
      </c>
    </row>
    <row r="590" spans="1:18">
      <c r="A590">
        <v>589</v>
      </c>
      <c r="B590" t="s">
        <v>2025</v>
      </c>
      <c r="C590" t="s">
        <v>2026</v>
      </c>
      <c r="D590" t="s">
        <v>2027</v>
      </c>
      <c r="E590" t="s">
        <v>2012</v>
      </c>
      <c r="F590" t="s">
        <v>2028</v>
      </c>
      <c r="G590" t="str">
        <f>_xlfn.XLOOKUP(frasest[[#This Row],[author_es]],autorest[author_es],autorest[author_la])</f>
        <v>Clive Staples Lewis</v>
      </c>
      <c r="H590"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Row],[author_es]],autorest[author_es],autorest[iso3691])</f>
        <v>en</v>
      </c>
      <c r="K590" t="str">
        <f>_xlfn.XLOOKUP(frasest[[#This Row],[author_es]],autorest[author_es],autorest[language_es])</f>
        <v>Inglés</v>
      </c>
      <c r="L590" t="str">
        <f>_xlfn.XLOOKUP(frasest[[#This Row],[author_es]],autorest[author_es],autorest[language_la])</f>
        <v>Lingua Anglica</v>
      </c>
      <c r="M590" t="str">
        <f>_xlfn.XLOOKUP(frasest[[#This Row],[author_es]],autorest[author_es],autorest[nation_es])</f>
        <v>Reino Unido</v>
      </c>
      <c r="N590" t="str">
        <f>_xlfn.XLOOKUP(frasest[[#This Row],[author_es]],autorest[author_es],autorest[nation_la])</f>
        <v>Regnum Unitum</v>
      </c>
      <c r="O590" t="str">
        <f>_xlfn.XLOOKUP(frasest[[#This Row],[author_es]],autorest[author_es],autorest[age_es])</f>
        <v>Edad Contemporánea</v>
      </c>
      <c r="P590" t="str">
        <f>_xlfn.XLOOKUP(frasest[[#This Row],[author_es]],autorest[author_es],autorest[age_la])</f>
        <v>Aetas Contemporanea</v>
      </c>
      <c r="Q590" t="str">
        <f>_xlfn.XLOOKUP(frasest[[#This Row],[author_es]],autorest[author_es],autorest[image])</f>
        <v>https://i.ibb.co/VY2H7VMM/cslewis.png</v>
      </c>
      <c r="R590">
        <f>_xlfn.XLOOKUP(frasest[[#This Row],[author_es]],autorest[author_es],autorest[image_atr])</f>
        <v>0</v>
      </c>
    </row>
    <row r="591" spans="1:18">
      <c r="A591">
        <v>590</v>
      </c>
      <c r="B591" t="s">
        <v>2029</v>
      </c>
      <c r="C591" t="s">
        <v>2030</v>
      </c>
      <c r="D591" t="s">
        <v>2031</v>
      </c>
      <c r="E591" t="s">
        <v>2012</v>
      </c>
      <c r="F591" t="s">
        <v>2032</v>
      </c>
      <c r="G591" t="str">
        <f>_xlfn.XLOOKUP(frasest[[#This Row],[author_es]],autorest[author_es],autorest[author_la])</f>
        <v>Clive Staples Lewis</v>
      </c>
      <c r="H591"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Row],[author_es]],autorest[author_es],autorest[iso3691])</f>
        <v>en</v>
      </c>
      <c r="K591" t="str">
        <f>_xlfn.XLOOKUP(frasest[[#This Row],[author_es]],autorest[author_es],autorest[language_es])</f>
        <v>Inglés</v>
      </c>
      <c r="L591" t="str">
        <f>_xlfn.XLOOKUP(frasest[[#This Row],[author_es]],autorest[author_es],autorest[language_la])</f>
        <v>Lingua Anglica</v>
      </c>
      <c r="M591" t="str">
        <f>_xlfn.XLOOKUP(frasest[[#This Row],[author_es]],autorest[author_es],autorest[nation_es])</f>
        <v>Reino Unido</v>
      </c>
      <c r="N591" t="str">
        <f>_xlfn.XLOOKUP(frasest[[#This Row],[author_es]],autorest[author_es],autorest[nation_la])</f>
        <v>Regnum Unitum</v>
      </c>
      <c r="O591" t="str">
        <f>_xlfn.XLOOKUP(frasest[[#This Row],[author_es]],autorest[author_es],autorest[age_es])</f>
        <v>Edad Contemporánea</v>
      </c>
      <c r="P591" t="str">
        <f>_xlfn.XLOOKUP(frasest[[#This Row],[author_es]],autorest[author_es],autorest[age_la])</f>
        <v>Aetas Contemporanea</v>
      </c>
      <c r="Q591" t="str">
        <f>_xlfn.XLOOKUP(frasest[[#This Row],[author_es]],autorest[author_es],autorest[image])</f>
        <v>https://i.ibb.co/VY2H7VMM/cslewis.png</v>
      </c>
      <c r="R591">
        <f>_xlfn.XLOOKUP(frasest[[#This Row],[author_es]],autorest[author_es],autorest[image_atr])</f>
        <v>0</v>
      </c>
    </row>
    <row r="592" spans="1:18">
      <c r="A592">
        <v>591</v>
      </c>
      <c r="B592" t="s">
        <v>2033</v>
      </c>
      <c r="C592" t="s">
        <v>2034</v>
      </c>
      <c r="D592" t="s">
        <v>2033</v>
      </c>
      <c r="E592" t="s">
        <v>2035</v>
      </c>
      <c r="F592" t="s">
        <v>2036</v>
      </c>
      <c r="G592" t="str">
        <f>_xlfn.XLOOKUP(frasest[[#This Row],[author_es]],autorest[author_es],autorest[author_la])</f>
        <v>Gregorius Luri</v>
      </c>
      <c r="H592"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Row],[author_es]],autorest[author_es],autorest[iso3691])</f>
        <v>es</v>
      </c>
      <c r="K592" t="str">
        <f>_xlfn.XLOOKUP(frasest[[#This Row],[author_es]],autorest[author_es],autorest[language_es])</f>
        <v>Español</v>
      </c>
      <c r="L592" t="str">
        <f>_xlfn.XLOOKUP(frasest[[#This Row],[author_es]],autorest[author_es],autorest[language_la])</f>
        <v>Lingua Hispanica</v>
      </c>
      <c r="M592" t="str">
        <f>_xlfn.XLOOKUP(frasest[[#This Row],[author_es]],autorest[author_es],autorest[nation_es])</f>
        <v>España</v>
      </c>
      <c r="N592" t="str">
        <f>_xlfn.XLOOKUP(frasest[[#This Row],[author_es]],autorest[author_es],autorest[nation_la])</f>
        <v>Hispania</v>
      </c>
      <c r="O592" t="str">
        <f>_xlfn.XLOOKUP(frasest[[#This Row],[author_es]],autorest[author_es],autorest[age_es])</f>
        <v>Edad Contemporánea</v>
      </c>
      <c r="P592" t="str">
        <f>_xlfn.XLOOKUP(frasest[[#This Row],[author_es]],autorest[author_es],autorest[age_la])</f>
        <v>Aetas Contemporanea</v>
      </c>
      <c r="Q592" t="str">
        <f>_xlfn.XLOOKUP(frasest[[#This Row],[author_es]],autorest[author_es],autorest[image])</f>
        <v>https://i.ibb.co/WvdGWZ6r/gregorioluri.png</v>
      </c>
      <c r="R592">
        <f>_xlfn.XLOOKUP(frasest[[#This Row],[author_es]],autorest[author_es],autorest[image_atr])</f>
        <v>0</v>
      </c>
    </row>
    <row r="593" spans="1:18">
      <c r="A593">
        <v>592</v>
      </c>
      <c r="B593" t="s">
        <v>2037</v>
      </c>
      <c r="C593" t="s">
        <v>2038</v>
      </c>
      <c r="D593" t="s">
        <v>2037</v>
      </c>
      <c r="E593" t="s">
        <v>2035</v>
      </c>
      <c r="F593" t="s">
        <v>2039</v>
      </c>
      <c r="G593" t="str">
        <f>_xlfn.XLOOKUP(frasest[[#This Row],[author_es]],autorest[author_es],autorest[author_la])</f>
        <v>Gregorius Luri</v>
      </c>
      <c r="H593"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Row],[author_es]],autorest[author_es],autorest[iso3691])</f>
        <v>es</v>
      </c>
      <c r="K593" t="str">
        <f>_xlfn.XLOOKUP(frasest[[#This Row],[author_es]],autorest[author_es],autorest[language_es])</f>
        <v>Español</v>
      </c>
      <c r="L593" t="str">
        <f>_xlfn.XLOOKUP(frasest[[#This Row],[author_es]],autorest[author_es],autorest[language_la])</f>
        <v>Lingua Hispanica</v>
      </c>
      <c r="M593" t="str">
        <f>_xlfn.XLOOKUP(frasest[[#This Row],[author_es]],autorest[author_es],autorest[nation_es])</f>
        <v>España</v>
      </c>
      <c r="N593" t="str">
        <f>_xlfn.XLOOKUP(frasest[[#This Row],[author_es]],autorest[author_es],autorest[nation_la])</f>
        <v>Hispania</v>
      </c>
      <c r="O593" t="str">
        <f>_xlfn.XLOOKUP(frasest[[#This Row],[author_es]],autorest[author_es],autorest[age_es])</f>
        <v>Edad Contemporánea</v>
      </c>
      <c r="P593" t="str">
        <f>_xlfn.XLOOKUP(frasest[[#This Row],[author_es]],autorest[author_es],autorest[age_la])</f>
        <v>Aetas Contemporanea</v>
      </c>
      <c r="Q593" t="str">
        <f>_xlfn.XLOOKUP(frasest[[#This Row],[author_es]],autorest[author_es],autorest[image])</f>
        <v>https://i.ibb.co/WvdGWZ6r/gregorioluri.png</v>
      </c>
      <c r="R593">
        <f>_xlfn.XLOOKUP(frasest[[#This Row],[author_es]],autorest[author_es],autorest[image_atr])</f>
        <v>0</v>
      </c>
    </row>
    <row r="594" spans="1:18">
      <c r="A594">
        <v>593</v>
      </c>
      <c r="B594" t="s">
        <v>2040</v>
      </c>
      <c r="C594" t="s">
        <v>2041</v>
      </c>
      <c r="D594" t="s">
        <v>2040</v>
      </c>
      <c r="E594" t="s">
        <v>2035</v>
      </c>
      <c r="F594" t="s">
        <v>2042</v>
      </c>
      <c r="G594" t="str">
        <f>_xlfn.XLOOKUP(frasest[[#This Row],[author_es]],autorest[author_es],autorest[author_la])</f>
        <v>Gregorius Luri</v>
      </c>
      <c r="H594"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Row],[author_es]],autorest[author_es],autorest[iso3691])</f>
        <v>es</v>
      </c>
      <c r="K594" t="str">
        <f>_xlfn.XLOOKUP(frasest[[#This Row],[author_es]],autorest[author_es],autorest[language_es])</f>
        <v>Español</v>
      </c>
      <c r="L594" t="str">
        <f>_xlfn.XLOOKUP(frasest[[#This Row],[author_es]],autorest[author_es],autorest[language_la])</f>
        <v>Lingua Hispanica</v>
      </c>
      <c r="M594" t="str">
        <f>_xlfn.XLOOKUP(frasest[[#This Row],[author_es]],autorest[author_es],autorest[nation_es])</f>
        <v>España</v>
      </c>
      <c r="N594" t="str">
        <f>_xlfn.XLOOKUP(frasest[[#This Row],[author_es]],autorest[author_es],autorest[nation_la])</f>
        <v>Hispania</v>
      </c>
      <c r="O594" t="str">
        <f>_xlfn.XLOOKUP(frasest[[#This Row],[author_es]],autorest[author_es],autorest[age_es])</f>
        <v>Edad Contemporánea</v>
      </c>
      <c r="P594" t="str">
        <f>_xlfn.XLOOKUP(frasest[[#This Row],[author_es]],autorest[author_es],autorest[age_la])</f>
        <v>Aetas Contemporanea</v>
      </c>
      <c r="Q594" t="str">
        <f>_xlfn.XLOOKUP(frasest[[#This Row],[author_es]],autorest[author_es],autorest[image])</f>
        <v>https://i.ibb.co/WvdGWZ6r/gregorioluri.png</v>
      </c>
      <c r="R594">
        <f>_xlfn.XLOOKUP(frasest[[#This Row],[author_es]],autorest[author_es],autorest[image_atr])</f>
        <v>0</v>
      </c>
    </row>
    <row r="595" spans="1:18">
      <c r="A595">
        <v>594</v>
      </c>
      <c r="B595" t="s">
        <v>2043</v>
      </c>
      <c r="C595" t="s">
        <v>2044</v>
      </c>
      <c r="D595" t="s">
        <v>2043</v>
      </c>
      <c r="E595" t="s">
        <v>2035</v>
      </c>
      <c r="F595" t="s">
        <v>2045</v>
      </c>
      <c r="G595" t="str">
        <f>_xlfn.XLOOKUP(frasest[[#This Row],[author_es]],autorest[author_es],autorest[author_la])</f>
        <v>Gregorius Luri</v>
      </c>
      <c r="H595"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Row],[author_es]],autorest[author_es],autorest[iso3691])</f>
        <v>es</v>
      </c>
      <c r="K595" t="str">
        <f>_xlfn.XLOOKUP(frasest[[#This Row],[author_es]],autorest[author_es],autorest[language_es])</f>
        <v>Español</v>
      </c>
      <c r="L595" t="str">
        <f>_xlfn.XLOOKUP(frasest[[#This Row],[author_es]],autorest[author_es],autorest[language_la])</f>
        <v>Lingua Hispanica</v>
      </c>
      <c r="M595" t="str">
        <f>_xlfn.XLOOKUP(frasest[[#This Row],[author_es]],autorest[author_es],autorest[nation_es])</f>
        <v>España</v>
      </c>
      <c r="N595" t="str">
        <f>_xlfn.XLOOKUP(frasest[[#This Row],[author_es]],autorest[author_es],autorest[nation_la])</f>
        <v>Hispania</v>
      </c>
      <c r="O595" t="str">
        <f>_xlfn.XLOOKUP(frasest[[#This Row],[author_es]],autorest[author_es],autorest[age_es])</f>
        <v>Edad Contemporánea</v>
      </c>
      <c r="P595" t="str">
        <f>_xlfn.XLOOKUP(frasest[[#This Row],[author_es]],autorest[author_es],autorest[age_la])</f>
        <v>Aetas Contemporanea</v>
      </c>
      <c r="Q595" t="str">
        <f>_xlfn.XLOOKUP(frasest[[#This Row],[author_es]],autorest[author_es],autorest[image])</f>
        <v>https://i.ibb.co/WvdGWZ6r/gregorioluri.png</v>
      </c>
      <c r="R595">
        <f>_xlfn.XLOOKUP(frasest[[#This Row],[author_es]],autorest[author_es],autorest[image_atr])</f>
        <v>0</v>
      </c>
    </row>
    <row r="596" spans="1:18">
      <c r="A596">
        <v>595</v>
      </c>
      <c r="B596" t="s">
        <v>2046</v>
      </c>
      <c r="C596" t="s">
        <v>2047</v>
      </c>
      <c r="D596" t="s">
        <v>2046</v>
      </c>
      <c r="E596" t="s">
        <v>2035</v>
      </c>
      <c r="F596" t="s">
        <v>2048</v>
      </c>
      <c r="G596" t="str">
        <f>_xlfn.XLOOKUP(frasest[[#This Row],[author_es]],autorest[author_es],autorest[author_la])</f>
        <v>Gregorius Luri</v>
      </c>
      <c r="H596"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Row],[author_es]],autorest[author_es],autorest[iso3691])</f>
        <v>es</v>
      </c>
      <c r="K596" t="str">
        <f>_xlfn.XLOOKUP(frasest[[#This Row],[author_es]],autorest[author_es],autorest[language_es])</f>
        <v>Español</v>
      </c>
      <c r="L596" t="str">
        <f>_xlfn.XLOOKUP(frasest[[#This Row],[author_es]],autorest[author_es],autorest[language_la])</f>
        <v>Lingua Hispanica</v>
      </c>
      <c r="M596" t="str">
        <f>_xlfn.XLOOKUP(frasest[[#This Row],[author_es]],autorest[author_es],autorest[nation_es])</f>
        <v>España</v>
      </c>
      <c r="N596" t="str">
        <f>_xlfn.XLOOKUP(frasest[[#This Row],[author_es]],autorest[author_es],autorest[nation_la])</f>
        <v>Hispania</v>
      </c>
      <c r="O596" t="str">
        <f>_xlfn.XLOOKUP(frasest[[#This Row],[author_es]],autorest[author_es],autorest[age_es])</f>
        <v>Edad Contemporánea</v>
      </c>
      <c r="P596" t="str">
        <f>_xlfn.XLOOKUP(frasest[[#This Row],[author_es]],autorest[author_es],autorest[age_la])</f>
        <v>Aetas Contemporanea</v>
      </c>
      <c r="Q596" t="str">
        <f>_xlfn.XLOOKUP(frasest[[#This Row],[author_es]],autorest[author_es],autorest[image])</f>
        <v>https://i.ibb.co/WvdGWZ6r/gregorioluri.png</v>
      </c>
      <c r="R596">
        <f>_xlfn.XLOOKUP(frasest[[#This Row],[author_es]],autorest[author_es],autorest[image_atr])</f>
        <v>0</v>
      </c>
    </row>
    <row r="597" spans="1:18">
      <c r="A597">
        <v>596</v>
      </c>
      <c r="B597" t="s">
        <v>2049</v>
      </c>
      <c r="C597" t="s">
        <v>2050</v>
      </c>
      <c r="D597" t="s">
        <v>2049</v>
      </c>
      <c r="E597" t="s">
        <v>2035</v>
      </c>
      <c r="F597" t="s">
        <v>2051</v>
      </c>
      <c r="G597" t="str">
        <f>_xlfn.XLOOKUP(frasest[[#This Row],[author_es]],autorest[author_es],autorest[author_la])</f>
        <v>Gregorius Luri</v>
      </c>
      <c r="H597"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Row],[author_es]],autorest[author_es],autorest[iso3691])</f>
        <v>es</v>
      </c>
      <c r="K597" t="str">
        <f>_xlfn.XLOOKUP(frasest[[#This Row],[author_es]],autorest[author_es],autorest[language_es])</f>
        <v>Español</v>
      </c>
      <c r="L597" t="str">
        <f>_xlfn.XLOOKUP(frasest[[#This Row],[author_es]],autorest[author_es],autorest[language_la])</f>
        <v>Lingua Hispanica</v>
      </c>
      <c r="M597" t="str">
        <f>_xlfn.XLOOKUP(frasest[[#This Row],[author_es]],autorest[author_es],autorest[nation_es])</f>
        <v>España</v>
      </c>
      <c r="N597" t="str">
        <f>_xlfn.XLOOKUP(frasest[[#This Row],[author_es]],autorest[author_es],autorest[nation_la])</f>
        <v>Hispania</v>
      </c>
      <c r="O597" t="str">
        <f>_xlfn.XLOOKUP(frasest[[#This Row],[author_es]],autorest[author_es],autorest[age_es])</f>
        <v>Edad Contemporánea</v>
      </c>
      <c r="P597" t="str">
        <f>_xlfn.XLOOKUP(frasest[[#This Row],[author_es]],autorest[author_es],autorest[age_la])</f>
        <v>Aetas Contemporanea</v>
      </c>
      <c r="Q597" t="str">
        <f>_xlfn.XLOOKUP(frasest[[#This Row],[author_es]],autorest[author_es],autorest[image])</f>
        <v>https://i.ibb.co/WvdGWZ6r/gregorioluri.png</v>
      </c>
      <c r="R597">
        <f>_xlfn.XLOOKUP(frasest[[#This Row],[author_es]],autorest[author_es],autorest[image_atr])</f>
        <v>0</v>
      </c>
    </row>
    <row r="598" spans="1:18">
      <c r="A598">
        <v>597</v>
      </c>
      <c r="B598" t="s">
        <v>2052</v>
      </c>
      <c r="C598" t="s">
        <v>2053</v>
      </c>
      <c r="D598" t="s">
        <v>2054</v>
      </c>
      <c r="E598" t="s">
        <v>2055</v>
      </c>
      <c r="F598" t="s">
        <v>2056</v>
      </c>
      <c r="G598" t="str">
        <f>_xlfn.XLOOKUP(frasest[[#This Row],[author_es]],autorest[author_es],autorest[author_la])</f>
        <v>Ioannes Hattie</v>
      </c>
      <c r="H598"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8"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8" t="str">
        <f>_xlfn.XLOOKUP(frasest[[#This Row],[author_es]],autorest[author_es],autorest[iso3691])</f>
        <v>en</v>
      </c>
      <c r="K598" t="str">
        <f>_xlfn.XLOOKUP(frasest[[#This Row],[author_es]],autorest[author_es],autorest[language_es])</f>
        <v>Inglés</v>
      </c>
      <c r="L598" t="str">
        <f>_xlfn.XLOOKUP(frasest[[#This Row],[author_es]],autorest[author_es],autorest[language_la])</f>
        <v>Lingua Anglica</v>
      </c>
      <c r="M598" t="str">
        <f>_xlfn.XLOOKUP(frasest[[#This Row],[author_es]],autorest[author_es],autorest[nation_es])</f>
        <v>Nueva Zelanda</v>
      </c>
      <c r="N598" t="str">
        <f>_xlfn.XLOOKUP(frasest[[#This Row],[author_es]],autorest[author_es],autorest[nation_la])</f>
        <v>Nova Zelandia</v>
      </c>
      <c r="O598" t="str">
        <f>_xlfn.XLOOKUP(frasest[[#This Row],[author_es]],autorest[author_es],autorest[age_es])</f>
        <v>Edad Contemporánea</v>
      </c>
      <c r="P598" t="str">
        <f>_xlfn.XLOOKUP(frasest[[#This Row],[author_es]],autorest[author_es],autorest[age_la])</f>
        <v>Aetas Contemporanea</v>
      </c>
      <c r="Q598" t="str">
        <f>_xlfn.XLOOKUP(frasest[[#This Row],[author_es]],autorest[author_es],autorest[image])</f>
        <v>https://i.ibb.co/20HTMSQF/johnhattie.png</v>
      </c>
      <c r="R598">
        <f>_xlfn.XLOOKUP(frasest[[#This Row],[author_es]],autorest[author_es],autorest[image_atr])</f>
        <v>0</v>
      </c>
    </row>
    <row r="599" spans="1:18">
      <c r="A599">
        <v>598</v>
      </c>
      <c r="B599" t="s">
        <v>2057</v>
      </c>
      <c r="C599" t="s">
        <v>2058</v>
      </c>
      <c r="D599" t="s">
        <v>2059</v>
      </c>
      <c r="E599" t="s">
        <v>2055</v>
      </c>
      <c r="F599" t="s">
        <v>2056</v>
      </c>
      <c r="G599" t="str">
        <f>_xlfn.XLOOKUP(frasest[[#This Row],[author_es]],autorest[author_es],autorest[author_la])</f>
        <v>Ioannes Hattie</v>
      </c>
      <c r="H599"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Row],[author_es]],autorest[author_es],autorest[iso3691])</f>
        <v>en</v>
      </c>
      <c r="K599" t="str">
        <f>_xlfn.XLOOKUP(frasest[[#This Row],[author_es]],autorest[author_es],autorest[language_es])</f>
        <v>Inglés</v>
      </c>
      <c r="L599" t="str">
        <f>_xlfn.XLOOKUP(frasest[[#This Row],[author_es]],autorest[author_es],autorest[language_la])</f>
        <v>Lingua Anglica</v>
      </c>
      <c r="M599" t="str">
        <f>_xlfn.XLOOKUP(frasest[[#This Row],[author_es]],autorest[author_es],autorest[nation_es])</f>
        <v>Nueva Zelanda</v>
      </c>
      <c r="N599" t="str">
        <f>_xlfn.XLOOKUP(frasest[[#This Row],[author_es]],autorest[author_es],autorest[nation_la])</f>
        <v>Nova Zelandia</v>
      </c>
      <c r="O599" t="str">
        <f>_xlfn.XLOOKUP(frasest[[#This Row],[author_es]],autorest[author_es],autorest[age_es])</f>
        <v>Edad Contemporánea</v>
      </c>
      <c r="P599" t="str">
        <f>_xlfn.XLOOKUP(frasest[[#This Row],[author_es]],autorest[author_es],autorest[age_la])</f>
        <v>Aetas Contemporanea</v>
      </c>
      <c r="Q599" t="str">
        <f>_xlfn.XLOOKUP(frasest[[#This Row],[author_es]],autorest[author_es],autorest[image])</f>
        <v>https://i.ibb.co/20HTMSQF/johnhattie.png</v>
      </c>
      <c r="R599">
        <f>_xlfn.XLOOKUP(frasest[[#This Row],[author_es]],autorest[author_es],autorest[image_atr])</f>
        <v>0</v>
      </c>
    </row>
    <row r="600" spans="1:18">
      <c r="A600">
        <v>599</v>
      </c>
      <c r="B600" t="s">
        <v>2060</v>
      </c>
      <c r="C600" t="s">
        <v>2061</v>
      </c>
      <c r="D600" t="s">
        <v>2062</v>
      </c>
      <c r="E600" t="s">
        <v>2055</v>
      </c>
      <c r="F600" t="s">
        <v>2056</v>
      </c>
      <c r="G600" t="str">
        <f>_xlfn.XLOOKUP(frasest[[#This Row],[author_es]],autorest[author_es],autorest[author_la])</f>
        <v>Ioannes Hattie</v>
      </c>
      <c r="H600"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Row],[author_es]],autorest[author_es],autorest[iso3691])</f>
        <v>en</v>
      </c>
      <c r="K600" t="str">
        <f>_xlfn.XLOOKUP(frasest[[#This Row],[author_es]],autorest[author_es],autorest[language_es])</f>
        <v>Inglés</v>
      </c>
      <c r="L600" t="str">
        <f>_xlfn.XLOOKUP(frasest[[#This Row],[author_es]],autorest[author_es],autorest[language_la])</f>
        <v>Lingua Anglica</v>
      </c>
      <c r="M600" t="str">
        <f>_xlfn.XLOOKUP(frasest[[#This Row],[author_es]],autorest[author_es],autorest[nation_es])</f>
        <v>Nueva Zelanda</v>
      </c>
      <c r="N600" t="str">
        <f>_xlfn.XLOOKUP(frasest[[#This Row],[author_es]],autorest[author_es],autorest[nation_la])</f>
        <v>Nova Zelandia</v>
      </c>
      <c r="O600" t="str">
        <f>_xlfn.XLOOKUP(frasest[[#This Row],[author_es]],autorest[author_es],autorest[age_es])</f>
        <v>Edad Contemporánea</v>
      </c>
      <c r="P600" t="str">
        <f>_xlfn.XLOOKUP(frasest[[#This Row],[author_es]],autorest[author_es],autorest[age_la])</f>
        <v>Aetas Contemporanea</v>
      </c>
      <c r="Q600" t="str">
        <f>_xlfn.XLOOKUP(frasest[[#This Row],[author_es]],autorest[author_es],autorest[image])</f>
        <v>https://i.ibb.co/20HTMSQF/johnhattie.png</v>
      </c>
      <c r="R600">
        <f>_xlfn.XLOOKUP(frasest[[#This Row],[author_es]],autorest[author_es],autorest[image_atr])</f>
        <v>0</v>
      </c>
    </row>
    <row r="601" spans="1:18">
      <c r="A601">
        <v>600</v>
      </c>
      <c r="B601" t="s">
        <v>2063</v>
      </c>
      <c r="C601" t="s">
        <v>2064</v>
      </c>
      <c r="D601" t="s">
        <v>2065</v>
      </c>
      <c r="E601" t="s">
        <v>2055</v>
      </c>
      <c r="F601" t="s">
        <v>2066</v>
      </c>
      <c r="G601" t="str">
        <f>_xlfn.XLOOKUP(frasest[[#This Row],[author_es]],autorest[author_es],autorest[author_la])</f>
        <v>Ioannes Hattie</v>
      </c>
      <c r="H601"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Row],[author_es]],autorest[author_es],autorest[iso3691])</f>
        <v>en</v>
      </c>
      <c r="K601" t="str">
        <f>_xlfn.XLOOKUP(frasest[[#This Row],[author_es]],autorest[author_es],autorest[language_es])</f>
        <v>Inglés</v>
      </c>
      <c r="L601" t="str">
        <f>_xlfn.XLOOKUP(frasest[[#This Row],[author_es]],autorest[author_es],autorest[language_la])</f>
        <v>Lingua Anglica</v>
      </c>
      <c r="M601" t="str">
        <f>_xlfn.XLOOKUP(frasest[[#This Row],[author_es]],autorest[author_es],autorest[nation_es])</f>
        <v>Nueva Zelanda</v>
      </c>
      <c r="N601" t="str">
        <f>_xlfn.XLOOKUP(frasest[[#This Row],[author_es]],autorest[author_es],autorest[nation_la])</f>
        <v>Nova Zelandia</v>
      </c>
      <c r="O601" t="str">
        <f>_xlfn.XLOOKUP(frasest[[#This Row],[author_es]],autorest[author_es],autorest[age_es])</f>
        <v>Edad Contemporánea</v>
      </c>
      <c r="P601" t="str">
        <f>_xlfn.XLOOKUP(frasest[[#This Row],[author_es]],autorest[author_es],autorest[age_la])</f>
        <v>Aetas Contemporanea</v>
      </c>
      <c r="Q601" t="str">
        <f>_xlfn.XLOOKUP(frasest[[#This Row],[author_es]],autorest[author_es],autorest[image])</f>
        <v>https://i.ibb.co/20HTMSQF/johnhattie.png</v>
      </c>
      <c r="R601">
        <f>_xlfn.XLOOKUP(frasest[[#This Row],[author_es]],autorest[author_es],autorest[image_atr])</f>
        <v>0</v>
      </c>
    </row>
    <row r="602" spans="1:18">
      <c r="A602">
        <v>601</v>
      </c>
      <c r="B602" t="s">
        <v>2067</v>
      </c>
      <c r="C602" t="s">
        <v>2068</v>
      </c>
      <c r="D602" t="s">
        <v>2069</v>
      </c>
      <c r="E602" t="s">
        <v>2055</v>
      </c>
      <c r="F602" t="s">
        <v>2056</v>
      </c>
      <c r="G602" t="str">
        <f>_xlfn.XLOOKUP(frasest[[#This Row],[author_es]],autorest[author_es],autorest[author_la])</f>
        <v>Ioannes Hattie</v>
      </c>
      <c r="H602"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Row],[author_es]],autorest[author_es],autorest[iso3691])</f>
        <v>en</v>
      </c>
      <c r="K602" t="str">
        <f>_xlfn.XLOOKUP(frasest[[#This Row],[author_es]],autorest[author_es],autorest[language_es])</f>
        <v>Inglés</v>
      </c>
      <c r="L602" t="str">
        <f>_xlfn.XLOOKUP(frasest[[#This Row],[author_es]],autorest[author_es],autorest[language_la])</f>
        <v>Lingua Anglica</v>
      </c>
      <c r="M602" t="str">
        <f>_xlfn.XLOOKUP(frasest[[#This Row],[author_es]],autorest[author_es],autorest[nation_es])</f>
        <v>Nueva Zelanda</v>
      </c>
      <c r="N602" t="str">
        <f>_xlfn.XLOOKUP(frasest[[#This Row],[author_es]],autorest[author_es],autorest[nation_la])</f>
        <v>Nova Zelandia</v>
      </c>
      <c r="O602" t="str">
        <f>_xlfn.XLOOKUP(frasest[[#This Row],[author_es]],autorest[author_es],autorest[age_es])</f>
        <v>Edad Contemporánea</v>
      </c>
      <c r="P602" t="str">
        <f>_xlfn.XLOOKUP(frasest[[#This Row],[author_es]],autorest[author_es],autorest[age_la])</f>
        <v>Aetas Contemporanea</v>
      </c>
      <c r="Q602" t="str">
        <f>_xlfn.XLOOKUP(frasest[[#This Row],[author_es]],autorest[author_es],autorest[image])</f>
        <v>https://i.ibb.co/20HTMSQF/johnhattie.png</v>
      </c>
      <c r="R602">
        <f>_xlfn.XLOOKUP(frasest[[#This Row],[author_es]],autorest[author_es],autorest[image_atr])</f>
        <v>0</v>
      </c>
    </row>
    <row r="603" spans="1:18">
      <c r="A603">
        <v>602</v>
      </c>
      <c r="B603" t="s">
        <v>2070</v>
      </c>
      <c r="C603" t="s">
        <v>2071</v>
      </c>
      <c r="D603" t="s">
        <v>2072</v>
      </c>
      <c r="E603" t="s">
        <v>2055</v>
      </c>
      <c r="F603" t="s">
        <v>2073</v>
      </c>
      <c r="G603" t="str">
        <f>_xlfn.XLOOKUP(frasest[[#This Row],[author_es]],autorest[author_es],autorest[author_la])</f>
        <v>Ioannes Hattie</v>
      </c>
      <c r="H603"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Row],[author_es]],autorest[author_es],autorest[iso3691])</f>
        <v>en</v>
      </c>
      <c r="K603" t="str">
        <f>_xlfn.XLOOKUP(frasest[[#This Row],[author_es]],autorest[author_es],autorest[language_es])</f>
        <v>Inglés</v>
      </c>
      <c r="L603" t="str">
        <f>_xlfn.XLOOKUP(frasest[[#This Row],[author_es]],autorest[author_es],autorest[language_la])</f>
        <v>Lingua Anglica</v>
      </c>
      <c r="M603" t="str">
        <f>_xlfn.XLOOKUP(frasest[[#This Row],[author_es]],autorest[author_es],autorest[nation_es])</f>
        <v>Nueva Zelanda</v>
      </c>
      <c r="N603" t="str">
        <f>_xlfn.XLOOKUP(frasest[[#This Row],[author_es]],autorest[author_es],autorest[nation_la])</f>
        <v>Nova Zelandia</v>
      </c>
      <c r="O603" t="str">
        <f>_xlfn.XLOOKUP(frasest[[#This Row],[author_es]],autorest[author_es],autorest[age_es])</f>
        <v>Edad Contemporánea</v>
      </c>
      <c r="P603" t="str">
        <f>_xlfn.XLOOKUP(frasest[[#This Row],[author_es]],autorest[author_es],autorest[age_la])</f>
        <v>Aetas Contemporanea</v>
      </c>
      <c r="Q603" t="str">
        <f>_xlfn.XLOOKUP(frasest[[#This Row],[author_es]],autorest[author_es],autorest[image])</f>
        <v>https://i.ibb.co/20HTMSQF/johnhattie.png</v>
      </c>
      <c r="R603">
        <f>_xlfn.XLOOKUP(frasest[[#This Row],[author_es]],autorest[author_es],autorest[image_atr])</f>
        <v>0</v>
      </c>
    </row>
    <row r="604" spans="1:18">
      <c r="A604">
        <v>603</v>
      </c>
      <c r="B604" t="s">
        <v>2074</v>
      </c>
      <c r="C604" t="s">
        <v>2075</v>
      </c>
      <c r="D604" t="s">
        <v>2076</v>
      </c>
      <c r="E604" t="s">
        <v>2077</v>
      </c>
      <c r="F604" t="s">
        <v>2078</v>
      </c>
      <c r="G604" t="str">
        <f>_xlfn.XLOOKUP(frasest[[#This Row],[author_es]],autorest[author_es],autorest[author_la])</f>
        <v>Ioannes Locke</v>
      </c>
      <c r="H604"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4"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4" t="str">
        <f>_xlfn.XLOOKUP(frasest[[#This Row],[author_es]],autorest[author_es],autorest[iso3691])</f>
        <v>en</v>
      </c>
      <c r="K604" t="str">
        <f>_xlfn.XLOOKUP(frasest[[#This Row],[author_es]],autorest[author_es],autorest[language_es])</f>
        <v>Inglés</v>
      </c>
      <c r="L604" t="str">
        <f>_xlfn.XLOOKUP(frasest[[#This Row],[author_es]],autorest[author_es],autorest[language_la])</f>
        <v>Lingua Anglica</v>
      </c>
      <c r="M604" t="str">
        <f>_xlfn.XLOOKUP(frasest[[#This Row],[author_es]],autorest[author_es],autorest[nation_es])</f>
        <v>Reino Unido</v>
      </c>
      <c r="N604" t="str">
        <f>_xlfn.XLOOKUP(frasest[[#This Row],[author_es]],autorest[author_es],autorest[nation_la])</f>
        <v>Regnum Unitum</v>
      </c>
      <c r="O604" t="str">
        <f>_xlfn.XLOOKUP(frasest[[#This Row],[author_es]],autorest[author_es],autorest[age_es])</f>
        <v>Edad Moderna</v>
      </c>
      <c r="P604" t="str">
        <f>_xlfn.XLOOKUP(frasest[[#This Row],[author_es]],autorest[author_es],autorest[age_la])</f>
        <v>Nova Aetas</v>
      </c>
      <c r="Q604" t="str">
        <f>_xlfn.XLOOKUP(frasest[[#This Row],[author_es]],autorest[author_es],autorest[image])</f>
        <v>https://i.ibb.co/9HRt5j9n/johnlocke.png</v>
      </c>
      <c r="R604">
        <f>_xlfn.XLOOKUP(frasest[[#This Row],[author_es]],autorest[author_es],autorest[image_atr])</f>
        <v>0</v>
      </c>
    </row>
    <row r="605" spans="1:18">
      <c r="A605">
        <v>604</v>
      </c>
      <c r="B605" t="s">
        <v>2079</v>
      </c>
      <c r="C605" t="s">
        <v>2080</v>
      </c>
      <c r="D605" t="s">
        <v>2081</v>
      </c>
      <c r="E605" t="s">
        <v>2077</v>
      </c>
      <c r="F605" t="s">
        <v>2082</v>
      </c>
      <c r="G605" t="str">
        <f>_xlfn.XLOOKUP(frasest[[#This Row],[author_es]],autorest[author_es],autorest[author_la])</f>
        <v>Ioannes Locke</v>
      </c>
      <c r="H605"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Row],[author_es]],autorest[author_es],autorest[iso3691])</f>
        <v>en</v>
      </c>
      <c r="K605" t="str">
        <f>_xlfn.XLOOKUP(frasest[[#This Row],[author_es]],autorest[author_es],autorest[language_es])</f>
        <v>Inglés</v>
      </c>
      <c r="L605" t="str">
        <f>_xlfn.XLOOKUP(frasest[[#This Row],[author_es]],autorest[author_es],autorest[language_la])</f>
        <v>Lingua Anglica</v>
      </c>
      <c r="M605" t="str">
        <f>_xlfn.XLOOKUP(frasest[[#This Row],[author_es]],autorest[author_es],autorest[nation_es])</f>
        <v>Reino Unido</v>
      </c>
      <c r="N605" t="str">
        <f>_xlfn.XLOOKUP(frasest[[#This Row],[author_es]],autorest[author_es],autorest[nation_la])</f>
        <v>Regnum Unitum</v>
      </c>
      <c r="O605" t="str">
        <f>_xlfn.XLOOKUP(frasest[[#This Row],[author_es]],autorest[author_es],autorest[age_es])</f>
        <v>Edad Moderna</v>
      </c>
      <c r="P605" t="str">
        <f>_xlfn.XLOOKUP(frasest[[#This Row],[author_es]],autorest[author_es],autorest[age_la])</f>
        <v>Nova Aetas</v>
      </c>
      <c r="Q605" t="str">
        <f>_xlfn.XLOOKUP(frasest[[#This Row],[author_es]],autorest[author_es],autorest[image])</f>
        <v>https://i.ibb.co/9HRt5j9n/johnlocke.png</v>
      </c>
      <c r="R605">
        <f>_xlfn.XLOOKUP(frasest[[#This Row],[author_es]],autorest[author_es],autorest[image_atr])</f>
        <v>0</v>
      </c>
    </row>
    <row r="606" spans="1:18">
      <c r="A606">
        <v>605</v>
      </c>
      <c r="B606" t="s">
        <v>2083</v>
      </c>
      <c r="C606" t="s">
        <v>597</v>
      </c>
      <c r="D606" t="s">
        <v>2084</v>
      </c>
      <c r="E606" t="s">
        <v>2077</v>
      </c>
      <c r="F606" t="s">
        <v>2085</v>
      </c>
      <c r="G606" t="str">
        <f>_xlfn.XLOOKUP(frasest[[#This Row],[author_es]],autorest[author_es],autorest[author_la])</f>
        <v>Ioannes Locke</v>
      </c>
      <c r="H606"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Row],[author_es]],autorest[author_es],autorest[iso3691])</f>
        <v>en</v>
      </c>
      <c r="K606" t="str">
        <f>_xlfn.XLOOKUP(frasest[[#This Row],[author_es]],autorest[author_es],autorest[language_es])</f>
        <v>Inglés</v>
      </c>
      <c r="L606" t="str">
        <f>_xlfn.XLOOKUP(frasest[[#This Row],[author_es]],autorest[author_es],autorest[language_la])</f>
        <v>Lingua Anglica</v>
      </c>
      <c r="M606" t="str">
        <f>_xlfn.XLOOKUP(frasest[[#This Row],[author_es]],autorest[author_es],autorest[nation_es])</f>
        <v>Reino Unido</v>
      </c>
      <c r="N606" t="str">
        <f>_xlfn.XLOOKUP(frasest[[#This Row],[author_es]],autorest[author_es],autorest[nation_la])</f>
        <v>Regnum Unitum</v>
      </c>
      <c r="O606" t="str">
        <f>_xlfn.XLOOKUP(frasest[[#This Row],[author_es]],autorest[author_es],autorest[age_es])</f>
        <v>Edad Moderna</v>
      </c>
      <c r="P606" t="str">
        <f>_xlfn.XLOOKUP(frasest[[#This Row],[author_es]],autorest[author_es],autorest[age_la])</f>
        <v>Nova Aetas</v>
      </c>
      <c r="Q606" t="str">
        <f>_xlfn.XLOOKUP(frasest[[#This Row],[author_es]],autorest[author_es],autorest[image])</f>
        <v>https://i.ibb.co/9HRt5j9n/johnlocke.png</v>
      </c>
      <c r="R606">
        <f>_xlfn.XLOOKUP(frasest[[#This Row],[author_es]],autorest[author_es],autorest[image_atr])</f>
        <v>0</v>
      </c>
    </row>
    <row r="607" spans="1:18">
      <c r="A607">
        <v>606</v>
      </c>
      <c r="B607" t="s">
        <v>2086</v>
      </c>
      <c r="C607" t="s">
        <v>2087</v>
      </c>
      <c r="D607" t="s">
        <v>2088</v>
      </c>
      <c r="E607" t="s">
        <v>2077</v>
      </c>
      <c r="F607" t="s">
        <v>2089</v>
      </c>
      <c r="G607" t="str">
        <f>_xlfn.XLOOKUP(frasest[[#This Row],[author_es]],autorest[author_es],autorest[author_la])</f>
        <v>Ioannes Locke</v>
      </c>
      <c r="H607"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Row],[author_es]],autorest[author_es],autorest[iso3691])</f>
        <v>en</v>
      </c>
      <c r="K607" t="str">
        <f>_xlfn.XLOOKUP(frasest[[#This Row],[author_es]],autorest[author_es],autorest[language_es])</f>
        <v>Inglés</v>
      </c>
      <c r="L607" t="str">
        <f>_xlfn.XLOOKUP(frasest[[#This Row],[author_es]],autorest[author_es],autorest[language_la])</f>
        <v>Lingua Anglica</v>
      </c>
      <c r="M607" t="str">
        <f>_xlfn.XLOOKUP(frasest[[#This Row],[author_es]],autorest[author_es],autorest[nation_es])</f>
        <v>Reino Unido</v>
      </c>
      <c r="N607" t="str">
        <f>_xlfn.XLOOKUP(frasest[[#This Row],[author_es]],autorest[author_es],autorest[nation_la])</f>
        <v>Regnum Unitum</v>
      </c>
      <c r="O607" t="str">
        <f>_xlfn.XLOOKUP(frasest[[#This Row],[author_es]],autorest[author_es],autorest[age_es])</f>
        <v>Edad Moderna</v>
      </c>
      <c r="P607" t="str">
        <f>_xlfn.XLOOKUP(frasest[[#This Row],[author_es]],autorest[author_es],autorest[age_la])</f>
        <v>Nova Aetas</v>
      </c>
      <c r="Q607" t="str">
        <f>_xlfn.XLOOKUP(frasest[[#This Row],[author_es]],autorest[author_es],autorest[image])</f>
        <v>https://i.ibb.co/9HRt5j9n/johnlocke.png</v>
      </c>
      <c r="R607">
        <f>_xlfn.XLOOKUP(frasest[[#This Row],[author_es]],autorest[author_es],autorest[image_atr])</f>
        <v>0</v>
      </c>
    </row>
    <row r="608" spans="1:18">
      <c r="A608">
        <v>607</v>
      </c>
      <c r="B608" t="s">
        <v>2090</v>
      </c>
      <c r="C608" t="s">
        <v>2091</v>
      </c>
      <c r="D608" t="s">
        <v>2092</v>
      </c>
      <c r="E608" t="s">
        <v>2077</v>
      </c>
      <c r="F608" t="s">
        <v>2093</v>
      </c>
      <c r="G608" t="str">
        <f>_xlfn.XLOOKUP(frasest[[#This Row],[author_es]],autorest[author_es],autorest[author_la])</f>
        <v>Ioannes Locke</v>
      </c>
      <c r="H608"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Row],[author_es]],autorest[author_es],autorest[iso3691])</f>
        <v>en</v>
      </c>
      <c r="K608" t="str">
        <f>_xlfn.XLOOKUP(frasest[[#This Row],[author_es]],autorest[author_es],autorest[language_es])</f>
        <v>Inglés</v>
      </c>
      <c r="L608" t="str">
        <f>_xlfn.XLOOKUP(frasest[[#This Row],[author_es]],autorest[author_es],autorest[language_la])</f>
        <v>Lingua Anglica</v>
      </c>
      <c r="M608" t="str">
        <f>_xlfn.XLOOKUP(frasest[[#This Row],[author_es]],autorest[author_es],autorest[nation_es])</f>
        <v>Reino Unido</v>
      </c>
      <c r="N608" t="str">
        <f>_xlfn.XLOOKUP(frasest[[#This Row],[author_es]],autorest[author_es],autorest[nation_la])</f>
        <v>Regnum Unitum</v>
      </c>
      <c r="O608" t="str">
        <f>_xlfn.XLOOKUP(frasest[[#This Row],[author_es]],autorest[author_es],autorest[age_es])</f>
        <v>Edad Moderna</v>
      </c>
      <c r="P608" t="str">
        <f>_xlfn.XLOOKUP(frasest[[#This Row],[author_es]],autorest[author_es],autorest[age_la])</f>
        <v>Nova Aetas</v>
      </c>
      <c r="Q608" t="str">
        <f>_xlfn.XLOOKUP(frasest[[#This Row],[author_es]],autorest[author_es],autorest[image])</f>
        <v>https://i.ibb.co/9HRt5j9n/johnlocke.png</v>
      </c>
      <c r="R608">
        <f>_xlfn.XLOOKUP(frasest[[#This Row],[author_es]],autorest[author_es],autorest[image_atr])</f>
        <v>0</v>
      </c>
    </row>
    <row r="609" spans="1:18">
      <c r="A609">
        <v>608</v>
      </c>
      <c r="B609" t="s">
        <v>2094</v>
      </c>
      <c r="C609" t="s">
        <v>2095</v>
      </c>
      <c r="D609" t="s">
        <v>2096</v>
      </c>
      <c r="E609" t="s">
        <v>2077</v>
      </c>
      <c r="F609" t="s">
        <v>2097</v>
      </c>
      <c r="G609" t="str">
        <f>_xlfn.XLOOKUP(frasest[[#This Row],[author_es]],autorest[author_es],autorest[author_la])</f>
        <v>Ioannes Locke</v>
      </c>
      <c r="H609"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Row],[author_es]],autorest[author_es],autorest[iso3691])</f>
        <v>en</v>
      </c>
      <c r="K609" t="str">
        <f>_xlfn.XLOOKUP(frasest[[#This Row],[author_es]],autorest[author_es],autorest[language_es])</f>
        <v>Inglés</v>
      </c>
      <c r="L609" t="str">
        <f>_xlfn.XLOOKUP(frasest[[#This Row],[author_es]],autorest[author_es],autorest[language_la])</f>
        <v>Lingua Anglica</v>
      </c>
      <c r="M609" t="str">
        <f>_xlfn.XLOOKUP(frasest[[#This Row],[author_es]],autorest[author_es],autorest[nation_es])</f>
        <v>Reino Unido</v>
      </c>
      <c r="N609" t="str">
        <f>_xlfn.XLOOKUP(frasest[[#This Row],[author_es]],autorest[author_es],autorest[nation_la])</f>
        <v>Regnum Unitum</v>
      </c>
      <c r="O609" t="str">
        <f>_xlfn.XLOOKUP(frasest[[#This Row],[author_es]],autorest[author_es],autorest[age_es])</f>
        <v>Edad Moderna</v>
      </c>
      <c r="P609" t="str">
        <f>_xlfn.XLOOKUP(frasest[[#This Row],[author_es]],autorest[author_es],autorest[age_la])</f>
        <v>Nova Aetas</v>
      </c>
      <c r="Q609" t="str">
        <f>_xlfn.XLOOKUP(frasest[[#This Row],[author_es]],autorest[author_es],autorest[image])</f>
        <v>https://i.ibb.co/9HRt5j9n/johnlocke.png</v>
      </c>
      <c r="R609">
        <f>_xlfn.XLOOKUP(frasest[[#This Row],[author_es]],autorest[author_es],autorest[image_atr])</f>
        <v>0</v>
      </c>
    </row>
    <row r="610" spans="1:18">
      <c r="A610">
        <v>609</v>
      </c>
      <c r="B610" t="s">
        <v>2098</v>
      </c>
      <c r="C610" t="s">
        <v>2099</v>
      </c>
      <c r="D610" t="s">
        <v>2100</v>
      </c>
      <c r="E610" t="s">
        <v>2101</v>
      </c>
      <c r="F610" t="s">
        <v>2102</v>
      </c>
      <c r="G610" t="str">
        <f>_xlfn.XLOOKUP(frasest[[#This Row],[author_es]],autorest[author_es],autorest[author_la])</f>
        <v>Rabindranath Tagore</v>
      </c>
      <c r="H610"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0"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0" t="str">
        <f>_xlfn.XLOOKUP(frasest[[#This Row],[author_es]],autorest[author_es],autorest[iso3691])</f>
        <v>bn</v>
      </c>
      <c r="K610" t="str">
        <f>_xlfn.XLOOKUP(frasest[[#This Row],[author_es]],autorest[author_es],autorest[language_es])</f>
        <v>Bengalí</v>
      </c>
      <c r="L610" t="str">
        <f>_xlfn.XLOOKUP(frasest[[#This Row],[author_es]],autorest[author_es],autorest[language_la])</f>
        <v>Lingua Bengalice</v>
      </c>
      <c r="M610" t="str">
        <f>_xlfn.XLOOKUP(frasest[[#This Row],[author_es]],autorest[author_es],autorest[nation_es])</f>
        <v>India</v>
      </c>
      <c r="N610" t="str">
        <f>_xlfn.XLOOKUP(frasest[[#This Row],[author_es]],autorest[author_es],autorest[nation_la])</f>
        <v>India</v>
      </c>
      <c r="O610" t="str">
        <f>_xlfn.XLOOKUP(frasest[[#This Row],[author_es]],autorest[author_es],autorest[age_es])</f>
        <v>Edad Contemporánea</v>
      </c>
      <c r="P610" t="str">
        <f>_xlfn.XLOOKUP(frasest[[#This Row],[author_es]],autorest[author_es],autorest[age_la])</f>
        <v>Aetas Contemporanea</v>
      </c>
      <c r="Q610" t="str">
        <f>_xlfn.XLOOKUP(frasest[[#This Row],[author_es]],autorest[author_es],autorest[image])</f>
        <v>https://i.ibb.co/kgbszCVd/tagore.png</v>
      </c>
      <c r="R610">
        <f>_xlfn.XLOOKUP(frasest[[#This Row],[author_es]],autorest[author_es],autorest[image_atr])</f>
        <v>0</v>
      </c>
    </row>
    <row r="611" spans="1:18">
      <c r="A611">
        <v>610</v>
      </c>
      <c r="B611" t="s">
        <v>2103</v>
      </c>
      <c r="C611" t="s">
        <v>2104</v>
      </c>
      <c r="D611" t="s">
        <v>2105</v>
      </c>
      <c r="E611" t="s">
        <v>2101</v>
      </c>
      <c r="F611" t="s">
        <v>2106</v>
      </c>
      <c r="G611" t="str">
        <f>_xlfn.XLOOKUP(frasest[[#This Row],[author_es]],autorest[author_es],autorest[author_la])</f>
        <v>Rabindranath Tagore</v>
      </c>
      <c r="H611"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Row],[author_es]],autorest[author_es],autorest[iso3691])</f>
        <v>bn</v>
      </c>
      <c r="K611" t="str">
        <f>_xlfn.XLOOKUP(frasest[[#This Row],[author_es]],autorest[author_es],autorest[language_es])</f>
        <v>Bengalí</v>
      </c>
      <c r="L611" t="str">
        <f>_xlfn.XLOOKUP(frasest[[#This Row],[author_es]],autorest[author_es],autorest[language_la])</f>
        <v>Lingua Bengalice</v>
      </c>
      <c r="M611" t="str">
        <f>_xlfn.XLOOKUP(frasest[[#This Row],[author_es]],autorest[author_es],autorest[nation_es])</f>
        <v>India</v>
      </c>
      <c r="N611" t="str">
        <f>_xlfn.XLOOKUP(frasest[[#This Row],[author_es]],autorest[author_es],autorest[nation_la])</f>
        <v>India</v>
      </c>
      <c r="O611" t="str">
        <f>_xlfn.XLOOKUP(frasest[[#This Row],[author_es]],autorest[author_es],autorest[age_es])</f>
        <v>Edad Contemporánea</v>
      </c>
      <c r="P611" t="str">
        <f>_xlfn.XLOOKUP(frasest[[#This Row],[author_es]],autorest[author_es],autorest[age_la])</f>
        <v>Aetas Contemporanea</v>
      </c>
      <c r="Q611" t="str">
        <f>_xlfn.XLOOKUP(frasest[[#This Row],[author_es]],autorest[author_es],autorest[image])</f>
        <v>https://i.ibb.co/kgbszCVd/tagore.png</v>
      </c>
      <c r="R611">
        <f>_xlfn.XLOOKUP(frasest[[#This Row],[author_es]],autorest[author_es],autorest[image_atr])</f>
        <v>0</v>
      </c>
    </row>
    <row r="612" spans="1:18">
      <c r="A612">
        <v>611</v>
      </c>
      <c r="B612" t="s">
        <v>2107</v>
      </c>
      <c r="C612" t="s">
        <v>2108</v>
      </c>
      <c r="D612" t="s">
        <v>2109</v>
      </c>
      <c r="E612" t="s">
        <v>2101</v>
      </c>
      <c r="F612" t="s">
        <v>2110</v>
      </c>
      <c r="G612" t="str">
        <f>_xlfn.XLOOKUP(frasest[[#This Row],[author_es]],autorest[author_es],autorest[author_la])</f>
        <v>Rabindranath Tagore</v>
      </c>
      <c r="H612"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Row],[author_es]],autorest[author_es],autorest[iso3691])</f>
        <v>bn</v>
      </c>
      <c r="K612" t="str">
        <f>_xlfn.XLOOKUP(frasest[[#This Row],[author_es]],autorest[author_es],autorest[language_es])</f>
        <v>Bengalí</v>
      </c>
      <c r="L612" t="str">
        <f>_xlfn.XLOOKUP(frasest[[#This Row],[author_es]],autorest[author_es],autorest[language_la])</f>
        <v>Lingua Bengalice</v>
      </c>
      <c r="M612" t="str">
        <f>_xlfn.XLOOKUP(frasest[[#This Row],[author_es]],autorest[author_es],autorest[nation_es])</f>
        <v>India</v>
      </c>
      <c r="N612" t="str">
        <f>_xlfn.XLOOKUP(frasest[[#This Row],[author_es]],autorest[author_es],autorest[nation_la])</f>
        <v>India</v>
      </c>
      <c r="O612" t="str">
        <f>_xlfn.XLOOKUP(frasest[[#This Row],[author_es]],autorest[author_es],autorest[age_es])</f>
        <v>Edad Contemporánea</v>
      </c>
      <c r="P612" t="str">
        <f>_xlfn.XLOOKUP(frasest[[#This Row],[author_es]],autorest[author_es],autorest[age_la])</f>
        <v>Aetas Contemporanea</v>
      </c>
      <c r="Q612" t="str">
        <f>_xlfn.XLOOKUP(frasest[[#This Row],[author_es]],autorest[author_es],autorest[image])</f>
        <v>https://i.ibb.co/kgbszCVd/tagore.png</v>
      </c>
      <c r="R612">
        <f>_xlfn.XLOOKUP(frasest[[#This Row],[author_es]],autorest[author_es],autorest[image_atr])</f>
        <v>0</v>
      </c>
    </row>
    <row r="613" spans="1:18">
      <c r="A613">
        <v>612</v>
      </c>
      <c r="B613" t="s">
        <v>2111</v>
      </c>
      <c r="C613" t="s">
        <v>2112</v>
      </c>
      <c r="D613" t="s">
        <v>2113</v>
      </c>
      <c r="E613" t="s">
        <v>2101</v>
      </c>
      <c r="F613" t="s">
        <v>2114</v>
      </c>
      <c r="G613" t="str">
        <f>_xlfn.XLOOKUP(frasest[[#This Row],[author_es]],autorest[author_es],autorest[author_la])</f>
        <v>Rabindranath Tagore</v>
      </c>
      <c r="H613"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Row],[author_es]],autorest[author_es],autorest[iso3691])</f>
        <v>bn</v>
      </c>
      <c r="K613" t="str">
        <f>_xlfn.XLOOKUP(frasest[[#This Row],[author_es]],autorest[author_es],autorest[language_es])</f>
        <v>Bengalí</v>
      </c>
      <c r="L613" t="str">
        <f>_xlfn.XLOOKUP(frasest[[#This Row],[author_es]],autorest[author_es],autorest[language_la])</f>
        <v>Lingua Bengalice</v>
      </c>
      <c r="M613" t="str">
        <f>_xlfn.XLOOKUP(frasest[[#This Row],[author_es]],autorest[author_es],autorest[nation_es])</f>
        <v>India</v>
      </c>
      <c r="N613" t="str">
        <f>_xlfn.XLOOKUP(frasest[[#This Row],[author_es]],autorest[author_es],autorest[nation_la])</f>
        <v>India</v>
      </c>
      <c r="O613" t="str">
        <f>_xlfn.XLOOKUP(frasest[[#This Row],[author_es]],autorest[author_es],autorest[age_es])</f>
        <v>Edad Contemporánea</v>
      </c>
      <c r="P613" t="str">
        <f>_xlfn.XLOOKUP(frasest[[#This Row],[author_es]],autorest[author_es],autorest[age_la])</f>
        <v>Aetas Contemporanea</v>
      </c>
      <c r="Q613" t="str">
        <f>_xlfn.XLOOKUP(frasest[[#This Row],[author_es]],autorest[author_es],autorest[image])</f>
        <v>https://i.ibb.co/kgbszCVd/tagore.png</v>
      </c>
      <c r="R613">
        <f>_xlfn.XLOOKUP(frasest[[#This Row],[author_es]],autorest[author_es],autorest[image_atr])</f>
        <v>0</v>
      </c>
    </row>
    <row r="614" spans="1:18">
      <c r="A614">
        <v>613</v>
      </c>
      <c r="B614" t="s">
        <v>2115</v>
      </c>
      <c r="C614" t="s">
        <v>2116</v>
      </c>
      <c r="D614" t="s">
        <v>2117</v>
      </c>
      <c r="E614" t="s">
        <v>2101</v>
      </c>
      <c r="F614" t="s">
        <v>2118</v>
      </c>
      <c r="G614" t="str">
        <f>_xlfn.XLOOKUP(frasest[[#This Row],[author_es]],autorest[author_es],autorest[author_la])</f>
        <v>Rabindranath Tagore</v>
      </c>
      <c r="H614"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Row],[author_es]],autorest[author_es],autorest[iso3691])</f>
        <v>bn</v>
      </c>
      <c r="K614" t="str">
        <f>_xlfn.XLOOKUP(frasest[[#This Row],[author_es]],autorest[author_es],autorest[language_es])</f>
        <v>Bengalí</v>
      </c>
      <c r="L614" t="str">
        <f>_xlfn.XLOOKUP(frasest[[#This Row],[author_es]],autorest[author_es],autorest[language_la])</f>
        <v>Lingua Bengalice</v>
      </c>
      <c r="M614" t="str">
        <f>_xlfn.XLOOKUP(frasest[[#This Row],[author_es]],autorest[author_es],autorest[nation_es])</f>
        <v>India</v>
      </c>
      <c r="N614" t="str">
        <f>_xlfn.XLOOKUP(frasest[[#This Row],[author_es]],autorest[author_es],autorest[nation_la])</f>
        <v>India</v>
      </c>
      <c r="O614" t="str">
        <f>_xlfn.XLOOKUP(frasest[[#This Row],[author_es]],autorest[author_es],autorest[age_es])</f>
        <v>Edad Contemporánea</v>
      </c>
      <c r="P614" t="str">
        <f>_xlfn.XLOOKUP(frasest[[#This Row],[author_es]],autorest[author_es],autorest[age_la])</f>
        <v>Aetas Contemporanea</v>
      </c>
      <c r="Q614" t="str">
        <f>_xlfn.XLOOKUP(frasest[[#This Row],[author_es]],autorest[author_es],autorest[image])</f>
        <v>https://i.ibb.co/kgbszCVd/tagore.png</v>
      </c>
      <c r="R614">
        <f>_xlfn.XLOOKUP(frasest[[#This Row],[author_es]],autorest[author_es],autorest[image_atr])</f>
        <v>0</v>
      </c>
    </row>
    <row r="615" spans="1:18">
      <c r="A615">
        <v>614</v>
      </c>
      <c r="B615" t="s">
        <v>2119</v>
      </c>
      <c r="C615" t="s">
        <v>2120</v>
      </c>
      <c r="D615" t="s">
        <v>2121</v>
      </c>
      <c r="E615" t="s">
        <v>2122</v>
      </c>
      <c r="F615" t="s">
        <v>2123</v>
      </c>
      <c r="G615" t="str">
        <f>_xlfn.XLOOKUP(frasest[[#This Row],[author_es]],autorest[author_es],autorest[author_la])</f>
        <v>Iosephus D. Novak</v>
      </c>
      <c r="H615"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5"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5" t="str">
        <f>_xlfn.XLOOKUP(frasest[[#This Row],[author_es]],autorest[author_es],autorest[iso3691])</f>
        <v>en</v>
      </c>
      <c r="K615" t="str">
        <f>_xlfn.XLOOKUP(frasest[[#This Row],[author_es]],autorest[author_es],autorest[language_es])</f>
        <v>Inglés</v>
      </c>
      <c r="L615" t="str">
        <f>_xlfn.XLOOKUP(frasest[[#This Row],[author_es]],autorest[author_es],autorest[language_la])</f>
        <v>Lingua Anglica</v>
      </c>
      <c r="M615" t="str">
        <f>_xlfn.XLOOKUP(frasest[[#This Row],[author_es]],autorest[author_es],autorest[nation_es])</f>
        <v>Estados Unidos</v>
      </c>
      <c r="N615" t="str">
        <f>_xlfn.XLOOKUP(frasest[[#This Row],[author_es]],autorest[author_es],autorest[nation_la])</f>
        <v>Civitates Foederatae Americae</v>
      </c>
      <c r="O615" t="str">
        <f>_xlfn.XLOOKUP(frasest[[#This Row],[author_es]],autorest[author_es],autorest[age_es])</f>
        <v>Edad Contemporánea</v>
      </c>
      <c r="P615" t="str">
        <f>_xlfn.XLOOKUP(frasest[[#This Row],[author_es]],autorest[author_es],autorest[age_la])</f>
        <v>Aetas Contemporanea</v>
      </c>
      <c r="Q615" t="str">
        <f>_xlfn.XLOOKUP(frasest[[#This Row],[author_es]],autorest[author_es],autorest[image])</f>
        <v>https://i.ibb.co/sdL6mZws/novak.png</v>
      </c>
      <c r="R615">
        <f>_xlfn.XLOOKUP(frasest[[#This Row],[author_es]],autorest[author_es],autorest[image_atr])</f>
        <v>0</v>
      </c>
    </row>
    <row r="616" spans="1:18">
      <c r="A616">
        <v>615</v>
      </c>
      <c r="B616" t="s">
        <v>2124</v>
      </c>
      <c r="C616" t="s">
        <v>2125</v>
      </c>
      <c r="D616" t="s">
        <v>2126</v>
      </c>
      <c r="E616" t="s">
        <v>2122</v>
      </c>
      <c r="F616" t="s">
        <v>2127</v>
      </c>
      <c r="G616" t="str">
        <f>_xlfn.XLOOKUP(frasest[[#This Row],[author_es]],autorest[author_es],autorest[author_la])</f>
        <v>Iosephus D. Novak</v>
      </c>
      <c r="H616"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6"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6" t="str">
        <f>_xlfn.XLOOKUP(frasest[[#This Row],[author_es]],autorest[author_es],autorest[iso3691])</f>
        <v>en</v>
      </c>
      <c r="K616" t="str">
        <f>_xlfn.XLOOKUP(frasest[[#This Row],[author_es]],autorest[author_es],autorest[language_es])</f>
        <v>Inglés</v>
      </c>
      <c r="L616" t="str">
        <f>_xlfn.XLOOKUP(frasest[[#This Row],[author_es]],autorest[author_es],autorest[language_la])</f>
        <v>Lingua Anglica</v>
      </c>
      <c r="M616" t="str">
        <f>_xlfn.XLOOKUP(frasest[[#This Row],[author_es]],autorest[author_es],autorest[nation_es])</f>
        <v>Estados Unidos</v>
      </c>
      <c r="N616" t="str">
        <f>_xlfn.XLOOKUP(frasest[[#This Row],[author_es]],autorest[author_es],autorest[nation_la])</f>
        <v>Civitates Foederatae Americae</v>
      </c>
      <c r="O616" t="str">
        <f>_xlfn.XLOOKUP(frasest[[#This Row],[author_es]],autorest[author_es],autorest[age_es])</f>
        <v>Edad Contemporánea</v>
      </c>
      <c r="P616" t="str">
        <f>_xlfn.XLOOKUP(frasest[[#This Row],[author_es]],autorest[author_es],autorest[age_la])</f>
        <v>Aetas Contemporanea</v>
      </c>
      <c r="Q616" t="str">
        <f>_xlfn.XLOOKUP(frasest[[#This Row],[author_es]],autorest[author_es],autorest[image])</f>
        <v>https://i.ibb.co/sdL6mZws/novak.png</v>
      </c>
      <c r="R616">
        <f>_xlfn.XLOOKUP(frasest[[#This Row],[author_es]],autorest[author_es],autorest[image_atr])</f>
        <v>0</v>
      </c>
    </row>
    <row r="617" spans="1:18">
      <c r="A617">
        <v>616</v>
      </c>
      <c r="B617" t="s">
        <v>2128</v>
      </c>
      <c r="C617" t="s">
        <v>2129</v>
      </c>
      <c r="D617" t="s">
        <v>2130</v>
      </c>
      <c r="E617" t="s">
        <v>2122</v>
      </c>
      <c r="F617" t="s">
        <v>2131</v>
      </c>
      <c r="G617" t="str">
        <f>_xlfn.XLOOKUP(frasest[[#This Row],[author_es]],autorest[author_es],autorest[author_la])</f>
        <v>Iosephus D. Novak</v>
      </c>
      <c r="H617"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Row],[author_es]],autorest[author_es],autorest[iso3691])</f>
        <v>en</v>
      </c>
      <c r="K617" t="str">
        <f>_xlfn.XLOOKUP(frasest[[#This Row],[author_es]],autorest[author_es],autorest[language_es])</f>
        <v>Inglés</v>
      </c>
      <c r="L617" t="str">
        <f>_xlfn.XLOOKUP(frasest[[#This Row],[author_es]],autorest[author_es],autorest[language_la])</f>
        <v>Lingua Anglica</v>
      </c>
      <c r="M617" t="str">
        <f>_xlfn.XLOOKUP(frasest[[#This Row],[author_es]],autorest[author_es],autorest[nation_es])</f>
        <v>Estados Unidos</v>
      </c>
      <c r="N617" t="str">
        <f>_xlfn.XLOOKUP(frasest[[#This Row],[author_es]],autorest[author_es],autorest[nation_la])</f>
        <v>Civitates Foederatae Americae</v>
      </c>
      <c r="O617" t="str">
        <f>_xlfn.XLOOKUP(frasest[[#This Row],[author_es]],autorest[author_es],autorest[age_es])</f>
        <v>Edad Contemporánea</v>
      </c>
      <c r="P617" t="str">
        <f>_xlfn.XLOOKUP(frasest[[#This Row],[author_es]],autorest[author_es],autorest[age_la])</f>
        <v>Aetas Contemporanea</v>
      </c>
      <c r="Q617" t="str">
        <f>_xlfn.XLOOKUP(frasest[[#This Row],[author_es]],autorest[author_es],autorest[image])</f>
        <v>https://i.ibb.co/sdL6mZws/novak.png</v>
      </c>
      <c r="R617">
        <f>_xlfn.XLOOKUP(frasest[[#This Row],[author_es]],autorest[author_es],autorest[image_atr])</f>
        <v>0</v>
      </c>
    </row>
    <row r="618" spans="1:18">
      <c r="A618">
        <v>617</v>
      </c>
      <c r="B618" t="s">
        <v>2132</v>
      </c>
      <c r="C618" t="s">
        <v>2133</v>
      </c>
      <c r="D618" t="s">
        <v>2134</v>
      </c>
      <c r="E618" t="s">
        <v>2122</v>
      </c>
      <c r="F618" t="s">
        <v>2123</v>
      </c>
      <c r="G618" t="str">
        <f>_xlfn.XLOOKUP(frasest[[#This Row],[author_es]],autorest[author_es],autorest[author_la])</f>
        <v>Iosephus D. Novak</v>
      </c>
      <c r="H618"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Row],[author_es]],autorest[author_es],autorest[iso3691])</f>
        <v>en</v>
      </c>
      <c r="K618" t="str">
        <f>_xlfn.XLOOKUP(frasest[[#This Row],[author_es]],autorest[author_es],autorest[language_es])</f>
        <v>Inglés</v>
      </c>
      <c r="L618" t="str">
        <f>_xlfn.XLOOKUP(frasest[[#This Row],[author_es]],autorest[author_es],autorest[language_la])</f>
        <v>Lingua Anglica</v>
      </c>
      <c r="M618" t="str">
        <f>_xlfn.XLOOKUP(frasest[[#This Row],[author_es]],autorest[author_es],autorest[nation_es])</f>
        <v>Estados Unidos</v>
      </c>
      <c r="N618" t="str">
        <f>_xlfn.XLOOKUP(frasest[[#This Row],[author_es]],autorest[author_es],autorest[nation_la])</f>
        <v>Civitates Foederatae Americae</v>
      </c>
      <c r="O618" t="str">
        <f>_xlfn.XLOOKUP(frasest[[#This Row],[author_es]],autorest[author_es],autorest[age_es])</f>
        <v>Edad Contemporánea</v>
      </c>
      <c r="P618" t="str">
        <f>_xlfn.XLOOKUP(frasest[[#This Row],[author_es]],autorest[author_es],autorest[age_la])</f>
        <v>Aetas Contemporanea</v>
      </c>
      <c r="Q618" t="str">
        <f>_xlfn.XLOOKUP(frasest[[#This Row],[author_es]],autorest[author_es],autorest[image])</f>
        <v>https://i.ibb.co/sdL6mZws/novak.png</v>
      </c>
      <c r="R618">
        <f>_xlfn.XLOOKUP(frasest[[#This Row],[author_es]],autorest[author_es],autorest[image_atr])</f>
        <v>0</v>
      </c>
    </row>
    <row r="619" spans="1:18">
      <c r="A619">
        <v>618</v>
      </c>
      <c r="B619" t="s">
        <v>2135</v>
      </c>
      <c r="C619" t="s">
        <v>2136</v>
      </c>
      <c r="D619" t="s">
        <v>2137</v>
      </c>
      <c r="E619" t="s">
        <v>2122</v>
      </c>
      <c r="F619" t="s">
        <v>2127</v>
      </c>
      <c r="G619" t="str">
        <f>_xlfn.XLOOKUP(frasest[[#This Row],[author_es]],autorest[author_es],autorest[author_la])</f>
        <v>Iosephus D. Novak</v>
      </c>
      <c r="H619"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Row],[author_es]],autorest[author_es],autorest[iso3691])</f>
        <v>en</v>
      </c>
      <c r="K619" t="str">
        <f>_xlfn.XLOOKUP(frasest[[#This Row],[author_es]],autorest[author_es],autorest[language_es])</f>
        <v>Inglés</v>
      </c>
      <c r="L619" t="str">
        <f>_xlfn.XLOOKUP(frasest[[#This Row],[author_es]],autorest[author_es],autorest[language_la])</f>
        <v>Lingua Anglica</v>
      </c>
      <c r="M619" t="str">
        <f>_xlfn.XLOOKUP(frasest[[#This Row],[author_es]],autorest[author_es],autorest[nation_es])</f>
        <v>Estados Unidos</v>
      </c>
      <c r="N619" t="str">
        <f>_xlfn.XLOOKUP(frasest[[#This Row],[author_es]],autorest[author_es],autorest[nation_la])</f>
        <v>Civitates Foederatae Americae</v>
      </c>
      <c r="O619" t="str">
        <f>_xlfn.XLOOKUP(frasest[[#This Row],[author_es]],autorest[author_es],autorest[age_es])</f>
        <v>Edad Contemporánea</v>
      </c>
      <c r="P619" t="str">
        <f>_xlfn.XLOOKUP(frasest[[#This Row],[author_es]],autorest[author_es],autorest[age_la])</f>
        <v>Aetas Contemporanea</v>
      </c>
      <c r="Q619" t="str">
        <f>_xlfn.XLOOKUP(frasest[[#This Row],[author_es]],autorest[author_es],autorest[image])</f>
        <v>https://i.ibb.co/sdL6mZws/novak.png</v>
      </c>
      <c r="R619">
        <f>_xlfn.XLOOKUP(frasest[[#This Row],[author_es]],autorest[author_es],autorest[image_atr])</f>
        <v>0</v>
      </c>
    </row>
    <row r="620" spans="1:18">
      <c r="A620">
        <v>619</v>
      </c>
      <c r="B620" t="s">
        <v>2138</v>
      </c>
      <c r="C620" t="s">
        <v>2139</v>
      </c>
      <c r="D620" t="s">
        <v>2140</v>
      </c>
      <c r="E620" t="s">
        <v>2141</v>
      </c>
      <c r="F620" t="s">
        <v>2142</v>
      </c>
      <c r="G620" t="str">
        <f>_xlfn.XLOOKUP(frasest[[#This Row],[author_es]],autorest[author_es],autorest[author_la])</f>
        <v>David Paulus Ausubel</v>
      </c>
      <c r="H620"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0"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0" t="str">
        <f>_xlfn.XLOOKUP(frasest[[#This Row],[author_es]],autorest[author_es],autorest[iso3691])</f>
        <v>en</v>
      </c>
      <c r="K620" t="str">
        <f>_xlfn.XLOOKUP(frasest[[#This Row],[author_es]],autorest[author_es],autorest[language_es])</f>
        <v>Inglés</v>
      </c>
      <c r="L620" t="str">
        <f>_xlfn.XLOOKUP(frasest[[#This Row],[author_es]],autorest[author_es],autorest[language_la])</f>
        <v>Lingua Anglica</v>
      </c>
      <c r="M620" t="str">
        <f>_xlfn.XLOOKUP(frasest[[#This Row],[author_es]],autorest[author_es],autorest[nation_es])</f>
        <v>Estados Unidos</v>
      </c>
      <c r="N620" t="str">
        <f>_xlfn.XLOOKUP(frasest[[#This Row],[author_es]],autorest[author_es],autorest[nation_la])</f>
        <v>Civitates Foederatae Americae</v>
      </c>
      <c r="O620" t="str">
        <f>_xlfn.XLOOKUP(frasest[[#This Row],[author_es]],autorest[author_es],autorest[age_es])</f>
        <v>Edad Contemporánea</v>
      </c>
      <c r="P620" t="str">
        <f>_xlfn.XLOOKUP(frasest[[#This Row],[author_es]],autorest[author_es],autorest[age_la])</f>
        <v>Aetas Contemporanea</v>
      </c>
      <c r="Q620" t="str">
        <f>_xlfn.XLOOKUP(frasest[[#This Row],[author_es]],autorest[author_es],autorest[image])</f>
        <v>https://i.ibb.co/s9xMVWJK/ausubel.png</v>
      </c>
      <c r="R620">
        <f>_xlfn.XLOOKUP(frasest[[#This Row],[author_es]],autorest[author_es],autorest[image_atr])</f>
        <v>0</v>
      </c>
    </row>
    <row r="621" spans="1:18">
      <c r="A621">
        <v>620</v>
      </c>
      <c r="B621" t="s">
        <v>2143</v>
      </c>
      <c r="C621" t="s">
        <v>2144</v>
      </c>
      <c r="D621" t="s">
        <v>2145</v>
      </c>
      <c r="E621" t="s">
        <v>2141</v>
      </c>
      <c r="F621" t="s">
        <v>2146</v>
      </c>
      <c r="G621" t="str">
        <f>_xlfn.XLOOKUP(frasest[[#This Row],[author_es]],autorest[author_es],autorest[author_la])</f>
        <v>David Paulus Ausubel</v>
      </c>
      <c r="H621"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1"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1" t="str">
        <f>_xlfn.XLOOKUP(frasest[[#This Row],[author_es]],autorest[author_es],autorest[iso3691])</f>
        <v>en</v>
      </c>
      <c r="K621" t="str">
        <f>_xlfn.XLOOKUP(frasest[[#This Row],[author_es]],autorest[author_es],autorest[language_es])</f>
        <v>Inglés</v>
      </c>
      <c r="L621" t="str">
        <f>_xlfn.XLOOKUP(frasest[[#This Row],[author_es]],autorest[author_es],autorest[language_la])</f>
        <v>Lingua Anglica</v>
      </c>
      <c r="M621" t="str">
        <f>_xlfn.XLOOKUP(frasest[[#This Row],[author_es]],autorest[author_es],autorest[nation_es])</f>
        <v>Estados Unidos</v>
      </c>
      <c r="N621" t="str">
        <f>_xlfn.XLOOKUP(frasest[[#This Row],[author_es]],autorest[author_es],autorest[nation_la])</f>
        <v>Civitates Foederatae Americae</v>
      </c>
      <c r="O621" t="str">
        <f>_xlfn.XLOOKUP(frasest[[#This Row],[author_es]],autorest[author_es],autorest[age_es])</f>
        <v>Edad Contemporánea</v>
      </c>
      <c r="P621" t="str">
        <f>_xlfn.XLOOKUP(frasest[[#This Row],[author_es]],autorest[author_es],autorest[age_la])</f>
        <v>Aetas Contemporanea</v>
      </c>
      <c r="Q621" t="str">
        <f>_xlfn.XLOOKUP(frasest[[#This Row],[author_es]],autorest[author_es],autorest[image])</f>
        <v>https://i.ibb.co/s9xMVWJK/ausubel.png</v>
      </c>
      <c r="R621">
        <f>_xlfn.XLOOKUP(frasest[[#This Row],[author_es]],autorest[author_es],autorest[image_atr])</f>
        <v>0</v>
      </c>
    </row>
    <row r="622" spans="1:18">
      <c r="A622">
        <v>621</v>
      </c>
      <c r="B622" t="s">
        <v>2147</v>
      </c>
      <c r="C622" t="s">
        <v>2148</v>
      </c>
      <c r="D622" t="s">
        <v>2149</v>
      </c>
      <c r="E622" t="s">
        <v>2141</v>
      </c>
      <c r="F622" t="s">
        <v>2150</v>
      </c>
      <c r="G622" t="str">
        <f>_xlfn.XLOOKUP(frasest[[#This Row],[author_es]],autorest[author_es],autorest[author_la])</f>
        <v>David Paulus Ausubel</v>
      </c>
      <c r="H622"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2"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2" t="str">
        <f>_xlfn.XLOOKUP(frasest[[#This Row],[author_es]],autorest[author_es],autorest[iso3691])</f>
        <v>en</v>
      </c>
      <c r="K622" t="str">
        <f>_xlfn.XLOOKUP(frasest[[#This Row],[author_es]],autorest[author_es],autorest[language_es])</f>
        <v>Inglés</v>
      </c>
      <c r="L622" t="str">
        <f>_xlfn.XLOOKUP(frasest[[#This Row],[author_es]],autorest[author_es],autorest[language_la])</f>
        <v>Lingua Anglica</v>
      </c>
      <c r="M622" t="str">
        <f>_xlfn.XLOOKUP(frasest[[#This Row],[author_es]],autorest[author_es],autorest[nation_es])</f>
        <v>Estados Unidos</v>
      </c>
      <c r="N622" t="str">
        <f>_xlfn.XLOOKUP(frasest[[#This Row],[author_es]],autorest[author_es],autorest[nation_la])</f>
        <v>Civitates Foederatae Americae</v>
      </c>
      <c r="O622" t="str">
        <f>_xlfn.XLOOKUP(frasest[[#This Row],[author_es]],autorest[author_es],autorest[age_es])</f>
        <v>Edad Contemporánea</v>
      </c>
      <c r="P622" t="str">
        <f>_xlfn.XLOOKUP(frasest[[#This Row],[author_es]],autorest[author_es],autorest[age_la])</f>
        <v>Aetas Contemporanea</v>
      </c>
      <c r="Q622" t="str">
        <f>_xlfn.XLOOKUP(frasest[[#This Row],[author_es]],autorest[author_es],autorest[image])</f>
        <v>https://i.ibb.co/s9xMVWJK/ausubel.png</v>
      </c>
      <c r="R622">
        <f>_xlfn.XLOOKUP(frasest[[#This Row],[author_es]],autorest[author_es],autorest[image_atr])</f>
        <v>0</v>
      </c>
    </row>
    <row r="623" spans="1:18">
      <c r="A623">
        <v>622</v>
      </c>
      <c r="B623" t="s">
        <v>2151</v>
      </c>
      <c r="C623" t="s">
        <v>2152</v>
      </c>
      <c r="D623" t="s">
        <v>2153</v>
      </c>
      <c r="E623" t="s">
        <v>2141</v>
      </c>
      <c r="F623" t="s">
        <v>2154</v>
      </c>
      <c r="G623" t="str">
        <f>_xlfn.XLOOKUP(frasest[[#This Row],[author_es]],autorest[author_es],autorest[author_la])</f>
        <v>David Paulus Ausubel</v>
      </c>
      <c r="H623"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Row],[author_es]],autorest[author_es],autorest[iso3691])</f>
        <v>en</v>
      </c>
      <c r="K623" t="str">
        <f>_xlfn.XLOOKUP(frasest[[#This Row],[author_es]],autorest[author_es],autorest[language_es])</f>
        <v>Inglés</v>
      </c>
      <c r="L623" t="str">
        <f>_xlfn.XLOOKUP(frasest[[#This Row],[author_es]],autorest[author_es],autorest[language_la])</f>
        <v>Lingua Anglica</v>
      </c>
      <c r="M623" t="str">
        <f>_xlfn.XLOOKUP(frasest[[#This Row],[author_es]],autorest[author_es],autorest[nation_es])</f>
        <v>Estados Unidos</v>
      </c>
      <c r="N623" t="str">
        <f>_xlfn.XLOOKUP(frasest[[#This Row],[author_es]],autorest[author_es],autorest[nation_la])</f>
        <v>Civitates Foederatae Americae</v>
      </c>
      <c r="O623" t="str">
        <f>_xlfn.XLOOKUP(frasest[[#This Row],[author_es]],autorest[author_es],autorest[age_es])</f>
        <v>Edad Contemporánea</v>
      </c>
      <c r="P623" t="str">
        <f>_xlfn.XLOOKUP(frasest[[#This Row],[author_es]],autorest[author_es],autorest[age_la])</f>
        <v>Aetas Contemporanea</v>
      </c>
      <c r="Q623" t="str">
        <f>_xlfn.XLOOKUP(frasest[[#This Row],[author_es]],autorest[author_es],autorest[image])</f>
        <v>https://i.ibb.co/s9xMVWJK/ausubel.png</v>
      </c>
      <c r="R623">
        <f>_xlfn.XLOOKUP(frasest[[#This Row],[author_es]],autorest[author_es],autorest[image_atr])</f>
        <v>0</v>
      </c>
    </row>
    <row r="624" spans="1:18">
      <c r="A624">
        <v>623</v>
      </c>
      <c r="B624" t="s">
        <v>2155</v>
      </c>
      <c r="C624" t="s">
        <v>2156</v>
      </c>
      <c r="D624" t="s">
        <v>2157</v>
      </c>
      <c r="E624" t="s">
        <v>2141</v>
      </c>
      <c r="F624" t="s">
        <v>2158</v>
      </c>
      <c r="G624" t="str">
        <f>_xlfn.XLOOKUP(frasest[[#This Row],[author_es]],autorest[author_es],autorest[author_la])</f>
        <v>David Paulus Ausubel</v>
      </c>
      <c r="H624"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Row],[author_es]],autorest[author_es],autorest[iso3691])</f>
        <v>en</v>
      </c>
      <c r="K624" t="str">
        <f>_xlfn.XLOOKUP(frasest[[#This Row],[author_es]],autorest[author_es],autorest[language_es])</f>
        <v>Inglés</v>
      </c>
      <c r="L624" t="str">
        <f>_xlfn.XLOOKUP(frasest[[#This Row],[author_es]],autorest[author_es],autorest[language_la])</f>
        <v>Lingua Anglica</v>
      </c>
      <c r="M624" t="str">
        <f>_xlfn.XLOOKUP(frasest[[#This Row],[author_es]],autorest[author_es],autorest[nation_es])</f>
        <v>Estados Unidos</v>
      </c>
      <c r="N624" t="str">
        <f>_xlfn.XLOOKUP(frasest[[#This Row],[author_es]],autorest[author_es],autorest[nation_la])</f>
        <v>Civitates Foederatae Americae</v>
      </c>
      <c r="O624" t="str">
        <f>_xlfn.XLOOKUP(frasest[[#This Row],[author_es]],autorest[author_es],autorest[age_es])</f>
        <v>Edad Contemporánea</v>
      </c>
      <c r="P624" t="str">
        <f>_xlfn.XLOOKUP(frasest[[#This Row],[author_es]],autorest[author_es],autorest[age_la])</f>
        <v>Aetas Contemporanea</v>
      </c>
      <c r="Q624" t="str">
        <f>_xlfn.XLOOKUP(frasest[[#This Row],[author_es]],autorest[author_es],autorest[image])</f>
        <v>https://i.ibb.co/s9xMVWJK/ausubel.png</v>
      </c>
      <c r="R624">
        <f>_xlfn.XLOOKUP(frasest[[#This Row],[author_es]],autorest[author_es],autorest[image_atr])</f>
        <v>0</v>
      </c>
    </row>
    <row r="625" spans="1:18">
      <c r="A625">
        <v>624</v>
      </c>
      <c r="B625" t="s">
        <v>2159</v>
      </c>
      <c r="C625" t="s">
        <v>2160</v>
      </c>
      <c r="D625" t="s">
        <v>2161</v>
      </c>
      <c r="E625" t="s">
        <v>2141</v>
      </c>
      <c r="F625" t="s">
        <v>2162</v>
      </c>
      <c r="G625" t="str">
        <f>_xlfn.XLOOKUP(frasest[[#This Row],[author_es]],autorest[author_es],autorest[author_la])</f>
        <v>David Paulus Ausubel</v>
      </c>
      <c r="H625"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Row],[author_es]],autorest[author_es],autorest[iso3691])</f>
        <v>en</v>
      </c>
      <c r="K625" t="str">
        <f>_xlfn.XLOOKUP(frasest[[#This Row],[author_es]],autorest[author_es],autorest[language_es])</f>
        <v>Inglés</v>
      </c>
      <c r="L625" t="str">
        <f>_xlfn.XLOOKUP(frasest[[#This Row],[author_es]],autorest[author_es],autorest[language_la])</f>
        <v>Lingua Anglica</v>
      </c>
      <c r="M625" t="str">
        <f>_xlfn.XLOOKUP(frasest[[#This Row],[author_es]],autorest[author_es],autorest[nation_es])</f>
        <v>Estados Unidos</v>
      </c>
      <c r="N625" t="str">
        <f>_xlfn.XLOOKUP(frasest[[#This Row],[author_es]],autorest[author_es],autorest[nation_la])</f>
        <v>Civitates Foederatae Americae</v>
      </c>
      <c r="O625" t="str">
        <f>_xlfn.XLOOKUP(frasest[[#This Row],[author_es]],autorest[author_es],autorest[age_es])</f>
        <v>Edad Contemporánea</v>
      </c>
      <c r="P625" t="str">
        <f>_xlfn.XLOOKUP(frasest[[#This Row],[author_es]],autorest[author_es],autorest[age_la])</f>
        <v>Aetas Contemporanea</v>
      </c>
      <c r="Q625" t="str">
        <f>_xlfn.XLOOKUP(frasest[[#This Row],[author_es]],autorest[author_es],autorest[image])</f>
        <v>https://i.ibb.co/s9xMVWJK/ausubel.png</v>
      </c>
      <c r="R625">
        <f>_xlfn.XLOOKUP(frasest[[#This Row],[author_es]],autorest[author_es],autorest[image_atr])</f>
        <v>0</v>
      </c>
    </row>
    <row r="626" spans="1:18">
      <c r="A626">
        <v>625</v>
      </c>
      <c r="B626" t="s">
        <v>2163</v>
      </c>
      <c r="C626" t="s">
        <v>2164</v>
      </c>
      <c r="D626" t="s">
        <v>2165</v>
      </c>
      <c r="E626" t="s">
        <v>2141</v>
      </c>
      <c r="F626" t="s">
        <v>2142</v>
      </c>
      <c r="G626" t="str">
        <f>_xlfn.XLOOKUP(frasest[[#This Row],[author_es]],autorest[author_es],autorest[author_la])</f>
        <v>David Paulus Ausubel</v>
      </c>
      <c r="H626"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Row],[author_es]],autorest[author_es],autorest[iso3691])</f>
        <v>en</v>
      </c>
      <c r="K626" t="str">
        <f>_xlfn.XLOOKUP(frasest[[#This Row],[author_es]],autorest[author_es],autorest[language_es])</f>
        <v>Inglés</v>
      </c>
      <c r="L626" t="str">
        <f>_xlfn.XLOOKUP(frasest[[#This Row],[author_es]],autorest[author_es],autorest[language_la])</f>
        <v>Lingua Anglica</v>
      </c>
      <c r="M626" t="str">
        <f>_xlfn.XLOOKUP(frasest[[#This Row],[author_es]],autorest[author_es],autorest[nation_es])</f>
        <v>Estados Unidos</v>
      </c>
      <c r="N626" t="str">
        <f>_xlfn.XLOOKUP(frasest[[#This Row],[author_es]],autorest[author_es],autorest[nation_la])</f>
        <v>Civitates Foederatae Americae</v>
      </c>
      <c r="O626" t="str">
        <f>_xlfn.XLOOKUP(frasest[[#This Row],[author_es]],autorest[author_es],autorest[age_es])</f>
        <v>Edad Contemporánea</v>
      </c>
      <c r="P626" t="str">
        <f>_xlfn.XLOOKUP(frasest[[#This Row],[author_es]],autorest[author_es],autorest[age_la])</f>
        <v>Aetas Contemporanea</v>
      </c>
      <c r="Q626" t="str">
        <f>_xlfn.XLOOKUP(frasest[[#This Row],[author_es]],autorest[author_es],autorest[image])</f>
        <v>https://i.ibb.co/s9xMVWJK/ausubel.png</v>
      </c>
      <c r="R626">
        <f>_xlfn.XLOOKUP(frasest[[#This Row],[author_es]],autorest[author_es],autorest[image_atr])</f>
        <v>0</v>
      </c>
    </row>
    <row r="627" spans="1:18">
      <c r="A627">
        <v>626</v>
      </c>
      <c r="B627" t="s">
        <v>2166</v>
      </c>
      <c r="C627" t="s">
        <v>2167</v>
      </c>
      <c r="D627" t="s">
        <v>2166</v>
      </c>
      <c r="E627" t="s">
        <v>2168</v>
      </c>
      <c r="G627" t="str">
        <f>_xlfn.XLOOKUP(frasest[[#This Row],[author_es]],autorest[author_es],autorest[author_la])</f>
        <v>Proverbium Africanum</v>
      </c>
      <c r="H62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2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27" t="e">
        <f>_xlfn.XLOOKUP(frasest[[#This Row],[author_es]],autorest[author_es],autorest[iso3691])</f>
        <v>#N/A</v>
      </c>
      <c r="K627">
        <f>_xlfn.XLOOKUP(frasest[[#This Row],[author_es]],autorest[author_es],autorest[language_es])</f>
        <v>0</v>
      </c>
      <c r="L627" t="e">
        <f>_xlfn.XLOOKUP(frasest[[#This Row],[author_es]],autorest[author_es],autorest[language_la])</f>
        <v>#N/A</v>
      </c>
      <c r="M627">
        <f>_xlfn.XLOOKUP(frasest[[#This Row],[author_es]],autorest[author_es],autorest[nation_es])</f>
        <v>0</v>
      </c>
      <c r="N627" t="e">
        <f>_xlfn.XLOOKUP(frasest[[#This Row],[author_es]],autorest[author_es],autorest[nation_la])</f>
        <v>#N/A</v>
      </c>
      <c r="O627" t="str">
        <f>_xlfn.XLOOKUP(frasest[[#This Row],[author_es]],autorest[author_es],autorest[age_es])</f>
        <v>Epoca Desconocida</v>
      </c>
      <c r="P627" t="str">
        <f>_xlfn.XLOOKUP(frasest[[#This Row],[author_es]],autorest[author_es],autorest[age_la])</f>
        <v>Epocha Ignota</v>
      </c>
      <c r="Q627" t="str">
        <f>_xlfn.XLOOKUP(frasest[[#This Row],[author_es]],autorest[author_es],autorest[image])</f>
        <v>https://i.ibb.co/BKdVkDB2/africa.png</v>
      </c>
      <c r="R627">
        <f>_xlfn.XLOOKUP(frasest[[#This Row],[author_es]],autorest[author_es],autorest[image_atr])</f>
        <v>0</v>
      </c>
    </row>
    <row r="628" spans="1:18">
      <c r="A628">
        <v>627</v>
      </c>
      <c r="B628" t="s">
        <v>2169</v>
      </c>
      <c r="C628" t="s">
        <v>2170</v>
      </c>
      <c r="D628" t="s">
        <v>2171</v>
      </c>
      <c r="E628" t="s">
        <v>2172</v>
      </c>
      <c r="G628" t="str">
        <f>_xlfn.XLOOKUP(frasest[[#This Row],[author_es]],autorest[author_es],autorest[author_la])</f>
        <v>Proverbium Iudaicum</v>
      </c>
      <c r="H62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8" t="str">
        <f>_xlfn.XLOOKUP(frasest[[#This Row],[author_es]],autorest[author_es],autorest[iso3691])</f>
        <v>he</v>
      </c>
      <c r="K628" t="str">
        <f>_xlfn.XLOOKUP(frasest[[#This Row],[author_es]],autorest[author_es],autorest[language_es])</f>
        <v>Hebreo</v>
      </c>
      <c r="L628" t="str">
        <f>_xlfn.XLOOKUP(frasest[[#This Row],[author_es]],autorest[author_es],autorest[language_la])</f>
        <v>Lingua Hebraica</v>
      </c>
      <c r="M628" t="str">
        <f>_xlfn.XLOOKUP(frasest[[#This Row],[author_es]],autorest[author_es],autorest[nation_es])</f>
        <v>Israel</v>
      </c>
      <c r="N628" t="str">
        <f>_xlfn.XLOOKUP(frasest[[#This Row],[author_es]],autorest[author_es],autorest[nation_la])</f>
        <v>Israel</v>
      </c>
      <c r="O628" t="str">
        <f>_xlfn.XLOOKUP(frasest[[#This Row],[author_es]],autorest[author_es],autorest[age_es])</f>
        <v>Epoca Desconocida</v>
      </c>
      <c r="P628" t="str">
        <f>_xlfn.XLOOKUP(frasest[[#This Row],[author_es]],autorest[author_es],autorest[age_la])</f>
        <v>Epocha Ignota</v>
      </c>
      <c r="Q628" t="str">
        <f>_xlfn.XLOOKUP(frasest[[#This Row],[author_es]],autorest[author_es],autorest[image])</f>
        <v>https://i.ibb.co/HDXxrpfv/israel.png</v>
      </c>
      <c r="R628">
        <f>_xlfn.XLOOKUP(frasest[[#This Row],[author_es]],autorest[author_es],autorest[image_atr])</f>
        <v>0</v>
      </c>
    </row>
    <row r="629" spans="1:18">
      <c r="A629">
        <v>628</v>
      </c>
      <c r="B629" t="s">
        <v>2173</v>
      </c>
      <c r="C629" t="s">
        <v>2174</v>
      </c>
      <c r="D629" t="s">
        <v>2175</v>
      </c>
      <c r="E629" t="s">
        <v>2172</v>
      </c>
      <c r="G629" t="str">
        <f>_xlfn.XLOOKUP(frasest[[#This Row],[author_es]],autorest[author_es],autorest[author_la])</f>
        <v>Proverbium Iudaicum</v>
      </c>
      <c r="H62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9" t="str">
        <f>_xlfn.XLOOKUP(frasest[[#This Row],[author_es]],autorest[author_es],autorest[iso3691])</f>
        <v>he</v>
      </c>
      <c r="K629" t="str">
        <f>_xlfn.XLOOKUP(frasest[[#This Row],[author_es]],autorest[author_es],autorest[language_es])</f>
        <v>Hebreo</v>
      </c>
      <c r="L629" t="str">
        <f>_xlfn.XLOOKUP(frasest[[#This Row],[author_es]],autorest[author_es],autorest[language_la])</f>
        <v>Lingua Hebraica</v>
      </c>
      <c r="M629" t="str">
        <f>_xlfn.XLOOKUP(frasest[[#This Row],[author_es]],autorest[author_es],autorest[nation_es])</f>
        <v>Israel</v>
      </c>
      <c r="N629" t="str">
        <f>_xlfn.XLOOKUP(frasest[[#This Row],[author_es]],autorest[author_es],autorest[nation_la])</f>
        <v>Israel</v>
      </c>
      <c r="O629" t="str">
        <f>_xlfn.XLOOKUP(frasest[[#This Row],[author_es]],autorest[author_es],autorest[age_es])</f>
        <v>Epoca Desconocida</v>
      </c>
      <c r="P629" t="str">
        <f>_xlfn.XLOOKUP(frasest[[#This Row],[author_es]],autorest[author_es],autorest[age_la])</f>
        <v>Epocha Ignota</v>
      </c>
      <c r="Q629" t="str">
        <f>_xlfn.XLOOKUP(frasest[[#This Row],[author_es]],autorest[author_es],autorest[image])</f>
        <v>https://i.ibb.co/HDXxrpfv/israel.png</v>
      </c>
      <c r="R629">
        <f>_xlfn.XLOOKUP(frasest[[#This Row],[author_es]],autorest[author_es],autorest[image_atr])</f>
        <v>0</v>
      </c>
    </row>
    <row r="630" spans="1:18">
      <c r="A630">
        <v>629</v>
      </c>
      <c r="B630" t="s">
        <v>2176</v>
      </c>
      <c r="C630" t="s">
        <v>2177</v>
      </c>
      <c r="D630" t="s">
        <v>2176</v>
      </c>
      <c r="E630" t="s">
        <v>2168</v>
      </c>
      <c r="G630" t="str">
        <f>_xlfn.XLOOKUP(frasest[[#This Row],[author_es]],autorest[author_es],autorest[author_la])</f>
        <v>Proverbium Africanum</v>
      </c>
      <c r="H630"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Row],[author_es]],autorest[author_es],autorest[iso3691])</f>
        <v>#N/A</v>
      </c>
      <c r="K630">
        <f>_xlfn.XLOOKUP(frasest[[#This Row],[author_es]],autorest[author_es],autorest[language_es])</f>
        <v>0</v>
      </c>
      <c r="L630" t="e">
        <f>_xlfn.XLOOKUP(frasest[[#This Row],[author_es]],autorest[author_es],autorest[language_la])</f>
        <v>#N/A</v>
      </c>
      <c r="M630">
        <f>_xlfn.XLOOKUP(frasest[[#This Row],[author_es]],autorest[author_es],autorest[nation_es])</f>
        <v>0</v>
      </c>
      <c r="N630" t="e">
        <f>_xlfn.XLOOKUP(frasest[[#This Row],[author_es]],autorest[author_es],autorest[nation_la])</f>
        <v>#N/A</v>
      </c>
      <c r="O630" t="str">
        <f>_xlfn.XLOOKUP(frasest[[#This Row],[author_es]],autorest[author_es],autorest[age_es])</f>
        <v>Epoca Desconocida</v>
      </c>
      <c r="P630" t="str">
        <f>_xlfn.XLOOKUP(frasest[[#This Row],[author_es]],autorest[author_es],autorest[age_la])</f>
        <v>Epocha Ignota</v>
      </c>
      <c r="Q630" t="str">
        <f>_xlfn.XLOOKUP(frasest[[#This Row],[author_es]],autorest[author_es],autorest[image])</f>
        <v>https://i.ibb.co/BKdVkDB2/africa.png</v>
      </c>
      <c r="R630">
        <f>_xlfn.XLOOKUP(frasest[[#This Row],[author_es]],autorest[author_es],autorest[image_atr])</f>
        <v>0</v>
      </c>
    </row>
    <row r="631" spans="1:18">
      <c r="A631">
        <v>630</v>
      </c>
      <c r="B631" t="s">
        <v>2178</v>
      </c>
      <c r="C631" t="s">
        <v>2179</v>
      </c>
      <c r="D631" t="s">
        <v>2178</v>
      </c>
      <c r="E631" t="s">
        <v>2168</v>
      </c>
      <c r="G631" t="str">
        <f>_xlfn.XLOOKUP(frasest[[#This Row],[author_es]],autorest[author_es],autorest[author_la])</f>
        <v>Proverbium Africanum</v>
      </c>
      <c r="H631"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1"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1" t="e">
        <f>_xlfn.XLOOKUP(frasest[[#This Row],[author_es]],autorest[author_es],autorest[iso3691])</f>
        <v>#N/A</v>
      </c>
      <c r="K631">
        <f>_xlfn.XLOOKUP(frasest[[#This Row],[author_es]],autorest[author_es],autorest[language_es])</f>
        <v>0</v>
      </c>
      <c r="L631" t="e">
        <f>_xlfn.XLOOKUP(frasest[[#This Row],[author_es]],autorest[author_es],autorest[language_la])</f>
        <v>#N/A</v>
      </c>
      <c r="M631">
        <f>_xlfn.XLOOKUP(frasest[[#This Row],[author_es]],autorest[author_es],autorest[nation_es])</f>
        <v>0</v>
      </c>
      <c r="N631" t="e">
        <f>_xlfn.XLOOKUP(frasest[[#This Row],[author_es]],autorest[author_es],autorest[nation_la])</f>
        <v>#N/A</v>
      </c>
      <c r="O631" t="str">
        <f>_xlfn.XLOOKUP(frasest[[#This Row],[author_es]],autorest[author_es],autorest[age_es])</f>
        <v>Epoca Desconocida</v>
      </c>
      <c r="P631" t="str">
        <f>_xlfn.XLOOKUP(frasest[[#This Row],[author_es]],autorest[author_es],autorest[age_la])</f>
        <v>Epocha Ignota</v>
      </c>
      <c r="Q631" t="str">
        <f>_xlfn.XLOOKUP(frasest[[#This Row],[author_es]],autorest[author_es],autorest[image])</f>
        <v>https://i.ibb.co/BKdVkDB2/africa.png</v>
      </c>
      <c r="R631">
        <f>_xlfn.XLOOKUP(frasest[[#This Row],[author_es]],autorest[author_es],autorest[image_atr])</f>
        <v>0</v>
      </c>
    </row>
    <row r="632" spans="1:18">
      <c r="A632">
        <v>631</v>
      </c>
      <c r="B632" t="s">
        <v>2180</v>
      </c>
      <c r="C632" t="s">
        <v>2181</v>
      </c>
      <c r="D632" t="s">
        <v>2180</v>
      </c>
      <c r="E632" t="s">
        <v>2168</v>
      </c>
      <c r="G632" t="str">
        <f>_xlfn.XLOOKUP(frasest[[#This Row],[author_es]],autorest[author_es],autorest[author_la])</f>
        <v>Proverbium Africanum</v>
      </c>
      <c r="H632"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2"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2" t="e">
        <f>_xlfn.XLOOKUP(frasest[[#This Row],[author_es]],autorest[author_es],autorest[iso3691])</f>
        <v>#N/A</v>
      </c>
      <c r="K632">
        <f>_xlfn.XLOOKUP(frasest[[#This Row],[author_es]],autorest[author_es],autorest[language_es])</f>
        <v>0</v>
      </c>
      <c r="L632" t="e">
        <f>_xlfn.XLOOKUP(frasest[[#This Row],[author_es]],autorest[author_es],autorest[language_la])</f>
        <v>#N/A</v>
      </c>
      <c r="M632">
        <f>_xlfn.XLOOKUP(frasest[[#This Row],[author_es]],autorest[author_es],autorest[nation_es])</f>
        <v>0</v>
      </c>
      <c r="N632" t="e">
        <f>_xlfn.XLOOKUP(frasest[[#This Row],[author_es]],autorest[author_es],autorest[nation_la])</f>
        <v>#N/A</v>
      </c>
      <c r="O632" t="str">
        <f>_xlfn.XLOOKUP(frasest[[#This Row],[author_es]],autorest[author_es],autorest[age_es])</f>
        <v>Epoca Desconocida</v>
      </c>
      <c r="P632" t="str">
        <f>_xlfn.XLOOKUP(frasest[[#This Row],[author_es]],autorest[author_es],autorest[age_la])</f>
        <v>Epocha Ignota</v>
      </c>
      <c r="Q632" t="str">
        <f>_xlfn.XLOOKUP(frasest[[#This Row],[author_es]],autorest[author_es],autorest[image])</f>
        <v>https://i.ibb.co/BKdVkDB2/africa.png</v>
      </c>
      <c r="R632">
        <f>_xlfn.XLOOKUP(frasest[[#This Row],[author_es]],autorest[author_es],autorest[image_atr])</f>
        <v>0</v>
      </c>
    </row>
    <row r="633" spans="1:18">
      <c r="A633">
        <v>632</v>
      </c>
      <c r="B633" t="s">
        <v>2182</v>
      </c>
      <c r="C633" t="s">
        <v>2183</v>
      </c>
      <c r="D633" t="s">
        <v>2182</v>
      </c>
      <c r="E633" t="s">
        <v>2168</v>
      </c>
      <c r="G633" t="str">
        <f>_xlfn.XLOOKUP(frasest[[#This Row],[author_es]],autorest[author_es],autorest[author_la])</f>
        <v>Proverbium Africanum</v>
      </c>
      <c r="H633"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Row],[author_es]],autorest[author_es],autorest[iso3691])</f>
        <v>#N/A</v>
      </c>
      <c r="K633">
        <f>_xlfn.XLOOKUP(frasest[[#This Row],[author_es]],autorest[author_es],autorest[language_es])</f>
        <v>0</v>
      </c>
      <c r="L633" t="e">
        <f>_xlfn.XLOOKUP(frasest[[#This Row],[author_es]],autorest[author_es],autorest[language_la])</f>
        <v>#N/A</v>
      </c>
      <c r="M633">
        <f>_xlfn.XLOOKUP(frasest[[#This Row],[author_es]],autorest[author_es],autorest[nation_es])</f>
        <v>0</v>
      </c>
      <c r="N633" t="e">
        <f>_xlfn.XLOOKUP(frasest[[#This Row],[author_es]],autorest[author_es],autorest[nation_la])</f>
        <v>#N/A</v>
      </c>
      <c r="O633" t="str">
        <f>_xlfn.XLOOKUP(frasest[[#This Row],[author_es]],autorest[author_es],autorest[age_es])</f>
        <v>Epoca Desconocida</v>
      </c>
      <c r="P633" t="str">
        <f>_xlfn.XLOOKUP(frasest[[#This Row],[author_es]],autorest[author_es],autorest[age_la])</f>
        <v>Epocha Ignota</v>
      </c>
      <c r="Q633" t="str">
        <f>_xlfn.XLOOKUP(frasest[[#This Row],[author_es]],autorest[author_es],autorest[image])</f>
        <v>https://i.ibb.co/BKdVkDB2/africa.png</v>
      </c>
      <c r="R633">
        <f>_xlfn.XLOOKUP(frasest[[#This Row],[author_es]],autorest[author_es],autorest[image_atr])</f>
        <v>0</v>
      </c>
    </row>
    <row r="634" spans="1:18">
      <c r="A634">
        <v>633</v>
      </c>
      <c r="B634" t="s">
        <v>2184</v>
      </c>
      <c r="C634" t="s">
        <v>2185</v>
      </c>
      <c r="D634" t="s">
        <v>2184</v>
      </c>
      <c r="E634" t="s">
        <v>2168</v>
      </c>
      <c r="G634" t="str">
        <f>_xlfn.XLOOKUP(frasest[[#This Row],[author_es]],autorest[author_es],autorest[author_la])</f>
        <v>Proverbium Africanum</v>
      </c>
      <c r="H634"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Row],[author_es]],autorest[author_es],autorest[iso3691])</f>
        <v>#N/A</v>
      </c>
      <c r="K634">
        <f>_xlfn.XLOOKUP(frasest[[#This Row],[author_es]],autorest[author_es],autorest[language_es])</f>
        <v>0</v>
      </c>
      <c r="L634" t="e">
        <f>_xlfn.XLOOKUP(frasest[[#This Row],[author_es]],autorest[author_es],autorest[language_la])</f>
        <v>#N/A</v>
      </c>
      <c r="M634">
        <f>_xlfn.XLOOKUP(frasest[[#This Row],[author_es]],autorest[author_es],autorest[nation_es])</f>
        <v>0</v>
      </c>
      <c r="N634" t="e">
        <f>_xlfn.XLOOKUP(frasest[[#This Row],[author_es]],autorest[author_es],autorest[nation_la])</f>
        <v>#N/A</v>
      </c>
      <c r="O634" t="str">
        <f>_xlfn.XLOOKUP(frasest[[#This Row],[author_es]],autorest[author_es],autorest[age_es])</f>
        <v>Epoca Desconocida</v>
      </c>
      <c r="P634" t="str">
        <f>_xlfn.XLOOKUP(frasest[[#This Row],[author_es]],autorest[author_es],autorest[age_la])</f>
        <v>Epocha Ignota</v>
      </c>
      <c r="Q634" t="str">
        <f>_xlfn.XLOOKUP(frasest[[#This Row],[author_es]],autorest[author_es],autorest[image])</f>
        <v>https://i.ibb.co/BKdVkDB2/africa.png</v>
      </c>
      <c r="R634">
        <f>_xlfn.XLOOKUP(frasest[[#This Row],[author_es]],autorest[author_es],autorest[image_atr])</f>
        <v>0</v>
      </c>
    </row>
    <row r="635" spans="1:18">
      <c r="A635">
        <v>634</v>
      </c>
      <c r="B635" t="s">
        <v>2186</v>
      </c>
      <c r="C635" t="s">
        <v>2187</v>
      </c>
      <c r="D635" t="s">
        <v>2186</v>
      </c>
      <c r="E635" t="s">
        <v>2168</v>
      </c>
      <c r="G635" t="str">
        <f>_xlfn.XLOOKUP(frasest[[#This Row],[author_es]],autorest[author_es],autorest[author_la])</f>
        <v>Proverbium Africanum</v>
      </c>
      <c r="H635"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Row],[author_es]],autorest[author_es],autorest[iso3691])</f>
        <v>#N/A</v>
      </c>
      <c r="K635">
        <f>_xlfn.XLOOKUP(frasest[[#This Row],[author_es]],autorest[author_es],autorest[language_es])</f>
        <v>0</v>
      </c>
      <c r="L635" t="e">
        <f>_xlfn.XLOOKUP(frasest[[#This Row],[author_es]],autorest[author_es],autorest[language_la])</f>
        <v>#N/A</v>
      </c>
      <c r="M635">
        <f>_xlfn.XLOOKUP(frasest[[#This Row],[author_es]],autorest[author_es],autorest[nation_es])</f>
        <v>0</v>
      </c>
      <c r="N635" t="e">
        <f>_xlfn.XLOOKUP(frasest[[#This Row],[author_es]],autorest[author_es],autorest[nation_la])</f>
        <v>#N/A</v>
      </c>
      <c r="O635" t="str">
        <f>_xlfn.XLOOKUP(frasest[[#This Row],[author_es]],autorest[author_es],autorest[age_es])</f>
        <v>Epoca Desconocida</v>
      </c>
      <c r="P635" t="str">
        <f>_xlfn.XLOOKUP(frasest[[#This Row],[author_es]],autorest[author_es],autorest[age_la])</f>
        <v>Epocha Ignota</v>
      </c>
      <c r="Q635" t="str">
        <f>_xlfn.XLOOKUP(frasest[[#This Row],[author_es]],autorest[author_es],autorest[image])</f>
        <v>https://i.ibb.co/BKdVkDB2/africa.png</v>
      </c>
      <c r="R635">
        <f>_xlfn.XLOOKUP(frasest[[#This Row],[author_es]],autorest[author_es],autorest[image_atr])</f>
        <v>0</v>
      </c>
    </row>
    <row r="636" spans="1:18">
      <c r="A636">
        <v>635</v>
      </c>
      <c r="B636" t="s">
        <v>2188</v>
      </c>
      <c r="C636" t="s">
        <v>2189</v>
      </c>
      <c r="D636" t="s">
        <v>2188</v>
      </c>
      <c r="E636" t="s">
        <v>2168</v>
      </c>
      <c r="G636" t="str">
        <f>_xlfn.XLOOKUP(frasest[[#This Row],[author_es]],autorest[author_es],autorest[author_la])</f>
        <v>Proverbium Africanum</v>
      </c>
      <c r="H636"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Row],[author_es]],autorest[author_es],autorest[iso3691])</f>
        <v>#N/A</v>
      </c>
      <c r="K636">
        <f>_xlfn.XLOOKUP(frasest[[#This Row],[author_es]],autorest[author_es],autorest[language_es])</f>
        <v>0</v>
      </c>
      <c r="L636" t="e">
        <f>_xlfn.XLOOKUP(frasest[[#This Row],[author_es]],autorest[author_es],autorest[language_la])</f>
        <v>#N/A</v>
      </c>
      <c r="M636">
        <f>_xlfn.XLOOKUP(frasest[[#This Row],[author_es]],autorest[author_es],autorest[nation_es])</f>
        <v>0</v>
      </c>
      <c r="N636" t="e">
        <f>_xlfn.XLOOKUP(frasest[[#This Row],[author_es]],autorest[author_es],autorest[nation_la])</f>
        <v>#N/A</v>
      </c>
      <c r="O636" t="str">
        <f>_xlfn.XLOOKUP(frasest[[#This Row],[author_es]],autorest[author_es],autorest[age_es])</f>
        <v>Epoca Desconocida</v>
      </c>
      <c r="P636" t="str">
        <f>_xlfn.XLOOKUP(frasest[[#This Row],[author_es]],autorest[author_es],autorest[age_la])</f>
        <v>Epocha Ignota</v>
      </c>
      <c r="Q636" t="str">
        <f>_xlfn.XLOOKUP(frasest[[#This Row],[author_es]],autorest[author_es],autorest[image])</f>
        <v>https://i.ibb.co/BKdVkDB2/africa.png</v>
      </c>
      <c r="R636">
        <f>_xlfn.XLOOKUP(frasest[[#This Row],[author_es]],autorest[author_es],autorest[image_atr])</f>
        <v>0</v>
      </c>
    </row>
    <row r="637" spans="1:18">
      <c r="A637">
        <v>636</v>
      </c>
      <c r="B637" t="s">
        <v>2190</v>
      </c>
      <c r="C637" t="s">
        <v>2191</v>
      </c>
      <c r="D637" t="s">
        <v>2190</v>
      </c>
      <c r="E637" t="s">
        <v>2168</v>
      </c>
      <c r="G637" t="str">
        <f>_xlfn.XLOOKUP(frasest[[#This Row],[author_es]],autorest[author_es],autorest[author_la])</f>
        <v>Proverbium Africanum</v>
      </c>
      <c r="H63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Row],[author_es]],autorest[author_es],autorest[iso3691])</f>
        <v>#N/A</v>
      </c>
      <c r="K637">
        <f>_xlfn.XLOOKUP(frasest[[#This Row],[author_es]],autorest[author_es],autorest[language_es])</f>
        <v>0</v>
      </c>
      <c r="L637" t="e">
        <f>_xlfn.XLOOKUP(frasest[[#This Row],[author_es]],autorest[author_es],autorest[language_la])</f>
        <v>#N/A</v>
      </c>
      <c r="M637">
        <f>_xlfn.XLOOKUP(frasest[[#This Row],[author_es]],autorest[author_es],autorest[nation_es])</f>
        <v>0</v>
      </c>
      <c r="N637" t="e">
        <f>_xlfn.XLOOKUP(frasest[[#This Row],[author_es]],autorest[author_es],autorest[nation_la])</f>
        <v>#N/A</v>
      </c>
      <c r="O637" t="str">
        <f>_xlfn.XLOOKUP(frasest[[#This Row],[author_es]],autorest[author_es],autorest[age_es])</f>
        <v>Epoca Desconocida</v>
      </c>
      <c r="P637" t="str">
        <f>_xlfn.XLOOKUP(frasest[[#This Row],[author_es]],autorest[author_es],autorest[age_la])</f>
        <v>Epocha Ignota</v>
      </c>
      <c r="Q637" t="str">
        <f>_xlfn.XLOOKUP(frasest[[#This Row],[author_es]],autorest[author_es],autorest[image])</f>
        <v>https://i.ibb.co/BKdVkDB2/africa.png</v>
      </c>
      <c r="R637">
        <f>_xlfn.XLOOKUP(frasest[[#This Row],[author_es]],autorest[author_es],autorest[image_atr])</f>
        <v>0</v>
      </c>
    </row>
    <row r="638" spans="1:18">
      <c r="A638">
        <v>637</v>
      </c>
      <c r="B638" t="s">
        <v>2192</v>
      </c>
      <c r="C638" t="s">
        <v>2193</v>
      </c>
      <c r="D638" t="s">
        <v>2194</v>
      </c>
      <c r="E638" t="s">
        <v>2172</v>
      </c>
      <c r="G638" t="str">
        <f>_xlfn.XLOOKUP(frasest[[#This Row],[author_es]],autorest[author_es],autorest[author_la])</f>
        <v>Proverbium Iudaicum</v>
      </c>
      <c r="H63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8" t="str">
        <f>_xlfn.XLOOKUP(frasest[[#This Row],[author_es]],autorest[author_es],autorest[iso3691])</f>
        <v>he</v>
      </c>
      <c r="K638" t="str">
        <f>_xlfn.XLOOKUP(frasest[[#This Row],[author_es]],autorest[author_es],autorest[language_es])</f>
        <v>Hebreo</v>
      </c>
      <c r="L638" t="str">
        <f>_xlfn.XLOOKUP(frasest[[#This Row],[author_es]],autorest[author_es],autorest[language_la])</f>
        <v>Lingua Hebraica</v>
      </c>
      <c r="M638" t="str">
        <f>_xlfn.XLOOKUP(frasest[[#This Row],[author_es]],autorest[author_es],autorest[nation_es])</f>
        <v>Israel</v>
      </c>
      <c r="N638" t="str">
        <f>_xlfn.XLOOKUP(frasest[[#This Row],[author_es]],autorest[author_es],autorest[nation_la])</f>
        <v>Israel</v>
      </c>
      <c r="O638" t="str">
        <f>_xlfn.XLOOKUP(frasest[[#This Row],[author_es]],autorest[author_es],autorest[age_es])</f>
        <v>Epoca Desconocida</v>
      </c>
      <c r="P638" t="str">
        <f>_xlfn.XLOOKUP(frasest[[#This Row],[author_es]],autorest[author_es],autorest[age_la])</f>
        <v>Epocha Ignota</v>
      </c>
      <c r="Q638" t="str">
        <f>_xlfn.XLOOKUP(frasest[[#This Row],[author_es]],autorest[author_es],autorest[image])</f>
        <v>https://i.ibb.co/HDXxrpfv/israel.png</v>
      </c>
      <c r="R638">
        <f>_xlfn.XLOOKUP(frasest[[#This Row],[author_es]],autorest[author_es],autorest[image_atr])</f>
        <v>0</v>
      </c>
    </row>
    <row r="639" spans="1:18">
      <c r="A639">
        <v>638</v>
      </c>
      <c r="B639" t="s">
        <v>2195</v>
      </c>
      <c r="C639" t="s">
        <v>2196</v>
      </c>
      <c r="D639" t="s">
        <v>2197</v>
      </c>
      <c r="E639" t="s">
        <v>2172</v>
      </c>
      <c r="G639" t="str">
        <f>_xlfn.XLOOKUP(frasest[[#This Row],[author_es]],autorest[author_es],autorest[author_la])</f>
        <v>Proverbium Iudaicum</v>
      </c>
      <c r="H63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9" t="str">
        <f>_xlfn.XLOOKUP(frasest[[#This Row],[author_es]],autorest[author_es],autorest[iso3691])</f>
        <v>he</v>
      </c>
      <c r="K639" t="str">
        <f>_xlfn.XLOOKUP(frasest[[#This Row],[author_es]],autorest[author_es],autorest[language_es])</f>
        <v>Hebreo</v>
      </c>
      <c r="L639" t="str">
        <f>_xlfn.XLOOKUP(frasest[[#This Row],[author_es]],autorest[author_es],autorest[language_la])</f>
        <v>Lingua Hebraica</v>
      </c>
      <c r="M639" t="str">
        <f>_xlfn.XLOOKUP(frasest[[#This Row],[author_es]],autorest[author_es],autorest[nation_es])</f>
        <v>Israel</v>
      </c>
      <c r="N639" t="str">
        <f>_xlfn.XLOOKUP(frasest[[#This Row],[author_es]],autorest[author_es],autorest[nation_la])</f>
        <v>Israel</v>
      </c>
      <c r="O639" t="str">
        <f>_xlfn.XLOOKUP(frasest[[#This Row],[author_es]],autorest[author_es],autorest[age_es])</f>
        <v>Epoca Desconocida</v>
      </c>
      <c r="P639" t="str">
        <f>_xlfn.XLOOKUP(frasest[[#This Row],[author_es]],autorest[author_es],autorest[age_la])</f>
        <v>Epocha Ignota</v>
      </c>
      <c r="Q639" t="str">
        <f>_xlfn.XLOOKUP(frasest[[#This Row],[author_es]],autorest[author_es],autorest[image])</f>
        <v>https://i.ibb.co/HDXxrpfv/israel.png</v>
      </c>
      <c r="R639">
        <f>_xlfn.XLOOKUP(frasest[[#This Row],[author_es]],autorest[author_es],autorest[image_atr])</f>
        <v>0</v>
      </c>
    </row>
    <row r="640" spans="1:18">
      <c r="A640">
        <v>639</v>
      </c>
      <c r="B640" t="s">
        <v>2198</v>
      </c>
      <c r="C640" t="s">
        <v>2199</v>
      </c>
      <c r="D640" t="s">
        <v>2200</v>
      </c>
      <c r="E640" t="s">
        <v>2172</v>
      </c>
      <c r="G640" t="str">
        <f>_xlfn.XLOOKUP(frasest[[#This Row],[author_es]],autorest[author_es],autorest[author_la])</f>
        <v>Proverbium Iudaicum</v>
      </c>
      <c r="H640"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0"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0" t="str">
        <f>_xlfn.XLOOKUP(frasest[[#This Row],[author_es]],autorest[author_es],autorest[iso3691])</f>
        <v>he</v>
      </c>
      <c r="K640" t="str">
        <f>_xlfn.XLOOKUP(frasest[[#This Row],[author_es]],autorest[author_es],autorest[language_es])</f>
        <v>Hebreo</v>
      </c>
      <c r="L640" t="str">
        <f>_xlfn.XLOOKUP(frasest[[#This Row],[author_es]],autorest[author_es],autorest[language_la])</f>
        <v>Lingua Hebraica</v>
      </c>
      <c r="M640" t="str">
        <f>_xlfn.XLOOKUP(frasest[[#This Row],[author_es]],autorest[author_es],autorest[nation_es])</f>
        <v>Israel</v>
      </c>
      <c r="N640" t="str">
        <f>_xlfn.XLOOKUP(frasest[[#This Row],[author_es]],autorest[author_es],autorest[nation_la])</f>
        <v>Israel</v>
      </c>
      <c r="O640" t="str">
        <f>_xlfn.XLOOKUP(frasest[[#This Row],[author_es]],autorest[author_es],autorest[age_es])</f>
        <v>Epoca Desconocida</v>
      </c>
      <c r="P640" t="str">
        <f>_xlfn.XLOOKUP(frasest[[#This Row],[author_es]],autorest[author_es],autorest[age_la])</f>
        <v>Epocha Ignota</v>
      </c>
      <c r="Q640" t="str">
        <f>_xlfn.XLOOKUP(frasest[[#This Row],[author_es]],autorest[author_es],autorest[image])</f>
        <v>https://i.ibb.co/HDXxrpfv/israel.png</v>
      </c>
      <c r="R640">
        <f>_xlfn.XLOOKUP(frasest[[#This Row],[author_es]],autorest[author_es],autorest[image_atr])</f>
        <v>0</v>
      </c>
    </row>
    <row r="641" spans="1:18">
      <c r="A641">
        <v>640</v>
      </c>
      <c r="B641" t="s">
        <v>2201</v>
      </c>
      <c r="C641" t="s">
        <v>2202</v>
      </c>
      <c r="D641" t="s">
        <v>2203</v>
      </c>
      <c r="E641" t="s">
        <v>2172</v>
      </c>
      <c r="G641" t="str">
        <f>_xlfn.XLOOKUP(frasest[[#This Row],[author_es]],autorest[author_es],autorest[author_la])</f>
        <v>Proverbium Iudaicum</v>
      </c>
      <c r="H641"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Row],[author_es]],autorest[author_es],autorest[iso3691])</f>
        <v>he</v>
      </c>
      <c r="K641" t="str">
        <f>_xlfn.XLOOKUP(frasest[[#This Row],[author_es]],autorest[author_es],autorest[language_es])</f>
        <v>Hebreo</v>
      </c>
      <c r="L641" t="str">
        <f>_xlfn.XLOOKUP(frasest[[#This Row],[author_es]],autorest[author_es],autorest[language_la])</f>
        <v>Lingua Hebraica</v>
      </c>
      <c r="M641" t="str">
        <f>_xlfn.XLOOKUP(frasest[[#This Row],[author_es]],autorest[author_es],autorest[nation_es])</f>
        <v>Israel</v>
      </c>
      <c r="N641" t="str">
        <f>_xlfn.XLOOKUP(frasest[[#This Row],[author_es]],autorest[author_es],autorest[nation_la])</f>
        <v>Israel</v>
      </c>
      <c r="O641" t="str">
        <f>_xlfn.XLOOKUP(frasest[[#This Row],[author_es]],autorest[author_es],autorest[age_es])</f>
        <v>Epoca Desconocida</v>
      </c>
      <c r="P641" t="str">
        <f>_xlfn.XLOOKUP(frasest[[#This Row],[author_es]],autorest[author_es],autorest[age_la])</f>
        <v>Epocha Ignota</v>
      </c>
      <c r="Q641" t="str">
        <f>_xlfn.XLOOKUP(frasest[[#This Row],[author_es]],autorest[author_es],autorest[image])</f>
        <v>https://i.ibb.co/HDXxrpfv/israel.png</v>
      </c>
      <c r="R641">
        <f>_xlfn.XLOOKUP(frasest[[#This Row],[author_es]],autorest[author_es],autorest[image_atr])</f>
        <v>0</v>
      </c>
    </row>
    <row r="642" spans="1:18">
      <c r="A642">
        <v>641</v>
      </c>
      <c r="B642" t="s">
        <v>2204</v>
      </c>
      <c r="C642" t="s">
        <v>2205</v>
      </c>
      <c r="D642" t="s">
        <v>2206</v>
      </c>
      <c r="E642" t="s">
        <v>2172</v>
      </c>
      <c r="G642" t="str">
        <f>_xlfn.XLOOKUP(frasest[[#This Row],[author_es]],autorest[author_es],autorest[author_la])</f>
        <v>Proverbium Iudaicum</v>
      </c>
      <c r="H642"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Row],[author_es]],autorest[author_es],autorest[iso3691])</f>
        <v>he</v>
      </c>
      <c r="K642" t="str">
        <f>_xlfn.XLOOKUP(frasest[[#This Row],[author_es]],autorest[author_es],autorest[language_es])</f>
        <v>Hebreo</v>
      </c>
      <c r="L642" t="str">
        <f>_xlfn.XLOOKUP(frasest[[#This Row],[author_es]],autorest[author_es],autorest[language_la])</f>
        <v>Lingua Hebraica</v>
      </c>
      <c r="M642" t="str">
        <f>_xlfn.XLOOKUP(frasest[[#This Row],[author_es]],autorest[author_es],autorest[nation_es])</f>
        <v>Israel</v>
      </c>
      <c r="N642" t="str">
        <f>_xlfn.XLOOKUP(frasest[[#This Row],[author_es]],autorest[author_es],autorest[nation_la])</f>
        <v>Israel</v>
      </c>
      <c r="O642" t="str">
        <f>_xlfn.XLOOKUP(frasest[[#This Row],[author_es]],autorest[author_es],autorest[age_es])</f>
        <v>Epoca Desconocida</v>
      </c>
      <c r="P642" t="str">
        <f>_xlfn.XLOOKUP(frasest[[#This Row],[author_es]],autorest[author_es],autorest[age_la])</f>
        <v>Epocha Ignota</v>
      </c>
      <c r="Q642" t="str">
        <f>_xlfn.XLOOKUP(frasest[[#This Row],[author_es]],autorest[author_es],autorest[image])</f>
        <v>https://i.ibb.co/HDXxrpfv/israel.png</v>
      </c>
      <c r="R642">
        <f>_xlfn.XLOOKUP(frasest[[#This Row],[author_es]],autorest[author_es],autorest[image_atr])</f>
        <v>0</v>
      </c>
    </row>
    <row r="643" spans="1:18">
      <c r="A643">
        <v>642</v>
      </c>
      <c r="B643" t="s">
        <v>2207</v>
      </c>
      <c r="C643" t="s">
        <v>2208</v>
      </c>
      <c r="D643" t="s">
        <v>2209</v>
      </c>
      <c r="E643" t="s">
        <v>2172</v>
      </c>
      <c r="G643" t="str">
        <f>_xlfn.XLOOKUP(frasest[[#This Row],[author_es]],autorest[author_es],autorest[author_la])</f>
        <v>Proverbium Iudaicum</v>
      </c>
      <c r="H643"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Row],[author_es]],autorest[author_es],autorest[iso3691])</f>
        <v>he</v>
      </c>
      <c r="K643" t="str">
        <f>_xlfn.XLOOKUP(frasest[[#This Row],[author_es]],autorest[author_es],autorest[language_es])</f>
        <v>Hebreo</v>
      </c>
      <c r="L643" t="str">
        <f>_xlfn.XLOOKUP(frasest[[#This Row],[author_es]],autorest[author_es],autorest[language_la])</f>
        <v>Lingua Hebraica</v>
      </c>
      <c r="M643" t="str">
        <f>_xlfn.XLOOKUP(frasest[[#This Row],[author_es]],autorest[author_es],autorest[nation_es])</f>
        <v>Israel</v>
      </c>
      <c r="N643" t="str">
        <f>_xlfn.XLOOKUP(frasest[[#This Row],[author_es]],autorest[author_es],autorest[nation_la])</f>
        <v>Israel</v>
      </c>
      <c r="O643" t="str">
        <f>_xlfn.XLOOKUP(frasest[[#This Row],[author_es]],autorest[author_es],autorest[age_es])</f>
        <v>Epoca Desconocida</v>
      </c>
      <c r="P643" t="str">
        <f>_xlfn.XLOOKUP(frasest[[#This Row],[author_es]],autorest[author_es],autorest[age_la])</f>
        <v>Epocha Ignota</v>
      </c>
      <c r="Q643" t="str">
        <f>_xlfn.XLOOKUP(frasest[[#This Row],[author_es]],autorest[author_es],autorest[image])</f>
        <v>https://i.ibb.co/HDXxrpfv/israel.png</v>
      </c>
      <c r="R643">
        <f>_xlfn.XLOOKUP(frasest[[#This Row],[author_es]],autorest[author_es],autorest[image_atr])</f>
        <v>0</v>
      </c>
    </row>
    <row r="644" spans="1:18">
      <c r="A644">
        <v>643</v>
      </c>
      <c r="B644" t="s">
        <v>2210</v>
      </c>
      <c r="C644" t="s">
        <v>2211</v>
      </c>
      <c r="D644" t="s">
        <v>2212</v>
      </c>
      <c r="E644" t="s">
        <v>2172</v>
      </c>
      <c r="G644" t="str">
        <f>_xlfn.XLOOKUP(frasest[[#This Row],[author_es]],autorest[author_es],autorest[author_la])</f>
        <v>Proverbium Iudaicum</v>
      </c>
      <c r="H644"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Row],[author_es]],autorest[author_es],autorest[iso3691])</f>
        <v>he</v>
      </c>
      <c r="K644" t="str">
        <f>_xlfn.XLOOKUP(frasest[[#This Row],[author_es]],autorest[author_es],autorest[language_es])</f>
        <v>Hebreo</v>
      </c>
      <c r="L644" t="str">
        <f>_xlfn.XLOOKUP(frasest[[#This Row],[author_es]],autorest[author_es],autorest[language_la])</f>
        <v>Lingua Hebraica</v>
      </c>
      <c r="M644" t="str">
        <f>_xlfn.XLOOKUP(frasest[[#This Row],[author_es]],autorest[author_es],autorest[nation_es])</f>
        <v>Israel</v>
      </c>
      <c r="N644" t="str">
        <f>_xlfn.XLOOKUP(frasest[[#This Row],[author_es]],autorest[author_es],autorest[nation_la])</f>
        <v>Israel</v>
      </c>
      <c r="O644" t="str">
        <f>_xlfn.XLOOKUP(frasest[[#This Row],[author_es]],autorest[author_es],autorest[age_es])</f>
        <v>Epoca Desconocida</v>
      </c>
      <c r="P644" t="str">
        <f>_xlfn.XLOOKUP(frasest[[#This Row],[author_es]],autorest[author_es],autorest[age_la])</f>
        <v>Epocha Ignota</v>
      </c>
      <c r="Q644" t="str">
        <f>_xlfn.XLOOKUP(frasest[[#This Row],[author_es]],autorest[author_es],autorest[image])</f>
        <v>https://i.ibb.co/HDXxrpfv/israel.png</v>
      </c>
      <c r="R644">
        <f>_xlfn.XLOOKUP(frasest[[#This Row],[author_es]],autorest[author_es],autorest[image_atr])</f>
        <v>0</v>
      </c>
    </row>
    <row r="645" spans="1:18">
      <c r="A645">
        <v>644</v>
      </c>
      <c r="B645" t="s">
        <v>2213</v>
      </c>
      <c r="C645" t="s">
        <v>2214</v>
      </c>
      <c r="D645" t="s">
        <v>2215</v>
      </c>
      <c r="E645" t="s">
        <v>2172</v>
      </c>
      <c r="G645" t="str">
        <f>_xlfn.XLOOKUP(frasest[[#This Row],[author_es]],autorest[author_es],autorest[author_la])</f>
        <v>Proverbium Iudaicum</v>
      </c>
      <c r="H645"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Row],[author_es]],autorest[author_es],autorest[iso3691])</f>
        <v>he</v>
      </c>
      <c r="K645" t="str">
        <f>_xlfn.XLOOKUP(frasest[[#This Row],[author_es]],autorest[author_es],autorest[language_es])</f>
        <v>Hebreo</v>
      </c>
      <c r="L645" t="str">
        <f>_xlfn.XLOOKUP(frasest[[#This Row],[author_es]],autorest[author_es],autorest[language_la])</f>
        <v>Lingua Hebraica</v>
      </c>
      <c r="M645" t="str">
        <f>_xlfn.XLOOKUP(frasest[[#This Row],[author_es]],autorest[author_es],autorest[nation_es])</f>
        <v>Israel</v>
      </c>
      <c r="N645" t="str">
        <f>_xlfn.XLOOKUP(frasest[[#This Row],[author_es]],autorest[author_es],autorest[nation_la])</f>
        <v>Israel</v>
      </c>
      <c r="O645" t="str">
        <f>_xlfn.XLOOKUP(frasest[[#This Row],[author_es]],autorest[author_es],autorest[age_es])</f>
        <v>Epoca Desconocida</v>
      </c>
      <c r="P645" t="str">
        <f>_xlfn.XLOOKUP(frasest[[#This Row],[author_es]],autorest[author_es],autorest[age_la])</f>
        <v>Epocha Ignota</v>
      </c>
      <c r="Q645" t="str">
        <f>_xlfn.XLOOKUP(frasest[[#This Row],[author_es]],autorest[author_es],autorest[image])</f>
        <v>https://i.ibb.co/HDXxrpfv/israel.png</v>
      </c>
      <c r="R645">
        <f>_xlfn.XLOOKUP(frasest[[#This Row],[author_es]],autorest[author_es],autorest[image_atr])</f>
        <v>0</v>
      </c>
    </row>
    <row r="646" spans="1:18">
      <c r="A646">
        <v>645</v>
      </c>
      <c r="B646" t="s">
        <v>2216</v>
      </c>
      <c r="C646" t="s">
        <v>2217</v>
      </c>
      <c r="D646" t="s">
        <v>2218</v>
      </c>
      <c r="E646" t="s">
        <v>1236</v>
      </c>
      <c r="G646" t="str">
        <f>_xlfn.XLOOKUP(frasest[[#This Row],[author_es]],autorest[author_es],autorest[author_la])</f>
        <v>Sententia Vasconica</v>
      </c>
      <c r="H646" t="str">
        <f>_xlfn.XLOOKUP(frasest[[#This Row],[author_es]],autorest[author_es],autorest[bio_es])</f>
        <v>Proverbios de la tradición oral vasca que reflejan la relación con la naturaleza, el trabajo y los valores comunitarios del pueblo vasco.</v>
      </c>
      <c r="I646" t="str">
        <f>_xlfn.XLOOKUP(frasest[[#This Row],[author_es]],autorest[author_es],autorest[bio_la])</f>
        <v>Collectio sententiarum Vasconicarum.</v>
      </c>
      <c r="J646" t="str">
        <f>_xlfn.XLOOKUP(frasest[[#This Row],[author_es]],autorest[author_es],autorest[iso3691])</f>
        <v>eu</v>
      </c>
      <c r="K646" t="str">
        <f>_xlfn.XLOOKUP(frasest[[#This Row],[author_es]],autorest[author_es],autorest[language_es])</f>
        <v>Euskara</v>
      </c>
      <c r="L646" t="str">
        <f>_xlfn.XLOOKUP(frasest[[#This Row],[author_es]],autorest[author_es],autorest[language_la])</f>
        <v>Lingua Vasconica</v>
      </c>
      <c r="M646" t="str">
        <f>_xlfn.XLOOKUP(frasest[[#This Row],[author_es]],autorest[author_es],autorest[nation_es])</f>
        <v>España</v>
      </c>
      <c r="N646" t="str">
        <f>_xlfn.XLOOKUP(frasest[[#This Row],[author_es]],autorest[author_es],autorest[nation_la])</f>
        <v>Hispania</v>
      </c>
      <c r="O646" t="str">
        <f>_xlfn.XLOOKUP(frasest[[#This Row],[author_es]],autorest[author_es],autorest[age_es])</f>
        <v>Epoca Desconocida</v>
      </c>
      <c r="P646" t="str">
        <f>_xlfn.XLOOKUP(frasest[[#This Row],[author_es]],autorest[author_es],autorest[age_la])</f>
        <v>Epocha Ignota</v>
      </c>
      <c r="Q646" t="str">
        <f>_xlfn.XLOOKUP(frasest[[#This Row],[author_es]],autorest[author_es],autorest[image])</f>
        <v>https://i.ibb.co/bjgxB3kn/euskadi.png</v>
      </c>
      <c r="R646">
        <f>_xlfn.XLOOKUP(frasest[[#This Row],[author_es]],autorest[author_es],autorest[image_atr])</f>
        <v>0</v>
      </c>
    </row>
    <row r="647" spans="1:18">
      <c r="A647">
        <v>646</v>
      </c>
      <c r="B647" t="s">
        <v>2219</v>
      </c>
      <c r="C647" t="s">
        <v>2220</v>
      </c>
      <c r="D647" t="s">
        <v>2221</v>
      </c>
      <c r="E647" t="s">
        <v>1236</v>
      </c>
      <c r="G647" t="str">
        <f>_xlfn.XLOOKUP(frasest[[#This Row],[author_es]],autorest[author_es],autorest[author_la])</f>
        <v>Sententia Vasconica</v>
      </c>
      <c r="H647" t="str">
        <f>_xlfn.XLOOKUP(frasest[[#This Row],[author_es]],autorest[author_es],autorest[bio_es])</f>
        <v>Proverbios de la tradición oral vasca que reflejan la relación con la naturaleza, el trabajo y los valores comunitarios del pueblo vasco.</v>
      </c>
      <c r="I647" t="str">
        <f>_xlfn.XLOOKUP(frasest[[#This Row],[author_es]],autorest[author_es],autorest[bio_la])</f>
        <v>Collectio sententiarum Vasconicarum.</v>
      </c>
      <c r="J647" t="str">
        <f>_xlfn.XLOOKUP(frasest[[#This Row],[author_es]],autorest[author_es],autorest[iso3691])</f>
        <v>eu</v>
      </c>
      <c r="K647" t="str">
        <f>_xlfn.XLOOKUP(frasest[[#This Row],[author_es]],autorest[author_es],autorest[language_es])</f>
        <v>Euskara</v>
      </c>
      <c r="L647" t="str">
        <f>_xlfn.XLOOKUP(frasest[[#This Row],[author_es]],autorest[author_es],autorest[language_la])</f>
        <v>Lingua Vasconica</v>
      </c>
      <c r="M647" t="str">
        <f>_xlfn.XLOOKUP(frasest[[#This Row],[author_es]],autorest[author_es],autorest[nation_es])</f>
        <v>España</v>
      </c>
      <c r="N647" t="str">
        <f>_xlfn.XLOOKUP(frasest[[#This Row],[author_es]],autorest[author_es],autorest[nation_la])</f>
        <v>Hispania</v>
      </c>
      <c r="O647" t="str">
        <f>_xlfn.XLOOKUP(frasest[[#This Row],[author_es]],autorest[author_es],autorest[age_es])</f>
        <v>Epoca Desconocida</v>
      </c>
      <c r="P647" t="str">
        <f>_xlfn.XLOOKUP(frasest[[#This Row],[author_es]],autorest[author_es],autorest[age_la])</f>
        <v>Epocha Ignota</v>
      </c>
      <c r="Q647" t="str">
        <f>_xlfn.XLOOKUP(frasest[[#This Row],[author_es]],autorest[author_es],autorest[image])</f>
        <v>https://i.ibb.co/bjgxB3kn/euskadi.png</v>
      </c>
      <c r="R647">
        <f>_xlfn.XLOOKUP(frasest[[#This Row],[author_es]],autorest[author_es],autorest[image_atr])</f>
        <v>0</v>
      </c>
    </row>
    <row r="648" spans="1:18">
      <c r="A648">
        <v>647</v>
      </c>
      <c r="B648" t="s">
        <v>2222</v>
      </c>
      <c r="C648" t="s">
        <v>2223</v>
      </c>
      <c r="D648" t="s">
        <v>2224</v>
      </c>
      <c r="E648" t="s">
        <v>1236</v>
      </c>
      <c r="G648" t="str">
        <f>_xlfn.XLOOKUP(frasest[[#This Row],[author_es]],autorest[author_es],autorest[author_la])</f>
        <v>Sententia Vasconica</v>
      </c>
      <c r="H648" t="str">
        <f>_xlfn.XLOOKUP(frasest[[#This Row],[author_es]],autorest[author_es],autorest[bio_es])</f>
        <v>Proverbios de la tradición oral vasca que reflejan la relación con la naturaleza, el trabajo y los valores comunitarios del pueblo vasco.</v>
      </c>
      <c r="I648" t="str">
        <f>_xlfn.XLOOKUP(frasest[[#This Row],[author_es]],autorest[author_es],autorest[bio_la])</f>
        <v>Collectio sententiarum Vasconicarum.</v>
      </c>
      <c r="J648" t="str">
        <f>_xlfn.XLOOKUP(frasest[[#This Row],[author_es]],autorest[author_es],autorest[iso3691])</f>
        <v>eu</v>
      </c>
      <c r="K648" t="str">
        <f>_xlfn.XLOOKUP(frasest[[#This Row],[author_es]],autorest[author_es],autorest[language_es])</f>
        <v>Euskara</v>
      </c>
      <c r="L648" t="str">
        <f>_xlfn.XLOOKUP(frasest[[#This Row],[author_es]],autorest[author_es],autorest[language_la])</f>
        <v>Lingua Vasconica</v>
      </c>
      <c r="M648" t="str">
        <f>_xlfn.XLOOKUP(frasest[[#This Row],[author_es]],autorest[author_es],autorest[nation_es])</f>
        <v>España</v>
      </c>
      <c r="N648" t="str">
        <f>_xlfn.XLOOKUP(frasest[[#This Row],[author_es]],autorest[author_es],autorest[nation_la])</f>
        <v>Hispania</v>
      </c>
      <c r="O648" t="str">
        <f>_xlfn.XLOOKUP(frasest[[#This Row],[author_es]],autorest[author_es],autorest[age_es])</f>
        <v>Epoca Desconocida</v>
      </c>
      <c r="P648" t="str">
        <f>_xlfn.XLOOKUP(frasest[[#This Row],[author_es]],autorest[author_es],autorest[age_la])</f>
        <v>Epocha Ignota</v>
      </c>
      <c r="Q648" t="str">
        <f>_xlfn.XLOOKUP(frasest[[#This Row],[author_es]],autorest[author_es],autorest[image])</f>
        <v>https://i.ibb.co/bjgxB3kn/euskadi.png</v>
      </c>
      <c r="R648">
        <f>_xlfn.XLOOKUP(frasest[[#This Row],[author_es]],autorest[author_es],autorest[image_atr])</f>
        <v>0</v>
      </c>
    </row>
    <row r="649" spans="1:18">
      <c r="A649">
        <v>648</v>
      </c>
      <c r="B649" t="s">
        <v>2225</v>
      </c>
      <c r="C649" t="s">
        <v>2226</v>
      </c>
      <c r="D649" t="s">
        <v>2227</v>
      </c>
      <c r="E649" t="s">
        <v>1236</v>
      </c>
      <c r="G649" t="str">
        <f>_xlfn.XLOOKUP(frasest[[#This Row],[author_es]],autorest[author_es],autorest[author_la])</f>
        <v>Sententia Vasconica</v>
      </c>
      <c r="H649" t="str">
        <f>_xlfn.XLOOKUP(frasest[[#This Row],[author_es]],autorest[author_es],autorest[bio_es])</f>
        <v>Proverbios de la tradición oral vasca que reflejan la relación con la naturaleza, el trabajo y los valores comunitarios del pueblo vasco.</v>
      </c>
      <c r="I649" t="str">
        <f>_xlfn.XLOOKUP(frasest[[#This Row],[author_es]],autorest[author_es],autorest[bio_la])</f>
        <v>Collectio sententiarum Vasconicarum.</v>
      </c>
      <c r="J649" t="str">
        <f>_xlfn.XLOOKUP(frasest[[#This Row],[author_es]],autorest[author_es],autorest[iso3691])</f>
        <v>eu</v>
      </c>
      <c r="K649" t="str">
        <f>_xlfn.XLOOKUP(frasest[[#This Row],[author_es]],autorest[author_es],autorest[language_es])</f>
        <v>Euskara</v>
      </c>
      <c r="L649" t="str">
        <f>_xlfn.XLOOKUP(frasest[[#This Row],[author_es]],autorest[author_es],autorest[language_la])</f>
        <v>Lingua Vasconica</v>
      </c>
      <c r="M649" t="str">
        <f>_xlfn.XLOOKUP(frasest[[#This Row],[author_es]],autorest[author_es],autorest[nation_es])</f>
        <v>España</v>
      </c>
      <c r="N649" t="str">
        <f>_xlfn.XLOOKUP(frasest[[#This Row],[author_es]],autorest[author_es],autorest[nation_la])</f>
        <v>Hispania</v>
      </c>
      <c r="O649" t="str">
        <f>_xlfn.XLOOKUP(frasest[[#This Row],[author_es]],autorest[author_es],autorest[age_es])</f>
        <v>Epoca Desconocida</v>
      </c>
      <c r="P649" t="str">
        <f>_xlfn.XLOOKUP(frasest[[#This Row],[author_es]],autorest[author_es],autorest[age_la])</f>
        <v>Epocha Ignota</v>
      </c>
      <c r="Q649" t="str">
        <f>_xlfn.XLOOKUP(frasest[[#This Row],[author_es]],autorest[author_es],autorest[image])</f>
        <v>https://i.ibb.co/bjgxB3kn/euskadi.png</v>
      </c>
      <c r="R649">
        <f>_xlfn.XLOOKUP(frasest[[#This Row],[author_es]],autorest[author_es],autorest[image_atr])</f>
        <v>0</v>
      </c>
    </row>
    <row r="650" spans="1:18">
      <c r="A650">
        <v>649</v>
      </c>
      <c r="B650" t="s">
        <v>2228</v>
      </c>
      <c r="C650" t="s">
        <v>2229</v>
      </c>
      <c r="D650" t="s">
        <v>2230</v>
      </c>
      <c r="E650" t="s">
        <v>1236</v>
      </c>
      <c r="G650" t="str">
        <f>_xlfn.XLOOKUP(frasest[[#This Row],[author_es]],autorest[author_es],autorest[author_la])</f>
        <v>Sententia Vasconica</v>
      </c>
      <c r="H650" t="str">
        <f>_xlfn.XLOOKUP(frasest[[#This Row],[author_es]],autorest[author_es],autorest[bio_es])</f>
        <v>Proverbios de la tradición oral vasca que reflejan la relación con la naturaleza, el trabajo y los valores comunitarios del pueblo vasco.</v>
      </c>
      <c r="I650" t="str">
        <f>_xlfn.XLOOKUP(frasest[[#This Row],[author_es]],autorest[author_es],autorest[bio_la])</f>
        <v>Collectio sententiarum Vasconicarum.</v>
      </c>
      <c r="J650" t="str">
        <f>_xlfn.XLOOKUP(frasest[[#This Row],[author_es]],autorest[author_es],autorest[iso3691])</f>
        <v>eu</v>
      </c>
      <c r="K650" t="str">
        <f>_xlfn.XLOOKUP(frasest[[#This Row],[author_es]],autorest[author_es],autorest[language_es])</f>
        <v>Euskara</v>
      </c>
      <c r="L650" t="str">
        <f>_xlfn.XLOOKUP(frasest[[#This Row],[author_es]],autorest[author_es],autorest[language_la])</f>
        <v>Lingua Vasconica</v>
      </c>
      <c r="M650" t="str">
        <f>_xlfn.XLOOKUP(frasest[[#This Row],[author_es]],autorest[author_es],autorest[nation_es])</f>
        <v>España</v>
      </c>
      <c r="N650" t="str">
        <f>_xlfn.XLOOKUP(frasest[[#This Row],[author_es]],autorest[author_es],autorest[nation_la])</f>
        <v>Hispania</v>
      </c>
      <c r="O650" t="str">
        <f>_xlfn.XLOOKUP(frasest[[#This Row],[author_es]],autorest[author_es],autorest[age_es])</f>
        <v>Epoca Desconocida</v>
      </c>
      <c r="P650" t="str">
        <f>_xlfn.XLOOKUP(frasest[[#This Row],[author_es]],autorest[author_es],autorest[age_la])</f>
        <v>Epocha Ignota</v>
      </c>
      <c r="Q650" t="str">
        <f>_xlfn.XLOOKUP(frasest[[#This Row],[author_es]],autorest[author_es],autorest[image])</f>
        <v>https://i.ibb.co/bjgxB3kn/euskadi.png</v>
      </c>
      <c r="R650">
        <f>_xlfn.XLOOKUP(frasest[[#This Row],[author_es]],autorest[author_es],autorest[image_atr])</f>
        <v>0</v>
      </c>
    </row>
    <row r="651" spans="1:18">
      <c r="A651">
        <v>650</v>
      </c>
      <c r="B651" t="s">
        <v>2231</v>
      </c>
      <c r="C651" t="s">
        <v>2232</v>
      </c>
      <c r="D651" t="s">
        <v>2233</v>
      </c>
      <c r="E651" t="s">
        <v>1236</v>
      </c>
      <c r="G651" t="str">
        <f>_xlfn.XLOOKUP(frasest[[#This Row],[author_es]],autorest[author_es],autorest[author_la])</f>
        <v>Sententia Vasconica</v>
      </c>
      <c r="H651" t="str">
        <f>_xlfn.XLOOKUP(frasest[[#This Row],[author_es]],autorest[author_es],autorest[bio_es])</f>
        <v>Proverbios de la tradición oral vasca que reflejan la relación con la naturaleza, el trabajo y los valores comunitarios del pueblo vasco.</v>
      </c>
      <c r="I651" t="str">
        <f>_xlfn.XLOOKUP(frasest[[#This Row],[author_es]],autorest[author_es],autorest[bio_la])</f>
        <v>Collectio sententiarum Vasconicarum.</v>
      </c>
      <c r="J651" t="str">
        <f>_xlfn.XLOOKUP(frasest[[#This Row],[author_es]],autorest[author_es],autorest[iso3691])</f>
        <v>eu</v>
      </c>
      <c r="K651" t="str">
        <f>_xlfn.XLOOKUP(frasest[[#This Row],[author_es]],autorest[author_es],autorest[language_es])</f>
        <v>Euskara</v>
      </c>
      <c r="L651" t="str">
        <f>_xlfn.XLOOKUP(frasest[[#This Row],[author_es]],autorest[author_es],autorest[language_la])</f>
        <v>Lingua Vasconica</v>
      </c>
      <c r="M651" t="str">
        <f>_xlfn.XLOOKUP(frasest[[#This Row],[author_es]],autorest[author_es],autorest[nation_es])</f>
        <v>España</v>
      </c>
      <c r="N651" t="str">
        <f>_xlfn.XLOOKUP(frasest[[#This Row],[author_es]],autorest[author_es],autorest[nation_la])</f>
        <v>Hispania</v>
      </c>
      <c r="O651" t="str">
        <f>_xlfn.XLOOKUP(frasest[[#This Row],[author_es]],autorest[author_es],autorest[age_es])</f>
        <v>Epoca Desconocida</v>
      </c>
      <c r="P651" t="str">
        <f>_xlfn.XLOOKUP(frasest[[#This Row],[author_es]],autorest[author_es],autorest[age_la])</f>
        <v>Epocha Ignota</v>
      </c>
      <c r="Q651" t="str">
        <f>_xlfn.XLOOKUP(frasest[[#This Row],[author_es]],autorest[author_es],autorest[image])</f>
        <v>https://i.ibb.co/bjgxB3kn/euskadi.png</v>
      </c>
      <c r="R651">
        <f>_xlfn.XLOOKUP(frasest[[#This Row],[author_es]],autorest[author_es],autorest[image_atr])</f>
        <v>0</v>
      </c>
    </row>
    <row r="652" spans="1:18">
      <c r="A652">
        <v>651</v>
      </c>
      <c r="B652" t="s">
        <v>2234</v>
      </c>
      <c r="C652" t="s">
        <v>2235</v>
      </c>
      <c r="D652" t="s">
        <v>2236</v>
      </c>
      <c r="E652" t="s">
        <v>1236</v>
      </c>
      <c r="G652" t="str">
        <f>_xlfn.XLOOKUP(frasest[[#This Row],[author_es]],autorest[author_es],autorest[author_la])</f>
        <v>Sententia Vasconica</v>
      </c>
      <c r="H652" t="str">
        <f>_xlfn.XLOOKUP(frasest[[#This Row],[author_es]],autorest[author_es],autorest[bio_es])</f>
        <v>Proverbios de la tradición oral vasca que reflejan la relación con la naturaleza, el trabajo y los valores comunitarios del pueblo vasco.</v>
      </c>
      <c r="I652" t="str">
        <f>_xlfn.XLOOKUP(frasest[[#This Row],[author_es]],autorest[author_es],autorest[bio_la])</f>
        <v>Collectio sententiarum Vasconicarum.</v>
      </c>
      <c r="J652" t="str">
        <f>_xlfn.XLOOKUP(frasest[[#This Row],[author_es]],autorest[author_es],autorest[iso3691])</f>
        <v>eu</v>
      </c>
      <c r="K652" t="str">
        <f>_xlfn.XLOOKUP(frasest[[#This Row],[author_es]],autorest[author_es],autorest[language_es])</f>
        <v>Euskara</v>
      </c>
      <c r="L652" t="str">
        <f>_xlfn.XLOOKUP(frasest[[#This Row],[author_es]],autorest[author_es],autorest[language_la])</f>
        <v>Lingua Vasconica</v>
      </c>
      <c r="M652" t="str">
        <f>_xlfn.XLOOKUP(frasest[[#This Row],[author_es]],autorest[author_es],autorest[nation_es])</f>
        <v>España</v>
      </c>
      <c r="N652" t="str">
        <f>_xlfn.XLOOKUP(frasest[[#This Row],[author_es]],autorest[author_es],autorest[nation_la])</f>
        <v>Hispania</v>
      </c>
      <c r="O652" t="str">
        <f>_xlfn.XLOOKUP(frasest[[#This Row],[author_es]],autorest[author_es],autorest[age_es])</f>
        <v>Epoca Desconocida</v>
      </c>
      <c r="P652" t="str">
        <f>_xlfn.XLOOKUP(frasest[[#This Row],[author_es]],autorest[author_es],autorest[age_la])</f>
        <v>Epocha Ignota</v>
      </c>
      <c r="Q652" t="str">
        <f>_xlfn.XLOOKUP(frasest[[#This Row],[author_es]],autorest[author_es],autorest[image])</f>
        <v>https://i.ibb.co/bjgxB3kn/euskadi.png</v>
      </c>
      <c r="R652">
        <f>_xlfn.XLOOKUP(frasest[[#This Row],[author_es]],autorest[author_es],autorest[image_atr])</f>
        <v>0</v>
      </c>
    </row>
    <row r="653" spans="1:18">
      <c r="A653">
        <v>652</v>
      </c>
      <c r="B653" t="s">
        <v>2237</v>
      </c>
      <c r="C653" t="s">
        <v>2238</v>
      </c>
      <c r="D653" t="s">
        <v>2239</v>
      </c>
      <c r="E653" t="s">
        <v>1236</v>
      </c>
      <c r="G653" t="str">
        <f>_xlfn.XLOOKUP(frasest[[#This Row],[author_es]],autorest[author_es],autorest[author_la])</f>
        <v>Sententia Vasconica</v>
      </c>
      <c r="H653" t="str">
        <f>_xlfn.XLOOKUP(frasest[[#This Row],[author_es]],autorest[author_es],autorest[bio_es])</f>
        <v>Proverbios de la tradición oral vasca que reflejan la relación con la naturaleza, el trabajo y los valores comunitarios del pueblo vasco.</v>
      </c>
      <c r="I653" t="str">
        <f>_xlfn.XLOOKUP(frasest[[#This Row],[author_es]],autorest[author_es],autorest[bio_la])</f>
        <v>Collectio sententiarum Vasconicarum.</v>
      </c>
      <c r="J653" t="str">
        <f>_xlfn.XLOOKUP(frasest[[#This Row],[author_es]],autorest[author_es],autorest[iso3691])</f>
        <v>eu</v>
      </c>
      <c r="K653" t="str">
        <f>_xlfn.XLOOKUP(frasest[[#This Row],[author_es]],autorest[author_es],autorest[language_es])</f>
        <v>Euskara</v>
      </c>
      <c r="L653" t="str">
        <f>_xlfn.XLOOKUP(frasest[[#This Row],[author_es]],autorest[author_es],autorest[language_la])</f>
        <v>Lingua Vasconica</v>
      </c>
      <c r="M653" t="str">
        <f>_xlfn.XLOOKUP(frasest[[#This Row],[author_es]],autorest[author_es],autorest[nation_es])</f>
        <v>España</v>
      </c>
      <c r="N653" t="str">
        <f>_xlfn.XLOOKUP(frasest[[#This Row],[author_es]],autorest[author_es],autorest[nation_la])</f>
        <v>Hispania</v>
      </c>
      <c r="O653" t="str">
        <f>_xlfn.XLOOKUP(frasest[[#This Row],[author_es]],autorest[author_es],autorest[age_es])</f>
        <v>Epoca Desconocida</v>
      </c>
      <c r="P653" t="str">
        <f>_xlfn.XLOOKUP(frasest[[#This Row],[author_es]],autorest[author_es],autorest[age_la])</f>
        <v>Epocha Ignota</v>
      </c>
      <c r="Q653" t="str">
        <f>_xlfn.XLOOKUP(frasest[[#This Row],[author_es]],autorest[author_es],autorest[image])</f>
        <v>https://i.ibb.co/bjgxB3kn/euskadi.png</v>
      </c>
      <c r="R653">
        <f>_xlfn.XLOOKUP(frasest[[#This Row],[author_es]],autorest[author_es],autorest[image_atr])</f>
        <v>0</v>
      </c>
    </row>
    <row r="654" spans="1:18">
      <c r="A654">
        <v>653</v>
      </c>
      <c r="B654" t="s">
        <v>2240</v>
      </c>
      <c r="C654" t="s">
        <v>2241</v>
      </c>
      <c r="D654" t="s">
        <v>2242</v>
      </c>
      <c r="E654" t="s">
        <v>1236</v>
      </c>
      <c r="G654" t="str">
        <f>_xlfn.XLOOKUP(frasest[[#This Row],[author_es]],autorest[author_es],autorest[author_la])</f>
        <v>Sententia Vasconica</v>
      </c>
      <c r="H654" t="str">
        <f>_xlfn.XLOOKUP(frasest[[#This Row],[author_es]],autorest[author_es],autorest[bio_es])</f>
        <v>Proverbios de la tradición oral vasca que reflejan la relación con la naturaleza, el trabajo y los valores comunitarios del pueblo vasco.</v>
      </c>
      <c r="I654" t="str">
        <f>_xlfn.XLOOKUP(frasest[[#This Row],[author_es]],autorest[author_es],autorest[bio_la])</f>
        <v>Collectio sententiarum Vasconicarum.</v>
      </c>
      <c r="J654" t="str">
        <f>_xlfn.XLOOKUP(frasest[[#This Row],[author_es]],autorest[author_es],autorest[iso3691])</f>
        <v>eu</v>
      </c>
      <c r="K654" t="str">
        <f>_xlfn.XLOOKUP(frasest[[#This Row],[author_es]],autorest[author_es],autorest[language_es])</f>
        <v>Euskara</v>
      </c>
      <c r="L654" t="str">
        <f>_xlfn.XLOOKUP(frasest[[#This Row],[author_es]],autorest[author_es],autorest[language_la])</f>
        <v>Lingua Vasconica</v>
      </c>
      <c r="M654" t="str">
        <f>_xlfn.XLOOKUP(frasest[[#This Row],[author_es]],autorest[author_es],autorest[nation_es])</f>
        <v>España</v>
      </c>
      <c r="N654" t="str">
        <f>_xlfn.XLOOKUP(frasest[[#This Row],[author_es]],autorest[author_es],autorest[nation_la])</f>
        <v>Hispania</v>
      </c>
      <c r="O654" t="str">
        <f>_xlfn.XLOOKUP(frasest[[#This Row],[author_es]],autorest[author_es],autorest[age_es])</f>
        <v>Epoca Desconocida</v>
      </c>
      <c r="P654" t="str">
        <f>_xlfn.XLOOKUP(frasest[[#This Row],[author_es]],autorest[author_es],autorest[age_la])</f>
        <v>Epocha Ignota</v>
      </c>
      <c r="Q654" t="str">
        <f>_xlfn.XLOOKUP(frasest[[#This Row],[author_es]],autorest[author_es],autorest[image])</f>
        <v>https://i.ibb.co/bjgxB3kn/euskadi.png</v>
      </c>
      <c r="R654">
        <f>_xlfn.XLOOKUP(frasest[[#This Row],[author_es]],autorest[author_es],autorest[image_atr])</f>
        <v>0</v>
      </c>
    </row>
    <row r="655" spans="1:18">
      <c r="A655">
        <v>654</v>
      </c>
      <c r="B655" t="s">
        <v>2243</v>
      </c>
      <c r="C655" t="s">
        <v>2244</v>
      </c>
      <c r="D655" t="s">
        <v>2245</v>
      </c>
      <c r="E655" t="s">
        <v>1236</v>
      </c>
      <c r="G655" t="str">
        <f>_xlfn.XLOOKUP(frasest[[#This Row],[author_es]],autorest[author_es],autorest[author_la])</f>
        <v>Sententia Vasconica</v>
      </c>
      <c r="H655" t="str">
        <f>_xlfn.XLOOKUP(frasest[[#This Row],[author_es]],autorest[author_es],autorest[bio_es])</f>
        <v>Proverbios de la tradición oral vasca que reflejan la relación con la naturaleza, el trabajo y los valores comunitarios del pueblo vasco.</v>
      </c>
      <c r="I655" t="str">
        <f>_xlfn.XLOOKUP(frasest[[#This Row],[author_es]],autorest[author_es],autorest[bio_la])</f>
        <v>Collectio sententiarum Vasconicarum.</v>
      </c>
      <c r="J655" t="str">
        <f>_xlfn.XLOOKUP(frasest[[#This Row],[author_es]],autorest[author_es],autorest[iso3691])</f>
        <v>eu</v>
      </c>
      <c r="K655" t="str">
        <f>_xlfn.XLOOKUP(frasest[[#This Row],[author_es]],autorest[author_es],autorest[language_es])</f>
        <v>Euskara</v>
      </c>
      <c r="L655" t="str">
        <f>_xlfn.XLOOKUP(frasest[[#This Row],[author_es]],autorest[author_es],autorest[language_la])</f>
        <v>Lingua Vasconica</v>
      </c>
      <c r="M655" t="str">
        <f>_xlfn.XLOOKUP(frasest[[#This Row],[author_es]],autorest[author_es],autorest[nation_es])</f>
        <v>España</v>
      </c>
      <c r="N655" t="str">
        <f>_xlfn.XLOOKUP(frasest[[#This Row],[author_es]],autorest[author_es],autorest[nation_la])</f>
        <v>Hispania</v>
      </c>
      <c r="O655" t="str">
        <f>_xlfn.XLOOKUP(frasest[[#This Row],[author_es]],autorest[author_es],autorest[age_es])</f>
        <v>Epoca Desconocida</v>
      </c>
      <c r="P655" t="str">
        <f>_xlfn.XLOOKUP(frasest[[#This Row],[author_es]],autorest[author_es],autorest[age_la])</f>
        <v>Epocha Ignota</v>
      </c>
      <c r="Q655" t="str">
        <f>_xlfn.XLOOKUP(frasest[[#This Row],[author_es]],autorest[author_es],autorest[image])</f>
        <v>https://i.ibb.co/bjgxB3kn/euskadi.png</v>
      </c>
      <c r="R655">
        <f>_xlfn.XLOOKUP(frasest[[#This Row],[author_es]],autorest[author_es],autorest[image_atr])</f>
        <v>0</v>
      </c>
    </row>
    <row r="656" spans="1:18">
      <c r="A656">
        <v>655</v>
      </c>
      <c r="B656" t="s">
        <v>2246</v>
      </c>
      <c r="C656" t="s">
        <v>2247</v>
      </c>
      <c r="D656" t="s">
        <v>2248</v>
      </c>
      <c r="E656" t="s">
        <v>1236</v>
      </c>
      <c r="G656" t="str">
        <f>_xlfn.XLOOKUP(frasest[[#This Row],[author_es]],autorest[author_es],autorest[author_la])</f>
        <v>Sententia Vasconica</v>
      </c>
      <c r="H656" t="str">
        <f>_xlfn.XLOOKUP(frasest[[#This Row],[author_es]],autorest[author_es],autorest[bio_es])</f>
        <v>Proverbios de la tradición oral vasca que reflejan la relación con la naturaleza, el trabajo y los valores comunitarios del pueblo vasco.</v>
      </c>
      <c r="I656" t="str">
        <f>_xlfn.XLOOKUP(frasest[[#This Row],[author_es]],autorest[author_es],autorest[bio_la])</f>
        <v>Collectio sententiarum Vasconicarum.</v>
      </c>
      <c r="J656" t="str">
        <f>_xlfn.XLOOKUP(frasest[[#This Row],[author_es]],autorest[author_es],autorest[iso3691])</f>
        <v>eu</v>
      </c>
      <c r="K656" t="str">
        <f>_xlfn.XLOOKUP(frasest[[#This Row],[author_es]],autorest[author_es],autorest[language_es])</f>
        <v>Euskara</v>
      </c>
      <c r="L656" t="str">
        <f>_xlfn.XLOOKUP(frasest[[#This Row],[author_es]],autorest[author_es],autorest[language_la])</f>
        <v>Lingua Vasconica</v>
      </c>
      <c r="M656" t="str">
        <f>_xlfn.XLOOKUP(frasest[[#This Row],[author_es]],autorest[author_es],autorest[nation_es])</f>
        <v>España</v>
      </c>
      <c r="N656" t="str">
        <f>_xlfn.XLOOKUP(frasest[[#This Row],[author_es]],autorest[author_es],autorest[nation_la])</f>
        <v>Hispania</v>
      </c>
      <c r="O656" t="str">
        <f>_xlfn.XLOOKUP(frasest[[#This Row],[author_es]],autorest[author_es],autorest[age_es])</f>
        <v>Epoca Desconocida</v>
      </c>
      <c r="P656" t="str">
        <f>_xlfn.XLOOKUP(frasest[[#This Row],[author_es]],autorest[author_es],autorest[age_la])</f>
        <v>Epocha Ignota</v>
      </c>
      <c r="Q656" t="str">
        <f>_xlfn.XLOOKUP(frasest[[#This Row],[author_es]],autorest[author_es],autorest[image])</f>
        <v>https://i.ibb.co/bjgxB3kn/euskadi.png</v>
      </c>
      <c r="R656">
        <f>_xlfn.XLOOKUP(frasest[[#This Row],[author_es]],autorest[author_es],autorest[image_atr])</f>
        <v>0</v>
      </c>
    </row>
    <row r="657" spans="1:18">
      <c r="A657">
        <v>656</v>
      </c>
      <c r="B657" t="s">
        <v>2249</v>
      </c>
      <c r="C657" t="s">
        <v>2250</v>
      </c>
      <c r="D657" t="s">
        <v>2251</v>
      </c>
      <c r="E657" t="s">
        <v>1236</v>
      </c>
      <c r="G657" t="str">
        <f>_xlfn.XLOOKUP(frasest[[#This Row],[author_es]],autorest[author_es],autorest[author_la])</f>
        <v>Sententia Vasconica</v>
      </c>
      <c r="H657" t="str">
        <f>_xlfn.XLOOKUP(frasest[[#This Row],[author_es]],autorest[author_es],autorest[bio_es])</f>
        <v>Proverbios de la tradición oral vasca que reflejan la relación con la naturaleza, el trabajo y los valores comunitarios del pueblo vasco.</v>
      </c>
      <c r="I657" t="str">
        <f>_xlfn.XLOOKUP(frasest[[#This Row],[author_es]],autorest[author_es],autorest[bio_la])</f>
        <v>Collectio sententiarum Vasconicarum.</v>
      </c>
      <c r="J657" t="str">
        <f>_xlfn.XLOOKUP(frasest[[#This Row],[author_es]],autorest[author_es],autorest[iso3691])</f>
        <v>eu</v>
      </c>
      <c r="K657" t="str">
        <f>_xlfn.XLOOKUP(frasest[[#This Row],[author_es]],autorest[author_es],autorest[language_es])</f>
        <v>Euskara</v>
      </c>
      <c r="L657" t="str">
        <f>_xlfn.XLOOKUP(frasest[[#This Row],[author_es]],autorest[author_es],autorest[language_la])</f>
        <v>Lingua Vasconica</v>
      </c>
      <c r="M657" t="str">
        <f>_xlfn.XLOOKUP(frasest[[#This Row],[author_es]],autorest[author_es],autorest[nation_es])</f>
        <v>España</v>
      </c>
      <c r="N657" t="str">
        <f>_xlfn.XLOOKUP(frasest[[#This Row],[author_es]],autorest[author_es],autorest[nation_la])</f>
        <v>Hispania</v>
      </c>
      <c r="O657" t="str">
        <f>_xlfn.XLOOKUP(frasest[[#This Row],[author_es]],autorest[author_es],autorest[age_es])</f>
        <v>Epoca Desconocida</v>
      </c>
      <c r="P657" t="str">
        <f>_xlfn.XLOOKUP(frasest[[#This Row],[author_es]],autorest[author_es],autorest[age_la])</f>
        <v>Epocha Ignota</v>
      </c>
      <c r="Q657" t="str">
        <f>_xlfn.XLOOKUP(frasest[[#This Row],[author_es]],autorest[author_es],autorest[image])</f>
        <v>https://i.ibb.co/bjgxB3kn/euskadi.png</v>
      </c>
      <c r="R657">
        <f>_xlfn.XLOOKUP(frasest[[#This Row],[author_es]],autorest[author_es],autorest[image_atr])</f>
        <v>0</v>
      </c>
    </row>
    <row r="658" spans="1:18">
      <c r="A658">
        <v>657</v>
      </c>
      <c r="B658" t="s">
        <v>2252</v>
      </c>
      <c r="C658" t="s">
        <v>2253</v>
      </c>
      <c r="D658" t="s">
        <v>2254</v>
      </c>
      <c r="E658" t="s">
        <v>1236</v>
      </c>
      <c r="G658" t="str">
        <f>_xlfn.XLOOKUP(frasest[[#This Row],[author_es]],autorest[author_es],autorest[author_la])</f>
        <v>Sententia Vasconica</v>
      </c>
      <c r="H658" t="str">
        <f>_xlfn.XLOOKUP(frasest[[#This Row],[author_es]],autorest[author_es],autorest[bio_es])</f>
        <v>Proverbios de la tradición oral vasca que reflejan la relación con la naturaleza, el trabajo y los valores comunitarios del pueblo vasco.</v>
      </c>
      <c r="I658" t="str">
        <f>_xlfn.XLOOKUP(frasest[[#This Row],[author_es]],autorest[author_es],autorest[bio_la])</f>
        <v>Collectio sententiarum Vasconicarum.</v>
      </c>
      <c r="J658" t="str">
        <f>_xlfn.XLOOKUP(frasest[[#This Row],[author_es]],autorest[author_es],autorest[iso3691])</f>
        <v>eu</v>
      </c>
      <c r="K658" t="str">
        <f>_xlfn.XLOOKUP(frasest[[#This Row],[author_es]],autorest[author_es],autorest[language_es])</f>
        <v>Euskara</v>
      </c>
      <c r="L658" t="str">
        <f>_xlfn.XLOOKUP(frasest[[#This Row],[author_es]],autorest[author_es],autorest[language_la])</f>
        <v>Lingua Vasconica</v>
      </c>
      <c r="M658" t="str">
        <f>_xlfn.XLOOKUP(frasest[[#This Row],[author_es]],autorest[author_es],autorest[nation_es])</f>
        <v>España</v>
      </c>
      <c r="N658" t="str">
        <f>_xlfn.XLOOKUP(frasest[[#This Row],[author_es]],autorest[author_es],autorest[nation_la])</f>
        <v>Hispania</v>
      </c>
      <c r="O658" t="str">
        <f>_xlfn.XLOOKUP(frasest[[#This Row],[author_es]],autorest[author_es],autorest[age_es])</f>
        <v>Epoca Desconocida</v>
      </c>
      <c r="P658" t="str">
        <f>_xlfn.XLOOKUP(frasest[[#This Row],[author_es]],autorest[author_es],autorest[age_la])</f>
        <v>Epocha Ignota</v>
      </c>
      <c r="Q658" t="str">
        <f>_xlfn.XLOOKUP(frasest[[#This Row],[author_es]],autorest[author_es],autorest[image])</f>
        <v>https://i.ibb.co/bjgxB3kn/euskadi.png</v>
      </c>
      <c r="R658">
        <f>_xlfn.XLOOKUP(frasest[[#This Row],[author_es]],autorest[author_es],autorest[image_atr])</f>
        <v>0</v>
      </c>
    </row>
    <row r="659" spans="1:18">
      <c r="A659">
        <v>658</v>
      </c>
      <c r="B659" t="s">
        <v>2255</v>
      </c>
      <c r="C659" t="s">
        <v>2256</v>
      </c>
      <c r="D659" t="s">
        <v>2257</v>
      </c>
      <c r="E659" t="s">
        <v>1236</v>
      </c>
      <c r="G659" t="str">
        <f>_xlfn.XLOOKUP(frasest[[#This Row],[author_es]],autorest[author_es],autorest[author_la])</f>
        <v>Sententia Vasconica</v>
      </c>
      <c r="H659" t="str">
        <f>_xlfn.XLOOKUP(frasest[[#This Row],[author_es]],autorest[author_es],autorest[bio_es])</f>
        <v>Proverbios de la tradición oral vasca que reflejan la relación con la naturaleza, el trabajo y los valores comunitarios del pueblo vasco.</v>
      </c>
      <c r="I659" t="str">
        <f>_xlfn.XLOOKUP(frasest[[#This Row],[author_es]],autorest[author_es],autorest[bio_la])</f>
        <v>Collectio sententiarum Vasconicarum.</v>
      </c>
      <c r="J659" t="str">
        <f>_xlfn.XLOOKUP(frasest[[#This Row],[author_es]],autorest[author_es],autorest[iso3691])</f>
        <v>eu</v>
      </c>
      <c r="K659" t="str">
        <f>_xlfn.XLOOKUP(frasest[[#This Row],[author_es]],autorest[author_es],autorest[language_es])</f>
        <v>Euskara</v>
      </c>
      <c r="L659" t="str">
        <f>_xlfn.XLOOKUP(frasest[[#This Row],[author_es]],autorest[author_es],autorest[language_la])</f>
        <v>Lingua Vasconica</v>
      </c>
      <c r="M659" t="str">
        <f>_xlfn.XLOOKUP(frasest[[#This Row],[author_es]],autorest[author_es],autorest[nation_es])</f>
        <v>España</v>
      </c>
      <c r="N659" t="str">
        <f>_xlfn.XLOOKUP(frasest[[#This Row],[author_es]],autorest[author_es],autorest[nation_la])</f>
        <v>Hispania</v>
      </c>
      <c r="O659" t="str">
        <f>_xlfn.XLOOKUP(frasest[[#This Row],[author_es]],autorest[author_es],autorest[age_es])</f>
        <v>Epoca Desconocida</v>
      </c>
      <c r="P659" t="str">
        <f>_xlfn.XLOOKUP(frasest[[#This Row],[author_es]],autorest[author_es],autorest[age_la])</f>
        <v>Epocha Ignota</v>
      </c>
      <c r="Q659" t="str">
        <f>_xlfn.XLOOKUP(frasest[[#This Row],[author_es]],autorest[author_es],autorest[image])</f>
        <v>https://i.ibb.co/bjgxB3kn/euskadi.png</v>
      </c>
      <c r="R659">
        <f>_xlfn.XLOOKUP(frasest[[#This Row],[author_es]],autorest[author_es],autorest[image_atr])</f>
        <v>0</v>
      </c>
    </row>
    <row r="660" spans="1:18">
      <c r="A660">
        <v>659</v>
      </c>
      <c r="B660" t="s">
        <v>2258</v>
      </c>
      <c r="C660" t="s">
        <v>2259</v>
      </c>
      <c r="D660" t="s">
        <v>2260</v>
      </c>
      <c r="E660" t="s">
        <v>1236</v>
      </c>
      <c r="G660" t="str">
        <f>_xlfn.XLOOKUP(frasest[[#This Row],[author_es]],autorest[author_es],autorest[author_la])</f>
        <v>Sententia Vasconica</v>
      </c>
      <c r="H660" t="str">
        <f>_xlfn.XLOOKUP(frasest[[#This Row],[author_es]],autorest[author_es],autorest[bio_es])</f>
        <v>Proverbios de la tradición oral vasca que reflejan la relación con la naturaleza, el trabajo y los valores comunitarios del pueblo vasco.</v>
      </c>
      <c r="I660" t="str">
        <f>_xlfn.XLOOKUP(frasest[[#This Row],[author_es]],autorest[author_es],autorest[bio_la])</f>
        <v>Collectio sententiarum Vasconicarum.</v>
      </c>
      <c r="J660" t="str">
        <f>_xlfn.XLOOKUP(frasest[[#This Row],[author_es]],autorest[author_es],autorest[iso3691])</f>
        <v>eu</v>
      </c>
      <c r="K660" t="str">
        <f>_xlfn.XLOOKUP(frasest[[#This Row],[author_es]],autorest[author_es],autorest[language_es])</f>
        <v>Euskara</v>
      </c>
      <c r="L660" t="str">
        <f>_xlfn.XLOOKUP(frasest[[#This Row],[author_es]],autorest[author_es],autorest[language_la])</f>
        <v>Lingua Vasconica</v>
      </c>
      <c r="M660" t="str">
        <f>_xlfn.XLOOKUP(frasest[[#This Row],[author_es]],autorest[author_es],autorest[nation_es])</f>
        <v>España</v>
      </c>
      <c r="N660" t="str">
        <f>_xlfn.XLOOKUP(frasest[[#This Row],[author_es]],autorest[author_es],autorest[nation_la])</f>
        <v>Hispania</v>
      </c>
      <c r="O660" t="str">
        <f>_xlfn.XLOOKUP(frasest[[#This Row],[author_es]],autorest[author_es],autorest[age_es])</f>
        <v>Epoca Desconocida</v>
      </c>
      <c r="P660" t="str">
        <f>_xlfn.XLOOKUP(frasest[[#This Row],[author_es]],autorest[author_es],autorest[age_la])</f>
        <v>Epocha Ignota</v>
      </c>
      <c r="Q660" t="str">
        <f>_xlfn.XLOOKUP(frasest[[#This Row],[author_es]],autorest[author_es],autorest[image])</f>
        <v>https://i.ibb.co/bjgxB3kn/euskadi.png</v>
      </c>
      <c r="R660">
        <f>_xlfn.XLOOKUP(frasest[[#This Row],[author_es]],autorest[author_es],autorest[image_atr])</f>
        <v>0</v>
      </c>
    </row>
    <row r="661" spans="1:18">
      <c r="A661">
        <v>660</v>
      </c>
      <c r="B661" t="s">
        <v>2261</v>
      </c>
      <c r="C661" t="s">
        <v>2262</v>
      </c>
      <c r="D661" t="s">
        <v>2263</v>
      </c>
      <c r="E661" t="s">
        <v>1236</v>
      </c>
      <c r="G661" t="str">
        <f>_xlfn.XLOOKUP(frasest[[#This Row],[author_es]],autorest[author_es],autorest[author_la])</f>
        <v>Sententia Vasconica</v>
      </c>
      <c r="H661" t="str">
        <f>_xlfn.XLOOKUP(frasest[[#This Row],[author_es]],autorest[author_es],autorest[bio_es])</f>
        <v>Proverbios de la tradición oral vasca que reflejan la relación con la naturaleza, el trabajo y los valores comunitarios del pueblo vasco.</v>
      </c>
      <c r="I661" t="str">
        <f>_xlfn.XLOOKUP(frasest[[#This Row],[author_es]],autorest[author_es],autorest[bio_la])</f>
        <v>Collectio sententiarum Vasconicarum.</v>
      </c>
      <c r="J661" t="str">
        <f>_xlfn.XLOOKUP(frasest[[#This Row],[author_es]],autorest[author_es],autorest[iso3691])</f>
        <v>eu</v>
      </c>
      <c r="K661" t="str">
        <f>_xlfn.XLOOKUP(frasest[[#This Row],[author_es]],autorest[author_es],autorest[language_es])</f>
        <v>Euskara</v>
      </c>
      <c r="L661" t="str">
        <f>_xlfn.XLOOKUP(frasest[[#This Row],[author_es]],autorest[author_es],autorest[language_la])</f>
        <v>Lingua Vasconica</v>
      </c>
      <c r="M661" t="str">
        <f>_xlfn.XLOOKUP(frasest[[#This Row],[author_es]],autorest[author_es],autorest[nation_es])</f>
        <v>España</v>
      </c>
      <c r="N661" t="str">
        <f>_xlfn.XLOOKUP(frasest[[#This Row],[author_es]],autorest[author_es],autorest[nation_la])</f>
        <v>Hispania</v>
      </c>
      <c r="O661" t="str">
        <f>_xlfn.XLOOKUP(frasest[[#This Row],[author_es]],autorest[author_es],autorest[age_es])</f>
        <v>Epoca Desconocida</v>
      </c>
      <c r="P661" t="str">
        <f>_xlfn.XLOOKUP(frasest[[#This Row],[author_es]],autorest[author_es],autorest[age_la])</f>
        <v>Epocha Ignota</v>
      </c>
      <c r="Q661" t="str">
        <f>_xlfn.XLOOKUP(frasest[[#This Row],[author_es]],autorest[author_es],autorest[image])</f>
        <v>https://i.ibb.co/bjgxB3kn/euskadi.png</v>
      </c>
      <c r="R661">
        <f>_xlfn.XLOOKUP(frasest[[#This Row],[author_es]],autorest[author_es],autorest[image_atr])</f>
        <v>0</v>
      </c>
    </row>
    <row r="662" spans="1:18">
      <c r="A662">
        <v>661</v>
      </c>
      <c r="B662" t="s">
        <v>2264</v>
      </c>
      <c r="C662" t="s">
        <v>2265</v>
      </c>
      <c r="D662" t="s">
        <v>2266</v>
      </c>
      <c r="E662" t="s">
        <v>1236</v>
      </c>
      <c r="G662" t="str">
        <f>_xlfn.XLOOKUP(frasest[[#This Row],[author_es]],autorest[author_es],autorest[author_la])</f>
        <v>Sententia Vasconica</v>
      </c>
      <c r="H662" t="str">
        <f>_xlfn.XLOOKUP(frasest[[#This Row],[author_es]],autorest[author_es],autorest[bio_es])</f>
        <v>Proverbios de la tradición oral vasca que reflejan la relación con la naturaleza, el trabajo y los valores comunitarios del pueblo vasco.</v>
      </c>
      <c r="I662" t="str">
        <f>_xlfn.XLOOKUP(frasest[[#This Row],[author_es]],autorest[author_es],autorest[bio_la])</f>
        <v>Collectio sententiarum Vasconicarum.</v>
      </c>
      <c r="J662" t="str">
        <f>_xlfn.XLOOKUP(frasest[[#This Row],[author_es]],autorest[author_es],autorest[iso3691])</f>
        <v>eu</v>
      </c>
      <c r="K662" t="str">
        <f>_xlfn.XLOOKUP(frasest[[#This Row],[author_es]],autorest[author_es],autorest[language_es])</f>
        <v>Euskara</v>
      </c>
      <c r="L662" t="str">
        <f>_xlfn.XLOOKUP(frasest[[#This Row],[author_es]],autorest[author_es],autorest[language_la])</f>
        <v>Lingua Vasconica</v>
      </c>
      <c r="M662" t="str">
        <f>_xlfn.XLOOKUP(frasest[[#This Row],[author_es]],autorest[author_es],autorest[nation_es])</f>
        <v>España</v>
      </c>
      <c r="N662" t="str">
        <f>_xlfn.XLOOKUP(frasest[[#This Row],[author_es]],autorest[author_es],autorest[nation_la])</f>
        <v>Hispania</v>
      </c>
      <c r="O662" t="str">
        <f>_xlfn.XLOOKUP(frasest[[#This Row],[author_es]],autorest[author_es],autorest[age_es])</f>
        <v>Epoca Desconocida</v>
      </c>
      <c r="P662" t="str">
        <f>_xlfn.XLOOKUP(frasest[[#This Row],[author_es]],autorest[author_es],autorest[age_la])</f>
        <v>Epocha Ignota</v>
      </c>
      <c r="Q662" t="str">
        <f>_xlfn.XLOOKUP(frasest[[#This Row],[author_es]],autorest[author_es],autorest[image])</f>
        <v>https://i.ibb.co/bjgxB3kn/euskadi.png</v>
      </c>
      <c r="R662">
        <f>_xlfn.XLOOKUP(frasest[[#This Row],[author_es]],autorest[author_es],autorest[image_atr])</f>
        <v>0</v>
      </c>
    </row>
    <row r="663" spans="1:18">
      <c r="A663">
        <v>662</v>
      </c>
      <c r="B663" t="s">
        <v>2267</v>
      </c>
      <c r="C663" t="s">
        <v>2268</v>
      </c>
      <c r="D663" t="s">
        <v>2269</v>
      </c>
      <c r="E663" t="s">
        <v>1236</v>
      </c>
      <c r="G663" t="str">
        <f>_xlfn.XLOOKUP(frasest[[#This Row],[author_es]],autorest[author_es],autorest[author_la])</f>
        <v>Sententia Vasconica</v>
      </c>
      <c r="H663" t="str">
        <f>_xlfn.XLOOKUP(frasest[[#This Row],[author_es]],autorest[author_es],autorest[bio_es])</f>
        <v>Proverbios de la tradición oral vasca que reflejan la relación con la naturaleza, el trabajo y los valores comunitarios del pueblo vasco.</v>
      </c>
      <c r="I663" t="str">
        <f>_xlfn.XLOOKUP(frasest[[#This Row],[author_es]],autorest[author_es],autorest[bio_la])</f>
        <v>Collectio sententiarum Vasconicarum.</v>
      </c>
      <c r="J663" t="str">
        <f>_xlfn.XLOOKUP(frasest[[#This Row],[author_es]],autorest[author_es],autorest[iso3691])</f>
        <v>eu</v>
      </c>
      <c r="K663" t="str">
        <f>_xlfn.XLOOKUP(frasest[[#This Row],[author_es]],autorest[author_es],autorest[language_es])</f>
        <v>Euskara</v>
      </c>
      <c r="L663" t="str">
        <f>_xlfn.XLOOKUP(frasest[[#This Row],[author_es]],autorest[author_es],autorest[language_la])</f>
        <v>Lingua Vasconica</v>
      </c>
      <c r="M663" t="str">
        <f>_xlfn.XLOOKUP(frasest[[#This Row],[author_es]],autorest[author_es],autorest[nation_es])</f>
        <v>España</v>
      </c>
      <c r="N663" t="str">
        <f>_xlfn.XLOOKUP(frasest[[#This Row],[author_es]],autorest[author_es],autorest[nation_la])</f>
        <v>Hispania</v>
      </c>
      <c r="O663" t="str">
        <f>_xlfn.XLOOKUP(frasest[[#This Row],[author_es]],autorest[author_es],autorest[age_es])</f>
        <v>Epoca Desconocida</v>
      </c>
      <c r="P663" t="str">
        <f>_xlfn.XLOOKUP(frasest[[#This Row],[author_es]],autorest[author_es],autorest[age_la])</f>
        <v>Epocha Ignota</v>
      </c>
      <c r="Q663" t="str">
        <f>_xlfn.XLOOKUP(frasest[[#This Row],[author_es]],autorest[author_es],autorest[image])</f>
        <v>https://i.ibb.co/bjgxB3kn/euskadi.png</v>
      </c>
      <c r="R663">
        <f>_xlfn.XLOOKUP(frasest[[#This Row],[author_es]],autorest[author_es],autorest[image_atr])</f>
        <v>0</v>
      </c>
    </row>
    <row r="664" spans="1:18">
      <c r="A664">
        <v>663</v>
      </c>
      <c r="B664" t="s">
        <v>2270</v>
      </c>
      <c r="C664" t="s">
        <v>2271</v>
      </c>
      <c r="D664" t="s">
        <v>2272</v>
      </c>
      <c r="E664" t="s">
        <v>1236</v>
      </c>
      <c r="G664" t="str">
        <f>_xlfn.XLOOKUP(frasest[[#This Row],[author_es]],autorest[author_es],autorest[author_la])</f>
        <v>Sententia Vasconica</v>
      </c>
      <c r="H664" t="str">
        <f>_xlfn.XLOOKUP(frasest[[#This Row],[author_es]],autorest[author_es],autorest[bio_es])</f>
        <v>Proverbios de la tradición oral vasca que reflejan la relación con la naturaleza, el trabajo y los valores comunitarios del pueblo vasco.</v>
      </c>
      <c r="I664" t="str">
        <f>_xlfn.XLOOKUP(frasest[[#This Row],[author_es]],autorest[author_es],autorest[bio_la])</f>
        <v>Collectio sententiarum Vasconicarum.</v>
      </c>
      <c r="J664" t="str">
        <f>_xlfn.XLOOKUP(frasest[[#This Row],[author_es]],autorest[author_es],autorest[iso3691])</f>
        <v>eu</v>
      </c>
      <c r="K664" t="str">
        <f>_xlfn.XLOOKUP(frasest[[#This Row],[author_es]],autorest[author_es],autorest[language_es])</f>
        <v>Euskara</v>
      </c>
      <c r="L664" t="str">
        <f>_xlfn.XLOOKUP(frasest[[#This Row],[author_es]],autorest[author_es],autorest[language_la])</f>
        <v>Lingua Vasconica</v>
      </c>
      <c r="M664" t="str">
        <f>_xlfn.XLOOKUP(frasest[[#This Row],[author_es]],autorest[author_es],autorest[nation_es])</f>
        <v>España</v>
      </c>
      <c r="N664" t="str">
        <f>_xlfn.XLOOKUP(frasest[[#This Row],[author_es]],autorest[author_es],autorest[nation_la])</f>
        <v>Hispania</v>
      </c>
      <c r="O664" t="str">
        <f>_xlfn.XLOOKUP(frasest[[#This Row],[author_es]],autorest[author_es],autorest[age_es])</f>
        <v>Epoca Desconocida</v>
      </c>
      <c r="P664" t="str">
        <f>_xlfn.XLOOKUP(frasest[[#This Row],[author_es]],autorest[author_es],autorest[age_la])</f>
        <v>Epocha Ignota</v>
      </c>
      <c r="Q664" t="str">
        <f>_xlfn.XLOOKUP(frasest[[#This Row],[author_es]],autorest[author_es],autorest[image])</f>
        <v>https://i.ibb.co/bjgxB3kn/euskadi.png</v>
      </c>
      <c r="R664">
        <f>_xlfn.XLOOKUP(frasest[[#This Row],[author_es]],autorest[author_es],autorest[image_atr])</f>
        <v>0</v>
      </c>
    </row>
    <row r="665" spans="1:18">
      <c r="A665">
        <v>664</v>
      </c>
      <c r="B665" t="s">
        <v>2273</v>
      </c>
      <c r="C665" t="s">
        <v>2274</v>
      </c>
      <c r="D665" t="s">
        <v>2275</v>
      </c>
      <c r="E665" t="s">
        <v>1236</v>
      </c>
      <c r="G665" t="str">
        <f>_xlfn.XLOOKUP(frasest[[#This Row],[author_es]],autorest[author_es],autorest[author_la])</f>
        <v>Sententia Vasconica</v>
      </c>
      <c r="H665" t="str">
        <f>_xlfn.XLOOKUP(frasest[[#This Row],[author_es]],autorest[author_es],autorest[bio_es])</f>
        <v>Proverbios de la tradición oral vasca que reflejan la relación con la naturaleza, el trabajo y los valores comunitarios del pueblo vasco.</v>
      </c>
      <c r="I665" t="str">
        <f>_xlfn.XLOOKUP(frasest[[#This Row],[author_es]],autorest[author_es],autorest[bio_la])</f>
        <v>Collectio sententiarum Vasconicarum.</v>
      </c>
      <c r="J665" t="str">
        <f>_xlfn.XLOOKUP(frasest[[#This Row],[author_es]],autorest[author_es],autorest[iso3691])</f>
        <v>eu</v>
      </c>
      <c r="K665" t="str">
        <f>_xlfn.XLOOKUP(frasest[[#This Row],[author_es]],autorest[author_es],autorest[language_es])</f>
        <v>Euskara</v>
      </c>
      <c r="L665" t="str">
        <f>_xlfn.XLOOKUP(frasest[[#This Row],[author_es]],autorest[author_es],autorest[language_la])</f>
        <v>Lingua Vasconica</v>
      </c>
      <c r="M665" t="str">
        <f>_xlfn.XLOOKUP(frasest[[#This Row],[author_es]],autorest[author_es],autorest[nation_es])</f>
        <v>España</v>
      </c>
      <c r="N665" t="str">
        <f>_xlfn.XLOOKUP(frasest[[#This Row],[author_es]],autorest[author_es],autorest[nation_la])</f>
        <v>Hispania</v>
      </c>
      <c r="O665" t="str">
        <f>_xlfn.XLOOKUP(frasest[[#This Row],[author_es]],autorest[author_es],autorest[age_es])</f>
        <v>Epoca Desconocida</v>
      </c>
      <c r="P665" t="str">
        <f>_xlfn.XLOOKUP(frasest[[#This Row],[author_es]],autorest[author_es],autorest[age_la])</f>
        <v>Epocha Ignota</v>
      </c>
      <c r="Q665" t="str">
        <f>_xlfn.XLOOKUP(frasest[[#This Row],[author_es]],autorest[author_es],autorest[image])</f>
        <v>https://i.ibb.co/bjgxB3kn/euskadi.png</v>
      </c>
      <c r="R665">
        <f>_xlfn.XLOOKUP(frasest[[#This Row],[author_es]],autorest[author_es],autorest[image_atr])</f>
        <v>0</v>
      </c>
    </row>
    <row r="666" spans="1:18">
      <c r="A666">
        <v>665</v>
      </c>
      <c r="B666" t="s">
        <v>2276</v>
      </c>
      <c r="C666" t="s">
        <v>2277</v>
      </c>
      <c r="D666" t="s">
        <v>2278</v>
      </c>
      <c r="E666" t="s">
        <v>1236</v>
      </c>
      <c r="G666" t="str">
        <f>_xlfn.XLOOKUP(frasest[[#This Row],[author_es]],autorest[author_es],autorest[author_la])</f>
        <v>Sententia Vasconica</v>
      </c>
      <c r="H666" t="str">
        <f>_xlfn.XLOOKUP(frasest[[#This Row],[author_es]],autorest[author_es],autorest[bio_es])</f>
        <v>Proverbios de la tradición oral vasca que reflejan la relación con la naturaleza, el trabajo y los valores comunitarios del pueblo vasco.</v>
      </c>
      <c r="I666" t="str">
        <f>_xlfn.XLOOKUP(frasest[[#This Row],[author_es]],autorest[author_es],autorest[bio_la])</f>
        <v>Collectio sententiarum Vasconicarum.</v>
      </c>
      <c r="J666" t="str">
        <f>_xlfn.XLOOKUP(frasest[[#This Row],[author_es]],autorest[author_es],autorest[iso3691])</f>
        <v>eu</v>
      </c>
      <c r="K666" t="str">
        <f>_xlfn.XLOOKUP(frasest[[#This Row],[author_es]],autorest[author_es],autorest[language_es])</f>
        <v>Euskara</v>
      </c>
      <c r="L666" t="str">
        <f>_xlfn.XLOOKUP(frasest[[#This Row],[author_es]],autorest[author_es],autorest[language_la])</f>
        <v>Lingua Vasconica</v>
      </c>
      <c r="M666" t="str">
        <f>_xlfn.XLOOKUP(frasest[[#This Row],[author_es]],autorest[author_es],autorest[nation_es])</f>
        <v>España</v>
      </c>
      <c r="N666" t="str">
        <f>_xlfn.XLOOKUP(frasest[[#This Row],[author_es]],autorest[author_es],autorest[nation_la])</f>
        <v>Hispania</v>
      </c>
      <c r="O666" t="str">
        <f>_xlfn.XLOOKUP(frasest[[#This Row],[author_es]],autorest[author_es],autorest[age_es])</f>
        <v>Epoca Desconocida</v>
      </c>
      <c r="P666" t="str">
        <f>_xlfn.XLOOKUP(frasest[[#This Row],[author_es]],autorest[author_es],autorest[age_la])</f>
        <v>Epocha Ignota</v>
      </c>
      <c r="Q666" t="str">
        <f>_xlfn.XLOOKUP(frasest[[#This Row],[author_es]],autorest[author_es],autorest[image])</f>
        <v>https://i.ibb.co/bjgxB3kn/euskadi.png</v>
      </c>
      <c r="R666">
        <f>_xlfn.XLOOKUP(frasest[[#This Row],[author_es]],autorest[author_es],autorest[image_atr])</f>
        <v>0</v>
      </c>
    </row>
    <row r="667" spans="1:18">
      <c r="A667">
        <v>666</v>
      </c>
      <c r="B667" t="s">
        <v>2279</v>
      </c>
      <c r="C667" t="s">
        <v>2280</v>
      </c>
      <c r="D667" t="s">
        <v>2281</v>
      </c>
      <c r="E667" t="s">
        <v>1236</v>
      </c>
      <c r="G667" t="str">
        <f>_xlfn.XLOOKUP(frasest[[#This Row],[author_es]],autorest[author_es],autorest[author_la])</f>
        <v>Sententia Vasconica</v>
      </c>
      <c r="H667" t="str">
        <f>_xlfn.XLOOKUP(frasest[[#This Row],[author_es]],autorest[author_es],autorest[bio_es])</f>
        <v>Proverbios de la tradición oral vasca que reflejan la relación con la naturaleza, el trabajo y los valores comunitarios del pueblo vasco.</v>
      </c>
      <c r="I667" t="str">
        <f>_xlfn.XLOOKUP(frasest[[#This Row],[author_es]],autorest[author_es],autorest[bio_la])</f>
        <v>Collectio sententiarum Vasconicarum.</v>
      </c>
      <c r="J667" t="str">
        <f>_xlfn.XLOOKUP(frasest[[#This Row],[author_es]],autorest[author_es],autorest[iso3691])</f>
        <v>eu</v>
      </c>
      <c r="K667" t="str">
        <f>_xlfn.XLOOKUP(frasest[[#This Row],[author_es]],autorest[author_es],autorest[language_es])</f>
        <v>Euskara</v>
      </c>
      <c r="L667" t="str">
        <f>_xlfn.XLOOKUP(frasest[[#This Row],[author_es]],autorest[author_es],autorest[language_la])</f>
        <v>Lingua Vasconica</v>
      </c>
      <c r="M667" t="str">
        <f>_xlfn.XLOOKUP(frasest[[#This Row],[author_es]],autorest[author_es],autorest[nation_es])</f>
        <v>España</v>
      </c>
      <c r="N667" t="str">
        <f>_xlfn.XLOOKUP(frasest[[#This Row],[author_es]],autorest[author_es],autorest[nation_la])</f>
        <v>Hispania</v>
      </c>
      <c r="O667" t="str">
        <f>_xlfn.XLOOKUP(frasest[[#This Row],[author_es]],autorest[author_es],autorest[age_es])</f>
        <v>Epoca Desconocida</v>
      </c>
      <c r="P667" t="str">
        <f>_xlfn.XLOOKUP(frasest[[#This Row],[author_es]],autorest[author_es],autorest[age_la])</f>
        <v>Epocha Ignota</v>
      </c>
      <c r="Q667" t="str">
        <f>_xlfn.XLOOKUP(frasest[[#This Row],[author_es]],autorest[author_es],autorest[image])</f>
        <v>https://i.ibb.co/bjgxB3kn/euskadi.png</v>
      </c>
      <c r="R667">
        <f>_xlfn.XLOOKUP(frasest[[#This Row],[author_es]],autorest[author_es],autorest[image_atr])</f>
        <v>0</v>
      </c>
    </row>
    <row r="668" spans="1:18">
      <c r="A668">
        <v>667</v>
      </c>
      <c r="B668" t="s">
        <v>2282</v>
      </c>
      <c r="C668" t="s">
        <v>2283</v>
      </c>
      <c r="D668" t="s">
        <v>2284</v>
      </c>
      <c r="E668" t="s">
        <v>1236</v>
      </c>
      <c r="G668" t="str">
        <f>_xlfn.XLOOKUP(frasest[[#This Row],[author_es]],autorest[author_es],autorest[author_la])</f>
        <v>Sententia Vasconica</v>
      </c>
      <c r="H668" t="str">
        <f>_xlfn.XLOOKUP(frasest[[#This Row],[author_es]],autorest[author_es],autorest[bio_es])</f>
        <v>Proverbios de la tradición oral vasca que reflejan la relación con la naturaleza, el trabajo y los valores comunitarios del pueblo vasco.</v>
      </c>
      <c r="I668" t="str">
        <f>_xlfn.XLOOKUP(frasest[[#This Row],[author_es]],autorest[author_es],autorest[bio_la])</f>
        <v>Collectio sententiarum Vasconicarum.</v>
      </c>
      <c r="J668" t="str">
        <f>_xlfn.XLOOKUP(frasest[[#This Row],[author_es]],autorest[author_es],autorest[iso3691])</f>
        <v>eu</v>
      </c>
      <c r="K668" t="str">
        <f>_xlfn.XLOOKUP(frasest[[#This Row],[author_es]],autorest[author_es],autorest[language_es])</f>
        <v>Euskara</v>
      </c>
      <c r="L668" t="str">
        <f>_xlfn.XLOOKUP(frasest[[#This Row],[author_es]],autorest[author_es],autorest[language_la])</f>
        <v>Lingua Vasconica</v>
      </c>
      <c r="M668" t="str">
        <f>_xlfn.XLOOKUP(frasest[[#This Row],[author_es]],autorest[author_es],autorest[nation_es])</f>
        <v>España</v>
      </c>
      <c r="N668" t="str">
        <f>_xlfn.XLOOKUP(frasest[[#This Row],[author_es]],autorest[author_es],autorest[nation_la])</f>
        <v>Hispania</v>
      </c>
      <c r="O668" t="str">
        <f>_xlfn.XLOOKUP(frasest[[#This Row],[author_es]],autorest[author_es],autorest[age_es])</f>
        <v>Epoca Desconocida</v>
      </c>
      <c r="P668" t="str">
        <f>_xlfn.XLOOKUP(frasest[[#This Row],[author_es]],autorest[author_es],autorest[age_la])</f>
        <v>Epocha Ignota</v>
      </c>
      <c r="Q668" t="str">
        <f>_xlfn.XLOOKUP(frasest[[#This Row],[author_es]],autorest[author_es],autorest[image])</f>
        <v>https://i.ibb.co/bjgxB3kn/euskadi.png</v>
      </c>
      <c r="R668">
        <f>_xlfn.XLOOKUP(frasest[[#This Row],[author_es]],autorest[author_es],autorest[image_atr])</f>
        <v>0</v>
      </c>
    </row>
    <row r="669" spans="1:18">
      <c r="A669">
        <v>668</v>
      </c>
      <c r="B669" t="s">
        <v>2285</v>
      </c>
      <c r="C669" t="s">
        <v>2286</v>
      </c>
      <c r="D669" t="s">
        <v>2287</v>
      </c>
      <c r="E669" t="s">
        <v>1236</v>
      </c>
      <c r="G669" t="str">
        <f>_xlfn.XLOOKUP(frasest[[#This Row],[author_es]],autorest[author_es],autorest[author_la])</f>
        <v>Sententia Vasconica</v>
      </c>
      <c r="H669" t="str">
        <f>_xlfn.XLOOKUP(frasest[[#This Row],[author_es]],autorest[author_es],autorest[bio_es])</f>
        <v>Proverbios de la tradición oral vasca que reflejan la relación con la naturaleza, el trabajo y los valores comunitarios del pueblo vasco.</v>
      </c>
      <c r="I669" t="str">
        <f>_xlfn.XLOOKUP(frasest[[#This Row],[author_es]],autorest[author_es],autorest[bio_la])</f>
        <v>Collectio sententiarum Vasconicarum.</v>
      </c>
      <c r="J669" t="str">
        <f>_xlfn.XLOOKUP(frasest[[#This Row],[author_es]],autorest[author_es],autorest[iso3691])</f>
        <v>eu</v>
      </c>
      <c r="K669" t="str">
        <f>_xlfn.XLOOKUP(frasest[[#This Row],[author_es]],autorest[author_es],autorest[language_es])</f>
        <v>Euskara</v>
      </c>
      <c r="L669" t="str">
        <f>_xlfn.XLOOKUP(frasest[[#This Row],[author_es]],autorest[author_es],autorest[language_la])</f>
        <v>Lingua Vasconica</v>
      </c>
      <c r="M669" t="str">
        <f>_xlfn.XLOOKUP(frasest[[#This Row],[author_es]],autorest[author_es],autorest[nation_es])</f>
        <v>España</v>
      </c>
      <c r="N669" t="str">
        <f>_xlfn.XLOOKUP(frasest[[#This Row],[author_es]],autorest[author_es],autorest[nation_la])</f>
        <v>Hispania</v>
      </c>
      <c r="O669" t="str">
        <f>_xlfn.XLOOKUP(frasest[[#This Row],[author_es]],autorest[author_es],autorest[age_es])</f>
        <v>Epoca Desconocida</v>
      </c>
      <c r="P669" t="str">
        <f>_xlfn.XLOOKUP(frasest[[#This Row],[author_es]],autorest[author_es],autorest[age_la])</f>
        <v>Epocha Ignota</v>
      </c>
      <c r="Q669" t="str">
        <f>_xlfn.XLOOKUP(frasest[[#This Row],[author_es]],autorest[author_es],autorest[image])</f>
        <v>https://i.ibb.co/bjgxB3kn/euskadi.png</v>
      </c>
      <c r="R669">
        <f>_xlfn.XLOOKUP(frasest[[#This Row],[author_es]],autorest[author_es],autorest[image_atr])</f>
        <v>0</v>
      </c>
    </row>
    <row r="670" spans="1:18">
      <c r="A670">
        <v>669</v>
      </c>
      <c r="B670" t="s">
        <v>2288</v>
      </c>
      <c r="C670" t="s">
        <v>2289</v>
      </c>
      <c r="D670" t="s">
        <v>2290</v>
      </c>
      <c r="E670" t="s">
        <v>1236</v>
      </c>
      <c r="G670" t="str">
        <f>_xlfn.XLOOKUP(frasest[[#This Row],[author_es]],autorest[author_es],autorest[author_la])</f>
        <v>Sententia Vasconica</v>
      </c>
      <c r="H670" t="str">
        <f>_xlfn.XLOOKUP(frasest[[#This Row],[author_es]],autorest[author_es],autorest[bio_es])</f>
        <v>Proverbios de la tradición oral vasca que reflejan la relación con la naturaleza, el trabajo y los valores comunitarios del pueblo vasco.</v>
      </c>
      <c r="I670" t="str">
        <f>_xlfn.XLOOKUP(frasest[[#This Row],[author_es]],autorest[author_es],autorest[bio_la])</f>
        <v>Collectio sententiarum Vasconicarum.</v>
      </c>
      <c r="J670" t="str">
        <f>_xlfn.XLOOKUP(frasest[[#This Row],[author_es]],autorest[author_es],autorest[iso3691])</f>
        <v>eu</v>
      </c>
      <c r="K670" t="str">
        <f>_xlfn.XLOOKUP(frasest[[#This Row],[author_es]],autorest[author_es],autorest[language_es])</f>
        <v>Euskara</v>
      </c>
      <c r="L670" t="str">
        <f>_xlfn.XLOOKUP(frasest[[#This Row],[author_es]],autorest[author_es],autorest[language_la])</f>
        <v>Lingua Vasconica</v>
      </c>
      <c r="M670" t="str">
        <f>_xlfn.XLOOKUP(frasest[[#This Row],[author_es]],autorest[author_es],autorest[nation_es])</f>
        <v>España</v>
      </c>
      <c r="N670" t="str">
        <f>_xlfn.XLOOKUP(frasest[[#This Row],[author_es]],autorest[author_es],autorest[nation_la])</f>
        <v>Hispania</v>
      </c>
      <c r="O670" t="str">
        <f>_xlfn.XLOOKUP(frasest[[#This Row],[author_es]],autorest[author_es],autorest[age_es])</f>
        <v>Epoca Desconocida</v>
      </c>
      <c r="P670" t="str">
        <f>_xlfn.XLOOKUP(frasest[[#This Row],[author_es]],autorest[author_es],autorest[age_la])</f>
        <v>Epocha Ignota</v>
      </c>
      <c r="Q670" t="str">
        <f>_xlfn.XLOOKUP(frasest[[#This Row],[author_es]],autorest[author_es],autorest[image])</f>
        <v>https://i.ibb.co/bjgxB3kn/euskadi.png</v>
      </c>
      <c r="R670">
        <f>_xlfn.XLOOKUP(frasest[[#This Row],[author_es]],autorest[author_es],autorest[image_atr])</f>
        <v>0</v>
      </c>
    </row>
    <row r="671" spans="1:18">
      <c r="A671">
        <v>670</v>
      </c>
      <c r="B671" t="s">
        <v>2291</v>
      </c>
      <c r="C671" t="s">
        <v>2292</v>
      </c>
      <c r="D671" t="s">
        <v>2293</v>
      </c>
      <c r="E671" t="s">
        <v>1236</v>
      </c>
      <c r="G671" t="str">
        <f>_xlfn.XLOOKUP(frasest[[#This Row],[author_es]],autorest[author_es],autorest[author_la])</f>
        <v>Sententia Vasconica</v>
      </c>
      <c r="H671" t="str">
        <f>_xlfn.XLOOKUP(frasest[[#This Row],[author_es]],autorest[author_es],autorest[bio_es])</f>
        <v>Proverbios de la tradición oral vasca que reflejan la relación con la naturaleza, el trabajo y los valores comunitarios del pueblo vasco.</v>
      </c>
      <c r="I671" t="str">
        <f>_xlfn.XLOOKUP(frasest[[#This Row],[author_es]],autorest[author_es],autorest[bio_la])</f>
        <v>Collectio sententiarum Vasconicarum.</v>
      </c>
      <c r="J671" t="str">
        <f>_xlfn.XLOOKUP(frasest[[#This Row],[author_es]],autorest[author_es],autorest[iso3691])</f>
        <v>eu</v>
      </c>
      <c r="K671" t="str">
        <f>_xlfn.XLOOKUP(frasest[[#This Row],[author_es]],autorest[author_es],autorest[language_es])</f>
        <v>Euskara</v>
      </c>
      <c r="L671" t="str">
        <f>_xlfn.XLOOKUP(frasest[[#This Row],[author_es]],autorest[author_es],autorest[language_la])</f>
        <v>Lingua Vasconica</v>
      </c>
      <c r="M671" t="str">
        <f>_xlfn.XLOOKUP(frasest[[#This Row],[author_es]],autorest[author_es],autorest[nation_es])</f>
        <v>España</v>
      </c>
      <c r="N671" t="str">
        <f>_xlfn.XLOOKUP(frasest[[#This Row],[author_es]],autorest[author_es],autorest[nation_la])</f>
        <v>Hispania</v>
      </c>
      <c r="O671" t="str">
        <f>_xlfn.XLOOKUP(frasest[[#This Row],[author_es]],autorest[author_es],autorest[age_es])</f>
        <v>Epoca Desconocida</v>
      </c>
      <c r="P671" t="str">
        <f>_xlfn.XLOOKUP(frasest[[#This Row],[author_es]],autorest[author_es],autorest[age_la])</f>
        <v>Epocha Ignota</v>
      </c>
      <c r="Q671" t="str">
        <f>_xlfn.XLOOKUP(frasest[[#This Row],[author_es]],autorest[author_es],autorest[image])</f>
        <v>https://i.ibb.co/bjgxB3kn/euskadi.png</v>
      </c>
      <c r="R671">
        <f>_xlfn.XLOOKUP(frasest[[#This Row],[author_es]],autorest[author_es],autorest[image_atr])</f>
        <v>0</v>
      </c>
    </row>
    <row r="672" spans="1:18">
      <c r="A672">
        <v>671</v>
      </c>
      <c r="B672" t="s">
        <v>2294</v>
      </c>
      <c r="C672" t="s">
        <v>2295</v>
      </c>
      <c r="D672" t="s">
        <v>2296</v>
      </c>
      <c r="E672" t="s">
        <v>1236</v>
      </c>
      <c r="G672" t="str">
        <f>_xlfn.XLOOKUP(frasest[[#This Row],[author_es]],autorest[author_es],autorest[author_la])</f>
        <v>Sententia Vasconica</v>
      </c>
      <c r="H672" t="str">
        <f>_xlfn.XLOOKUP(frasest[[#This Row],[author_es]],autorest[author_es],autorest[bio_es])</f>
        <v>Proverbios de la tradición oral vasca que reflejan la relación con la naturaleza, el trabajo y los valores comunitarios del pueblo vasco.</v>
      </c>
      <c r="I672" t="str">
        <f>_xlfn.XLOOKUP(frasest[[#This Row],[author_es]],autorest[author_es],autorest[bio_la])</f>
        <v>Collectio sententiarum Vasconicarum.</v>
      </c>
      <c r="J672" t="str">
        <f>_xlfn.XLOOKUP(frasest[[#This Row],[author_es]],autorest[author_es],autorest[iso3691])</f>
        <v>eu</v>
      </c>
      <c r="K672" t="str">
        <f>_xlfn.XLOOKUP(frasest[[#This Row],[author_es]],autorest[author_es],autorest[language_es])</f>
        <v>Euskara</v>
      </c>
      <c r="L672" t="str">
        <f>_xlfn.XLOOKUP(frasest[[#This Row],[author_es]],autorest[author_es],autorest[language_la])</f>
        <v>Lingua Vasconica</v>
      </c>
      <c r="M672" t="str">
        <f>_xlfn.XLOOKUP(frasest[[#This Row],[author_es]],autorest[author_es],autorest[nation_es])</f>
        <v>España</v>
      </c>
      <c r="N672" t="str">
        <f>_xlfn.XLOOKUP(frasest[[#This Row],[author_es]],autorest[author_es],autorest[nation_la])</f>
        <v>Hispania</v>
      </c>
      <c r="O672" t="str">
        <f>_xlfn.XLOOKUP(frasest[[#This Row],[author_es]],autorest[author_es],autorest[age_es])</f>
        <v>Epoca Desconocida</v>
      </c>
      <c r="P672" t="str">
        <f>_xlfn.XLOOKUP(frasest[[#This Row],[author_es]],autorest[author_es],autorest[age_la])</f>
        <v>Epocha Ignota</v>
      </c>
      <c r="Q672" t="str">
        <f>_xlfn.XLOOKUP(frasest[[#This Row],[author_es]],autorest[author_es],autorest[image])</f>
        <v>https://i.ibb.co/bjgxB3kn/euskadi.png</v>
      </c>
      <c r="R672">
        <f>_xlfn.XLOOKUP(frasest[[#This Row],[author_es]],autorest[author_es],autorest[image_atr])</f>
        <v>0</v>
      </c>
    </row>
    <row r="673" spans="1:18">
      <c r="A673">
        <v>672</v>
      </c>
      <c r="B673" t="s">
        <v>2297</v>
      </c>
      <c r="C673" t="s">
        <v>2298</v>
      </c>
      <c r="D673" t="s">
        <v>2299</v>
      </c>
      <c r="E673" t="s">
        <v>1236</v>
      </c>
      <c r="G673" t="str">
        <f>_xlfn.XLOOKUP(frasest[[#This Row],[author_es]],autorest[author_es],autorest[author_la])</f>
        <v>Sententia Vasconica</v>
      </c>
      <c r="H673" t="str">
        <f>_xlfn.XLOOKUP(frasest[[#This Row],[author_es]],autorest[author_es],autorest[bio_es])</f>
        <v>Proverbios de la tradición oral vasca que reflejan la relación con la naturaleza, el trabajo y los valores comunitarios del pueblo vasco.</v>
      </c>
      <c r="I673" t="str">
        <f>_xlfn.XLOOKUP(frasest[[#This Row],[author_es]],autorest[author_es],autorest[bio_la])</f>
        <v>Collectio sententiarum Vasconicarum.</v>
      </c>
      <c r="J673" t="str">
        <f>_xlfn.XLOOKUP(frasest[[#This Row],[author_es]],autorest[author_es],autorest[iso3691])</f>
        <v>eu</v>
      </c>
      <c r="K673" t="str">
        <f>_xlfn.XLOOKUP(frasest[[#This Row],[author_es]],autorest[author_es],autorest[language_es])</f>
        <v>Euskara</v>
      </c>
      <c r="L673" t="str">
        <f>_xlfn.XLOOKUP(frasest[[#This Row],[author_es]],autorest[author_es],autorest[language_la])</f>
        <v>Lingua Vasconica</v>
      </c>
      <c r="M673" t="str">
        <f>_xlfn.XLOOKUP(frasest[[#This Row],[author_es]],autorest[author_es],autorest[nation_es])</f>
        <v>España</v>
      </c>
      <c r="N673" t="str">
        <f>_xlfn.XLOOKUP(frasest[[#This Row],[author_es]],autorest[author_es],autorest[nation_la])</f>
        <v>Hispania</v>
      </c>
      <c r="O673" t="str">
        <f>_xlfn.XLOOKUP(frasest[[#This Row],[author_es]],autorest[author_es],autorest[age_es])</f>
        <v>Epoca Desconocida</v>
      </c>
      <c r="P673" t="str">
        <f>_xlfn.XLOOKUP(frasest[[#This Row],[author_es]],autorest[author_es],autorest[age_la])</f>
        <v>Epocha Ignota</v>
      </c>
      <c r="Q673" t="str">
        <f>_xlfn.XLOOKUP(frasest[[#This Row],[author_es]],autorest[author_es],autorest[image])</f>
        <v>https://i.ibb.co/bjgxB3kn/euskadi.png</v>
      </c>
      <c r="R673">
        <f>_xlfn.XLOOKUP(frasest[[#This Row],[author_es]],autorest[author_es],autorest[image_atr])</f>
        <v>0</v>
      </c>
    </row>
    <row r="674" spans="1:18">
      <c r="A674">
        <v>673</v>
      </c>
      <c r="B674" t="s">
        <v>2300</v>
      </c>
      <c r="C674" t="s">
        <v>2301</v>
      </c>
      <c r="D674" t="s">
        <v>2302</v>
      </c>
      <c r="E674" t="s">
        <v>1236</v>
      </c>
      <c r="G674" t="str">
        <f>_xlfn.XLOOKUP(frasest[[#This Row],[author_es]],autorest[author_es],autorest[author_la])</f>
        <v>Sententia Vasconica</v>
      </c>
      <c r="H674" t="str">
        <f>_xlfn.XLOOKUP(frasest[[#This Row],[author_es]],autorest[author_es],autorest[bio_es])</f>
        <v>Proverbios de la tradición oral vasca que reflejan la relación con la naturaleza, el trabajo y los valores comunitarios del pueblo vasco.</v>
      </c>
      <c r="I674" t="str">
        <f>_xlfn.XLOOKUP(frasest[[#This Row],[author_es]],autorest[author_es],autorest[bio_la])</f>
        <v>Collectio sententiarum Vasconicarum.</v>
      </c>
      <c r="J674" t="str">
        <f>_xlfn.XLOOKUP(frasest[[#This Row],[author_es]],autorest[author_es],autorest[iso3691])</f>
        <v>eu</v>
      </c>
      <c r="K674" t="str">
        <f>_xlfn.XLOOKUP(frasest[[#This Row],[author_es]],autorest[author_es],autorest[language_es])</f>
        <v>Euskara</v>
      </c>
      <c r="L674" t="str">
        <f>_xlfn.XLOOKUP(frasest[[#This Row],[author_es]],autorest[author_es],autorest[language_la])</f>
        <v>Lingua Vasconica</v>
      </c>
      <c r="M674" t="str">
        <f>_xlfn.XLOOKUP(frasest[[#This Row],[author_es]],autorest[author_es],autorest[nation_es])</f>
        <v>España</v>
      </c>
      <c r="N674" t="str">
        <f>_xlfn.XLOOKUP(frasest[[#This Row],[author_es]],autorest[author_es],autorest[nation_la])</f>
        <v>Hispania</v>
      </c>
      <c r="O674" t="str">
        <f>_xlfn.XLOOKUP(frasest[[#This Row],[author_es]],autorest[author_es],autorest[age_es])</f>
        <v>Epoca Desconocida</v>
      </c>
      <c r="P674" t="str">
        <f>_xlfn.XLOOKUP(frasest[[#This Row],[author_es]],autorest[author_es],autorest[age_la])</f>
        <v>Epocha Ignota</v>
      </c>
      <c r="Q674" t="str">
        <f>_xlfn.XLOOKUP(frasest[[#This Row],[author_es]],autorest[author_es],autorest[image])</f>
        <v>https://i.ibb.co/bjgxB3kn/euskadi.png</v>
      </c>
      <c r="R674">
        <f>_xlfn.XLOOKUP(frasest[[#This Row],[author_es]],autorest[author_es],autorest[image_atr])</f>
        <v>0</v>
      </c>
    </row>
    <row r="675" spans="1:18">
      <c r="A675">
        <v>674</v>
      </c>
      <c r="B675" t="s">
        <v>2303</v>
      </c>
      <c r="C675" t="s">
        <v>2304</v>
      </c>
      <c r="D675" t="s">
        <v>2305</v>
      </c>
      <c r="E675" t="s">
        <v>1236</v>
      </c>
      <c r="G675" t="str">
        <f>_xlfn.XLOOKUP(frasest[[#This Row],[author_es]],autorest[author_es],autorest[author_la])</f>
        <v>Sententia Vasconica</v>
      </c>
      <c r="H675" t="str">
        <f>_xlfn.XLOOKUP(frasest[[#This Row],[author_es]],autorest[author_es],autorest[bio_es])</f>
        <v>Proverbios de la tradición oral vasca que reflejan la relación con la naturaleza, el trabajo y los valores comunitarios del pueblo vasco.</v>
      </c>
      <c r="I675" t="str">
        <f>_xlfn.XLOOKUP(frasest[[#This Row],[author_es]],autorest[author_es],autorest[bio_la])</f>
        <v>Collectio sententiarum Vasconicarum.</v>
      </c>
      <c r="J675" t="str">
        <f>_xlfn.XLOOKUP(frasest[[#This Row],[author_es]],autorest[author_es],autorest[iso3691])</f>
        <v>eu</v>
      </c>
      <c r="K675" t="str">
        <f>_xlfn.XLOOKUP(frasest[[#This Row],[author_es]],autorest[author_es],autorest[language_es])</f>
        <v>Euskara</v>
      </c>
      <c r="L675" t="str">
        <f>_xlfn.XLOOKUP(frasest[[#This Row],[author_es]],autorest[author_es],autorest[language_la])</f>
        <v>Lingua Vasconica</v>
      </c>
      <c r="M675" t="str">
        <f>_xlfn.XLOOKUP(frasest[[#This Row],[author_es]],autorest[author_es],autorest[nation_es])</f>
        <v>España</v>
      </c>
      <c r="N675" t="str">
        <f>_xlfn.XLOOKUP(frasest[[#This Row],[author_es]],autorest[author_es],autorest[nation_la])</f>
        <v>Hispania</v>
      </c>
      <c r="O675" t="str">
        <f>_xlfn.XLOOKUP(frasest[[#This Row],[author_es]],autorest[author_es],autorest[age_es])</f>
        <v>Epoca Desconocida</v>
      </c>
      <c r="P675" t="str">
        <f>_xlfn.XLOOKUP(frasest[[#This Row],[author_es]],autorest[author_es],autorest[age_la])</f>
        <v>Epocha Ignota</v>
      </c>
      <c r="Q675" t="str">
        <f>_xlfn.XLOOKUP(frasest[[#This Row],[author_es]],autorest[author_es],autorest[image])</f>
        <v>https://i.ibb.co/bjgxB3kn/euskadi.png</v>
      </c>
      <c r="R675">
        <f>_xlfn.XLOOKUP(frasest[[#This Row],[author_es]],autorest[author_es],autorest[image_atr])</f>
        <v>0</v>
      </c>
    </row>
    <row r="676" spans="1:18">
      <c r="A676">
        <v>675</v>
      </c>
      <c r="B676" t="s">
        <v>2306</v>
      </c>
      <c r="C676" t="s">
        <v>2307</v>
      </c>
      <c r="D676" t="s">
        <v>2308</v>
      </c>
      <c r="E676" t="s">
        <v>1236</v>
      </c>
      <c r="G676" t="str">
        <f>_xlfn.XLOOKUP(frasest[[#This Row],[author_es]],autorest[author_es],autorest[author_la])</f>
        <v>Sententia Vasconica</v>
      </c>
      <c r="H676" t="str">
        <f>_xlfn.XLOOKUP(frasest[[#This Row],[author_es]],autorest[author_es],autorest[bio_es])</f>
        <v>Proverbios de la tradición oral vasca que reflejan la relación con la naturaleza, el trabajo y los valores comunitarios del pueblo vasco.</v>
      </c>
      <c r="I676" t="str">
        <f>_xlfn.XLOOKUP(frasest[[#This Row],[author_es]],autorest[author_es],autorest[bio_la])</f>
        <v>Collectio sententiarum Vasconicarum.</v>
      </c>
      <c r="J676" t="str">
        <f>_xlfn.XLOOKUP(frasest[[#This Row],[author_es]],autorest[author_es],autorest[iso3691])</f>
        <v>eu</v>
      </c>
      <c r="K676" t="str">
        <f>_xlfn.XLOOKUP(frasest[[#This Row],[author_es]],autorest[author_es],autorest[language_es])</f>
        <v>Euskara</v>
      </c>
      <c r="L676" t="str">
        <f>_xlfn.XLOOKUP(frasest[[#This Row],[author_es]],autorest[author_es],autorest[language_la])</f>
        <v>Lingua Vasconica</v>
      </c>
      <c r="M676" t="str">
        <f>_xlfn.XLOOKUP(frasest[[#This Row],[author_es]],autorest[author_es],autorest[nation_es])</f>
        <v>España</v>
      </c>
      <c r="N676" t="str">
        <f>_xlfn.XLOOKUP(frasest[[#This Row],[author_es]],autorest[author_es],autorest[nation_la])</f>
        <v>Hispania</v>
      </c>
      <c r="O676" t="str">
        <f>_xlfn.XLOOKUP(frasest[[#This Row],[author_es]],autorest[author_es],autorest[age_es])</f>
        <v>Epoca Desconocida</v>
      </c>
      <c r="P676" t="str">
        <f>_xlfn.XLOOKUP(frasest[[#This Row],[author_es]],autorest[author_es],autorest[age_la])</f>
        <v>Epocha Ignota</v>
      </c>
      <c r="Q676" t="str">
        <f>_xlfn.XLOOKUP(frasest[[#This Row],[author_es]],autorest[author_es],autorest[image])</f>
        <v>https://i.ibb.co/bjgxB3kn/euskadi.png</v>
      </c>
      <c r="R676">
        <f>_xlfn.XLOOKUP(frasest[[#This Row],[author_es]],autorest[author_es],autorest[image_atr])</f>
        <v>0</v>
      </c>
    </row>
    <row r="677" spans="1:18">
      <c r="A677">
        <v>676</v>
      </c>
      <c r="B677" t="s">
        <v>2309</v>
      </c>
      <c r="C677" t="s">
        <v>2310</v>
      </c>
      <c r="D677" t="s">
        <v>2311</v>
      </c>
      <c r="E677" t="s">
        <v>1236</v>
      </c>
      <c r="G677" t="str">
        <f>_xlfn.XLOOKUP(frasest[[#This Row],[author_es]],autorest[author_es],autorest[author_la])</f>
        <v>Sententia Vasconica</v>
      </c>
      <c r="H677" t="str">
        <f>_xlfn.XLOOKUP(frasest[[#This Row],[author_es]],autorest[author_es],autorest[bio_es])</f>
        <v>Proverbios de la tradición oral vasca que reflejan la relación con la naturaleza, el trabajo y los valores comunitarios del pueblo vasco.</v>
      </c>
      <c r="I677" t="str">
        <f>_xlfn.XLOOKUP(frasest[[#This Row],[author_es]],autorest[author_es],autorest[bio_la])</f>
        <v>Collectio sententiarum Vasconicarum.</v>
      </c>
      <c r="J677" t="str">
        <f>_xlfn.XLOOKUP(frasest[[#This Row],[author_es]],autorest[author_es],autorest[iso3691])</f>
        <v>eu</v>
      </c>
      <c r="K677" t="str">
        <f>_xlfn.XLOOKUP(frasest[[#This Row],[author_es]],autorest[author_es],autorest[language_es])</f>
        <v>Euskara</v>
      </c>
      <c r="L677" t="str">
        <f>_xlfn.XLOOKUP(frasest[[#This Row],[author_es]],autorest[author_es],autorest[language_la])</f>
        <v>Lingua Vasconica</v>
      </c>
      <c r="M677" t="str">
        <f>_xlfn.XLOOKUP(frasest[[#This Row],[author_es]],autorest[author_es],autorest[nation_es])</f>
        <v>España</v>
      </c>
      <c r="N677" t="str">
        <f>_xlfn.XLOOKUP(frasest[[#This Row],[author_es]],autorest[author_es],autorest[nation_la])</f>
        <v>Hispania</v>
      </c>
      <c r="O677" t="str">
        <f>_xlfn.XLOOKUP(frasest[[#This Row],[author_es]],autorest[author_es],autorest[age_es])</f>
        <v>Epoca Desconocida</v>
      </c>
      <c r="P677" t="str">
        <f>_xlfn.XLOOKUP(frasest[[#This Row],[author_es]],autorest[author_es],autorest[age_la])</f>
        <v>Epocha Ignota</v>
      </c>
      <c r="Q677" t="str">
        <f>_xlfn.XLOOKUP(frasest[[#This Row],[author_es]],autorest[author_es],autorest[image])</f>
        <v>https://i.ibb.co/bjgxB3kn/euskadi.png</v>
      </c>
      <c r="R677">
        <f>_xlfn.XLOOKUP(frasest[[#This Row],[author_es]],autorest[author_es],autorest[image_atr])</f>
        <v>0</v>
      </c>
    </row>
    <row r="678" spans="1:18">
      <c r="A678">
        <v>677</v>
      </c>
      <c r="B678" t="s">
        <v>2312</v>
      </c>
      <c r="C678" t="s">
        <v>2313</v>
      </c>
      <c r="D678" t="s">
        <v>2314</v>
      </c>
      <c r="E678" t="s">
        <v>1236</v>
      </c>
      <c r="G678" t="str">
        <f>_xlfn.XLOOKUP(frasest[[#This Row],[author_es]],autorest[author_es],autorest[author_la])</f>
        <v>Sententia Vasconica</v>
      </c>
      <c r="H678" t="str">
        <f>_xlfn.XLOOKUP(frasest[[#This Row],[author_es]],autorest[author_es],autorest[bio_es])</f>
        <v>Proverbios de la tradición oral vasca que reflejan la relación con la naturaleza, el trabajo y los valores comunitarios del pueblo vasco.</v>
      </c>
      <c r="I678" t="str">
        <f>_xlfn.XLOOKUP(frasest[[#This Row],[author_es]],autorest[author_es],autorest[bio_la])</f>
        <v>Collectio sententiarum Vasconicarum.</v>
      </c>
      <c r="J678" t="str">
        <f>_xlfn.XLOOKUP(frasest[[#This Row],[author_es]],autorest[author_es],autorest[iso3691])</f>
        <v>eu</v>
      </c>
      <c r="K678" t="str">
        <f>_xlfn.XLOOKUP(frasest[[#This Row],[author_es]],autorest[author_es],autorest[language_es])</f>
        <v>Euskara</v>
      </c>
      <c r="L678" t="str">
        <f>_xlfn.XLOOKUP(frasest[[#This Row],[author_es]],autorest[author_es],autorest[language_la])</f>
        <v>Lingua Vasconica</v>
      </c>
      <c r="M678" t="str">
        <f>_xlfn.XLOOKUP(frasest[[#This Row],[author_es]],autorest[author_es],autorest[nation_es])</f>
        <v>España</v>
      </c>
      <c r="N678" t="str">
        <f>_xlfn.XLOOKUP(frasest[[#This Row],[author_es]],autorest[author_es],autorest[nation_la])</f>
        <v>Hispania</v>
      </c>
      <c r="O678" t="str">
        <f>_xlfn.XLOOKUP(frasest[[#This Row],[author_es]],autorest[author_es],autorest[age_es])</f>
        <v>Epoca Desconocida</v>
      </c>
      <c r="P678" t="str">
        <f>_xlfn.XLOOKUP(frasest[[#This Row],[author_es]],autorest[author_es],autorest[age_la])</f>
        <v>Epocha Ignota</v>
      </c>
      <c r="Q678" t="str">
        <f>_xlfn.XLOOKUP(frasest[[#This Row],[author_es]],autorest[author_es],autorest[image])</f>
        <v>https://i.ibb.co/bjgxB3kn/euskadi.png</v>
      </c>
      <c r="R678">
        <f>_xlfn.XLOOKUP(frasest[[#This Row],[author_es]],autorest[author_es],autorest[image_atr])</f>
        <v>0</v>
      </c>
    </row>
    <row r="679" spans="1:18">
      <c r="A679">
        <v>678</v>
      </c>
      <c r="B679" t="s">
        <v>2315</v>
      </c>
      <c r="C679" t="s">
        <v>2316</v>
      </c>
      <c r="D679" t="s">
        <v>2317</v>
      </c>
      <c r="E679" t="s">
        <v>1236</v>
      </c>
      <c r="G679" t="str">
        <f>_xlfn.XLOOKUP(frasest[[#This Row],[author_es]],autorest[author_es],autorest[author_la])</f>
        <v>Sententia Vasconica</v>
      </c>
      <c r="H679" t="str">
        <f>_xlfn.XLOOKUP(frasest[[#This Row],[author_es]],autorest[author_es],autorest[bio_es])</f>
        <v>Proverbios de la tradición oral vasca que reflejan la relación con la naturaleza, el trabajo y los valores comunitarios del pueblo vasco.</v>
      </c>
      <c r="I679" t="str">
        <f>_xlfn.XLOOKUP(frasest[[#This Row],[author_es]],autorest[author_es],autorest[bio_la])</f>
        <v>Collectio sententiarum Vasconicarum.</v>
      </c>
      <c r="J679" t="str">
        <f>_xlfn.XLOOKUP(frasest[[#This Row],[author_es]],autorest[author_es],autorest[iso3691])</f>
        <v>eu</v>
      </c>
      <c r="K679" t="str">
        <f>_xlfn.XLOOKUP(frasest[[#This Row],[author_es]],autorest[author_es],autorest[language_es])</f>
        <v>Euskara</v>
      </c>
      <c r="L679" t="str">
        <f>_xlfn.XLOOKUP(frasest[[#This Row],[author_es]],autorest[author_es],autorest[language_la])</f>
        <v>Lingua Vasconica</v>
      </c>
      <c r="M679" t="str">
        <f>_xlfn.XLOOKUP(frasest[[#This Row],[author_es]],autorest[author_es],autorest[nation_es])</f>
        <v>España</v>
      </c>
      <c r="N679" t="str">
        <f>_xlfn.XLOOKUP(frasest[[#This Row],[author_es]],autorest[author_es],autorest[nation_la])</f>
        <v>Hispania</v>
      </c>
      <c r="O679" t="str">
        <f>_xlfn.XLOOKUP(frasest[[#This Row],[author_es]],autorest[author_es],autorest[age_es])</f>
        <v>Epoca Desconocida</v>
      </c>
      <c r="P679" t="str">
        <f>_xlfn.XLOOKUP(frasest[[#This Row],[author_es]],autorest[author_es],autorest[age_la])</f>
        <v>Epocha Ignota</v>
      </c>
      <c r="Q679" t="str">
        <f>_xlfn.XLOOKUP(frasest[[#This Row],[author_es]],autorest[author_es],autorest[image])</f>
        <v>https://i.ibb.co/bjgxB3kn/euskadi.png</v>
      </c>
      <c r="R679">
        <f>_xlfn.XLOOKUP(frasest[[#This Row],[author_es]],autorest[author_es],autorest[image_atr])</f>
        <v>0</v>
      </c>
    </row>
    <row r="680" spans="1:18">
      <c r="A680">
        <v>679</v>
      </c>
      <c r="B680" t="s">
        <v>2318</v>
      </c>
      <c r="C680" t="s">
        <v>2319</v>
      </c>
      <c r="D680" t="s">
        <v>2320</v>
      </c>
      <c r="E680" t="s">
        <v>1236</v>
      </c>
      <c r="G680" t="str">
        <f>_xlfn.XLOOKUP(frasest[[#This Row],[author_es]],autorest[author_es],autorest[author_la])</f>
        <v>Sententia Vasconica</v>
      </c>
      <c r="H680" t="str">
        <f>_xlfn.XLOOKUP(frasest[[#This Row],[author_es]],autorest[author_es],autorest[bio_es])</f>
        <v>Proverbios de la tradición oral vasca que reflejan la relación con la naturaleza, el trabajo y los valores comunitarios del pueblo vasco.</v>
      </c>
      <c r="I680" t="str">
        <f>_xlfn.XLOOKUP(frasest[[#This Row],[author_es]],autorest[author_es],autorest[bio_la])</f>
        <v>Collectio sententiarum Vasconicarum.</v>
      </c>
      <c r="J680" t="str">
        <f>_xlfn.XLOOKUP(frasest[[#This Row],[author_es]],autorest[author_es],autorest[iso3691])</f>
        <v>eu</v>
      </c>
      <c r="K680" t="str">
        <f>_xlfn.XLOOKUP(frasest[[#This Row],[author_es]],autorest[author_es],autorest[language_es])</f>
        <v>Euskara</v>
      </c>
      <c r="L680" t="str">
        <f>_xlfn.XLOOKUP(frasest[[#This Row],[author_es]],autorest[author_es],autorest[language_la])</f>
        <v>Lingua Vasconica</v>
      </c>
      <c r="M680" t="str">
        <f>_xlfn.XLOOKUP(frasest[[#This Row],[author_es]],autorest[author_es],autorest[nation_es])</f>
        <v>España</v>
      </c>
      <c r="N680" t="str">
        <f>_xlfn.XLOOKUP(frasest[[#This Row],[author_es]],autorest[author_es],autorest[nation_la])</f>
        <v>Hispania</v>
      </c>
      <c r="O680" t="str">
        <f>_xlfn.XLOOKUP(frasest[[#This Row],[author_es]],autorest[author_es],autorest[age_es])</f>
        <v>Epoca Desconocida</v>
      </c>
      <c r="P680" t="str">
        <f>_xlfn.XLOOKUP(frasest[[#This Row],[author_es]],autorest[author_es],autorest[age_la])</f>
        <v>Epocha Ignota</v>
      </c>
      <c r="Q680" t="str">
        <f>_xlfn.XLOOKUP(frasest[[#This Row],[author_es]],autorest[author_es],autorest[image])</f>
        <v>https://i.ibb.co/bjgxB3kn/euskadi.png</v>
      </c>
      <c r="R680">
        <f>_xlfn.XLOOKUP(frasest[[#This Row],[author_es]],autorest[author_es],autorest[image_atr])</f>
        <v>0</v>
      </c>
    </row>
    <row r="681" spans="1:18">
      <c r="A681">
        <v>680</v>
      </c>
      <c r="B681" t="s">
        <v>2321</v>
      </c>
      <c r="C681" t="s">
        <v>2322</v>
      </c>
      <c r="D681" t="s">
        <v>2323</v>
      </c>
      <c r="E681" t="s">
        <v>1236</v>
      </c>
      <c r="G681" t="str">
        <f>_xlfn.XLOOKUP(frasest[[#This Row],[author_es]],autorest[author_es],autorest[author_la])</f>
        <v>Sententia Vasconica</v>
      </c>
      <c r="H681" t="str">
        <f>_xlfn.XLOOKUP(frasest[[#This Row],[author_es]],autorest[author_es],autorest[bio_es])</f>
        <v>Proverbios de la tradición oral vasca que reflejan la relación con la naturaleza, el trabajo y los valores comunitarios del pueblo vasco.</v>
      </c>
      <c r="I681" t="str">
        <f>_xlfn.XLOOKUP(frasest[[#This Row],[author_es]],autorest[author_es],autorest[bio_la])</f>
        <v>Collectio sententiarum Vasconicarum.</v>
      </c>
      <c r="J681" t="str">
        <f>_xlfn.XLOOKUP(frasest[[#This Row],[author_es]],autorest[author_es],autorest[iso3691])</f>
        <v>eu</v>
      </c>
      <c r="K681" t="str">
        <f>_xlfn.XLOOKUP(frasest[[#This Row],[author_es]],autorest[author_es],autorest[language_es])</f>
        <v>Euskara</v>
      </c>
      <c r="L681" t="str">
        <f>_xlfn.XLOOKUP(frasest[[#This Row],[author_es]],autorest[author_es],autorest[language_la])</f>
        <v>Lingua Vasconica</v>
      </c>
      <c r="M681" t="str">
        <f>_xlfn.XLOOKUP(frasest[[#This Row],[author_es]],autorest[author_es],autorest[nation_es])</f>
        <v>España</v>
      </c>
      <c r="N681" t="str">
        <f>_xlfn.XLOOKUP(frasest[[#This Row],[author_es]],autorest[author_es],autorest[nation_la])</f>
        <v>Hispania</v>
      </c>
      <c r="O681" t="str">
        <f>_xlfn.XLOOKUP(frasest[[#This Row],[author_es]],autorest[author_es],autorest[age_es])</f>
        <v>Epoca Desconocida</v>
      </c>
      <c r="P681" t="str">
        <f>_xlfn.XLOOKUP(frasest[[#This Row],[author_es]],autorest[author_es],autorest[age_la])</f>
        <v>Epocha Ignota</v>
      </c>
      <c r="Q681" t="str">
        <f>_xlfn.XLOOKUP(frasest[[#This Row],[author_es]],autorest[author_es],autorest[image])</f>
        <v>https://i.ibb.co/bjgxB3kn/euskadi.png</v>
      </c>
      <c r="R681">
        <f>_xlfn.XLOOKUP(frasest[[#This Row],[author_es]],autorest[author_es],autorest[image_atr])</f>
        <v>0</v>
      </c>
    </row>
    <row r="682" spans="1:18">
      <c r="A682">
        <v>681</v>
      </c>
      <c r="B682" t="s">
        <v>2324</v>
      </c>
      <c r="C682" t="s">
        <v>2325</v>
      </c>
      <c r="D682" t="s">
        <v>2326</v>
      </c>
      <c r="E682" t="s">
        <v>1236</v>
      </c>
      <c r="G682" t="str">
        <f>_xlfn.XLOOKUP(frasest[[#This Row],[author_es]],autorest[author_es],autorest[author_la])</f>
        <v>Sententia Vasconica</v>
      </c>
      <c r="H682" t="str">
        <f>_xlfn.XLOOKUP(frasest[[#This Row],[author_es]],autorest[author_es],autorest[bio_es])</f>
        <v>Proverbios de la tradición oral vasca que reflejan la relación con la naturaleza, el trabajo y los valores comunitarios del pueblo vasco.</v>
      </c>
      <c r="I682" t="str">
        <f>_xlfn.XLOOKUP(frasest[[#This Row],[author_es]],autorest[author_es],autorest[bio_la])</f>
        <v>Collectio sententiarum Vasconicarum.</v>
      </c>
      <c r="J682" t="str">
        <f>_xlfn.XLOOKUP(frasest[[#This Row],[author_es]],autorest[author_es],autorest[iso3691])</f>
        <v>eu</v>
      </c>
      <c r="K682" t="str">
        <f>_xlfn.XLOOKUP(frasest[[#This Row],[author_es]],autorest[author_es],autorest[language_es])</f>
        <v>Euskara</v>
      </c>
      <c r="L682" t="str">
        <f>_xlfn.XLOOKUP(frasest[[#This Row],[author_es]],autorest[author_es],autorest[language_la])</f>
        <v>Lingua Vasconica</v>
      </c>
      <c r="M682" t="str">
        <f>_xlfn.XLOOKUP(frasest[[#This Row],[author_es]],autorest[author_es],autorest[nation_es])</f>
        <v>España</v>
      </c>
      <c r="N682" t="str">
        <f>_xlfn.XLOOKUP(frasest[[#This Row],[author_es]],autorest[author_es],autorest[nation_la])</f>
        <v>Hispania</v>
      </c>
      <c r="O682" t="str">
        <f>_xlfn.XLOOKUP(frasest[[#This Row],[author_es]],autorest[author_es],autorest[age_es])</f>
        <v>Epoca Desconocida</v>
      </c>
      <c r="P682" t="str">
        <f>_xlfn.XLOOKUP(frasest[[#This Row],[author_es]],autorest[author_es],autorest[age_la])</f>
        <v>Epocha Ignota</v>
      </c>
      <c r="Q682" t="str">
        <f>_xlfn.XLOOKUP(frasest[[#This Row],[author_es]],autorest[author_es],autorest[image])</f>
        <v>https://i.ibb.co/bjgxB3kn/euskadi.png</v>
      </c>
      <c r="R682">
        <f>_xlfn.XLOOKUP(frasest[[#This Row],[author_es]],autorest[author_es],autorest[image_atr])</f>
        <v>0</v>
      </c>
    </row>
    <row r="683" spans="1:18">
      <c r="A683">
        <v>682</v>
      </c>
      <c r="B683" t="s">
        <v>2327</v>
      </c>
      <c r="C683" t="s">
        <v>2328</v>
      </c>
      <c r="D683" t="s">
        <v>2329</v>
      </c>
      <c r="E683" t="s">
        <v>1236</v>
      </c>
      <c r="G683" t="str">
        <f>_xlfn.XLOOKUP(frasest[[#This Row],[author_es]],autorest[author_es],autorest[author_la])</f>
        <v>Sententia Vasconica</v>
      </c>
      <c r="H683" t="str">
        <f>_xlfn.XLOOKUP(frasest[[#This Row],[author_es]],autorest[author_es],autorest[bio_es])</f>
        <v>Proverbios de la tradición oral vasca que reflejan la relación con la naturaleza, el trabajo y los valores comunitarios del pueblo vasco.</v>
      </c>
      <c r="I683" t="str">
        <f>_xlfn.XLOOKUP(frasest[[#This Row],[author_es]],autorest[author_es],autorest[bio_la])</f>
        <v>Collectio sententiarum Vasconicarum.</v>
      </c>
      <c r="J683" t="str">
        <f>_xlfn.XLOOKUP(frasest[[#This Row],[author_es]],autorest[author_es],autorest[iso3691])</f>
        <v>eu</v>
      </c>
      <c r="K683" t="str">
        <f>_xlfn.XLOOKUP(frasest[[#This Row],[author_es]],autorest[author_es],autorest[language_es])</f>
        <v>Euskara</v>
      </c>
      <c r="L683" t="str">
        <f>_xlfn.XLOOKUP(frasest[[#This Row],[author_es]],autorest[author_es],autorest[language_la])</f>
        <v>Lingua Vasconica</v>
      </c>
      <c r="M683" t="str">
        <f>_xlfn.XLOOKUP(frasest[[#This Row],[author_es]],autorest[author_es],autorest[nation_es])</f>
        <v>España</v>
      </c>
      <c r="N683" t="str">
        <f>_xlfn.XLOOKUP(frasest[[#This Row],[author_es]],autorest[author_es],autorest[nation_la])</f>
        <v>Hispania</v>
      </c>
      <c r="O683" t="str">
        <f>_xlfn.XLOOKUP(frasest[[#This Row],[author_es]],autorest[author_es],autorest[age_es])</f>
        <v>Epoca Desconocida</v>
      </c>
      <c r="P683" t="str">
        <f>_xlfn.XLOOKUP(frasest[[#This Row],[author_es]],autorest[author_es],autorest[age_la])</f>
        <v>Epocha Ignota</v>
      </c>
      <c r="Q683" t="str">
        <f>_xlfn.XLOOKUP(frasest[[#This Row],[author_es]],autorest[author_es],autorest[image])</f>
        <v>https://i.ibb.co/bjgxB3kn/euskadi.png</v>
      </c>
      <c r="R683">
        <f>_xlfn.XLOOKUP(frasest[[#This Row],[author_es]],autorest[author_es],autorest[image_atr])</f>
        <v>0</v>
      </c>
    </row>
    <row r="684" spans="1:18">
      <c r="A684">
        <v>683</v>
      </c>
      <c r="B684" t="s">
        <v>2330</v>
      </c>
      <c r="C684" t="s">
        <v>2331</v>
      </c>
      <c r="D684" t="s">
        <v>2332</v>
      </c>
      <c r="E684" t="s">
        <v>1236</v>
      </c>
      <c r="G684" t="str">
        <f>_xlfn.XLOOKUP(frasest[[#This Row],[author_es]],autorest[author_es],autorest[author_la])</f>
        <v>Sententia Vasconica</v>
      </c>
      <c r="H684" t="str">
        <f>_xlfn.XLOOKUP(frasest[[#This Row],[author_es]],autorest[author_es],autorest[bio_es])</f>
        <v>Proverbios de la tradición oral vasca que reflejan la relación con la naturaleza, el trabajo y los valores comunitarios del pueblo vasco.</v>
      </c>
      <c r="I684" t="str">
        <f>_xlfn.XLOOKUP(frasest[[#This Row],[author_es]],autorest[author_es],autorest[bio_la])</f>
        <v>Collectio sententiarum Vasconicarum.</v>
      </c>
      <c r="J684" t="str">
        <f>_xlfn.XLOOKUP(frasest[[#This Row],[author_es]],autorest[author_es],autorest[iso3691])</f>
        <v>eu</v>
      </c>
      <c r="K684" t="str">
        <f>_xlfn.XLOOKUP(frasest[[#This Row],[author_es]],autorest[author_es],autorest[language_es])</f>
        <v>Euskara</v>
      </c>
      <c r="L684" t="str">
        <f>_xlfn.XLOOKUP(frasest[[#This Row],[author_es]],autorest[author_es],autorest[language_la])</f>
        <v>Lingua Vasconica</v>
      </c>
      <c r="M684" t="str">
        <f>_xlfn.XLOOKUP(frasest[[#This Row],[author_es]],autorest[author_es],autorest[nation_es])</f>
        <v>España</v>
      </c>
      <c r="N684" t="str">
        <f>_xlfn.XLOOKUP(frasest[[#This Row],[author_es]],autorest[author_es],autorest[nation_la])</f>
        <v>Hispania</v>
      </c>
      <c r="O684" t="str">
        <f>_xlfn.XLOOKUP(frasest[[#This Row],[author_es]],autorest[author_es],autorest[age_es])</f>
        <v>Epoca Desconocida</v>
      </c>
      <c r="P684" t="str">
        <f>_xlfn.XLOOKUP(frasest[[#This Row],[author_es]],autorest[author_es],autorest[age_la])</f>
        <v>Epocha Ignota</v>
      </c>
      <c r="Q684" t="str">
        <f>_xlfn.XLOOKUP(frasest[[#This Row],[author_es]],autorest[author_es],autorest[image])</f>
        <v>https://i.ibb.co/bjgxB3kn/euskadi.png</v>
      </c>
      <c r="R684">
        <f>_xlfn.XLOOKUP(frasest[[#This Row],[author_es]],autorest[author_es],autorest[image_atr])</f>
        <v>0</v>
      </c>
    </row>
    <row r="685" spans="1:18">
      <c r="A685">
        <v>684</v>
      </c>
      <c r="B685" t="s">
        <v>2333</v>
      </c>
      <c r="C685" t="s">
        <v>2334</v>
      </c>
      <c r="D685" t="s">
        <v>2335</v>
      </c>
      <c r="E685" t="s">
        <v>1236</v>
      </c>
      <c r="G685" t="str">
        <f>_xlfn.XLOOKUP(frasest[[#This Row],[author_es]],autorest[author_es],autorest[author_la])</f>
        <v>Sententia Vasconica</v>
      </c>
      <c r="H685" t="str">
        <f>_xlfn.XLOOKUP(frasest[[#This Row],[author_es]],autorest[author_es],autorest[bio_es])</f>
        <v>Proverbios de la tradición oral vasca que reflejan la relación con la naturaleza, el trabajo y los valores comunitarios del pueblo vasco.</v>
      </c>
      <c r="I685" t="str">
        <f>_xlfn.XLOOKUP(frasest[[#This Row],[author_es]],autorest[author_es],autorest[bio_la])</f>
        <v>Collectio sententiarum Vasconicarum.</v>
      </c>
      <c r="J685" t="str">
        <f>_xlfn.XLOOKUP(frasest[[#This Row],[author_es]],autorest[author_es],autorest[iso3691])</f>
        <v>eu</v>
      </c>
      <c r="K685" t="str">
        <f>_xlfn.XLOOKUP(frasest[[#This Row],[author_es]],autorest[author_es],autorest[language_es])</f>
        <v>Euskara</v>
      </c>
      <c r="L685" t="str">
        <f>_xlfn.XLOOKUP(frasest[[#This Row],[author_es]],autorest[author_es],autorest[language_la])</f>
        <v>Lingua Vasconica</v>
      </c>
      <c r="M685" t="str">
        <f>_xlfn.XLOOKUP(frasest[[#This Row],[author_es]],autorest[author_es],autorest[nation_es])</f>
        <v>España</v>
      </c>
      <c r="N685" t="str">
        <f>_xlfn.XLOOKUP(frasest[[#This Row],[author_es]],autorest[author_es],autorest[nation_la])</f>
        <v>Hispania</v>
      </c>
      <c r="O685" t="str">
        <f>_xlfn.XLOOKUP(frasest[[#This Row],[author_es]],autorest[author_es],autorest[age_es])</f>
        <v>Epoca Desconocida</v>
      </c>
      <c r="P685" t="str">
        <f>_xlfn.XLOOKUP(frasest[[#This Row],[author_es]],autorest[author_es],autorest[age_la])</f>
        <v>Epocha Ignota</v>
      </c>
      <c r="Q685" t="str">
        <f>_xlfn.XLOOKUP(frasest[[#This Row],[author_es]],autorest[author_es],autorest[image])</f>
        <v>https://i.ibb.co/bjgxB3kn/euskadi.png</v>
      </c>
      <c r="R685">
        <f>_xlfn.XLOOKUP(frasest[[#This Row],[author_es]],autorest[author_es],autorest[image_atr])</f>
        <v>0</v>
      </c>
    </row>
    <row r="686" spans="1:18">
      <c r="A686">
        <v>685</v>
      </c>
      <c r="B686" t="s">
        <v>64</v>
      </c>
      <c r="C686" t="s">
        <v>2336</v>
      </c>
      <c r="D686" t="s">
        <v>2337</v>
      </c>
      <c r="E686" t="s">
        <v>1236</v>
      </c>
      <c r="G686" t="str">
        <f>_xlfn.XLOOKUP(frasest[[#This Row],[author_es]],autorest[author_es],autorest[author_la])</f>
        <v>Sententia Vasconica</v>
      </c>
      <c r="H686" t="str">
        <f>_xlfn.XLOOKUP(frasest[[#This Row],[author_es]],autorest[author_es],autorest[bio_es])</f>
        <v>Proverbios de la tradición oral vasca que reflejan la relación con la naturaleza, el trabajo y los valores comunitarios del pueblo vasco.</v>
      </c>
      <c r="I686" t="str">
        <f>_xlfn.XLOOKUP(frasest[[#This Row],[author_es]],autorest[author_es],autorest[bio_la])</f>
        <v>Collectio sententiarum Vasconicarum.</v>
      </c>
      <c r="J686" t="str">
        <f>_xlfn.XLOOKUP(frasest[[#This Row],[author_es]],autorest[author_es],autorest[iso3691])</f>
        <v>eu</v>
      </c>
      <c r="K686" t="str">
        <f>_xlfn.XLOOKUP(frasest[[#This Row],[author_es]],autorest[author_es],autorest[language_es])</f>
        <v>Euskara</v>
      </c>
      <c r="L686" t="str">
        <f>_xlfn.XLOOKUP(frasest[[#This Row],[author_es]],autorest[author_es],autorest[language_la])</f>
        <v>Lingua Vasconica</v>
      </c>
      <c r="M686" t="str">
        <f>_xlfn.XLOOKUP(frasest[[#This Row],[author_es]],autorest[author_es],autorest[nation_es])</f>
        <v>España</v>
      </c>
      <c r="N686" t="str">
        <f>_xlfn.XLOOKUP(frasest[[#This Row],[author_es]],autorest[author_es],autorest[nation_la])</f>
        <v>Hispania</v>
      </c>
      <c r="O686" t="str">
        <f>_xlfn.XLOOKUP(frasest[[#This Row],[author_es]],autorest[author_es],autorest[age_es])</f>
        <v>Epoca Desconocida</v>
      </c>
      <c r="P686" t="str">
        <f>_xlfn.XLOOKUP(frasest[[#This Row],[author_es]],autorest[author_es],autorest[age_la])</f>
        <v>Epocha Ignota</v>
      </c>
      <c r="Q686" t="str">
        <f>_xlfn.XLOOKUP(frasest[[#This Row],[author_es]],autorest[author_es],autorest[image])</f>
        <v>https://i.ibb.co/bjgxB3kn/euskadi.png</v>
      </c>
      <c r="R686">
        <f>_xlfn.XLOOKUP(frasest[[#This Row],[author_es]],autorest[author_es],autorest[image_atr])</f>
        <v>0</v>
      </c>
    </row>
    <row r="687" spans="1:18">
      <c r="A687">
        <v>686</v>
      </c>
      <c r="B687" t="s">
        <v>2338</v>
      </c>
      <c r="C687" t="s">
        <v>2339</v>
      </c>
      <c r="D687" t="s">
        <v>2340</v>
      </c>
      <c r="E687" t="s">
        <v>1236</v>
      </c>
      <c r="G687" t="str">
        <f>_xlfn.XLOOKUP(frasest[[#This Row],[author_es]],autorest[author_es],autorest[author_la])</f>
        <v>Sententia Vasconica</v>
      </c>
      <c r="H687" t="str">
        <f>_xlfn.XLOOKUP(frasest[[#This Row],[author_es]],autorest[author_es],autorest[bio_es])</f>
        <v>Proverbios de la tradición oral vasca que reflejan la relación con la naturaleza, el trabajo y los valores comunitarios del pueblo vasco.</v>
      </c>
      <c r="I687" t="str">
        <f>_xlfn.XLOOKUP(frasest[[#This Row],[author_es]],autorest[author_es],autorest[bio_la])</f>
        <v>Collectio sententiarum Vasconicarum.</v>
      </c>
      <c r="J687" t="str">
        <f>_xlfn.XLOOKUP(frasest[[#This Row],[author_es]],autorest[author_es],autorest[iso3691])</f>
        <v>eu</v>
      </c>
      <c r="K687" t="str">
        <f>_xlfn.XLOOKUP(frasest[[#This Row],[author_es]],autorest[author_es],autorest[language_es])</f>
        <v>Euskara</v>
      </c>
      <c r="L687" t="str">
        <f>_xlfn.XLOOKUP(frasest[[#This Row],[author_es]],autorest[author_es],autorest[language_la])</f>
        <v>Lingua Vasconica</v>
      </c>
      <c r="M687" t="str">
        <f>_xlfn.XLOOKUP(frasest[[#This Row],[author_es]],autorest[author_es],autorest[nation_es])</f>
        <v>España</v>
      </c>
      <c r="N687" t="str">
        <f>_xlfn.XLOOKUP(frasest[[#This Row],[author_es]],autorest[author_es],autorest[nation_la])</f>
        <v>Hispania</v>
      </c>
      <c r="O687" t="str">
        <f>_xlfn.XLOOKUP(frasest[[#This Row],[author_es]],autorest[author_es],autorest[age_es])</f>
        <v>Epoca Desconocida</v>
      </c>
      <c r="P687" t="str">
        <f>_xlfn.XLOOKUP(frasest[[#This Row],[author_es]],autorest[author_es],autorest[age_la])</f>
        <v>Epocha Ignota</v>
      </c>
      <c r="Q687" t="str">
        <f>_xlfn.XLOOKUP(frasest[[#This Row],[author_es]],autorest[author_es],autorest[image])</f>
        <v>https://i.ibb.co/bjgxB3kn/euskadi.png</v>
      </c>
      <c r="R687">
        <f>_xlfn.XLOOKUP(frasest[[#This Row],[author_es]],autorest[author_es],autorest[image_atr])</f>
        <v>0</v>
      </c>
    </row>
    <row r="688" spans="1:18">
      <c r="A688">
        <v>687</v>
      </c>
      <c r="B688" t="s">
        <v>2341</v>
      </c>
      <c r="C688" t="s">
        <v>2342</v>
      </c>
      <c r="D688" t="s">
        <v>2343</v>
      </c>
      <c r="E688" t="s">
        <v>1236</v>
      </c>
      <c r="G688" t="str">
        <f>_xlfn.XLOOKUP(frasest[[#This Row],[author_es]],autorest[author_es],autorest[author_la])</f>
        <v>Sententia Vasconica</v>
      </c>
      <c r="H688" t="str">
        <f>_xlfn.XLOOKUP(frasest[[#This Row],[author_es]],autorest[author_es],autorest[bio_es])</f>
        <v>Proverbios de la tradición oral vasca que reflejan la relación con la naturaleza, el trabajo y los valores comunitarios del pueblo vasco.</v>
      </c>
      <c r="I688" t="str">
        <f>_xlfn.XLOOKUP(frasest[[#This Row],[author_es]],autorest[author_es],autorest[bio_la])</f>
        <v>Collectio sententiarum Vasconicarum.</v>
      </c>
      <c r="J688" t="str">
        <f>_xlfn.XLOOKUP(frasest[[#This Row],[author_es]],autorest[author_es],autorest[iso3691])</f>
        <v>eu</v>
      </c>
      <c r="K688" t="str">
        <f>_xlfn.XLOOKUP(frasest[[#This Row],[author_es]],autorest[author_es],autorest[language_es])</f>
        <v>Euskara</v>
      </c>
      <c r="L688" t="str">
        <f>_xlfn.XLOOKUP(frasest[[#This Row],[author_es]],autorest[author_es],autorest[language_la])</f>
        <v>Lingua Vasconica</v>
      </c>
      <c r="M688" t="str">
        <f>_xlfn.XLOOKUP(frasest[[#This Row],[author_es]],autorest[author_es],autorest[nation_es])</f>
        <v>España</v>
      </c>
      <c r="N688" t="str">
        <f>_xlfn.XLOOKUP(frasest[[#This Row],[author_es]],autorest[author_es],autorest[nation_la])</f>
        <v>Hispania</v>
      </c>
      <c r="O688" t="str">
        <f>_xlfn.XLOOKUP(frasest[[#This Row],[author_es]],autorest[author_es],autorest[age_es])</f>
        <v>Epoca Desconocida</v>
      </c>
      <c r="P688" t="str">
        <f>_xlfn.XLOOKUP(frasest[[#This Row],[author_es]],autorest[author_es],autorest[age_la])</f>
        <v>Epocha Ignota</v>
      </c>
      <c r="Q688" t="str">
        <f>_xlfn.XLOOKUP(frasest[[#This Row],[author_es]],autorest[author_es],autorest[image])</f>
        <v>https://i.ibb.co/bjgxB3kn/euskadi.png</v>
      </c>
      <c r="R688">
        <f>_xlfn.XLOOKUP(frasest[[#This Row],[author_es]],autorest[author_es],autorest[image_atr])</f>
        <v>0</v>
      </c>
    </row>
    <row r="689" spans="1:18">
      <c r="A689">
        <v>688</v>
      </c>
      <c r="B689" t="s">
        <v>2344</v>
      </c>
      <c r="C689" t="s">
        <v>2345</v>
      </c>
      <c r="D689" t="s">
        <v>2346</v>
      </c>
      <c r="E689" t="s">
        <v>1236</v>
      </c>
      <c r="G689" t="str">
        <f>_xlfn.XLOOKUP(frasest[[#This Row],[author_es]],autorest[author_es],autorest[author_la])</f>
        <v>Sententia Vasconica</v>
      </c>
      <c r="H689" t="str">
        <f>_xlfn.XLOOKUP(frasest[[#This Row],[author_es]],autorest[author_es],autorest[bio_es])</f>
        <v>Proverbios de la tradición oral vasca que reflejan la relación con la naturaleza, el trabajo y los valores comunitarios del pueblo vasco.</v>
      </c>
      <c r="I689" t="str">
        <f>_xlfn.XLOOKUP(frasest[[#This Row],[author_es]],autorest[author_es],autorest[bio_la])</f>
        <v>Collectio sententiarum Vasconicarum.</v>
      </c>
      <c r="J689" t="str">
        <f>_xlfn.XLOOKUP(frasest[[#This Row],[author_es]],autorest[author_es],autorest[iso3691])</f>
        <v>eu</v>
      </c>
      <c r="K689" t="str">
        <f>_xlfn.XLOOKUP(frasest[[#This Row],[author_es]],autorest[author_es],autorest[language_es])</f>
        <v>Euskara</v>
      </c>
      <c r="L689" t="str">
        <f>_xlfn.XLOOKUP(frasest[[#This Row],[author_es]],autorest[author_es],autorest[language_la])</f>
        <v>Lingua Vasconica</v>
      </c>
      <c r="M689" t="str">
        <f>_xlfn.XLOOKUP(frasest[[#This Row],[author_es]],autorest[author_es],autorest[nation_es])</f>
        <v>España</v>
      </c>
      <c r="N689" t="str">
        <f>_xlfn.XLOOKUP(frasest[[#This Row],[author_es]],autorest[author_es],autorest[nation_la])</f>
        <v>Hispania</v>
      </c>
      <c r="O689" t="str">
        <f>_xlfn.XLOOKUP(frasest[[#This Row],[author_es]],autorest[author_es],autorest[age_es])</f>
        <v>Epoca Desconocida</v>
      </c>
      <c r="P689" t="str">
        <f>_xlfn.XLOOKUP(frasest[[#This Row],[author_es]],autorest[author_es],autorest[age_la])</f>
        <v>Epocha Ignota</v>
      </c>
      <c r="Q689" t="str">
        <f>_xlfn.XLOOKUP(frasest[[#This Row],[author_es]],autorest[author_es],autorest[image])</f>
        <v>https://i.ibb.co/bjgxB3kn/euskadi.png</v>
      </c>
      <c r="R689">
        <f>_xlfn.XLOOKUP(frasest[[#This Row],[author_es]],autorest[author_es],autorest[image_atr])</f>
        <v>0</v>
      </c>
    </row>
    <row r="690" spans="1:18">
      <c r="A690">
        <v>689</v>
      </c>
      <c r="B690" t="s">
        <v>2347</v>
      </c>
      <c r="C690" t="s">
        <v>2348</v>
      </c>
      <c r="D690" t="s">
        <v>2349</v>
      </c>
      <c r="E690" t="s">
        <v>1236</v>
      </c>
      <c r="G690" t="str">
        <f>_xlfn.XLOOKUP(frasest[[#This Row],[author_es]],autorest[author_es],autorest[author_la])</f>
        <v>Sententia Vasconica</v>
      </c>
      <c r="H690" t="str">
        <f>_xlfn.XLOOKUP(frasest[[#This Row],[author_es]],autorest[author_es],autorest[bio_es])</f>
        <v>Proverbios de la tradición oral vasca que reflejan la relación con la naturaleza, el trabajo y los valores comunitarios del pueblo vasco.</v>
      </c>
      <c r="I690" t="str">
        <f>_xlfn.XLOOKUP(frasest[[#This Row],[author_es]],autorest[author_es],autorest[bio_la])</f>
        <v>Collectio sententiarum Vasconicarum.</v>
      </c>
      <c r="J690" t="str">
        <f>_xlfn.XLOOKUP(frasest[[#This Row],[author_es]],autorest[author_es],autorest[iso3691])</f>
        <v>eu</v>
      </c>
      <c r="K690" t="str">
        <f>_xlfn.XLOOKUP(frasest[[#This Row],[author_es]],autorest[author_es],autorest[language_es])</f>
        <v>Euskara</v>
      </c>
      <c r="L690" t="str">
        <f>_xlfn.XLOOKUP(frasest[[#This Row],[author_es]],autorest[author_es],autorest[language_la])</f>
        <v>Lingua Vasconica</v>
      </c>
      <c r="M690" t="str">
        <f>_xlfn.XLOOKUP(frasest[[#This Row],[author_es]],autorest[author_es],autorest[nation_es])</f>
        <v>España</v>
      </c>
      <c r="N690" t="str">
        <f>_xlfn.XLOOKUP(frasest[[#This Row],[author_es]],autorest[author_es],autorest[nation_la])</f>
        <v>Hispania</v>
      </c>
      <c r="O690" t="str">
        <f>_xlfn.XLOOKUP(frasest[[#This Row],[author_es]],autorest[author_es],autorest[age_es])</f>
        <v>Epoca Desconocida</v>
      </c>
      <c r="P690" t="str">
        <f>_xlfn.XLOOKUP(frasest[[#This Row],[author_es]],autorest[author_es],autorest[age_la])</f>
        <v>Epocha Ignota</v>
      </c>
      <c r="Q690" t="str">
        <f>_xlfn.XLOOKUP(frasest[[#This Row],[author_es]],autorest[author_es],autorest[image])</f>
        <v>https://i.ibb.co/bjgxB3kn/euskadi.png</v>
      </c>
      <c r="R690">
        <f>_xlfn.XLOOKUP(frasest[[#This Row],[author_es]],autorest[author_es],autorest[image_atr])</f>
        <v>0</v>
      </c>
    </row>
    <row r="691" spans="1:18">
      <c r="A691">
        <v>690</v>
      </c>
      <c r="B691" t="s">
        <v>2350</v>
      </c>
      <c r="C691" t="s">
        <v>2351</v>
      </c>
      <c r="D691" t="s">
        <v>2352</v>
      </c>
      <c r="E691" t="s">
        <v>1236</v>
      </c>
      <c r="G691" t="str">
        <f>_xlfn.XLOOKUP(frasest[[#This Row],[author_es]],autorest[author_es],autorest[author_la])</f>
        <v>Sententia Vasconica</v>
      </c>
      <c r="H691" t="str">
        <f>_xlfn.XLOOKUP(frasest[[#This Row],[author_es]],autorest[author_es],autorest[bio_es])</f>
        <v>Proverbios de la tradición oral vasca que reflejan la relación con la naturaleza, el trabajo y los valores comunitarios del pueblo vasco.</v>
      </c>
      <c r="I691" t="str">
        <f>_xlfn.XLOOKUP(frasest[[#This Row],[author_es]],autorest[author_es],autorest[bio_la])</f>
        <v>Collectio sententiarum Vasconicarum.</v>
      </c>
      <c r="J691" t="str">
        <f>_xlfn.XLOOKUP(frasest[[#This Row],[author_es]],autorest[author_es],autorest[iso3691])</f>
        <v>eu</v>
      </c>
      <c r="K691" t="str">
        <f>_xlfn.XLOOKUP(frasest[[#This Row],[author_es]],autorest[author_es],autorest[language_es])</f>
        <v>Euskara</v>
      </c>
      <c r="L691" t="str">
        <f>_xlfn.XLOOKUP(frasest[[#This Row],[author_es]],autorest[author_es],autorest[language_la])</f>
        <v>Lingua Vasconica</v>
      </c>
      <c r="M691" t="str">
        <f>_xlfn.XLOOKUP(frasest[[#This Row],[author_es]],autorest[author_es],autorest[nation_es])</f>
        <v>España</v>
      </c>
      <c r="N691" t="str">
        <f>_xlfn.XLOOKUP(frasest[[#This Row],[author_es]],autorest[author_es],autorest[nation_la])</f>
        <v>Hispania</v>
      </c>
      <c r="O691" t="str">
        <f>_xlfn.XLOOKUP(frasest[[#This Row],[author_es]],autorest[author_es],autorest[age_es])</f>
        <v>Epoca Desconocida</v>
      </c>
      <c r="P691" t="str">
        <f>_xlfn.XLOOKUP(frasest[[#This Row],[author_es]],autorest[author_es],autorest[age_la])</f>
        <v>Epocha Ignota</v>
      </c>
      <c r="Q691" t="str">
        <f>_xlfn.XLOOKUP(frasest[[#This Row],[author_es]],autorest[author_es],autorest[image])</f>
        <v>https://i.ibb.co/bjgxB3kn/euskadi.png</v>
      </c>
      <c r="R691">
        <f>_xlfn.XLOOKUP(frasest[[#This Row],[author_es]],autorest[author_es],autorest[image_atr])</f>
        <v>0</v>
      </c>
    </row>
    <row r="692" spans="1:18">
      <c r="A692">
        <v>691</v>
      </c>
      <c r="B692" t="s">
        <v>2353</v>
      </c>
      <c r="C692" t="s">
        <v>2354</v>
      </c>
      <c r="D692" t="s">
        <v>2355</v>
      </c>
      <c r="E692" t="s">
        <v>1236</v>
      </c>
      <c r="G692" t="str">
        <f>_xlfn.XLOOKUP(frasest[[#This Row],[author_es]],autorest[author_es],autorest[author_la])</f>
        <v>Sententia Vasconica</v>
      </c>
      <c r="H692" t="str">
        <f>_xlfn.XLOOKUP(frasest[[#This Row],[author_es]],autorest[author_es],autorest[bio_es])</f>
        <v>Proverbios de la tradición oral vasca que reflejan la relación con la naturaleza, el trabajo y los valores comunitarios del pueblo vasco.</v>
      </c>
      <c r="I692" t="str">
        <f>_xlfn.XLOOKUP(frasest[[#This Row],[author_es]],autorest[author_es],autorest[bio_la])</f>
        <v>Collectio sententiarum Vasconicarum.</v>
      </c>
      <c r="J692" t="str">
        <f>_xlfn.XLOOKUP(frasest[[#This Row],[author_es]],autorest[author_es],autorest[iso3691])</f>
        <v>eu</v>
      </c>
      <c r="K692" t="str">
        <f>_xlfn.XLOOKUP(frasest[[#This Row],[author_es]],autorest[author_es],autorest[language_es])</f>
        <v>Euskara</v>
      </c>
      <c r="L692" t="str">
        <f>_xlfn.XLOOKUP(frasest[[#This Row],[author_es]],autorest[author_es],autorest[language_la])</f>
        <v>Lingua Vasconica</v>
      </c>
      <c r="M692" t="str">
        <f>_xlfn.XLOOKUP(frasest[[#This Row],[author_es]],autorest[author_es],autorest[nation_es])</f>
        <v>España</v>
      </c>
      <c r="N692" t="str">
        <f>_xlfn.XLOOKUP(frasest[[#This Row],[author_es]],autorest[author_es],autorest[nation_la])</f>
        <v>Hispania</v>
      </c>
      <c r="O692" t="str">
        <f>_xlfn.XLOOKUP(frasest[[#This Row],[author_es]],autorest[author_es],autorest[age_es])</f>
        <v>Epoca Desconocida</v>
      </c>
      <c r="P692" t="str">
        <f>_xlfn.XLOOKUP(frasest[[#This Row],[author_es]],autorest[author_es],autorest[age_la])</f>
        <v>Epocha Ignota</v>
      </c>
      <c r="Q692" t="str">
        <f>_xlfn.XLOOKUP(frasest[[#This Row],[author_es]],autorest[author_es],autorest[image])</f>
        <v>https://i.ibb.co/bjgxB3kn/euskadi.png</v>
      </c>
      <c r="R692">
        <f>_xlfn.XLOOKUP(frasest[[#This Row],[author_es]],autorest[author_es],autorest[image_atr])</f>
        <v>0</v>
      </c>
    </row>
    <row r="693" spans="1:18">
      <c r="A693">
        <v>692</v>
      </c>
      <c r="B693" t="s">
        <v>2356</v>
      </c>
      <c r="C693" t="s">
        <v>2357</v>
      </c>
      <c r="D693" t="s">
        <v>2358</v>
      </c>
      <c r="E693" t="s">
        <v>1236</v>
      </c>
      <c r="G693" t="str">
        <f>_xlfn.XLOOKUP(frasest[[#This Row],[author_es]],autorest[author_es],autorest[author_la])</f>
        <v>Sententia Vasconica</v>
      </c>
      <c r="H693" t="str">
        <f>_xlfn.XLOOKUP(frasest[[#This Row],[author_es]],autorest[author_es],autorest[bio_es])</f>
        <v>Proverbios de la tradición oral vasca que reflejan la relación con la naturaleza, el trabajo y los valores comunitarios del pueblo vasco.</v>
      </c>
      <c r="I693" t="str">
        <f>_xlfn.XLOOKUP(frasest[[#This Row],[author_es]],autorest[author_es],autorest[bio_la])</f>
        <v>Collectio sententiarum Vasconicarum.</v>
      </c>
      <c r="J693" t="str">
        <f>_xlfn.XLOOKUP(frasest[[#This Row],[author_es]],autorest[author_es],autorest[iso3691])</f>
        <v>eu</v>
      </c>
      <c r="K693" t="str">
        <f>_xlfn.XLOOKUP(frasest[[#This Row],[author_es]],autorest[author_es],autorest[language_es])</f>
        <v>Euskara</v>
      </c>
      <c r="L693" t="str">
        <f>_xlfn.XLOOKUP(frasest[[#This Row],[author_es]],autorest[author_es],autorest[language_la])</f>
        <v>Lingua Vasconica</v>
      </c>
      <c r="M693" t="str">
        <f>_xlfn.XLOOKUP(frasest[[#This Row],[author_es]],autorest[author_es],autorest[nation_es])</f>
        <v>España</v>
      </c>
      <c r="N693" t="str">
        <f>_xlfn.XLOOKUP(frasest[[#This Row],[author_es]],autorest[author_es],autorest[nation_la])</f>
        <v>Hispania</v>
      </c>
      <c r="O693" t="str">
        <f>_xlfn.XLOOKUP(frasest[[#This Row],[author_es]],autorest[author_es],autorest[age_es])</f>
        <v>Epoca Desconocida</v>
      </c>
      <c r="P693" t="str">
        <f>_xlfn.XLOOKUP(frasest[[#This Row],[author_es]],autorest[author_es],autorest[age_la])</f>
        <v>Epocha Ignota</v>
      </c>
      <c r="Q693" t="str">
        <f>_xlfn.XLOOKUP(frasest[[#This Row],[author_es]],autorest[author_es],autorest[image])</f>
        <v>https://i.ibb.co/bjgxB3kn/euskadi.png</v>
      </c>
      <c r="R693">
        <f>_xlfn.XLOOKUP(frasest[[#This Row],[author_es]],autorest[author_es],autorest[image_atr])</f>
        <v>0</v>
      </c>
    </row>
    <row r="694" spans="1:18">
      <c r="A694">
        <v>693</v>
      </c>
      <c r="B694" t="s">
        <v>2359</v>
      </c>
      <c r="C694" t="s">
        <v>2360</v>
      </c>
      <c r="D694" t="s">
        <v>2361</v>
      </c>
      <c r="E694" t="s">
        <v>1236</v>
      </c>
      <c r="G694" t="str">
        <f>_xlfn.XLOOKUP(frasest[[#This Row],[author_es]],autorest[author_es],autorest[author_la])</f>
        <v>Sententia Vasconica</v>
      </c>
      <c r="H694" t="str">
        <f>_xlfn.XLOOKUP(frasest[[#This Row],[author_es]],autorest[author_es],autorest[bio_es])</f>
        <v>Proverbios de la tradición oral vasca que reflejan la relación con la naturaleza, el trabajo y los valores comunitarios del pueblo vasco.</v>
      </c>
      <c r="I694" t="str">
        <f>_xlfn.XLOOKUP(frasest[[#This Row],[author_es]],autorest[author_es],autorest[bio_la])</f>
        <v>Collectio sententiarum Vasconicarum.</v>
      </c>
      <c r="J694" t="str">
        <f>_xlfn.XLOOKUP(frasest[[#This Row],[author_es]],autorest[author_es],autorest[iso3691])</f>
        <v>eu</v>
      </c>
      <c r="K694" t="str">
        <f>_xlfn.XLOOKUP(frasest[[#This Row],[author_es]],autorest[author_es],autorest[language_es])</f>
        <v>Euskara</v>
      </c>
      <c r="L694" t="str">
        <f>_xlfn.XLOOKUP(frasest[[#This Row],[author_es]],autorest[author_es],autorest[language_la])</f>
        <v>Lingua Vasconica</v>
      </c>
      <c r="M694" t="str">
        <f>_xlfn.XLOOKUP(frasest[[#This Row],[author_es]],autorest[author_es],autorest[nation_es])</f>
        <v>España</v>
      </c>
      <c r="N694" t="str">
        <f>_xlfn.XLOOKUP(frasest[[#This Row],[author_es]],autorest[author_es],autorest[nation_la])</f>
        <v>Hispania</v>
      </c>
      <c r="O694" t="str">
        <f>_xlfn.XLOOKUP(frasest[[#This Row],[author_es]],autorest[author_es],autorest[age_es])</f>
        <v>Epoca Desconocida</v>
      </c>
      <c r="P694" t="str">
        <f>_xlfn.XLOOKUP(frasest[[#This Row],[author_es]],autorest[author_es],autorest[age_la])</f>
        <v>Epocha Ignota</v>
      </c>
      <c r="Q694" t="str">
        <f>_xlfn.XLOOKUP(frasest[[#This Row],[author_es]],autorest[author_es],autorest[image])</f>
        <v>https://i.ibb.co/bjgxB3kn/euskadi.png</v>
      </c>
      <c r="R694">
        <f>_xlfn.XLOOKUP(frasest[[#This Row],[author_es]],autorest[author_es],autorest[image_atr])</f>
        <v>0</v>
      </c>
    </row>
    <row r="695" spans="1:18">
      <c r="A695">
        <v>694</v>
      </c>
      <c r="B695" t="s">
        <v>2362</v>
      </c>
      <c r="C695" t="s">
        <v>2363</v>
      </c>
      <c r="D695" t="s">
        <v>2364</v>
      </c>
      <c r="E695" t="s">
        <v>1236</v>
      </c>
      <c r="G695" t="str">
        <f>_xlfn.XLOOKUP(frasest[[#This Row],[author_es]],autorest[author_es],autorest[author_la])</f>
        <v>Sententia Vasconica</v>
      </c>
      <c r="H695" t="str">
        <f>_xlfn.XLOOKUP(frasest[[#This Row],[author_es]],autorest[author_es],autorest[bio_es])</f>
        <v>Proverbios de la tradición oral vasca que reflejan la relación con la naturaleza, el trabajo y los valores comunitarios del pueblo vasco.</v>
      </c>
      <c r="I695" t="str">
        <f>_xlfn.XLOOKUP(frasest[[#This Row],[author_es]],autorest[author_es],autorest[bio_la])</f>
        <v>Collectio sententiarum Vasconicarum.</v>
      </c>
      <c r="J695" t="str">
        <f>_xlfn.XLOOKUP(frasest[[#This Row],[author_es]],autorest[author_es],autorest[iso3691])</f>
        <v>eu</v>
      </c>
      <c r="K695" t="str">
        <f>_xlfn.XLOOKUP(frasest[[#This Row],[author_es]],autorest[author_es],autorest[language_es])</f>
        <v>Euskara</v>
      </c>
      <c r="L695" t="str">
        <f>_xlfn.XLOOKUP(frasest[[#This Row],[author_es]],autorest[author_es],autorest[language_la])</f>
        <v>Lingua Vasconica</v>
      </c>
      <c r="M695" t="str">
        <f>_xlfn.XLOOKUP(frasest[[#This Row],[author_es]],autorest[author_es],autorest[nation_es])</f>
        <v>España</v>
      </c>
      <c r="N695" t="str">
        <f>_xlfn.XLOOKUP(frasest[[#This Row],[author_es]],autorest[author_es],autorest[nation_la])</f>
        <v>Hispania</v>
      </c>
      <c r="O695" t="str">
        <f>_xlfn.XLOOKUP(frasest[[#This Row],[author_es]],autorest[author_es],autorest[age_es])</f>
        <v>Epoca Desconocida</v>
      </c>
      <c r="P695" t="str">
        <f>_xlfn.XLOOKUP(frasest[[#This Row],[author_es]],autorest[author_es],autorest[age_la])</f>
        <v>Epocha Ignota</v>
      </c>
      <c r="Q695" t="str">
        <f>_xlfn.XLOOKUP(frasest[[#This Row],[author_es]],autorest[author_es],autorest[image])</f>
        <v>https://i.ibb.co/bjgxB3kn/euskadi.png</v>
      </c>
      <c r="R695">
        <f>_xlfn.XLOOKUP(frasest[[#This Row],[author_es]],autorest[author_es],autorest[image_atr])</f>
        <v>0</v>
      </c>
    </row>
    <row r="696" spans="1:18">
      <c r="A696">
        <v>695</v>
      </c>
      <c r="B696" t="s">
        <v>2365</v>
      </c>
      <c r="C696" t="s">
        <v>2366</v>
      </c>
      <c r="D696" t="s">
        <v>2367</v>
      </c>
      <c r="E696" t="s">
        <v>1236</v>
      </c>
      <c r="G696" t="str">
        <f>_xlfn.XLOOKUP(frasest[[#This Row],[author_es]],autorest[author_es],autorest[author_la])</f>
        <v>Sententia Vasconica</v>
      </c>
      <c r="H696" t="str">
        <f>_xlfn.XLOOKUP(frasest[[#This Row],[author_es]],autorest[author_es],autorest[bio_es])</f>
        <v>Proverbios de la tradición oral vasca que reflejan la relación con la naturaleza, el trabajo y los valores comunitarios del pueblo vasco.</v>
      </c>
      <c r="I696" t="str">
        <f>_xlfn.XLOOKUP(frasest[[#This Row],[author_es]],autorest[author_es],autorest[bio_la])</f>
        <v>Collectio sententiarum Vasconicarum.</v>
      </c>
      <c r="J696" t="str">
        <f>_xlfn.XLOOKUP(frasest[[#This Row],[author_es]],autorest[author_es],autorest[iso3691])</f>
        <v>eu</v>
      </c>
      <c r="K696" t="str">
        <f>_xlfn.XLOOKUP(frasest[[#This Row],[author_es]],autorest[author_es],autorest[language_es])</f>
        <v>Euskara</v>
      </c>
      <c r="L696" t="str">
        <f>_xlfn.XLOOKUP(frasest[[#This Row],[author_es]],autorest[author_es],autorest[language_la])</f>
        <v>Lingua Vasconica</v>
      </c>
      <c r="M696" t="str">
        <f>_xlfn.XLOOKUP(frasest[[#This Row],[author_es]],autorest[author_es],autorest[nation_es])</f>
        <v>España</v>
      </c>
      <c r="N696" t="str">
        <f>_xlfn.XLOOKUP(frasest[[#This Row],[author_es]],autorest[author_es],autorest[nation_la])</f>
        <v>Hispania</v>
      </c>
      <c r="O696" t="str">
        <f>_xlfn.XLOOKUP(frasest[[#This Row],[author_es]],autorest[author_es],autorest[age_es])</f>
        <v>Epoca Desconocida</v>
      </c>
      <c r="P696" t="str">
        <f>_xlfn.XLOOKUP(frasest[[#This Row],[author_es]],autorest[author_es],autorest[age_la])</f>
        <v>Epocha Ignota</v>
      </c>
      <c r="Q696" t="str">
        <f>_xlfn.XLOOKUP(frasest[[#This Row],[author_es]],autorest[author_es],autorest[image])</f>
        <v>https://i.ibb.co/bjgxB3kn/euskadi.png</v>
      </c>
      <c r="R696">
        <f>_xlfn.XLOOKUP(frasest[[#This Row],[author_es]],autorest[author_es],autorest[image_atr])</f>
        <v>0</v>
      </c>
    </row>
    <row r="697" spans="1:18">
      <c r="A697">
        <v>696</v>
      </c>
      <c r="B697" t="s">
        <v>2368</v>
      </c>
      <c r="C697" t="s">
        <v>2369</v>
      </c>
      <c r="D697" t="s">
        <v>2370</v>
      </c>
      <c r="E697" t="s">
        <v>1236</v>
      </c>
      <c r="G697" t="str">
        <f>_xlfn.XLOOKUP(frasest[[#This Row],[author_es]],autorest[author_es],autorest[author_la])</f>
        <v>Sententia Vasconica</v>
      </c>
      <c r="H697" t="str">
        <f>_xlfn.XLOOKUP(frasest[[#This Row],[author_es]],autorest[author_es],autorest[bio_es])</f>
        <v>Proverbios de la tradición oral vasca que reflejan la relación con la naturaleza, el trabajo y los valores comunitarios del pueblo vasco.</v>
      </c>
      <c r="I697" t="str">
        <f>_xlfn.XLOOKUP(frasest[[#This Row],[author_es]],autorest[author_es],autorest[bio_la])</f>
        <v>Collectio sententiarum Vasconicarum.</v>
      </c>
      <c r="J697" t="str">
        <f>_xlfn.XLOOKUP(frasest[[#This Row],[author_es]],autorest[author_es],autorest[iso3691])</f>
        <v>eu</v>
      </c>
      <c r="K697" t="str">
        <f>_xlfn.XLOOKUP(frasest[[#This Row],[author_es]],autorest[author_es],autorest[language_es])</f>
        <v>Euskara</v>
      </c>
      <c r="L697" t="str">
        <f>_xlfn.XLOOKUP(frasest[[#This Row],[author_es]],autorest[author_es],autorest[language_la])</f>
        <v>Lingua Vasconica</v>
      </c>
      <c r="M697" t="str">
        <f>_xlfn.XLOOKUP(frasest[[#This Row],[author_es]],autorest[author_es],autorest[nation_es])</f>
        <v>España</v>
      </c>
      <c r="N697" t="str">
        <f>_xlfn.XLOOKUP(frasest[[#This Row],[author_es]],autorest[author_es],autorest[nation_la])</f>
        <v>Hispania</v>
      </c>
      <c r="O697" t="str">
        <f>_xlfn.XLOOKUP(frasest[[#This Row],[author_es]],autorest[author_es],autorest[age_es])</f>
        <v>Epoca Desconocida</v>
      </c>
      <c r="P697" t="str">
        <f>_xlfn.XLOOKUP(frasest[[#This Row],[author_es]],autorest[author_es],autorest[age_la])</f>
        <v>Epocha Ignota</v>
      </c>
      <c r="Q697" t="str">
        <f>_xlfn.XLOOKUP(frasest[[#This Row],[author_es]],autorest[author_es],autorest[image])</f>
        <v>https://i.ibb.co/bjgxB3kn/euskadi.png</v>
      </c>
      <c r="R697">
        <f>_xlfn.XLOOKUP(frasest[[#This Row],[author_es]],autorest[author_es],autorest[image_atr])</f>
        <v>0</v>
      </c>
    </row>
    <row r="698" spans="1:18">
      <c r="A698">
        <v>697</v>
      </c>
      <c r="B698" t="s">
        <v>2371</v>
      </c>
      <c r="C698" t="s">
        <v>2372</v>
      </c>
      <c r="D698" t="s">
        <v>2373</v>
      </c>
      <c r="E698" t="s">
        <v>1236</v>
      </c>
      <c r="G698" t="str">
        <f>_xlfn.XLOOKUP(frasest[[#This Row],[author_es]],autorest[author_es],autorest[author_la])</f>
        <v>Sententia Vasconica</v>
      </c>
      <c r="H698" t="str">
        <f>_xlfn.XLOOKUP(frasest[[#This Row],[author_es]],autorest[author_es],autorest[bio_es])</f>
        <v>Proverbios de la tradición oral vasca que reflejan la relación con la naturaleza, el trabajo y los valores comunitarios del pueblo vasco.</v>
      </c>
      <c r="I698" t="str">
        <f>_xlfn.XLOOKUP(frasest[[#This Row],[author_es]],autorest[author_es],autorest[bio_la])</f>
        <v>Collectio sententiarum Vasconicarum.</v>
      </c>
      <c r="J698" t="str">
        <f>_xlfn.XLOOKUP(frasest[[#This Row],[author_es]],autorest[author_es],autorest[iso3691])</f>
        <v>eu</v>
      </c>
      <c r="K698" t="str">
        <f>_xlfn.XLOOKUP(frasest[[#This Row],[author_es]],autorest[author_es],autorest[language_es])</f>
        <v>Euskara</v>
      </c>
      <c r="L698" t="str">
        <f>_xlfn.XLOOKUP(frasest[[#This Row],[author_es]],autorest[author_es],autorest[language_la])</f>
        <v>Lingua Vasconica</v>
      </c>
      <c r="M698" t="str">
        <f>_xlfn.XLOOKUP(frasest[[#This Row],[author_es]],autorest[author_es],autorest[nation_es])</f>
        <v>España</v>
      </c>
      <c r="N698" t="str">
        <f>_xlfn.XLOOKUP(frasest[[#This Row],[author_es]],autorest[author_es],autorest[nation_la])</f>
        <v>Hispania</v>
      </c>
      <c r="O698" t="str">
        <f>_xlfn.XLOOKUP(frasest[[#This Row],[author_es]],autorest[author_es],autorest[age_es])</f>
        <v>Epoca Desconocida</v>
      </c>
      <c r="P698" t="str">
        <f>_xlfn.XLOOKUP(frasest[[#This Row],[author_es]],autorest[author_es],autorest[age_la])</f>
        <v>Epocha Ignota</v>
      </c>
      <c r="Q698" t="str">
        <f>_xlfn.XLOOKUP(frasest[[#This Row],[author_es]],autorest[author_es],autorest[image])</f>
        <v>https://i.ibb.co/bjgxB3kn/euskadi.png</v>
      </c>
      <c r="R698">
        <f>_xlfn.XLOOKUP(frasest[[#This Row],[author_es]],autorest[author_es],autorest[image_atr])</f>
        <v>0</v>
      </c>
    </row>
    <row r="699" spans="1:18">
      <c r="A699">
        <v>698</v>
      </c>
      <c r="B699" t="s">
        <v>2374</v>
      </c>
      <c r="C699" t="s">
        <v>2375</v>
      </c>
      <c r="D699" t="s">
        <v>2376</v>
      </c>
      <c r="E699" t="s">
        <v>1236</v>
      </c>
      <c r="G699" t="str">
        <f>_xlfn.XLOOKUP(frasest[[#This Row],[author_es]],autorest[author_es],autorest[author_la])</f>
        <v>Sententia Vasconica</v>
      </c>
      <c r="H699" t="str">
        <f>_xlfn.XLOOKUP(frasest[[#This Row],[author_es]],autorest[author_es],autorest[bio_es])</f>
        <v>Proverbios de la tradición oral vasca que reflejan la relación con la naturaleza, el trabajo y los valores comunitarios del pueblo vasco.</v>
      </c>
      <c r="I699" t="str">
        <f>_xlfn.XLOOKUP(frasest[[#This Row],[author_es]],autorest[author_es],autorest[bio_la])</f>
        <v>Collectio sententiarum Vasconicarum.</v>
      </c>
      <c r="J699" t="str">
        <f>_xlfn.XLOOKUP(frasest[[#This Row],[author_es]],autorest[author_es],autorest[iso3691])</f>
        <v>eu</v>
      </c>
      <c r="K699" t="str">
        <f>_xlfn.XLOOKUP(frasest[[#This Row],[author_es]],autorest[author_es],autorest[language_es])</f>
        <v>Euskara</v>
      </c>
      <c r="L699" t="str">
        <f>_xlfn.XLOOKUP(frasest[[#This Row],[author_es]],autorest[author_es],autorest[language_la])</f>
        <v>Lingua Vasconica</v>
      </c>
      <c r="M699" t="str">
        <f>_xlfn.XLOOKUP(frasest[[#This Row],[author_es]],autorest[author_es],autorest[nation_es])</f>
        <v>España</v>
      </c>
      <c r="N699" t="str">
        <f>_xlfn.XLOOKUP(frasest[[#This Row],[author_es]],autorest[author_es],autorest[nation_la])</f>
        <v>Hispania</v>
      </c>
      <c r="O699" t="str">
        <f>_xlfn.XLOOKUP(frasest[[#This Row],[author_es]],autorest[author_es],autorest[age_es])</f>
        <v>Epoca Desconocida</v>
      </c>
      <c r="P699" t="str">
        <f>_xlfn.XLOOKUP(frasest[[#This Row],[author_es]],autorest[author_es],autorest[age_la])</f>
        <v>Epocha Ignota</v>
      </c>
      <c r="Q699" t="str">
        <f>_xlfn.XLOOKUP(frasest[[#This Row],[author_es]],autorest[author_es],autorest[image])</f>
        <v>https://i.ibb.co/bjgxB3kn/euskadi.png</v>
      </c>
      <c r="R699">
        <f>_xlfn.XLOOKUP(frasest[[#This Row],[author_es]],autorest[author_es],autorest[image_atr])</f>
        <v>0</v>
      </c>
    </row>
    <row r="700" spans="1:18">
      <c r="A700">
        <v>699</v>
      </c>
      <c r="B700" t="s">
        <v>2377</v>
      </c>
      <c r="C700" t="s">
        <v>2378</v>
      </c>
      <c r="D700" t="s">
        <v>2379</v>
      </c>
      <c r="E700" t="s">
        <v>1236</v>
      </c>
      <c r="G700" t="str">
        <f>_xlfn.XLOOKUP(frasest[[#This Row],[author_es]],autorest[author_es],autorest[author_la])</f>
        <v>Sententia Vasconica</v>
      </c>
      <c r="H700" t="str">
        <f>_xlfn.XLOOKUP(frasest[[#This Row],[author_es]],autorest[author_es],autorest[bio_es])</f>
        <v>Proverbios de la tradición oral vasca que reflejan la relación con la naturaleza, el trabajo y los valores comunitarios del pueblo vasco.</v>
      </c>
      <c r="I700" t="str">
        <f>_xlfn.XLOOKUP(frasest[[#This Row],[author_es]],autorest[author_es],autorest[bio_la])</f>
        <v>Collectio sententiarum Vasconicarum.</v>
      </c>
      <c r="J700" t="str">
        <f>_xlfn.XLOOKUP(frasest[[#This Row],[author_es]],autorest[author_es],autorest[iso3691])</f>
        <v>eu</v>
      </c>
      <c r="K700" t="str">
        <f>_xlfn.XLOOKUP(frasest[[#This Row],[author_es]],autorest[author_es],autorest[language_es])</f>
        <v>Euskara</v>
      </c>
      <c r="L700" t="str">
        <f>_xlfn.XLOOKUP(frasest[[#This Row],[author_es]],autorest[author_es],autorest[language_la])</f>
        <v>Lingua Vasconica</v>
      </c>
      <c r="M700" t="str">
        <f>_xlfn.XLOOKUP(frasest[[#This Row],[author_es]],autorest[author_es],autorest[nation_es])</f>
        <v>España</v>
      </c>
      <c r="N700" t="str">
        <f>_xlfn.XLOOKUP(frasest[[#This Row],[author_es]],autorest[author_es],autorest[nation_la])</f>
        <v>Hispania</v>
      </c>
      <c r="O700" t="str">
        <f>_xlfn.XLOOKUP(frasest[[#This Row],[author_es]],autorest[author_es],autorest[age_es])</f>
        <v>Epoca Desconocida</v>
      </c>
      <c r="P700" t="str">
        <f>_xlfn.XLOOKUP(frasest[[#This Row],[author_es]],autorest[author_es],autorest[age_la])</f>
        <v>Epocha Ignota</v>
      </c>
      <c r="Q700" t="str">
        <f>_xlfn.XLOOKUP(frasest[[#This Row],[author_es]],autorest[author_es],autorest[image])</f>
        <v>https://i.ibb.co/bjgxB3kn/euskadi.png</v>
      </c>
      <c r="R700">
        <f>_xlfn.XLOOKUP(frasest[[#This Row],[author_es]],autorest[author_es],autorest[image_atr])</f>
        <v>0</v>
      </c>
    </row>
    <row r="701" spans="1:18">
      <c r="A701">
        <v>700</v>
      </c>
      <c r="B701" t="s">
        <v>2380</v>
      </c>
      <c r="C701" t="s">
        <v>2381</v>
      </c>
      <c r="D701" t="s">
        <v>2382</v>
      </c>
      <c r="E701" t="s">
        <v>1236</v>
      </c>
      <c r="G701" t="str">
        <f>_xlfn.XLOOKUP(frasest[[#This Row],[author_es]],autorest[author_es],autorest[author_la])</f>
        <v>Sententia Vasconica</v>
      </c>
      <c r="H701" t="str">
        <f>_xlfn.XLOOKUP(frasest[[#This Row],[author_es]],autorest[author_es],autorest[bio_es])</f>
        <v>Proverbios de la tradición oral vasca que reflejan la relación con la naturaleza, el trabajo y los valores comunitarios del pueblo vasco.</v>
      </c>
      <c r="I701" t="str">
        <f>_xlfn.XLOOKUP(frasest[[#This Row],[author_es]],autorest[author_es],autorest[bio_la])</f>
        <v>Collectio sententiarum Vasconicarum.</v>
      </c>
      <c r="J701" t="str">
        <f>_xlfn.XLOOKUP(frasest[[#This Row],[author_es]],autorest[author_es],autorest[iso3691])</f>
        <v>eu</v>
      </c>
      <c r="K701" t="str">
        <f>_xlfn.XLOOKUP(frasest[[#This Row],[author_es]],autorest[author_es],autorest[language_es])</f>
        <v>Euskara</v>
      </c>
      <c r="L701" t="str">
        <f>_xlfn.XLOOKUP(frasest[[#This Row],[author_es]],autorest[author_es],autorest[language_la])</f>
        <v>Lingua Vasconica</v>
      </c>
      <c r="M701" t="str">
        <f>_xlfn.XLOOKUP(frasest[[#This Row],[author_es]],autorest[author_es],autorest[nation_es])</f>
        <v>España</v>
      </c>
      <c r="N701" t="str">
        <f>_xlfn.XLOOKUP(frasest[[#This Row],[author_es]],autorest[author_es],autorest[nation_la])</f>
        <v>Hispania</v>
      </c>
      <c r="O701" t="str">
        <f>_xlfn.XLOOKUP(frasest[[#This Row],[author_es]],autorest[author_es],autorest[age_es])</f>
        <v>Epoca Desconocida</v>
      </c>
      <c r="P701" t="str">
        <f>_xlfn.XLOOKUP(frasest[[#This Row],[author_es]],autorest[author_es],autorest[age_la])</f>
        <v>Epocha Ignota</v>
      </c>
      <c r="Q701" t="str">
        <f>_xlfn.XLOOKUP(frasest[[#This Row],[author_es]],autorest[author_es],autorest[image])</f>
        <v>https://i.ibb.co/bjgxB3kn/euskadi.png</v>
      </c>
      <c r="R701">
        <f>_xlfn.XLOOKUP(frasest[[#This Row],[author_es]],autorest[author_es],autorest[image_atr])</f>
        <v>0</v>
      </c>
    </row>
    <row r="702" spans="1:18">
      <c r="A702">
        <v>701</v>
      </c>
      <c r="B702" t="s">
        <v>2383</v>
      </c>
      <c r="C702" t="s">
        <v>2384</v>
      </c>
      <c r="D702" t="s">
        <v>2385</v>
      </c>
      <c r="E702" t="s">
        <v>1236</v>
      </c>
      <c r="G702" t="str">
        <f>_xlfn.XLOOKUP(frasest[[#This Row],[author_es]],autorest[author_es],autorest[author_la])</f>
        <v>Sententia Vasconica</v>
      </c>
      <c r="H702" t="str">
        <f>_xlfn.XLOOKUP(frasest[[#This Row],[author_es]],autorest[author_es],autorest[bio_es])</f>
        <v>Proverbios de la tradición oral vasca que reflejan la relación con la naturaleza, el trabajo y los valores comunitarios del pueblo vasco.</v>
      </c>
      <c r="I702" t="str">
        <f>_xlfn.XLOOKUP(frasest[[#This Row],[author_es]],autorest[author_es],autorest[bio_la])</f>
        <v>Collectio sententiarum Vasconicarum.</v>
      </c>
      <c r="J702" t="str">
        <f>_xlfn.XLOOKUP(frasest[[#This Row],[author_es]],autorest[author_es],autorest[iso3691])</f>
        <v>eu</v>
      </c>
      <c r="K702" t="str">
        <f>_xlfn.XLOOKUP(frasest[[#This Row],[author_es]],autorest[author_es],autorest[language_es])</f>
        <v>Euskara</v>
      </c>
      <c r="L702" t="str">
        <f>_xlfn.XLOOKUP(frasest[[#This Row],[author_es]],autorest[author_es],autorest[language_la])</f>
        <v>Lingua Vasconica</v>
      </c>
      <c r="M702" t="str">
        <f>_xlfn.XLOOKUP(frasest[[#This Row],[author_es]],autorest[author_es],autorest[nation_es])</f>
        <v>España</v>
      </c>
      <c r="N702" t="str">
        <f>_xlfn.XLOOKUP(frasest[[#This Row],[author_es]],autorest[author_es],autorest[nation_la])</f>
        <v>Hispania</v>
      </c>
      <c r="O702" t="str">
        <f>_xlfn.XLOOKUP(frasest[[#This Row],[author_es]],autorest[author_es],autorest[age_es])</f>
        <v>Epoca Desconocida</v>
      </c>
      <c r="P702" t="str">
        <f>_xlfn.XLOOKUP(frasest[[#This Row],[author_es]],autorest[author_es],autorest[age_la])</f>
        <v>Epocha Ignota</v>
      </c>
      <c r="Q702" t="str">
        <f>_xlfn.XLOOKUP(frasest[[#This Row],[author_es]],autorest[author_es],autorest[image])</f>
        <v>https://i.ibb.co/bjgxB3kn/euskadi.png</v>
      </c>
      <c r="R702">
        <f>_xlfn.XLOOKUP(frasest[[#This Row],[author_es]],autorest[author_es],autorest[image_atr])</f>
        <v>0</v>
      </c>
    </row>
    <row r="703" spans="1:18">
      <c r="A703">
        <v>702</v>
      </c>
      <c r="B703" t="s">
        <v>2386</v>
      </c>
      <c r="C703" t="s">
        <v>2387</v>
      </c>
      <c r="D703" t="s">
        <v>2388</v>
      </c>
      <c r="E703" t="s">
        <v>1236</v>
      </c>
      <c r="G703" t="str">
        <f>_xlfn.XLOOKUP(frasest[[#This Row],[author_es]],autorest[author_es],autorest[author_la])</f>
        <v>Sententia Vasconica</v>
      </c>
      <c r="H703" t="str">
        <f>_xlfn.XLOOKUP(frasest[[#This Row],[author_es]],autorest[author_es],autorest[bio_es])</f>
        <v>Proverbios de la tradición oral vasca que reflejan la relación con la naturaleza, el trabajo y los valores comunitarios del pueblo vasco.</v>
      </c>
      <c r="I703" t="str">
        <f>_xlfn.XLOOKUP(frasest[[#This Row],[author_es]],autorest[author_es],autorest[bio_la])</f>
        <v>Collectio sententiarum Vasconicarum.</v>
      </c>
      <c r="J703" t="str">
        <f>_xlfn.XLOOKUP(frasest[[#This Row],[author_es]],autorest[author_es],autorest[iso3691])</f>
        <v>eu</v>
      </c>
      <c r="K703" t="str">
        <f>_xlfn.XLOOKUP(frasest[[#This Row],[author_es]],autorest[author_es],autorest[language_es])</f>
        <v>Euskara</v>
      </c>
      <c r="L703" t="str">
        <f>_xlfn.XLOOKUP(frasest[[#This Row],[author_es]],autorest[author_es],autorest[language_la])</f>
        <v>Lingua Vasconica</v>
      </c>
      <c r="M703" t="str">
        <f>_xlfn.XLOOKUP(frasest[[#This Row],[author_es]],autorest[author_es],autorest[nation_es])</f>
        <v>España</v>
      </c>
      <c r="N703" t="str">
        <f>_xlfn.XLOOKUP(frasest[[#This Row],[author_es]],autorest[author_es],autorest[nation_la])</f>
        <v>Hispania</v>
      </c>
      <c r="O703" t="str">
        <f>_xlfn.XLOOKUP(frasest[[#This Row],[author_es]],autorest[author_es],autorest[age_es])</f>
        <v>Epoca Desconocida</v>
      </c>
      <c r="P703" t="str">
        <f>_xlfn.XLOOKUP(frasest[[#This Row],[author_es]],autorest[author_es],autorest[age_la])</f>
        <v>Epocha Ignota</v>
      </c>
      <c r="Q703" t="str">
        <f>_xlfn.XLOOKUP(frasest[[#This Row],[author_es]],autorest[author_es],autorest[image])</f>
        <v>https://i.ibb.co/bjgxB3kn/euskadi.png</v>
      </c>
      <c r="R703">
        <f>_xlfn.XLOOKUP(frasest[[#This Row],[author_es]],autorest[author_es],autorest[image_atr])</f>
        <v>0</v>
      </c>
    </row>
    <row r="704" spans="1:18">
      <c r="A704">
        <v>703</v>
      </c>
      <c r="B704" t="s">
        <v>2389</v>
      </c>
      <c r="C704" t="s">
        <v>2390</v>
      </c>
      <c r="D704" t="s">
        <v>2391</v>
      </c>
      <c r="E704" t="s">
        <v>1236</v>
      </c>
      <c r="G704" t="str">
        <f>_xlfn.XLOOKUP(frasest[[#This Row],[author_es]],autorest[author_es],autorest[author_la])</f>
        <v>Sententia Vasconica</v>
      </c>
      <c r="H704" t="str">
        <f>_xlfn.XLOOKUP(frasest[[#This Row],[author_es]],autorest[author_es],autorest[bio_es])</f>
        <v>Proverbios de la tradición oral vasca que reflejan la relación con la naturaleza, el trabajo y los valores comunitarios del pueblo vasco.</v>
      </c>
      <c r="I704" t="str">
        <f>_xlfn.XLOOKUP(frasest[[#This Row],[author_es]],autorest[author_es],autorest[bio_la])</f>
        <v>Collectio sententiarum Vasconicarum.</v>
      </c>
      <c r="J704" t="str">
        <f>_xlfn.XLOOKUP(frasest[[#This Row],[author_es]],autorest[author_es],autorest[iso3691])</f>
        <v>eu</v>
      </c>
      <c r="K704" t="str">
        <f>_xlfn.XLOOKUP(frasest[[#This Row],[author_es]],autorest[author_es],autorest[language_es])</f>
        <v>Euskara</v>
      </c>
      <c r="L704" t="str">
        <f>_xlfn.XLOOKUP(frasest[[#This Row],[author_es]],autorest[author_es],autorest[language_la])</f>
        <v>Lingua Vasconica</v>
      </c>
      <c r="M704" t="str">
        <f>_xlfn.XLOOKUP(frasest[[#This Row],[author_es]],autorest[author_es],autorest[nation_es])</f>
        <v>España</v>
      </c>
      <c r="N704" t="str">
        <f>_xlfn.XLOOKUP(frasest[[#This Row],[author_es]],autorest[author_es],autorest[nation_la])</f>
        <v>Hispania</v>
      </c>
      <c r="O704" t="str">
        <f>_xlfn.XLOOKUP(frasest[[#This Row],[author_es]],autorest[author_es],autorest[age_es])</f>
        <v>Epoca Desconocida</v>
      </c>
      <c r="P704" t="str">
        <f>_xlfn.XLOOKUP(frasest[[#This Row],[author_es]],autorest[author_es],autorest[age_la])</f>
        <v>Epocha Ignota</v>
      </c>
      <c r="Q704" t="str">
        <f>_xlfn.XLOOKUP(frasest[[#This Row],[author_es]],autorest[author_es],autorest[image])</f>
        <v>https://i.ibb.co/bjgxB3kn/euskadi.png</v>
      </c>
      <c r="R704">
        <f>_xlfn.XLOOKUP(frasest[[#This Row],[author_es]],autorest[author_es],autorest[image_atr])</f>
        <v>0</v>
      </c>
    </row>
    <row r="705" spans="1:18">
      <c r="A705">
        <v>704</v>
      </c>
      <c r="B705" t="s">
        <v>2392</v>
      </c>
      <c r="C705" t="s">
        <v>2393</v>
      </c>
      <c r="D705" t="s">
        <v>2394</v>
      </c>
      <c r="E705" t="s">
        <v>1236</v>
      </c>
      <c r="G705" t="str">
        <f>_xlfn.XLOOKUP(frasest[[#This Row],[author_es]],autorest[author_es],autorest[author_la])</f>
        <v>Sententia Vasconica</v>
      </c>
      <c r="H705" t="str">
        <f>_xlfn.XLOOKUP(frasest[[#This Row],[author_es]],autorest[author_es],autorest[bio_es])</f>
        <v>Proverbios de la tradición oral vasca que reflejan la relación con la naturaleza, el trabajo y los valores comunitarios del pueblo vasco.</v>
      </c>
      <c r="I705" t="str">
        <f>_xlfn.XLOOKUP(frasest[[#This Row],[author_es]],autorest[author_es],autorest[bio_la])</f>
        <v>Collectio sententiarum Vasconicarum.</v>
      </c>
      <c r="J705" t="str">
        <f>_xlfn.XLOOKUP(frasest[[#This Row],[author_es]],autorest[author_es],autorest[iso3691])</f>
        <v>eu</v>
      </c>
      <c r="K705" t="str">
        <f>_xlfn.XLOOKUP(frasest[[#This Row],[author_es]],autorest[author_es],autorest[language_es])</f>
        <v>Euskara</v>
      </c>
      <c r="L705" t="str">
        <f>_xlfn.XLOOKUP(frasest[[#This Row],[author_es]],autorest[author_es],autorest[language_la])</f>
        <v>Lingua Vasconica</v>
      </c>
      <c r="M705" t="str">
        <f>_xlfn.XLOOKUP(frasest[[#This Row],[author_es]],autorest[author_es],autorest[nation_es])</f>
        <v>España</v>
      </c>
      <c r="N705" t="str">
        <f>_xlfn.XLOOKUP(frasest[[#This Row],[author_es]],autorest[author_es],autorest[nation_la])</f>
        <v>Hispania</v>
      </c>
      <c r="O705" t="str">
        <f>_xlfn.XLOOKUP(frasest[[#This Row],[author_es]],autorest[author_es],autorest[age_es])</f>
        <v>Epoca Desconocida</v>
      </c>
      <c r="P705" t="str">
        <f>_xlfn.XLOOKUP(frasest[[#This Row],[author_es]],autorest[author_es],autorest[age_la])</f>
        <v>Epocha Ignota</v>
      </c>
      <c r="Q705" t="str">
        <f>_xlfn.XLOOKUP(frasest[[#This Row],[author_es]],autorest[author_es],autorest[image])</f>
        <v>https://i.ibb.co/bjgxB3kn/euskadi.png</v>
      </c>
      <c r="R705">
        <f>_xlfn.XLOOKUP(frasest[[#This Row],[author_es]],autorest[author_es],autorest[image_atr])</f>
        <v>0</v>
      </c>
    </row>
    <row r="706" spans="1:18">
      <c r="A706">
        <v>705</v>
      </c>
      <c r="B706" t="s">
        <v>2395</v>
      </c>
      <c r="C706" t="s">
        <v>2396</v>
      </c>
      <c r="D706" t="s">
        <v>2397</v>
      </c>
      <c r="E706" t="s">
        <v>1236</v>
      </c>
      <c r="G706" t="str">
        <f>_xlfn.XLOOKUP(frasest[[#This Row],[author_es]],autorest[author_es],autorest[author_la])</f>
        <v>Sententia Vasconica</v>
      </c>
      <c r="H706" t="str">
        <f>_xlfn.XLOOKUP(frasest[[#This Row],[author_es]],autorest[author_es],autorest[bio_es])</f>
        <v>Proverbios de la tradición oral vasca que reflejan la relación con la naturaleza, el trabajo y los valores comunitarios del pueblo vasco.</v>
      </c>
      <c r="I706" t="str">
        <f>_xlfn.XLOOKUP(frasest[[#This Row],[author_es]],autorest[author_es],autorest[bio_la])</f>
        <v>Collectio sententiarum Vasconicarum.</v>
      </c>
      <c r="J706" t="str">
        <f>_xlfn.XLOOKUP(frasest[[#This Row],[author_es]],autorest[author_es],autorest[iso3691])</f>
        <v>eu</v>
      </c>
      <c r="K706" t="str">
        <f>_xlfn.XLOOKUP(frasest[[#This Row],[author_es]],autorest[author_es],autorest[language_es])</f>
        <v>Euskara</v>
      </c>
      <c r="L706" t="str">
        <f>_xlfn.XLOOKUP(frasest[[#This Row],[author_es]],autorest[author_es],autorest[language_la])</f>
        <v>Lingua Vasconica</v>
      </c>
      <c r="M706" t="str">
        <f>_xlfn.XLOOKUP(frasest[[#This Row],[author_es]],autorest[author_es],autorest[nation_es])</f>
        <v>España</v>
      </c>
      <c r="N706" t="str">
        <f>_xlfn.XLOOKUP(frasest[[#This Row],[author_es]],autorest[author_es],autorest[nation_la])</f>
        <v>Hispania</v>
      </c>
      <c r="O706" t="str">
        <f>_xlfn.XLOOKUP(frasest[[#This Row],[author_es]],autorest[author_es],autorest[age_es])</f>
        <v>Epoca Desconocida</v>
      </c>
      <c r="P706" t="str">
        <f>_xlfn.XLOOKUP(frasest[[#This Row],[author_es]],autorest[author_es],autorest[age_la])</f>
        <v>Epocha Ignota</v>
      </c>
      <c r="Q706" t="str">
        <f>_xlfn.XLOOKUP(frasest[[#This Row],[author_es]],autorest[author_es],autorest[image])</f>
        <v>https://i.ibb.co/bjgxB3kn/euskadi.png</v>
      </c>
      <c r="R706">
        <f>_xlfn.XLOOKUP(frasest[[#This Row],[author_es]],autorest[author_es],autorest[image_atr])</f>
        <v>0</v>
      </c>
    </row>
    <row r="707" spans="1:18">
      <c r="A707">
        <v>706</v>
      </c>
      <c r="B707" t="s">
        <v>2398</v>
      </c>
      <c r="C707" t="s">
        <v>2399</v>
      </c>
      <c r="D707" t="s">
        <v>2400</v>
      </c>
      <c r="E707" t="s">
        <v>1236</v>
      </c>
      <c r="G707" t="str">
        <f>_xlfn.XLOOKUP(frasest[[#This Row],[author_es]],autorest[author_es],autorest[author_la])</f>
        <v>Sententia Vasconica</v>
      </c>
      <c r="H707" t="str">
        <f>_xlfn.XLOOKUP(frasest[[#This Row],[author_es]],autorest[author_es],autorest[bio_es])</f>
        <v>Proverbios de la tradición oral vasca que reflejan la relación con la naturaleza, el trabajo y los valores comunitarios del pueblo vasco.</v>
      </c>
      <c r="I707" t="str">
        <f>_xlfn.XLOOKUP(frasest[[#This Row],[author_es]],autorest[author_es],autorest[bio_la])</f>
        <v>Collectio sententiarum Vasconicarum.</v>
      </c>
      <c r="J707" t="str">
        <f>_xlfn.XLOOKUP(frasest[[#This Row],[author_es]],autorest[author_es],autorest[iso3691])</f>
        <v>eu</v>
      </c>
      <c r="K707" t="str">
        <f>_xlfn.XLOOKUP(frasest[[#This Row],[author_es]],autorest[author_es],autorest[language_es])</f>
        <v>Euskara</v>
      </c>
      <c r="L707" t="str">
        <f>_xlfn.XLOOKUP(frasest[[#This Row],[author_es]],autorest[author_es],autorest[language_la])</f>
        <v>Lingua Vasconica</v>
      </c>
      <c r="M707" t="str">
        <f>_xlfn.XLOOKUP(frasest[[#This Row],[author_es]],autorest[author_es],autorest[nation_es])</f>
        <v>España</v>
      </c>
      <c r="N707" t="str">
        <f>_xlfn.XLOOKUP(frasest[[#This Row],[author_es]],autorest[author_es],autorest[nation_la])</f>
        <v>Hispania</v>
      </c>
      <c r="O707" t="str">
        <f>_xlfn.XLOOKUP(frasest[[#This Row],[author_es]],autorest[author_es],autorest[age_es])</f>
        <v>Epoca Desconocida</v>
      </c>
      <c r="P707" t="str">
        <f>_xlfn.XLOOKUP(frasest[[#This Row],[author_es]],autorest[author_es],autorest[age_la])</f>
        <v>Epocha Ignota</v>
      </c>
      <c r="Q707" t="str">
        <f>_xlfn.XLOOKUP(frasest[[#This Row],[author_es]],autorest[author_es],autorest[image])</f>
        <v>https://i.ibb.co/bjgxB3kn/euskadi.png</v>
      </c>
      <c r="R707">
        <f>_xlfn.XLOOKUP(frasest[[#This Row],[author_es]],autorest[author_es],autorest[image_atr])</f>
        <v>0</v>
      </c>
    </row>
    <row r="708" spans="1:18">
      <c r="A708">
        <v>707</v>
      </c>
      <c r="B708" t="s">
        <v>2401</v>
      </c>
      <c r="C708" t="s">
        <v>2402</v>
      </c>
      <c r="D708" t="s">
        <v>2403</v>
      </c>
      <c r="E708" t="s">
        <v>1236</v>
      </c>
      <c r="G708" t="str">
        <f>_xlfn.XLOOKUP(frasest[[#This Row],[author_es]],autorest[author_es],autorest[author_la])</f>
        <v>Sententia Vasconica</v>
      </c>
      <c r="H708" t="str">
        <f>_xlfn.XLOOKUP(frasest[[#This Row],[author_es]],autorest[author_es],autorest[bio_es])</f>
        <v>Proverbios de la tradición oral vasca que reflejan la relación con la naturaleza, el trabajo y los valores comunitarios del pueblo vasco.</v>
      </c>
      <c r="I708" t="str">
        <f>_xlfn.XLOOKUP(frasest[[#This Row],[author_es]],autorest[author_es],autorest[bio_la])</f>
        <v>Collectio sententiarum Vasconicarum.</v>
      </c>
      <c r="J708" t="str">
        <f>_xlfn.XLOOKUP(frasest[[#This Row],[author_es]],autorest[author_es],autorest[iso3691])</f>
        <v>eu</v>
      </c>
      <c r="K708" t="str">
        <f>_xlfn.XLOOKUP(frasest[[#This Row],[author_es]],autorest[author_es],autorest[language_es])</f>
        <v>Euskara</v>
      </c>
      <c r="L708" t="str">
        <f>_xlfn.XLOOKUP(frasest[[#This Row],[author_es]],autorest[author_es],autorest[language_la])</f>
        <v>Lingua Vasconica</v>
      </c>
      <c r="M708" t="str">
        <f>_xlfn.XLOOKUP(frasest[[#This Row],[author_es]],autorest[author_es],autorest[nation_es])</f>
        <v>España</v>
      </c>
      <c r="N708" t="str">
        <f>_xlfn.XLOOKUP(frasest[[#This Row],[author_es]],autorest[author_es],autorest[nation_la])</f>
        <v>Hispania</v>
      </c>
      <c r="O708" t="str">
        <f>_xlfn.XLOOKUP(frasest[[#This Row],[author_es]],autorest[author_es],autorest[age_es])</f>
        <v>Epoca Desconocida</v>
      </c>
      <c r="P708" t="str">
        <f>_xlfn.XLOOKUP(frasest[[#This Row],[author_es]],autorest[author_es],autorest[age_la])</f>
        <v>Epocha Ignota</v>
      </c>
      <c r="Q708" t="str">
        <f>_xlfn.XLOOKUP(frasest[[#This Row],[author_es]],autorest[author_es],autorest[image])</f>
        <v>https://i.ibb.co/bjgxB3kn/euskadi.png</v>
      </c>
      <c r="R708">
        <f>_xlfn.XLOOKUP(frasest[[#This Row],[author_es]],autorest[author_es],autorest[image_atr])</f>
        <v>0</v>
      </c>
    </row>
    <row r="709" spans="1:18">
      <c r="A709">
        <v>708</v>
      </c>
      <c r="B709" t="s">
        <v>2404</v>
      </c>
      <c r="C709" t="s">
        <v>2405</v>
      </c>
      <c r="D709" t="s">
        <v>2406</v>
      </c>
      <c r="E709" t="s">
        <v>1236</v>
      </c>
      <c r="G709" t="str">
        <f>_xlfn.XLOOKUP(frasest[[#This Row],[author_es]],autorest[author_es],autorest[author_la])</f>
        <v>Sententia Vasconica</v>
      </c>
      <c r="H709" t="str">
        <f>_xlfn.XLOOKUP(frasest[[#This Row],[author_es]],autorest[author_es],autorest[bio_es])</f>
        <v>Proverbios de la tradición oral vasca que reflejan la relación con la naturaleza, el trabajo y los valores comunitarios del pueblo vasco.</v>
      </c>
      <c r="I709" t="str">
        <f>_xlfn.XLOOKUP(frasest[[#This Row],[author_es]],autorest[author_es],autorest[bio_la])</f>
        <v>Collectio sententiarum Vasconicarum.</v>
      </c>
      <c r="J709" t="str">
        <f>_xlfn.XLOOKUP(frasest[[#This Row],[author_es]],autorest[author_es],autorest[iso3691])</f>
        <v>eu</v>
      </c>
      <c r="K709" t="str">
        <f>_xlfn.XLOOKUP(frasest[[#This Row],[author_es]],autorest[author_es],autorest[language_es])</f>
        <v>Euskara</v>
      </c>
      <c r="L709" t="str">
        <f>_xlfn.XLOOKUP(frasest[[#This Row],[author_es]],autorest[author_es],autorest[language_la])</f>
        <v>Lingua Vasconica</v>
      </c>
      <c r="M709" t="str">
        <f>_xlfn.XLOOKUP(frasest[[#This Row],[author_es]],autorest[author_es],autorest[nation_es])</f>
        <v>España</v>
      </c>
      <c r="N709" t="str">
        <f>_xlfn.XLOOKUP(frasest[[#This Row],[author_es]],autorest[author_es],autorest[nation_la])</f>
        <v>Hispania</v>
      </c>
      <c r="O709" t="str">
        <f>_xlfn.XLOOKUP(frasest[[#This Row],[author_es]],autorest[author_es],autorest[age_es])</f>
        <v>Epoca Desconocida</v>
      </c>
      <c r="P709" t="str">
        <f>_xlfn.XLOOKUP(frasest[[#This Row],[author_es]],autorest[author_es],autorest[age_la])</f>
        <v>Epocha Ignota</v>
      </c>
      <c r="Q709" t="str">
        <f>_xlfn.XLOOKUP(frasest[[#This Row],[author_es]],autorest[author_es],autorest[image])</f>
        <v>https://i.ibb.co/bjgxB3kn/euskadi.png</v>
      </c>
      <c r="R709">
        <f>_xlfn.XLOOKUP(frasest[[#This Row],[author_es]],autorest[author_es],autorest[image_atr])</f>
        <v>0</v>
      </c>
    </row>
    <row r="710" spans="1:18">
      <c r="A710">
        <v>709</v>
      </c>
      <c r="B710" t="s">
        <v>2407</v>
      </c>
      <c r="C710" t="s">
        <v>2408</v>
      </c>
      <c r="D710" t="s">
        <v>2409</v>
      </c>
      <c r="E710" t="s">
        <v>1236</v>
      </c>
      <c r="G710" t="str">
        <f>_xlfn.XLOOKUP(frasest[[#This Row],[author_es]],autorest[author_es],autorest[author_la])</f>
        <v>Sententia Vasconica</v>
      </c>
      <c r="H710" t="str">
        <f>_xlfn.XLOOKUP(frasest[[#This Row],[author_es]],autorest[author_es],autorest[bio_es])</f>
        <v>Proverbios de la tradición oral vasca que reflejan la relación con la naturaleza, el trabajo y los valores comunitarios del pueblo vasco.</v>
      </c>
      <c r="I710" t="str">
        <f>_xlfn.XLOOKUP(frasest[[#This Row],[author_es]],autorest[author_es],autorest[bio_la])</f>
        <v>Collectio sententiarum Vasconicarum.</v>
      </c>
      <c r="J710" t="str">
        <f>_xlfn.XLOOKUP(frasest[[#This Row],[author_es]],autorest[author_es],autorest[iso3691])</f>
        <v>eu</v>
      </c>
      <c r="K710" t="str">
        <f>_xlfn.XLOOKUP(frasest[[#This Row],[author_es]],autorest[author_es],autorest[language_es])</f>
        <v>Euskara</v>
      </c>
      <c r="L710" t="str">
        <f>_xlfn.XLOOKUP(frasest[[#This Row],[author_es]],autorest[author_es],autorest[language_la])</f>
        <v>Lingua Vasconica</v>
      </c>
      <c r="M710" t="str">
        <f>_xlfn.XLOOKUP(frasest[[#This Row],[author_es]],autorest[author_es],autorest[nation_es])</f>
        <v>España</v>
      </c>
      <c r="N710" t="str">
        <f>_xlfn.XLOOKUP(frasest[[#This Row],[author_es]],autorest[author_es],autorest[nation_la])</f>
        <v>Hispania</v>
      </c>
      <c r="O710" t="str">
        <f>_xlfn.XLOOKUP(frasest[[#This Row],[author_es]],autorest[author_es],autorest[age_es])</f>
        <v>Epoca Desconocida</v>
      </c>
      <c r="P710" t="str">
        <f>_xlfn.XLOOKUP(frasest[[#This Row],[author_es]],autorest[author_es],autorest[age_la])</f>
        <v>Epocha Ignota</v>
      </c>
      <c r="Q710" t="str">
        <f>_xlfn.XLOOKUP(frasest[[#This Row],[author_es]],autorest[author_es],autorest[image])</f>
        <v>https://i.ibb.co/bjgxB3kn/euskadi.png</v>
      </c>
      <c r="R710">
        <f>_xlfn.XLOOKUP(frasest[[#This Row],[author_es]],autorest[author_es],autorest[image_atr])</f>
        <v>0</v>
      </c>
    </row>
    <row r="711" spans="1:18">
      <c r="A711">
        <v>710</v>
      </c>
      <c r="B711" t="s">
        <v>2410</v>
      </c>
      <c r="C711" t="s">
        <v>2411</v>
      </c>
      <c r="D711" t="s">
        <v>2412</v>
      </c>
      <c r="E711" t="s">
        <v>1236</v>
      </c>
      <c r="G711" t="str">
        <f>_xlfn.XLOOKUP(frasest[[#This Row],[author_es]],autorest[author_es],autorest[author_la])</f>
        <v>Sententia Vasconica</v>
      </c>
      <c r="H711" t="str">
        <f>_xlfn.XLOOKUP(frasest[[#This Row],[author_es]],autorest[author_es],autorest[bio_es])</f>
        <v>Proverbios de la tradición oral vasca que reflejan la relación con la naturaleza, el trabajo y los valores comunitarios del pueblo vasco.</v>
      </c>
      <c r="I711" t="str">
        <f>_xlfn.XLOOKUP(frasest[[#This Row],[author_es]],autorest[author_es],autorest[bio_la])</f>
        <v>Collectio sententiarum Vasconicarum.</v>
      </c>
      <c r="J711" t="str">
        <f>_xlfn.XLOOKUP(frasest[[#This Row],[author_es]],autorest[author_es],autorest[iso3691])</f>
        <v>eu</v>
      </c>
      <c r="K711" t="str">
        <f>_xlfn.XLOOKUP(frasest[[#This Row],[author_es]],autorest[author_es],autorest[language_es])</f>
        <v>Euskara</v>
      </c>
      <c r="L711" t="str">
        <f>_xlfn.XLOOKUP(frasest[[#This Row],[author_es]],autorest[author_es],autorest[language_la])</f>
        <v>Lingua Vasconica</v>
      </c>
      <c r="M711" t="str">
        <f>_xlfn.XLOOKUP(frasest[[#This Row],[author_es]],autorest[author_es],autorest[nation_es])</f>
        <v>España</v>
      </c>
      <c r="N711" t="str">
        <f>_xlfn.XLOOKUP(frasest[[#This Row],[author_es]],autorest[author_es],autorest[nation_la])</f>
        <v>Hispania</v>
      </c>
      <c r="O711" t="str">
        <f>_xlfn.XLOOKUP(frasest[[#This Row],[author_es]],autorest[author_es],autorest[age_es])</f>
        <v>Epoca Desconocida</v>
      </c>
      <c r="P711" t="str">
        <f>_xlfn.XLOOKUP(frasest[[#This Row],[author_es]],autorest[author_es],autorest[age_la])</f>
        <v>Epocha Ignota</v>
      </c>
      <c r="Q711" t="str">
        <f>_xlfn.XLOOKUP(frasest[[#This Row],[author_es]],autorest[author_es],autorest[image])</f>
        <v>https://i.ibb.co/bjgxB3kn/euskadi.png</v>
      </c>
      <c r="R711">
        <f>_xlfn.XLOOKUP(frasest[[#This Row],[author_es]],autorest[author_es],autorest[image_atr])</f>
        <v>0</v>
      </c>
    </row>
    <row r="712" spans="1:18">
      <c r="A712">
        <v>711</v>
      </c>
      <c r="B712" t="s">
        <v>2413</v>
      </c>
      <c r="C712" t="s">
        <v>2414</v>
      </c>
      <c r="D712" t="s">
        <v>2415</v>
      </c>
      <c r="E712" t="s">
        <v>1236</v>
      </c>
      <c r="G712" t="str">
        <f>_xlfn.XLOOKUP(frasest[[#This Row],[author_es]],autorest[author_es],autorest[author_la])</f>
        <v>Sententia Vasconica</v>
      </c>
      <c r="H712" t="str">
        <f>_xlfn.XLOOKUP(frasest[[#This Row],[author_es]],autorest[author_es],autorest[bio_es])</f>
        <v>Proverbios de la tradición oral vasca que reflejan la relación con la naturaleza, el trabajo y los valores comunitarios del pueblo vasco.</v>
      </c>
      <c r="I712" t="str">
        <f>_xlfn.XLOOKUP(frasest[[#This Row],[author_es]],autorest[author_es],autorest[bio_la])</f>
        <v>Collectio sententiarum Vasconicarum.</v>
      </c>
      <c r="J712" t="str">
        <f>_xlfn.XLOOKUP(frasest[[#This Row],[author_es]],autorest[author_es],autorest[iso3691])</f>
        <v>eu</v>
      </c>
      <c r="K712" t="str">
        <f>_xlfn.XLOOKUP(frasest[[#This Row],[author_es]],autorest[author_es],autorest[language_es])</f>
        <v>Euskara</v>
      </c>
      <c r="L712" t="str">
        <f>_xlfn.XLOOKUP(frasest[[#This Row],[author_es]],autorest[author_es],autorest[language_la])</f>
        <v>Lingua Vasconica</v>
      </c>
      <c r="M712" t="str">
        <f>_xlfn.XLOOKUP(frasest[[#This Row],[author_es]],autorest[author_es],autorest[nation_es])</f>
        <v>España</v>
      </c>
      <c r="N712" t="str">
        <f>_xlfn.XLOOKUP(frasest[[#This Row],[author_es]],autorest[author_es],autorest[nation_la])</f>
        <v>Hispania</v>
      </c>
      <c r="O712" t="str">
        <f>_xlfn.XLOOKUP(frasest[[#This Row],[author_es]],autorest[author_es],autorest[age_es])</f>
        <v>Epoca Desconocida</v>
      </c>
      <c r="P712" t="str">
        <f>_xlfn.XLOOKUP(frasest[[#This Row],[author_es]],autorest[author_es],autorest[age_la])</f>
        <v>Epocha Ignota</v>
      </c>
      <c r="Q712" t="str">
        <f>_xlfn.XLOOKUP(frasest[[#This Row],[author_es]],autorest[author_es],autorest[image])</f>
        <v>https://i.ibb.co/bjgxB3kn/euskadi.png</v>
      </c>
      <c r="R712">
        <f>_xlfn.XLOOKUP(frasest[[#This Row],[author_es]],autorest[author_es],autorest[image_atr])</f>
        <v>0</v>
      </c>
    </row>
    <row r="713" spans="1:18">
      <c r="A713">
        <v>712</v>
      </c>
      <c r="B713" t="s">
        <v>2416</v>
      </c>
      <c r="C713" t="s">
        <v>2417</v>
      </c>
      <c r="D713" t="s">
        <v>2418</v>
      </c>
      <c r="E713" t="s">
        <v>1236</v>
      </c>
      <c r="G713" t="str">
        <f>_xlfn.XLOOKUP(frasest[[#This Row],[author_es]],autorest[author_es],autorest[author_la])</f>
        <v>Sententia Vasconica</v>
      </c>
      <c r="H713" t="str">
        <f>_xlfn.XLOOKUP(frasest[[#This Row],[author_es]],autorest[author_es],autorest[bio_es])</f>
        <v>Proverbios de la tradición oral vasca que reflejan la relación con la naturaleza, el trabajo y los valores comunitarios del pueblo vasco.</v>
      </c>
      <c r="I713" t="str">
        <f>_xlfn.XLOOKUP(frasest[[#This Row],[author_es]],autorest[author_es],autorest[bio_la])</f>
        <v>Collectio sententiarum Vasconicarum.</v>
      </c>
      <c r="J713" t="str">
        <f>_xlfn.XLOOKUP(frasest[[#This Row],[author_es]],autorest[author_es],autorest[iso3691])</f>
        <v>eu</v>
      </c>
      <c r="K713" t="str">
        <f>_xlfn.XLOOKUP(frasest[[#This Row],[author_es]],autorest[author_es],autorest[language_es])</f>
        <v>Euskara</v>
      </c>
      <c r="L713" t="str">
        <f>_xlfn.XLOOKUP(frasest[[#This Row],[author_es]],autorest[author_es],autorest[language_la])</f>
        <v>Lingua Vasconica</v>
      </c>
      <c r="M713" t="str">
        <f>_xlfn.XLOOKUP(frasest[[#This Row],[author_es]],autorest[author_es],autorest[nation_es])</f>
        <v>España</v>
      </c>
      <c r="N713" t="str">
        <f>_xlfn.XLOOKUP(frasest[[#This Row],[author_es]],autorest[author_es],autorest[nation_la])</f>
        <v>Hispania</v>
      </c>
      <c r="O713" t="str">
        <f>_xlfn.XLOOKUP(frasest[[#This Row],[author_es]],autorest[author_es],autorest[age_es])</f>
        <v>Epoca Desconocida</v>
      </c>
      <c r="P713" t="str">
        <f>_xlfn.XLOOKUP(frasest[[#This Row],[author_es]],autorest[author_es],autorest[age_la])</f>
        <v>Epocha Ignota</v>
      </c>
      <c r="Q713" t="str">
        <f>_xlfn.XLOOKUP(frasest[[#This Row],[author_es]],autorest[author_es],autorest[image])</f>
        <v>https://i.ibb.co/bjgxB3kn/euskadi.png</v>
      </c>
      <c r="R713">
        <f>_xlfn.XLOOKUP(frasest[[#This Row],[author_es]],autorest[author_es],autorest[image_atr])</f>
        <v>0</v>
      </c>
    </row>
    <row r="714" spans="1:18">
      <c r="A714">
        <v>713</v>
      </c>
      <c r="B714" t="s">
        <v>2419</v>
      </c>
      <c r="C714" t="s">
        <v>2420</v>
      </c>
      <c r="D714" t="s">
        <v>2421</v>
      </c>
      <c r="E714" t="s">
        <v>1236</v>
      </c>
      <c r="G714" t="str">
        <f>_xlfn.XLOOKUP(frasest[[#This Row],[author_es]],autorest[author_es],autorest[author_la])</f>
        <v>Sententia Vasconica</v>
      </c>
      <c r="H714" t="str">
        <f>_xlfn.XLOOKUP(frasest[[#This Row],[author_es]],autorest[author_es],autorest[bio_es])</f>
        <v>Proverbios de la tradición oral vasca que reflejan la relación con la naturaleza, el trabajo y los valores comunitarios del pueblo vasco.</v>
      </c>
      <c r="I714" t="str">
        <f>_xlfn.XLOOKUP(frasest[[#This Row],[author_es]],autorest[author_es],autorest[bio_la])</f>
        <v>Collectio sententiarum Vasconicarum.</v>
      </c>
      <c r="J714" t="str">
        <f>_xlfn.XLOOKUP(frasest[[#This Row],[author_es]],autorest[author_es],autorest[iso3691])</f>
        <v>eu</v>
      </c>
      <c r="K714" t="str">
        <f>_xlfn.XLOOKUP(frasest[[#This Row],[author_es]],autorest[author_es],autorest[language_es])</f>
        <v>Euskara</v>
      </c>
      <c r="L714" t="str">
        <f>_xlfn.XLOOKUP(frasest[[#This Row],[author_es]],autorest[author_es],autorest[language_la])</f>
        <v>Lingua Vasconica</v>
      </c>
      <c r="M714" t="str">
        <f>_xlfn.XLOOKUP(frasest[[#This Row],[author_es]],autorest[author_es],autorest[nation_es])</f>
        <v>España</v>
      </c>
      <c r="N714" t="str">
        <f>_xlfn.XLOOKUP(frasest[[#This Row],[author_es]],autorest[author_es],autorest[nation_la])</f>
        <v>Hispania</v>
      </c>
      <c r="O714" t="str">
        <f>_xlfn.XLOOKUP(frasest[[#This Row],[author_es]],autorest[author_es],autorest[age_es])</f>
        <v>Epoca Desconocida</v>
      </c>
      <c r="P714" t="str">
        <f>_xlfn.XLOOKUP(frasest[[#This Row],[author_es]],autorest[author_es],autorest[age_la])</f>
        <v>Epocha Ignota</v>
      </c>
      <c r="Q714" t="str">
        <f>_xlfn.XLOOKUP(frasest[[#This Row],[author_es]],autorest[author_es],autorest[image])</f>
        <v>https://i.ibb.co/bjgxB3kn/euskadi.png</v>
      </c>
      <c r="R714">
        <f>_xlfn.XLOOKUP(frasest[[#This Row],[author_es]],autorest[author_es],autorest[image_atr])</f>
        <v>0</v>
      </c>
    </row>
    <row r="715" spans="1:18">
      <c r="A715">
        <v>714</v>
      </c>
      <c r="B715" t="s">
        <v>2422</v>
      </c>
      <c r="C715" t="s">
        <v>2423</v>
      </c>
      <c r="D715" t="s">
        <v>2424</v>
      </c>
      <c r="E715" t="s">
        <v>1236</v>
      </c>
      <c r="G715" t="str">
        <f>_xlfn.XLOOKUP(frasest[[#This Row],[author_es]],autorest[author_es],autorest[author_la])</f>
        <v>Sententia Vasconica</v>
      </c>
      <c r="H715" t="str">
        <f>_xlfn.XLOOKUP(frasest[[#This Row],[author_es]],autorest[author_es],autorest[bio_es])</f>
        <v>Proverbios de la tradición oral vasca que reflejan la relación con la naturaleza, el trabajo y los valores comunitarios del pueblo vasco.</v>
      </c>
      <c r="I715" t="str">
        <f>_xlfn.XLOOKUP(frasest[[#This Row],[author_es]],autorest[author_es],autorest[bio_la])</f>
        <v>Collectio sententiarum Vasconicarum.</v>
      </c>
      <c r="J715" t="str">
        <f>_xlfn.XLOOKUP(frasest[[#This Row],[author_es]],autorest[author_es],autorest[iso3691])</f>
        <v>eu</v>
      </c>
      <c r="K715" t="str">
        <f>_xlfn.XLOOKUP(frasest[[#This Row],[author_es]],autorest[author_es],autorest[language_es])</f>
        <v>Euskara</v>
      </c>
      <c r="L715" t="str">
        <f>_xlfn.XLOOKUP(frasest[[#This Row],[author_es]],autorest[author_es],autorest[language_la])</f>
        <v>Lingua Vasconica</v>
      </c>
      <c r="M715" t="str">
        <f>_xlfn.XLOOKUP(frasest[[#This Row],[author_es]],autorest[author_es],autorest[nation_es])</f>
        <v>España</v>
      </c>
      <c r="N715" t="str">
        <f>_xlfn.XLOOKUP(frasest[[#This Row],[author_es]],autorest[author_es],autorest[nation_la])</f>
        <v>Hispania</v>
      </c>
      <c r="O715" t="str">
        <f>_xlfn.XLOOKUP(frasest[[#This Row],[author_es]],autorest[author_es],autorest[age_es])</f>
        <v>Epoca Desconocida</v>
      </c>
      <c r="P715" t="str">
        <f>_xlfn.XLOOKUP(frasest[[#This Row],[author_es]],autorest[author_es],autorest[age_la])</f>
        <v>Epocha Ignota</v>
      </c>
      <c r="Q715" t="str">
        <f>_xlfn.XLOOKUP(frasest[[#This Row],[author_es]],autorest[author_es],autorest[image])</f>
        <v>https://i.ibb.co/bjgxB3kn/euskadi.png</v>
      </c>
      <c r="R715">
        <f>_xlfn.XLOOKUP(frasest[[#This Row],[author_es]],autorest[author_es],autorest[image_atr])</f>
        <v>0</v>
      </c>
    </row>
    <row r="716" spans="1:18">
      <c r="A716">
        <v>715</v>
      </c>
      <c r="B716" t="s">
        <v>2425</v>
      </c>
      <c r="C716" t="s">
        <v>2426</v>
      </c>
      <c r="D716" t="s">
        <v>2427</v>
      </c>
      <c r="E716" t="s">
        <v>1236</v>
      </c>
      <c r="G716" t="str">
        <f>_xlfn.XLOOKUP(frasest[[#This Row],[author_es]],autorest[author_es],autorest[author_la])</f>
        <v>Sententia Vasconica</v>
      </c>
      <c r="H716" t="str">
        <f>_xlfn.XLOOKUP(frasest[[#This Row],[author_es]],autorest[author_es],autorest[bio_es])</f>
        <v>Proverbios de la tradición oral vasca que reflejan la relación con la naturaleza, el trabajo y los valores comunitarios del pueblo vasco.</v>
      </c>
      <c r="I716" t="str">
        <f>_xlfn.XLOOKUP(frasest[[#This Row],[author_es]],autorest[author_es],autorest[bio_la])</f>
        <v>Collectio sententiarum Vasconicarum.</v>
      </c>
      <c r="J716" t="str">
        <f>_xlfn.XLOOKUP(frasest[[#This Row],[author_es]],autorest[author_es],autorest[iso3691])</f>
        <v>eu</v>
      </c>
      <c r="K716" t="str">
        <f>_xlfn.XLOOKUP(frasest[[#This Row],[author_es]],autorest[author_es],autorest[language_es])</f>
        <v>Euskara</v>
      </c>
      <c r="L716" t="str">
        <f>_xlfn.XLOOKUP(frasest[[#This Row],[author_es]],autorest[author_es],autorest[language_la])</f>
        <v>Lingua Vasconica</v>
      </c>
      <c r="M716" t="str">
        <f>_xlfn.XLOOKUP(frasest[[#This Row],[author_es]],autorest[author_es],autorest[nation_es])</f>
        <v>España</v>
      </c>
      <c r="N716" t="str">
        <f>_xlfn.XLOOKUP(frasest[[#This Row],[author_es]],autorest[author_es],autorest[nation_la])</f>
        <v>Hispania</v>
      </c>
      <c r="O716" t="str">
        <f>_xlfn.XLOOKUP(frasest[[#This Row],[author_es]],autorest[author_es],autorest[age_es])</f>
        <v>Epoca Desconocida</v>
      </c>
      <c r="P716" t="str">
        <f>_xlfn.XLOOKUP(frasest[[#This Row],[author_es]],autorest[author_es],autorest[age_la])</f>
        <v>Epocha Ignota</v>
      </c>
      <c r="Q716" t="str">
        <f>_xlfn.XLOOKUP(frasest[[#This Row],[author_es]],autorest[author_es],autorest[image])</f>
        <v>https://i.ibb.co/bjgxB3kn/euskadi.png</v>
      </c>
      <c r="R716">
        <f>_xlfn.XLOOKUP(frasest[[#This Row],[author_es]],autorest[author_es],autorest[image_atr])</f>
        <v>0</v>
      </c>
    </row>
    <row r="717" spans="1:18">
      <c r="A717">
        <v>716</v>
      </c>
      <c r="B717" t="s">
        <v>2428</v>
      </c>
      <c r="C717" t="s">
        <v>2429</v>
      </c>
      <c r="D717" t="s">
        <v>2430</v>
      </c>
      <c r="E717" t="s">
        <v>1236</v>
      </c>
      <c r="G717" t="str">
        <f>_xlfn.XLOOKUP(frasest[[#This Row],[author_es]],autorest[author_es],autorest[author_la])</f>
        <v>Sententia Vasconica</v>
      </c>
      <c r="H717" t="str">
        <f>_xlfn.XLOOKUP(frasest[[#This Row],[author_es]],autorest[author_es],autorest[bio_es])</f>
        <v>Proverbios de la tradición oral vasca que reflejan la relación con la naturaleza, el trabajo y los valores comunitarios del pueblo vasco.</v>
      </c>
      <c r="I717" t="str">
        <f>_xlfn.XLOOKUP(frasest[[#This Row],[author_es]],autorest[author_es],autorest[bio_la])</f>
        <v>Collectio sententiarum Vasconicarum.</v>
      </c>
      <c r="J717" t="str">
        <f>_xlfn.XLOOKUP(frasest[[#This Row],[author_es]],autorest[author_es],autorest[iso3691])</f>
        <v>eu</v>
      </c>
      <c r="K717" t="str">
        <f>_xlfn.XLOOKUP(frasest[[#This Row],[author_es]],autorest[author_es],autorest[language_es])</f>
        <v>Euskara</v>
      </c>
      <c r="L717" t="str">
        <f>_xlfn.XLOOKUP(frasest[[#This Row],[author_es]],autorest[author_es],autorest[language_la])</f>
        <v>Lingua Vasconica</v>
      </c>
      <c r="M717" t="str">
        <f>_xlfn.XLOOKUP(frasest[[#This Row],[author_es]],autorest[author_es],autorest[nation_es])</f>
        <v>España</v>
      </c>
      <c r="N717" t="str">
        <f>_xlfn.XLOOKUP(frasest[[#This Row],[author_es]],autorest[author_es],autorest[nation_la])</f>
        <v>Hispania</v>
      </c>
      <c r="O717" t="str">
        <f>_xlfn.XLOOKUP(frasest[[#This Row],[author_es]],autorest[author_es],autorest[age_es])</f>
        <v>Epoca Desconocida</v>
      </c>
      <c r="P717" t="str">
        <f>_xlfn.XLOOKUP(frasest[[#This Row],[author_es]],autorest[author_es],autorest[age_la])</f>
        <v>Epocha Ignota</v>
      </c>
      <c r="Q717" t="str">
        <f>_xlfn.XLOOKUP(frasest[[#This Row],[author_es]],autorest[author_es],autorest[image])</f>
        <v>https://i.ibb.co/bjgxB3kn/euskadi.png</v>
      </c>
      <c r="R717">
        <f>_xlfn.XLOOKUP(frasest[[#This Row],[author_es]],autorest[author_es],autorest[image_atr])</f>
        <v>0</v>
      </c>
    </row>
    <row r="718" spans="1:18">
      <c r="A718">
        <v>717</v>
      </c>
      <c r="B718" t="s">
        <v>2431</v>
      </c>
      <c r="C718" t="s">
        <v>2432</v>
      </c>
      <c r="D718" t="s">
        <v>2433</v>
      </c>
      <c r="E718" t="s">
        <v>1236</v>
      </c>
      <c r="G718" t="str">
        <f>_xlfn.XLOOKUP(frasest[[#This Row],[author_es]],autorest[author_es],autorest[author_la])</f>
        <v>Sententia Vasconica</v>
      </c>
      <c r="H718" t="str">
        <f>_xlfn.XLOOKUP(frasest[[#This Row],[author_es]],autorest[author_es],autorest[bio_es])</f>
        <v>Proverbios de la tradición oral vasca que reflejan la relación con la naturaleza, el trabajo y los valores comunitarios del pueblo vasco.</v>
      </c>
      <c r="I718" t="str">
        <f>_xlfn.XLOOKUP(frasest[[#This Row],[author_es]],autorest[author_es],autorest[bio_la])</f>
        <v>Collectio sententiarum Vasconicarum.</v>
      </c>
      <c r="J718" t="str">
        <f>_xlfn.XLOOKUP(frasest[[#This Row],[author_es]],autorest[author_es],autorest[iso3691])</f>
        <v>eu</v>
      </c>
      <c r="K718" t="str">
        <f>_xlfn.XLOOKUP(frasest[[#This Row],[author_es]],autorest[author_es],autorest[language_es])</f>
        <v>Euskara</v>
      </c>
      <c r="L718" t="str">
        <f>_xlfn.XLOOKUP(frasest[[#This Row],[author_es]],autorest[author_es],autorest[language_la])</f>
        <v>Lingua Vasconica</v>
      </c>
      <c r="M718" t="str">
        <f>_xlfn.XLOOKUP(frasest[[#This Row],[author_es]],autorest[author_es],autorest[nation_es])</f>
        <v>España</v>
      </c>
      <c r="N718" t="str">
        <f>_xlfn.XLOOKUP(frasest[[#This Row],[author_es]],autorest[author_es],autorest[nation_la])</f>
        <v>Hispania</v>
      </c>
      <c r="O718" t="str">
        <f>_xlfn.XLOOKUP(frasest[[#This Row],[author_es]],autorest[author_es],autorest[age_es])</f>
        <v>Epoca Desconocida</v>
      </c>
      <c r="P718" t="str">
        <f>_xlfn.XLOOKUP(frasest[[#This Row],[author_es]],autorest[author_es],autorest[age_la])</f>
        <v>Epocha Ignota</v>
      </c>
      <c r="Q718" t="str">
        <f>_xlfn.XLOOKUP(frasest[[#This Row],[author_es]],autorest[author_es],autorest[image])</f>
        <v>https://i.ibb.co/bjgxB3kn/euskadi.png</v>
      </c>
      <c r="R718">
        <f>_xlfn.XLOOKUP(frasest[[#This Row],[author_es]],autorest[author_es],autorest[image_atr])</f>
        <v>0</v>
      </c>
    </row>
    <row r="719" spans="1:18">
      <c r="A719">
        <v>718</v>
      </c>
      <c r="B719" t="s">
        <v>2434</v>
      </c>
      <c r="C719" t="s">
        <v>2435</v>
      </c>
      <c r="D719" t="s">
        <v>2436</v>
      </c>
      <c r="E719" t="s">
        <v>1236</v>
      </c>
      <c r="G719" t="str">
        <f>_xlfn.XLOOKUP(frasest[[#This Row],[author_es]],autorest[author_es],autorest[author_la])</f>
        <v>Sententia Vasconica</v>
      </c>
      <c r="H719" t="str">
        <f>_xlfn.XLOOKUP(frasest[[#This Row],[author_es]],autorest[author_es],autorest[bio_es])</f>
        <v>Proverbios de la tradición oral vasca que reflejan la relación con la naturaleza, el trabajo y los valores comunitarios del pueblo vasco.</v>
      </c>
      <c r="I719" t="str">
        <f>_xlfn.XLOOKUP(frasest[[#This Row],[author_es]],autorest[author_es],autorest[bio_la])</f>
        <v>Collectio sententiarum Vasconicarum.</v>
      </c>
      <c r="J719" t="str">
        <f>_xlfn.XLOOKUP(frasest[[#This Row],[author_es]],autorest[author_es],autorest[iso3691])</f>
        <v>eu</v>
      </c>
      <c r="K719" t="str">
        <f>_xlfn.XLOOKUP(frasest[[#This Row],[author_es]],autorest[author_es],autorest[language_es])</f>
        <v>Euskara</v>
      </c>
      <c r="L719" t="str">
        <f>_xlfn.XLOOKUP(frasest[[#This Row],[author_es]],autorest[author_es],autorest[language_la])</f>
        <v>Lingua Vasconica</v>
      </c>
      <c r="M719" t="str">
        <f>_xlfn.XLOOKUP(frasest[[#This Row],[author_es]],autorest[author_es],autorest[nation_es])</f>
        <v>España</v>
      </c>
      <c r="N719" t="str">
        <f>_xlfn.XLOOKUP(frasest[[#This Row],[author_es]],autorest[author_es],autorest[nation_la])</f>
        <v>Hispania</v>
      </c>
      <c r="O719" t="str">
        <f>_xlfn.XLOOKUP(frasest[[#This Row],[author_es]],autorest[author_es],autorest[age_es])</f>
        <v>Epoca Desconocida</v>
      </c>
      <c r="P719" t="str">
        <f>_xlfn.XLOOKUP(frasest[[#This Row],[author_es]],autorest[author_es],autorest[age_la])</f>
        <v>Epocha Ignota</v>
      </c>
      <c r="Q719" t="str">
        <f>_xlfn.XLOOKUP(frasest[[#This Row],[author_es]],autorest[author_es],autorest[image])</f>
        <v>https://i.ibb.co/bjgxB3kn/euskadi.png</v>
      </c>
      <c r="R719">
        <f>_xlfn.XLOOKUP(frasest[[#This Row],[author_es]],autorest[author_es],autorest[image_atr])</f>
        <v>0</v>
      </c>
    </row>
    <row r="720" spans="1:18">
      <c r="A720">
        <v>719</v>
      </c>
      <c r="B720" t="s">
        <v>2437</v>
      </c>
      <c r="C720" t="s">
        <v>2438</v>
      </c>
      <c r="D720" t="s">
        <v>2439</v>
      </c>
      <c r="E720" t="s">
        <v>1236</v>
      </c>
      <c r="G720" t="str">
        <f>_xlfn.XLOOKUP(frasest[[#This Row],[author_es]],autorest[author_es],autorest[author_la])</f>
        <v>Sententia Vasconica</v>
      </c>
      <c r="H720" t="str">
        <f>_xlfn.XLOOKUP(frasest[[#This Row],[author_es]],autorest[author_es],autorest[bio_es])</f>
        <v>Proverbios de la tradición oral vasca que reflejan la relación con la naturaleza, el trabajo y los valores comunitarios del pueblo vasco.</v>
      </c>
      <c r="I720" t="str">
        <f>_xlfn.XLOOKUP(frasest[[#This Row],[author_es]],autorest[author_es],autorest[bio_la])</f>
        <v>Collectio sententiarum Vasconicarum.</v>
      </c>
      <c r="J720" t="str">
        <f>_xlfn.XLOOKUP(frasest[[#This Row],[author_es]],autorest[author_es],autorest[iso3691])</f>
        <v>eu</v>
      </c>
      <c r="K720" t="str">
        <f>_xlfn.XLOOKUP(frasest[[#This Row],[author_es]],autorest[author_es],autorest[language_es])</f>
        <v>Euskara</v>
      </c>
      <c r="L720" t="str">
        <f>_xlfn.XLOOKUP(frasest[[#This Row],[author_es]],autorest[author_es],autorest[language_la])</f>
        <v>Lingua Vasconica</v>
      </c>
      <c r="M720" t="str">
        <f>_xlfn.XLOOKUP(frasest[[#This Row],[author_es]],autorest[author_es],autorest[nation_es])</f>
        <v>España</v>
      </c>
      <c r="N720" t="str">
        <f>_xlfn.XLOOKUP(frasest[[#This Row],[author_es]],autorest[author_es],autorest[nation_la])</f>
        <v>Hispania</v>
      </c>
      <c r="O720" t="str">
        <f>_xlfn.XLOOKUP(frasest[[#This Row],[author_es]],autorest[author_es],autorest[age_es])</f>
        <v>Epoca Desconocida</v>
      </c>
      <c r="P720" t="str">
        <f>_xlfn.XLOOKUP(frasest[[#This Row],[author_es]],autorest[author_es],autorest[age_la])</f>
        <v>Epocha Ignota</v>
      </c>
      <c r="Q720" t="str">
        <f>_xlfn.XLOOKUP(frasest[[#This Row],[author_es]],autorest[author_es],autorest[image])</f>
        <v>https://i.ibb.co/bjgxB3kn/euskadi.png</v>
      </c>
      <c r="R720">
        <f>_xlfn.XLOOKUP(frasest[[#This Row],[author_es]],autorest[author_es],autorest[image_atr])</f>
        <v>0</v>
      </c>
    </row>
    <row r="721" spans="1:18">
      <c r="A721">
        <v>720</v>
      </c>
      <c r="B721" t="s">
        <v>2440</v>
      </c>
      <c r="C721" t="s">
        <v>2441</v>
      </c>
      <c r="D721" t="s">
        <v>2442</v>
      </c>
      <c r="E721" t="s">
        <v>1236</v>
      </c>
      <c r="G721" t="str">
        <f>_xlfn.XLOOKUP(frasest[[#This Row],[author_es]],autorest[author_es],autorest[author_la])</f>
        <v>Sententia Vasconica</v>
      </c>
      <c r="H721" t="str">
        <f>_xlfn.XLOOKUP(frasest[[#This Row],[author_es]],autorest[author_es],autorest[bio_es])</f>
        <v>Proverbios de la tradición oral vasca que reflejan la relación con la naturaleza, el trabajo y los valores comunitarios del pueblo vasco.</v>
      </c>
      <c r="I721" t="str">
        <f>_xlfn.XLOOKUP(frasest[[#This Row],[author_es]],autorest[author_es],autorest[bio_la])</f>
        <v>Collectio sententiarum Vasconicarum.</v>
      </c>
      <c r="J721" t="str">
        <f>_xlfn.XLOOKUP(frasest[[#This Row],[author_es]],autorest[author_es],autorest[iso3691])</f>
        <v>eu</v>
      </c>
      <c r="K721" t="str">
        <f>_xlfn.XLOOKUP(frasest[[#This Row],[author_es]],autorest[author_es],autorest[language_es])</f>
        <v>Euskara</v>
      </c>
      <c r="L721" t="str">
        <f>_xlfn.XLOOKUP(frasest[[#This Row],[author_es]],autorest[author_es],autorest[language_la])</f>
        <v>Lingua Vasconica</v>
      </c>
      <c r="M721" t="str">
        <f>_xlfn.XLOOKUP(frasest[[#This Row],[author_es]],autorest[author_es],autorest[nation_es])</f>
        <v>España</v>
      </c>
      <c r="N721" t="str">
        <f>_xlfn.XLOOKUP(frasest[[#This Row],[author_es]],autorest[author_es],autorest[nation_la])</f>
        <v>Hispania</v>
      </c>
      <c r="O721" t="str">
        <f>_xlfn.XLOOKUP(frasest[[#This Row],[author_es]],autorest[author_es],autorest[age_es])</f>
        <v>Epoca Desconocida</v>
      </c>
      <c r="P721" t="str">
        <f>_xlfn.XLOOKUP(frasest[[#This Row],[author_es]],autorest[author_es],autorest[age_la])</f>
        <v>Epocha Ignota</v>
      </c>
      <c r="Q721" t="str">
        <f>_xlfn.XLOOKUP(frasest[[#This Row],[author_es]],autorest[author_es],autorest[image])</f>
        <v>https://i.ibb.co/bjgxB3kn/euskadi.png</v>
      </c>
      <c r="R721">
        <f>_xlfn.XLOOKUP(frasest[[#This Row],[author_es]],autorest[author_es],autorest[image_atr])</f>
        <v>0</v>
      </c>
    </row>
    <row r="722" spans="1:18">
      <c r="A722">
        <v>721</v>
      </c>
      <c r="B722" t="s">
        <v>2443</v>
      </c>
      <c r="C722" t="s">
        <v>2444</v>
      </c>
      <c r="D722" t="s">
        <v>2445</v>
      </c>
      <c r="E722" t="s">
        <v>1236</v>
      </c>
      <c r="G722" t="str">
        <f>_xlfn.XLOOKUP(frasest[[#This Row],[author_es]],autorest[author_es],autorest[author_la])</f>
        <v>Sententia Vasconica</v>
      </c>
      <c r="H722" t="str">
        <f>_xlfn.XLOOKUP(frasest[[#This Row],[author_es]],autorest[author_es],autorest[bio_es])</f>
        <v>Proverbios de la tradición oral vasca que reflejan la relación con la naturaleza, el trabajo y los valores comunitarios del pueblo vasco.</v>
      </c>
      <c r="I722" t="str">
        <f>_xlfn.XLOOKUP(frasest[[#This Row],[author_es]],autorest[author_es],autorest[bio_la])</f>
        <v>Collectio sententiarum Vasconicarum.</v>
      </c>
      <c r="J722" t="str">
        <f>_xlfn.XLOOKUP(frasest[[#This Row],[author_es]],autorest[author_es],autorest[iso3691])</f>
        <v>eu</v>
      </c>
      <c r="K722" t="str">
        <f>_xlfn.XLOOKUP(frasest[[#This Row],[author_es]],autorest[author_es],autorest[language_es])</f>
        <v>Euskara</v>
      </c>
      <c r="L722" t="str">
        <f>_xlfn.XLOOKUP(frasest[[#This Row],[author_es]],autorest[author_es],autorest[language_la])</f>
        <v>Lingua Vasconica</v>
      </c>
      <c r="M722" t="str">
        <f>_xlfn.XLOOKUP(frasest[[#This Row],[author_es]],autorest[author_es],autorest[nation_es])</f>
        <v>España</v>
      </c>
      <c r="N722" t="str">
        <f>_xlfn.XLOOKUP(frasest[[#This Row],[author_es]],autorest[author_es],autorest[nation_la])</f>
        <v>Hispania</v>
      </c>
      <c r="O722" t="str">
        <f>_xlfn.XLOOKUP(frasest[[#This Row],[author_es]],autorest[author_es],autorest[age_es])</f>
        <v>Epoca Desconocida</v>
      </c>
      <c r="P722" t="str">
        <f>_xlfn.XLOOKUP(frasest[[#This Row],[author_es]],autorest[author_es],autorest[age_la])</f>
        <v>Epocha Ignota</v>
      </c>
      <c r="Q722" t="str">
        <f>_xlfn.XLOOKUP(frasest[[#This Row],[author_es]],autorest[author_es],autorest[image])</f>
        <v>https://i.ibb.co/bjgxB3kn/euskadi.png</v>
      </c>
      <c r="R722">
        <f>_xlfn.XLOOKUP(frasest[[#This Row],[author_es]],autorest[author_es],autorest[image_atr])</f>
        <v>0</v>
      </c>
    </row>
    <row r="723" spans="1:18">
      <c r="A723">
        <v>722</v>
      </c>
      <c r="B723" t="s">
        <v>2446</v>
      </c>
      <c r="C723" t="s">
        <v>2447</v>
      </c>
      <c r="D723" t="s">
        <v>2448</v>
      </c>
      <c r="E723" t="s">
        <v>1236</v>
      </c>
      <c r="G723" t="str">
        <f>_xlfn.XLOOKUP(frasest[[#This Row],[author_es]],autorest[author_es],autorest[author_la])</f>
        <v>Sententia Vasconica</v>
      </c>
      <c r="H723" t="str">
        <f>_xlfn.XLOOKUP(frasest[[#This Row],[author_es]],autorest[author_es],autorest[bio_es])</f>
        <v>Proverbios de la tradición oral vasca que reflejan la relación con la naturaleza, el trabajo y los valores comunitarios del pueblo vasco.</v>
      </c>
      <c r="I723" t="str">
        <f>_xlfn.XLOOKUP(frasest[[#This Row],[author_es]],autorest[author_es],autorest[bio_la])</f>
        <v>Collectio sententiarum Vasconicarum.</v>
      </c>
      <c r="J723" t="str">
        <f>_xlfn.XLOOKUP(frasest[[#This Row],[author_es]],autorest[author_es],autorest[iso3691])</f>
        <v>eu</v>
      </c>
      <c r="K723" t="str">
        <f>_xlfn.XLOOKUP(frasest[[#This Row],[author_es]],autorest[author_es],autorest[language_es])</f>
        <v>Euskara</v>
      </c>
      <c r="L723" t="str">
        <f>_xlfn.XLOOKUP(frasest[[#This Row],[author_es]],autorest[author_es],autorest[language_la])</f>
        <v>Lingua Vasconica</v>
      </c>
      <c r="M723" t="str">
        <f>_xlfn.XLOOKUP(frasest[[#This Row],[author_es]],autorest[author_es],autorest[nation_es])</f>
        <v>España</v>
      </c>
      <c r="N723" t="str">
        <f>_xlfn.XLOOKUP(frasest[[#This Row],[author_es]],autorest[author_es],autorest[nation_la])</f>
        <v>Hispania</v>
      </c>
      <c r="O723" t="str">
        <f>_xlfn.XLOOKUP(frasest[[#This Row],[author_es]],autorest[author_es],autorest[age_es])</f>
        <v>Epoca Desconocida</v>
      </c>
      <c r="P723" t="str">
        <f>_xlfn.XLOOKUP(frasest[[#This Row],[author_es]],autorest[author_es],autorest[age_la])</f>
        <v>Epocha Ignota</v>
      </c>
      <c r="Q723" t="str">
        <f>_xlfn.XLOOKUP(frasest[[#This Row],[author_es]],autorest[author_es],autorest[image])</f>
        <v>https://i.ibb.co/bjgxB3kn/euskadi.png</v>
      </c>
      <c r="R723">
        <f>_xlfn.XLOOKUP(frasest[[#This Row],[author_es]],autorest[author_es],autorest[image_atr])</f>
        <v>0</v>
      </c>
    </row>
    <row r="724" spans="1:18">
      <c r="A724">
        <v>723</v>
      </c>
      <c r="B724" t="s">
        <v>2449</v>
      </c>
      <c r="C724" t="s">
        <v>2450</v>
      </c>
      <c r="D724" t="s">
        <v>2451</v>
      </c>
      <c r="E724" t="s">
        <v>1236</v>
      </c>
      <c r="G724" t="str">
        <f>_xlfn.XLOOKUP(frasest[[#This Row],[author_es]],autorest[author_es],autorest[author_la])</f>
        <v>Sententia Vasconica</v>
      </c>
      <c r="H724" t="str">
        <f>_xlfn.XLOOKUP(frasest[[#This Row],[author_es]],autorest[author_es],autorest[bio_es])</f>
        <v>Proverbios de la tradición oral vasca que reflejan la relación con la naturaleza, el trabajo y los valores comunitarios del pueblo vasco.</v>
      </c>
      <c r="I724" t="str">
        <f>_xlfn.XLOOKUP(frasest[[#This Row],[author_es]],autorest[author_es],autorest[bio_la])</f>
        <v>Collectio sententiarum Vasconicarum.</v>
      </c>
      <c r="J724" t="str">
        <f>_xlfn.XLOOKUP(frasest[[#This Row],[author_es]],autorest[author_es],autorest[iso3691])</f>
        <v>eu</v>
      </c>
      <c r="K724" t="str">
        <f>_xlfn.XLOOKUP(frasest[[#This Row],[author_es]],autorest[author_es],autorest[language_es])</f>
        <v>Euskara</v>
      </c>
      <c r="L724" t="str">
        <f>_xlfn.XLOOKUP(frasest[[#This Row],[author_es]],autorest[author_es],autorest[language_la])</f>
        <v>Lingua Vasconica</v>
      </c>
      <c r="M724" t="str">
        <f>_xlfn.XLOOKUP(frasest[[#This Row],[author_es]],autorest[author_es],autorest[nation_es])</f>
        <v>España</v>
      </c>
      <c r="N724" t="str">
        <f>_xlfn.XLOOKUP(frasest[[#This Row],[author_es]],autorest[author_es],autorest[nation_la])</f>
        <v>Hispania</v>
      </c>
      <c r="O724" t="str">
        <f>_xlfn.XLOOKUP(frasest[[#This Row],[author_es]],autorest[author_es],autorest[age_es])</f>
        <v>Epoca Desconocida</v>
      </c>
      <c r="P724" t="str">
        <f>_xlfn.XLOOKUP(frasest[[#This Row],[author_es]],autorest[author_es],autorest[age_la])</f>
        <v>Epocha Ignota</v>
      </c>
      <c r="Q724" t="str">
        <f>_xlfn.XLOOKUP(frasest[[#This Row],[author_es]],autorest[author_es],autorest[image])</f>
        <v>https://i.ibb.co/bjgxB3kn/euskadi.png</v>
      </c>
      <c r="R724">
        <f>_xlfn.XLOOKUP(frasest[[#This Row],[author_es]],autorest[author_es],autorest[image_atr])</f>
        <v>0</v>
      </c>
    </row>
    <row r="725" spans="1:18">
      <c r="A725">
        <v>724</v>
      </c>
      <c r="B725" t="s">
        <v>2452</v>
      </c>
      <c r="C725" t="s">
        <v>2453</v>
      </c>
      <c r="D725" t="s">
        <v>2454</v>
      </c>
      <c r="E725" t="s">
        <v>1236</v>
      </c>
      <c r="G725" t="str">
        <f>_xlfn.XLOOKUP(frasest[[#This Row],[author_es]],autorest[author_es],autorest[author_la])</f>
        <v>Sententia Vasconica</v>
      </c>
      <c r="H725" t="str">
        <f>_xlfn.XLOOKUP(frasest[[#This Row],[author_es]],autorest[author_es],autorest[bio_es])</f>
        <v>Proverbios de la tradición oral vasca que reflejan la relación con la naturaleza, el trabajo y los valores comunitarios del pueblo vasco.</v>
      </c>
      <c r="I725" t="str">
        <f>_xlfn.XLOOKUP(frasest[[#This Row],[author_es]],autorest[author_es],autorest[bio_la])</f>
        <v>Collectio sententiarum Vasconicarum.</v>
      </c>
      <c r="J725" t="str">
        <f>_xlfn.XLOOKUP(frasest[[#This Row],[author_es]],autorest[author_es],autorest[iso3691])</f>
        <v>eu</v>
      </c>
      <c r="K725" t="str">
        <f>_xlfn.XLOOKUP(frasest[[#This Row],[author_es]],autorest[author_es],autorest[language_es])</f>
        <v>Euskara</v>
      </c>
      <c r="L725" t="str">
        <f>_xlfn.XLOOKUP(frasest[[#This Row],[author_es]],autorest[author_es],autorest[language_la])</f>
        <v>Lingua Vasconica</v>
      </c>
      <c r="M725" t="str">
        <f>_xlfn.XLOOKUP(frasest[[#This Row],[author_es]],autorest[author_es],autorest[nation_es])</f>
        <v>España</v>
      </c>
      <c r="N725" t="str">
        <f>_xlfn.XLOOKUP(frasest[[#This Row],[author_es]],autorest[author_es],autorest[nation_la])</f>
        <v>Hispania</v>
      </c>
      <c r="O725" t="str">
        <f>_xlfn.XLOOKUP(frasest[[#This Row],[author_es]],autorest[author_es],autorest[age_es])</f>
        <v>Epoca Desconocida</v>
      </c>
      <c r="P725" t="str">
        <f>_xlfn.XLOOKUP(frasest[[#This Row],[author_es]],autorest[author_es],autorest[age_la])</f>
        <v>Epocha Ignota</v>
      </c>
      <c r="Q725" t="str">
        <f>_xlfn.XLOOKUP(frasest[[#This Row],[author_es]],autorest[author_es],autorest[image])</f>
        <v>https://i.ibb.co/bjgxB3kn/euskadi.png</v>
      </c>
      <c r="R725">
        <f>_xlfn.XLOOKUP(frasest[[#This Row],[author_es]],autorest[author_es],autorest[image_atr])</f>
        <v>0</v>
      </c>
    </row>
    <row r="726" spans="1:18">
      <c r="A726">
        <v>725</v>
      </c>
      <c r="B726" t="s">
        <v>2455</v>
      </c>
      <c r="C726" t="s">
        <v>2456</v>
      </c>
      <c r="D726" t="s">
        <v>2457</v>
      </c>
      <c r="E726" t="s">
        <v>1236</v>
      </c>
      <c r="G726" t="str">
        <f>_xlfn.XLOOKUP(frasest[[#This Row],[author_es]],autorest[author_es],autorest[author_la])</f>
        <v>Sententia Vasconica</v>
      </c>
      <c r="H726" t="str">
        <f>_xlfn.XLOOKUP(frasest[[#This Row],[author_es]],autorest[author_es],autorest[bio_es])</f>
        <v>Proverbios de la tradición oral vasca que reflejan la relación con la naturaleza, el trabajo y los valores comunitarios del pueblo vasco.</v>
      </c>
      <c r="I726" t="str">
        <f>_xlfn.XLOOKUP(frasest[[#This Row],[author_es]],autorest[author_es],autorest[bio_la])</f>
        <v>Collectio sententiarum Vasconicarum.</v>
      </c>
      <c r="J726" t="str">
        <f>_xlfn.XLOOKUP(frasest[[#This Row],[author_es]],autorest[author_es],autorest[iso3691])</f>
        <v>eu</v>
      </c>
      <c r="K726" t="str">
        <f>_xlfn.XLOOKUP(frasest[[#This Row],[author_es]],autorest[author_es],autorest[language_es])</f>
        <v>Euskara</v>
      </c>
      <c r="L726" t="str">
        <f>_xlfn.XLOOKUP(frasest[[#This Row],[author_es]],autorest[author_es],autorest[language_la])</f>
        <v>Lingua Vasconica</v>
      </c>
      <c r="M726" t="str">
        <f>_xlfn.XLOOKUP(frasest[[#This Row],[author_es]],autorest[author_es],autorest[nation_es])</f>
        <v>España</v>
      </c>
      <c r="N726" t="str">
        <f>_xlfn.XLOOKUP(frasest[[#This Row],[author_es]],autorest[author_es],autorest[nation_la])</f>
        <v>Hispania</v>
      </c>
      <c r="O726" t="str">
        <f>_xlfn.XLOOKUP(frasest[[#This Row],[author_es]],autorest[author_es],autorest[age_es])</f>
        <v>Epoca Desconocida</v>
      </c>
      <c r="P726" t="str">
        <f>_xlfn.XLOOKUP(frasest[[#This Row],[author_es]],autorest[author_es],autorest[age_la])</f>
        <v>Epocha Ignota</v>
      </c>
      <c r="Q726" t="str">
        <f>_xlfn.XLOOKUP(frasest[[#This Row],[author_es]],autorest[author_es],autorest[image])</f>
        <v>https://i.ibb.co/bjgxB3kn/euskadi.png</v>
      </c>
      <c r="R726">
        <f>_xlfn.XLOOKUP(frasest[[#This Row],[author_es]],autorest[author_es],autorest[image_atr])</f>
        <v>0</v>
      </c>
    </row>
    <row r="727" spans="1:18">
      <c r="A727">
        <v>726</v>
      </c>
      <c r="B727" t="s">
        <v>2458</v>
      </c>
      <c r="C727" t="s">
        <v>2459</v>
      </c>
      <c r="D727" t="s">
        <v>2460</v>
      </c>
      <c r="E727" t="s">
        <v>1236</v>
      </c>
      <c r="G727" t="str">
        <f>_xlfn.XLOOKUP(frasest[[#This Row],[author_es]],autorest[author_es],autorest[author_la])</f>
        <v>Sententia Vasconica</v>
      </c>
      <c r="H727" t="str">
        <f>_xlfn.XLOOKUP(frasest[[#This Row],[author_es]],autorest[author_es],autorest[bio_es])</f>
        <v>Proverbios de la tradición oral vasca que reflejan la relación con la naturaleza, el trabajo y los valores comunitarios del pueblo vasco.</v>
      </c>
      <c r="I727" t="str">
        <f>_xlfn.XLOOKUP(frasest[[#This Row],[author_es]],autorest[author_es],autorest[bio_la])</f>
        <v>Collectio sententiarum Vasconicarum.</v>
      </c>
      <c r="J727" t="str">
        <f>_xlfn.XLOOKUP(frasest[[#This Row],[author_es]],autorest[author_es],autorest[iso3691])</f>
        <v>eu</v>
      </c>
      <c r="K727" t="str">
        <f>_xlfn.XLOOKUP(frasest[[#This Row],[author_es]],autorest[author_es],autorest[language_es])</f>
        <v>Euskara</v>
      </c>
      <c r="L727" t="str">
        <f>_xlfn.XLOOKUP(frasest[[#This Row],[author_es]],autorest[author_es],autorest[language_la])</f>
        <v>Lingua Vasconica</v>
      </c>
      <c r="M727" t="str">
        <f>_xlfn.XLOOKUP(frasest[[#This Row],[author_es]],autorest[author_es],autorest[nation_es])</f>
        <v>España</v>
      </c>
      <c r="N727" t="str">
        <f>_xlfn.XLOOKUP(frasest[[#This Row],[author_es]],autorest[author_es],autorest[nation_la])</f>
        <v>Hispania</v>
      </c>
      <c r="O727" t="str">
        <f>_xlfn.XLOOKUP(frasest[[#This Row],[author_es]],autorest[author_es],autorest[age_es])</f>
        <v>Epoca Desconocida</v>
      </c>
      <c r="P727" t="str">
        <f>_xlfn.XLOOKUP(frasest[[#This Row],[author_es]],autorest[author_es],autorest[age_la])</f>
        <v>Epocha Ignota</v>
      </c>
      <c r="Q727" t="str">
        <f>_xlfn.XLOOKUP(frasest[[#This Row],[author_es]],autorest[author_es],autorest[image])</f>
        <v>https://i.ibb.co/bjgxB3kn/euskadi.png</v>
      </c>
      <c r="R727">
        <f>_xlfn.XLOOKUP(frasest[[#This Row],[author_es]],autorest[author_es],autorest[image_atr])</f>
        <v>0</v>
      </c>
    </row>
    <row r="728" spans="1:18">
      <c r="A728">
        <v>727</v>
      </c>
      <c r="B728" t="s">
        <v>2461</v>
      </c>
      <c r="C728" t="s">
        <v>2462</v>
      </c>
      <c r="D728" t="s">
        <v>2463</v>
      </c>
      <c r="E728" t="s">
        <v>1236</v>
      </c>
      <c r="G728" t="str">
        <f>_xlfn.XLOOKUP(frasest[[#This Row],[author_es]],autorest[author_es],autorest[author_la])</f>
        <v>Sententia Vasconica</v>
      </c>
      <c r="H728" t="str">
        <f>_xlfn.XLOOKUP(frasest[[#This Row],[author_es]],autorest[author_es],autorest[bio_es])</f>
        <v>Proverbios de la tradición oral vasca que reflejan la relación con la naturaleza, el trabajo y los valores comunitarios del pueblo vasco.</v>
      </c>
      <c r="I728" t="str">
        <f>_xlfn.XLOOKUP(frasest[[#This Row],[author_es]],autorest[author_es],autorest[bio_la])</f>
        <v>Collectio sententiarum Vasconicarum.</v>
      </c>
      <c r="J728" t="str">
        <f>_xlfn.XLOOKUP(frasest[[#This Row],[author_es]],autorest[author_es],autorest[iso3691])</f>
        <v>eu</v>
      </c>
      <c r="K728" t="str">
        <f>_xlfn.XLOOKUP(frasest[[#This Row],[author_es]],autorest[author_es],autorest[language_es])</f>
        <v>Euskara</v>
      </c>
      <c r="L728" t="str">
        <f>_xlfn.XLOOKUP(frasest[[#This Row],[author_es]],autorest[author_es],autorest[language_la])</f>
        <v>Lingua Vasconica</v>
      </c>
      <c r="M728" t="str">
        <f>_xlfn.XLOOKUP(frasest[[#This Row],[author_es]],autorest[author_es],autorest[nation_es])</f>
        <v>España</v>
      </c>
      <c r="N728" t="str">
        <f>_xlfn.XLOOKUP(frasest[[#This Row],[author_es]],autorest[author_es],autorest[nation_la])</f>
        <v>Hispania</v>
      </c>
      <c r="O728" t="str">
        <f>_xlfn.XLOOKUP(frasest[[#This Row],[author_es]],autorest[author_es],autorest[age_es])</f>
        <v>Epoca Desconocida</v>
      </c>
      <c r="P728" t="str">
        <f>_xlfn.XLOOKUP(frasest[[#This Row],[author_es]],autorest[author_es],autorest[age_la])</f>
        <v>Epocha Ignota</v>
      </c>
      <c r="Q728" t="str">
        <f>_xlfn.XLOOKUP(frasest[[#This Row],[author_es]],autorest[author_es],autorest[image])</f>
        <v>https://i.ibb.co/bjgxB3kn/euskadi.png</v>
      </c>
      <c r="R728">
        <f>_xlfn.XLOOKUP(frasest[[#This Row],[author_es]],autorest[author_es],autorest[image_atr])</f>
        <v>0</v>
      </c>
    </row>
    <row r="729" spans="1:18">
      <c r="A729">
        <v>728</v>
      </c>
      <c r="B729" t="s">
        <v>2464</v>
      </c>
      <c r="C729" t="s">
        <v>2465</v>
      </c>
      <c r="D729" t="s">
        <v>2466</v>
      </c>
      <c r="E729" t="s">
        <v>1236</v>
      </c>
      <c r="G729" t="str">
        <f>_xlfn.XLOOKUP(frasest[[#This Row],[author_es]],autorest[author_es],autorest[author_la])</f>
        <v>Sententia Vasconica</v>
      </c>
      <c r="H729" t="str">
        <f>_xlfn.XLOOKUP(frasest[[#This Row],[author_es]],autorest[author_es],autorest[bio_es])</f>
        <v>Proverbios de la tradición oral vasca que reflejan la relación con la naturaleza, el trabajo y los valores comunitarios del pueblo vasco.</v>
      </c>
      <c r="I729" t="str">
        <f>_xlfn.XLOOKUP(frasest[[#This Row],[author_es]],autorest[author_es],autorest[bio_la])</f>
        <v>Collectio sententiarum Vasconicarum.</v>
      </c>
      <c r="J729" t="str">
        <f>_xlfn.XLOOKUP(frasest[[#This Row],[author_es]],autorest[author_es],autorest[iso3691])</f>
        <v>eu</v>
      </c>
      <c r="K729" t="str">
        <f>_xlfn.XLOOKUP(frasest[[#This Row],[author_es]],autorest[author_es],autorest[language_es])</f>
        <v>Euskara</v>
      </c>
      <c r="L729" t="str">
        <f>_xlfn.XLOOKUP(frasest[[#This Row],[author_es]],autorest[author_es],autorest[language_la])</f>
        <v>Lingua Vasconica</v>
      </c>
      <c r="M729" t="str">
        <f>_xlfn.XLOOKUP(frasest[[#This Row],[author_es]],autorest[author_es],autorest[nation_es])</f>
        <v>España</v>
      </c>
      <c r="N729" t="str">
        <f>_xlfn.XLOOKUP(frasest[[#This Row],[author_es]],autorest[author_es],autorest[nation_la])</f>
        <v>Hispania</v>
      </c>
      <c r="O729" t="str">
        <f>_xlfn.XLOOKUP(frasest[[#This Row],[author_es]],autorest[author_es],autorest[age_es])</f>
        <v>Epoca Desconocida</v>
      </c>
      <c r="P729" t="str">
        <f>_xlfn.XLOOKUP(frasest[[#This Row],[author_es]],autorest[author_es],autorest[age_la])</f>
        <v>Epocha Ignota</v>
      </c>
      <c r="Q729" t="str">
        <f>_xlfn.XLOOKUP(frasest[[#This Row],[author_es]],autorest[author_es],autorest[image])</f>
        <v>https://i.ibb.co/bjgxB3kn/euskadi.png</v>
      </c>
      <c r="R729">
        <f>_xlfn.XLOOKUP(frasest[[#This Row],[author_es]],autorest[author_es],autorest[image_atr])</f>
        <v>0</v>
      </c>
    </row>
    <row r="730" spans="1:18">
      <c r="A730">
        <v>729</v>
      </c>
      <c r="B730" t="s">
        <v>2467</v>
      </c>
      <c r="C730" t="s">
        <v>2468</v>
      </c>
      <c r="D730" t="s">
        <v>2469</v>
      </c>
      <c r="E730" t="s">
        <v>1236</v>
      </c>
      <c r="G730" t="str">
        <f>_xlfn.XLOOKUP(frasest[[#This Row],[author_es]],autorest[author_es],autorest[author_la])</f>
        <v>Sententia Vasconica</v>
      </c>
      <c r="H730" t="str">
        <f>_xlfn.XLOOKUP(frasest[[#This Row],[author_es]],autorest[author_es],autorest[bio_es])</f>
        <v>Proverbios de la tradición oral vasca que reflejan la relación con la naturaleza, el trabajo y los valores comunitarios del pueblo vasco.</v>
      </c>
      <c r="I730" t="str">
        <f>_xlfn.XLOOKUP(frasest[[#This Row],[author_es]],autorest[author_es],autorest[bio_la])</f>
        <v>Collectio sententiarum Vasconicarum.</v>
      </c>
      <c r="J730" t="str">
        <f>_xlfn.XLOOKUP(frasest[[#This Row],[author_es]],autorest[author_es],autorest[iso3691])</f>
        <v>eu</v>
      </c>
      <c r="K730" t="str">
        <f>_xlfn.XLOOKUP(frasest[[#This Row],[author_es]],autorest[author_es],autorest[language_es])</f>
        <v>Euskara</v>
      </c>
      <c r="L730" t="str">
        <f>_xlfn.XLOOKUP(frasest[[#This Row],[author_es]],autorest[author_es],autorest[language_la])</f>
        <v>Lingua Vasconica</v>
      </c>
      <c r="M730" t="str">
        <f>_xlfn.XLOOKUP(frasest[[#This Row],[author_es]],autorest[author_es],autorest[nation_es])</f>
        <v>España</v>
      </c>
      <c r="N730" t="str">
        <f>_xlfn.XLOOKUP(frasest[[#This Row],[author_es]],autorest[author_es],autorest[nation_la])</f>
        <v>Hispania</v>
      </c>
      <c r="O730" t="str">
        <f>_xlfn.XLOOKUP(frasest[[#This Row],[author_es]],autorest[author_es],autorest[age_es])</f>
        <v>Epoca Desconocida</v>
      </c>
      <c r="P730" t="str">
        <f>_xlfn.XLOOKUP(frasest[[#This Row],[author_es]],autorest[author_es],autorest[age_la])</f>
        <v>Epocha Ignota</v>
      </c>
      <c r="Q730" t="str">
        <f>_xlfn.XLOOKUP(frasest[[#This Row],[author_es]],autorest[author_es],autorest[image])</f>
        <v>https://i.ibb.co/bjgxB3kn/euskadi.png</v>
      </c>
      <c r="R730">
        <f>_xlfn.XLOOKUP(frasest[[#This Row],[author_es]],autorest[author_es],autorest[image_atr])</f>
        <v>0</v>
      </c>
    </row>
    <row r="731" spans="1:18">
      <c r="A731">
        <v>730</v>
      </c>
      <c r="B731" t="s">
        <v>2470</v>
      </c>
      <c r="C731" t="s">
        <v>2471</v>
      </c>
      <c r="D731" t="s">
        <v>2472</v>
      </c>
      <c r="E731" t="s">
        <v>1236</v>
      </c>
      <c r="G731" t="str">
        <f>_xlfn.XLOOKUP(frasest[[#This Row],[author_es]],autorest[author_es],autorest[author_la])</f>
        <v>Sententia Vasconica</v>
      </c>
      <c r="H731" t="str">
        <f>_xlfn.XLOOKUP(frasest[[#This Row],[author_es]],autorest[author_es],autorest[bio_es])</f>
        <v>Proverbios de la tradición oral vasca que reflejan la relación con la naturaleza, el trabajo y los valores comunitarios del pueblo vasco.</v>
      </c>
      <c r="I731" t="str">
        <f>_xlfn.XLOOKUP(frasest[[#This Row],[author_es]],autorest[author_es],autorest[bio_la])</f>
        <v>Collectio sententiarum Vasconicarum.</v>
      </c>
      <c r="J731" t="str">
        <f>_xlfn.XLOOKUP(frasest[[#This Row],[author_es]],autorest[author_es],autorest[iso3691])</f>
        <v>eu</v>
      </c>
      <c r="K731" t="str">
        <f>_xlfn.XLOOKUP(frasest[[#This Row],[author_es]],autorest[author_es],autorest[language_es])</f>
        <v>Euskara</v>
      </c>
      <c r="L731" t="str">
        <f>_xlfn.XLOOKUP(frasest[[#This Row],[author_es]],autorest[author_es],autorest[language_la])</f>
        <v>Lingua Vasconica</v>
      </c>
      <c r="M731" t="str">
        <f>_xlfn.XLOOKUP(frasest[[#This Row],[author_es]],autorest[author_es],autorest[nation_es])</f>
        <v>España</v>
      </c>
      <c r="N731" t="str">
        <f>_xlfn.XLOOKUP(frasest[[#This Row],[author_es]],autorest[author_es],autorest[nation_la])</f>
        <v>Hispania</v>
      </c>
      <c r="O731" t="str">
        <f>_xlfn.XLOOKUP(frasest[[#This Row],[author_es]],autorest[author_es],autorest[age_es])</f>
        <v>Epoca Desconocida</v>
      </c>
      <c r="P731" t="str">
        <f>_xlfn.XLOOKUP(frasest[[#This Row],[author_es]],autorest[author_es],autorest[age_la])</f>
        <v>Epocha Ignota</v>
      </c>
      <c r="Q731" t="str">
        <f>_xlfn.XLOOKUP(frasest[[#This Row],[author_es]],autorest[author_es],autorest[image])</f>
        <v>https://i.ibb.co/bjgxB3kn/euskadi.png</v>
      </c>
      <c r="R731">
        <f>_xlfn.XLOOKUP(frasest[[#This Row],[author_es]],autorest[author_es],autorest[image_atr])</f>
        <v>0</v>
      </c>
    </row>
    <row r="732" spans="1:18">
      <c r="A732">
        <v>731</v>
      </c>
      <c r="B732" t="s">
        <v>2473</v>
      </c>
      <c r="C732" t="s">
        <v>2474</v>
      </c>
      <c r="D732" t="s">
        <v>2475</v>
      </c>
      <c r="E732" t="s">
        <v>1236</v>
      </c>
      <c r="G732" t="str">
        <f>_xlfn.XLOOKUP(frasest[[#This Row],[author_es]],autorest[author_es],autorest[author_la])</f>
        <v>Sententia Vasconica</v>
      </c>
      <c r="H732" t="str">
        <f>_xlfn.XLOOKUP(frasest[[#This Row],[author_es]],autorest[author_es],autorest[bio_es])</f>
        <v>Proverbios de la tradición oral vasca que reflejan la relación con la naturaleza, el trabajo y los valores comunitarios del pueblo vasco.</v>
      </c>
      <c r="I732" t="str">
        <f>_xlfn.XLOOKUP(frasest[[#This Row],[author_es]],autorest[author_es],autorest[bio_la])</f>
        <v>Collectio sententiarum Vasconicarum.</v>
      </c>
      <c r="J732" t="str">
        <f>_xlfn.XLOOKUP(frasest[[#This Row],[author_es]],autorest[author_es],autorest[iso3691])</f>
        <v>eu</v>
      </c>
      <c r="K732" t="str">
        <f>_xlfn.XLOOKUP(frasest[[#This Row],[author_es]],autorest[author_es],autorest[language_es])</f>
        <v>Euskara</v>
      </c>
      <c r="L732" t="str">
        <f>_xlfn.XLOOKUP(frasest[[#This Row],[author_es]],autorest[author_es],autorest[language_la])</f>
        <v>Lingua Vasconica</v>
      </c>
      <c r="M732" t="str">
        <f>_xlfn.XLOOKUP(frasest[[#This Row],[author_es]],autorest[author_es],autorest[nation_es])</f>
        <v>España</v>
      </c>
      <c r="N732" t="str">
        <f>_xlfn.XLOOKUP(frasest[[#This Row],[author_es]],autorest[author_es],autorest[nation_la])</f>
        <v>Hispania</v>
      </c>
      <c r="O732" t="str">
        <f>_xlfn.XLOOKUP(frasest[[#This Row],[author_es]],autorest[author_es],autorest[age_es])</f>
        <v>Epoca Desconocida</v>
      </c>
      <c r="P732" t="str">
        <f>_xlfn.XLOOKUP(frasest[[#This Row],[author_es]],autorest[author_es],autorest[age_la])</f>
        <v>Epocha Ignota</v>
      </c>
      <c r="Q732" t="str">
        <f>_xlfn.XLOOKUP(frasest[[#This Row],[author_es]],autorest[author_es],autorest[image])</f>
        <v>https://i.ibb.co/bjgxB3kn/euskadi.png</v>
      </c>
      <c r="R732">
        <f>_xlfn.XLOOKUP(frasest[[#This Row],[author_es]],autorest[author_es],autorest[image_atr])</f>
        <v>0</v>
      </c>
    </row>
    <row r="733" spans="1:18">
      <c r="A733">
        <v>732</v>
      </c>
      <c r="B733" t="s">
        <v>2476</v>
      </c>
      <c r="C733" t="s">
        <v>2477</v>
      </c>
      <c r="D733" t="s">
        <v>2478</v>
      </c>
      <c r="E733" t="s">
        <v>1236</v>
      </c>
      <c r="G733" t="str">
        <f>_xlfn.XLOOKUP(frasest[[#This Row],[author_es]],autorest[author_es],autorest[author_la])</f>
        <v>Sententia Vasconica</v>
      </c>
      <c r="H733" t="str">
        <f>_xlfn.XLOOKUP(frasest[[#This Row],[author_es]],autorest[author_es],autorest[bio_es])</f>
        <v>Proverbios de la tradición oral vasca que reflejan la relación con la naturaleza, el trabajo y los valores comunitarios del pueblo vasco.</v>
      </c>
      <c r="I733" t="str">
        <f>_xlfn.XLOOKUP(frasest[[#This Row],[author_es]],autorest[author_es],autorest[bio_la])</f>
        <v>Collectio sententiarum Vasconicarum.</v>
      </c>
      <c r="J733" t="str">
        <f>_xlfn.XLOOKUP(frasest[[#This Row],[author_es]],autorest[author_es],autorest[iso3691])</f>
        <v>eu</v>
      </c>
      <c r="K733" t="str">
        <f>_xlfn.XLOOKUP(frasest[[#This Row],[author_es]],autorest[author_es],autorest[language_es])</f>
        <v>Euskara</v>
      </c>
      <c r="L733" t="str">
        <f>_xlfn.XLOOKUP(frasest[[#This Row],[author_es]],autorest[author_es],autorest[language_la])</f>
        <v>Lingua Vasconica</v>
      </c>
      <c r="M733" t="str">
        <f>_xlfn.XLOOKUP(frasest[[#This Row],[author_es]],autorest[author_es],autorest[nation_es])</f>
        <v>España</v>
      </c>
      <c r="N733" t="str">
        <f>_xlfn.XLOOKUP(frasest[[#This Row],[author_es]],autorest[author_es],autorest[nation_la])</f>
        <v>Hispania</v>
      </c>
      <c r="O733" t="str">
        <f>_xlfn.XLOOKUP(frasest[[#This Row],[author_es]],autorest[author_es],autorest[age_es])</f>
        <v>Epoca Desconocida</v>
      </c>
      <c r="P733" t="str">
        <f>_xlfn.XLOOKUP(frasest[[#This Row],[author_es]],autorest[author_es],autorest[age_la])</f>
        <v>Epocha Ignota</v>
      </c>
      <c r="Q733" t="str">
        <f>_xlfn.XLOOKUP(frasest[[#This Row],[author_es]],autorest[author_es],autorest[image])</f>
        <v>https://i.ibb.co/bjgxB3kn/euskadi.png</v>
      </c>
      <c r="R733">
        <f>_xlfn.XLOOKUP(frasest[[#This Row],[author_es]],autorest[author_es],autorest[image_atr])</f>
        <v>0</v>
      </c>
    </row>
    <row r="734" spans="1:18">
      <c r="A734">
        <v>733</v>
      </c>
      <c r="B734" t="s">
        <v>2479</v>
      </c>
      <c r="C734" t="s">
        <v>2480</v>
      </c>
      <c r="D734" t="s">
        <v>2481</v>
      </c>
      <c r="E734" t="s">
        <v>1236</v>
      </c>
      <c r="G734" t="str">
        <f>_xlfn.XLOOKUP(frasest[[#This Row],[author_es]],autorest[author_es],autorest[author_la])</f>
        <v>Sententia Vasconica</v>
      </c>
      <c r="H734" t="str">
        <f>_xlfn.XLOOKUP(frasest[[#This Row],[author_es]],autorest[author_es],autorest[bio_es])</f>
        <v>Proverbios de la tradición oral vasca que reflejan la relación con la naturaleza, el trabajo y los valores comunitarios del pueblo vasco.</v>
      </c>
      <c r="I734" t="str">
        <f>_xlfn.XLOOKUP(frasest[[#This Row],[author_es]],autorest[author_es],autorest[bio_la])</f>
        <v>Collectio sententiarum Vasconicarum.</v>
      </c>
      <c r="J734" t="str">
        <f>_xlfn.XLOOKUP(frasest[[#This Row],[author_es]],autorest[author_es],autorest[iso3691])</f>
        <v>eu</v>
      </c>
      <c r="K734" t="str">
        <f>_xlfn.XLOOKUP(frasest[[#This Row],[author_es]],autorest[author_es],autorest[language_es])</f>
        <v>Euskara</v>
      </c>
      <c r="L734" t="str">
        <f>_xlfn.XLOOKUP(frasest[[#This Row],[author_es]],autorest[author_es],autorest[language_la])</f>
        <v>Lingua Vasconica</v>
      </c>
      <c r="M734" t="str">
        <f>_xlfn.XLOOKUP(frasest[[#This Row],[author_es]],autorest[author_es],autorest[nation_es])</f>
        <v>España</v>
      </c>
      <c r="N734" t="str">
        <f>_xlfn.XLOOKUP(frasest[[#This Row],[author_es]],autorest[author_es],autorest[nation_la])</f>
        <v>Hispania</v>
      </c>
      <c r="O734" t="str">
        <f>_xlfn.XLOOKUP(frasest[[#This Row],[author_es]],autorest[author_es],autorest[age_es])</f>
        <v>Epoca Desconocida</v>
      </c>
      <c r="P734" t="str">
        <f>_xlfn.XLOOKUP(frasest[[#This Row],[author_es]],autorest[author_es],autorest[age_la])</f>
        <v>Epocha Ignota</v>
      </c>
      <c r="Q734" t="str">
        <f>_xlfn.XLOOKUP(frasest[[#This Row],[author_es]],autorest[author_es],autorest[image])</f>
        <v>https://i.ibb.co/bjgxB3kn/euskadi.png</v>
      </c>
      <c r="R734">
        <f>_xlfn.XLOOKUP(frasest[[#This Row],[author_es]],autorest[author_es],autorest[image_atr])</f>
        <v>0</v>
      </c>
    </row>
    <row r="735" spans="1:18">
      <c r="A735">
        <v>734</v>
      </c>
      <c r="B735" t="s">
        <v>2482</v>
      </c>
      <c r="C735" t="s">
        <v>2483</v>
      </c>
      <c r="D735" t="s">
        <v>2484</v>
      </c>
      <c r="E735" t="s">
        <v>1236</v>
      </c>
      <c r="G735" t="str">
        <f>_xlfn.XLOOKUP(frasest[[#This Row],[author_es]],autorest[author_es],autorest[author_la])</f>
        <v>Sententia Vasconica</v>
      </c>
      <c r="H735" t="str">
        <f>_xlfn.XLOOKUP(frasest[[#This Row],[author_es]],autorest[author_es],autorest[bio_es])</f>
        <v>Proverbios de la tradición oral vasca que reflejan la relación con la naturaleza, el trabajo y los valores comunitarios del pueblo vasco.</v>
      </c>
      <c r="I735" t="str">
        <f>_xlfn.XLOOKUP(frasest[[#This Row],[author_es]],autorest[author_es],autorest[bio_la])</f>
        <v>Collectio sententiarum Vasconicarum.</v>
      </c>
      <c r="J735" t="str">
        <f>_xlfn.XLOOKUP(frasest[[#This Row],[author_es]],autorest[author_es],autorest[iso3691])</f>
        <v>eu</v>
      </c>
      <c r="K735" t="str">
        <f>_xlfn.XLOOKUP(frasest[[#This Row],[author_es]],autorest[author_es],autorest[language_es])</f>
        <v>Euskara</v>
      </c>
      <c r="L735" t="str">
        <f>_xlfn.XLOOKUP(frasest[[#This Row],[author_es]],autorest[author_es],autorest[language_la])</f>
        <v>Lingua Vasconica</v>
      </c>
      <c r="M735" t="str">
        <f>_xlfn.XLOOKUP(frasest[[#This Row],[author_es]],autorest[author_es],autorest[nation_es])</f>
        <v>España</v>
      </c>
      <c r="N735" t="str">
        <f>_xlfn.XLOOKUP(frasest[[#This Row],[author_es]],autorest[author_es],autorest[nation_la])</f>
        <v>Hispania</v>
      </c>
      <c r="O735" t="str">
        <f>_xlfn.XLOOKUP(frasest[[#This Row],[author_es]],autorest[author_es],autorest[age_es])</f>
        <v>Epoca Desconocida</v>
      </c>
      <c r="P735" t="str">
        <f>_xlfn.XLOOKUP(frasest[[#This Row],[author_es]],autorest[author_es],autorest[age_la])</f>
        <v>Epocha Ignota</v>
      </c>
      <c r="Q735" t="str">
        <f>_xlfn.XLOOKUP(frasest[[#This Row],[author_es]],autorest[author_es],autorest[image])</f>
        <v>https://i.ibb.co/bjgxB3kn/euskadi.png</v>
      </c>
      <c r="R735">
        <f>_xlfn.XLOOKUP(frasest[[#This Row],[author_es]],autorest[author_es],autorest[image_atr])</f>
        <v>0</v>
      </c>
    </row>
    <row r="736" spans="1:18">
      <c r="A736">
        <v>735</v>
      </c>
      <c r="B736" t="s">
        <v>2485</v>
      </c>
      <c r="C736" t="s">
        <v>2486</v>
      </c>
      <c r="D736" t="s">
        <v>2487</v>
      </c>
      <c r="E736" t="s">
        <v>1236</v>
      </c>
      <c r="G736" t="str">
        <f>_xlfn.XLOOKUP(frasest[[#This Row],[author_es]],autorest[author_es],autorest[author_la])</f>
        <v>Sententia Vasconica</v>
      </c>
      <c r="H736" t="str">
        <f>_xlfn.XLOOKUP(frasest[[#This Row],[author_es]],autorest[author_es],autorest[bio_es])</f>
        <v>Proverbios de la tradición oral vasca que reflejan la relación con la naturaleza, el trabajo y los valores comunitarios del pueblo vasco.</v>
      </c>
      <c r="I736" t="str">
        <f>_xlfn.XLOOKUP(frasest[[#This Row],[author_es]],autorest[author_es],autorest[bio_la])</f>
        <v>Collectio sententiarum Vasconicarum.</v>
      </c>
      <c r="J736" t="str">
        <f>_xlfn.XLOOKUP(frasest[[#This Row],[author_es]],autorest[author_es],autorest[iso3691])</f>
        <v>eu</v>
      </c>
      <c r="K736" t="str">
        <f>_xlfn.XLOOKUP(frasest[[#This Row],[author_es]],autorest[author_es],autorest[language_es])</f>
        <v>Euskara</v>
      </c>
      <c r="L736" t="str">
        <f>_xlfn.XLOOKUP(frasest[[#This Row],[author_es]],autorest[author_es],autorest[language_la])</f>
        <v>Lingua Vasconica</v>
      </c>
      <c r="M736" t="str">
        <f>_xlfn.XLOOKUP(frasest[[#This Row],[author_es]],autorest[author_es],autorest[nation_es])</f>
        <v>España</v>
      </c>
      <c r="N736" t="str">
        <f>_xlfn.XLOOKUP(frasest[[#This Row],[author_es]],autorest[author_es],autorest[nation_la])</f>
        <v>Hispania</v>
      </c>
      <c r="O736" t="str">
        <f>_xlfn.XLOOKUP(frasest[[#This Row],[author_es]],autorest[author_es],autorest[age_es])</f>
        <v>Epoca Desconocida</v>
      </c>
      <c r="P736" t="str">
        <f>_xlfn.XLOOKUP(frasest[[#This Row],[author_es]],autorest[author_es],autorest[age_la])</f>
        <v>Epocha Ignota</v>
      </c>
      <c r="Q736" t="str">
        <f>_xlfn.XLOOKUP(frasest[[#This Row],[author_es]],autorest[author_es],autorest[image])</f>
        <v>https://i.ibb.co/bjgxB3kn/euskadi.png</v>
      </c>
      <c r="R736">
        <f>_xlfn.XLOOKUP(frasest[[#This Row],[author_es]],autorest[author_es],autorest[image_atr])</f>
        <v>0</v>
      </c>
    </row>
    <row r="737" spans="1:18">
      <c r="A737">
        <v>736</v>
      </c>
      <c r="B737" t="s">
        <v>2488</v>
      </c>
      <c r="C737" t="s">
        <v>2489</v>
      </c>
      <c r="D737" t="s">
        <v>2490</v>
      </c>
      <c r="E737" t="s">
        <v>1236</v>
      </c>
      <c r="G737" t="str">
        <f>_xlfn.XLOOKUP(frasest[[#This Row],[author_es]],autorest[author_es],autorest[author_la])</f>
        <v>Sententia Vasconica</v>
      </c>
      <c r="H737" t="str">
        <f>_xlfn.XLOOKUP(frasest[[#This Row],[author_es]],autorest[author_es],autorest[bio_es])</f>
        <v>Proverbios de la tradición oral vasca que reflejan la relación con la naturaleza, el trabajo y los valores comunitarios del pueblo vasco.</v>
      </c>
      <c r="I737" t="str">
        <f>_xlfn.XLOOKUP(frasest[[#This Row],[author_es]],autorest[author_es],autorest[bio_la])</f>
        <v>Collectio sententiarum Vasconicarum.</v>
      </c>
      <c r="J737" t="str">
        <f>_xlfn.XLOOKUP(frasest[[#This Row],[author_es]],autorest[author_es],autorest[iso3691])</f>
        <v>eu</v>
      </c>
      <c r="K737" t="str">
        <f>_xlfn.XLOOKUP(frasest[[#This Row],[author_es]],autorest[author_es],autorest[language_es])</f>
        <v>Euskara</v>
      </c>
      <c r="L737" t="str">
        <f>_xlfn.XLOOKUP(frasest[[#This Row],[author_es]],autorest[author_es],autorest[language_la])</f>
        <v>Lingua Vasconica</v>
      </c>
      <c r="M737" t="str">
        <f>_xlfn.XLOOKUP(frasest[[#This Row],[author_es]],autorest[author_es],autorest[nation_es])</f>
        <v>España</v>
      </c>
      <c r="N737" t="str">
        <f>_xlfn.XLOOKUP(frasest[[#This Row],[author_es]],autorest[author_es],autorest[nation_la])</f>
        <v>Hispania</v>
      </c>
      <c r="O737" t="str">
        <f>_xlfn.XLOOKUP(frasest[[#This Row],[author_es]],autorest[author_es],autorest[age_es])</f>
        <v>Epoca Desconocida</v>
      </c>
      <c r="P737" t="str">
        <f>_xlfn.XLOOKUP(frasest[[#This Row],[author_es]],autorest[author_es],autorest[age_la])</f>
        <v>Epocha Ignota</v>
      </c>
      <c r="Q737" t="str">
        <f>_xlfn.XLOOKUP(frasest[[#This Row],[author_es]],autorest[author_es],autorest[image])</f>
        <v>https://i.ibb.co/bjgxB3kn/euskadi.png</v>
      </c>
      <c r="R737">
        <f>_xlfn.XLOOKUP(frasest[[#This Row],[author_es]],autorest[author_es],autorest[image_atr])</f>
        <v>0</v>
      </c>
    </row>
    <row r="738" spans="1:18">
      <c r="A738">
        <v>737</v>
      </c>
      <c r="B738" t="s">
        <v>2491</v>
      </c>
      <c r="C738" t="s">
        <v>2492</v>
      </c>
      <c r="D738" t="s">
        <v>2493</v>
      </c>
      <c r="E738" t="s">
        <v>1236</v>
      </c>
      <c r="G738" t="str">
        <f>_xlfn.XLOOKUP(frasest[[#This Row],[author_es]],autorest[author_es],autorest[author_la])</f>
        <v>Sententia Vasconica</v>
      </c>
      <c r="H738" t="str">
        <f>_xlfn.XLOOKUP(frasest[[#This Row],[author_es]],autorest[author_es],autorest[bio_es])</f>
        <v>Proverbios de la tradición oral vasca que reflejan la relación con la naturaleza, el trabajo y los valores comunitarios del pueblo vasco.</v>
      </c>
      <c r="I738" t="str">
        <f>_xlfn.XLOOKUP(frasest[[#This Row],[author_es]],autorest[author_es],autorest[bio_la])</f>
        <v>Collectio sententiarum Vasconicarum.</v>
      </c>
      <c r="J738" t="str">
        <f>_xlfn.XLOOKUP(frasest[[#This Row],[author_es]],autorest[author_es],autorest[iso3691])</f>
        <v>eu</v>
      </c>
      <c r="K738" t="str">
        <f>_xlfn.XLOOKUP(frasest[[#This Row],[author_es]],autorest[author_es],autorest[language_es])</f>
        <v>Euskara</v>
      </c>
      <c r="L738" t="str">
        <f>_xlfn.XLOOKUP(frasest[[#This Row],[author_es]],autorest[author_es],autorest[language_la])</f>
        <v>Lingua Vasconica</v>
      </c>
      <c r="M738" t="str">
        <f>_xlfn.XLOOKUP(frasest[[#This Row],[author_es]],autorest[author_es],autorest[nation_es])</f>
        <v>España</v>
      </c>
      <c r="N738" t="str">
        <f>_xlfn.XLOOKUP(frasest[[#This Row],[author_es]],autorest[author_es],autorest[nation_la])</f>
        <v>Hispania</v>
      </c>
      <c r="O738" t="str">
        <f>_xlfn.XLOOKUP(frasest[[#This Row],[author_es]],autorest[author_es],autorest[age_es])</f>
        <v>Epoca Desconocida</v>
      </c>
      <c r="P738" t="str">
        <f>_xlfn.XLOOKUP(frasest[[#This Row],[author_es]],autorest[author_es],autorest[age_la])</f>
        <v>Epocha Ignota</v>
      </c>
      <c r="Q738" t="str">
        <f>_xlfn.XLOOKUP(frasest[[#This Row],[author_es]],autorest[author_es],autorest[image])</f>
        <v>https://i.ibb.co/bjgxB3kn/euskadi.png</v>
      </c>
      <c r="R738">
        <f>_xlfn.XLOOKUP(frasest[[#This Row],[author_es]],autorest[author_es],autorest[image_atr])</f>
        <v>0</v>
      </c>
    </row>
    <row r="739" spans="1:18">
      <c r="A739">
        <v>738</v>
      </c>
      <c r="B739" t="s">
        <v>2494</v>
      </c>
      <c r="C739" t="s">
        <v>2495</v>
      </c>
      <c r="D739" t="s">
        <v>2496</v>
      </c>
      <c r="E739" t="s">
        <v>1236</v>
      </c>
      <c r="G739" t="str">
        <f>_xlfn.XLOOKUP(frasest[[#This Row],[author_es]],autorest[author_es],autorest[author_la])</f>
        <v>Sententia Vasconica</v>
      </c>
      <c r="H739" t="str">
        <f>_xlfn.XLOOKUP(frasest[[#This Row],[author_es]],autorest[author_es],autorest[bio_es])</f>
        <v>Proverbios de la tradición oral vasca que reflejan la relación con la naturaleza, el trabajo y los valores comunitarios del pueblo vasco.</v>
      </c>
      <c r="I739" t="str">
        <f>_xlfn.XLOOKUP(frasest[[#This Row],[author_es]],autorest[author_es],autorest[bio_la])</f>
        <v>Collectio sententiarum Vasconicarum.</v>
      </c>
      <c r="J739" t="str">
        <f>_xlfn.XLOOKUP(frasest[[#This Row],[author_es]],autorest[author_es],autorest[iso3691])</f>
        <v>eu</v>
      </c>
      <c r="K739" t="str">
        <f>_xlfn.XLOOKUP(frasest[[#This Row],[author_es]],autorest[author_es],autorest[language_es])</f>
        <v>Euskara</v>
      </c>
      <c r="L739" t="str">
        <f>_xlfn.XLOOKUP(frasest[[#This Row],[author_es]],autorest[author_es],autorest[language_la])</f>
        <v>Lingua Vasconica</v>
      </c>
      <c r="M739" t="str">
        <f>_xlfn.XLOOKUP(frasest[[#This Row],[author_es]],autorest[author_es],autorest[nation_es])</f>
        <v>España</v>
      </c>
      <c r="N739" t="str">
        <f>_xlfn.XLOOKUP(frasest[[#This Row],[author_es]],autorest[author_es],autorest[nation_la])</f>
        <v>Hispania</v>
      </c>
      <c r="O739" t="str">
        <f>_xlfn.XLOOKUP(frasest[[#This Row],[author_es]],autorest[author_es],autorest[age_es])</f>
        <v>Epoca Desconocida</v>
      </c>
      <c r="P739" t="str">
        <f>_xlfn.XLOOKUP(frasest[[#This Row],[author_es]],autorest[author_es],autorest[age_la])</f>
        <v>Epocha Ignota</v>
      </c>
      <c r="Q739" t="str">
        <f>_xlfn.XLOOKUP(frasest[[#This Row],[author_es]],autorest[author_es],autorest[image])</f>
        <v>https://i.ibb.co/bjgxB3kn/euskadi.png</v>
      </c>
      <c r="R739">
        <f>_xlfn.XLOOKUP(frasest[[#This Row],[author_es]],autorest[author_es],autorest[image_atr])</f>
        <v>0</v>
      </c>
    </row>
    <row r="740" spans="1:18">
      <c r="A740">
        <v>739</v>
      </c>
      <c r="B740" t="s">
        <v>2497</v>
      </c>
      <c r="C740" t="s">
        <v>2498</v>
      </c>
      <c r="D740" t="s">
        <v>2499</v>
      </c>
      <c r="E740" t="s">
        <v>1236</v>
      </c>
      <c r="G740" t="str">
        <f>_xlfn.XLOOKUP(frasest[[#This Row],[author_es]],autorest[author_es],autorest[author_la])</f>
        <v>Sententia Vasconica</v>
      </c>
      <c r="H740" t="str">
        <f>_xlfn.XLOOKUP(frasest[[#This Row],[author_es]],autorest[author_es],autorest[bio_es])</f>
        <v>Proverbios de la tradición oral vasca que reflejan la relación con la naturaleza, el trabajo y los valores comunitarios del pueblo vasco.</v>
      </c>
      <c r="I740" t="str">
        <f>_xlfn.XLOOKUP(frasest[[#This Row],[author_es]],autorest[author_es],autorest[bio_la])</f>
        <v>Collectio sententiarum Vasconicarum.</v>
      </c>
      <c r="J740" t="str">
        <f>_xlfn.XLOOKUP(frasest[[#This Row],[author_es]],autorest[author_es],autorest[iso3691])</f>
        <v>eu</v>
      </c>
      <c r="K740" t="str">
        <f>_xlfn.XLOOKUP(frasest[[#This Row],[author_es]],autorest[author_es],autorest[language_es])</f>
        <v>Euskara</v>
      </c>
      <c r="L740" t="str">
        <f>_xlfn.XLOOKUP(frasest[[#This Row],[author_es]],autorest[author_es],autorest[language_la])</f>
        <v>Lingua Vasconica</v>
      </c>
      <c r="M740" t="str">
        <f>_xlfn.XLOOKUP(frasest[[#This Row],[author_es]],autorest[author_es],autorest[nation_es])</f>
        <v>España</v>
      </c>
      <c r="N740" t="str">
        <f>_xlfn.XLOOKUP(frasest[[#This Row],[author_es]],autorest[author_es],autorest[nation_la])</f>
        <v>Hispania</v>
      </c>
      <c r="O740" t="str">
        <f>_xlfn.XLOOKUP(frasest[[#This Row],[author_es]],autorest[author_es],autorest[age_es])</f>
        <v>Epoca Desconocida</v>
      </c>
      <c r="P740" t="str">
        <f>_xlfn.XLOOKUP(frasest[[#This Row],[author_es]],autorest[author_es],autorest[age_la])</f>
        <v>Epocha Ignota</v>
      </c>
      <c r="Q740" t="str">
        <f>_xlfn.XLOOKUP(frasest[[#This Row],[author_es]],autorest[author_es],autorest[image])</f>
        <v>https://i.ibb.co/bjgxB3kn/euskadi.png</v>
      </c>
      <c r="R740">
        <f>_xlfn.XLOOKUP(frasest[[#This Row],[author_es]],autorest[author_es],autorest[image_atr])</f>
        <v>0</v>
      </c>
    </row>
    <row r="741" spans="1:18">
      <c r="A741">
        <v>740</v>
      </c>
      <c r="B741" t="s">
        <v>2500</v>
      </c>
      <c r="C741" t="s">
        <v>2501</v>
      </c>
      <c r="D741" t="s">
        <v>2502</v>
      </c>
      <c r="E741" t="s">
        <v>1236</v>
      </c>
      <c r="G741" t="str">
        <f>_xlfn.XLOOKUP(frasest[[#This Row],[author_es]],autorest[author_es],autorest[author_la])</f>
        <v>Sententia Vasconica</v>
      </c>
      <c r="H741" t="str">
        <f>_xlfn.XLOOKUP(frasest[[#This Row],[author_es]],autorest[author_es],autorest[bio_es])</f>
        <v>Proverbios de la tradición oral vasca que reflejan la relación con la naturaleza, el trabajo y los valores comunitarios del pueblo vasco.</v>
      </c>
      <c r="I741" t="str">
        <f>_xlfn.XLOOKUP(frasest[[#This Row],[author_es]],autorest[author_es],autorest[bio_la])</f>
        <v>Collectio sententiarum Vasconicarum.</v>
      </c>
      <c r="J741" t="str">
        <f>_xlfn.XLOOKUP(frasest[[#This Row],[author_es]],autorest[author_es],autorest[iso3691])</f>
        <v>eu</v>
      </c>
      <c r="K741" t="str">
        <f>_xlfn.XLOOKUP(frasest[[#This Row],[author_es]],autorest[author_es],autorest[language_es])</f>
        <v>Euskara</v>
      </c>
      <c r="L741" t="str">
        <f>_xlfn.XLOOKUP(frasest[[#This Row],[author_es]],autorest[author_es],autorest[language_la])</f>
        <v>Lingua Vasconica</v>
      </c>
      <c r="M741" t="str">
        <f>_xlfn.XLOOKUP(frasest[[#This Row],[author_es]],autorest[author_es],autorest[nation_es])</f>
        <v>España</v>
      </c>
      <c r="N741" t="str">
        <f>_xlfn.XLOOKUP(frasest[[#This Row],[author_es]],autorest[author_es],autorest[nation_la])</f>
        <v>Hispania</v>
      </c>
      <c r="O741" t="str">
        <f>_xlfn.XLOOKUP(frasest[[#This Row],[author_es]],autorest[author_es],autorest[age_es])</f>
        <v>Epoca Desconocida</v>
      </c>
      <c r="P741" t="str">
        <f>_xlfn.XLOOKUP(frasest[[#This Row],[author_es]],autorest[author_es],autorest[age_la])</f>
        <v>Epocha Ignota</v>
      </c>
      <c r="Q741" t="str">
        <f>_xlfn.XLOOKUP(frasest[[#This Row],[author_es]],autorest[author_es],autorest[image])</f>
        <v>https://i.ibb.co/bjgxB3kn/euskadi.png</v>
      </c>
      <c r="R741">
        <f>_xlfn.XLOOKUP(frasest[[#This Row],[author_es]],autorest[author_es],autorest[image_atr])</f>
        <v>0</v>
      </c>
    </row>
    <row r="742" spans="1:18">
      <c r="A742">
        <v>741</v>
      </c>
      <c r="B742" t="s">
        <v>2503</v>
      </c>
      <c r="C742" t="s">
        <v>2504</v>
      </c>
      <c r="D742" t="s">
        <v>2505</v>
      </c>
      <c r="E742" t="s">
        <v>1236</v>
      </c>
      <c r="G742" t="str">
        <f>_xlfn.XLOOKUP(frasest[[#This Row],[author_es]],autorest[author_es],autorest[author_la])</f>
        <v>Sententia Vasconica</v>
      </c>
      <c r="H742" t="str">
        <f>_xlfn.XLOOKUP(frasest[[#This Row],[author_es]],autorest[author_es],autorest[bio_es])</f>
        <v>Proverbios de la tradición oral vasca que reflejan la relación con la naturaleza, el trabajo y los valores comunitarios del pueblo vasco.</v>
      </c>
      <c r="I742" t="str">
        <f>_xlfn.XLOOKUP(frasest[[#This Row],[author_es]],autorest[author_es],autorest[bio_la])</f>
        <v>Collectio sententiarum Vasconicarum.</v>
      </c>
      <c r="J742" t="str">
        <f>_xlfn.XLOOKUP(frasest[[#This Row],[author_es]],autorest[author_es],autorest[iso3691])</f>
        <v>eu</v>
      </c>
      <c r="K742" t="str">
        <f>_xlfn.XLOOKUP(frasest[[#This Row],[author_es]],autorest[author_es],autorest[language_es])</f>
        <v>Euskara</v>
      </c>
      <c r="L742" t="str">
        <f>_xlfn.XLOOKUP(frasest[[#This Row],[author_es]],autorest[author_es],autorest[language_la])</f>
        <v>Lingua Vasconica</v>
      </c>
      <c r="M742" t="str">
        <f>_xlfn.XLOOKUP(frasest[[#This Row],[author_es]],autorest[author_es],autorest[nation_es])</f>
        <v>España</v>
      </c>
      <c r="N742" t="str">
        <f>_xlfn.XLOOKUP(frasest[[#This Row],[author_es]],autorest[author_es],autorest[nation_la])</f>
        <v>Hispania</v>
      </c>
      <c r="O742" t="str">
        <f>_xlfn.XLOOKUP(frasest[[#This Row],[author_es]],autorest[author_es],autorest[age_es])</f>
        <v>Epoca Desconocida</v>
      </c>
      <c r="P742" t="str">
        <f>_xlfn.XLOOKUP(frasest[[#This Row],[author_es]],autorest[author_es],autorest[age_la])</f>
        <v>Epocha Ignota</v>
      </c>
      <c r="Q742" t="str">
        <f>_xlfn.XLOOKUP(frasest[[#This Row],[author_es]],autorest[author_es],autorest[image])</f>
        <v>https://i.ibb.co/bjgxB3kn/euskadi.png</v>
      </c>
      <c r="R742">
        <f>_xlfn.XLOOKUP(frasest[[#This Row],[author_es]],autorest[author_es],autorest[image_atr])</f>
        <v>0</v>
      </c>
    </row>
    <row r="743" spans="1:18">
      <c r="A743">
        <v>742</v>
      </c>
      <c r="B743" t="s">
        <v>2506</v>
      </c>
      <c r="C743" t="s">
        <v>2507</v>
      </c>
      <c r="D743" t="s">
        <v>2508</v>
      </c>
      <c r="E743" t="s">
        <v>1236</v>
      </c>
      <c r="G743" t="str">
        <f>_xlfn.XLOOKUP(frasest[[#This Row],[author_es]],autorest[author_es],autorest[author_la])</f>
        <v>Sententia Vasconica</v>
      </c>
      <c r="H743" t="str">
        <f>_xlfn.XLOOKUP(frasest[[#This Row],[author_es]],autorest[author_es],autorest[bio_es])</f>
        <v>Proverbios de la tradición oral vasca que reflejan la relación con la naturaleza, el trabajo y los valores comunitarios del pueblo vasco.</v>
      </c>
      <c r="I743" t="str">
        <f>_xlfn.XLOOKUP(frasest[[#This Row],[author_es]],autorest[author_es],autorest[bio_la])</f>
        <v>Collectio sententiarum Vasconicarum.</v>
      </c>
      <c r="J743" t="str">
        <f>_xlfn.XLOOKUP(frasest[[#This Row],[author_es]],autorest[author_es],autorest[iso3691])</f>
        <v>eu</v>
      </c>
      <c r="K743" t="str">
        <f>_xlfn.XLOOKUP(frasest[[#This Row],[author_es]],autorest[author_es],autorest[language_es])</f>
        <v>Euskara</v>
      </c>
      <c r="L743" t="str">
        <f>_xlfn.XLOOKUP(frasest[[#This Row],[author_es]],autorest[author_es],autorest[language_la])</f>
        <v>Lingua Vasconica</v>
      </c>
      <c r="M743" t="str">
        <f>_xlfn.XLOOKUP(frasest[[#This Row],[author_es]],autorest[author_es],autorest[nation_es])</f>
        <v>España</v>
      </c>
      <c r="N743" t="str">
        <f>_xlfn.XLOOKUP(frasest[[#This Row],[author_es]],autorest[author_es],autorest[nation_la])</f>
        <v>Hispania</v>
      </c>
      <c r="O743" t="str">
        <f>_xlfn.XLOOKUP(frasest[[#This Row],[author_es]],autorest[author_es],autorest[age_es])</f>
        <v>Epoca Desconocida</v>
      </c>
      <c r="P743" t="str">
        <f>_xlfn.XLOOKUP(frasest[[#This Row],[author_es]],autorest[author_es],autorest[age_la])</f>
        <v>Epocha Ignota</v>
      </c>
      <c r="Q743" t="str">
        <f>_xlfn.XLOOKUP(frasest[[#This Row],[author_es]],autorest[author_es],autorest[image])</f>
        <v>https://i.ibb.co/bjgxB3kn/euskadi.png</v>
      </c>
      <c r="R743">
        <f>_xlfn.XLOOKUP(frasest[[#This Row],[author_es]],autorest[author_es],autorest[image_atr])</f>
        <v>0</v>
      </c>
    </row>
    <row r="744" spans="1:18">
      <c r="A744">
        <v>743</v>
      </c>
      <c r="B744" t="s">
        <v>2509</v>
      </c>
      <c r="C744" t="s">
        <v>2510</v>
      </c>
      <c r="D744" t="s">
        <v>2511</v>
      </c>
      <c r="E744" t="s">
        <v>1236</v>
      </c>
      <c r="G744" t="str">
        <f>_xlfn.XLOOKUP(frasest[[#This Row],[author_es]],autorest[author_es],autorest[author_la])</f>
        <v>Sententia Vasconica</v>
      </c>
      <c r="H744" t="str">
        <f>_xlfn.XLOOKUP(frasest[[#This Row],[author_es]],autorest[author_es],autorest[bio_es])</f>
        <v>Proverbios de la tradición oral vasca que reflejan la relación con la naturaleza, el trabajo y los valores comunitarios del pueblo vasco.</v>
      </c>
      <c r="I744" t="str">
        <f>_xlfn.XLOOKUP(frasest[[#This Row],[author_es]],autorest[author_es],autorest[bio_la])</f>
        <v>Collectio sententiarum Vasconicarum.</v>
      </c>
      <c r="J744" t="str">
        <f>_xlfn.XLOOKUP(frasest[[#This Row],[author_es]],autorest[author_es],autorest[iso3691])</f>
        <v>eu</v>
      </c>
      <c r="K744" t="str">
        <f>_xlfn.XLOOKUP(frasest[[#This Row],[author_es]],autorest[author_es],autorest[language_es])</f>
        <v>Euskara</v>
      </c>
      <c r="L744" t="str">
        <f>_xlfn.XLOOKUP(frasest[[#This Row],[author_es]],autorest[author_es],autorest[language_la])</f>
        <v>Lingua Vasconica</v>
      </c>
      <c r="M744" t="str">
        <f>_xlfn.XLOOKUP(frasest[[#This Row],[author_es]],autorest[author_es],autorest[nation_es])</f>
        <v>España</v>
      </c>
      <c r="N744" t="str">
        <f>_xlfn.XLOOKUP(frasest[[#This Row],[author_es]],autorest[author_es],autorest[nation_la])</f>
        <v>Hispania</v>
      </c>
      <c r="O744" t="str">
        <f>_xlfn.XLOOKUP(frasest[[#This Row],[author_es]],autorest[author_es],autorest[age_es])</f>
        <v>Epoca Desconocida</v>
      </c>
      <c r="P744" t="str">
        <f>_xlfn.XLOOKUP(frasest[[#This Row],[author_es]],autorest[author_es],autorest[age_la])</f>
        <v>Epocha Ignota</v>
      </c>
      <c r="Q744" t="str">
        <f>_xlfn.XLOOKUP(frasest[[#This Row],[author_es]],autorest[author_es],autorest[image])</f>
        <v>https://i.ibb.co/bjgxB3kn/euskadi.png</v>
      </c>
      <c r="R744">
        <f>_xlfn.XLOOKUP(frasest[[#This Row],[author_es]],autorest[author_es],autorest[image_atr])</f>
        <v>0</v>
      </c>
    </row>
    <row r="745" spans="1:18">
      <c r="A745">
        <v>744</v>
      </c>
      <c r="B745" t="s">
        <v>2512</v>
      </c>
      <c r="C745" t="s">
        <v>2513</v>
      </c>
      <c r="D745" t="s">
        <v>2514</v>
      </c>
      <c r="E745" t="s">
        <v>1236</v>
      </c>
      <c r="G745" t="str">
        <f>_xlfn.XLOOKUP(frasest[[#This Row],[author_es]],autorest[author_es],autorest[author_la])</f>
        <v>Sententia Vasconica</v>
      </c>
      <c r="H745" t="str">
        <f>_xlfn.XLOOKUP(frasest[[#This Row],[author_es]],autorest[author_es],autorest[bio_es])</f>
        <v>Proverbios de la tradición oral vasca que reflejan la relación con la naturaleza, el trabajo y los valores comunitarios del pueblo vasco.</v>
      </c>
      <c r="I745" t="str">
        <f>_xlfn.XLOOKUP(frasest[[#This Row],[author_es]],autorest[author_es],autorest[bio_la])</f>
        <v>Collectio sententiarum Vasconicarum.</v>
      </c>
      <c r="J745" t="str">
        <f>_xlfn.XLOOKUP(frasest[[#This Row],[author_es]],autorest[author_es],autorest[iso3691])</f>
        <v>eu</v>
      </c>
      <c r="K745" t="str">
        <f>_xlfn.XLOOKUP(frasest[[#This Row],[author_es]],autorest[author_es],autorest[language_es])</f>
        <v>Euskara</v>
      </c>
      <c r="L745" t="str">
        <f>_xlfn.XLOOKUP(frasest[[#This Row],[author_es]],autorest[author_es],autorest[language_la])</f>
        <v>Lingua Vasconica</v>
      </c>
      <c r="M745" t="str">
        <f>_xlfn.XLOOKUP(frasest[[#This Row],[author_es]],autorest[author_es],autorest[nation_es])</f>
        <v>España</v>
      </c>
      <c r="N745" t="str">
        <f>_xlfn.XLOOKUP(frasest[[#This Row],[author_es]],autorest[author_es],autorest[nation_la])</f>
        <v>Hispania</v>
      </c>
      <c r="O745" t="str">
        <f>_xlfn.XLOOKUP(frasest[[#This Row],[author_es]],autorest[author_es],autorest[age_es])</f>
        <v>Epoca Desconocida</v>
      </c>
      <c r="P745" t="str">
        <f>_xlfn.XLOOKUP(frasest[[#This Row],[author_es]],autorest[author_es],autorest[age_la])</f>
        <v>Epocha Ignota</v>
      </c>
      <c r="Q745" t="str">
        <f>_xlfn.XLOOKUP(frasest[[#This Row],[author_es]],autorest[author_es],autorest[image])</f>
        <v>https://i.ibb.co/bjgxB3kn/euskadi.png</v>
      </c>
      <c r="R745">
        <f>_xlfn.XLOOKUP(frasest[[#This Row],[author_es]],autorest[author_es],autorest[image_atr])</f>
        <v>0</v>
      </c>
    </row>
    <row r="746" spans="1:18">
      <c r="A746">
        <v>745</v>
      </c>
      <c r="B746" t="s">
        <v>2515</v>
      </c>
      <c r="C746" t="s">
        <v>2516</v>
      </c>
      <c r="D746" t="s">
        <v>2517</v>
      </c>
      <c r="E746" t="s">
        <v>1236</v>
      </c>
      <c r="G746" t="str">
        <f>_xlfn.XLOOKUP(frasest[[#This Row],[author_es]],autorest[author_es],autorest[author_la])</f>
        <v>Sententia Vasconica</v>
      </c>
      <c r="H746" t="str">
        <f>_xlfn.XLOOKUP(frasest[[#This Row],[author_es]],autorest[author_es],autorest[bio_es])</f>
        <v>Proverbios de la tradición oral vasca que reflejan la relación con la naturaleza, el trabajo y los valores comunitarios del pueblo vasco.</v>
      </c>
      <c r="I746" t="str">
        <f>_xlfn.XLOOKUP(frasest[[#This Row],[author_es]],autorest[author_es],autorest[bio_la])</f>
        <v>Collectio sententiarum Vasconicarum.</v>
      </c>
      <c r="J746" t="str">
        <f>_xlfn.XLOOKUP(frasest[[#This Row],[author_es]],autorest[author_es],autorest[iso3691])</f>
        <v>eu</v>
      </c>
      <c r="K746" t="str">
        <f>_xlfn.XLOOKUP(frasest[[#This Row],[author_es]],autorest[author_es],autorest[language_es])</f>
        <v>Euskara</v>
      </c>
      <c r="L746" t="str">
        <f>_xlfn.XLOOKUP(frasest[[#This Row],[author_es]],autorest[author_es],autorest[language_la])</f>
        <v>Lingua Vasconica</v>
      </c>
      <c r="M746" t="str">
        <f>_xlfn.XLOOKUP(frasest[[#This Row],[author_es]],autorest[author_es],autorest[nation_es])</f>
        <v>España</v>
      </c>
      <c r="N746" t="str">
        <f>_xlfn.XLOOKUP(frasest[[#This Row],[author_es]],autorest[author_es],autorest[nation_la])</f>
        <v>Hispania</v>
      </c>
      <c r="O746" t="str">
        <f>_xlfn.XLOOKUP(frasest[[#This Row],[author_es]],autorest[author_es],autorest[age_es])</f>
        <v>Epoca Desconocida</v>
      </c>
      <c r="P746" t="str">
        <f>_xlfn.XLOOKUP(frasest[[#This Row],[author_es]],autorest[author_es],autorest[age_la])</f>
        <v>Epocha Ignota</v>
      </c>
      <c r="Q746" t="str">
        <f>_xlfn.XLOOKUP(frasest[[#This Row],[author_es]],autorest[author_es],autorest[image])</f>
        <v>https://i.ibb.co/bjgxB3kn/euskadi.png</v>
      </c>
      <c r="R746">
        <f>_xlfn.XLOOKUP(frasest[[#This Row],[author_es]],autorest[author_es],autorest[image_atr])</f>
        <v>0</v>
      </c>
    </row>
    <row r="747" spans="1:18">
      <c r="A747">
        <v>746</v>
      </c>
      <c r="B747" t="s">
        <v>2518</v>
      </c>
      <c r="C747" t="s">
        <v>2519</v>
      </c>
      <c r="D747" t="s">
        <v>2520</v>
      </c>
      <c r="E747" t="s">
        <v>1236</v>
      </c>
      <c r="G747" t="str">
        <f>_xlfn.XLOOKUP(frasest[[#This Row],[author_es]],autorest[author_es],autorest[author_la])</f>
        <v>Sententia Vasconica</v>
      </c>
      <c r="H747" t="str">
        <f>_xlfn.XLOOKUP(frasest[[#This Row],[author_es]],autorest[author_es],autorest[bio_es])</f>
        <v>Proverbios de la tradición oral vasca que reflejan la relación con la naturaleza, el trabajo y los valores comunitarios del pueblo vasco.</v>
      </c>
      <c r="I747" t="str">
        <f>_xlfn.XLOOKUP(frasest[[#This Row],[author_es]],autorest[author_es],autorest[bio_la])</f>
        <v>Collectio sententiarum Vasconicarum.</v>
      </c>
      <c r="J747" t="str">
        <f>_xlfn.XLOOKUP(frasest[[#This Row],[author_es]],autorest[author_es],autorest[iso3691])</f>
        <v>eu</v>
      </c>
      <c r="K747" t="str">
        <f>_xlfn.XLOOKUP(frasest[[#This Row],[author_es]],autorest[author_es],autorest[language_es])</f>
        <v>Euskara</v>
      </c>
      <c r="L747" t="str">
        <f>_xlfn.XLOOKUP(frasest[[#This Row],[author_es]],autorest[author_es],autorest[language_la])</f>
        <v>Lingua Vasconica</v>
      </c>
      <c r="M747" t="str">
        <f>_xlfn.XLOOKUP(frasest[[#This Row],[author_es]],autorest[author_es],autorest[nation_es])</f>
        <v>España</v>
      </c>
      <c r="N747" t="str">
        <f>_xlfn.XLOOKUP(frasest[[#This Row],[author_es]],autorest[author_es],autorest[nation_la])</f>
        <v>Hispania</v>
      </c>
      <c r="O747" t="str">
        <f>_xlfn.XLOOKUP(frasest[[#This Row],[author_es]],autorest[author_es],autorest[age_es])</f>
        <v>Epoca Desconocida</v>
      </c>
      <c r="P747" t="str">
        <f>_xlfn.XLOOKUP(frasest[[#This Row],[author_es]],autorest[author_es],autorest[age_la])</f>
        <v>Epocha Ignota</v>
      </c>
      <c r="Q747" t="str">
        <f>_xlfn.XLOOKUP(frasest[[#This Row],[author_es]],autorest[author_es],autorest[image])</f>
        <v>https://i.ibb.co/bjgxB3kn/euskadi.png</v>
      </c>
      <c r="R747">
        <f>_xlfn.XLOOKUP(frasest[[#This Row],[author_es]],autorest[author_es],autorest[image_atr])</f>
        <v>0</v>
      </c>
    </row>
    <row r="748" spans="1:18">
      <c r="A748">
        <v>747</v>
      </c>
      <c r="B748" t="s">
        <v>2521</v>
      </c>
      <c r="C748" t="s">
        <v>2522</v>
      </c>
      <c r="D748" t="s">
        <v>2523</v>
      </c>
      <c r="E748" t="s">
        <v>1236</v>
      </c>
      <c r="G748" t="str">
        <f>_xlfn.XLOOKUP(frasest[[#This Row],[author_es]],autorest[author_es],autorest[author_la])</f>
        <v>Sententia Vasconica</v>
      </c>
      <c r="H748" t="str">
        <f>_xlfn.XLOOKUP(frasest[[#This Row],[author_es]],autorest[author_es],autorest[bio_es])</f>
        <v>Proverbios de la tradición oral vasca que reflejan la relación con la naturaleza, el trabajo y los valores comunitarios del pueblo vasco.</v>
      </c>
      <c r="I748" t="str">
        <f>_xlfn.XLOOKUP(frasest[[#This Row],[author_es]],autorest[author_es],autorest[bio_la])</f>
        <v>Collectio sententiarum Vasconicarum.</v>
      </c>
      <c r="J748" t="str">
        <f>_xlfn.XLOOKUP(frasest[[#This Row],[author_es]],autorest[author_es],autorest[iso3691])</f>
        <v>eu</v>
      </c>
      <c r="K748" t="str">
        <f>_xlfn.XLOOKUP(frasest[[#This Row],[author_es]],autorest[author_es],autorest[language_es])</f>
        <v>Euskara</v>
      </c>
      <c r="L748" t="str">
        <f>_xlfn.XLOOKUP(frasest[[#This Row],[author_es]],autorest[author_es],autorest[language_la])</f>
        <v>Lingua Vasconica</v>
      </c>
      <c r="M748" t="str">
        <f>_xlfn.XLOOKUP(frasest[[#This Row],[author_es]],autorest[author_es],autorest[nation_es])</f>
        <v>España</v>
      </c>
      <c r="N748" t="str">
        <f>_xlfn.XLOOKUP(frasest[[#This Row],[author_es]],autorest[author_es],autorest[nation_la])</f>
        <v>Hispania</v>
      </c>
      <c r="O748" t="str">
        <f>_xlfn.XLOOKUP(frasest[[#This Row],[author_es]],autorest[author_es],autorest[age_es])</f>
        <v>Epoca Desconocida</v>
      </c>
      <c r="P748" t="str">
        <f>_xlfn.XLOOKUP(frasest[[#This Row],[author_es]],autorest[author_es],autorest[age_la])</f>
        <v>Epocha Ignota</v>
      </c>
      <c r="Q748" t="str">
        <f>_xlfn.XLOOKUP(frasest[[#This Row],[author_es]],autorest[author_es],autorest[image])</f>
        <v>https://i.ibb.co/bjgxB3kn/euskadi.png</v>
      </c>
      <c r="R748">
        <f>_xlfn.XLOOKUP(frasest[[#This Row],[author_es]],autorest[author_es],autorest[image_atr])</f>
        <v>0</v>
      </c>
    </row>
    <row r="749" spans="1:18">
      <c r="A749">
        <v>748</v>
      </c>
      <c r="B749" t="s">
        <v>2524</v>
      </c>
      <c r="C749" t="s">
        <v>2525</v>
      </c>
      <c r="D749" t="s">
        <v>2526</v>
      </c>
      <c r="E749" t="s">
        <v>1236</v>
      </c>
      <c r="G749" t="str">
        <f>_xlfn.XLOOKUP(frasest[[#This Row],[author_es]],autorest[author_es],autorest[author_la])</f>
        <v>Sententia Vasconica</v>
      </c>
      <c r="H749" t="str">
        <f>_xlfn.XLOOKUP(frasest[[#This Row],[author_es]],autorest[author_es],autorest[bio_es])</f>
        <v>Proverbios de la tradición oral vasca que reflejan la relación con la naturaleza, el trabajo y los valores comunitarios del pueblo vasco.</v>
      </c>
      <c r="I749" t="str">
        <f>_xlfn.XLOOKUP(frasest[[#This Row],[author_es]],autorest[author_es],autorest[bio_la])</f>
        <v>Collectio sententiarum Vasconicarum.</v>
      </c>
      <c r="J749" t="str">
        <f>_xlfn.XLOOKUP(frasest[[#This Row],[author_es]],autorest[author_es],autorest[iso3691])</f>
        <v>eu</v>
      </c>
      <c r="K749" t="str">
        <f>_xlfn.XLOOKUP(frasest[[#This Row],[author_es]],autorest[author_es],autorest[language_es])</f>
        <v>Euskara</v>
      </c>
      <c r="L749" t="str">
        <f>_xlfn.XLOOKUP(frasest[[#This Row],[author_es]],autorest[author_es],autorest[language_la])</f>
        <v>Lingua Vasconica</v>
      </c>
      <c r="M749" t="str">
        <f>_xlfn.XLOOKUP(frasest[[#This Row],[author_es]],autorest[author_es],autorest[nation_es])</f>
        <v>España</v>
      </c>
      <c r="N749" t="str">
        <f>_xlfn.XLOOKUP(frasest[[#This Row],[author_es]],autorest[author_es],autorest[nation_la])</f>
        <v>Hispania</v>
      </c>
      <c r="O749" t="str">
        <f>_xlfn.XLOOKUP(frasest[[#This Row],[author_es]],autorest[author_es],autorest[age_es])</f>
        <v>Epoca Desconocida</v>
      </c>
      <c r="P749" t="str">
        <f>_xlfn.XLOOKUP(frasest[[#This Row],[author_es]],autorest[author_es],autorest[age_la])</f>
        <v>Epocha Ignota</v>
      </c>
      <c r="Q749" t="str">
        <f>_xlfn.XLOOKUP(frasest[[#This Row],[author_es]],autorest[author_es],autorest[image])</f>
        <v>https://i.ibb.co/bjgxB3kn/euskadi.png</v>
      </c>
      <c r="R749">
        <f>_xlfn.XLOOKUP(frasest[[#This Row],[author_es]],autorest[author_es],autorest[image_atr])</f>
        <v>0</v>
      </c>
    </row>
    <row r="750" spans="1:18">
      <c r="A750">
        <v>749</v>
      </c>
      <c r="B750" t="s">
        <v>2527</v>
      </c>
      <c r="C750" t="s">
        <v>2528</v>
      </c>
      <c r="D750" t="s">
        <v>2529</v>
      </c>
      <c r="E750" t="s">
        <v>1236</v>
      </c>
      <c r="G750" t="str">
        <f>_xlfn.XLOOKUP(frasest[[#This Row],[author_es]],autorest[author_es],autorest[author_la])</f>
        <v>Sententia Vasconica</v>
      </c>
      <c r="H750" t="str">
        <f>_xlfn.XLOOKUP(frasest[[#This Row],[author_es]],autorest[author_es],autorest[bio_es])</f>
        <v>Proverbios de la tradición oral vasca que reflejan la relación con la naturaleza, el trabajo y los valores comunitarios del pueblo vasco.</v>
      </c>
      <c r="I750" t="str">
        <f>_xlfn.XLOOKUP(frasest[[#This Row],[author_es]],autorest[author_es],autorest[bio_la])</f>
        <v>Collectio sententiarum Vasconicarum.</v>
      </c>
      <c r="J750" t="str">
        <f>_xlfn.XLOOKUP(frasest[[#This Row],[author_es]],autorest[author_es],autorest[iso3691])</f>
        <v>eu</v>
      </c>
      <c r="K750" t="str">
        <f>_xlfn.XLOOKUP(frasest[[#This Row],[author_es]],autorest[author_es],autorest[language_es])</f>
        <v>Euskara</v>
      </c>
      <c r="L750" t="str">
        <f>_xlfn.XLOOKUP(frasest[[#This Row],[author_es]],autorest[author_es],autorest[language_la])</f>
        <v>Lingua Vasconica</v>
      </c>
      <c r="M750" t="str">
        <f>_xlfn.XLOOKUP(frasest[[#This Row],[author_es]],autorest[author_es],autorest[nation_es])</f>
        <v>España</v>
      </c>
      <c r="N750" t="str">
        <f>_xlfn.XLOOKUP(frasest[[#This Row],[author_es]],autorest[author_es],autorest[nation_la])</f>
        <v>Hispania</v>
      </c>
      <c r="O750" t="str">
        <f>_xlfn.XLOOKUP(frasest[[#This Row],[author_es]],autorest[author_es],autorest[age_es])</f>
        <v>Epoca Desconocida</v>
      </c>
      <c r="P750" t="str">
        <f>_xlfn.XLOOKUP(frasest[[#This Row],[author_es]],autorest[author_es],autorest[age_la])</f>
        <v>Epocha Ignota</v>
      </c>
      <c r="Q750" t="str">
        <f>_xlfn.XLOOKUP(frasest[[#This Row],[author_es]],autorest[author_es],autorest[image])</f>
        <v>https://i.ibb.co/bjgxB3kn/euskadi.png</v>
      </c>
      <c r="R750">
        <f>_xlfn.XLOOKUP(frasest[[#This Row],[author_es]],autorest[author_es],autorest[image_atr])</f>
        <v>0</v>
      </c>
    </row>
    <row r="751" spans="1:18">
      <c r="A751">
        <v>750</v>
      </c>
      <c r="B751" t="s">
        <v>2530</v>
      </c>
      <c r="C751" t="s">
        <v>2531</v>
      </c>
      <c r="D751" t="s">
        <v>2532</v>
      </c>
      <c r="E751" t="s">
        <v>1236</v>
      </c>
      <c r="G751" t="str">
        <f>_xlfn.XLOOKUP(frasest[[#This Row],[author_es]],autorest[author_es],autorest[author_la])</f>
        <v>Sententia Vasconica</v>
      </c>
      <c r="H751" t="str">
        <f>_xlfn.XLOOKUP(frasest[[#This Row],[author_es]],autorest[author_es],autorest[bio_es])</f>
        <v>Proverbios de la tradición oral vasca que reflejan la relación con la naturaleza, el trabajo y los valores comunitarios del pueblo vasco.</v>
      </c>
      <c r="I751" t="str">
        <f>_xlfn.XLOOKUP(frasest[[#This Row],[author_es]],autorest[author_es],autorest[bio_la])</f>
        <v>Collectio sententiarum Vasconicarum.</v>
      </c>
      <c r="J751" t="str">
        <f>_xlfn.XLOOKUP(frasest[[#This Row],[author_es]],autorest[author_es],autorest[iso3691])</f>
        <v>eu</v>
      </c>
      <c r="K751" t="str">
        <f>_xlfn.XLOOKUP(frasest[[#This Row],[author_es]],autorest[author_es],autorest[language_es])</f>
        <v>Euskara</v>
      </c>
      <c r="L751" t="str">
        <f>_xlfn.XLOOKUP(frasest[[#This Row],[author_es]],autorest[author_es],autorest[language_la])</f>
        <v>Lingua Vasconica</v>
      </c>
      <c r="M751" t="str">
        <f>_xlfn.XLOOKUP(frasest[[#This Row],[author_es]],autorest[author_es],autorest[nation_es])</f>
        <v>España</v>
      </c>
      <c r="N751" t="str">
        <f>_xlfn.XLOOKUP(frasest[[#This Row],[author_es]],autorest[author_es],autorest[nation_la])</f>
        <v>Hispania</v>
      </c>
      <c r="O751" t="str">
        <f>_xlfn.XLOOKUP(frasest[[#This Row],[author_es]],autorest[author_es],autorest[age_es])</f>
        <v>Epoca Desconocida</v>
      </c>
      <c r="P751" t="str">
        <f>_xlfn.XLOOKUP(frasest[[#This Row],[author_es]],autorest[author_es],autorest[age_la])</f>
        <v>Epocha Ignota</v>
      </c>
      <c r="Q751" t="str">
        <f>_xlfn.XLOOKUP(frasest[[#This Row],[author_es]],autorest[author_es],autorest[image])</f>
        <v>https://i.ibb.co/bjgxB3kn/euskadi.png</v>
      </c>
      <c r="R751">
        <f>_xlfn.XLOOKUP(frasest[[#This Row],[author_es]],autorest[author_es],autorest[image_atr])</f>
        <v>0</v>
      </c>
    </row>
    <row r="752" spans="1:18">
      <c r="A752">
        <v>751</v>
      </c>
      <c r="B752" t="s">
        <v>2533</v>
      </c>
      <c r="C752" t="s">
        <v>2534</v>
      </c>
      <c r="D752" t="s">
        <v>2535</v>
      </c>
      <c r="E752" t="s">
        <v>1236</v>
      </c>
      <c r="G752" t="str">
        <f>_xlfn.XLOOKUP(frasest[[#This Row],[author_es]],autorest[author_es],autorest[author_la])</f>
        <v>Sententia Vasconica</v>
      </c>
      <c r="H752" t="str">
        <f>_xlfn.XLOOKUP(frasest[[#This Row],[author_es]],autorest[author_es],autorest[bio_es])</f>
        <v>Proverbios de la tradición oral vasca que reflejan la relación con la naturaleza, el trabajo y los valores comunitarios del pueblo vasco.</v>
      </c>
      <c r="I752" t="str">
        <f>_xlfn.XLOOKUP(frasest[[#This Row],[author_es]],autorest[author_es],autorest[bio_la])</f>
        <v>Collectio sententiarum Vasconicarum.</v>
      </c>
      <c r="J752" t="str">
        <f>_xlfn.XLOOKUP(frasest[[#This Row],[author_es]],autorest[author_es],autorest[iso3691])</f>
        <v>eu</v>
      </c>
      <c r="K752" t="str">
        <f>_xlfn.XLOOKUP(frasest[[#This Row],[author_es]],autorest[author_es],autorest[language_es])</f>
        <v>Euskara</v>
      </c>
      <c r="L752" t="str">
        <f>_xlfn.XLOOKUP(frasest[[#This Row],[author_es]],autorest[author_es],autorest[language_la])</f>
        <v>Lingua Vasconica</v>
      </c>
      <c r="M752" t="str">
        <f>_xlfn.XLOOKUP(frasest[[#This Row],[author_es]],autorest[author_es],autorest[nation_es])</f>
        <v>España</v>
      </c>
      <c r="N752" t="str">
        <f>_xlfn.XLOOKUP(frasest[[#This Row],[author_es]],autorest[author_es],autorest[nation_la])</f>
        <v>Hispania</v>
      </c>
      <c r="O752" t="str">
        <f>_xlfn.XLOOKUP(frasest[[#This Row],[author_es]],autorest[author_es],autorest[age_es])</f>
        <v>Epoca Desconocida</v>
      </c>
      <c r="P752" t="str">
        <f>_xlfn.XLOOKUP(frasest[[#This Row],[author_es]],autorest[author_es],autorest[age_la])</f>
        <v>Epocha Ignota</v>
      </c>
      <c r="Q752" t="str">
        <f>_xlfn.XLOOKUP(frasest[[#This Row],[author_es]],autorest[author_es],autorest[image])</f>
        <v>https://i.ibb.co/bjgxB3kn/euskadi.png</v>
      </c>
      <c r="R752">
        <f>_xlfn.XLOOKUP(frasest[[#This Row],[author_es]],autorest[author_es],autorest[image_atr])</f>
        <v>0</v>
      </c>
    </row>
    <row r="753" spans="1:18">
      <c r="A753">
        <v>752</v>
      </c>
      <c r="B753" t="s">
        <v>2536</v>
      </c>
      <c r="C753" t="s">
        <v>2537</v>
      </c>
      <c r="D753" t="s">
        <v>2538</v>
      </c>
      <c r="E753" t="s">
        <v>1236</v>
      </c>
      <c r="G753" t="str">
        <f>_xlfn.XLOOKUP(frasest[[#This Row],[author_es]],autorest[author_es],autorest[author_la])</f>
        <v>Sententia Vasconica</v>
      </c>
      <c r="H753" t="str">
        <f>_xlfn.XLOOKUP(frasest[[#This Row],[author_es]],autorest[author_es],autorest[bio_es])</f>
        <v>Proverbios de la tradición oral vasca que reflejan la relación con la naturaleza, el trabajo y los valores comunitarios del pueblo vasco.</v>
      </c>
      <c r="I753" t="str">
        <f>_xlfn.XLOOKUP(frasest[[#This Row],[author_es]],autorest[author_es],autorest[bio_la])</f>
        <v>Collectio sententiarum Vasconicarum.</v>
      </c>
      <c r="J753" t="str">
        <f>_xlfn.XLOOKUP(frasest[[#This Row],[author_es]],autorest[author_es],autorest[iso3691])</f>
        <v>eu</v>
      </c>
      <c r="K753" t="str">
        <f>_xlfn.XLOOKUP(frasest[[#This Row],[author_es]],autorest[author_es],autorest[language_es])</f>
        <v>Euskara</v>
      </c>
      <c r="L753" t="str">
        <f>_xlfn.XLOOKUP(frasest[[#This Row],[author_es]],autorest[author_es],autorest[language_la])</f>
        <v>Lingua Vasconica</v>
      </c>
      <c r="M753" t="str">
        <f>_xlfn.XLOOKUP(frasest[[#This Row],[author_es]],autorest[author_es],autorest[nation_es])</f>
        <v>España</v>
      </c>
      <c r="N753" t="str">
        <f>_xlfn.XLOOKUP(frasest[[#This Row],[author_es]],autorest[author_es],autorest[nation_la])</f>
        <v>Hispania</v>
      </c>
      <c r="O753" t="str">
        <f>_xlfn.XLOOKUP(frasest[[#This Row],[author_es]],autorest[author_es],autorest[age_es])</f>
        <v>Epoca Desconocida</v>
      </c>
      <c r="P753" t="str">
        <f>_xlfn.XLOOKUP(frasest[[#This Row],[author_es]],autorest[author_es],autorest[age_la])</f>
        <v>Epocha Ignota</v>
      </c>
      <c r="Q753" t="str">
        <f>_xlfn.XLOOKUP(frasest[[#This Row],[author_es]],autorest[author_es],autorest[image])</f>
        <v>https://i.ibb.co/bjgxB3kn/euskadi.png</v>
      </c>
      <c r="R753">
        <f>_xlfn.XLOOKUP(frasest[[#This Row],[author_es]],autorest[author_es],autorest[image_atr])</f>
        <v>0</v>
      </c>
    </row>
    <row r="754" spans="1:18">
      <c r="A754">
        <v>753</v>
      </c>
      <c r="B754" t="s">
        <v>2539</v>
      </c>
      <c r="C754" t="s">
        <v>2540</v>
      </c>
      <c r="D754" t="s">
        <v>2541</v>
      </c>
      <c r="E754" t="s">
        <v>1236</v>
      </c>
      <c r="G754" t="str">
        <f>_xlfn.XLOOKUP(frasest[[#This Row],[author_es]],autorest[author_es],autorest[author_la])</f>
        <v>Sententia Vasconica</v>
      </c>
      <c r="H754" t="str">
        <f>_xlfn.XLOOKUP(frasest[[#This Row],[author_es]],autorest[author_es],autorest[bio_es])</f>
        <v>Proverbios de la tradición oral vasca que reflejan la relación con la naturaleza, el trabajo y los valores comunitarios del pueblo vasco.</v>
      </c>
      <c r="I754" t="str">
        <f>_xlfn.XLOOKUP(frasest[[#This Row],[author_es]],autorest[author_es],autorest[bio_la])</f>
        <v>Collectio sententiarum Vasconicarum.</v>
      </c>
      <c r="J754" t="str">
        <f>_xlfn.XLOOKUP(frasest[[#This Row],[author_es]],autorest[author_es],autorest[iso3691])</f>
        <v>eu</v>
      </c>
      <c r="K754" t="str">
        <f>_xlfn.XLOOKUP(frasest[[#This Row],[author_es]],autorest[author_es],autorest[language_es])</f>
        <v>Euskara</v>
      </c>
      <c r="L754" t="str">
        <f>_xlfn.XLOOKUP(frasest[[#This Row],[author_es]],autorest[author_es],autorest[language_la])</f>
        <v>Lingua Vasconica</v>
      </c>
      <c r="M754" t="str">
        <f>_xlfn.XLOOKUP(frasest[[#This Row],[author_es]],autorest[author_es],autorest[nation_es])</f>
        <v>España</v>
      </c>
      <c r="N754" t="str">
        <f>_xlfn.XLOOKUP(frasest[[#This Row],[author_es]],autorest[author_es],autorest[nation_la])</f>
        <v>Hispania</v>
      </c>
      <c r="O754" t="str">
        <f>_xlfn.XLOOKUP(frasest[[#This Row],[author_es]],autorest[author_es],autorest[age_es])</f>
        <v>Epoca Desconocida</v>
      </c>
      <c r="P754" t="str">
        <f>_xlfn.XLOOKUP(frasest[[#This Row],[author_es]],autorest[author_es],autorest[age_la])</f>
        <v>Epocha Ignota</v>
      </c>
      <c r="Q754" t="str">
        <f>_xlfn.XLOOKUP(frasest[[#This Row],[author_es]],autorest[author_es],autorest[image])</f>
        <v>https://i.ibb.co/bjgxB3kn/euskadi.png</v>
      </c>
      <c r="R754">
        <f>_xlfn.XLOOKUP(frasest[[#This Row],[author_es]],autorest[author_es],autorest[image_atr])</f>
        <v>0</v>
      </c>
    </row>
    <row r="755" spans="1:18">
      <c r="A755">
        <v>754</v>
      </c>
      <c r="B755" t="s">
        <v>2542</v>
      </c>
      <c r="C755" t="s">
        <v>2543</v>
      </c>
      <c r="D755" t="s">
        <v>2544</v>
      </c>
      <c r="E755" t="s">
        <v>1236</v>
      </c>
      <c r="G755" t="str">
        <f>_xlfn.XLOOKUP(frasest[[#This Row],[author_es]],autorest[author_es],autorest[author_la])</f>
        <v>Sententia Vasconica</v>
      </c>
      <c r="H755" t="str">
        <f>_xlfn.XLOOKUP(frasest[[#This Row],[author_es]],autorest[author_es],autorest[bio_es])</f>
        <v>Proverbios de la tradición oral vasca que reflejan la relación con la naturaleza, el trabajo y los valores comunitarios del pueblo vasco.</v>
      </c>
      <c r="I755" t="str">
        <f>_xlfn.XLOOKUP(frasest[[#This Row],[author_es]],autorest[author_es],autorest[bio_la])</f>
        <v>Collectio sententiarum Vasconicarum.</v>
      </c>
      <c r="J755" t="str">
        <f>_xlfn.XLOOKUP(frasest[[#This Row],[author_es]],autorest[author_es],autorest[iso3691])</f>
        <v>eu</v>
      </c>
      <c r="K755" t="str">
        <f>_xlfn.XLOOKUP(frasest[[#This Row],[author_es]],autorest[author_es],autorest[language_es])</f>
        <v>Euskara</v>
      </c>
      <c r="L755" t="str">
        <f>_xlfn.XLOOKUP(frasest[[#This Row],[author_es]],autorest[author_es],autorest[language_la])</f>
        <v>Lingua Vasconica</v>
      </c>
      <c r="M755" t="str">
        <f>_xlfn.XLOOKUP(frasest[[#This Row],[author_es]],autorest[author_es],autorest[nation_es])</f>
        <v>España</v>
      </c>
      <c r="N755" t="str">
        <f>_xlfn.XLOOKUP(frasest[[#This Row],[author_es]],autorest[author_es],autorest[nation_la])</f>
        <v>Hispania</v>
      </c>
      <c r="O755" t="str">
        <f>_xlfn.XLOOKUP(frasest[[#This Row],[author_es]],autorest[author_es],autorest[age_es])</f>
        <v>Epoca Desconocida</v>
      </c>
      <c r="P755" t="str">
        <f>_xlfn.XLOOKUP(frasest[[#This Row],[author_es]],autorest[author_es],autorest[age_la])</f>
        <v>Epocha Ignota</v>
      </c>
      <c r="Q755" t="str">
        <f>_xlfn.XLOOKUP(frasest[[#This Row],[author_es]],autorest[author_es],autorest[image])</f>
        <v>https://i.ibb.co/bjgxB3kn/euskadi.png</v>
      </c>
      <c r="R755">
        <f>_xlfn.XLOOKUP(frasest[[#This Row],[author_es]],autorest[author_es],autorest[image_atr])</f>
        <v>0</v>
      </c>
    </row>
    <row r="756" spans="1:18">
      <c r="A756">
        <v>755</v>
      </c>
      <c r="B756" t="s">
        <v>2545</v>
      </c>
      <c r="C756" t="s">
        <v>2546</v>
      </c>
      <c r="D756" t="s">
        <v>2547</v>
      </c>
      <c r="E756" t="s">
        <v>1236</v>
      </c>
      <c r="G756" t="str">
        <f>_xlfn.XLOOKUP(frasest[[#This Row],[author_es]],autorest[author_es],autorest[author_la])</f>
        <v>Sententia Vasconica</v>
      </c>
      <c r="H756" t="str">
        <f>_xlfn.XLOOKUP(frasest[[#This Row],[author_es]],autorest[author_es],autorest[bio_es])</f>
        <v>Proverbios de la tradición oral vasca que reflejan la relación con la naturaleza, el trabajo y los valores comunitarios del pueblo vasco.</v>
      </c>
      <c r="I756" t="str">
        <f>_xlfn.XLOOKUP(frasest[[#This Row],[author_es]],autorest[author_es],autorest[bio_la])</f>
        <v>Collectio sententiarum Vasconicarum.</v>
      </c>
      <c r="J756" t="str">
        <f>_xlfn.XLOOKUP(frasest[[#This Row],[author_es]],autorest[author_es],autorest[iso3691])</f>
        <v>eu</v>
      </c>
      <c r="K756" t="str">
        <f>_xlfn.XLOOKUP(frasest[[#This Row],[author_es]],autorest[author_es],autorest[language_es])</f>
        <v>Euskara</v>
      </c>
      <c r="L756" t="str">
        <f>_xlfn.XLOOKUP(frasest[[#This Row],[author_es]],autorest[author_es],autorest[language_la])</f>
        <v>Lingua Vasconica</v>
      </c>
      <c r="M756" t="str">
        <f>_xlfn.XLOOKUP(frasest[[#This Row],[author_es]],autorest[author_es],autorest[nation_es])</f>
        <v>España</v>
      </c>
      <c r="N756" t="str">
        <f>_xlfn.XLOOKUP(frasest[[#This Row],[author_es]],autorest[author_es],autorest[nation_la])</f>
        <v>Hispania</v>
      </c>
      <c r="O756" t="str">
        <f>_xlfn.XLOOKUP(frasest[[#This Row],[author_es]],autorest[author_es],autorest[age_es])</f>
        <v>Epoca Desconocida</v>
      </c>
      <c r="P756" t="str">
        <f>_xlfn.XLOOKUP(frasest[[#This Row],[author_es]],autorest[author_es],autorest[age_la])</f>
        <v>Epocha Ignota</v>
      </c>
      <c r="Q756" t="str">
        <f>_xlfn.XLOOKUP(frasest[[#This Row],[author_es]],autorest[author_es],autorest[image])</f>
        <v>https://i.ibb.co/bjgxB3kn/euskadi.png</v>
      </c>
      <c r="R756">
        <f>_xlfn.XLOOKUP(frasest[[#This Row],[author_es]],autorest[author_es],autorest[image_atr])</f>
        <v>0</v>
      </c>
    </row>
    <row r="757" spans="1:18">
      <c r="A757">
        <v>756</v>
      </c>
      <c r="B757" t="s">
        <v>2548</v>
      </c>
      <c r="C757" t="s">
        <v>2549</v>
      </c>
      <c r="D757" t="s">
        <v>2550</v>
      </c>
      <c r="E757" t="s">
        <v>1236</v>
      </c>
      <c r="G757" t="str">
        <f>_xlfn.XLOOKUP(frasest[[#This Row],[author_es]],autorest[author_es],autorest[author_la])</f>
        <v>Sententia Vasconica</v>
      </c>
      <c r="H757" t="str">
        <f>_xlfn.XLOOKUP(frasest[[#This Row],[author_es]],autorest[author_es],autorest[bio_es])</f>
        <v>Proverbios de la tradición oral vasca que reflejan la relación con la naturaleza, el trabajo y los valores comunitarios del pueblo vasco.</v>
      </c>
      <c r="I757" t="str">
        <f>_xlfn.XLOOKUP(frasest[[#This Row],[author_es]],autorest[author_es],autorest[bio_la])</f>
        <v>Collectio sententiarum Vasconicarum.</v>
      </c>
      <c r="J757" t="str">
        <f>_xlfn.XLOOKUP(frasest[[#This Row],[author_es]],autorest[author_es],autorest[iso3691])</f>
        <v>eu</v>
      </c>
      <c r="K757" t="str">
        <f>_xlfn.XLOOKUP(frasest[[#This Row],[author_es]],autorest[author_es],autorest[language_es])</f>
        <v>Euskara</v>
      </c>
      <c r="L757" t="str">
        <f>_xlfn.XLOOKUP(frasest[[#This Row],[author_es]],autorest[author_es],autorest[language_la])</f>
        <v>Lingua Vasconica</v>
      </c>
      <c r="M757" t="str">
        <f>_xlfn.XLOOKUP(frasest[[#This Row],[author_es]],autorest[author_es],autorest[nation_es])</f>
        <v>España</v>
      </c>
      <c r="N757" t="str">
        <f>_xlfn.XLOOKUP(frasest[[#This Row],[author_es]],autorest[author_es],autorest[nation_la])</f>
        <v>Hispania</v>
      </c>
      <c r="O757" t="str">
        <f>_xlfn.XLOOKUP(frasest[[#This Row],[author_es]],autorest[author_es],autorest[age_es])</f>
        <v>Epoca Desconocida</v>
      </c>
      <c r="P757" t="str">
        <f>_xlfn.XLOOKUP(frasest[[#This Row],[author_es]],autorest[author_es],autorest[age_la])</f>
        <v>Epocha Ignota</v>
      </c>
      <c r="Q757" t="str">
        <f>_xlfn.XLOOKUP(frasest[[#This Row],[author_es]],autorest[author_es],autorest[image])</f>
        <v>https://i.ibb.co/bjgxB3kn/euskadi.png</v>
      </c>
      <c r="R757">
        <f>_xlfn.XLOOKUP(frasest[[#This Row],[author_es]],autorest[author_es],autorest[image_atr])</f>
        <v>0</v>
      </c>
    </row>
    <row r="758" spans="1:18">
      <c r="A758">
        <v>757</v>
      </c>
      <c r="B758" t="s">
        <v>2551</v>
      </c>
      <c r="C758" t="s">
        <v>2552</v>
      </c>
      <c r="D758" t="s">
        <v>2553</v>
      </c>
      <c r="E758" t="s">
        <v>1236</v>
      </c>
      <c r="G758" t="str">
        <f>_xlfn.XLOOKUP(frasest[[#This Row],[author_es]],autorest[author_es],autorest[author_la])</f>
        <v>Sententia Vasconica</v>
      </c>
      <c r="H758" t="str">
        <f>_xlfn.XLOOKUP(frasest[[#This Row],[author_es]],autorest[author_es],autorest[bio_es])</f>
        <v>Proverbios de la tradición oral vasca que reflejan la relación con la naturaleza, el trabajo y los valores comunitarios del pueblo vasco.</v>
      </c>
      <c r="I758" t="str">
        <f>_xlfn.XLOOKUP(frasest[[#This Row],[author_es]],autorest[author_es],autorest[bio_la])</f>
        <v>Collectio sententiarum Vasconicarum.</v>
      </c>
      <c r="J758" t="str">
        <f>_xlfn.XLOOKUP(frasest[[#This Row],[author_es]],autorest[author_es],autorest[iso3691])</f>
        <v>eu</v>
      </c>
      <c r="K758" t="str">
        <f>_xlfn.XLOOKUP(frasest[[#This Row],[author_es]],autorest[author_es],autorest[language_es])</f>
        <v>Euskara</v>
      </c>
      <c r="L758" t="str">
        <f>_xlfn.XLOOKUP(frasest[[#This Row],[author_es]],autorest[author_es],autorest[language_la])</f>
        <v>Lingua Vasconica</v>
      </c>
      <c r="M758" t="str">
        <f>_xlfn.XLOOKUP(frasest[[#This Row],[author_es]],autorest[author_es],autorest[nation_es])</f>
        <v>España</v>
      </c>
      <c r="N758" t="str">
        <f>_xlfn.XLOOKUP(frasest[[#This Row],[author_es]],autorest[author_es],autorest[nation_la])</f>
        <v>Hispania</v>
      </c>
      <c r="O758" t="str">
        <f>_xlfn.XLOOKUP(frasest[[#This Row],[author_es]],autorest[author_es],autorest[age_es])</f>
        <v>Epoca Desconocida</v>
      </c>
      <c r="P758" t="str">
        <f>_xlfn.XLOOKUP(frasest[[#This Row],[author_es]],autorest[author_es],autorest[age_la])</f>
        <v>Epocha Ignota</v>
      </c>
      <c r="Q758" t="str">
        <f>_xlfn.XLOOKUP(frasest[[#This Row],[author_es]],autorest[author_es],autorest[image])</f>
        <v>https://i.ibb.co/bjgxB3kn/euskadi.png</v>
      </c>
      <c r="R758">
        <f>_xlfn.XLOOKUP(frasest[[#This Row],[author_es]],autorest[author_es],autorest[image_atr])</f>
        <v>0</v>
      </c>
    </row>
    <row r="759" spans="1:18">
      <c r="A759">
        <v>758</v>
      </c>
      <c r="B759" t="s">
        <v>2554</v>
      </c>
      <c r="C759" t="s">
        <v>2555</v>
      </c>
      <c r="D759" t="s">
        <v>2556</v>
      </c>
      <c r="E759" t="s">
        <v>1236</v>
      </c>
      <c r="G759" t="str">
        <f>_xlfn.XLOOKUP(frasest[[#This Row],[author_es]],autorest[author_es],autorest[author_la])</f>
        <v>Sententia Vasconica</v>
      </c>
      <c r="H759" t="str">
        <f>_xlfn.XLOOKUP(frasest[[#This Row],[author_es]],autorest[author_es],autorest[bio_es])</f>
        <v>Proverbios de la tradición oral vasca que reflejan la relación con la naturaleza, el trabajo y los valores comunitarios del pueblo vasco.</v>
      </c>
      <c r="I759" t="str">
        <f>_xlfn.XLOOKUP(frasest[[#This Row],[author_es]],autorest[author_es],autorest[bio_la])</f>
        <v>Collectio sententiarum Vasconicarum.</v>
      </c>
      <c r="J759" t="str">
        <f>_xlfn.XLOOKUP(frasest[[#This Row],[author_es]],autorest[author_es],autorest[iso3691])</f>
        <v>eu</v>
      </c>
      <c r="K759" t="str">
        <f>_xlfn.XLOOKUP(frasest[[#This Row],[author_es]],autorest[author_es],autorest[language_es])</f>
        <v>Euskara</v>
      </c>
      <c r="L759" t="str">
        <f>_xlfn.XLOOKUP(frasest[[#This Row],[author_es]],autorest[author_es],autorest[language_la])</f>
        <v>Lingua Vasconica</v>
      </c>
      <c r="M759" t="str">
        <f>_xlfn.XLOOKUP(frasest[[#This Row],[author_es]],autorest[author_es],autorest[nation_es])</f>
        <v>España</v>
      </c>
      <c r="N759" t="str">
        <f>_xlfn.XLOOKUP(frasest[[#This Row],[author_es]],autorest[author_es],autorest[nation_la])</f>
        <v>Hispania</v>
      </c>
      <c r="O759" t="str">
        <f>_xlfn.XLOOKUP(frasest[[#This Row],[author_es]],autorest[author_es],autorest[age_es])</f>
        <v>Epoca Desconocida</v>
      </c>
      <c r="P759" t="str">
        <f>_xlfn.XLOOKUP(frasest[[#This Row],[author_es]],autorest[author_es],autorest[age_la])</f>
        <v>Epocha Ignota</v>
      </c>
      <c r="Q759" t="str">
        <f>_xlfn.XLOOKUP(frasest[[#This Row],[author_es]],autorest[author_es],autorest[image])</f>
        <v>https://i.ibb.co/bjgxB3kn/euskadi.png</v>
      </c>
      <c r="R759">
        <f>_xlfn.XLOOKUP(frasest[[#This Row],[author_es]],autorest[author_es],autorest[image_atr])</f>
        <v>0</v>
      </c>
    </row>
    <row r="760" spans="1:18">
      <c r="A760">
        <v>759</v>
      </c>
      <c r="B760" t="s">
        <v>2557</v>
      </c>
      <c r="C760" t="s">
        <v>2558</v>
      </c>
      <c r="D760" t="s">
        <v>2559</v>
      </c>
      <c r="E760" t="s">
        <v>1236</v>
      </c>
      <c r="G760" t="str">
        <f>_xlfn.XLOOKUP(frasest[[#This Row],[author_es]],autorest[author_es],autorest[author_la])</f>
        <v>Sententia Vasconica</v>
      </c>
      <c r="H760" t="str">
        <f>_xlfn.XLOOKUP(frasest[[#This Row],[author_es]],autorest[author_es],autorest[bio_es])</f>
        <v>Proverbios de la tradición oral vasca que reflejan la relación con la naturaleza, el trabajo y los valores comunitarios del pueblo vasco.</v>
      </c>
      <c r="I760" t="str">
        <f>_xlfn.XLOOKUP(frasest[[#This Row],[author_es]],autorest[author_es],autorest[bio_la])</f>
        <v>Collectio sententiarum Vasconicarum.</v>
      </c>
      <c r="J760" t="str">
        <f>_xlfn.XLOOKUP(frasest[[#This Row],[author_es]],autorest[author_es],autorest[iso3691])</f>
        <v>eu</v>
      </c>
      <c r="K760" t="str">
        <f>_xlfn.XLOOKUP(frasest[[#This Row],[author_es]],autorest[author_es],autorest[language_es])</f>
        <v>Euskara</v>
      </c>
      <c r="L760" t="str">
        <f>_xlfn.XLOOKUP(frasest[[#This Row],[author_es]],autorest[author_es],autorest[language_la])</f>
        <v>Lingua Vasconica</v>
      </c>
      <c r="M760" t="str">
        <f>_xlfn.XLOOKUP(frasest[[#This Row],[author_es]],autorest[author_es],autorest[nation_es])</f>
        <v>España</v>
      </c>
      <c r="N760" t="str">
        <f>_xlfn.XLOOKUP(frasest[[#This Row],[author_es]],autorest[author_es],autorest[nation_la])</f>
        <v>Hispania</v>
      </c>
      <c r="O760" t="str">
        <f>_xlfn.XLOOKUP(frasest[[#This Row],[author_es]],autorest[author_es],autorest[age_es])</f>
        <v>Epoca Desconocida</v>
      </c>
      <c r="P760" t="str">
        <f>_xlfn.XLOOKUP(frasest[[#This Row],[author_es]],autorest[author_es],autorest[age_la])</f>
        <v>Epocha Ignota</v>
      </c>
      <c r="Q760" t="str">
        <f>_xlfn.XLOOKUP(frasest[[#This Row],[author_es]],autorest[author_es],autorest[image])</f>
        <v>https://i.ibb.co/bjgxB3kn/euskadi.png</v>
      </c>
      <c r="R760">
        <f>_xlfn.XLOOKUP(frasest[[#This Row],[author_es]],autorest[author_es],autorest[image_atr])</f>
        <v>0</v>
      </c>
    </row>
    <row r="761" spans="1:18">
      <c r="A761">
        <v>760</v>
      </c>
      <c r="B761" t="s">
        <v>2560</v>
      </c>
      <c r="C761" t="s">
        <v>2561</v>
      </c>
      <c r="D761" t="s">
        <v>2562</v>
      </c>
      <c r="E761" t="s">
        <v>1236</v>
      </c>
      <c r="G761" t="str">
        <f>_xlfn.XLOOKUP(frasest[[#This Row],[author_es]],autorest[author_es],autorest[author_la])</f>
        <v>Sententia Vasconica</v>
      </c>
      <c r="H761" t="str">
        <f>_xlfn.XLOOKUP(frasest[[#This Row],[author_es]],autorest[author_es],autorest[bio_es])</f>
        <v>Proverbios de la tradición oral vasca que reflejan la relación con la naturaleza, el trabajo y los valores comunitarios del pueblo vasco.</v>
      </c>
      <c r="I761" t="str">
        <f>_xlfn.XLOOKUP(frasest[[#This Row],[author_es]],autorest[author_es],autorest[bio_la])</f>
        <v>Collectio sententiarum Vasconicarum.</v>
      </c>
      <c r="J761" t="str">
        <f>_xlfn.XLOOKUP(frasest[[#This Row],[author_es]],autorest[author_es],autorest[iso3691])</f>
        <v>eu</v>
      </c>
      <c r="K761" t="str">
        <f>_xlfn.XLOOKUP(frasest[[#This Row],[author_es]],autorest[author_es],autorest[language_es])</f>
        <v>Euskara</v>
      </c>
      <c r="L761" t="str">
        <f>_xlfn.XLOOKUP(frasest[[#This Row],[author_es]],autorest[author_es],autorest[language_la])</f>
        <v>Lingua Vasconica</v>
      </c>
      <c r="M761" t="str">
        <f>_xlfn.XLOOKUP(frasest[[#This Row],[author_es]],autorest[author_es],autorest[nation_es])</f>
        <v>España</v>
      </c>
      <c r="N761" t="str">
        <f>_xlfn.XLOOKUP(frasest[[#This Row],[author_es]],autorest[author_es],autorest[nation_la])</f>
        <v>Hispania</v>
      </c>
      <c r="O761" t="str">
        <f>_xlfn.XLOOKUP(frasest[[#This Row],[author_es]],autorest[author_es],autorest[age_es])</f>
        <v>Epoca Desconocida</v>
      </c>
      <c r="P761" t="str">
        <f>_xlfn.XLOOKUP(frasest[[#This Row],[author_es]],autorest[author_es],autorest[age_la])</f>
        <v>Epocha Ignota</v>
      </c>
      <c r="Q761" t="str">
        <f>_xlfn.XLOOKUP(frasest[[#This Row],[author_es]],autorest[author_es],autorest[image])</f>
        <v>https://i.ibb.co/bjgxB3kn/euskadi.png</v>
      </c>
      <c r="R761">
        <f>_xlfn.XLOOKUP(frasest[[#This Row],[author_es]],autorest[author_es],autorest[image_atr])</f>
        <v>0</v>
      </c>
    </row>
    <row r="762" spans="1:18">
      <c r="A762">
        <v>761</v>
      </c>
      <c r="B762" t="s">
        <v>2563</v>
      </c>
      <c r="C762" t="s">
        <v>2564</v>
      </c>
      <c r="D762" t="s">
        <v>2565</v>
      </c>
      <c r="E762" t="s">
        <v>1236</v>
      </c>
      <c r="G762" t="str">
        <f>_xlfn.XLOOKUP(frasest[[#This Row],[author_es]],autorest[author_es],autorest[author_la])</f>
        <v>Sententia Vasconica</v>
      </c>
      <c r="H762" t="str">
        <f>_xlfn.XLOOKUP(frasest[[#This Row],[author_es]],autorest[author_es],autorest[bio_es])</f>
        <v>Proverbios de la tradición oral vasca que reflejan la relación con la naturaleza, el trabajo y los valores comunitarios del pueblo vasco.</v>
      </c>
      <c r="I762" t="str">
        <f>_xlfn.XLOOKUP(frasest[[#This Row],[author_es]],autorest[author_es],autorest[bio_la])</f>
        <v>Collectio sententiarum Vasconicarum.</v>
      </c>
      <c r="J762" t="str">
        <f>_xlfn.XLOOKUP(frasest[[#This Row],[author_es]],autorest[author_es],autorest[iso3691])</f>
        <v>eu</v>
      </c>
      <c r="K762" t="str">
        <f>_xlfn.XLOOKUP(frasest[[#This Row],[author_es]],autorest[author_es],autorest[language_es])</f>
        <v>Euskara</v>
      </c>
      <c r="L762" t="str">
        <f>_xlfn.XLOOKUP(frasest[[#This Row],[author_es]],autorest[author_es],autorest[language_la])</f>
        <v>Lingua Vasconica</v>
      </c>
      <c r="M762" t="str">
        <f>_xlfn.XLOOKUP(frasest[[#This Row],[author_es]],autorest[author_es],autorest[nation_es])</f>
        <v>España</v>
      </c>
      <c r="N762" t="str">
        <f>_xlfn.XLOOKUP(frasest[[#This Row],[author_es]],autorest[author_es],autorest[nation_la])</f>
        <v>Hispania</v>
      </c>
      <c r="O762" t="str">
        <f>_xlfn.XLOOKUP(frasest[[#This Row],[author_es]],autorest[author_es],autorest[age_es])</f>
        <v>Epoca Desconocida</v>
      </c>
      <c r="P762" t="str">
        <f>_xlfn.XLOOKUP(frasest[[#This Row],[author_es]],autorest[author_es],autorest[age_la])</f>
        <v>Epocha Ignota</v>
      </c>
      <c r="Q762" t="str">
        <f>_xlfn.XLOOKUP(frasest[[#This Row],[author_es]],autorest[author_es],autorest[image])</f>
        <v>https://i.ibb.co/bjgxB3kn/euskadi.png</v>
      </c>
      <c r="R762">
        <f>_xlfn.XLOOKUP(frasest[[#This Row],[author_es]],autorest[author_es],autorest[image_atr])</f>
        <v>0</v>
      </c>
    </row>
    <row r="763" spans="1:18">
      <c r="A763">
        <v>762</v>
      </c>
      <c r="B763" t="s">
        <v>2566</v>
      </c>
      <c r="C763" t="s">
        <v>2567</v>
      </c>
      <c r="D763" t="s">
        <v>2568</v>
      </c>
      <c r="E763" t="s">
        <v>1236</v>
      </c>
      <c r="G763" t="str">
        <f>_xlfn.XLOOKUP(frasest[[#This Row],[author_es]],autorest[author_es],autorest[author_la])</f>
        <v>Sententia Vasconica</v>
      </c>
      <c r="H763" t="str">
        <f>_xlfn.XLOOKUP(frasest[[#This Row],[author_es]],autorest[author_es],autorest[bio_es])</f>
        <v>Proverbios de la tradición oral vasca que reflejan la relación con la naturaleza, el trabajo y los valores comunitarios del pueblo vasco.</v>
      </c>
      <c r="I763" t="str">
        <f>_xlfn.XLOOKUP(frasest[[#This Row],[author_es]],autorest[author_es],autorest[bio_la])</f>
        <v>Collectio sententiarum Vasconicarum.</v>
      </c>
      <c r="J763" t="str">
        <f>_xlfn.XLOOKUP(frasest[[#This Row],[author_es]],autorest[author_es],autorest[iso3691])</f>
        <v>eu</v>
      </c>
      <c r="K763" t="str">
        <f>_xlfn.XLOOKUP(frasest[[#This Row],[author_es]],autorest[author_es],autorest[language_es])</f>
        <v>Euskara</v>
      </c>
      <c r="L763" t="str">
        <f>_xlfn.XLOOKUP(frasest[[#This Row],[author_es]],autorest[author_es],autorest[language_la])</f>
        <v>Lingua Vasconica</v>
      </c>
      <c r="M763" t="str">
        <f>_xlfn.XLOOKUP(frasest[[#This Row],[author_es]],autorest[author_es],autorest[nation_es])</f>
        <v>España</v>
      </c>
      <c r="N763" t="str">
        <f>_xlfn.XLOOKUP(frasest[[#This Row],[author_es]],autorest[author_es],autorest[nation_la])</f>
        <v>Hispania</v>
      </c>
      <c r="O763" t="str">
        <f>_xlfn.XLOOKUP(frasest[[#This Row],[author_es]],autorest[author_es],autorest[age_es])</f>
        <v>Epoca Desconocida</v>
      </c>
      <c r="P763" t="str">
        <f>_xlfn.XLOOKUP(frasest[[#This Row],[author_es]],autorest[author_es],autorest[age_la])</f>
        <v>Epocha Ignota</v>
      </c>
      <c r="Q763" t="str">
        <f>_xlfn.XLOOKUP(frasest[[#This Row],[author_es]],autorest[author_es],autorest[image])</f>
        <v>https://i.ibb.co/bjgxB3kn/euskadi.png</v>
      </c>
      <c r="R763">
        <f>_xlfn.XLOOKUP(frasest[[#This Row],[author_es]],autorest[author_es],autorest[image_atr])</f>
        <v>0</v>
      </c>
    </row>
    <row r="764" spans="1:18">
      <c r="A764">
        <v>763</v>
      </c>
      <c r="B764" t="s">
        <v>2569</v>
      </c>
      <c r="C764" t="s">
        <v>2570</v>
      </c>
      <c r="D764" t="s">
        <v>2571</v>
      </c>
      <c r="E764" t="s">
        <v>1236</v>
      </c>
      <c r="G764" t="str">
        <f>_xlfn.XLOOKUP(frasest[[#This Row],[author_es]],autorest[author_es],autorest[author_la])</f>
        <v>Sententia Vasconica</v>
      </c>
      <c r="H764" t="str">
        <f>_xlfn.XLOOKUP(frasest[[#This Row],[author_es]],autorest[author_es],autorest[bio_es])</f>
        <v>Proverbios de la tradición oral vasca que reflejan la relación con la naturaleza, el trabajo y los valores comunitarios del pueblo vasco.</v>
      </c>
      <c r="I764" t="str">
        <f>_xlfn.XLOOKUP(frasest[[#This Row],[author_es]],autorest[author_es],autorest[bio_la])</f>
        <v>Collectio sententiarum Vasconicarum.</v>
      </c>
      <c r="J764" t="str">
        <f>_xlfn.XLOOKUP(frasest[[#This Row],[author_es]],autorest[author_es],autorest[iso3691])</f>
        <v>eu</v>
      </c>
      <c r="K764" t="str">
        <f>_xlfn.XLOOKUP(frasest[[#This Row],[author_es]],autorest[author_es],autorest[language_es])</f>
        <v>Euskara</v>
      </c>
      <c r="L764" t="str">
        <f>_xlfn.XLOOKUP(frasest[[#This Row],[author_es]],autorest[author_es],autorest[language_la])</f>
        <v>Lingua Vasconica</v>
      </c>
      <c r="M764" t="str">
        <f>_xlfn.XLOOKUP(frasest[[#This Row],[author_es]],autorest[author_es],autorest[nation_es])</f>
        <v>España</v>
      </c>
      <c r="N764" t="str">
        <f>_xlfn.XLOOKUP(frasest[[#This Row],[author_es]],autorest[author_es],autorest[nation_la])</f>
        <v>Hispania</v>
      </c>
      <c r="O764" t="str">
        <f>_xlfn.XLOOKUP(frasest[[#This Row],[author_es]],autorest[author_es],autorest[age_es])</f>
        <v>Epoca Desconocida</v>
      </c>
      <c r="P764" t="str">
        <f>_xlfn.XLOOKUP(frasest[[#This Row],[author_es]],autorest[author_es],autorest[age_la])</f>
        <v>Epocha Ignota</v>
      </c>
      <c r="Q764" t="str">
        <f>_xlfn.XLOOKUP(frasest[[#This Row],[author_es]],autorest[author_es],autorest[image])</f>
        <v>https://i.ibb.co/bjgxB3kn/euskadi.png</v>
      </c>
      <c r="R764">
        <f>_xlfn.XLOOKUP(frasest[[#This Row],[author_es]],autorest[author_es],autorest[image_atr])</f>
        <v>0</v>
      </c>
    </row>
    <row r="765" spans="1:18">
      <c r="A765">
        <v>764</v>
      </c>
      <c r="B765" t="s">
        <v>2572</v>
      </c>
      <c r="C765" t="s">
        <v>2573</v>
      </c>
      <c r="D765" t="s">
        <v>2574</v>
      </c>
      <c r="E765" t="s">
        <v>1236</v>
      </c>
      <c r="G765" t="str">
        <f>_xlfn.XLOOKUP(frasest[[#This Row],[author_es]],autorest[author_es],autorest[author_la])</f>
        <v>Sententia Vasconica</v>
      </c>
      <c r="H765" t="str">
        <f>_xlfn.XLOOKUP(frasest[[#This Row],[author_es]],autorest[author_es],autorest[bio_es])</f>
        <v>Proverbios de la tradición oral vasca que reflejan la relación con la naturaleza, el trabajo y los valores comunitarios del pueblo vasco.</v>
      </c>
      <c r="I765" t="str">
        <f>_xlfn.XLOOKUP(frasest[[#This Row],[author_es]],autorest[author_es],autorest[bio_la])</f>
        <v>Collectio sententiarum Vasconicarum.</v>
      </c>
      <c r="J765" t="str">
        <f>_xlfn.XLOOKUP(frasest[[#This Row],[author_es]],autorest[author_es],autorest[iso3691])</f>
        <v>eu</v>
      </c>
      <c r="K765" t="str">
        <f>_xlfn.XLOOKUP(frasest[[#This Row],[author_es]],autorest[author_es],autorest[language_es])</f>
        <v>Euskara</v>
      </c>
      <c r="L765" t="str">
        <f>_xlfn.XLOOKUP(frasest[[#This Row],[author_es]],autorest[author_es],autorest[language_la])</f>
        <v>Lingua Vasconica</v>
      </c>
      <c r="M765" t="str">
        <f>_xlfn.XLOOKUP(frasest[[#This Row],[author_es]],autorest[author_es],autorest[nation_es])</f>
        <v>España</v>
      </c>
      <c r="N765" t="str">
        <f>_xlfn.XLOOKUP(frasest[[#This Row],[author_es]],autorest[author_es],autorest[nation_la])</f>
        <v>Hispania</v>
      </c>
      <c r="O765" t="str">
        <f>_xlfn.XLOOKUP(frasest[[#This Row],[author_es]],autorest[author_es],autorest[age_es])</f>
        <v>Epoca Desconocida</v>
      </c>
      <c r="P765" t="str">
        <f>_xlfn.XLOOKUP(frasest[[#This Row],[author_es]],autorest[author_es],autorest[age_la])</f>
        <v>Epocha Ignota</v>
      </c>
      <c r="Q765" t="str">
        <f>_xlfn.XLOOKUP(frasest[[#This Row],[author_es]],autorest[author_es],autorest[image])</f>
        <v>https://i.ibb.co/bjgxB3kn/euskadi.png</v>
      </c>
      <c r="R765">
        <f>_xlfn.XLOOKUP(frasest[[#This Row],[author_es]],autorest[author_es],autorest[image_atr])</f>
        <v>0</v>
      </c>
    </row>
    <row r="766" spans="1:18">
      <c r="A766">
        <v>765</v>
      </c>
      <c r="B766" t="s">
        <v>2575</v>
      </c>
      <c r="C766" t="s">
        <v>2576</v>
      </c>
      <c r="D766" t="s">
        <v>2332</v>
      </c>
      <c r="E766" t="s">
        <v>1236</v>
      </c>
      <c r="G766" t="str">
        <f>_xlfn.XLOOKUP(frasest[[#This Row],[author_es]],autorest[author_es],autorest[author_la])</f>
        <v>Sententia Vasconica</v>
      </c>
      <c r="H766" t="str">
        <f>_xlfn.XLOOKUP(frasest[[#This Row],[author_es]],autorest[author_es],autorest[bio_es])</f>
        <v>Proverbios de la tradición oral vasca que reflejan la relación con la naturaleza, el trabajo y los valores comunitarios del pueblo vasco.</v>
      </c>
      <c r="I766" t="str">
        <f>_xlfn.XLOOKUP(frasest[[#This Row],[author_es]],autorest[author_es],autorest[bio_la])</f>
        <v>Collectio sententiarum Vasconicarum.</v>
      </c>
      <c r="J766" t="str">
        <f>_xlfn.XLOOKUP(frasest[[#This Row],[author_es]],autorest[author_es],autorest[iso3691])</f>
        <v>eu</v>
      </c>
      <c r="K766" t="str">
        <f>_xlfn.XLOOKUP(frasest[[#This Row],[author_es]],autorest[author_es],autorest[language_es])</f>
        <v>Euskara</v>
      </c>
      <c r="L766" t="str">
        <f>_xlfn.XLOOKUP(frasest[[#This Row],[author_es]],autorest[author_es],autorest[language_la])</f>
        <v>Lingua Vasconica</v>
      </c>
      <c r="M766" t="str">
        <f>_xlfn.XLOOKUP(frasest[[#This Row],[author_es]],autorest[author_es],autorest[nation_es])</f>
        <v>España</v>
      </c>
      <c r="N766" t="str">
        <f>_xlfn.XLOOKUP(frasest[[#This Row],[author_es]],autorest[author_es],autorest[nation_la])</f>
        <v>Hispania</v>
      </c>
      <c r="O766" t="str">
        <f>_xlfn.XLOOKUP(frasest[[#This Row],[author_es]],autorest[author_es],autorest[age_es])</f>
        <v>Epoca Desconocida</v>
      </c>
      <c r="P766" t="str">
        <f>_xlfn.XLOOKUP(frasest[[#This Row],[author_es]],autorest[author_es],autorest[age_la])</f>
        <v>Epocha Ignota</v>
      </c>
      <c r="Q766" t="str">
        <f>_xlfn.XLOOKUP(frasest[[#This Row],[author_es]],autorest[author_es],autorest[image])</f>
        <v>https://i.ibb.co/bjgxB3kn/euskadi.png</v>
      </c>
      <c r="R766">
        <f>_xlfn.XLOOKUP(frasest[[#This Row],[author_es]],autorest[author_es],autorest[image_atr])</f>
        <v>0</v>
      </c>
    </row>
    <row r="767" spans="1:18">
      <c r="A767">
        <v>766</v>
      </c>
      <c r="B767" t="s">
        <v>2577</v>
      </c>
      <c r="C767" t="s">
        <v>2578</v>
      </c>
      <c r="D767" t="s">
        <v>2579</v>
      </c>
      <c r="E767" t="s">
        <v>1236</v>
      </c>
      <c r="G767" t="str">
        <f>_xlfn.XLOOKUP(frasest[[#This Row],[author_es]],autorest[author_es],autorest[author_la])</f>
        <v>Sententia Vasconica</v>
      </c>
      <c r="H767" t="str">
        <f>_xlfn.XLOOKUP(frasest[[#This Row],[author_es]],autorest[author_es],autorest[bio_es])</f>
        <v>Proverbios de la tradición oral vasca que reflejan la relación con la naturaleza, el trabajo y los valores comunitarios del pueblo vasco.</v>
      </c>
      <c r="I767" t="str">
        <f>_xlfn.XLOOKUP(frasest[[#This Row],[author_es]],autorest[author_es],autorest[bio_la])</f>
        <v>Collectio sententiarum Vasconicarum.</v>
      </c>
      <c r="J767" t="str">
        <f>_xlfn.XLOOKUP(frasest[[#This Row],[author_es]],autorest[author_es],autorest[iso3691])</f>
        <v>eu</v>
      </c>
      <c r="K767" t="str">
        <f>_xlfn.XLOOKUP(frasest[[#This Row],[author_es]],autorest[author_es],autorest[language_es])</f>
        <v>Euskara</v>
      </c>
      <c r="L767" t="str">
        <f>_xlfn.XLOOKUP(frasest[[#This Row],[author_es]],autorest[author_es],autorest[language_la])</f>
        <v>Lingua Vasconica</v>
      </c>
      <c r="M767" t="str">
        <f>_xlfn.XLOOKUP(frasest[[#This Row],[author_es]],autorest[author_es],autorest[nation_es])</f>
        <v>España</v>
      </c>
      <c r="N767" t="str">
        <f>_xlfn.XLOOKUP(frasest[[#This Row],[author_es]],autorest[author_es],autorest[nation_la])</f>
        <v>Hispania</v>
      </c>
      <c r="O767" t="str">
        <f>_xlfn.XLOOKUP(frasest[[#This Row],[author_es]],autorest[author_es],autorest[age_es])</f>
        <v>Epoca Desconocida</v>
      </c>
      <c r="P767" t="str">
        <f>_xlfn.XLOOKUP(frasest[[#This Row],[author_es]],autorest[author_es],autorest[age_la])</f>
        <v>Epocha Ignota</v>
      </c>
      <c r="Q767" t="str">
        <f>_xlfn.XLOOKUP(frasest[[#This Row],[author_es]],autorest[author_es],autorest[image])</f>
        <v>https://i.ibb.co/bjgxB3kn/euskadi.png</v>
      </c>
      <c r="R767">
        <f>_xlfn.XLOOKUP(frasest[[#This Row],[author_es]],autorest[author_es],autorest[image_atr])</f>
        <v>0</v>
      </c>
    </row>
    <row r="768" spans="1:18">
      <c r="A768">
        <v>767</v>
      </c>
      <c r="B768" t="s">
        <v>2580</v>
      </c>
      <c r="C768" t="s">
        <v>2581</v>
      </c>
      <c r="D768" t="s">
        <v>2582</v>
      </c>
      <c r="E768" t="s">
        <v>1236</v>
      </c>
      <c r="G768" t="str">
        <f>_xlfn.XLOOKUP(frasest[[#This Row],[author_es]],autorest[author_es],autorest[author_la])</f>
        <v>Sententia Vasconica</v>
      </c>
      <c r="H768" t="str">
        <f>_xlfn.XLOOKUP(frasest[[#This Row],[author_es]],autorest[author_es],autorest[bio_es])</f>
        <v>Proverbios de la tradición oral vasca que reflejan la relación con la naturaleza, el trabajo y los valores comunitarios del pueblo vasco.</v>
      </c>
      <c r="I768" t="str">
        <f>_xlfn.XLOOKUP(frasest[[#This Row],[author_es]],autorest[author_es],autorest[bio_la])</f>
        <v>Collectio sententiarum Vasconicarum.</v>
      </c>
      <c r="J768" t="str">
        <f>_xlfn.XLOOKUP(frasest[[#This Row],[author_es]],autorest[author_es],autorest[iso3691])</f>
        <v>eu</v>
      </c>
      <c r="K768" t="str">
        <f>_xlfn.XLOOKUP(frasest[[#This Row],[author_es]],autorest[author_es],autorest[language_es])</f>
        <v>Euskara</v>
      </c>
      <c r="L768" t="str">
        <f>_xlfn.XLOOKUP(frasest[[#This Row],[author_es]],autorest[author_es],autorest[language_la])</f>
        <v>Lingua Vasconica</v>
      </c>
      <c r="M768" t="str">
        <f>_xlfn.XLOOKUP(frasest[[#This Row],[author_es]],autorest[author_es],autorest[nation_es])</f>
        <v>España</v>
      </c>
      <c r="N768" t="str">
        <f>_xlfn.XLOOKUP(frasest[[#This Row],[author_es]],autorest[author_es],autorest[nation_la])</f>
        <v>Hispania</v>
      </c>
      <c r="O768" t="str">
        <f>_xlfn.XLOOKUP(frasest[[#This Row],[author_es]],autorest[author_es],autorest[age_es])</f>
        <v>Epoca Desconocida</v>
      </c>
      <c r="P768" t="str">
        <f>_xlfn.XLOOKUP(frasest[[#This Row],[author_es]],autorest[author_es],autorest[age_la])</f>
        <v>Epocha Ignota</v>
      </c>
      <c r="Q768" t="str">
        <f>_xlfn.XLOOKUP(frasest[[#This Row],[author_es]],autorest[author_es],autorest[image])</f>
        <v>https://i.ibb.co/bjgxB3kn/euskadi.png</v>
      </c>
      <c r="R768">
        <f>_xlfn.XLOOKUP(frasest[[#This Row],[author_es]],autorest[author_es],autorest[image_atr])</f>
        <v>0</v>
      </c>
    </row>
    <row r="769" spans="1:18">
      <c r="A769">
        <v>768</v>
      </c>
      <c r="B769" t="s">
        <v>2583</v>
      </c>
      <c r="C769" t="s">
        <v>2584</v>
      </c>
      <c r="D769" t="s">
        <v>2585</v>
      </c>
      <c r="E769" t="s">
        <v>1236</v>
      </c>
      <c r="G769" t="str">
        <f>_xlfn.XLOOKUP(frasest[[#This Row],[author_es]],autorest[author_es],autorest[author_la])</f>
        <v>Sententia Vasconica</v>
      </c>
      <c r="H769" t="str">
        <f>_xlfn.XLOOKUP(frasest[[#This Row],[author_es]],autorest[author_es],autorest[bio_es])</f>
        <v>Proverbios de la tradición oral vasca que reflejan la relación con la naturaleza, el trabajo y los valores comunitarios del pueblo vasco.</v>
      </c>
      <c r="I769" t="str">
        <f>_xlfn.XLOOKUP(frasest[[#This Row],[author_es]],autorest[author_es],autorest[bio_la])</f>
        <v>Collectio sententiarum Vasconicarum.</v>
      </c>
      <c r="J769" t="str">
        <f>_xlfn.XLOOKUP(frasest[[#This Row],[author_es]],autorest[author_es],autorest[iso3691])</f>
        <v>eu</v>
      </c>
      <c r="K769" t="str">
        <f>_xlfn.XLOOKUP(frasest[[#This Row],[author_es]],autorest[author_es],autorest[language_es])</f>
        <v>Euskara</v>
      </c>
      <c r="L769" t="str">
        <f>_xlfn.XLOOKUP(frasest[[#This Row],[author_es]],autorest[author_es],autorest[language_la])</f>
        <v>Lingua Vasconica</v>
      </c>
      <c r="M769" t="str">
        <f>_xlfn.XLOOKUP(frasest[[#This Row],[author_es]],autorest[author_es],autorest[nation_es])</f>
        <v>España</v>
      </c>
      <c r="N769" t="str">
        <f>_xlfn.XLOOKUP(frasest[[#This Row],[author_es]],autorest[author_es],autorest[nation_la])</f>
        <v>Hispania</v>
      </c>
      <c r="O769" t="str">
        <f>_xlfn.XLOOKUP(frasest[[#This Row],[author_es]],autorest[author_es],autorest[age_es])</f>
        <v>Epoca Desconocida</v>
      </c>
      <c r="P769" t="str">
        <f>_xlfn.XLOOKUP(frasest[[#This Row],[author_es]],autorest[author_es],autorest[age_la])</f>
        <v>Epocha Ignota</v>
      </c>
      <c r="Q769" t="str">
        <f>_xlfn.XLOOKUP(frasest[[#This Row],[author_es]],autorest[author_es],autorest[image])</f>
        <v>https://i.ibb.co/bjgxB3kn/euskadi.png</v>
      </c>
      <c r="R769">
        <f>_xlfn.XLOOKUP(frasest[[#This Row],[author_es]],autorest[author_es],autorest[image_atr])</f>
        <v>0</v>
      </c>
    </row>
    <row r="770" spans="1:18">
      <c r="A770">
        <v>769</v>
      </c>
      <c r="B770" t="s">
        <v>2586</v>
      </c>
      <c r="C770" t="s">
        <v>2587</v>
      </c>
      <c r="D770" t="s">
        <v>2588</v>
      </c>
      <c r="E770" t="s">
        <v>1236</v>
      </c>
      <c r="G770" t="str">
        <f>_xlfn.XLOOKUP(frasest[[#This Row],[author_es]],autorest[author_es],autorest[author_la])</f>
        <v>Sententia Vasconica</v>
      </c>
      <c r="H770" t="str">
        <f>_xlfn.XLOOKUP(frasest[[#This Row],[author_es]],autorest[author_es],autorest[bio_es])</f>
        <v>Proverbios de la tradición oral vasca que reflejan la relación con la naturaleza, el trabajo y los valores comunitarios del pueblo vasco.</v>
      </c>
      <c r="I770" t="str">
        <f>_xlfn.XLOOKUP(frasest[[#This Row],[author_es]],autorest[author_es],autorest[bio_la])</f>
        <v>Collectio sententiarum Vasconicarum.</v>
      </c>
      <c r="J770" t="str">
        <f>_xlfn.XLOOKUP(frasest[[#This Row],[author_es]],autorest[author_es],autorest[iso3691])</f>
        <v>eu</v>
      </c>
      <c r="K770" t="str">
        <f>_xlfn.XLOOKUP(frasest[[#This Row],[author_es]],autorest[author_es],autorest[language_es])</f>
        <v>Euskara</v>
      </c>
      <c r="L770" t="str">
        <f>_xlfn.XLOOKUP(frasest[[#This Row],[author_es]],autorest[author_es],autorest[language_la])</f>
        <v>Lingua Vasconica</v>
      </c>
      <c r="M770" t="str">
        <f>_xlfn.XLOOKUP(frasest[[#This Row],[author_es]],autorest[author_es],autorest[nation_es])</f>
        <v>España</v>
      </c>
      <c r="N770" t="str">
        <f>_xlfn.XLOOKUP(frasest[[#This Row],[author_es]],autorest[author_es],autorest[nation_la])</f>
        <v>Hispania</v>
      </c>
      <c r="O770" t="str">
        <f>_xlfn.XLOOKUP(frasest[[#This Row],[author_es]],autorest[author_es],autorest[age_es])</f>
        <v>Epoca Desconocida</v>
      </c>
      <c r="P770" t="str">
        <f>_xlfn.XLOOKUP(frasest[[#This Row],[author_es]],autorest[author_es],autorest[age_la])</f>
        <v>Epocha Ignota</v>
      </c>
      <c r="Q770" t="str">
        <f>_xlfn.XLOOKUP(frasest[[#This Row],[author_es]],autorest[author_es],autorest[image])</f>
        <v>https://i.ibb.co/bjgxB3kn/euskadi.png</v>
      </c>
      <c r="R770">
        <f>_xlfn.XLOOKUP(frasest[[#This Row],[author_es]],autorest[author_es],autorest[image_atr])</f>
        <v>0</v>
      </c>
    </row>
    <row r="771" spans="1:18">
      <c r="A771">
        <v>770</v>
      </c>
      <c r="B771" t="s">
        <v>2589</v>
      </c>
      <c r="C771" t="s">
        <v>2590</v>
      </c>
      <c r="D771" t="s">
        <v>2591</v>
      </c>
      <c r="E771" t="s">
        <v>1236</v>
      </c>
      <c r="G771" t="str">
        <f>_xlfn.XLOOKUP(frasest[[#This Row],[author_es]],autorest[author_es],autorest[author_la])</f>
        <v>Sententia Vasconica</v>
      </c>
      <c r="H771" t="str">
        <f>_xlfn.XLOOKUP(frasest[[#This Row],[author_es]],autorest[author_es],autorest[bio_es])</f>
        <v>Proverbios de la tradición oral vasca que reflejan la relación con la naturaleza, el trabajo y los valores comunitarios del pueblo vasco.</v>
      </c>
      <c r="I771" t="str">
        <f>_xlfn.XLOOKUP(frasest[[#This Row],[author_es]],autorest[author_es],autorest[bio_la])</f>
        <v>Collectio sententiarum Vasconicarum.</v>
      </c>
      <c r="J771" t="str">
        <f>_xlfn.XLOOKUP(frasest[[#This Row],[author_es]],autorest[author_es],autorest[iso3691])</f>
        <v>eu</v>
      </c>
      <c r="K771" t="str">
        <f>_xlfn.XLOOKUP(frasest[[#This Row],[author_es]],autorest[author_es],autorest[language_es])</f>
        <v>Euskara</v>
      </c>
      <c r="L771" t="str">
        <f>_xlfn.XLOOKUP(frasest[[#This Row],[author_es]],autorest[author_es],autorest[language_la])</f>
        <v>Lingua Vasconica</v>
      </c>
      <c r="M771" t="str">
        <f>_xlfn.XLOOKUP(frasest[[#This Row],[author_es]],autorest[author_es],autorest[nation_es])</f>
        <v>España</v>
      </c>
      <c r="N771" t="str">
        <f>_xlfn.XLOOKUP(frasest[[#This Row],[author_es]],autorest[author_es],autorest[nation_la])</f>
        <v>Hispania</v>
      </c>
      <c r="O771" t="str">
        <f>_xlfn.XLOOKUP(frasest[[#This Row],[author_es]],autorest[author_es],autorest[age_es])</f>
        <v>Epoca Desconocida</v>
      </c>
      <c r="P771" t="str">
        <f>_xlfn.XLOOKUP(frasest[[#This Row],[author_es]],autorest[author_es],autorest[age_la])</f>
        <v>Epocha Ignota</v>
      </c>
      <c r="Q771" t="str">
        <f>_xlfn.XLOOKUP(frasest[[#This Row],[author_es]],autorest[author_es],autorest[image])</f>
        <v>https://i.ibb.co/bjgxB3kn/euskadi.png</v>
      </c>
      <c r="R771">
        <f>_xlfn.XLOOKUP(frasest[[#This Row],[author_es]],autorest[author_es],autorest[image_atr])</f>
        <v>0</v>
      </c>
    </row>
    <row r="772" spans="1:18">
      <c r="A772">
        <v>771</v>
      </c>
      <c r="B772" t="s">
        <v>2592</v>
      </c>
      <c r="C772" t="s">
        <v>2593</v>
      </c>
      <c r="D772" t="s">
        <v>2594</v>
      </c>
      <c r="E772" t="s">
        <v>1236</v>
      </c>
      <c r="G772" t="str">
        <f>_xlfn.XLOOKUP(frasest[[#This Row],[author_es]],autorest[author_es],autorest[author_la])</f>
        <v>Sententia Vasconica</v>
      </c>
      <c r="H772" t="str">
        <f>_xlfn.XLOOKUP(frasest[[#This Row],[author_es]],autorest[author_es],autorest[bio_es])</f>
        <v>Proverbios de la tradición oral vasca que reflejan la relación con la naturaleza, el trabajo y los valores comunitarios del pueblo vasco.</v>
      </c>
      <c r="I772" t="str">
        <f>_xlfn.XLOOKUP(frasest[[#This Row],[author_es]],autorest[author_es],autorest[bio_la])</f>
        <v>Collectio sententiarum Vasconicarum.</v>
      </c>
      <c r="J772" t="str">
        <f>_xlfn.XLOOKUP(frasest[[#This Row],[author_es]],autorest[author_es],autorest[iso3691])</f>
        <v>eu</v>
      </c>
      <c r="K772" t="str">
        <f>_xlfn.XLOOKUP(frasest[[#This Row],[author_es]],autorest[author_es],autorest[language_es])</f>
        <v>Euskara</v>
      </c>
      <c r="L772" t="str">
        <f>_xlfn.XLOOKUP(frasest[[#This Row],[author_es]],autorest[author_es],autorest[language_la])</f>
        <v>Lingua Vasconica</v>
      </c>
      <c r="M772" t="str">
        <f>_xlfn.XLOOKUP(frasest[[#This Row],[author_es]],autorest[author_es],autorest[nation_es])</f>
        <v>España</v>
      </c>
      <c r="N772" t="str">
        <f>_xlfn.XLOOKUP(frasest[[#This Row],[author_es]],autorest[author_es],autorest[nation_la])</f>
        <v>Hispania</v>
      </c>
      <c r="O772" t="str">
        <f>_xlfn.XLOOKUP(frasest[[#This Row],[author_es]],autorest[author_es],autorest[age_es])</f>
        <v>Epoca Desconocida</v>
      </c>
      <c r="P772" t="str">
        <f>_xlfn.XLOOKUP(frasest[[#This Row],[author_es]],autorest[author_es],autorest[age_la])</f>
        <v>Epocha Ignota</v>
      </c>
      <c r="Q772" t="str">
        <f>_xlfn.XLOOKUP(frasest[[#This Row],[author_es]],autorest[author_es],autorest[image])</f>
        <v>https://i.ibb.co/bjgxB3kn/euskadi.png</v>
      </c>
      <c r="R772">
        <f>_xlfn.XLOOKUP(frasest[[#This Row],[author_es]],autorest[author_es],autorest[image_atr])</f>
        <v>0</v>
      </c>
    </row>
    <row r="773" spans="1:18">
      <c r="A773">
        <v>772</v>
      </c>
      <c r="B773" t="s">
        <v>2595</v>
      </c>
      <c r="C773" t="s">
        <v>2596</v>
      </c>
      <c r="D773" t="s">
        <v>2597</v>
      </c>
      <c r="E773" t="s">
        <v>1236</v>
      </c>
      <c r="G773" t="str">
        <f>_xlfn.XLOOKUP(frasest[[#This Row],[author_es]],autorest[author_es],autorest[author_la])</f>
        <v>Sententia Vasconica</v>
      </c>
      <c r="H773" t="str">
        <f>_xlfn.XLOOKUP(frasest[[#This Row],[author_es]],autorest[author_es],autorest[bio_es])</f>
        <v>Proverbios de la tradición oral vasca que reflejan la relación con la naturaleza, el trabajo y los valores comunitarios del pueblo vasco.</v>
      </c>
      <c r="I773" t="str">
        <f>_xlfn.XLOOKUP(frasest[[#This Row],[author_es]],autorest[author_es],autorest[bio_la])</f>
        <v>Collectio sententiarum Vasconicarum.</v>
      </c>
      <c r="J773" t="str">
        <f>_xlfn.XLOOKUP(frasest[[#This Row],[author_es]],autorest[author_es],autorest[iso3691])</f>
        <v>eu</v>
      </c>
      <c r="K773" t="str">
        <f>_xlfn.XLOOKUP(frasest[[#This Row],[author_es]],autorest[author_es],autorest[language_es])</f>
        <v>Euskara</v>
      </c>
      <c r="L773" t="str">
        <f>_xlfn.XLOOKUP(frasest[[#This Row],[author_es]],autorest[author_es],autorest[language_la])</f>
        <v>Lingua Vasconica</v>
      </c>
      <c r="M773" t="str">
        <f>_xlfn.XLOOKUP(frasest[[#This Row],[author_es]],autorest[author_es],autorest[nation_es])</f>
        <v>España</v>
      </c>
      <c r="N773" t="str">
        <f>_xlfn.XLOOKUP(frasest[[#This Row],[author_es]],autorest[author_es],autorest[nation_la])</f>
        <v>Hispania</v>
      </c>
      <c r="O773" t="str">
        <f>_xlfn.XLOOKUP(frasest[[#This Row],[author_es]],autorest[author_es],autorest[age_es])</f>
        <v>Epoca Desconocida</v>
      </c>
      <c r="P773" t="str">
        <f>_xlfn.XLOOKUP(frasest[[#This Row],[author_es]],autorest[author_es],autorest[age_la])</f>
        <v>Epocha Ignota</v>
      </c>
      <c r="Q773" t="str">
        <f>_xlfn.XLOOKUP(frasest[[#This Row],[author_es]],autorest[author_es],autorest[image])</f>
        <v>https://i.ibb.co/bjgxB3kn/euskadi.png</v>
      </c>
      <c r="R773">
        <f>_xlfn.XLOOKUP(frasest[[#This Row],[author_es]],autorest[author_es],autorest[image_atr])</f>
        <v>0</v>
      </c>
    </row>
    <row r="774" spans="1:18">
      <c r="A774">
        <v>773</v>
      </c>
      <c r="B774" t="s">
        <v>2598</v>
      </c>
      <c r="C774" t="s">
        <v>2599</v>
      </c>
      <c r="D774" t="s">
        <v>2600</v>
      </c>
      <c r="E774" t="s">
        <v>1236</v>
      </c>
      <c r="G774" t="str">
        <f>_xlfn.XLOOKUP(frasest[[#This Row],[author_es]],autorest[author_es],autorest[author_la])</f>
        <v>Sententia Vasconica</v>
      </c>
      <c r="H774" t="str">
        <f>_xlfn.XLOOKUP(frasest[[#This Row],[author_es]],autorest[author_es],autorest[bio_es])</f>
        <v>Proverbios de la tradición oral vasca que reflejan la relación con la naturaleza, el trabajo y los valores comunitarios del pueblo vasco.</v>
      </c>
      <c r="I774" t="str">
        <f>_xlfn.XLOOKUP(frasest[[#This Row],[author_es]],autorest[author_es],autorest[bio_la])</f>
        <v>Collectio sententiarum Vasconicarum.</v>
      </c>
      <c r="J774" t="str">
        <f>_xlfn.XLOOKUP(frasest[[#This Row],[author_es]],autorest[author_es],autorest[iso3691])</f>
        <v>eu</v>
      </c>
      <c r="K774" t="str">
        <f>_xlfn.XLOOKUP(frasest[[#This Row],[author_es]],autorest[author_es],autorest[language_es])</f>
        <v>Euskara</v>
      </c>
      <c r="L774" t="str">
        <f>_xlfn.XLOOKUP(frasest[[#This Row],[author_es]],autorest[author_es],autorest[language_la])</f>
        <v>Lingua Vasconica</v>
      </c>
      <c r="M774" t="str">
        <f>_xlfn.XLOOKUP(frasest[[#This Row],[author_es]],autorest[author_es],autorest[nation_es])</f>
        <v>España</v>
      </c>
      <c r="N774" t="str">
        <f>_xlfn.XLOOKUP(frasest[[#This Row],[author_es]],autorest[author_es],autorest[nation_la])</f>
        <v>Hispania</v>
      </c>
      <c r="O774" t="str">
        <f>_xlfn.XLOOKUP(frasest[[#This Row],[author_es]],autorest[author_es],autorest[age_es])</f>
        <v>Epoca Desconocida</v>
      </c>
      <c r="P774" t="str">
        <f>_xlfn.XLOOKUP(frasest[[#This Row],[author_es]],autorest[author_es],autorest[age_la])</f>
        <v>Epocha Ignota</v>
      </c>
      <c r="Q774" t="str">
        <f>_xlfn.XLOOKUP(frasest[[#This Row],[author_es]],autorest[author_es],autorest[image])</f>
        <v>https://i.ibb.co/bjgxB3kn/euskadi.png</v>
      </c>
      <c r="R774">
        <f>_xlfn.XLOOKUP(frasest[[#This Row],[author_es]],autorest[author_es],autorest[image_atr])</f>
        <v>0</v>
      </c>
    </row>
    <row r="775" spans="1:18">
      <c r="A775">
        <v>774</v>
      </c>
      <c r="B775" t="s">
        <v>2601</v>
      </c>
      <c r="C775" t="s">
        <v>2602</v>
      </c>
      <c r="D775" t="s">
        <v>2603</v>
      </c>
      <c r="E775" t="s">
        <v>1236</v>
      </c>
      <c r="G775" t="str">
        <f>_xlfn.XLOOKUP(frasest[[#This Row],[author_es]],autorest[author_es],autorest[author_la])</f>
        <v>Sententia Vasconica</v>
      </c>
      <c r="H775" t="str">
        <f>_xlfn.XLOOKUP(frasest[[#This Row],[author_es]],autorest[author_es],autorest[bio_es])</f>
        <v>Proverbios de la tradición oral vasca que reflejan la relación con la naturaleza, el trabajo y los valores comunitarios del pueblo vasco.</v>
      </c>
      <c r="I775" t="str">
        <f>_xlfn.XLOOKUP(frasest[[#This Row],[author_es]],autorest[author_es],autorest[bio_la])</f>
        <v>Collectio sententiarum Vasconicarum.</v>
      </c>
      <c r="J775" t="str">
        <f>_xlfn.XLOOKUP(frasest[[#This Row],[author_es]],autorest[author_es],autorest[iso3691])</f>
        <v>eu</v>
      </c>
      <c r="K775" t="str">
        <f>_xlfn.XLOOKUP(frasest[[#This Row],[author_es]],autorest[author_es],autorest[language_es])</f>
        <v>Euskara</v>
      </c>
      <c r="L775" t="str">
        <f>_xlfn.XLOOKUP(frasest[[#This Row],[author_es]],autorest[author_es],autorest[language_la])</f>
        <v>Lingua Vasconica</v>
      </c>
      <c r="M775" t="str">
        <f>_xlfn.XLOOKUP(frasest[[#This Row],[author_es]],autorest[author_es],autorest[nation_es])</f>
        <v>España</v>
      </c>
      <c r="N775" t="str">
        <f>_xlfn.XLOOKUP(frasest[[#This Row],[author_es]],autorest[author_es],autorest[nation_la])</f>
        <v>Hispania</v>
      </c>
      <c r="O775" t="str">
        <f>_xlfn.XLOOKUP(frasest[[#This Row],[author_es]],autorest[author_es],autorest[age_es])</f>
        <v>Epoca Desconocida</v>
      </c>
      <c r="P775" t="str">
        <f>_xlfn.XLOOKUP(frasest[[#This Row],[author_es]],autorest[author_es],autorest[age_la])</f>
        <v>Epocha Ignota</v>
      </c>
      <c r="Q775" t="str">
        <f>_xlfn.XLOOKUP(frasest[[#This Row],[author_es]],autorest[author_es],autorest[image])</f>
        <v>https://i.ibb.co/bjgxB3kn/euskadi.png</v>
      </c>
      <c r="R775">
        <f>_xlfn.XLOOKUP(frasest[[#This Row],[author_es]],autorest[author_es],autorest[image_atr])</f>
        <v>0</v>
      </c>
    </row>
    <row r="776" spans="1:18">
      <c r="A776">
        <v>775</v>
      </c>
      <c r="B776" t="s">
        <v>2604</v>
      </c>
      <c r="C776" t="s">
        <v>2605</v>
      </c>
      <c r="D776" t="s">
        <v>2606</v>
      </c>
      <c r="E776" t="s">
        <v>1236</v>
      </c>
      <c r="G776" t="str">
        <f>_xlfn.XLOOKUP(frasest[[#This Row],[author_es]],autorest[author_es],autorest[author_la])</f>
        <v>Sententia Vasconica</v>
      </c>
      <c r="H776" t="str">
        <f>_xlfn.XLOOKUP(frasest[[#This Row],[author_es]],autorest[author_es],autorest[bio_es])</f>
        <v>Proverbios de la tradición oral vasca que reflejan la relación con la naturaleza, el trabajo y los valores comunitarios del pueblo vasco.</v>
      </c>
      <c r="I776" t="str">
        <f>_xlfn.XLOOKUP(frasest[[#This Row],[author_es]],autorest[author_es],autorest[bio_la])</f>
        <v>Collectio sententiarum Vasconicarum.</v>
      </c>
      <c r="J776" t="str">
        <f>_xlfn.XLOOKUP(frasest[[#This Row],[author_es]],autorest[author_es],autorest[iso3691])</f>
        <v>eu</v>
      </c>
      <c r="K776" t="str">
        <f>_xlfn.XLOOKUP(frasest[[#This Row],[author_es]],autorest[author_es],autorest[language_es])</f>
        <v>Euskara</v>
      </c>
      <c r="L776" t="str">
        <f>_xlfn.XLOOKUP(frasest[[#This Row],[author_es]],autorest[author_es],autorest[language_la])</f>
        <v>Lingua Vasconica</v>
      </c>
      <c r="M776" t="str">
        <f>_xlfn.XLOOKUP(frasest[[#This Row],[author_es]],autorest[author_es],autorest[nation_es])</f>
        <v>España</v>
      </c>
      <c r="N776" t="str">
        <f>_xlfn.XLOOKUP(frasest[[#This Row],[author_es]],autorest[author_es],autorest[nation_la])</f>
        <v>Hispania</v>
      </c>
      <c r="O776" t="str">
        <f>_xlfn.XLOOKUP(frasest[[#This Row],[author_es]],autorest[author_es],autorest[age_es])</f>
        <v>Epoca Desconocida</v>
      </c>
      <c r="P776" t="str">
        <f>_xlfn.XLOOKUP(frasest[[#This Row],[author_es]],autorest[author_es],autorest[age_la])</f>
        <v>Epocha Ignota</v>
      </c>
      <c r="Q776" t="str">
        <f>_xlfn.XLOOKUP(frasest[[#This Row],[author_es]],autorest[author_es],autorest[image])</f>
        <v>https://i.ibb.co/bjgxB3kn/euskadi.png</v>
      </c>
      <c r="R776">
        <f>_xlfn.XLOOKUP(frasest[[#This Row],[author_es]],autorest[author_es],autorest[image_atr])</f>
        <v>0</v>
      </c>
    </row>
    <row r="777" spans="1:18">
      <c r="A777">
        <v>776</v>
      </c>
      <c r="B777" t="s">
        <v>2607</v>
      </c>
      <c r="C777" t="s">
        <v>2608</v>
      </c>
      <c r="D777" t="s">
        <v>2609</v>
      </c>
      <c r="E777" t="s">
        <v>1236</v>
      </c>
      <c r="G777" t="str">
        <f>_xlfn.XLOOKUP(frasest[[#This Row],[author_es]],autorest[author_es],autorest[author_la])</f>
        <v>Sententia Vasconica</v>
      </c>
      <c r="H777" t="str">
        <f>_xlfn.XLOOKUP(frasest[[#This Row],[author_es]],autorest[author_es],autorest[bio_es])</f>
        <v>Proverbios de la tradición oral vasca que reflejan la relación con la naturaleza, el trabajo y los valores comunitarios del pueblo vasco.</v>
      </c>
      <c r="I777" t="str">
        <f>_xlfn.XLOOKUP(frasest[[#This Row],[author_es]],autorest[author_es],autorest[bio_la])</f>
        <v>Collectio sententiarum Vasconicarum.</v>
      </c>
      <c r="J777" t="str">
        <f>_xlfn.XLOOKUP(frasest[[#This Row],[author_es]],autorest[author_es],autorest[iso3691])</f>
        <v>eu</v>
      </c>
      <c r="K777" t="str">
        <f>_xlfn.XLOOKUP(frasest[[#This Row],[author_es]],autorest[author_es],autorest[language_es])</f>
        <v>Euskara</v>
      </c>
      <c r="L777" t="str">
        <f>_xlfn.XLOOKUP(frasest[[#This Row],[author_es]],autorest[author_es],autorest[language_la])</f>
        <v>Lingua Vasconica</v>
      </c>
      <c r="M777" t="str">
        <f>_xlfn.XLOOKUP(frasest[[#This Row],[author_es]],autorest[author_es],autorest[nation_es])</f>
        <v>España</v>
      </c>
      <c r="N777" t="str">
        <f>_xlfn.XLOOKUP(frasest[[#This Row],[author_es]],autorest[author_es],autorest[nation_la])</f>
        <v>Hispania</v>
      </c>
      <c r="O777" t="str">
        <f>_xlfn.XLOOKUP(frasest[[#This Row],[author_es]],autorest[author_es],autorest[age_es])</f>
        <v>Epoca Desconocida</v>
      </c>
      <c r="P777" t="str">
        <f>_xlfn.XLOOKUP(frasest[[#This Row],[author_es]],autorest[author_es],autorest[age_la])</f>
        <v>Epocha Ignota</v>
      </c>
      <c r="Q777" t="str">
        <f>_xlfn.XLOOKUP(frasest[[#This Row],[author_es]],autorest[author_es],autorest[image])</f>
        <v>https://i.ibb.co/bjgxB3kn/euskadi.png</v>
      </c>
      <c r="R777">
        <f>_xlfn.XLOOKUP(frasest[[#This Row],[author_es]],autorest[author_es],autorest[image_atr])</f>
        <v>0</v>
      </c>
    </row>
    <row r="778" spans="1:18">
      <c r="A778">
        <v>777</v>
      </c>
      <c r="B778" t="s">
        <v>2610</v>
      </c>
      <c r="C778" t="s">
        <v>2611</v>
      </c>
      <c r="D778" t="s">
        <v>2612</v>
      </c>
      <c r="E778" t="s">
        <v>1236</v>
      </c>
      <c r="G778" t="str">
        <f>_xlfn.XLOOKUP(frasest[[#This Row],[author_es]],autorest[author_es],autorest[author_la])</f>
        <v>Sententia Vasconica</v>
      </c>
      <c r="H778" t="str">
        <f>_xlfn.XLOOKUP(frasest[[#This Row],[author_es]],autorest[author_es],autorest[bio_es])</f>
        <v>Proverbios de la tradición oral vasca que reflejan la relación con la naturaleza, el trabajo y los valores comunitarios del pueblo vasco.</v>
      </c>
      <c r="I778" t="str">
        <f>_xlfn.XLOOKUP(frasest[[#This Row],[author_es]],autorest[author_es],autorest[bio_la])</f>
        <v>Collectio sententiarum Vasconicarum.</v>
      </c>
      <c r="J778" t="str">
        <f>_xlfn.XLOOKUP(frasest[[#This Row],[author_es]],autorest[author_es],autorest[iso3691])</f>
        <v>eu</v>
      </c>
      <c r="K778" t="str">
        <f>_xlfn.XLOOKUP(frasest[[#This Row],[author_es]],autorest[author_es],autorest[language_es])</f>
        <v>Euskara</v>
      </c>
      <c r="L778" t="str">
        <f>_xlfn.XLOOKUP(frasest[[#This Row],[author_es]],autorest[author_es],autorest[language_la])</f>
        <v>Lingua Vasconica</v>
      </c>
      <c r="M778" t="str">
        <f>_xlfn.XLOOKUP(frasest[[#This Row],[author_es]],autorest[author_es],autorest[nation_es])</f>
        <v>España</v>
      </c>
      <c r="N778" t="str">
        <f>_xlfn.XLOOKUP(frasest[[#This Row],[author_es]],autorest[author_es],autorest[nation_la])</f>
        <v>Hispania</v>
      </c>
      <c r="O778" t="str">
        <f>_xlfn.XLOOKUP(frasest[[#This Row],[author_es]],autorest[author_es],autorest[age_es])</f>
        <v>Epoca Desconocida</v>
      </c>
      <c r="P778" t="str">
        <f>_xlfn.XLOOKUP(frasest[[#This Row],[author_es]],autorest[author_es],autorest[age_la])</f>
        <v>Epocha Ignota</v>
      </c>
      <c r="Q778" t="str">
        <f>_xlfn.XLOOKUP(frasest[[#This Row],[author_es]],autorest[author_es],autorest[image])</f>
        <v>https://i.ibb.co/bjgxB3kn/euskadi.png</v>
      </c>
      <c r="R778">
        <f>_xlfn.XLOOKUP(frasest[[#This Row],[author_es]],autorest[author_es],autorest[image_atr])</f>
        <v>0</v>
      </c>
    </row>
    <row r="779" spans="1:18">
      <c r="A779">
        <v>778</v>
      </c>
      <c r="B779" t="s">
        <v>2613</v>
      </c>
      <c r="C779" t="s">
        <v>2614</v>
      </c>
      <c r="D779" t="s">
        <v>2615</v>
      </c>
      <c r="E779" t="s">
        <v>1236</v>
      </c>
      <c r="G779" t="str">
        <f>_xlfn.XLOOKUP(frasest[[#This Row],[author_es]],autorest[author_es],autorest[author_la])</f>
        <v>Sententia Vasconica</v>
      </c>
      <c r="H779" t="str">
        <f>_xlfn.XLOOKUP(frasest[[#This Row],[author_es]],autorest[author_es],autorest[bio_es])</f>
        <v>Proverbios de la tradición oral vasca que reflejan la relación con la naturaleza, el trabajo y los valores comunitarios del pueblo vasco.</v>
      </c>
      <c r="I779" t="str">
        <f>_xlfn.XLOOKUP(frasest[[#This Row],[author_es]],autorest[author_es],autorest[bio_la])</f>
        <v>Collectio sententiarum Vasconicarum.</v>
      </c>
      <c r="J779" t="str">
        <f>_xlfn.XLOOKUP(frasest[[#This Row],[author_es]],autorest[author_es],autorest[iso3691])</f>
        <v>eu</v>
      </c>
      <c r="K779" t="str">
        <f>_xlfn.XLOOKUP(frasest[[#This Row],[author_es]],autorest[author_es],autorest[language_es])</f>
        <v>Euskara</v>
      </c>
      <c r="L779" t="str">
        <f>_xlfn.XLOOKUP(frasest[[#This Row],[author_es]],autorest[author_es],autorest[language_la])</f>
        <v>Lingua Vasconica</v>
      </c>
      <c r="M779" t="str">
        <f>_xlfn.XLOOKUP(frasest[[#This Row],[author_es]],autorest[author_es],autorest[nation_es])</f>
        <v>España</v>
      </c>
      <c r="N779" t="str">
        <f>_xlfn.XLOOKUP(frasest[[#This Row],[author_es]],autorest[author_es],autorest[nation_la])</f>
        <v>Hispania</v>
      </c>
      <c r="O779" t="str">
        <f>_xlfn.XLOOKUP(frasest[[#This Row],[author_es]],autorest[author_es],autorest[age_es])</f>
        <v>Epoca Desconocida</v>
      </c>
      <c r="P779" t="str">
        <f>_xlfn.XLOOKUP(frasest[[#This Row],[author_es]],autorest[author_es],autorest[age_la])</f>
        <v>Epocha Ignota</v>
      </c>
      <c r="Q779" t="str">
        <f>_xlfn.XLOOKUP(frasest[[#This Row],[author_es]],autorest[author_es],autorest[image])</f>
        <v>https://i.ibb.co/bjgxB3kn/euskadi.png</v>
      </c>
      <c r="R779">
        <f>_xlfn.XLOOKUP(frasest[[#This Row],[author_es]],autorest[author_es],autorest[image_atr])</f>
        <v>0</v>
      </c>
    </row>
    <row r="780" spans="1:18">
      <c r="A780">
        <v>779</v>
      </c>
      <c r="B780" t="s">
        <v>2616</v>
      </c>
      <c r="C780" t="s">
        <v>2617</v>
      </c>
      <c r="D780" t="s">
        <v>2618</v>
      </c>
      <c r="E780" t="s">
        <v>1236</v>
      </c>
      <c r="G780" t="str">
        <f>_xlfn.XLOOKUP(frasest[[#This Row],[author_es]],autorest[author_es],autorest[author_la])</f>
        <v>Sententia Vasconica</v>
      </c>
      <c r="H780" t="str">
        <f>_xlfn.XLOOKUP(frasest[[#This Row],[author_es]],autorest[author_es],autorest[bio_es])</f>
        <v>Proverbios de la tradición oral vasca que reflejan la relación con la naturaleza, el trabajo y los valores comunitarios del pueblo vasco.</v>
      </c>
      <c r="I780" t="str">
        <f>_xlfn.XLOOKUP(frasest[[#This Row],[author_es]],autorest[author_es],autorest[bio_la])</f>
        <v>Collectio sententiarum Vasconicarum.</v>
      </c>
      <c r="J780" t="str">
        <f>_xlfn.XLOOKUP(frasest[[#This Row],[author_es]],autorest[author_es],autorest[iso3691])</f>
        <v>eu</v>
      </c>
      <c r="K780" t="str">
        <f>_xlfn.XLOOKUP(frasest[[#This Row],[author_es]],autorest[author_es],autorest[language_es])</f>
        <v>Euskara</v>
      </c>
      <c r="L780" t="str">
        <f>_xlfn.XLOOKUP(frasest[[#This Row],[author_es]],autorest[author_es],autorest[language_la])</f>
        <v>Lingua Vasconica</v>
      </c>
      <c r="M780" t="str">
        <f>_xlfn.XLOOKUP(frasest[[#This Row],[author_es]],autorest[author_es],autorest[nation_es])</f>
        <v>España</v>
      </c>
      <c r="N780" t="str">
        <f>_xlfn.XLOOKUP(frasest[[#This Row],[author_es]],autorest[author_es],autorest[nation_la])</f>
        <v>Hispania</v>
      </c>
      <c r="O780" t="str">
        <f>_xlfn.XLOOKUP(frasest[[#This Row],[author_es]],autorest[author_es],autorest[age_es])</f>
        <v>Epoca Desconocida</v>
      </c>
      <c r="P780" t="str">
        <f>_xlfn.XLOOKUP(frasest[[#This Row],[author_es]],autorest[author_es],autorest[age_la])</f>
        <v>Epocha Ignota</v>
      </c>
      <c r="Q780" t="str">
        <f>_xlfn.XLOOKUP(frasest[[#This Row],[author_es]],autorest[author_es],autorest[image])</f>
        <v>https://i.ibb.co/bjgxB3kn/euskadi.png</v>
      </c>
      <c r="R780">
        <f>_xlfn.XLOOKUP(frasest[[#This Row],[author_es]],autorest[author_es],autorest[image_atr])</f>
        <v>0</v>
      </c>
    </row>
    <row r="781" spans="1:18">
      <c r="A781">
        <v>780</v>
      </c>
      <c r="B781" t="s">
        <v>2619</v>
      </c>
      <c r="C781" t="s">
        <v>2620</v>
      </c>
      <c r="D781" t="s">
        <v>2621</v>
      </c>
      <c r="E781" t="s">
        <v>1236</v>
      </c>
      <c r="G781" t="str">
        <f>_xlfn.XLOOKUP(frasest[[#This Row],[author_es]],autorest[author_es],autorest[author_la])</f>
        <v>Sententia Vasconica</v>
      </c>
      <c r="H781" t="str">
        <f>_xlfn.XLOOKUP(frasest[[#This Row],[author_es]],autorest[author_es],autorest[bio_es])</f>
        <v>Proverbios de la tradición oral vasca que reflejan la relación con la naturaleza, el trabajo y los valores comunitarios del pueblo vasco.</v>
      </c>
      <c r="I781" t="str">
        <f>_xlfn.XLOOKUP(frasest[[#This Row],[author_es]],autorest[author_es],autorest[bio_la])</f>
        <v>Collectio sententiarum Vasconicarum.</v>
      </c>
      <c r="J781" t="str">
        <f>_xlfn.XLOOKUP(frasest[[#This Row],[author_es]],autorest[author_es],autorest[iso3691])</f>
        <v>eu</v>
      </c>
      <c r="K781" t="str">
        <f>_xlfn.XLOOKUP(frasest[[#This Row],[author_es]],autorest[author_es],autorest[language_es])</f>
        <v>Euskara</v>
      </c>
      <c r="L781" t="str">
        <f>_xlfn.XLOOKUP(frasest[[#This Row],[author_es]],autorest[author_es],autorest[language_la])</f>
        <v>Lingua Vasconica</v>
      </c>
      <c r="M781" t="str">
        <f>_xlfn.XLOOKUP(frasest[[#This Row],[author_es]],autorest[author_es],autorest[nation_es])</f>
        <v>España</v>
      </c>
      <c r="N781" t="str">
        <f>_xlfn.XLOOKUP(frasest[[#This Row],[author_es]],autorest[author_es],autorest[nation_la])</f>
        <v>Hispania</v>
      </c>
      <c r="O781" t="str">
        <f>_xlfn.XLOOKUP(frasest[[#This Row],[author_es]],autorest[author_es],autorest[age_es])</f>
        <v>Epoca Desconocida</v>
      </c>
      <c r="P781" t="str">
        <f>_xlfn.XLOOKUP(frasest[[#This Row],[author_es]],autorest[author_es],autorest[age_la])</f>
        <v>Epocha Ignota</v>
      </c>
      <c r="Q781" t="str">
        <f>_xlfn.XLOOKUP(frasest[[#This Row],[author_es]],autorest[author_es],autorest[image])</f>
        <v>https://i.ibb.co/bjgxB3kn/euskadi.png</v>
      </c>
      <c r="R781">
        <f>_xlfn.XLOOKUP(frasest[[#This Row],[author_es]],autorest[author_es],autorest[image_atr])</f>
        <v>0</v>
      </c>
    </row>
    <row r="782" spans="1:18">
      <c r="A782">
        <v>781</v>
      </c>
      <c r="B782" t="s">
        <v>2622</v>
      </c>
      <c r="C782" t="s">
        <v>2623</v>
      </c>
      <c r="D782" t="s">
        <v>2624</v>
      </c>
      <c r="E782" t="s">
        <v>1236</v>
      </c>
      <c r="G782" t="str">
        <f>_xlfn.XLOOKUP(frasest[[#This Row],[author_es]],autorest[author_es],autorest[author_la])</f>
        <v>Sententia Vasconica</v>
      </c>
      <c r="H782" t="str">
        <f>_xlfn.XLOOKUP(frasest[[#This Row],[author_es]],autorest[author_es],autorest[bio_es])</f>
        <v>Proverbios de la tradición oral vasca que reflejan la relación con la naturaleza, el trabajo y los valores comunitarios del pueblo vasco.</v>
      </c>
      <c r="I782" t="str">
        <f>_xlfn.XLOOKUP(frasest[[#This Row],[author_es]],autorest[author_es],autorest[bio_la])</f>
        <v>Collectio sententiarum Vasconicarum.</v>
      </c>
      <c r="J782" t="str">
        <f>_xlfn.XLOOKUP(frasest[[#This Row],[author_es]],autorest[author_es],autorest[iso3691])</f>
        <v>eu</v>
      </c>
      <c r="K782" t="str">
        <f>_xlfn.XLOOKUP(frasest[[#This Row],[author_es]],autorest[author_es],autorest[language_es])</f>
        <v>Euskara</v>
      </c>
      <c r="L782" t="str">
        <f>_xlfn.XLOOKUP(frasest[[#This Row],[author_es]],autorest[author_es],autorest[language_la])</f>
        <v>Lingua Vasconica</v>
      </c>
      <c r="M782" t="str">
        <f>_xlfn.XLOOKUP(frasest[[#This Row],[author_es]],autorest[author_es],autorest[nation_es])</f>
        <v>España</v>
      </c>
      <c r="N782" t="str">
        <f>_xlfn.XLOOKUP(frasest[[#This Row],[author_es]],autorest[author_es],autorest[nation_la])</f>
        <v>Hispania</v>
      </c>
      <c r="O782" t="str">
        <f>_xlfn.XLOOKUP(frasest[[#This Row],[author_es]],autorest[author_es],autorest[age_es])</f>
        <v>Epoca Desconocida</v>
      </c>
      <c r="P782" t="str">
        <f>_xlfn.XLOOKUP(frasest[[#This Row],[author_es]],autorest[author_es],autorest[age_la])</f>
        <v>Epocha Ignota</v>
      </c>
      <c r="Q782" t="str">
        <f>_xlfn.XLOOKUP(frasest[[#This Row],[author_es]],autorest[author_es],autorest[image])</f>
        <v>https://i.ibb.co/bjgxB3kn/euskadi.png</v>
      </c>
      <c r="R782">
        <f>_xlfn.XLOOKUP(frasest[[#This Row],[author_es]],autorest[author_es],autorest[image_atr])</f>
        <v>0</v>
      </c>
    </row>
    <row r="783" spans="1:18">
      <c r="A783">
        <v>782</v>
      </c>
      <c r="B783" t="s">
        <v>2625</v>
      </c>
      <c r="C783" t="s">
        <v>2626</v>
      </c>
      <c r="D783" t="s">
        <v>2627</v>
      </c>
      <c r="E783" t="s">
        <v>1236</v>
      </c>
      <c r="G783" t="str">
        <f>_xlfn.XLOOKUP(frasest[[#This Row],[author_es]],autorest[author_es],autorest[author_la])</f>
        <v>Sententia Vasconica</v>
      </c>
      <c r="H783" t="str">
        <f>_xlfn.XLOOKUP(frasest[[#This Row],[author_es]],autorest[author_es],autorest[bio_es])</f>
        <v>Proverbios de la tradición oral vasca que reflejan la relación con la naturaleza, el trabajo y los valores comunitarios del pueblo vasco.</v>
      </c>
      <c r="I783" t="str">
        <f>_xlfn.XLOOKUP(frasest[[#This Row],[author_es]],autorest[author_es],autorest[bio_la])</f>
        <v>Collectio sententiarum Vasconicarum.</v>
      </c>
      <c r="J783" t="str">
        <f>_xlfn.XLOOKUP(frasest[[#This Row],[author_es]],autorest[author_es],autorest[iso3691])</f>
        <v>eu</v>
      </c>
      <c r="K783" t="str">
        <f>_xlfn.XLOOKUP(frasest[[#This Row],[author_es]],autorest[author_es],autorest[language_es])</f>
        <v>Euskara</v>
      </c>
      <c r="L783" t="str">
        <f>_xlfn.XLOOKUP(frasest[[#This Row],[author_es]],autorest[author_es],autorest[language_la])</f>
        <v>Lingua Vasconica</v>
      </c>
      <c r="M783" t="str">
        <f>_xlfn.XLOOKUP(frasest[[#This Row],[author_es]],autorest[author_es],autorest[nation_es])</f>
        <v>España</v>
      </c>
      <c r="N783" t="str">
        <f>_xlfn.XLOOKUP(frasest[[#This Row],[author_es]],autorest[author_es],autorest[nation_la])</f>
        <v>Hispania</v>
      </c>
      <c r="O783" t="str">
        <f>_xlfn.XLOOKUP(frasest[[#This Row],[author_es]],autorest[author_es],autorest[age_es])</f>
        <v>Epoca Desconocida</v>
      </c>
      <c r="P783" t="str">
        <f>_xlfn.XLOOKUP(frasest[[#This Row],[author_es]],autorest[author_es],autorest[age_la])</f>
        <v>Epocha Ignota</v>
      </c>
      <c r="Q783" t="str">
        <f>_xlfn.XLOOKUP(frasest[[#This Row],[author_es]],autorest[author_es],autorest[image])</f>
        <v>https://i.ibb.co/bjgxB3kn/euskadi.png</v>
      </c>
      <c r="R783">
        <f>_xlfn.XLOOKUP(frasest[[#This Row],[author_es]],autorest[author_es],autorest[image_atr])</f>
        <v>0</v>
      </c>
    </row>
    <row r="784" spans="1:18">
      <c r="A784">
        <v>783</v>
      </c>
      <c r="B784" t="s">
        <v>2628</v>
      </c>
      <c r="C784" t="s">
        <v>2629</v>
      </c>
      <c r="D784" t="s">
        <v>2630</v>
      </c>
      <c r="E784" t="s">
        <v>1236</v>
      </c>
      <c r="G784" t="str">
        <f>_xlfn.XLOOKUP(frasest[[#This Row],[author_es]],autorest[author_es],autorest[author_la])</f>
        <v>Sententia Vasconica</v>
      </c>
      <c r="H784" t="str">
        <f>_xlfn.XLOOKUP(frasest[[#This Row],[author_es]],autorest[author_es],autorest[bio_es])</f>
        <v>Proverbios de la tradición oral vasca que reflejan la relación con la naturaleza, el trabajo y los valores comunitarios del pueblo vasco.</v>
      </c>
      <c r="I784" t="str">
        <f>_xlfn.XLOOKUP(frasest[[#This Row],[author_es]],autorest[author_es],autorest[bio_la])</f>
        <v>Collectio sententiarum Vasconicarum.</v>
      </c>
      <c r="J784" t="str">
        <f>_xlfn.XLOOKUP(frasest[[#This Row],[author_es]],autorest[author_es],autorest[iso3691])</f>
        <v>eu</v>
      </c>
      <c r="K784" t="str">
        <f>_xlfn.XLOOKUP(frasest[[#This Row],[author_es]],autorest[author_es],autorest[language_es])</f>
        <v>Euskara</v>
      </c>
      <c r="L784" t="str">
        <f>_xlfn.XLOOKUP(frasest[[#This Row],[author_es]],autorest[author_es],autorest[language_la])</f>
        <v>Lingua Vasconica</v>
      </c>
      <c r="M784" t="str">
        <f>_xlfn.XLOOKUP(frasest[[#This Row],[author_es]],autorest[author_es],autorest[nation_es])</f>
        <v>España</v>
      </c>
      <c r="N784" t="str">
        <f>_xlfn.XLOOKUP(frasest[[#This Row],[author_es]],autorest[author_es],autorest[nation_la])</f>
        <v>Hispania</v>
      </c>
      <c r="O784" t="str">
        <f>_xlfn.XLOOKUP(frasest[[#This Row],[author_es]],autorest[author_es],autorest[age_es])</f>
        <v>Epoca Desconocida</v>
      </c>
      <c r="P784" t="str">
        <f>_xlfn.XLOOKUP(frasest[[#This Row],[author_es]],autorest[author_es],autorest[age_la])</f>
        <v>Epocha Ignota</v>
      </c>
      <c r="Q784" t="str">
        <f>_xlfn.XLOOKUP(frasest[[#This Row],[author_es]],autorest[author_es],autorest[image])</f>
        <v>https://i.ibb.co/bjgxB3kn/euskadi.png</v>
      </c>
      <c r="R784">
        <f>_xlfn.XLOOKUP(frasest[[#This Row],[author_es]],autorest[author_es],autorest[image_atr])</f>
        <v>0</v>
      </c>
    </row>
    <row r="785" spans="1:18">
      <c r="A785">
        <v>784</v>
      </c>
      <c r="B785" t="s">
        <v>2631</v>
      </c>
      <c r="C785" t="s">
        <v>2632</v>
      </c>
      <c r="D785" t="s">
        <v>2633</v>
      </c>
      <c r="E785" t="s">
        <v>1236</v>
      </c>
      <c r="G785" t="str">
        <f>_xlfn.XLOOKUP(frasest[[#This Row],[author_es]],autorest[author_es],autorest[author_la])</f>
        <v>Sententia Vasconica</v>
      </c>
      <c r="H785" t="str">
        <f>_xlfn.XLOOKUP(frasest[[#This Row],[author_es]],autorest[author_es],autorest[bio_es])</f>
        <v>Proverbios de la tradición oral vasca que reflejan la relación con la naturaleza, el trabajo y los valores comunitarios del pueblo vasco.</v>
      </c>
      <c r="I785" t="str">
        <f>_xlfn.XLOOKUP(frasest[[#This Row],[author_es]],autorest[author_es],autorest[bio_la])</f>
        <v>Collectio sententiarum Vasconicarum.</v>
      </c>
      <c r="J785" t="str">
        <f>_xlfn.XLOOKUP(frasest[[#This Row],[author_es]],autorest[author_es],autorest[iso3691])</f>
        <v>eu</v>
      </c>
      <c r="K785" t="str">
        <f>_xlfn.XLOOKUP(frasest[[#This Row],[author_es]],autorest[author_es],autorest[language_es])</f>
        <v>Euskara</v>
      </c>
      <c r="L785" t="str">
        <f>_xlfn.XLOOKUP(frasest[[#This Row],[author_es]],autorest[author_es],autorest[language_la])</f>
        <v>Lingua Vasconica</v>
      </c>
      <c r="M785" t="str">
        <f>_xlfn.XLOOKUP(frasest[[#This Row],[author_es]],autorest[author_es],autorest[nation_es])</f>
        <v>España</v>
      </c>
      <c r="N785" t="str">
        <f>_xlfn.XLOOKUP(frasest[[#This Row],[author_es]],autorest[author_es],autorest[nation_la])</f>
        <v>Hispania</v>
      </c>
      <c r="O785" t="str">
        <f>_xlfn.XLOOKUP(frasest[[#This Row],[author_es]],autorest[author_es],autorest[age_es])</f>
        <v>Epoca Desconocida</v>
      </c>
      <c r="P785" t="str">
        <f>_xlfn.XLOOKUP(frasest[[#This Row],[author_es]],autorest[author_es],autorest[age_la])</f>
        <v>Epocha Ignota</v>
      </c>
      <c r="Q785" t="str">
        <f>_xlfn.XLOOKUP(frasest[[#This Row],[author_es]],autorest[author_es],autorest[image])</f>
        <v>https://i.ibb.co/bjgxB3kn/euskadi.png</v>
      </c>
      <c r="R785">
        <f>_xlfn.XLOOKUP(frasest[[#This Row],[author_es]],autorest[author_es],autorest[image_atr])</f>
        <v>0</v>
      </c>
    </row>
    <row r="786" spans="1:18">
      <c r="A786">
        <v>785</v>
      </c>
      <c r="B786" t="s">
        <v>2634</v>
      </c>
      <c r="C786" t="s">
        <v>2635</v>
      </c>
      <c r="D786" t="s">
        <v>2636</v>
      </c>
      <c r="E786" t="s">
        <v>1236</v>
      </c>
      <c r="G786" t="str">
        <f>_xlfn.XLOOKUP(frasest[[#This Row],[author_es]],autorest[author_es],autorest[author_la])</f>
        <v>Sententia Vasconica</v>
      </c>
      <c r="H786" t="str">
        <f>_xlfn.XLOOKUP(frasest[[#This Row],[author_es]],autorest[author_es],autorest[bio_es])</f>
        <v>Proverbios de la tradición oral vasca que reflejan la relación con la naturaleza, el trabajo y los valores comunitarios del pueblo vasco.</v>
      </c>
      <c r="I786" t="str">
        <f>_xlfn.XLOOKUP(frasest[[#This Row],[author_es]],autorest[author_es],autorest[bio_la])</f>
        <v>Collectio sententiarum Vasconicarum.</v>
      </c>
      <c r="J786" t="str">
        <f>_xlfn.XLOOKUP(frasest[[#This Row],[author_es]],autorest[author_es],autorest[iso3691])</f>
        <v>eu</v>
      </c>
      <c r="K786" t="str">
        <f>_xlfn.XLOOKUP(frasest[[#This Row],[author_es]],autorest[author_es],autorest[language_es])</f>
        <v>Euskara</v>
      </c>
      <c r="L786" t="str">
        <f>_xlfn.XLOOKUP(frasest[[#This Row],[author_es]],autorest[author_es],autorest[language_la])</f>
        <v>Lingua Vasconica</v>
      </c>
      <c r="M786" t="str">
        <f>_xlfn.XLOOKUP(frasest[[#This Row],[author_es]],autorest[author_es],autorest[nation_es])</f>
        <v>España</v>
      </c>
      <c r="N786" t="str">
        <f>_xlfn.XLOOKUP(frasest[[#This Row],[author_es]],autorest[author_es],autorest[nation_la])</f>
        <v>Hispania</v>
      </c>
      <c r="O786" t="str">
        <f>_xlfn.XLOOKUP(frasest[[#This Row],[author_es]],autorest[author_es],autorest[age_es])</f>
        <v>Epoca Desconocida</v>
      </c>
      <c r="P786" t="str">
        <f>_xlfn.XLOOKUP(frasest[[#This Row],[author_es]],autorest[author_es],autorest[age_la])</f>
        <v>Epocha Ignota</v>
      </c>
      <c r="Q786" t="str">
        <f>_xlfn.XLOOKUP(frasest[[#This Row],[author_es]],autorest[author_es],autorest[image])</f>
        <v>https://i.ibb.co/bjgxB3kn/euskadi.png</v>
      </c>
      <c r="R786">
        <f>_xlfn.XLOOKUP(frasest[[#This Row],[author_es]],autorest[author_es],autorest[image_atr])</f>
        <v>0</v>
      </c>
    </row>
    <row r="787" spans="1:18">
      <c r="A787">
        <v>786</v>
      </c>
      <c r="B787" t="s">
        <v>2637</v>
      </c>
      <c r="C787" t="s">
        <v>2638</v>
      </c>
      <c r="D787" t="s">
        <v>2639</v>
      </c>
      <c r="E787" t="s">
        <v>1236</v>
      </c>
      <c r="G787" t="str">
        <f>_xlfn.XLOOKUP(frasest[[#This Row],[author_es]],autorest[author_es],autorest[author_la])</f>
        <v>Sententia Vasconica</v>
      </c>
      <c r="H787" t="str">
        <f>_xlfn.XLOOKUP(frasest[[#This Row],[author_es]],autorest[author_es],autorest[bio_es])</f>
        <v>Proverbios de la tradición oral vasca que reflejan la relación con la naturaleza, el trabajo y los valores comunitarios del pueblo vasco.</v>
      </c>
      <c r="I787" t="str">
        <f>_xlfn.XLOOKUP(frasest[[#This Row],[author_es]],autorest[author_es],autorest[bio_la])</f>
        <v>Collectio sententiarum Vasconicarum.</v>
      </c>
      <c r="J787" t="str">
        <f>_xlfn.XLOOKUP(frasest[[#This Row],[author_es]],autorest[author_es],autorest[iso3691])</f>
        <v>eu</v>
      </c>
      <c r="K787" t="str">
        <f>_xlfn.XLOOKUP(frasest[[#This Row],[author_es]],autorest[author_es],autorest[language_es])</f>
        <v>Euskara</v>
      </c>
      <c r="L787" t="str">
        <f>_xlfn.XLOOKUP(frasest[[#This Row],[author_es]],autorest[author_es],autorest[language_la])</f>
        <v>Lingua Vasconica</v>
      </c>
      <c r="M787" t="str">
        <f>_xlfn.XLOOKUP(frasest[[#This Row],[author_es]],autorest[author_es],autorest[nation_es])</f>
        <v>España</v>
      </c>
      <c r="N787" t="str">
        <f>_xlfn.XLOOKUP(frasest[[#This Row],[author_es]],autorest[author_es],autorest[nation_la])</f>
        <v>Hispania</v>
      </c>
      <c r="O787" t="str">
        <f>_xlfn.XLOOKUP(frasest[[#This Row],[author_es]],autorest[author_es],autorest[age_es])</f>
        <v>Epoca Desconocida</v>
      </c>
      <c r="P787" t="str">
        <f>_xlfn.XLOOKUP(frasest[[#This Row],[author_es]],autorest[author_es],autorest[age_la])</f>
        <v>Epocha Ignota</v>
      </c>
      <c r="Q787" t="str">
        <f>_xlfn.XLOOKUP(frasest[[#This Row],[author_es]],autorest[author_es],autorest[image])</f>
        <v>https://i.ibb.co/bjgxB3kn/euskadi.png</v>
      </c>
      <c r="R787">
        <f>_xlfn.XLOOKUP(frasest[[#This Row],[author_es]],autorest[author_es],autorest[image_atr])</f>
        <v>0</v>
      </c>
    </row>
    <row r="788" spans="1:18">
      <c r="A788">
        <v>787</v>
      </c>
      <c r="B788" t="s">
        <v>2640</v>
      </c>
      <c r="C788" t="s">
        <v>2641</v>
      </c>
      <c r="D788" t="s">
        <v>2642</v>
      </c>
      <c r="E788" t="s">
        <v>1236</v>
      </c>
      <c r="G788" t="str">
        <f>_xlfn.XLOOKUP(frasest[[#This Row],[author_es]],autorest[author_es],autorest[author_la])</f>
        <v>Sententia Vasconica</v>
      </c>
      <c r="H788" t="str">
        <f>_xlfn.XLOOKUP(frasest[[#This Row],[author_es]],autorest[author_es],autorest[bio_es])</f>
        <v>Proverbios de la tradición oral vasca que reflejan la relación con la naturaleza, el trabajo y los valores comunitarios del pueblo vasco.</v>
      </c>
      <c r="I788" t="str">
        <f>_xlfn.XLOOKUP(frasest[[#This Row],[author_es]],autorest[author_es],autorest[bio_la])</f>
        <v>Collectio sententiarum Vasconicarum.</v>
      </c>
      <c r="J788" t="str">
        <f>_xlfn.XLOOKUP(frasest[[#This Row],[author_es]],autorest[author_es],autorest[iso3691])</f>
        <v>eu</v>
      </c>
      <c r="K788" t="str">
        <f>_xlfn.XLOOKUP(frasest[[#This Row],[author_es]],autorest[author_es],autorest[language_es])</f>
        <v>Euskara</v>
      </c>
      <c r="L788" t="str">
        <f>_xlfn.XLOOKUP(frasest[[#This Row],[author_es]],autorest[author_es],autorest[language_la])</f>
        <v>Lingua Vasconica</v>
      </c>
      <c r="M788" t="str">
        <f>_xlfn.XLOOKUP(frasest[[#This Row],[author_es]],autorest[author_es],autorest[nation_es])</f>
        <v>España</v>
      </c>
      <c r="N788" t="str">
        <f>_xlfn.XLOOKUP(frasest[[#This Row],[author_es]],autorest[author_es],autorest[nation_la])</f>
        <v>Hispania</v>
      </c>
      <c r="O788" t="str">
        <f>_xlfn.XLOOKUP(frasest[[#This Row],[author_es]],autorest[author_es],autorest[age_es])</f>
        <v>Epoca Desconocida</v>
      </c>
      <c r="P788" t="str">
        <f>_xlfn.XLOOKUP(frasest[[#This Row],[author_es]],autorest[author_es],autorest[age_la])</f>
        <v>Epocha Ignota</v>
      </c>
      <c r="Q788" t="str">
        <f>_xlfn.XLOOKUP(frasest[[#This Row],[author_es]],autorest[author_es],autorest[image])</f>
        <v>https://i.ibb.co/bjgxB3kn/euskadi.png</v>
      </c>
      <c r="R788">
        <f>_xlfn.XLOOKUP(frasest[[#This Row],[author_es]],autorest[author_es],autorest[image_atr])</f>
        <v>0</v>
      </c>
    </row>
    <row r="789" spans="1:18">
      <c r="A789">
        <v>788</v>
      </c>
      <c r="B789" t="s">
        <v>2643</v>
      </c>
      <c r="C789" t="s">
        <v>2644</v>
      </c>
      <c r="D789" t="s">
        <v>2645</v>
      </c>
      <c r="E789" t="s">
        <v>1236</v>
      </c>
      <c r="G789" t="str">
        <f>_xlfn.XLOOKUP(frasest[[#This Row],[author_es]],autorest[author_es],autorest[author_la])</f>
        <v>Sententia Vasconica</v>
      </c>
      <c r="H789" t="str">
        <f>_xlfn.XLOOKUP(frasest[[#This Row],[author_es]],autorest[author_es],autorest[bio_es])</f>
        <v>Proverbios de la tradición oral vasca que reflejan la relación con la naturaleza, el trabajo y los valores comunitarios del pueblo vasco.</v>
      </c>
      <c r="I789" t="str">
        <f>_xlfn.XLOOKUP(frasest[[#This Row],[author_es]],autorest[author_es],autorest[bio_la])</f>
        <v>Collectio sententiarum Vasconicarum.</v>
      </c>
      <c r="J789" t="str">
        <f>_xlfn.XLOOKUP(frasest[[#This Row],[author_es]],autorest[author_es],autorest[iso3691])</f>
        <v>eu</v>
      </c>
      <c r="K789" t="str">
        <f>_xlfn.XLOOKUP(frasest[[#This Row],[author_es]],autorest[author_es],autorest[language_es])</f>
        <v>Euskara</v>
      </c>
      <c r="L789" t="str">
        <f>_xlfn.XLOOKUP(frasest[[#This Row],[author_es]],autorest[author_es],autorest[language_la])</f>
        <v>Lingua Vasconica</v>
      </c>
      <c r="M789" t="str">
        <f>_xlfn.XLOOKUP(frasest[[#This Row],[author_es]],autorest[author_es],autorest[nation_es])</f>
        <v>España</v>
      </c>
      <c r="N789" t="str">
        <f>_xlfn.XLOOKUP(frasest[[#This Row],[author_es]],autorest[author_es],autorest[nation_la])</f>
        <v>Hispania</v>
      </c>
      <c r="O789" t="str">
        <f>_xlfn.XLOOKUP(frasest[[#This Row],[author_es]],autorest[author_es],autorest[age_es])</f>
        <v>Epoca Desconocida</v>
      </c>
      <c r="P789" t="str">
        <f>_xlfn.XLOOKUP(frasest[[#This Row],[author_es]],autorest[author_es],autorest[age_la])</f>
        <v>Epocha Ignota</v>
      </c>
      <c r="Q789" t="str">
        <f>_xlfn.XLOOKUP(frasest[[#This Row],[author_es]],autorest[author_es],autorest[image])</f>
        <v>https://i.ibb.co/bjgxB3kn/euskadi.png</v>
      </c>
      <c r="R789">
        <f>_xlfn.XLOOKUP(frasest[[#This Row],[author_es]],autorest[author_es],autorest[image_atr])</f>
        <v>0</v>
      </c>
    </row>
    <row r="790" spans="1:18">
      <c r="A790">
        <v>789</v>
      </c>
      <c r="B790" t="s">
        <v>2646</v>
      </c>
      <c r="C790" t="s">
        <v>2647</v>
      </c>
      <c r="D790" t="s">
        <v>2648</v>
      </c>
      <c r="E790" t="s">
        <v>1236</v>
      </c>
      <c r="G790" t="str">
        <f>_xlfn.XLOOKUP(frasest[[#This Row],[author_es]],autorest[author_es],autorest[author_la])</f>
        <v>Sententia Vasconica</v>
      </c>
      <c r="H790" t="str">
        <f>_xlfn.XLOOKUP(frasest[[#This Row],[author_es]],autorest[author_es],autorest[bio_es])</f>
        <v>Proverbios de la tradición oral vasca que reflejan la relación con la naturaleza, el trabajo y los valores comunitarios del pueblo vasco.</v>
      </c>
      <c r="I790" t="str">
        <f>_xlfn.XLOOKUP(frasest[[#This Row],[author_es]],autorest[author_es],autorest[bio_la])</f>
        <v>Collectio sententiarum Vasconicarum.</v>
      </c>
      <c r="J790" t="str">
        <f>_xlfn.XLOOKUP(frasest[[#This Row],[author_es]],autorest[author_es],autorest[iso3691])</f>
        <v>eu</v>
      </c>
      <c r="K790" t="str">
        <f>_xlfn.XLOOKUP(frasest[[#This Row],[author_es]],autorest[author_es],autorest[language_es])</f>
        <v>Euskara</v>
      </c>
      <c r="L790" t="str">
        <f>_xlfn.XLOOKUP(frasest[[#This Row],[author_es]],autorest[author_es],autorest[language_la])</f>
        <v>Lingua Vasconica</v>
      </c>
      <c r="M790" t="str">
        <f>_xlfn.XLOOKUP(frasest[[#This Row],[author_es]],autorest[author_es],autorest[nation_es])</f>
        <v>España</v>
      </c>
      <c r="N790" t="str">
        <f>_xlfn.XLOOKUP(frasest[[#This Row],[author_es]],autorest[author_es],autorest[nation_la])</f>
        <v>Hispania</v>
      </c>
      <c r="O790" t="str">
        <f>_xlfn.XLOOKUP(frasest[[#This Row],[author_es]],autorest[author_es],autorest[age_es])</f>
        <v>Epoca Desconocida</v>
      </c>
      <c r="P790" t="str">
        <f>_xlfn.XLOOKUP(frasest[[#This Row],[author_es]],autorest[author_es],autorest[age_la])</f>
        <v>Epocha Ignota</v>
      </c>
      <c r="Q790" t="str">
        <f>_xlfn.XLOOKUP(frasest[[#This Row],[author_es]],autorest[author_es],autorest[image])</f>
        <v>https://i.ibb.co/bjgxB3kn/euskadi.png</v>
      </c>
      <c r="R790">
        <f>_xlfn.XLOOKUP(frasest[[#This Row],[author_es]],autorest[author_es],autorest[image_atr])</f>
        <v>0</v>
      </c>
    </row>
    <row r="791" spans="1:18">
      <c r="A791">
        <v>790</v>
      </c>
      <c r="B791" t="s">
        <v>2649</v>
      </c>
      <c r="C791" t="s">
        <v>2650</v>
      </c>
      <c r="D791" t="s">
        <v>2651</v>
      </c>
      <c r="E791" t="s">
        <v>1236</v>
      </c>
      <c r="G791" t="str">
        <f>_xlfn.XLOOKUP(frasest[[#This Row],[author_es]],autorest[author_es],autorest[author_la])</f>
        <v>Sententia Vasconica</v>
      </c>
      <c r="H791" t="str">
        <f>_xlfn.XLOOKUP(frasest[[#This Row],[author_es]],autorest[author_es],autorest[bio_es])</f>
        <v>Proverbios de la tradición oral vasca que reflejan la relación con la naturaleza, el trabajo y los valores comunitarios del pueblo vasco.</v>
      </c>
      <c r="I791" t="str">
        <f>_xlfn.XLOOKUP(frasest[[#This Row],[author_es]],autorest[author_es],autorest[bio_la])</f>
        <v>Collectio sententiarum Vasconicarum.</v>
      </c>
      <c r="J791" t="str">
        <f>_xlfn.XLOOKUP(frasest[[#This Row],[author_es]],autorest[author_es],autorest[iso3691])</f>
        <v>eu</v>
      </c>
      <c r="K791" t="str">
        <f>_xlfn.XLOOKUP(frasest[[#This Row],[author_es]],autorest[author_es],autorest[language_es])</f>
        <v>Euskara</v>
      </c>
      <c r="L791" t="str">
        <f>_xlfn.XLOOKUP(frasest[[#This Row],[author_es]],autorest[author_es],autorest[language_la])</f>
        <v>Lingua Vasconica</v>
      </c>
      <c r="M791" t="str">
        <f>_xlfn.XLOOKUP(frasest[[#This Row],[author_es]],autorest[author_es],autorest[nation_es])</f>
        <v>España</v>
      </c>
      <c r="N791" t="str">
        <f>_xlfn.XLOOKUP(frasest[[#This Row],[author_es]],autorest[author_es],autorest[nation_la])</f>
        <v>Hispania</v>
      </c>
      <c r="O791" t="str">
        <f>_xlfn.XLOOKUP(frasest[[#This Row],[author_es]],autorest[author_es],autorest[age_es])</f>
        <v>Epoca Desconocida</v>
      </c>
      <c r="P791" t="str">
        <f>_xlfn.XLOOKUP(frasest[[#This Row],[author_es]],autorest[author_es],autorest[age_la])</f>
        <v>Epocha Ignota</v>
      </c>
      <c r="Q791" t="str">
        <f>_xlfn.XLOOKUP(frasest[[#This Row],[author_es]],autorest[author_es],autorest[image])</f>
        <v>https://i.ibb.co/bjgxB3kn/euskadi.png</v>
      </c>
      <c r="R791">
        <f>_xlfn.XLOOKUP(frasest[[#This Row],[author_es]],autorest[author_es],autorest[image_atr])</f>
        <v>0</v>
      </c>
    </row>
    <row r="792" spans="1:18">
      <c r="A792">
        <v>791</v>
      </c>
      <c r="B792" t="s">
        <v>2652</v>
      </c>
      <c r="C792" t="s">
        <v>2653</v>
      </c>
      <c r="D792" t="s">
        <v>2654</v>
      </c>
      <c r="E792" t="s">
        <v>1236</v>
      </c>
      <c r="G792" t="str">
        <f>_xlfn.XLOOKUP(frasest[[#This Row],[author_es]],autorest[author_es],autorest[author_la])</f>
        <v>Sententia Vasconica</v>
      </c>
      <c r="H792" t="str">
        <f>_xlfn.XLOOKUP(frasest[[#This Row],[author_es]],autorest[author_es],autorest[bio_es])</f>
        <v>Proverbios de la tradición oral vasca que reflejan la relación con la naturaleza, el trabajo y los valores comunitarios del pueblo vasco.</v>
      </c>
      <c r="I792" t="str">
        <f>_xlfn.XLOOKUP(frasest[[#This Row],[author_es]],autorest[author_es],autorest[bio_la])</f>
        <v>Collectio sententiarum Vasconicarum.</v>
      </c>
      <c r="J792" t="str">
        <f>_xlfn.XLOOKUP(frasest[[#This Row],[author_es]],autorest[author_es],autorest[iso3691])</f>
        <v>eu</v>
      </c>
      <c r="K792" t="str">
        <f>_xlfn.XLOOKUP(frasest[[#This Row],[author_es]],autorest[author_es],autorest[language_es])</f>
        <v>Euskara</v>
      </c>
      <c r="L792" t="str">
        <f>_xlfn.XLOOKUP(frasest[[#This Row],[author_es]],autorest[author_es],autorest[language_la])</f>
        <v>Lingua Vasconica</v>
      </c>
      <c r="M792" t="str">
        <f>_xlfn.XLOOKUP(frasest[[#This Row],[author_es]],autorest[author_es],autorest[nation_es])</f>
        <v>España</v>
      </c>
      <c r="N792" t="str">
        <f>_xlfn.XLOOKUP(frasest[[#This Row],[author_es]],autorest[author_es],autorest[nation_la])</f>
        <v>Hispania</v>
      </c>
      <c r="O792" t="str">
        <f>_xlfn.XLOOKUP(frasest[[#This Row],[author_es]],autorest[author_es],autorest[age_es])</f>
        <v>Epoca Desconocida</v>
      </c>
      <c r="P792" t="str">
        <f>_xlfn.XLOOKUP(frasest[[#This Row],[author_es]],autorest[author_es],autorest[age_la])</f>
        <v>Epocha Ignota</v>
      </c>
      <c r="Q792" t="str">
        <f>_xlfn.XLOOKUP(frasest[[#This Row],[author_es]],autorest[author_es],autorest[image])</f>
        <v>https://i.ibb.co/bjgxB3kn/euskadi.png</v>
      </c>
      <c r="R792">
        <f>_xlfn.XLOOKUP(frasest[[#This Row],[author_es]],autorest[author_es],autorest[image_atr])</f>
        <v>0</v>
      </c>
    </row>
    <row r="793" spans="1:18">
      <c r="A793">
        <v>792</v>
      </c>
      <c r="B793" t="s">
        <v>2655</v>
      </c>
      <c r="C793" t="s">
        <v>2656</v>
      </c>
      <c r="D793" t="s">
        <v>2657</v>
      </c>
      <c r="E793" t="s">
        <v>1236</v>
      </c>
      <c r="G793" t="str">
        <f>_xlfn.XLOOKUP(frasest[[#This Row],[author_es]],autorest[author_es],autorest[author_la])</f>
        <v>Sententia Vasconica</v>
      </c>
      <c r="H793" t="str">
        <f>_xlfn.XLOOKUP(frasest[[#This Row],[author_es]],autorest[author_es],autorest[bio_es])</f>
        <v>Proverbios de la tradición oral vasca que reflejan la relación con la naturaleza, el trabajo y los valores comunitarios del pueblo vasco.</v>
      </c>
      <c r="I793" t="str">
        <f>_xlfn.XLOOKUP(frasest[[#This Row],[author_es]],autorest[author_es],autorest[bio_la])</f>
        <v>Collectio sententiarum Vasconicarum.</v>
      </c>
      <c r="J793" t="str">
        <f>_xlfn.XLOOKUP(frasest[[#This Row],[author_es]],autorest[author_es],autorest[iso3691])</f>
        <v>eu</v>
      </c>
      <c r="K793" t="str">
        <f>_xlfn.XLOOKUP(frasest[[#This Row],[author_es]],autorest[author_es],autorest[language_es])</f>
        <v>Euskara</v>
      </c>
      <c r="L793" t="str">
        <f>_xlfn.XLOOKUP(frasest[[#This Row],[author_es]],autorest[author_es],autorest[language_la])</f>
        <v>Lingua Vasconica</v>
      </c>
      <c r="M793" t="str">
        <f>_xlfn.XLOOKUP(frasest[[#This Row],[author_es]],autorest[author_es],autorest[nation_es])</f>
        <v>España</v>
      </c>
      <c r="N793" t="str">
        <f>_xlfn.XLOOKUP(frasest[[#This Row],[author_es]],autorest[author_es],autorest[nation_la])</f>
        <v>Hispania</v>
      </c>
      <c r="O793" t="str">
        <f>_xlfn.XLOOKUP(frasest[[#This Row],[author_es]],autorest[author_es],autorest[age_es])</f>
        <v>Epoca Desconocida</v>
      </c>
      <c r="P793" t="str">
        <f>_xlfn.XLOOKUP(frasest[[#This Row],[author_es]],autorest[author_es],autorest[age_la])</f>
        <v>Epocha Ignota</v>
      </c>
      <c r="Q793" t="str">
        <f>_xlfn.XLOOKUP(frasest[[#This Row],[author_es]],autorest[author_es],autorest[image])</f>
        <v>https://i.ibb.co/bjgxB3kn/euskadi.png</v>
      </c>
      <c r="R793">
        <f>_xlfn.XLOOKUP(frasest[[#This Row],[author_es]],autorest[author_es],autorest[image_atr])</f>
        <v>0</v>
      </c>
    </row>
    <row r="794" spans="1:18">
      <c r="A794">
        <v>793</v>
      </c>
      <c r="B794" t="s">
        <v>2658</v>
      </c>
      <c r="C794" t="s">
        <v>2659</v>
      </c>
      <c r="D794" t="s">
        <v>2660</v>
      </c>
      <c r="E794" t="s">
        <v>1236</v>
      </c>
      <c r="G794" t="str">
        <f>_xlfn.XLOOKUP(frasest[[#This Row],[author_es]],autorest[author_es],autorest[author_la])</f>
        <v>Sententia Vasconica</v>
      </c>
      <c r="H794" t="str">
        <f>_xlfn.XLOOKUP(frasest[[#This Row],[author_es]],autorest[author_es],autorest[bio_es])</f>
        <v>Proverbios de la tradición oral vasca que reflejan la relación con la naturaleza, el trabajo y los valores comunitarios del pueblo vasco.</v>
      </c>
      <c r="I794" t="str">
        <f>_xlfn.XLOOKUP(frasest[[#This Row],[author_es]],autorest[author_es],autorest[bio_la])</f>
        <v>Collectio sententiarum Vasconicarum.</v>
      </c>
      <c r="J794" t="str">
        <f>_xlfn.XLOOKUP(frasest[[#This Row],[author_es]],autorest[author_es],autorest[iso3691])</f>
        <v>eu</v>
      </c>
      <c r="K794" t="str">
        <f>_xlfn.XLOOKUP(frasest[[#This Row],[author_es]],autorest[author_es],autorest[language_es])</f>
        <v>Euskara</v>
      </c>
      <c r="L794" t="str">
        <f>_xlfn.XLOOKUP(frasest[[#This Row],[author_es]],autorest[author_es],autorest[language_la])</f>
        <v>Lingua Vasconica</v>
      </c>
      <c r="M794" t="str">
        <f>_xlfn.XLOOKUP(frasest[[#This Row],[author_es]],autorest[author_es],autorest[nation_es])</f>
        <v>España</v>
      </c>
      <c r="N794" t="str">
        <f>_xlfn.XLOOKUP(frasest[[#This Row],[author_es]],autorest[author_es],autorest[nation_la])</f>
        <v>Hispania</v>
      </c>
      <c r="O794" t="str">
        <f>_xlfn.XLOOKUP(frasest[[#This Row],[author_es]],autorest[author_es],autorest[age_es])</f>
        <v>Epoca Desconocida</v>
      </c>
      <c r="P794" t="str">
        <f>_xlfn.XLOOKUP(frasest[[#This Row],[author_es]],autorest[author_es],autorest[age_la])</f>
        <v>Epocha Ignota</v>
      </c>
      <c r="Q794" t="str">
        <f>_xlfn.XLOOKUP(frasest[[#This Row],[author_es]],autorest[author_es],autorest[image])</f>
        <v>https://i.ibb.co/bjgxB3kn/euskadi.png</v>
      </c>
      <c r="R794">
        <f>_xlfn.XLOOKUP(frasest[[#This Row],[author_es]],autorest[author_es],autorest[image_atr])</f>
        <v>0</v>
      </c>
    </row>
    <row r="795" spans="1:18">
      <c r="A795">
        <v>794</v>
      </c>
      <c r="B795" t="s">
        <v>2661</v>
      </c>
      <c r="C795" t="s">
        <v>2662</v>
      </c>
      <c r="D795" t="s">
        <v>2663</v>
      </c>
      <c r="E795" t="s">
        <v>1236</v>
      </c>
      <c r="G795" t="str">
        <f>_xlfn.XLOOKUP(frasest[[#This Row],[author_es]],autorest[author_es],autorest[author_la])</f>
        <v>Sententia Vasconica</v>
      </c>
      <c r="H795" t="str">
        <f>_xlfn.XLOOKUP(frasest[[#This Row],[author_es]],autorest[author_es],autorest[bio_es])</f>
        <v>Proverbios de la tradición oral vasca que reflejan la relación con la naturaleza, el trabajo y los valores comunitarios del pueblo vasco.</v>
      </c>
      <c r="I795" t="str">
        <f>_xlfn.XLOOKUP(frasest[[#This Row],[author_es]],autorest[author_es],autorest[bio_la])</f>
        <v>Collectio sententiarum Vasconicarum.</v>
      </c>
      <c r="J795" t="str">
        <f>_xlfn.XLOOKUP(frasest[[#This Row],[author_es]],autorest[author_es],autorest[iso3691])</f>
        <v>eu</v>
      </c>
      <c r="K795" t="str">
        <f>_xlfn.XLOOKUP(frasest[[#This Row],[author_es]],autorest[author_es],autorest[language_es])</f>
        <v>Euskara</v>
      </c>
      <c r="L795" t="str">
        <f>_xlfn.XLOOKUP(frasest[[#This Row],[author_es]],autorest[author_es],autorest[language_la])</f>
        <v>Lingua Vasconica</v>
      </c>
      <c r="M795" t="str">
        <f>_xlfn.XLOOKUP(frasest[[#This Row],[author_es]],autorest[author_es],autorest[nation_es])</f>
        <v>España</v>
      </c>
      <c r="N795" t="str">
        <f>_xlfn.XLOOKUP(frasest[[#This Row],[author_es]],autorest[author_es],autorest[nation_la])</f>
        <v>Hispania</v>
      </c>
      <c r="O795" t="str">
        <f>_xlfn.XLOOKUP(frasest[[#This Row],[author_es]],autorest[author_es],autorest[age_es])</f>
        <v>Epoca Desconocida</v>
      </c>
      <c r="P795" t="str">
        <f>_xlfn.XLOOKUP(frasest[[#This Row],[author_es]],autorest[author_es],autorest[age_la])</f>
        <v>Epocha Ignota</v>
      </c>
      <c r="Q795" t="str">
        <f>_xlfn.XLOOKUP(frasest[[#This Row],[author_es]],autorest[author_es],autorest[image])</f>
        <v>https://i.ibb.co/bjgxB3kn/euskadi.png</v>
      </c>
      <c r="R795">
        <f>_xlfn.XLOOKUP(frasest[[#This Row],[author_es]],autorest[author_es],autorest[image_atr])</f>
        <v>0</v>
      </c>
    </row>
    <row r="796" spans="1:18">
      <c r="A796">
        <v>795</v>
      </c>
      <c r="B796" t="s">
        <v>2664</v>
      </c>
      <c r="C796" t="s">
        <v>2665</v>
      </c>
      <c r="D796" t="s">
        <v>2666</v>
      </c>
      <c r="E796" t="s">
        <v>1236</v>
      </c>
      <c r="G796" t="str">
        <f>_xlfn.XLOOKUP(frasest[[#This Row],[author_es]],autorest[author_es],autorest[author_la])</f>
        <v>Sententia Vasconica</v>
      </c>
      <c r="H796" t="str">
        <f>_xlfn.XLOOKUP(frasest[[#This Row],[author_es]],autorest[author_es],autorest[bio_es])</f>
        <v>Proverbios de la tradición oral vasca que reflejan la relación con la naturaleza, el trabajo y los valores comunitarios del pueblo vasco.</v>
      </c>
      <c r="I796" t="str">
        <f>_xlfn.XLOOKUP(frasest[[#This Row],[author_es]],autorest[author_es],autorest[bio_la])</f>
        <v>Collectio sententiarum Vasconicarum.</v>
      </c>
      <c r="J796" t="str">
        <f>_xlfn.XLOOKUP(frasest[[#This Row],[author_es]],autorest[author_es],autorest[iso3691])</f>
        <v>eu</v>
      </c>
      <c r="K796" t="str">
        <f>_xlfn.XLOOKUP(frasest[[#This Row],[author_es]],autorest[author_es],autorest[language_es])</f>
        <v>Euskara</v>
      </c>
      <c r="L796" t="str">
        <f>_xlfn.XLOOKUP(frasest[[#This Row],[author_es]],autorest[author_es],autorest[language_la])</f>
        <v>Lingua Vasconica</v>
      </c>
      <c r="M796" t="str">
        <f>_xlfn.XLOOKUP(frasest[[#This Row],[author_es]],autorest[author_es],autorest[nation_es])</f>
        <v>España</v>
      </c>
      <c r="N796" t="str">
        <f>_xlfn.XLOOKUP(frasest[[#This Row],[author_es]],autorest[author_es],autorest[nation_la])</f>
        <v>Hispania</v>
      </c>
      <c r="O796" t="str">
        <f>_xlfn.XLOOKUP(frasest[[#This Row],[author_es]],autorest[author_es],autorest[age_es])</f>
        <v>Epoca Desconocida</v>
      </c>
      <c r="P796" t="str">
        <f>_xlfn.XLOOKUP(frasest[[#This Row],[author_es]],autorest[author_es],autorest[age_la])</f>
        <v>Epocha Ignota</v>
      </c>
      <c r="Q796" t="str">
        <f>_xlfn.XLOOKUP(frasest[[#This Row],[author_es]],autorest[author_es],autorest[image])</f>
        <v>https://i.ibb.co/bjgxB3kn/euskadi.png</v>
      </c>
      <c r="R796">
        <f>_xlfn.XLOOKUP(frasest[[#This Row],[author_es]],autorest[author_es],autorest[image_atr])</f>
        <v>0</v>
      </c>
    </row>
    <row r="797" spans="1:18">
      <c r="A797">
        <v>796</v>
      </c>
      <c r="B797" t="s">
        <v>2667</v>
      </c>
      <c r="C797" t="s">
        <v>2668</v>
      </c>
      <c r="D797" t="s">
        <v>2669</v>
      </c>
      <c r="E797" t="s">
        <v>1236</v>
      </c>
      <c r="G797" t="str">
        <f>_xlfn.XLOOKUP(frasest[[#This Row],[author_es]],autorest[author_es],autorest[author_la])</f>
        <v>Sententia Vasconica</v>
      </c>
      <c r="H797" t="str">
        <f>_xlfn.XLOOKUP(frasest[[#This Row],[author_es]],autorest[author_es],autorest[bio_es])</f>
        <v>Proverbios de la tradición oral vasca que reflejan la relación con la naturaleza, el trabajo y los valores comunitarios del pueblo vasco.</v>
      </c>
      <c r="I797" t="str">
        <f>_xlfn.XLOOKUP(frasest[[#This Row],[author_es]],autorest[author_es],autorest[bio_la])</f>
        <v>Collectio sententiarum Vasconicarum.</v>
      </c>
      <c r="J797" t="str">
        <f>_xlfn.XLOOKUP(frasest[[#This Row],[author_es]],autorest[author_es],autorest[iso3691])</f>
        <v>eu</v>
      </c>
      <c r="K797" t="str">
        <f>_xlfn.XLOOKUP(frasest[[#This Row],[author_es]],autorest[author_es],autorest[language_es])</f>
        <v>Euskara</v>
      </c>
      <c r="L797" t="str">
        <f>_xlfn.XLOOKUP(frasest[[#This Row],[author_es]],autorest[author_es],autorest[language_la])</f>
        <v>Lingua Vasconica</v>
      </c>
      <c r="M797" t="str">
        <f>_xlfn.XLOOKUP(frasest[[#This Row],[author_es]],autorest[author_es],autorest[nation_es])</f>
        <v>España</v>
      </c>
      <c r="N797" t="str">
        <f>_xlfn.XLOOKUP(frasest[[#This Row],[author_es]],autorest[author_es],autorest[nation_la])</f>
        <v>Hispania</v>
      </c>
      <c r="O797" t="str">
        <f>_xlfn.XLOOKUP(frasest[[#This Row],[author_es]],autorest[author_es],autorest[age_es])</f>
        <v>Epoca Desconocida</v>
      </c>
      <c r="P797" t="str">
        <f>_xlfn.XLOOKUP(frasest[[#This Row],[author_es]],autorest[author_es],autorest[age_la])</f>
        <v>Epocha Ignota</v>
      </c>
      <c r="Q797" t="str">
        <f>_xlfn.XLOOKUP(frasest[[#This Row],[author_es]],autorest[author_es],autorest[image])</f>
        <v>https://i.ibb.co/bjgxB3kn/euskadi.png</v>
      </c>
      <c r="R797">
        <f>_xlfn.XLOOKUP(frasest[[#This Row],[author_es]],autorest[author_es],autorest[image_atr])</f>
        <v>0</v>
      </c>
    </row>
    <row r="798" spans="1:18">
      <c r="A798">
        <v>797</v>
      </c>
      <c r="B798" t="s">
        <v>2670</v>
      </c>
      <c r="C798" t="s">
        <v>2671</v>
      </c>
      <c r="D798" t="s">
        <v>2672</v>
      </c>
      <c r="E798" t="s">
        <v>1236</v>
      </c>
      <c r="G798" t="str">
        <f>_xlfn.XLOOKUP(frasest[[#This Row],[author_es]],autorest[author_es],autorest[author_la])</f>
        <v>Sententia Vasconica</v>
      </c>
      <c r="H798" t="str">
        <f>_xlfn.XLOOKUP(frasest[[#This Row],[author_es]],autorest[author_es],autorest[bio_es])</f>
        <v>Proverbios de la tradición oral vasca que reflejan la relación con la naturaleza, el trabajo y los valores comunitarios del pueblo vasco.</v>
      </c>
      <c r="I798" t="str">
        <f>_xlfn.XLOOKUP(frasest[[#This Row],[author_es]],autorest[author_es],autorest[bio_la])</f>
        <v>Collectio sententiarum Vasconicarum.</v>
      </c>
      <c r="J798" t="str">
        <f>_xlfn.XLOOKUP(frasest[[#This Row],[author_es]],autorest[author_es],autorest[iso3691])</f>
        <v>eu</v>
      </c>
      <c r="K798" t="str">
        <f>_xlfn.XLOOKUP(frasest[[#This Row],[author_es]],autorest[author_es],autorest[language_es])</f>
        <v>Euskara</v>
      </c>
      <c r="L798" t="str">
        <f>_xlfn.XLOOKUP(frasest[[#This Row],[author_es]],autorest[author_es],autorest[language_la])</f>
        <v>Lingua Vasconica</v>
      </c>
      <c r="M798" t="str">
        <f>_xlfn.XLOOKUP(frasest[[#This Row],[author_es]],autorest[author_es],autorest[nation_es])</f>
        <v>España</v>
      </c>
      <c r="N798" t="str">
        <f>_xlfn.XLOOKUP(frasest[[#This Row],[author_es]],autorest[author_es],autorest[nation_la])</f>
        <v>Hispania</v>
      </c>
      <c r="O798" t="str">
        <f>_xlfn.XLOOKUP(frasest[[#This Row],[author_es]],autorest[author_es],autorest[age_es])</f>
        <v>Epoca Desconocida</v>
      </c>
      <c r="P798" t="str">
        <f>_xlfn.XLOOKUP(frasest[[#This Row],[author_es]],autorest[author_es],autorest[age_la])</f>
        <v>Epocha Ignota</v>
      </c>
      <c r="Q798" t="str">
        <f>_xlfn.XLOOKUP(frasest[[#This Row],[author_es]],autorest[author_es],autorest[image])</f>
        <v>https://i.ibb.co/bjgxB3kn/euskadi.png</v>
      </c>
      <c r="R798">
        <f>_xlfn.XLOOKUP(frasest[[#This Row],[author_es]],autorest[author_es],autorest[image_atr])</f>
        <v>0</v>
      </c>
    </row>
    <row r="799" spans="1:18">
      <c r="A799">
        <v>798</v>
      </c>
      <c r="B799" t="s">
        <v>2673</v>
      </c>
      <c r="C799" t="s">
        <v>2674</v>
      </c>
      <c r="D799" t="s">
        <v>2675</v>
      </c>
      <c r="E799" t="s">
        <v>1236</v>
      </c>
      <c r="G799" t="str">
        <f>_xlfn.XLOOKUP(frasest[[#This Row],[author_es]],autorest[author_es],autorest[author_la])</f>
        <v>Sententia Vasconica</v>
      </c>
      <c r="H799" t="str">
        <f>_xlfn.XLOOKUP(frasest[[#This Row],[author_es]],autorest[author_es],autorest[bio_es])</f>
        <v>Proverbios de la tradición oral vasca que reflejan la relación con la naturaleza, el trabajo y los valores comunitarios del pueblo vasco.</v>
      </c>
      <c r="I799" t="str">
        <f>_xlfn.XLOOKUP(frasest[[#This Row],[author_es]],autorest[author_es],autorest[bio_la])</f>
        <v>Collectio sententiarum Vasconicarum.</v>
      </c>
      <c r="J799" t="str">
        <f>_xlfn.XLOOKUP(frasest[[#This Row],[author_es]],autorest[author_es],autorest[iso3691])</f>
        <v>eu</v>
      </c>
      <c r="K799" t="str">
        <f>_xlfn.XLOOKUP(frasest[[#This Row],[author_es]],autorest[author_es],autorest[language_es])</f>
        <v>Euskara</v>
      </c>
      <c r="L799" t="str">
        <f>_xlfn.XLOOKUP(frasest[[#This Row],[author_es]],autorest[author_es],autorest[language_la])</f>
        <v>Lingua Vasconica</v>
      </c>
      <c r="M799" t="str">
        <f>_xlfn.XLOOKUP(frasest[[#This Row],[author_es]],autorest[author_es],autorest[nation_es])</f>
        <v>España</v>
      </c>
      <c r="N799" t="str">
        <f>_xlfn.XLOOKUP(frasest[[#This Row],[author_es]],autorest[author_es],autorest[nation_la])</f>
        <v>Hispania</v>
      </c>
      <c r="O799" t="str">
        <f>_xlfn.XLOOKUP(frasest[[#This Row],[author_es]],autorest[author_es],autorest[age_es])</f>
        <v>Epoca Desconocida</v>
      </c>
      <c r="P799" t="str">
        <f>_xlfn.XLOOKUP(frasest[[#This Row],[author_es]],autorest[author_es],autorest[age_la])</f>
        <v>Epocha Ignota</v>
      </c>
      <c r="Q799" t="str">
        <f>_xlfn.XLOOKUP(frasest[[#This Row],[author_es]],autorest[author_es],autorest[image])</f>
        <v>https://i.ibb.co/bjgxB3kn/euskadi.png</v>
      </c>
      <c r="R799">
        <f>_xlfn.XLOOKUP(frasest[[#This Row],[author_es]],autorest[author_es],autorest[image_atr])</f>
        <v>0</v>
      </c>
    </row>
    <row r="800" spans="1:18">
      <c r="A800">
        <v>799</v>
      </c>
      <c r="B800" t="s">
        <v>2676</v>
      </c>
      <c r="C800" t="s">
        <v>2677</v>
      </c>
      <c r="D800" t="s">
        <v>2678</v>
      </c>
      <c r="E800" t="s">
        <v>1236</v>
      </c>
      <c r="G800" t="str">
        <f>_xlfn.XLOOKUP(frasest[[#This Row],[author_es]],autorest[author_es],autorest[author_la])</f>
        <v>Sententia Vasconica</v>
      </c>
      <c r="H800" t="str">
        <f>_xlfn.XLOOKUP(frasest[[#This Row],[author_es]],autorest[author_es],autorest[bio_es])</f>
        <v>Proverbios de la tradición oral vasca que reflejan la relación con la naturaleza, el trabajo y los valores comunitarios del pueblo vasco.</v>
      </c>
      <c r="I800" t="str">
        <f>_xlfn.XLOOKUP(frasest[[#This Row],[author_es]],autorest[author_es],autorest[bio_la])</f>
        <v>Collectio sententiarum Vasconicarum.</v>
      </c>
      <c r="J800" t="str">
        <f>_xlfn.XLOOKUP(frasest[[#This Row],[author_es]],autorest[author_es],autorest[iso3691])</f>
        <v>eu</v>
      </c>
      <c r="K800" t="str">
        <f>_xlfn.XLOOKUP(frasest[[#This Row],[author_es]],autorest[author_es],autorest[language_es])</f>
        <v>Euskara</v>
      </c>
      <c r="L800" t="str">
        <f>_xlfn.XLOOKUP(frasest[[#This Row],[author_es]],autorest[author_es],autorest[language_la])</f>
        <v>Lingua Vasconica</v>
      </c>
      <c r="M800" t="str">
        <f>_xlfn.XLOOKUP(frasest[[#This Row],[author_es]],autorest[author_es],autorest[nation_es])</f>
        <v>España</v>
      </c>
      <c r="N800" t="str">
        <f>_xlfn.XLOOKUP(frasest[[#This Row],[author_es]],autorest[author_es],autorest[nation_la])</f>
        <v>Hispania</v>
      </c>
      <c r="O800" t="str">
        <f>_xlfn.XLOOKUP(frasest[[#This Row],[author_es]],autorest[author_es],autorest[age_es])</f>
        <v>Epoca Desconocida</v>
      </c>
      <c r="P800" t="str">
        <f>_xlfn.XLOOKUP(frasest[[#This Row],[author_es]],autorest[author_es],autorest[age_la])</f>
        <v>Epocha Ignota</v>
      </c>
      <c r="Q800" t="str">
        <f>_xlfn.XLOOKUP(frasest[[#This Row],[author_es]],autorest[author_es],autorest[image])</f>
        <v>https://i.ibb.co/bjgxB3kn/euskadi.png</v>
      </c>
      <c r="R800">
        <f>_xlfn.XLOOKUP(frasest[[#This Row],[author_es]],autorest[author_es],autorest[image_atr])</f>
        <v>0</v>
      </c>
    </row>
    <row r="801" spans="1:18">
      <c r="A801">
        <v>800</v>
      </c>
      <c r="B801" t="s">
        <v>2679</v>
      </c>
      <c r="C801" t="s">
        <v>2680</v>
      </c>
      <c r="D801" t="s">
        <v>2681</v>
      </c>
      <c r="E801" t="s">
        <v>1236</v>
      </c>
      <c r="G801" t="str">
        <f>_xlfn.XLOOKUP(frasest[[#This Row],[author_es]],autorest[author_es],autorest[author_la])</f>
        <v>Sententia Vasconica</v>
      </c>
      <c r="H801" t="str">
        <f>_xlfn.XLOOKUP(frasest[[#This Row],[author_es]],autorest[author_es],autorest[bio_es])</f>
        <v>Proverbios de la tradición oral vasca que reflejan la relación con la naturaleza, el trabajo y los valores comunitarios del pueblo vasco.</v>
      </c>
      <c r="I801" t="str">
        <f>_xlfn.XLOOKUP(frasest[[#This Row],[author_es]],autorest[author_es],autorest[bio_la])</f>
        <v>Collectio sententiarum Vasconicarum.</v>
      </c>
      <c r="J801" t="str">
        <f>_xlfn.XLOOKUP(frasest[[#This Row],[author_es]],autorest[author_es],autorest[iso3691])</f>
        <v>eu</v>
      </c>
      <c r="K801" t="str">
        <f>_xlfn.XLOOKUP(frasest[[#This Row],[author_es]],autorest[author_es],autorest[language_es])</f>
        <v>Euskara</v>
      </c>
      <c r="L801" t="str">
        <f>_xlfn.XLOOKUP(frasest[[#This Row],[author_es]],autorest[author_es],autorest[language_la])</f>
        <v>Lingua Vasconica</v>
      </c>
      <c r="M801" t="str">
        <f>_xlfn.XLOOKUP(frasest[[#This Row],[author_es]],autorest[author_es],autorest[nation_es])</f>
        <v>España</v>
      </c>
      <c r="N801" t="str">
        <f>_xlfn.XLOOKUP(frasest[[#This Row],[author_es]],autorest[author_es],autorest[nation_la])</f>
        <v>Hispania</v>
      </c>
      <c r="O801" t="str">
        <f>_xlfn.XLOOKUP(frasest[[#This Row],[author_es]],autorest[author_es],autorest[age_es])</f>
        <v>Epoca Desconocida</v>
      </c>
      <c r="P801" t="str">
        <f>_xlfn.XLOOKUP(frasest[[#This Row],[author_es]],autorest[author_es],autorest[age_la])</f>
        <v>Epocha Ignota</v>
      </c>
      <c r="Q801" t="str">
        <f>_xlfn.XLOOKUP(frasest[[#This Row],[author_es]],autorest[author_es],autorest[image])</f>
        <v>https://i.ibb.co/bjgxB3kn/euskadi.png</v>
      </c>
      <c r="R801">
        <f>_xlfn.XLOOKUP(frasest[[#This Row],[author_es]],autorest[author_es],autorest[image_atr])</f>
        <v>0</v>
      </c>
    </row>
    <row r="802" spans="1:18">
      <c r="A802">
        <v>801</v>
      </c>
      <c r="B802" t="s">
        <v>2682</v>
      </c>
      <c r="C802" t="s">
        <v>2683</v>
      </c>
      <c r="D802" t="s">
        <v>2684</v>
      </c>
      <c r="E802" t="s">
        <v>1236</v>
      </c>
      <c r="G802" t="str">
        <f>_xlfn.XLOOKUP(frasest[[#This Row],[author_es]],autorest[author_es],autorest[author_la])</f>
        <v>Sententia Vasconica</v>
      </c>
      <c r="H802" t="str">
        <f>_xlfn.XLOOKUP(frasest[[#This Row],[author_es]],autorest[author_es],autorest[bio_es])</f>
        <v>Proverbios de la tradición oral vasca que reflejan la relación con la naturaleza, el trabajo y los valores comunitarios del pueblo vasco.</v>
      </c>
      <c r="I802" t="str">
        <f>_xlfn.XLOOKUP(frasest[[#This Row],[author_es]],autorest[author_es],autorest[bio_la])</f>
        <v>Collectio sententiarum Vasconicarum.</v>
      </c>
      <c r="J802" t="str">
        <f>_xlfn.XLOOKUP(frasest[[#This Row],[author_es]],autorest[author_es],autorest[iso3691])</f>
        <v>eu</v>
      </c>
      <c r="K802" t="str">
        <f>_xlfn.XLOOKUP(frasest[[#This Row],[author_es]],autorest[author_es],autorest[language_es])</f>
        <v>Euskara</v>
      </c>
      <c r="L802" t="str">
        <f>_xlfn.XLOOKUP(frasest[[#This Row],[author_es]],autorest[author_es],autorest[language_la])</f>
        <v>Lingua Vasconica</v>
      </c>
      <c r="M802" t="str">
        <f>_xlfn.XLOOKUP(frasest[[#This Row],[author_es]],autorest[author_es],autorest[nation_es])</f>
        <v>España</v>
      </c>
      <c r="N802" t="str">
        <f>_xlfn.XLOOKUP(frasest[[#This Row],[author_es]],autorest[author_es],autorest[nation_la])</f>
        <v>Hispania</v>
      </c>
      <c r="O802" t="str">
        <f>_xlfn.XLOOKUP(frasest[[#This Row],[author_es]],autorest[author_es],autorest[age_es])</f>
        <v>Epoca Desconocida</v>
      </c>
      <c r="P802" t="str">
        <f>_xlfn.XLOOKUP(frasest[[#This Row],[author_es]],autorest[author_es],autorest[age_la])</f>
        <v>Epocha Ignota</v>
      </c>
      <c r="Q802" t="str">
        <f>_xlfn.XLOOKUP(frasest[[#This Row],[author_es]],autorest[author_es],autorest[image])</f>
        <v>https://i.ibb.co/bjgxB3kn/euskadi.png</v>
      </c>
      <c r="R802">
        <f>_xlfn.XLOOKUP(frasest[[#This Row],[author_es]],autorest[author_es],autorest[image_atr])</f>
        <v>0</v>
      </c>
    </row>
    <row r="803" spans="1:18">
      <c r="A803">
        <v>802</v>
      </c>
      <c r="B803" t="s">
        <v>2685</v>
      </c>
      <c r="C803" t="s">
        <v>2686</v>
      </c>
      <c r="D803" t="s">
        <v>2687</v>
      </c>
      <c r="E803" t="s">
        <v>1236</v>
      </c>
      <c r="G803" t="str">
        <f>_xlfn.XLOOKUP(frasest[[#This Row],[author_es]],autorest[author_es],autorest[author_la])</f>
        <v>Sententia Vasconica</v>
      </c>
      <c r="H803" t="str">
        <f>_xlfn.XLOOKUP(frasest[[#This Row],[author_es]],autorest[author_es],autorest[bio_es])</f>
        <v>Proverbios de la tradición oral vasca que reflejan la relación con la naturaleza, el trabajo y los valores comunitarios del pueblo vasco.</v>
      </c>
      <c r="I803" t="str">
        <f>_xlfn.XLOOKUP(frasest[[#This Row],[author_es]],autorest[author_es],autorest[bio_la])</f>
        <v>Collectio sententiarum Vasconicarum.</v>
      </c>
      <c r="J803" t="str">
        <f>_xlfn.XLOOKUP(frasest[[#This Row],[author_es]],autorest[author_es],autorest[iso3691])</f>
        <v>eu</v>
      </c>
      <c r="K803" t="str">
        <f>_xlfn.XLOOKUP(frasest[[#This Row],[author_es]],autorest[author_es],autorest[language_es])</f>
        <v>Euskara</v>
      </c>
      <c r="L803" t="str">
        <f>_xlfn.XLOOKUP(frasest[[#This Row],[author_es]],autorest[author_es],autorest[language_la])</f>
        <v>Lingua Vasconica</v>
      </c>
      <c r="M803" t="str">
        <f>_xlfn.XLOOKUP(frasest[[#This Row],[author_es]],autorest[author_es],autorest[nation_es])</f>
        <v>España</v>
      </c>
      <c r="N803" t="str">
        <f>_xlfn.XLOOKUP(frasest[[#This Row],[author_es]],autorest[author_es],autorest[nation_la])</f>
        <v>Hispania</v>
      </c>
      <c r="O803" t="str">
        <f>_xlfn.XLOOKUP(frasest[[#This Row],[author_es]],autorest[author_es],autorest[age_es])</f>
        <v>Epoca Desconocida</v>
      </c>
      <c r="P803" t="str">
        <f>_xlfn.XLOOKUP(frasest[[#This Row],[author_es]],autorest[author_es],autorest[age_la])</f>
        <v>Epocha Ignota</v>
      </c>
      <c r="Q803" t="str">
        <f>_xlfn.XLOOKUP(frasest[[#This Row],[author_es]],autorest[author_es],autorest[image])</f>
        <v>https://i.ibb.co/bjgxB3kn/euskadi.png</v>
      </c>
      <c r="R803">
        <f>_xlfn.XLOOKUP(frasest[[#This Row],[author_es]],autorest[author_es],autorest[image_atr])</f>
        <v>0</v>
      </c>
    </row>
    <row r="804" spans="1:18">
      <c r="A804">
        <v>803</v>
      </c>
      <c r="B804" t="s">
        <v>2688</v>
      </c>
      <c r="C804" t="s">
        <v>2689</v>
      </c>
      <c r="D804" t="s">
        <v>2690</v>
      </c>
      <c r="E804" t="s">
        <v>1236</v>
      </c>
      <c r="G804" t="str">
        <f>_xlfn.XLOOKUP(frasest[[#This Row],[author_es]],autorest[author_es],autorest[author_la])</f>
        <v>Sententia Vasconica</v>
      </c>
      <c r="H804" t="str">
        <f>_xlfn.XLOOKUP(frasest[[#This Row],[author_es]],autorest[author_es],autorest[bio_es])</f>
        <v>Proverbios de la tradición oral vasca que reflejan la relación con la naturaleza, el trabajo y los valores comunitarios del pueblo vasco.</v>
      </c>
      <c r="I804" t="str">
        <f>_xlfn.XLOOKUP(frasest[[#This Row],[author_es]],autorest[author_es],autorest[bio_la])</f>
        <v>Collectio sententiarum Vasconicarum.</v>
      </c>
      <c r="J804" t="str">
        <f>_xlfn.XLOOKUP(frasest[[#This Row],[author_es]],autorest[author_es],autorest[iso3691])</f>
        <v>eu</v>
      </c>
      <c r="K804" t="str">
        <f>_xlfn.XLOOKUP(frasest[[#This Row],[author_es]],autorest[author_es],autorest[language_es])</f>
        <v>Euskara</v>
      </c>
      <c r="L804" t="str">
        <f>_xlfn.XLOOKUP(frasest[[#This Row],[author_es]],autorest[author_es],autorest[language_la])</f>
        <v>Lingua Vasconica</v>
      </c>
      <c r="M804" t="str">
        <f>_xlfn.XLOOKUP(frasest[[#This Row],[author_es]],autorest[author_es],autorest[nation_es])</f>
        <v>España</v>
      </c>
      <c r="N804" t="str">
        <f>_xlfn.XLOOKUP(frasest[[#This Row],[author_es]],autorest[author_es],autorest[nation_la])</f>
        <v>Hispania</v>
      </c>
      <c r="O804" t="str">
        <f>_xlfn.XLOOKUP(frasest[[#This Row],[author_es]],autorest[author_es],autorest[age_es])</f>
        <v>Epoca Desconocida</v>
      </c>
      <c r="P804" t="str">
        <f>_xlfn.XLOOKUP(frasest[[#This Row],[author_es]],autorest[author_es],autorest[age_la])</f>
        <v>Epocha Ignota</v>
      </c>
      <c r="Q804" t="str">
        <f>_xlfn.XLOOKUP(frasest[[#This Row],[author_es]],autorest[author_es],autorest[image])</f>
        <v>https://i.ibb.co/bjgxB3kn/euskadi.png</v>
      </c>
      <c r="R804">
        <f>_xlfn.XLOOKUP(frasest[[#This Row],[author_es]],autorest[author_es],autorest[image_atr])</f>
        <v>0</v>
      </c>
    </row>
    <row r="805" spans="1:18">
      <c r="A805">
        <v>804</v>
      </c>
      <c r="B805" t="s">
        <v>2691</v>
      </c>
      <c r="C805" t="s">
        <v>2692</v>
      </c>
      <c r="D805" t="s">
        <v>2693</v>
      </c>
      <c r="E805" t="s">
        <v>1236</v>
      </c>
      <c r="G805" t="str">
        <f>_xlfn.XLOOKUP(frasest[[#This Row],[author_es]],autorest[author_es],autorest[author_la])</f>
        <v>Sententia Vasconica</v>
      </c>
      <c r="H805" t="str">
        <f>_xlfn.XLOOKUP(frasest[[#This Row],[author_es]],autorest[author_es],autorest[bio_es])</f>
        <v>Proverbios de la tradición oral vasca que reflejan la relación con la naturaleza, el trabajo y los valores comunitarios del pueblo vasco.</v>
      </c>
      <c r="I805" t="str">
        <f>_xlfn.XLOOKUP(frasest[[#This Row],[author_es]],autorest[author_es],autorest[bio_la])</f>
        <v>Collectio sententiarum Vasconicarum.</v>
      </c>
      <c r="J805" t="str">
        <f>_xlfn.XLOOKUP(frasest[[#This Row],[author_es]],autorest[author_es],autorest[iso3691])</f>
        <v>eu</v>
      </c>
      <c r="K805" t="str">
        <f>_xlfn.XLOOKUP(frasest[[#This Row],[author_es]],autorest[author_es],autorest[language_es])</f>
        <v>Euskara</v>
      </c>
      <c r="L805" t="str">
        <f>_xlfn.XLOOKUP(frasest[[#This Row],[author_es]],autorest[author_es],autorest[language_la])</f>
        <v>Lingua Vasconica</v>
      </c>
      <c r="M805" t="str">
        <f>_xlfn.XLOOKUP(frasest[[#This Row],[author_es]],autorest[author_es],autorest[nation_es])</f>
        <v>España</v>
      </c>
      <c r="N805" t="str">
        <f>_xlfn.XLOOKUP(frasest[[#This Row],[author_es]],autorest[author_es],autorest[nation_la])</f>
        <v>Hispania</v>
      </c>
      <c r="O805" t="str">
        <f>_xlfn.XLOOKUP(frasest[[#This Row],[author_es]],autorest[author_es],autorest[age_es])</f>
        <v>Epoca Desconocida</v>
      </c>
      <c r="P805" t="str">
        <f>_xlfn.XLOOKUP(frasest[[#This Row],[author_es]],autorest[author_es],autorest[age_la])</f>
        <v>Epocha Ignota</v>
      </c>
      <c r="Q805" t="str">
        <f>_xlfn.XLOOKUP(frasest[[#This Row],[author_es]],autorest[author_es],autorest[image])</f>
        <v>https://i.ibb.co/bjgxB3kn/euskadi.png</v>
      </c>
      <c r="R805">
        <f>_xlfn.XLOOKUP(frasest[[#This Row],[author_es]],autorest[author_es],autorest[image_atr])</f>
        <v>0</v>
      </c>
    </row>
    <row r="806" spans="1:18">
      <c r="A806">
        <v>805</v>
      </c>
      <c r="B806" t="s">
        <v>2694</v>
      </c>
      <c r="C806" t="s">
        <v>2695</v>
      </c>
      <c r="D806" t="s">
        <v>2696</v>
      </c>
      <c r="E806" t="s">
        <v>1236</v>
      </c>
      <c r="G806" t="str">
        <f>_xlfn.XLOOKUP(frasest[[#This Row],[author_es]],autorest[author_es],autorest[author_la])</f>
        <v>Sententia Vasconica</v>
      </c>
      <c r="H806" t="str">
        <f>_xlfn.XLOOKUP(frasest[[#This Row],[author_es]],autorest[author_es],autorest[bio_es])</f>
        <v>Proverbios de la tradición oral vasca que reflejan la relación con la naturaleza, el trabajo y los valores comunitarios del pueblo vasco.</v>
      </c>
      <c r="I806" t="str">
        <f>_xlfn.XLOOKUP(frasest[[#This Row],[author_es]],autorest[author_es],autorest[bio_la])</f>
        <v>Collectio sententiarum Vasconicarum.</v>
      </c>
      <c r="J806" t="str">
        <f>_xlfn.XLOOKUP(frasest[[#This Row],[author_es]],autorest[author_es],autorest[iso3691])</f>
        <v>eu</v>
      </c>
      <c r="K806" t="str">
        <f>_xlfn.XLOOKUP(frasest[[#This Row],[author_es]],autorest[author_es],autorest[language_es])</f>
        <v>Euskara</v>
      </c>
      <c r="L806" t="str">
        <f>_xlfn.XLOOKUP(frasest[[#This Row],[author_es]],autorest[author_es],autorest[language_la])</f>
        <v>Lingua Vasconica</v>
      </c>
      <c r="M806" t="str">
        <f>_xlfn.XLOOKUP(frasest[[#This Row],[author_es]],autorest[author_es],autorest[nation_es])</f>
        <v>España</v>
      </c>
      <c r="N806" t="str">
        <f>_xlfn.XLOOKUP(frasest[[#This Row],[author_es]],autorest[author_es],autorest[nation_la])</f>
        <v>Hispania</v>
      </c>
      <c r="O806" t="str">
        <f>_xlfn.XLOOKUP(frasest[[#This Row],[author_es]],autorest[author_es],autorest[age_es])</f>
        <v>Epoca Desconocida</v>
      </c>
      <c r="P806" t="str">
        <f>_xlfn.XLOOKUP(frasest[[#This Row],[author_es]],autorest[author_es],autorest[age_la])</f>
        <v>Epocha Ignota</v>
      </c>
      <c r="Q806" t="str">
        <f>_xlfn.XLOOKUP(frasest[[#This Row],[author_es]],autorest[author_es],autorest[image])</f>
        <v>https://i.ibb.co/bjgxB3kn/euskadi.png</v>
      </c>
      <c r="R806">
        <f>_xlfn.XLOOKUP(frasest[[#This Row],[author_es]],autorest[author_es],autorest[image_atr])</f>
        <v>0</v>
      </c>
    </row>
    <row r="807" spans="1:18">
      <c r="A807">
        <v>806</v>
      </c>
      <c r="B807" t="s">
        <v>2697</v>
      </c>
      <c r="C807" t="s">
        <v>2698</v>
      </c>
      <c r="D807" t="s">
        <v>2699</v>
      </c>
      <c r="E807" t="s">
        <v>1236</v>
      </c>
      <c r="G807" t="str">
        <f>_xlfn.XLOOKUP(frasest[[#This Row],[author_es]],autorest[author_es],autorest[author_la])</f>
        <v>Sententia Vasconica</v>
      </c>
      <c r="H807" t="str">
        <f>_xlfn.XLOOKUP(frasest[[#This Row],[author_es]],autorest[author_es],autorest[bio_es])</f>
        <v>Proverbios de la tradición oral vasca que reflejan la relación con la naturaleza, el trabajo y los valores comunitarios del pueblo vasco.</v>
      </c>
      <c r="I807" t="str">
        <f>_xlfn.XLOOKUP(frasest[[#This Row],[author_es]],autorest[author_es],autorest[bio_la])</f>
        <v>Collectio sententiarum Vasconicarum.</v>
      </c>
      <c r="J807" t="str">
        <f>_xlfn.XLOOKUP(frasest[[#This Row],[author_es]],autorest[author_es],autorest[iso3691])</f>
        <v>eu</v>
      </c>
      <c r="K807" t="str">
        <f>_xlfn.XLOOKUP(frasest[[#This Row],[author_es]],autorest[author_es],autorest[language_es])</f>
        <v>Euskara</v>
      </c>
      <c r="L807" t="str">
        <f>_xlfn.XLOOKUP(frasest[[#This Row],[author_es]],autorest[author_es],autorest[language_la])</f>
        <v>Lingua Vasconica</v>
      </c>
      <c r="M807" t="str">
        <f>_xlfn.XLOOKUP(frasest[[#This Row],[author_es]],autorest[author_es],autorest[nation_es])</f>
        <v>España</v>
      </c>
      <c r="N807" t="str">
        <f>_xlfn.XLOOKUP(frasest[[#This Row],[author_es]],autorest[author_es],autorest[nation_la])</f>
        <v>Hispania</v>
      </c>
      <c r="O807" t="str">
        <f>_xlfn.XLOOKUP(frasest[[#This Row],[author_es]],autorest[author_es],autorest[age_es])</f>
        <v>Epoca Desconocida</v>
      </c>
      <c r="P807" t="str">
        <f>_xlfn.XLOOKUP(frasest[[#This Row],[author_es]],autorest[author_es],autorest[age_la])</f>
        <v>Epocha Ignota</v>
      </c>
      <c r="Q807" t="str">
        <f>_xlfn.XLOOKUP(frasest[[#This Row],[author_es]],autorest[author_es],autorest[image])</f>
        <v>https://i.ibb.co/bjgxB3kn/euskadi.png</v>
      </c>
      <c r="R807">
        <f>_xlfn.XLOOKUP(frasest[[#This Row],[author_es]],autorest[author_es],autorest[image_atr])</f>
        <v>0</v>
      </c>
    </row>
    <row r="808" spans="1:18">
      <c r="A808">
        <v>807</v>
      </c>
      <c r="B808" t="s">
        <v>2700</v>
      </c>
      <c r="C808" t="s">
        <v>2701</v>
      </c>
      <c r="D808" t="s">
        <v>2702</v>
      </c>
      <c r="E808" t="s">
        <v>1236</v>
      </c>
      <c r="G808" t="str">
        <f>_xlfn.XLOOKUP(frasest[[#This Row],[author_es]],autorest[author_es],autorest[author_la])</f>
        <v>Sententia Vasconica</v>
      </c>
      <c r="H808" t="str">
        <f>_xlfn.XLOOKUP(frasest[[#This Row],[author_es]],autorest[author_es],autorest[bio_es])</f>
        <v>Proverbios de la tradición oral vasca que reflejan la relación con la naturaleza, el trabajo y los valores comunitarios del pueblo vasco.</v>
      </c>
      <c r="I808" t="str">
        <f>_xlfn.XLOOKUP(frasest[[#This Row],[author_es]],autorest[author_es],autorest[bio_la])</f>
        <v>Collectio sententiarum Vasconicarum.</v>
      </c>
      <c r="J808" t="str">
        <f>_xlfn.XLOOKUP(frasest[[#This Row],[author_es]],autorest[author_es],autorest[iso3691])</f>
        <v>eu</v>
      </c>
      <c r="K808" t="str">
        <f>_xlfn.XLOOKUP(frasest[[#This Row],[author_es]],autorest[author_es],autorest[language_es])</f>
        <v>Euskara</v>
      </c>
      <c r="L808" t="str">
        <f>_xlfn.XLOOKUP(frasest[[#This Row],[author_es]],autorest[author_es],autorest[language_la])</f>
        <v>Lingua Vasconica</v>
      </c>
      <c r="M808" t="str">
        <f>_xlfn.XLOOKUP(frasest[[#This Row],[author_es]],autorest[author_es],autorest[nation_es])</f>
        <v>España</v>
      </c>
      <c r="N808" t="str">
        <f>_xlfn.XLOOKUP(frasest[[#This Row],[author_es]],autorest[author_es],autorest[nation_la])</f>
        <v>Hispania</v>
      </c>
      <c r="O808" t="str">
        <f>_xlfn.XLOOKUP(frasest[[#This Row],[author_es]],autorest[author_es],autorest[age_es])</f>
        <v>Epoca Desconocida</v>
      </c>
      <c r="P808" t="str">
        <f>_xlfn.XLOOKUP(frasest[[#This Row],[author_es]],autorest[author_es],autorest[age_la])</f>
        <v>Epocha Ignota</v>
      </c>
      <c r="Q808" t="str">
        <f>_xlfn.XLOOKUP(frasest[[#This Row],[author_es]],autorest[author_es],autorest[image])</f>
        <v>https://i.ibb.co/bjgxB3kn/euskadi.png</v>
      </c>
      <c r="R808">
        <f>_xlfn.XLOOKUP(frasest[[#This Row],[author_es]],autorest[author_es],autorest[image_atr])</f>
        <v>0</v>
      </c>
    </row>
    <row r="809" spans="1:18">
      <c r="A809">
        <v>808</v>
      </c>
      <c r="B809" t="s">
        <v>2703</v>
      </c>
      <c r="C809" t="s">
        <v>2704</v>
      </c>
      <c r="D809" t="s">
        <v>2705</v>
      </c>
      <c r="E809" t="s">
        <v>1236</v>
      </c>
      <c r="G809" t="str">
        <f>_xlfn.XLOOKUP(frasest[[#This Row],[author_es]],autorest[author_es],autorest[author_la])</f>
        <v>Sententia Vasconica</v>
      </c>
      <c r="H809" t="str">
        <f>_xlfn.XLOOKUP(frasest[[#This Row],[author_es]],autorest[author_es],autorest[bio_es])</f>
        <v>Proverbios de la tradición oral vasca que reflejan la relación con la naturaleza, el trabajo y los valores comunitarios del pueblo vasco.</v>
      </c>
      <c r="I809" t="str">
        <f>_xlfn.XLOOKUP(frasest[[#This Row],[author_es]],autorest[author_es],autorest[bio_la])</f>
        <v>Collectio sententiarum Vasconicarum.</v>
      </c>
      <c r="J809" t="str">
        <f>_xlfn.XLOOKUP(frasest[[#This Row],[author_es]],autorest[author_es],autorest[iso3691])</f>
        <v>eu</v>
      </c>
      <c r="K809" t="str">
        <f>_xlfn.XLOOKUP(frasest[[#This Row],[author_es]],autorest[author_es],autorest[language_es])</f>
        <v>Euskara</v>
      </c>
      <c r="L809" t="str">
        <f>_xlfn.XLOOKUP(frasest[[#This Row],[author_es]],autorest[author_es],autorest[language_la])</f>
        <v>Lingua Vasconica</v>
      </c>
      <c r="M809" t="str">
        <f>_xlfn.XLOOKUP(frasest[[#This Row],[author_es]],autorest[author_es],autorest[nation_es])</f>
        <v>España</v>
      </c>
      <c r="N809" t="str">
        <f>_xlfn.XLOOKUP(frasest[[#This Row],[author_es]],autorest[author_es],autorest[nation_la])</f>
        <v>Hispania</v>
      </c>
      <c r="O809" t="str">
        <f>_xlfn.XLOOKUP(frasest[[#This Row],[author_es]],autorest[author_es],autorest[age_es])</f>
        <v>Epoca Desconocida</v>
      </c>
      <c r="P809" t="str">
        <f>_xlfn.XLOOKUP(frasest[[#This Row],[author_es]],autorest[author_es],autorest[age_la])</f>
        <v>Epocha Ignota</v>
      </c>
      <c r="Q809" t="str">
        <f>_xlfn.XLOOKUP(frasest[[#This Row],[author_es]],autorest[author_es],autorest[image])</f>
        <v>https://i.ibb.co/bjgxB3kn/euskadi.png</v>
      </c>
      <c r="R809">
        <f>_xlfn.XLOOKUP(frasest[[#This Row],[author_es]],autorest[author_es],autorest[image_atr])</f>
        <v>0</v>
      </c>
    </row>
    <row r="810" spans="1:18">
      <c r="A810">
        <v>809</v>
      </c>
      <c r="B810" t="s">
        <v>2706</v>
      </c>
      <c r="C810" t="s">
        <v>2707</v>
      </c>
      <c r="D810" t="s">
        <v>2708</v>
      </c>
      <c r="E810" t="s">
        <v>1236</v>
      </c>
      <c r="G810" t="str">
        <f>_xlfn.XLOOKUP(frasest[[#This Row],[author_es]],autorest[author_es],autorest[author_la])</f>
        <v>Sententia Vasconica</v>
      </c>
      <c r="H810" t="str">
        <f>_xlfn.XLOOKUP(frasest[[#This Row],[author_es]],autorest[author_es],autorest[bio_es])</f>
        <v>Proverbios de la tradición oral vasca que reflejan la relación con la naturaleza, el trabajo y los valores comunitarios del pueblo vasco.</v>
      </c>
      <c r="I810" t="str">
        <f>_xlfn.XLOOKUP(frasest[[#This Row],[author_es]],autorest[author_es],autorest[bio_la])</f>
        <v>Collectio sententiarum Vasconicarum.</v>
      </c>
      <c r="J810" t="str">
        <f>_xlfn.XLOOKUP(frasest[[#This Row],[author_es]],autorest[author_es],autorest[iso3691])</f>
        <v>eu</v>
      </c>
      <c r="K810" t="str">
        <f>_xlfn.XLOOKUP(frasest[[#This Row],[author_es]],autorest[author_es],autorest[language_es])</f>
        <v>Euskara</v>
      </c>
      <c r="L810" t="str">
        <f>_xlfn.XLOOKUP(frasest[[#This Row],[author_es]],autorest[author_es],autorest[language_la])</f>
        <v>Lingua Vasconica</v>
      </c>
      <c r="M810" t="str">
        <f>_xlfn.XLOOKUP(frasest[[#This Row],[author_es]],autorest[author_es],autorest[nation_es])</f>
        <v>España</v>
      </c>
      <c r="N810" t="str">
        <f>_xlfn.XLOOKUP(frasest[[#This Row],[author_es]],autorest[author_es],autorest[nation_la])</f>
        <v>Hispania</v>
      </c>
      <c r="O810" t="str">
        <f>_xlfn.XLOOKUP(frasest[[#This Row],[author_es]],autorest[author_es],autorest[age_es])</f>
        <v>Epoca Desconocida</v>
      </c>
      <c r="P810" t="str">
        <f>_xlfn.XLOOKUP(frasest[[#This Row],[author_es]],autorest[author_es],autorest[age_la])</f>
        <v>Epocha Ignota</v>
      </c>
      <c r="Q810" t="str">
        <f>_xlfn.XLOOKUP(frasest[[#This Row],[author_es]],autorest[author_es],autorest[image])</f>
        <v>https://i.ibb.co/bjgxB3kn/euskadi.png</v>
      </c>
      <c r="R810">
        <f>_xlfn.XLOOKUP(frasest[[#This Row],[author_es]],autorest[author_es],autorest[image_atr])</f>
        <v>0</v>
      </c>
    </row>
    <row r="811" spans="1:18">
      <c r="A811">
        <v>810</v>
      </c>
      <c r="B811" t="s">
        <v>2709</v>
      </c>
      <c r="C811" t="s">
        <v>2710</v>
      </c>
      <c r="D811" t="s">
        <v>2711</v>
      </c>
      <c r="E811" t="s">
        <v>1236</v>
      </c>
      <c r="G811" t="str">
        <f>_xlfn.XLOOKUP(frasest[[#This Row],[author_es]],autorest[author_es],autorest[author_la])</f>
        <v>Sententia Vasconica</v>
      </c>
      <c r="H811" t="str">
        <f>_xlfn.XLOOKUP(frasest[[#This Row],[author_es]],autorest[author_es],autorest[bio_es])</f>
        <v>Proverbios de la tradición oral vasca que reflejan la relación con la naturaleza, el trabajo y los valores comunitarios del pueblo vasco.</v>
      </c>
      <c r="I811" t="str">
        <f>_xlfn.XLOOKUP(frasest[[#This Row],[author_es]],autorest[author_es],autorest[bio_la])</f>
        <v>Collectio sententiarum Vasconicarum.</v>
      </c>
      <c r="J811" t="str">
        <f>_xlfn.XLOOKUP(frasest[[#This Row],[author_es]],autorest[author_es],autorest[iso3691])</f>
        <v>eu</v>
      </c>
      <c r="K811" t="str">
        <f>_xlfn.XLOOKUP(frasest[[#This Row],[author_es]],autorest[author_es],autorest[language_es])</f>
        <v>Euskara</v>
      </c>
      <c r="L811" t="str">
        <f>_xlfn.XLOOKUP(frasest[[#This Row],[author_es]],autorest[author_es],autorest[language_la])</f>
        <v>Lingua Vasconica</v>
      </c>
      <c r="M811" t="str">
        <f>_xlfn.XLOOKUP(frasest[[#This Row],[author_es]],autorest[author_es],autorest[nation_es])</f>
        <v>España</v>
      </c>
      <c r="N811" t="str">
        <f>_xlfn.XLOOKUP(frasest[[#This Row],[author_es]],autorest[author_es],autorest[nation_la])</f>
        <v>Hispania</v>
      </c>
      <c r="O811" t="str">
        <f>_xlfn.XLOOKUP(frasest[[#This Row],[author_es]],autorest[author_es],autorest[age_es])</f>
        <v>Epoca Desconocida</v>
      </c>
      <c r="P811" t="str">
        <f>_xlfn.XLOOKUP(frasest[[#This Row],[author_es]],autorest[author_es],autorest[age_la])</f>
        <v>Epocha Ignota</v>
      </c>
      <c r="Q811" t="str">
        <f>_xlfn.XLOOKUP(frasest[[#This Row],[author_es]],autorest[author_es],autorest[image])</f>
        <v>https://i.ibb.co/bjgxB3kn/euskadi.png</v>
      </c>
      <c r="R811">
        <f>_xlfn.XLOOKUP(frasest[[#This Row],[author_es]],autorest[author_es],autorest[image_atr])</f>
        <v>0</v>
      </c>
    </row>
    <row r="812" spans="1:18">
      <c r="A812">
        <v>811</v>
      </c>
      <c r="B812" t="s">
        <v>2712</v>
      </c>
      <c r="C812" t="s">
        <v>2713</v>
      </c>
      <c r="D812" t="s">
        <v>2714</v>
      </c>
      <c r="E812" t="s">
        <v>1236</v>
      </c>
      <c r="G812" t="str">
        <f>_xlfn.XLOOKUP(frasest[[#This Row],[author_es]],autorest[author_es],autorest[author_la])</f>
        <v>Sententia Vasconica</v>
      </c>
      <c r="H812" t="str">
        <f>_xlfn.XLOOKUP(frasest[[#This Row],[author_es]],autorest[author_es],autorest[bio_es])</f>
        <v>Proverbios de la tradición oral vasca que reflejan la relación con la naturaleza, el trabajo y los valores comunitarios del pueblo vasco.</v>
      </c>
      <c r="I812" t="str">
        <f>_xlfn.XLOOKUP(frasest[[#This Row],[author_es]],autorest[author_es],autorest[bio_la])</f>
        <v>Collectio sententiarum Vasconicarum.</v>
      </c>
      <c r="J812" t="str">
        <f>_xlfn.XLOOKUP(frasest[[#This Row],[author_es]],autorest[author_es],autorest[iso3691])</f>
        <v>eu</v>
      </c>
      <c r="K812" t="str">
        <f>_xlfn.XLOOKUP(frasest[[#This Row],[author_es]],autorest[author_es],autorest[language_es])</f>
        <v>Euskara</v>
      </c>
      <c r="L812" t="str">
        <f>_xlfn.XLOOKUP(frasest[[#This Row],[author_es]],autorest[author_es],autorest[language_la])</f>
        <v>Lingua Vasconica</v>
      </c>
      <c r="M812" t="str">
        <f>_xlfn.XLOOKUP(frasest[[#This Row],[author_es]],autorest[author_es],autorest[nation_es])</f>
        <v>España</v>
      </c>
      <c r="N812" t="str">
        <f>_xlfn.XLOOKUP(frasest[[#This Row],[author_es]],autorest[author_es],autorest[nation_la])</f>
        <v>Hispania</v>
      </c>
      <c r="O812" t="str">
        <f>_xlfn.XLOOKUP(frasest[[#This Row],[author_es]],autorest[author_es],autorest[age_es])</f>
        <v>Epoca Desconocida</v>
      </c>
      <c r="P812" t="str">
        <f>_xlfn.XLOOKUP(frasest[[#This Row],[author_es]],autorest[author_es],autorest[age_la])</f>
        <v>Epocha Ignota</v>
      </c>
      <c r="Q812" t="str">
        <f>_xlfn.XLOOKUP(frasest[[#This Row],[author_es]],autorest[author_es],autorest[image])</f>
        <v>https://i.ibb.co/bjgxB3kn/euskadi.png</v>
      </c>
      <c r="R812">
        <f>_xlfn.XLOOKUP(frasest[[#This Row],[author_es]],autorest[author_es],autorest[image_atr])</f>
        <v>0</v>
      </c>
    </row>
    <row r="813" spans="1:18">
      <c r="A813">
        <v>812</v>
      </c>
      <c r="B813" t="s">
        <v>2715</v>
      </c>
      <c r="C813" t="s">
        <v>2716</v>
      </c>
      <c r="D813" t="s">
        <v>2717</v>
      </c>
      <c r="E813" t="s">
        <v>1236</v>
      </c>
      <c r="G813" t="str">
        <f>_xlfn.XLOOKUP(frasest[[#This Row],[author_es]],autorest[author_es],autorest[author_la])</f>
        <v>Sententia Vasconica</v>
      </c>
      <c r="H813" t="str">
        <f>_xlfn.XLOOKUP(frasest[[#This Row],[author_es]],autorest[author_es],autorest[bio_es])</f>
        <v>Proverbios de la tradición oral vasca que reflejan la relación con la naturaleza, el trabajo y los valores comunitarios del pueblo vasco.</v>
      </c>
      <c r="I813" t="str">
        <f>_xlfn.XLOOKUP(frasest[[#This Row],[author_es]],autorest[author_es],autorest[bio_la])</f>
        <v>Collectio sententiarum Vasconicarum.</v>
      </c>
      <c r="J813" t="str">
        <f>_xlfn.XLOOKUP(frasest[[#This Row],[author_es]],autorest[author_es],autorest[iso3691])</f>
        <v>eu</v>
      </c>
      <c r="K813" t="str">
        <f>_xlfn.XLOOKUP(frasest[[#This Row],[author_es]],autorest[author_es],autorest[language_es])</f>
        <v>Euskara</v>
      </c>
      <c r="L813" t="str">
        <f>_xlfn.XLOOKUP(frasest[[#This Row],[author_es]],autorest[author_es],autorest[language_la])</f>
        <v>Lingua Vasconica</v>
      </c>
      <c r="M813" t="str">
        <f>_xlfn.XLOOKUP(frasest[[#This Row],[author_es]],autorest[author_es],autorest[nation_es])</f>
        <v>España</v>
      </c>
      <c r="N813" t="str">
        <f>_xlfn.XLOOKUP(frasest[[#This Row],[author_es]],autorest[author_es],autorest[nation_la])</f>
        <v>Hispania</v>
      </c>
      <c r="O813" t="str">
        <f>_xlfn.XLOOKUP(frasest[[#This Row],[author_es]],autorest[author_es],autorest[age_es])</f>
        <v>Epoca Desconocida</v>
      </c>
      <c r="P813" t="str">
        <f>_xlfn.XLOOKUP(frasest[[#This Row],[author_es]],autorest[author_es],autorest[age_la])</f>
        <v>Epocha Ignota</v>
      </c>
      <c r="Q813" t="str">
        <f>_xlfn.XLOOKUP(frasest[[#This Row],[author_es]],autorest[author_es],autorest[image])</f>
        <v>https://i.ibb.co/bjgxB3kn/euskadi.png</v>
      </c>
      <c r="R813">
        <f>_xlfn.XLOOKUP(frasest[[#This Row],[author_es]],autorest[author_es],autorest[image_atr])</f>
        <v>0</v>
      </c>
    </row>
    <row r="814" spans="1:18">
      <c r="A814">
        <v>813</v>
      </c>
      <c r="B814" t="s">
        <v>2718</v>
      </c>
      <c r="C814" t="s">
        <v>2719</v>
      </c>
      <c r="D814" t="s">
        <v>2720</v>
      </c>
      <c r="E814" t="s">
        <v>1236</v>
      </c>
      <c r="G814" t="str">
        <f>_xlfn.XLOOKUP(frasest[[#This Row],[author_es]],autorest[author_es],autorest[author_la])</f>
        <v>Sententia Vasconica</v>
      </c>
      <c r="H814" t="str">
        <f>_xlfn.XLOOKUP(frasest[[#This Row],[author_es]],autorest[author_es],autorest[bio_es])</f>
        <v>Proverbios de la tradición oral vasca que reflejan la relación con la naturaleza, el trabajo y los valores comunitarios del pueblo vasco.</v>
      </c>
      <c r="I814" t="str">
        <f>_xlfn.XLOOKUP(frasest[[#This Row],[author_es]],autorest[author_es],autorest[bio_la])</f>
        <v>Collectio sententiarum Vasconicarum.</v>
      </c>
      <c r="J814" t="str">
        <f>_xlfn.XLOOKUP(frasest[[#This Row],[author_es]],autorest[author_es],autorest[iso3691])</f>
        <v>eu</v>
      </c>
      <c r="K814" t="str">
        <f>_xlfn.XLOOKUP(frasest[[#This Row],[author_es]],autorest[author_es],autorest[language_es])</f>
        <v>Euskara</v>
      </c>
      <c r="L814" t="str">
        <f>_xlfn.XLOOKUP(frasest[[#This Row],[author_es]],autorest[author_es],autorest[language_la])</f>
        <v>Lingua Vasconica</v>
      </c>
      <c r="M814" t="str">
        <f>_xlfn.XLOOKUP(frasest[[#This Row],[author_es]],autorest[author_es],autorest[nation_es])</f>
        <v>España</v>
      </c>
      <c r="N814" t="str">
        <f>_xlfn.XLOOKUP(frasest[[#This Row],[author_es]],autorest[author_es],autorest[nation_la])</f>
        <v>Hispania</v>
      </c>
      <c r="O814" t="str">
        <f>_xlfn.XLOOKUP(frasest[[#This Row],[author_es]],autorest[author_es],autorest[age_es])</f>
        <v>Epoca Desconocida</v>
      </c>
      <c r="P814" t="str">
        <f>_xlfn.XLOOKUP(frasest[[#This Row],[author_es]],autorest[author_es],autorest[age_la])</f>
        <v>Epocha Ignota</v>
      </c>
      <c r="Q814" t="str">
        <f>_xlfn.XLOOKUP(frasest[[#This Row],[author_es]],autorest[author_es],autorest[image])</f>
        <v>https://i.ibb.co/bjgxB3kn/euskadi.png</v>
      </c>
      <c r="R814">
        <f>_xlfn.XLOOKUP(frasest[[#This Row],[author_es]],autorest[author_es],autorest[image_atr])</f>
        <v>0</v>
      </c>
    </row>
    <row r="815" spans="1:18">
      <c r="A815">
        <v>814</v>
      </c>
      <c r="B815" t="s">
        <v>2721</v>
      </c>
      <c r="C815" t="s">
        <v>2722</v>
      </c>
      <c r="D815" t="s">
        <v>2723</v>
      </c>
      <c r="E815" t="s">
        <v>1236</v>
      </c>
      <c r="G815" t="str">
        <f>_xlfn.XLOOKUP(frasest[[#This Row],[author_es]],autorest[author_es],autorest[author_la])</f>
        <v>Sententia Vasconica</v>
      </c>
      <c r="H815" t="str">
        <f>_xlfn.XLOOKUP(frasest[[#This Row],[author_es]],autorest[author_es],autorest[bio_es])</f>
        <v>Proverbios de la tradición oral vasca que reflejan la relación con la naturaleza, el trabajo y los valores comunitarios del pueblo vasco.</v>
      </c>
      <c r="I815" t="str">
        <f>_xlfn.XLOOKUP(frasest[[#This Row],[author_es]],autorest[author_es],autorest[bio_la])</f>
        <v>Collectio sententiarum Vasconicarum.</v>
      </c>
      <c r="J815" t="str">
        <f>_xlfn.XLOOKUP(frasest[[#This Row],[author_es]],autorest[author_es],autorest[iso3691])</f>
        <v>eu</v>
      </c>
      <c r="K815" t="str">
        <f>_xlfn.XLOOKUP(frasest[[#This Row],[author_es]],autorest[author_es],autorest[language_es])</f>
        <v>Euskara</v>
      </c>
      <c r="L815" t="str">
        <f>_xlfn.XLOOKUP(frasest[[#This Row],[author_es]],autorest[author_es],autorest[language_la])</f>
        <v>Lingua Vasconica</v>
      </c>
      <c r="M815" t="str">
        <f>_xlfn.XLOOKUP(frasest[[#This Row],[author_es]],autorest[author_es],autorest[nation_es])</f>
        <v>España</v>
      </c>
      <c r="N815" t="str">
        <f>_xlfn.XLOOKUP(frasest[[#This Row],[author_es]],autorest[author_es],autorest[nation_la])</f>
        <v>Hispania</v>
      </c>
      <c r="O815" t="str">
        <f>_xlfn.XLOOKUP(frasest[[#This Row],[author_es]],autorest[author_es],autorest[age_es])</f>
        <v>Epoca Desconocida</v>
      </c>
      <c r="P815" t="str">
        <f>_xlfn.XLOOKUP(frasest[[#This Row],[author_es]],autorest[author_es],autorest[age_la])</f>
        <v>Epocha Ignota</v>
      </c>
      <c r="Q815" t="str">
        <f>_xlfn.XLOOKUP(frasest[[#This Row],[author_es]],autorest[author_es],autorest[image])</f>
        <v>https://i.ibb.co/bjgxB3kn/euskadi.png</v>
      </c>
      <c r="R815">
        <f>_xlfn.XLOOKUP(frasest[[#This Row],[author_es]],autorest[author_es],autorest[image_atr])</f>
        <v>0</v>
      </c>
    </row>
    <row r="816" spans="1:18">
      <c r="A816">
        <v>815</v>
      </c>
      <c r="B816" t="s">
        <v>2724</v>
      </c>
      <c r="C816" t="s">
        <v>2725</v>
      </c>
      <c r="D816" t="s">
        <v>2726</v>
      </c>
      <c r="E816" t="s">
        <v>1236</v>
      </c>
      <c r="G816" t="str">
        <f>_xlfn.XLOOKUP(frasest[[#This Row],[author_es]],autorest[author_es],autorest[author_la])</f>
        <v>Sententia Vasconica</v>
      </c>
      <c r="H816" t="str">
        <f>_xlfn.XLOOKUP(frasest[[#This Row],[author_es]],autorest[author_es],autorest[bio_es])</f>
        <v>Proverbios de la tradición oral vasca que reflejan la relación con la naturaleza, el trabajo y los valores comunitarios del pueblo vasco.</v>
      </c>
      <c r="I816" t="str">
        <f>_xlfn.XLOOKUP(frasest[[#This Row],[author_es]],autorest[author_es],autorest[bio_la])</f>
        <v>Collectio sententiarum Vasconicarum.</v>
      </c>
      <c r="J816" t="str">
        <f>_xlfn.XLOOKUP(frasest[[#This Row],[author_es]],autorest[author_es],autorest[iso3691])</f>
        <v>eu</v>
      </c>
      <c r="K816" t="str">
        <f>_xlfn.XLOOKUP(frasest[[#This Row],[author_es]],autorest[author_es],autorest[language_es])</f>
        <v>Euskara</v>
      </c>
      <c r="L816" t="str">
        <f>_xlfn.XLOOKUP(frasest[[#This Row],[author_es]],autorest[author_es],autorest[language_la])</f>
        <v>Lingua Vasconica</v>
      </c>
      <c r="M816" t="str">
        <f>_xlfn.XLOOKUP(frasest[[#This Row],[author_es]],autorest[author_es],autorest[nation_es])</f>
        <v>España</v>
      </c>
      <c r="N816" t="str">
        <f>_xlfn.XLOOKUP(frasest[[#This Row],[author_es]],autorest[author_es],autorest[nation_la])</f>
        <v>Hispania</v>
      </c>
      <c r="O816" t="str">
        <f>_xlfn.XLOOKUP(frasest[[#This Row],[author_es]],autorest[author_es],autorest[age_es])</f>
        <v>Epoca Desconocida</v>
      </c>
      <c r="P816" t="str">
        <f>_xlfn.XLOOKUP(frasest[[#This Row],[author_es]],autorest[author_es],autorest[age_la])</f>
        <v>Epocha Ignota</v>
      </c>
      <c r="Q816" t="str">
        <f>_xlfn.XLOOKUP(frasest[[#This Row],[author_es]],autorest[author_es],autorest[image])</f>
        <v>https://i.ibb.co/bjgxB3kn/euskadi.png</v>
      </c>
      <c r="R816">
        <f>_xlfn.XLOOKUP(frasest[[#This Row],[author_es]],autorest[author_es],autorest[image_atr])</f>
        <v>0</v>
      </c>
    </row>
    <row r="817" spans="1:18">
      <c r="A817">
        <v>816</v>
      </c>
      <c r="B817" t="s">
        <v>2727</v>
      </c>
      <c r="C817" t="s">
        <v>2728</v>
      </c>
      <c r="D817" t="s">
        <v>2729</v>
      </c>
      <c r="E817" t="s">
        <v>1236</v>
      </c>
      <c r="G817" t="str">
        <f>_xlfn.XLOOKUP(frasest[[#This Row],[author_es]],autorest[author_es],autorest[author_la])</f>
        <v>Sententia Vasconica</v>
      </c>
      <c r="H817" t="str">
        <f>_xlfn.XLOOKUP(frasest[[#This Row],[author_es]],autorest[author_es],autorest[bio_es])</f>
        <v>Proverbios de la tradición oral vasca que reflejan la relación con la naturaleza, el trabajo y los valores comunitarios del pueblo vasco.</v>
      </c>
      <c r="I817" t="str">
        <f>_xlfn.XLOOKUP(frasest[[#This Row],[author_es]],autorest[author_es],autorest[bio_la])</f>
        <v>Collectio sententiarum Vasconicarum.</v>
      </c>
      <c r="J817" t="str">
        <f>_xlfn.XLOOKUP(frasest[[#This Row],[author_es]],autorest[author_es],autorest[iso3691])</f>
        <v>eu</v>
      </c>
      <c r="K817" t="str">
        <f>_xlfn.XLOOKUP(frasest[[#This Row],[author_es]],autorest[author_es],autorest[language_es])</f>
        <v>Euskara</v>
      </c>
      <c r="L817" t="str">
        <f>_xlfn.XLOOKUP(frasest[[#This Row],[author_es]],autorest[author_es],autorest[language_la])</f>
        <v>Lingua Vasconica</v>
      </c>
      <c r="M817" t="str">
        <f>_xlfn.XLOOKUP(frasest[[#This Row],[author_es]],autorest[author_es],autorest[nation_es])</f>
        <v>España</v>
      </c>
      <c r="N817" t="str">
        <f>_xlfn.XLOOKUP(frasest[[#This Row],[author_es]],autorest[author_es],autorest[nation_la])</f>
        <v>Hispania</v>
      </c>
      <c r="O817" t="str">
        <f>_xlfn.XLOOKUP(frasest[[#This Row],[author_es]],autorest[author_es],autorest[age_es])</f>
        <v>Epoca Desconocida</v>
      </c>
      <c r="P817" t="str">
        <f>_xlfn.XLOOKUP(frasest[[#This Row],[author_es]],autorest[author_es],autorest[age_la])</f>
        <v>Epocha Ignota</v>
      </c>
      <c r="Q817" t="str">
        <f>_xlfn.XLOOKUP(frasest[[#This Row],[author_es]],autorest[author_es],autorest[image])</f>
        <v>https://i.ibb.co/bjgxB3kn/euskadi.png</v>
      </c>
      <c r="R817">
        <f>_xlfn.XLOOKUP(frasest[[#This Row],[author_es]],autorest[author_es],autorest[image_atr])</f>
        <v>0</v>
      </c>
    </row>
    <row r="818" spans="1:18">
      <c r="A818">
        <v>817</v>
      </c>
      <c r="B818" t="s">
        <v>2730</v>
      </c>
      <c r="C818" t="s">
        <v>2731</v>
      </c>
      <c r="D818" t="s">
        <v>2732</v>
      </c>
      <c r="E818" t="s">
        <v>1236</v>
      </c>
      <c r="G818" t="str">
        <f>_xlfn.XLOOKUP(frasest[[#This Row],[author_es]],autorest[author_es],autorest[author_la])</f>
        <v>Sententia Vasconica</v>
      </c>
      <c r="H818" t="str">
        <f>_xlfn.XLOOKUP(frasest[[#This Row],[author_es]],autorest[author_es],autorest[bio_es])</f>
        <v>Proverbios de la tradición oral vasca que reflejan la relación con la naturaleza, el trabajo y los valores comunitarios del pueblo vasco.</v>
      </c>
      <c r="I818" t="str">
        <f>_xlfn.XLOOKUP(frasest[[#This Row],[author_es]],autorest[author_es],autorest[bio_la])</f>
        <v>Collectio sententiarum Vasconicarum.</v>
      </c>
      <c r="J818" t="str">
        <f>_xlfn.XLOOKUP(frasest[[#This Row],[author_es]],autorest[author_es],autorest[iso3691])</f>
        <v>eu</v>
      </c>
      <c r="K818" t="str">
        <f>_xlfn.XLOOKUP(frasest[[#This Row],[author_es]],autorest[author_es],autorest[language_es])</f>
        <v>Euskara</v>
      </c>
      <c r="L818" t="str">
        <f>_xlfn.XLOOKUP(frasest[[#This Row],[author_es]],autorest[author_es],autorest[language_la])</f>
        <v>Lingua Vasconica</v>
      </c>
      <c r="M818" t="str">
        <f>_xlfn.XLOOKUP(frasest[[#This Row],[author_es]],autorest[author_es],autorest[nation_es])</f>
        <v>España</v>
      </c>
      <c r="N818" t="str">
        <f>_xlfn.XLOOKUP(frasest[[#This Row],[author_es]],autorest[author_es],autorest[nation_la])</f>
        <v>Hispania</v>
      </c>
      <c r="O818" t="str">
        <f>_xlfn.XLOOKUP(frasest[[#This Row],[author_es]],autorest[author_es],autorest[age_es])</f>
        <v>Epoca Desconocida</v>
      </c>
      <c r="P818" t="str">
        <f>_xlfn.XLOOKUP(frasest[[#This Row],[author_es]],autorest[author_es],autorest[age_la])</f>
        <v>Epocha Ignota</v>
      </c>
      <c r="Q818" t="str">
        <f>_xlfn.XLOOKUP(frasest[[#This Row],[author_es]],autorest[author_es],autorest[image])</f>
        <v>https://i.ibb.co/bjgxB3kn/euskadi.png</v>
      </c>
      <c r="R818">
        <f>_xlfn.XLOOKUP(frasest[[#This Row],[author_es]],autorest[author_es],autorest[image_atr])</f>
        <v>0</v>
      </c>
    </row>
    <row r="819" spans="1:18">
      <c r="A819">
        <v>818</v>
      </c>
      <c r="B819" t="s">
        <v>2733</v>
      </c>
      <c r="C819" t="s">
        <v>2734</v>
      </c>
      <c r="D819" t="s">
        <v>2735</v>
      </c>
      <c r="E819" t="s">
        <v>1236</v>
      </c>
      <c r="G819" t="str">
        <f>_xlfn.XLOOKUP(frasest[[#This Row],[author_es]],autorest[author_es],autorest[author_la])</f>
        <v>Sententia Vasconica</v>
      </c>
      <c r="H819" t="str">
        <f>_xlfn.XLOOKUP(frasest[[#This Row],[author_es]],autorest[author_es],autorest[bio_es])</f>
        <v>Proverbios de la tradición oral vasca que reflejan la relación con la naturaleza, el trabajo y los valores comunitarios del pueblo vasco.</v>
      </c>
      <c r="I819" t="str">
        <f>_xlfn.XLOOKUP(frasest[[#This Row],[author_es]],autorest[author_es],autorest[bio_la])</f>
        <v>Collectio sententiarum Vasconicarum.</v>
      </c>
      <c r="J819" t="str">
        <f>_xlfn.XLOOKUP(frasest[[#This Row],[author_es]],autorest[author_es],autorest[iso3691])</f>
        <v>eu</v>
      </c>
      <c r="K819" t="str">
        <f>_xlfn.XLOOKUP(frasest[[#This Row],[author_es]],autorest[author_es],autorest[language_es])</f>
        <v>Euskara</v>
      </c>
      <c r="L819" t="str">
        <f>_xlfn.XLOOKUP(frasest[[#This Row],[author_es]],autorest[author_es],autorest[language_la])</f>
        <v>Lingua Vasconica</v>
      </c>
      <c r="M819" t="str">
        <f>_xlfn.XLOOKUP(frasest[[#This Row],[author_es]],autorest[author_es],autorest[nation_es])</f>
        <v>España</v>
      </c>
      <c r="N819" t="str">
        <f>_xlfn.XLOOKUP(frasest[[#This Row],[author_es]],autorest[author_es],autorest[nation_la])</f>
        <v>Hispania</v>
      </c>
      <c r="O819" t="str">
        <f>_xlfn.XLOOKUP(frasest[[#This Row],[author_es]],autorest[author_es],autorest[age_es])</f>
        <v>Epoca Desconocida</v>
      </c>
      <c r="P819" t="str">
        <f>_xlfn.XLOOKUP(frasest[[#This Row],[author_es]],autorest[author_es],autorest[age_la])</f>
        <v>Epocha Ignota</v>
      </c>
      <c r="Q819" t="str">
        <f>_xlfn.XLOOKUP(frasest[[#This Row],[author_es]],autorest[author_es],autorest[image])</f>
        <v>https://i.ibb.co/bjgxB3kn/euskadi.png</v>
      </c>
      <c r="R819">
        <f>_xlfn.XLOOKUP(frasest[[#This Row],[author_es]],autorest[author_es],autorest[image_atr])</f>
        <v>0</v>
      </c>
    </row>
    <row r="820" spans="1:18">
      <c r="A820">
        <v>819</v>
      </c>
      <c r="B820" t="s">
        <v>2736</v>
      </c>
      <c r="C820" t="s">
        <v>2737</v>
      </c>
      <c r="D820" t="s">
        <v>2738</v>
      </c>
      <c r="E820" t="s">
        <v>1236</v>
      </c>
      <c r="G820" t="str">
        <f>_xlfn.XLOOKUP(frasest[[#This Row],[author_es]],autorest[author_es],autorest[author_la])</f>
        <v>Sententia Vasconica</v>
      </c>
      <c r="H820" t="str">
        <f>_xlfn.XLOOKUP(frasest[[#This Row],[author_es]],autorest[author_es],autorest[bio_es])</f>
        <v>Proverbios de la tradición oral vasca que reflejan la relación con la naturaleza, el trabajo y los valores comunitarios del pueblo vasco.</v>
      </c>
      <c r="I820" t="str">
        <f>_xlfn.XLOOKUP(frasest[[#This Row],[author_es]],autorest[author_es],autorest[bio_la])</f>
        <v>Collectio sententiarum Vasconicarum.</v>
      </c>
      <c r="J820" t="str">
        <f>_xlfn.XLOOKUP(frasest[[#This Row],[author_es]],autorest[author_es],autorest[iso3691])</f>
        <v>eu</v>
      </c>
      <c r="K820" t="str">
        <f>_xlfn.XLOOKUP(frasest[[#This Row],[author_es]],autorest[author_es],autorest[language_es])</f>
        <v>Euskara</v>
      </c>
      <c r="L820" t="str">
        <f>_xlfn.XLOOKUP(frasest[[#This Row],[author_es]],autorest[author_es],autorest[language_la])</f>
        <v>Lingua Vasconica</v>
      </c>
      <c r="M820" t="str">
        <f>_xlfn.XLOOKUP(frasest[[#This Row],[author_es]],autorest[author_es],autorest[nation_es])</f>
        <v>España</v>
      </c>
      <c r="N820" t="str">
        <f>_xlfn.XLOOKUP(frasest[[#This Row],[author_es]],autorest[author_es],autorest[nation_la])</f>
        <v>Hispania</v>
      </c>
      <c r="O820" t="str">
        <f>_xlfn.XLOOKUP(frasest[[#This Row],[author_es]],autorest[author_es],autorest[age_es])</f>
        <v>Epoca Desconocida</v>
      </c>
      <c r="P820" t="str">
        <f>_xlfn.XLOOKUP(frasest[[#This Row],[author_es]],autorest[author_es],autorest[age_la])</f>
        <v>Epocha Ignota</v>
      </c>
      <c r="Q820" t="str">
        <f>_xlfn.XLOOKUP(frasest[[#This Row],[author_es]],autorest[author_es],autorest[image])</f>
        <v>https://i.ibb.co/bjgxB3kn/euskadi.png</v>
      </c>
      <c r="R820">
        <f>_xlfn.XLOOKUP(frasest[[#This Row],[author_es]],autorest[author_es],autorest[image_atr])</f>
        <v>0</v>
      </c>
    </row>
    <row r="821" spans="1:18">
      <c r="A821">
        <v>820</v>
      </c>
      <c r="B821" t="s">
        <v>2739</v>
      </c>
      <c r="C821" t="s">
        <v>2740</v>
      </c>
      <c r="D821" t="s">
        <v>2741</v>
      </c>
      <c r="E821" t="s">
        <v>1236</v>
      </c>
      <c r="G821" t="str">
        <f>_xlfn.XLOOKUP(frasest[[#This Row],[author_es]],autorest[author_es],autorest[author_la])</f>
        <v>Sententia Vasconica</v>
      </c>
      <c r="H821" t="str">
        <f>_xlfn.XLOOKUP(frasest[[#This Row],[author_es]],autorest[author_es],autorest[bio_es])</f>
        <v>Proverbios de la tradición oral vasca que reflejan la relación con la naturaleza, el trabajo y los valores comunitarios del pueblo vasco.</v>
      </c>
      <c r="I821" t="str">
        <f>_xlfn.XLOOKUP(frasest[[#This Row],[author_es]],autorest[author_es],autorest[bio_la])</f>
        <v>Collectio sententiarum Vasconicarum.</v>
      </c>
      <c r="J821" t="str">
        <f>_xlfn.XLOOKUP(frasest[[#This Row],[author_es]],autorest[author_es],autorest[iso3691])</f>
        <v>eu</v>
      </c>
      <c r="K821" t="str">
        <f>_xlfn.XLOOKUP(frasest[[#This Row],[author_es]],autorest[author_es],autorest[language_es])</f>
        <v>Euskara</v>
      </c>
      <c r="L821" t="str">
        <f>_xlfn.XLOOKUP(frasest[[#This Row],[author_es]],autorest[author_es],autorest[language_la])</f>
        <v>Lingua Vasconica</v>
      </c>
      <c r="M821" t="str">
        <f>_xlfn.XLOOKUP(frasest[[#This Row],[author_es]],autorest[author_es],autorest[nation_es])</f>
        <v>España</v>
      </c>
      <c r="N821" t="str">
        <f>_xlfn.XLOOKUP(frasest[[#This Row],[author_es]],autorest[author_es],autorest[nation_la])</f>
        <v>Hispania</v>
      </c>
      <c r="O821" t="str">
        <f>_xlfn.XLOOKUP(frasest[[#This Row],[author_es]],autorest[author_es],autorest[age_es])</f>
        <v>Epoca Desconocida</v>
      </c>
      <c r="P821" t="str">
        <f>_xlfn.XLOOKUP(frasest[[#This Row],[author_es]],autorest[author_es],autorest[age_la])</f>
        <v>Epocha Ignota</v>
      </c>
      <c r="Q821" t="str">
        <f>_xlfn.XLOOKUP(frasest[[#This Row],[author_es]],autorest[author_es],autorest[image])</f>
        <v>https://i.ibb.co/bjgxB3kn/euskadi.png</v>
      </c>
      <c r="R821">
        <f>_xlfn.XLOOKUP(frasest[[#This Row],[author_es]],autorest[author_es],autorest[image_atr])</f>
        <v>0</v>
      </c>
    </row>
    <row r="822" spans="1:18">
      <c r="A822">
        <v>821</v>
      </c>
      <c r="B822" t="s">
        <v>2742</v>
      </c>
      <c r="C822" t="s">
        <v>2743</v>
      </c>
      <c r="D822" t="s">
        <v>2744</v>
      </c>
      <c r="E822" t="s">
        <v>1236</v>
      </c>
      <c r="G822" t="str">
        <f>_xlfn.XLOOKUP(frasest[[#This Row],[author_es]],autorest[author_es],autorest[author_la])</f>
        <v>Sententia Vasconica</v>
      </c>
      <c r="H822" t="str">
        <f>_xlfn.XLOOKUP(frasest[[#This Row],[author_es]],autorest[author_es],autorest[bio_es])</f>
        <v>Proverbios de la tradición oral vasca que reflejan la relación con la naturaleza, el trabajo y los valores comunitarios del pueblo vasco.</v>
      </c>
      <c r="I822" t="str">
        <f>_xlfn.XLOOKUP(frasest[[#This Row],[author_es]],autorest[author_es],autorest[bio_la])</f>
        <v>Collectio sententiarum Vasconicarum.</v>
      </c>
      <c r="J822" t="str">
        <f>_xlfn.XLOOKUP(frasest[[#This Row],[author_es]],autorest[author_es],autorest[iso3691])</f>
        <v>eu</v>
      </c>
      <c r="K822" t="str">
        <f>_xlfn.XLOOKUP(frasest[[#This Row],[author_es]],autorest[author_es],autorest[language_es])</f>
        <v>Euskara</v>
      </c>
      <c r="L822" t="str">
        <f>_xlfn.XLOOKUP(frasest[[#This Row],[author_es]],autorest[author_es],autorest[language_la])</f>
        <v>Lingua Vasconica</v>
      </c>
      <c r="M822" t="str">
        <f>_xlfn.XLOOKUP(frasest[[#This Row],[author_es]],autorest[author_es],autorest[nation_es])</f>
        <v>España</v>
      </c>
      <c r="N822" t="str">
        <f>_xlfn.XLOOKUP(frasest[[#This Row],[author_es]],autorest[author_es],autorest[nation_la])</f>
        <v>Hispania</v>
      </c>
      <c r="O822" t="str">
        <f>_xlfn.XLOOKUP(frasest[[#This Row],[author_es]],autorest[author_es],autorest[age_es])</f>
        <v>Epoca Desconocida</v>
      </c>
      <c r="P822" t="str">
        <f>_xlfn.XLOOKUP(frasest[[#This Row],[author_es]],autorest[author_es],autorest[age_la])</f>
        <v>Epocha Ignota</v>
      </c>
      <c r="Q822" t="str">
        <f>_xlfn.XLOOKUP(frasest[[#This Row],[author_es]],autorest[author_es],autorest[image])</f>
        <v>https://i.ibb.co/bjgxB3kn/euskadi.png</v>
      </c>
      <c r="R822">
        <f>_xlfn.XLOOKUP(frasest[[#This Row],[author_es]],autorest[author_es],autorest[image_atr])</f>
        <v>0</v>
      </c>
    </row>
    <row r="823" spans="1:18">
      <c r="A823">
        <v>822</v>
      </c>
      <c r="B823" t="s">
        <v>2745</v>
      </c>
      <c r="C823" t="s">
        <v>2746</v>
      </c>
      <c r="D823" t="s">
        <v>2747</v>
      </c>
      <c r="E823" t="s">
        <v>1236</v>
      </c>
      <c r="G823" t="str">
        <f>_xlfn.XLOOKUP(frasest[[#This Row],[author_es]],autorest[author_es],autorest[author_la])</f>
        <v>Sententia Vasconica</v>
      </c>
      <c r="H823" t="str">
        <f>_xlfn.XLOOKUP(frasest[[#This Row],[author_es]],autorest[author_es],autorest[bio_es])</f>
        <v>Proverbios de la tradición oral vasca que reflejan la relación con la naturaleza, el trabajo y los valores comunitarios del pueblo vasco.</v>
      </c>
      <c r="I823" t="str">
        <f>_xlfn.XLOOKUP(frasest[[#This Row],[author_es]],autorest[author_es],autorest[bio_la])</f>
        <v>Collectio sententiarum Vasconicarum.</v>
      </c>
      <c r="J823" t="str">
        <f>_xlfn.XLOOKUP(frasest[[#This Row],[author_es]],autorest[author_es],autorest[iso3691])</f>
        <v>eu</v>
      </c>
      <c r="K823" t="str">
        <f>_xlfn.XLOOKUP(frasest[[#This Row],[author_es]],autorest[author_es],autorest[language_es])</f>
        <v>Euskara</v>
      </c>
      <c r="L823" t="str">
        <f>_xlfn.XLOOKUP(frasest[[#This Row],[author_es]],autorest[author_es],autorest[language_la])</f>
        <v>Lingua Vasconica</v>
      </c>
      <c r="M823" t="str">
        <f>_xlfn.XLOOKUP(frasest[[#This Row],[author_es]],autorest[author_es],autorest[nation_es])</f>
        <v>España</v>
      </c>
      <c r="N823" t="str">
        <f>_xlfn.XLOOKUP(frasest[[#This Row],[author_es]],autorest[author_es],autorest[nation_la])</f>
        <v>Hispania</v>
      </c>
      <c r="O823" t="str">
        <f>_xlfn.XLOOKUP(frasest[[#This Row],[author_es]],autorest[author_es],autorest[age_es])</f>
        <v>Epoca Desconocida</v>
      </c>
      <c r="P823" t="str">
        <f>_xlfn.XLOOKUP(frasest[[#This Row],[author_es]],autorest[author_es],autorest[age_la])</f>
        <v>Epocha Ignota</v>
      </c>
      <c r="Q823" t="str">
        <f>_xlfn.XLOOKUP(frasest[[#This Row],[author_es]],autorest[author_es],autorest[image])</f>
        <v>https://i.ibb.co/bjgxB3kn/euskadi.png</v>
      </c>
      <c r="R823">
        <f>_xlfn.XLOOKUP(frasest[[#This Row],[author_es]],autorest[author_es],autorest[image_atr])</f>
        <v>0</v>
      </c>
    </row>
    <row r="824" spans="1:18">
      <c r="A824">
        <v>823</v>
      </c>
      <c r="B824" t="s">
        <v>2748</v>
      </c>
      <c r="C824" t="s">
        <v>2749</v>
      </c>
      <c r="D824" t="s">
        <v>2750</v>
      </c>
      <c r="E824" t="s">
        <v>1236</v>
      </c>
      <c r="G824" t="str">
        <f>_xlfn.XLOOKUP(frasest[[#This Row],[author_es]],autorest[author_es],autorest[author_la])</f>
        <v>Sententia Vasconica</v>
      </c>
      <c r="H824" t="str">
        <f>_xlfn.XLOOKUP(frasest[[#This Row],[author_es]],autorest[author_es],autorest[bio_es])</f>
        <v>Proverbios de la tradición oral vasca que reflejan la relación con la naturaleza, el trabajo y los valores comunitarios del pueblo vasco.</v>
      </c>
      <c r="I824" t="str">
        <f>_xlfn.XLOOKUP(frasest[[#This Row],[author_es]],autorest[author_es],autorest[bio_la])</f>
        <v>Collectio sententiarum Vasconicarum.</v>
      </c>
      <c r="J824" t="str">
        <f>_xlfn.XLOOKUP(frasest[[#This Row],[author_es]],autorest[author_es],autorest[iso3691])</f>
        <v>eu</v>
      </c>
      <c r="K824" t="str">
        <f>_xlfn.XLOOKUP(frasest[[#This Row],[author_es]],autorest[author_es],autorest[language_es])</f>
        <v>Euskara</v>
      </c>
      <c r="L824" t="str">
        <f>_xlfn.XLOOKUP(frasest[[#This Row],[author_es]],autorest[author_es],autorest[language_la])</f>
        <v>Lingua Vasconica</v>
      </c>
      <c r="M824" t="str">
        <f>_xlfn.XLOOKUP(frasest[[#This Row],[author_es]],autorest[author_es],autorest[nation_es])</f>
        <v>España</v>
      </c>
      <c r="N824" t="str">
        <f>_xlfn.XLOOKUP(frasest[[#This Row],[author_es]],autorest[author_es],autorest[nation_la])</f>
        <v>Hispania</v>
      </c>
      <c r="O824" t="str">
        <f>_xlfn.XLOOKUP(frasest[[#This Row],[author_es]],autorest[author_es],autorest[age_es])</f>
        <v>Epoca Desconocida</v>
      </c>
      <c r="P824" t="str">
        <f>_xlfn.XLOOKUP(frasest[[#This Row],[author_es]],autorest[author_es],autorest[age_la])</f>
        <v>Epocha Ignota</v>
      </c>
      <c r="Q824" t="str">
        <f>_xlfn.XLOOKUP(frasest[[#This Row],[author_es]],autorest[author_es],autorest[image])</f>
        <v>https://i.ibb.co/bjgxB3kn/euskadi.png</v>
      </c>
      <c r="R824">
        <f>_xlfn.XLOOKUP(frasest[[#This Row],[author_es]],autorest[author_es],autorest[image_atr])</f>
        <v>0</v>
      </c>
    </row>
    <row r="825" spans="1:18">
      <c r="A825">
        <v>824</v>
      </c>
      <c r="B825" t="s">
        <v>2751</v>
      </c>
      <c r="C825" t="s">
        <v>2752</v>
      </c>
      <c r="D825" t="s">
        <v>2373</v>
      </c>
      <c r="E825" t="s">
        <v>1236</v>
      </c>
      <c r="G825" t="str">
        <f>_xlfn.XLOOKUP(frasest[[#This Row],[author_es]],autorest[author_es],autorest[author_la])</f>
        <v>Sententia Vasconica</v>
      </c>
      <c r="H825" t="str">
        <f>_xlfn.XLOOKUP(frasest[[#This Row],[author_es]],autorest[author_es],autorest[bio_es])</f>
        <v>Proverbios de la tradición oral vasca que reflejan la relación con la naturaleza, el trabajo y los valores comunitarios del pueblo vasco.</v>
      </c>
      <c r="I825" t="str">
        <f>_xlfn.XLOOKUP(frasest[[#This Row],[author_es]],autorest[author_es],autorest[bio_la])</f>
        <v>Collectio sententiarum Vasconicarum.</v>
      </c>
      <c r="J825" t="str">
        <f>_xlfn.XLOOKUP(frasest[[#This Row],[author_es]],autorest[author_es],autorest[iso3691])</f>
        <v>eu</v>
      </c>
      <c r="K825" t="str">
        <f>_xlfn.XLOOKUP(frasest[[#This Row],[author_es]],autorest[author_es],autorest[language_es])</f>
        <v>Euskara</v>
      </c>
      <c r="L825" t="str">
        <f>_xlfn.XLOOKUP(frasest[[#This Row],[author_es]],autorest[author_es],autorest[language_la])</f>
        <v>Lingua Vasconica</v>
      </c>
      <c r="M825" t="str">
        <f>_xlfn.XLOOKUP(frasest[[#This Row],[author_es]],autorest[author_es],autorest[nation_es])</f>
        <v>España</v>
      </c>
      <c r="N825" t="str">
        <f>_xlfn.XLOOKUP(frasest[[#This Row],[author_es]],autorest[author_es],autorest[nation_la])</f>
        <v>Hispania</v>
      </c>
      <c r="O825" t="str">
        <f>_xlfn.XLOOKUP(frasest[[#This Row],[author_es]],autorest[author_es],autorest[age_es])</f>
        <v>Epoca Desconocida</v>
      </c>
      <c r="P825" t="str">
        <f>_xlfn.XLOOKUP(frasest[[#This Row],[author_es]],autorest[author_es],autorest[age_la])</f>
        <v>Epocha Ignota</v>
      </c>
      <c r="Q825" t="str">
        <f>_xlfn.XLOOKUP(frasest[[#This Row],[author_es]],autorest[author_es],autorest[image])</f>
        <v>https://i.ibb.co/bjgxB3kn/euskadi.png</v>
      </c>
      <c r="R825">
        <f>_xlfn.XLOOKUP(frasest[[#This Row],[author_es]],autorest[author_es],autorest[image_atr])</f>
        <v>0</v>
      </c>
    </row>
    <row r="826" spans="1:18">
      <c r="A826">
        <v>825</v>
      </c>
      <c r="B826" t="s">
        <v>2753</v>
      </c>
      <c r="C826" t="s">
        <v>2754</v>
      </c>
      <c r="D826" t="s">
        <v>2755</v>
      </c>
      <c r="E826" t="s">
        <v>1236</v>
      </c>
      <c r="G826" t="str">
        <f>_xlfn.XLOOKUP(frasest[[#This Row],[author_es]],autorest[author_es],autorest[author_la])</f>
        <v>Sententia Vasconica</v>
      </c>
      <c r="H826" t="str">
        <f>_xlfn.XLOOKUP(frasest[[#This Row],[author_es]],autorest[author_es],autorest[bio_es])</f>
        <v>Proverbios de la tradición oral vasca que reflejan la relación con la naturaleza, el trabajo y los valores comunitarios del pueblo vasco.</v>
      </c>
      <c r="I826" t="str">
        <f>_xlfn.XLOOKUP(frasest[[#This Row],[author_es]],autorest[author_es],autorest[bio_la])</f>
        <v>Collectio sententiarum Vasconicarum.</v>
      </c>
      <c r="J826" t="str">
        <f>_xlfn.XLOOKUP(frasest[[#This Row],[author_es]],autorest[author_es],autorest[iso3691])</f>
        <v>eu</v>
      </c>
      <c r="K826" t="str">
        <f>_xlfn.XLOOKUP(frasest[[#This Row],[author_es]],autorest[author_es],autorest[language_es])</f>
        <v>Euskara</v>
      </c>
      <c r="L826" t="str">
        <f>_xlfn.XLOOKUP(frasest[[#This Row],[author_es]],autorest[author_es],autorest[language_la])</f>
        <v>Lingua Vasconica</v>
      </c>
      <c r="M826" t="str">
        <f>_xlfn.XLOOKUP(frasest[[#This Row],[author_es]],autorest[author_es],autorest[nation_es])</f>
        <v>España</v>
      </c>
      <c r="N826" t="str">
        <f>_xlfn.XLOOKUP(frasest[[#This Row],[author_es]],autorest[author_es],autorest[nation_la])</f>
        <v>Hispania</v>
      </c>
      <c r="O826" t="str">
        <f>_xlfn.XLOOKUP(frasest[[#This Row],[author_es]],autorest[author_es],autorest[age_es])</f>
        <v>Epoca Desconocida</v>
      </c>
      <c r="P826" t="str">
        <f>_xlfn.XLOOKUP(frasest[[#This Row],[author_es]],autorest[author_es],autorest[age_la])</f>
        <v>Epocha Ignota</v>
      </c>
      <c r="Q826" t="str">
        <f>_xlfn.XLOOKUP(frasest[[#This Row],[author_es]],autorest[author_es],autorest[image])</f>
        <v>https://i.ibb.co/bjgxB3kn/euskadi.png</v>
      </c>
      <c r="R826">
        <f>_xlfn.XLOOKUP(frasest[[#This Row],[author_es]],autorest[author_es],autorest[image_atr])</f>
        <v>0</v>
      </c>
    </row>
    <row r="827" spans="1:18">
      <c r="A827">
        <v>826</v>
      </c>
      <c r="B827" t="s">
        <v>2756</v>
      </c>
      <c r="C827" t="s">
        <v>2757</v>
      </c>
      <c r="D827" t="s">
        <v>2758</v>
      </c>
      <c r="E827" t="s">
        <v>1236</v>
      </c>
      <c r="G827" t="str">
        <f>_xlfn.XLOOKUP(frasest[[#This Row],[author_es]],autorest[author_es],autorest[author_la])</f>
        <v>Sententia Vasconica</v>
      </c>
      <c r="H827" t="str">
        <f>_xlfn.XLOOKUP(frasest[[#This Row],[author_es]],autorest[author_es],autorest[bio_es])</f>
        <v>Proverbios de la tradición oral vasca que reflejan la relación con la naturaleza, el trabajo y los valores comunitarios del pueblo vasco.</v>
      </c>
      <c r="I827" t="str">
        <f>_xlfn.XLOOKUP(frasest[[#This Row],[author_es]],autorest[author_es],autorest[bio_la])</f>
        <v>Collectio sententiarum Vasconicarum.</v>
      </c>
      <c r="J827" t="str">
        <f>_xlfn.XLOOKUP(frasest[[#This Row],[author_es]],autorest[author_es],autorest[iso3691])</f>
        <v>eu</v>
      </c>
      <c r="K827" t="str">
        <f>_xlfn.XLOOKUP(frasest[[#This Row],[author_es]],autorest[author_es],autorest[language_es])</f>
        <v>Euskara</v>
      </c>
      <c r="L827" t="str">
        <f>_xlfn.XLOOKUP(frasest[[#This Row],[author_es]],autorest[author_es],autorest[language_la])</f>
        <v>Lingua Vasconica</v>
      </c>
      <c r="M827" t="str">
        <f>_xlfn.XLOOKUP(frasest[[#This Row],[author_es]],autorest[author_es],autorest[nation_es])</f>
        <v>España</v>
      </c>
      <c r="N827" t="str">
        <f>_xlfn.XLOOKUP(frasest[[#This Row],[author_es]],autorest[author_es],autorest[nation_la])</f>
        <v>Hispania</v>
      </c>
      <c r="O827" t="str">
        <f>_xlfn.XLOOKUP(frasest[[#This Row],[author_es]],autorest[author_es],autorest[age_es])</f>
        <v>Epoca Desconocida</v>
      </c>
      <c r="P827" t="str">
        <f>_xlfn.XLOOKUP(frasest[[#This Row],[author_es]],autorest[author_es],autorest[age_la])</f>
        <v>Epocha Ignota</v>
      </c>
      <c r="Q827" t="str">
        <f>_xlfn.XLOOKUP(frasest[[#This Row],[author_es]],autorest[author_es],autorest[image])</f>
        <v>https://i.ibb.co/bjgxB3kn/euskadi.png</v>
      </c>
      <c r="R827">
        <f>_xlfn.XLOOKUP(frasest[[#This Row],[author_es]],autorest[author_es],autorest[image_atr])</f>
        <v>0</v>
      </c>
    </row>
    <row r="828" spans="1:18">
      <c r="A828">
        <v>827</v>
      </c>
      <c r="B828" t="s">
        <v>2759</v>
      </c>
      <c r="C828" t="s">
        <v>2760</v>
      </c>
      <c r="D828" t="s">
        <v>2761</v>
      </c>
      <c r="E828" t="s">
        <v>1236</v>
      </c>
      <c r="G828" t="str">
        <f>_xlfn.XLOOKUP(frasest[[#This Row],[author_es]],autorest[author_es],autorest[author_la])</f>
        <v>Sententia Vasconica</v>
      </c>
      <c r="H828" t="str">
        <f>_xlfn.XLOOKUP(frasest[[#This Row],[author_es]],autorest[author_es],autorest[bio_es])</f>
        <v>Proverbios de la tradición oral vasca que reflejan la relación con la naturaleza, el trabajo y los valores comunitarios del pueblo vasco.</v>
      </c>
      <c r="I828" t="str">
        <f>_xlfn.XLOOKUP(frasest[[#This Row],[author_es]],autorest[author_es],autorest[bio_la])</f>
        <v>Collectio sententiarum Vasconicarum.</v>
      </c>
      <c r="J828" t="str">
        <f>_xlfn.XLOOKUP(frasest[[#This Row],[author_es]],autorest[author_es],autorest[iso3691])</f>
        <v>eu</v>
      </c>
      <c r="K828" t="str">
        <f>_xlfn.XLOOKUP(frasest[[#This Row],[author_es]],autorest[author_es],autorest[language_es])</f>
        <v>Euskara</v>
      </c>
      <c r="L828" t="str">
        <f>_xlfn.XLOOKUP(frasest[[#This Row],[author_es]],autorest[author_es],autorest[language_la])</f>
        <v>Lingua Vasconica</v>
      </c>
      <c r="M828" t="str">
        <f>_xlfn.XLOOKUP(frasest[[#This Row],[author_es]],autorest[author_es],autorest[nation_es])</f>
        <v>España</v>
      </c>
      <c r="N828" t="str">
        <f>_xlfn.XLOOKUP(frasest[[#This Row],[author_es]],autorest[author_es],autorest[nation_la])</f>
        <v>Hispania</v>
      </c>
      <c r="O828" t="str">
        <f>_xlfn.XLOOKUP(frasest[[#This Row],[author_es]],autorest[author_es],autorest[age_es])</f>
        <v>Epoca Desconocida</v>
      </c>
      <c r="P828" t="str">
        <f>_xlfn.XLOOKUP(frasest[[#This Row],[author_es]],autorest[author_es],autorest[age_la])</f>
        <v>Epocha Ignota</v>
      </c>
      <c r="Q828" t="str">
        <f>_xlfn.XLOOKUP(frasest[[#This Row],[author_es]],autorest[author_es],autorest[image])</f>
        <v>https://i.ibb.co/bjgxB3kn/euskadi.png</v>
      </c>
      <c r="R828">
        <f>_xlfn.XLOOKUP(frasest[[#This Row],[author_es]],autorest[author_es],autorest[image_atr])</f>
        <v>0</v>
      </c>
    </row>
    <row r="829" spans="1:18">
      <c r="A829">
        <v>828</v>
      </c>
      <c r="B829" t="s">
        <v>2762</v>
      </c>
      <c r="C829" t="s">
        <v>2763</v>
      </c>
      <c r="D829" t="s">
        <v>2764</v>
      </c>
      <c r="E829" t="s">
        <v>1236</v>
      </c>
      <c r="G829" t="str">
        <f>_xlfn.XLOOKUP(frasest[[#This Row],[author_es]],autorest[author_es],autorest[author_la])</f>
        <v>Sententia Vasconica</v>
      </c>
      <c r="H829" t="str">
        <f>_xlfn.XLOOKUP(frasest[[#This Row],[author_es]],autorest[author_es],autorest[bio_es])</f>
        <v>Proverbios de la tradición oral vasca que reflejan la relación con la naturaleza, el trabajo y los valores comunitarios del pueblo vasco.</v>
      </c>
      <c r="I829" t="str">
        <f>_xlfn.XLOOKUP(frasest[[#This Row],[author_es]],autorest[author_es],autorest[bio_la])</f>
        <v>Collectio sententiarum Vasconicarum.</v>
      </c>
      <c r="J829" t="str">
        <f>_xlfn.XLOOKUP(frasest[[#This Row],[author_es]],autorest[author_es],autorest[iso3691])</f>
        <v>eu</v>
      </c>
      <c r="K829" t="str">
        <f>_xlfn.XLOOKUP(frasest[[#This Row],[author_es]],autorest[author_es],autorest[language_es])</f>
        <v>Euskara</v>
      </c>
      <c r="L829" t="str">
        <f>_xlfn.XLOOKUP(frasest[[#This Row],[author_es]],autorest[author_es],autorest[language_la])</f>
        <v>Lingua Vasconica</v>
      </c>
      <c r="M829" t="str">
        <f>_xlfn.XLOOKUP(frasest[[#This Row],[author_es]],autorest[author_es],autorest[nation_es])</f>
        <v>España</v>
      </c>
      <c r="N829" t="str">
        <f>_xlfn.XLOOKUP(frasest[[#This Row],[author_es]],autorest[author_es],autorest[nation_la])</f>
        <v>Hispania</v>
      </c>
      <c r="O829" t="str">
        <f>_xlfn.XLOOKUP(frasest[[#This Row],[author_es]],autorest[author_es],autorest[age_es])</f>
        <v>Epoca Desconocida</v>
      </c>
      <c r="P829" t="str">
        <f>_xlfn.XLOOKUP(frasest[[#This Row],[author_es]],autorest[author_es],autorest[age_la])</f>
        <v>Epocha Ignota</v>
      </c>
      <c r="Q829" t="str">
        <f>_xlfn.XLOOKUP(frasest[[#This Row],[author_es]],autorest[author_es],autorest[image])</f>
        <v>https://i.ibb.co/bjgxB3kn/euskadi.png</v>
      </c>
      <c r="R829">
        <f>_xlfn.XLOOKUP(frasest[[#This Row],[author_es]],autorest[author_es],autorest[image_atr])</f>
        <v>0</v>
      </c>
    </row>
    <row r="830" spans="1:18">
      <c r="A830">
        <v>829</v>
      </c>
      <c r="B830" t="s">
        <v>2765</v>
      </c>
      <c r="C830" t="s">
        <v>2766</v>
      </c>
      <c r="D830" t="s">
        <v>2767</v>
      </c>
      <c r="E830" t="s">
        <v>1236</v>
      </c>
      <c r="G830" t="str">
        <f>_xlfn.XLOOKUP(frasest[[#This Row],[author_es]],autorest[author_es],autorest[author_la])</f>
        <v>Sententia Vasconica</v>
      </c>
      <c r="H830" t="str">
        <f>_xlfn.XLOOKUP(frasest[[#This Row],[author_es]],autorest[author_es],autorest[bio_es])</f>
        <v>Proverbios de la tradición oral vasca que reflejan la relación con la naturaleza, el trabajo y los valores comunitarios del pueblo vasco.</v>
      </c>
      <c r="I830" t="str">
        <f>_xlfn.XLOOKUP(frasest[[#This Row],[author_es]],autorest[author_es],autorest[bio_la])</f>
        <v>Collectio sententiarum Vasconicarum.</v>
      </c>
      <c r="J830" t="str">
        <f>_xlfn.XLOOKUP(frasest[[#This Row],[author_es]],autorest[author_es],autorest[iso3691])</f>
        <v>eu</v>
      </c>
      <c r="K830" t="str">
        <f>_xlfn.XLOOKUP(frasest[[#This Row],[author_es]],autorest[author_es],autorest[language_es])</f>
        <v>Euskara</v>
      </c>
      <c r="L830" t="str">
        <f>_xlfn.XLOOKUP(frasest[[#This Row],[author_es]],autorest[author_es],autorest[language_la])</f>
        <v>Lingua Vasconica</v>
      </c>
      <c r="M830" t="str">
        <f>_xlfn.XLOOKUP(frasest[[#This Row],[author_es]],autorest[author_es],autorest[nation_es])</f>
        <v>España</v>
      </c>
      <c r="N830" t="str">
        <f>_xlfn.XLOOKUP(frasest[[#This Row],[author_es]],autorest[author_es],autorest[nation_la])</f>
        <v>Hispania</v>
      </c>
      <c r="O830" t="str">
        <f>_xlfn.XLOOKUP(frasest[[#This Row],[author_es]],autorest[author_es],autorest[age_es])</f>
        <v>Epoca Desconocida</v>
      </c>
      <c r="P830" t="str">
        <f>_xlfn.XLOOKUP(frasest[[#This Row],[author_es]],autorest[author_es],autorest[age_la])</f>
        <v>Epocha Ignota</v>
      </c>
      <c r="Q830" t="str">
        <f>_xlfn.XLOOKUP(frasest[[#This Row],[author_es]],autorest[author_es],autorest[image])</f>
        <v>https://i.ibb.co/bjgxB3kn/euskadi.png</v>
      </c>
      <c r="R830">
        <f>_xlfn.XLOOKUP(frasest[[#This Row],[author_es]],autorest[author_es],autorest[image_atr])</f>
        <v>0</v>
      </c>
    </row>
    <row r="831" spans="1:18">
      <c r="A831">
        <v>830</v>
      </c>
      <c r="B831" t="s">
        <v>2768</v>
      </c>
      <c r="C831" t="s">
        <v>2769</v>
      </c>
      <c r="D831" t="s">
        <v>2770</v>
      </c>
      <c r="E831" t="s">
        <v>1236</v>
      </c>
      <c r="G831" t="str">
        <f>_xlfn.XLOOKUP(frasest[[#This Row],[author_es]],autorest[author_es],autorest[author_la])</f>
        <v>Sententia Vasconica</v>
      </c>
      <c r="H831" t="str">
        <f>_xlfn.XLOOKUP(frasest[[#This Row],[author_es]],autorest[author_es],autorest[bio_es])</f>
        <v>Proverbios de la tradición oral vasca que reflejan la relación con la naturaleza, el trabajo y los valores comunitarios del pueblo vasco.</v>
      </c>
      <c r="I831" t="str">
        <f>_xlfn.XLOOKUP(frasest[[#This Row],[author_es]],autorest[author_es],autorest[bio_la])</f>
        <v>Collectio sententiarum Vasconicarum.</v>
      </c>
      <c r="J831" t="str">
        <f>_xlfn.XLOOKUP(frasest[[#This Row],[author_es]],autorest[author_es],autorest[iso3691])</f>
        <v>eu</v>
      </c>
      <c r="K831" t="str">
        <f>_xlfn.XLOOKUP(frasest[[#This Row],[author_es]],autorest[author_es],autorest[language_es])</f>
        <v>Euskara</v>
      </c>
      <c r="L831" t="str">
        <f>_xlfn.XLOOKUP(frasest[[#This Row],[author_es]],autorest[author_es],autorest[language_la])</f>
        <v>Lingua Vasconica</v>
      </c>
      <c r="M831" t="str">
        <f>_xlfn.XLOOKUP(frasest[[#This Row],[author_es]],autorest[author_es],autorest[nation_es])</f>
        <v>España</v>
      </c>
      <c r="N831" t="str">
        <f>_xlfn.XLOOKUP(frasest[[#This Row],[author_es]],autorest[author_es],autorest[nation_la])</f>
        <v>Hispania</v>
      </c>
      <c r="O831" t="str">
        <f>_xlfn.XLOOKUP(frasest[[#This Row],[author_es]],autorest[author_es],autorest[age_es])</f>
        <v>Epoca Desconocida</v>
      </c>
      <c r="P831" t="str">
        <f>_xlfn.XLOOKUP(frasest[[#This Row],[author_es]],autorest[author_es],autorest[age_la])</f>
        <v>Epocha Ignota</v>
      </c>
      <c r="Q831" t="str">
        <f>_xlfn.XLOOKUP(frasest[[#This Row],[author_es]],autorest[author_es],autorest[image])</f>
        <v>https://i.ibb.co/bjgxB3kn/euskadi.png</v>
      </c>
      <c r="R831">
        <f>_xlfn.XLOOKUP(frasest[[#This Row],[author_es]],autorest[author_es],autorest[image_atr])</f>
        <v>0</v>
      </c>
    </row>
    <row r="832" spans="1:18">
      <c r="A832">
        <v>831</v>
      </c>
      <c r="B832" t="s">
        <v>2771</v>
      </c>
      <c r="C832" t="s">
        <v>2772</v>
      </c>
      <c r="D832" t="s">
        <v>2773</v>
      </c>
      <c r="E832" t="s">
        <v>1236</v>
      </c>
      <c r="G832" t="str">
        <f>_xlfn.XLOOKUP(frasest[[#This Row],[author_es]],autorest[author_es],autorest[author_la])</f>
        <v>Sententia Vasconica</v>
      </c>
      <c r="H832" t="str">
        <f>_xlfn.XLOOKUP(frasest[[#This Row],[author_es]],autorest[author_es],autorest[bio_es])</f>
        <v>Proverbios de la tradición oral vasca que reflejan la relación con la naturaleza, el trabajo y los valores comunitarios del pueblo vasco.</v>
      </c>
      <c r="I832" t="str">
        <f>_xlfn.XLOOKUP(frasest[[#This Row],[author_es]],autorest[author_es],autorest[bio_la])</f>
        <v>Collectio sententiarum Vasconicarum.</v>
      </c>
      <c r="J832" t="str">
        <f>_xlfn.XLOOKUP(frasest[[#This Row],[author_es]],autorest[author_es],autorest[iso3691])</f>
        <v>eu</v>
      </c>
      <c r="K832" t="str">
        <f>_xlfn.XLOOKUP(frasest[[#This Row],[author_es]],autorest[author_es],autorest[language_es])</f>
        <v>Euskara</v>
      </c>
      <c r="L832" t="str">
        <f>_xlfn.XLOOKUP(frasest[[#This Row],[author_es]],autorest[author_es],autorest[language_la])</f>
        <v>Lingua Vasconica</v>
      </c>
      <c r="M832" t="str">
        <f>_xlfn.XLOOKUP(frasest[[#This Row],[author_es]],autorest[author_es],autorest[nation_es])</f>
        <v>España</v>
      </c>
      <c r="N832" t="str">
        <f>_xlfn.XLOOKUP(frasest[[#This Row],[author_es]],autorest[author_es],autorest[nation_la])</f>
        <v>Hispania</v>
      </c>
      <c r="O832" t="str">
        <f>_xlfn.XLOOKUP(frasest[[#This Row],[author_es]],autorest[author_es],autorest[age_es])</f>
        <v>Epoca Desconocida</v>
      </c>
      <c r="P832" t="str">
        <f>_xlfn.XLOOKUP(frasest[[#This Row],[author_es]],autorest[author_es],autorest[age_la])</f>
        <v>Epocha Ignota</v>
      </c>
      <c r="Q832" t="str">
        <f>_xlfn.XLOOKUP(frasest[[#This Row],[author_es]],autorest[author_es],autorest[image])</f>
        <v>https://i.ibb.co/bjgxB3kn/euskadi.png</v>
      </c>
      <c r="R832">
        <f>_xlfn.XLOOKUP(frasest[[#This Row],[author_es]],autorest[author_es],autorest[image_atr])</f>
        <v>0</v>
      </c>
    </row>
    <row r="833" spans="1:18">
      <c r="A833">
        <v>832</v>
      </c>
      <c r="B833" t="s">
        <v>2774</v>
      </c>
      <c r="C833" t="s">
        <v>2775</v>
      </c>
      <c r="D833" t="s">
        <v>2379</v>
      </c>
      <c r="E833" t="s">
        <v>1236</v>
      </c>
      <c r="G833" t="str">
        <f>_xlfn.XLOOKUP(frasest[[#This Row],[author_es]],autorest[author_es],autorest[author_la])</f>
        <v>Sententia Vasconica</v>
      </c>
      <c r="H833" t="str">
        <f>_xlfn.XLOOKUP(frasest[[#This Row],[author_es]],autorest[author_es],autorest[bio_es])</f>
        <v>Proverbios de la tradición oral vasca que reflejan la relación con la naturaleza, el trabajo y los valores comunitarios del pueblo vasco.</v>
      </c>
      <c r="I833" t="str">
        <f>_xlfn.XLOOKUP(frasest[[#This Row],[author_es]],autorest[author_es],autorest[bio_la])</f>
        <v>Collectio sententiarum Vasconicarum.</v>
      </c>
      <c r="J833" t="str">
        <f>_xlfn.XLOOKUP(frasest[[#This Row],[author_es]],autorest[author_es],autorest[iso3691])</f>
        <v>eu</v>
      </c>
      <c r="K833" t="str">
        <f>_xlfn.XLOOKUP(frasest[[#This Row],[author_es]],autorest[author_es],autorest[language_es])</f>
        <v>Euskara</v>
      </c>
      <c r="L833" t="str">
        <f>_xlfn.XLOOKUP(frasest[[#This Row],[author_es]],autorest[author_es],autorest[language_la])</f>
        <v>Lingua Vasconica</v>
      </c>
      <c r="M833" t="str">
        <f>_xlfn.XLOOKUP(frasest[[#This Row],[author_es]],autorest[author_es],autorest[nation_es])</f>
        <v>España</v>
      </c>
      <c r="N833" t="str">
        <f>_xlfn.XLOOKUP(frasest[[#This Row],[author_es]],autorest[author_es],autorest[nation_la])</f>
        <v>Hispania</v>
      </c>
      <c r="O833" t="str">
        <f>_xlfn.XLOOKUP(frasest[[#This Row],[author_es]],autorest[author_es],autorest[age_es])</f>
        <v>Epoca Desconocida</v>
      </c>
      <c r="P833" t="str">
        <f>_xlfn.XLOOKUP(frasest[[#This Row],[author_es]],autorest[author_es],autorest[age_la])</f>
        <v>Epocha Ignota</v>
      </c>
      <c r="Q833" t="str">
        <f>_xlfn.XLOOKUP(frasest[[#This Row],[author_es]],autorest[author_es],autorest[image])</f>
        <v>https://i.ibb.co/bjgxB3kn/euskadi.png</v>
      </c>
      <c r="R833">
        <f>_xlfn.XLOOKUP(frasest[[#This Row],[author_es]],autorest[author_es],autorest[image_atr])</f>
        <v>0</v>
      </c>
    </row>
    <row r="834" spans="1:18">
      <c r="A834">
        <v>833</v>
      </c>
      <c r="B834" t="s">
        <v>2776</v>
      </c>
      <c r="C834" t="s">
        <v>2777</v>
      </c>
      <c r="D834" t="s">
        <v>2778</v>
      </c>
      <c r="E834" t="s">
        <v>1236</v>
      </c>
      <c r="G834" t="str">
        <f>_xlfn.XLOOKUP(frasest[[#This Row],[author_es]],autorest[author_es],autorest[author_la])</f>
        <v>Sententia Vasconica</v>
      </c>
      <c r="H834" t="str">
        <f>_xlfn.XLOOKUP(frasest[[#This Row],[author_es]],autorest[author_es],autorest[bio_es])</f>
        <v>Proverbios de la tradición oral vasca que reflejan la relación con la naturaleza, el trabajo y los valores comunitarios del pueblo vasco.</v>
      </c>
      <c r="I834" t="str">
        <f>_xlfn.XLOOKUP(frasest[[#This Row],[author_es]],autorest[author_es],autorest[bio_la])</f>
        <v>Collectio sententiarum Vasconicarum.</v>
      </c>
      <c r="J834" t="str">
        <f>_xlfn.XLOOKUP(frasest[[#This Row],[author_es]],autorest[author_es],autorest[iso3691])</f>
        <v>eu</v>
      </c>
      <c r="K834" t="str">
        <f>_xlfn.XLOOKUP(frasest[[#This Row],[author_es]],autorest[author_es],autorest[language_es])</f>
        <v>Euskara</v>
      </c>
      <c r="L834" t="str">
        <f>_xlfn.XLOOKUP(frasest[[#This Row],[author_es]],autorest[author_es],autorest[language_la])</f>
        <v>Lingua Vasconica</v>
      </c>
      <c r="M834" t="str">
        <f>_xlfn.XLOOKUP(frasest[[#This Row],[author_es]],autorest[author_es],autorest[nation_es])</f>
        <v>España</v>
      </c>
      <c r="N834" t="str">
        <f>_xlfn.XLOOKUP(frasest[[#This Row],[author_es]],autorest[author_es],autorest[nation_la])</f>
        <v>Hispania</v>
      </c>
      <c r="O834" t="str">
        <f>_xlfn.XLOOKUP(frasest[[#This Row],[author_es]],autorest[author_es],autorest[age_es])</f>
        <v>Epoca Desconocida</v>
      </c>
      <c r="P834" t="str">
        <f>_xlfn.XLOOKUP(frasest[[#This Row],[author_es]],autorest[author_es],autorest[age_la])</f>
        <v>Epocha Ignota</v>
      </c>
      <c r="Q834" t="str">
        <f>_xlfn.XLOOKUP(frasest[[#This Row],[author_es]],autorest[author_es],autorest[image])</f>
        <v>https://i.ibb.co/bjgxB3kn/euskadi.png</v>
      </c>
      <c r="R834">
        <f>_xlfn.XLOOKUP(frasest[[#This Row],[author_es]],autorest[author_es],autorest[image_atr])</f>
        <v>0</v>
      </c>
    </row>
    <row r="835" spans="1:18">
      <c r="A835">
        <v>834</v>
      </c>
      <c r="B835" t="s">
        <v>2779</v>
      </c>
      <c r="C835" t="s">
        <v>2780</v>
      </c>
      <c r="D835" t="s">
        <v>2385</v>
      </c>
      <c r="E835" t="s">
        <v>1236</v>
      </c>
      <c r="G835" t="str">
        <f>_xlfn.XLOOKUP(frasest[[#This Row],[author_es]],autorest[author_es],autorest[author_la])</f>
        <v>Sententia Vasconica</v>
      </c>
      <c r="H835" t="str">
        <f>_xlfn.XLOOKUP(frasest[[#This Row],[author_es]],autorest[author_es],autorest[bio_es])</f>
        <v>Proverbios de la tradición oral vasca que reflejan la relación con la naturaleza, el trabajo y los valores comunitarios del pueblo vasco.</v>
      </c>
      <c r="I835" t="str">
        <f>_xlfn.XLOOKUP(frasest[[#This Row],[author_es]],autorest[author_es],autorest[bio_la])</f>
        <v>Collectio sententiarum Vasconicarum.</v>
      </c>
      <c r="J835" t="str">
        <f>_xlfn.XLOOKUP(frasest[[#This Row],[author_es]],autorest[author_es],autorest[iso3691])</f>
        <v>eu</v>
      </c>
      <c r="K835" t="str">
        <f>_xlfn.XLOOKUP(frasest[[#This Row],[author_es]],autorest[author_es],autorest[language_es])</f>
        <v>Euskara</v>
      </c>
      <c r="L835" t="str">
        <f>_xlfn.XLOOKUP(frasest[[#This Row],[author_es]],autorest[author_es],autorest[language_la])</f>
        <v>Lingua Vasconica</v>
      </c>
      <c r="M835" t="str">
        <f>_xlfn.XLOOKUP(frasest[[#This Row],[author_es]],autorest[author_es],autorest[nation_es])</f>
        <v>España</v>
      </c>
      <c r="N835" t="str">
        <f>_xlfn.XLOOKUP(frasest[[#This Row],[author_es]],autorest[author_es],autorest[nation_la])</f>
        <v>Hispania</v>
      </c>
      <c r="O835" t="str">
        <f>_xlfn.XLOOKUP(frasest[[#This Row],[author_es]],autorest[author_es],autorest[age_es])</f>
        <v>Epoca Desconocida</v>
      </c>
      <c r="P835" t="str">
        <f>_xlfn.XLOOKUP(frasest[[#This Row],[author_es]],autorest[author_es],autorest[age_la])</f>
        <v>Epocha Ignota</v>
      </c>
      <c r="Q835" t="str">
        <f>_xlfn.XLOOKUP(frasest[[#This Row],[author_es]],autorest[author_es],autorest[image])</f>
        <v>https://i.ibb.co/bjgxB3kn/euskadi.png</v>
      </c>
      <c r="R835">
        <f>_xlfn.XLOOKUP(frasest[[#This Row],[author_es]],autorest[author_es],autorest[image_atr])</f>
        <v>0</v>
      </c>
    </row>
    <row r="836" spans="1:18">
      <c r="A836">
        <v>835</v>
      </c>
      <c r="B836" t="s">
        <v>2781</v>
      </c>
      <c r="C836" t="s">
        <v>2782</v>
      </c>
      <c r="D836" t="s">
        <v>2783</v>
      </c>
      <c r="E836" t="s">
        <v>1236</v>
      </c>
      <c r="G836" t="str">
        <f>_xlfn.XLOOKUP(frasest[[#This Row],[author_es]],autorest[author_es],autorest[author_la])</f>
        <v>Sententia Vasconica</v>
      </c>
      <c r="H836" t="str">
        <f>_xlfn.XLOOKUP(frasest[[#This Row],[author_es]],autorest[author_es],autorest[bio_es])</f>
        <v>Proverbios de la tradición oral vasca que reflejan la relación con la naturaleza, el trabajo y los valores comunitarios del pueblo vasco.</v>
      </c>
      <c r="I836" t="str">
        <f>_xlfn.XLOOKUP(frasest[[#This Row],[author_es]],autorest[author_es],autorest[bio_la])</f>
        <v>Collectio sententiarum Vasconicarum.</v>
      </c>
      <c r="J836" t="str">
        <f>_xlfn.XLOOKUP(frasest[[#This Row],[author_es]],autorest[author_es],autorest[iso3691])</f>
        <v>eu</v>
      </c>
      <c r="K836" t="str">
        <f>_xlfn.XLOOKUP(frasest[[#This Row],[author_es]],autorest[author_es],autorest[language_es])</f>
        <v>Euskara</v>
      </c>
      <c r="L836" t="str">
        <f>_xlfn.XLOOKUP(frasest[[#This Row],[author_es]],autorest[author_es],autorest[language_la])</f>
        <v>Lingua Vasconica</v>
      </c>
      <c r="M836" t="str">
        <f>_xlfn.XLOOKUP(frasest[[#This Row],[author_es]],autorest[author_es],autorest[nation_es])</f>
        <v>España</v>
      </c>
      <c r="N836" t="str">
        <f>_xlfn.XLOOKUP(frasest[[#This Row],[author_es]],autorest[author_es],autorest[nation_la])</f>
        <v>Hispania</v>
      </c>
      <c r="O836" t="str">
        <f>_xlfn.XLOOKUP(frasest[[#This Row],[author_es]],autorest[author_es],autorest[age_es])</f>
        <v>Epoca Desconocida</v>
      </c>
      <c r="P836" t="str">
        <f>_xlfn.XLOOKUP(frasest[[#This Row],[author_es]],autorest[author_es],autorest[age_la])</f>
        <v>Epocha Ignota</v>
      </c>
      <c r="Q836" t="str">
        <f>_xlfn.XLOOKUP(frasest[[#This Row],[author_es]],autorest[author_es],autorest[image])</f>
        <v>https://i.ibb.co/bjgxB3kn/euskadi.png</v>
      </c>
      <c r="R836">
        <f>_xlfn.XLOOKUP(frasest[[#This Row],[author_es]],autorest[author_es],autorest[image_atr])</f>
        <v>0</v>
      </c>
    </row>
    <row r="837" spans="1:18">
      <c r="A837">
        <v>836</v>
      </c>
      <c r="B837" t="s">
        <v>2784</v>
      </c>
      <c r="C837" t="s">
        <v>2785</v>
      </c>
      <c r="D837" t="s">
        <v>2786</v>
      </c>
      <c r="E837" t="s">
        <v>1236</v>
      </c>
      <c r="G837" t="str">
        <f>_xlfn.XLOOKUP(frasest[[#This Row],[author_es]],autorest[author_es],autorest[author_la])</f>
        <v>Sententia Vasconica</v>
      </c>
      <c r="H837" t="str">
        <f>_xlfn.XLOOKUP(frasest[[#This Row],[author_es]],autorest[author_es],autorest[bio_es])</f>
        <v>Proverbios de la tradición oral vasca que reflejan la relación con la naturaleza, el trabajo y los valores comunitarios del pueblo vasco.</v>
      </c>
      <c r="I837" t="str">
        <f>_xlfn.XLOOKUP(frasest[[#This Row],[author_es]],autorest[author_es],autorest[bio_la])</f>
        <v>Collectio sententiarum Vasconicarum.</v>
      </c>
      <c r="J837" t="str">
        <f>_xlfn.XLOOKUP(frasest[[#This Row],[author_es]],autorest[author_es],autorest[iso3691])</f>
        <v>eu</v>
      </c>
      <c r="K837" t="str">
        <f>_xlfn.XLOOKUP(frasest[[#This Row],[author_es]],autorest[author_es],autorest[language_es])</f>
        <v>Euskara</v>
      </c>
      <c r="L837" t="str">
        <f>_xlfn.XLOOKUP(frasest[[#This Row],[author_es]],autorest[author_es],autorest[language_la])</f>
        <v>Lingua Vasconica</v>
      </c>
      <c r="M837" t="str">
        <f>_xlfn.XLOOKUP(frasest[[#This Row],[author_es]],autorest[author_es],autorest[nation_es])</f>
        <v>España</v>
      </c>
      <c r="N837" t="str">
        <f>_xlfn.XLOOKUP(frasest[[#This Row],[author_es]],autorest[author_es],autorest[nation_la])</f>
        <v>Hispania</v>
      </c>
      <c r="O837" t="str">
        <f>_xlfn.XLOOKUP(frasest[[#This Row],[author_es]],autorest[author_es],autorest[age_es])</f>
        <v>Epoca Desconocida</v>
      </c>
      <c r="P837" t="str">
        <f>_xlfn.XLOOKUP(frasest[[#This Row],[author_es]],autorest[author_es],autorest[age_la])</f>
        <v>Epocha Ignota</v>
      </c>
      <c r="Q837" t="str">
        <f>_xlfn.XLOOKUP(frasest[[#This Row],[author_es]],autorest[author_es],autorest[image])</f>
        <v>https://i.ibb.co/bjgxB3kn/euskadi.png</v>
      </c>
      <c r="R837">
        <f>_xlfn.XLOOKUP(frasest[[#This Row],[author_es]],autorest[author_es],autorest[image_atr])</f>
        <v>0</v>
      </c>
    </row>
    <row r="838" spans="1:18">
      <c r="A838">
        <v>837</v>
      </c>
      <c r="B838" t="s">
        <v>2787</v>
      </c>
      <c r="C838" t="s">
        <v>2788</v>
      </c>
      <c r="D838" t="s">
        <v>2789</v>
      </c>
      <c r="E838" t="s">
        <v>1236</v>
      </c>
      <c r="G838" t="str">
        <f>_xlfn.XLOOKUP(frasest[[#This Row],[author_es]],autorest[author_es],autorest[author_la])</f>
        <v>Sententia Vasconica</v>
      </c>
      <c r="H838" t="str">
        <f>_xlfn.XLOOKUP(frasest[[#This Row],[author_es]],autorest[author_es],autorest[bio_es])</f>
        <v>Proverbios de la tradición oral vasca que reflejan la relación con la naturaleza, el trabajo y los valores comunitarios del pueblo vasco.</v>
      </c>
      <c r="I838" t="str">
        <f>_xlfn.XLOOKUP(frasest[[#This Row],[author_es]],autorest[author_es],autorest[bio_la])</f>
        <v>Collectio sententiarum Vasconicarum.</v>
      </c>
      <c r="J838" t="str">
        <f>_xlfn.XLOOKUP(frasest[[#This Row],[author_es]],autorest[author_es],autorest[iso3691])</f>
        <v>eu</v>
      </c>
      <c r="K838" t="str">
        <f>_xlfn.XLOOKUP(frasest[[#This Row],[author_es]],autorest[author_es],autorest[language_es])</f>
        <v>Euskara</v>
      </c>
      <c r="L838" t="str">
        <f>_xlfn.XLOOKUP(frasest[[#This Row],[author_es]],autorest[author_es],autorest[language_la])</f>
        <v>Lingua Vasconica</v>
      </c>
      <c r="M838" t="str">
        <f>_xlfn.XLOOKUP(frasest[[#This Row],[author_es]],autorest[author_es],autorest[nation_es])</f>
        <v>España</v>
      </c>
      <c r="N838" t="str">
        <f>_xlfn.XLOOKUP(frasest[[#This Row],[author_es]],autorest[author_es],autorest[nation_la])</f>
        <v>Hispania</v>
      </c>
      <c r="O838" t="str">
        <f>_xlfn.XLOOKUP(frasest[[#This Row],[author_es]],autorest[author_es],autorest[age_es])</f>
        <v>Epoca Desconocida</v>
      </c>
      <c r="P838" t="str">
        <f>_xlfn.XLOOKUP(frasest[[#This Row],[author_es]],autorest[author_es],autorest[age_la])</f>
        <v>Epocha Ignota</v>
      </c>
      <c r="Q838" t="str">
        <f>_xlfn.XLOOKUP(frasest[[#This Row],[author_es]],autorest[author_es],autorest[image])</f>
        <v>https://i.ibb.co/bjgxB3kn/euskadi.png</v>
      </c>
      <c r="R838">
        <f>_xlfn.XLOOKUP(frasest[[#This Row],[author_es]],autorest[author_es],autorest[image_atr])</f>
        <v>0</v>
      </c>
    </row>
    <row r="839" spans="1:18">
      <c r="A839">
        <v>838</v>
      </c>
      <c r="B839" t="s">
        <v>2790</v>
      </c>
      <c r="C839" t="s">
        <v>2791</v>
      </c>
      <c r="D839" t="s">
        <v>2792</v>
      </c>
      <c r="E839" t="s">
        <v>1236</v>
      </c>
      <c r="G839" t="str">
        <f>_xlfn.XLOOKUP(frasest[[#This Row],[author_es]],autorest[author_es],autorest[author_la])</f>
        <v>Sententia Vasconica</v>
      </c>
      <c r="H839" t="str">
        <f>_xlfn.XLOOKUP(frasest[[#This Row],[author_es]],autorest[author_es],autorest[bio_es])</f>
        <v>Proverbios de la tradición oral vasca que reflejan la relación con la naturaleza, el trabajo y los valores comunitarios del pueblo vasco.</v>
      </c>
      <c r="I839" t="str">
        <f>_xlfn.XLOOKUP(frasest[[#This Row],[author_es]],autorest[author_es],autorest[bio_la])</f>
        <v>Collectio sententiarum Vasconicarum.</v>
      </c>
      <c r="J839" t="str">
        <f>_xlfn.XLOOKUP(frasest[[#This Row],[author_es]],autorest[author_es],autorest[iso3691])</f>
        <v>eu</v>
      </c>
      <c r="K839" t="str">
        <f>_xlfn.XLOOKUP(frasest[[#This Row],[author_es]],autorest[author_es],autorest[language_es])</f>
        <v>Euskara</v>
      </c>
      <c r="L839" t="str">
        <f>_xlfn.XLOOKUP(frasest[[#This Row],[author_es]],autorest[author_es],autorest[language_la])</f>
        <v>Lingua Vasconica</v>
      </c>
      <c r="M839" t="str">
        <f>_xlfn.XLOOKUP(frasest[[#This Row],[author_es]],autorest[author_es],autorest[nation_es])</f>
        <v>España</v>
      </c>
      <c r="N839" t="str">
        <f>_xlfn.XLOOKUP(frasest[[#This Row],[author_es]],autorest[author_es],autorest[nation_la])</f>
        <v>Hispania</v>
      </c>
      <c r="O839" t="str">
        <f>_xlfn.XLOOKUP(frasest[[#This Row],[author_es]],autorest[author_es],autorest[age_es])</f>
        <v>Epoca Desconocida</v>
      </c>
      <c r="P839" t="str">
        <f>_xlfn.XLOOKUP(frasest[[#This Row],[author_es]],autorest[author_es],autorest[age_la])</f>
        <v>Epocha Ignota</v>
      </c>
      <c r="Q839" t="str">
        <f>_xlfn.XLOOKUP(frasest[[#This Row],[author_es]],autorest[author_es],autorest[image])</f>
        <v>https://i.ibb.co/bjgxB3kn/euskadi.png</v>
      </c>
      <c r="R839">
        <f>_xlfn.XLOOKUP(frasest[[#This Row],[author_es]],autorest[author_es],autorest[image_atr])</f>
        <v>0</v>
      </c>
    </row>
    <row r="840" spans="1:18">
      <c r="A840">
        <v>839</v>
      </c>
      <c r="B840" t="s">
        <v>2793</v>
      </c>
      <c r="C840" t="s">
        <v>2794</v>
      </c>
      <c r="D840" t="s">
        <v>2795</v>
      </c>
      <c r="E840" t="s">
        <v>1236</v>
      </c>
      <c r="G840" t="str">
        <f>_xlfn.XLOOKUP(frasest[[#This Row],[author_es]],autorest[author_es],autorest[author_la])</f>
        <v>Sententia Vasconica</v>
      </c>
      <c r="H840" t="str">
        <f>_xlfn.XLOOKUP(frasest[[#This Row],[author_es]],autorest[author_es],autorest[bio_es])</f>
        <v>Proverbios de la tradición oral vasca que reflejan la relación con la naturaleza, el trabajo y los valores comunitarios del pueblo vasco.</v>
      </c>
      <c r="I840" t="str">
        <f>_xlfn.XLOOKUP(frasest[[#This Row],[author_es]],autorest[author_es],autorest[bio_la])</f>
        <v>Collectio sententiarum Vasconicarum.</v>
      </c>
      <c r="J840" t="str">
        <f>_xlfn.XLOOKUP(frasest[[#This Row],[author_es]],autorest[author_es],autorest[iso3691])</f>
        <v>eu</v>
      </c>
      <c r="K840" t="str">
        <f>_xlfn.XLOOKUP(frasest[[#This Row],[author_es]],autorest[author_es],autorest[language_es])</f>
        <v>Euskara</v>
      </c>
      <c r="L840" t="str">
        <f>_xlfn.XLOOKUP(frasest[[#This Row],[author_es]],autorest[author_es],autorest[language_la])</f>
        <v>Lingua Vasconica</v>
      </c>
      <c r="M840" t="str">
        <f>_xlfn.XLOOKUP(frasest[[#This Row],[author_es]],autorest[author_es],autorest[nation_es])</f>
        <v>España</v>
      </c>
      <c r="N840" t="str">
        <f>_xlfn.XLOOKUP(frasest[[#This Row],[author_es]],autorest[author_es],autorest[nation_la])</f>
        <v>Hispania</v>
      </c>
      <c r="O840" t="str">
        <f>_xlfn.XLOOKUP(frasest[[#This Row],[author_es]],autorest[author_es],autorest[age_es])</f>
        <v>Epoca Desconocida</v>
      </c>
      <c r="P840" t="str">
        <f>_xlfn.XLOOKUP(frasest[[#This Row],[author_es]],autorest[author_es],autorest[age_la])</f>
        <v>Epocha Ignota</v>
      </c>
      <c r="Q840" t="str">
        <f>_xlfn.XLOOKUP(frasest[[#This Row],[author_es]],autorest[author_es],autorest[image])</f>
        <v>https://i.ibb.co/bjgxB3kn/euskadi.png</v>
      </c>
      <c r="R840">
        <f>_xlfn.XLOOKUP(frasest[[#This Row],[author_es]],autorest[author_es],autorest[image_atr])</f>
        <v>0</v>
      </c>
    </row>
    <row r="841" spans="1:18">
      <c r="A841">
        <v>840</v>
      </c>
      <c r="B841" t="s">
        <v>2796</v>
      </c>
      <c r="C841" t="s">
        <v>2797</v>
      </c>
      <c r="D841" t="s">
        <v>2798</v>
      </c>
      <c r="E841" t="s">
        <v>1236</v>
      </c>
      <c r="G841" t="str">
        <f>_xlfn.XLOOKUP(frasest[[#This Row],[author_es]],autorest[author_es],autorest[author_la])</f>
        <v>Sententia Vasconica</v>
      </c>
      <c r="H841" t="str">
        <f>_xlfn.XLOOKUP(frasest[[#This Row],[author_es]],autorest[author_es],autorest[bio_es])</f>
        <v>Proverbios de la tradición oral vasca que reflejan la relación con la naturaleza, el trabajo y los valores comunitarios del pueblo vasco.</v>
      </c>
      <c r="I841" t="str">
        <f>_xlfn.XLOOKUP(frasest[[#This Row],[author_es]],autorest[author_es],autorest[bio_la])</f>
        <v>Collectio sententiarum Vasconicarum.</v>
      </c>
      <c r="J841" t="str">
        <f>_xlfn.XLOOKUP(frasest[[#This Row],[author_es]],autorest[author_es],autorest[iso3691])</f>
        <v>eu</v>
      </c>
      <c r="K841" t="str">
        <f>_xlfn.XLOOKUP(frasest[[#This Row],[author_es]],autorest[author_es],autorest[language_es])</f>
        <v>Euskara</v>
      </c>
      <c r="L841" t="str">
        <f>_xlfn.XLOOKUP(frasest[[#This Row],[author_es]],autorest[author_es],autorest[language_la])</f>
        <v>Lingua Vasconica</v>
      </c>
      <c r="M841" t="str">
        <f>_xlfn.XLOOKUP(frasest[[#This Row],[author_es]],autorest[author_es],autorest[nation_es])</f>
        <v>España</v>
      </c>
      <c r="N841" t="str">
        <f>_xlfn.XLOOKUP(frasest[[#This Row],[author_es]],autorest[author_es],autorest[nation_la])</f>
        <v>Hispania</v>
      </c>
      <c r="O841" t="str">
        <f>_xlfn.XLOOKUP(frasest[[#This Row],[author_es]],autorest[author_es],autorest[age_es])</f>
        <v>Epoca Desconocida</v>
      </c>
      <c r="P841" t="str">
        <f>_xlfn.XLOOKUP(frasest[[#This Row],[author_es]],autorest[author_es],autorest[age_la])</f>
        <v>Epocha Ignota</v>
      </c>
      <c r="Q841" t="str">
        <f>_xlfn.XLOOKUP(frasest[[#This Row],[author_es]],autorest[author_es],autorest[image])</f>
        <v>https://i.ibb.co/bjgxB3kn/euskadi.png</v>
      </c>
      <c r="R841">
        <f>_xlfn.XLOOKUP(frasest[[#This Row],[author_es]],autorest[author_es],autorest[image_atr])</f>
        <v>0</v>
      </c>
    </row>
    <row r="842" spans="1:18">
      <c r="A842">
        <v>841</v>
      </c>
      <c r="B842" t="s">
        <v>2799</v>
      </c>
      <c r="C842" t="s">
        <v>2800</v>
      </c>
      <c r="D842" t="s">
        <v>2801</v>
      </c>
      <c r="E842" t="s">
        <v>1236</v>
      </c>
      <c r="G842" t="str">
        <f>_xlfn.XLOOKUP(frasest[[#This Row],[author_es]],autorest[author_es],autorest[author_la])</f>
        <v>Sententia Vasconica</v>
      </c>
      <c r="H842" t="str">
        <f>_xlfn.XLOOKUP(frasest[[#This Row],[author_es]],autorest[author_es],autorest[bio_es])</f>
        <v>Proverbios de la tradición oral vasca que reflejan la relación con la naturaleza, el trabajo y los valores comunitarios del pueblo vasco.</v>
      </c>
      <c r="I842" t="str">
        <f>_xlfn.XLOOKUP(frasest[[#This Row],[author_es]],autorest[author_es],autorest[bio_la])</f>
        <v>Collectio sententiarum Vasconicarum.</v>
      </c>
      <c r="J842" t="str">
        <f>_xlfn.XLOOKUP(frasest[[#This Row],[author_es]],autorest[author_es],autorest[iso3691])</f>
        <v>eu</v>
      </c>
      <c r="K842" t="str">
        <f>_xlfn.XLOOKUP(frasest[[#This Row],[author_es]],autorest[author_es],autorest[language_es])</f>
        <v>Euskara</v>
      </c>
      <c r="L842" t="str">
        <f>_xlfn.XLOOKUP(frasest[[#This Row],[author_es]],autorest[author_es],autorest[language_la])</f>
        <v>Lingua Vasconica</v>
      </c>
      <c r="M842" t="str">
        <f>_xlfn.XLOOKUP(frasest[[#This Row],[author_es]],autorest[author_es],autorest[nation_es])</f>
        <v>España</v>
      </c>
      <c r="N842" t="str">
        <f>_xlfn.XLOOKUP(frasest[[#This Row],[author_es]],autorest[author_es],autorest[nation_la])</f>
        <v>Hispania</v>
      </c>
      <c r="O842" t="str">
        <f>_xlfn.XLOOKUP(frasest[[#This Row],[author_es]],autorest[author_es],autorest[age_es])</f>
        <v>Epoca Desconocida</v>
      </c>
      <c r="P842" t="str">
        <f>_xlfn.XLOOKUP(frasest[[#This Row],[author_es]],autorest[author_es],autorest[age_la])</f>
        <v>Epocha Ignota</v>
      </c>
      <c r="Q842" t="str">
        <f>_xlfn.XLOOKUP(frasest[[#This Row],[author_es]],autorest[author_es],autorest[image])</f>
        <v>https://i.ibb.co/bjgxB3kn/euskadi.png</v>
      </c>
      <c r="R842">
        <f>_xlfn.XLOOKUP(frasest[[#This Row],[author_es]],autorest[author_es],autorest[image_atr])</f>
        <v>0</v>
      </c>
    </row>
    <row r="843" spans="1:18">
      <c r="A843">
        <v>842</v>
      </c>
      <c r="B843" t="s">
        <v>2389</v>
      </c>
      <c r="C843" t="s">
        <v>2802</v>
      </c>
      <c r="D843" t="s">
        <v>2391</v>
      </c>
      <c r="E843" t="s">
        <v>1236</v>
      </c>
      <c r="G843" t="str">
        <f>_xlfn.XLOOKUP(frasest[[#This Row],[author_es]],autorest[author_es],autorest[author_la])</f>
        <v>Sententia Vasconica</v>
      </c>
      <c r="H843" t="str">
        <f>_xlfn.XLOOKUP(frasest[[#This Row],[author_es]],autorest[author_es],autorest[bio_es])</f>
        <v>Proverbios de la tradición oral vasca que reflejan la relación con la naturaleza, el trabajo y los valores comunitarios del pueblo vasco.</v>
      </c>
      <c r="I843" t="str">
        <f>_xlfn.XLOOKUP(frasest[[#This Row],[author_es]],autorest[author_es],autorest[bio_la])</f>
        <v>Collectio sententiarum Vasconicarum.</v>
      </c>
      <c r="J843" t="str">
        <f>_xlfn.XLOOKUP(frasest[[#This Row],[author_es]],autorest[author_es],autorest[iso3691])</f>
        <v>eu</v>
      </c>
      <c r="K843" t="str">
        <f>_xlfn.XLOOKUP(frasest[[#This Row],[author_es]],autorest[author_es],autorest[language_es])</f>
        <v>Euskara</v>
      </c>
      <c r="L843" t="str">
        <f>_xlfn.XLOOKUP(frasest[[#This Row],[author_es]],autorest[author_es],autorest[language_la])</f>
        <v>Lingua Vasconica</v>
      </c>
      <c r="M843" t="str">
        <f>_xlfn.XLOOKUP(frasest[[#This Row],[author_es]],autorest[author_es],autorest[nation_es])</f>
        <v>España</v>
      </c>
      <c r="N843" t="str">
        <f>_xlfn.XLOOKUP(frasest[[#This Row],[author_es]],autorest[author_es],autorest[nation_la])</f>
        <v>Hispania</v>
      </c>
      <c r="O843" t="str">
        <f>_xlfn.XLOOKUP(frasest[[#This Row],[author_es]],autorest[author_es],autorest[age_es])</f>
        <v>Epoca Desconocida</v>
      </c>
      <c r="P843" t="str">
        <f>_xlfn.XLOOKUP(frasest[[#This Row],[author_es]],autorest[author_es],autorest[age_la])</f>
        <v>Epocha Ignota</v>
      </c>
      <c r="Q843" t="str">
        <f>_xlfn.XLOOKUP(frasest[[#This Row],[author_es]],autorest[author_es],autorest[image])</f>
        <v>https://i.ibb.co/bjgxB3kn/euskadi.png</v>
      </c>
      <c r="R843">
        <f>_xlfn.XLOOKUP(frasest[[#This Row],[author_es]],autorest[author_es],autorest[image_atr])</f>
        <v>0</v>
      </c>
    </row>
    <row r="844" spans="1:18">
      <c r="A844">
        <v>843</v>
      </c>
      <c r="B844" t="s">
        <v>2803</v>
      </c>
      <c r="C844" t="s">
        <v>2804</v>
      </c>
      <c r="D844" t="s">
        <v>2805</v>
      </c>
      <c r="E844" t="s">
        <v>1236</v>
      </c>
      <c r="G844" t="str">
        <f>_xlfn.XLOOKUP(frasest[[#This Row],[author_es]],autorest[author_es],autorest[author_la])</f>
        <v>Sententia Vasconica</v>
      </c>
      <c r="H844" t="str">
        <f>_xlfn.XLOOKUP(frasest[[#This Row],[author_es]],autorest[author_es],autorest[bio_es])</f>
        <v>Proverbios de la tradición oral vasca que reflejan la relación con la naturaleza, el trabajo y los valores comunitarios del pueblo vasco.</v>
      </c>
      <c r="I844" t="str">
        <f>_xlfn.XLOOKUP(frasest[[#This Row],[author_es]],autorest[author_es],autorest[bio_la])</f>
        <v>Collectio sententiarum Vasconicarum.</v>
      </c>
      <c r="J844" t="str">
        <f>_xlfn.XLOOKUP(frasest[[#This Row],[author_es]],autorest[author_es],autorest[iso3691])</f>
        <v>eu</v>
      </c>
      <c r="K844" t="str">
        <f>_xlfn.XLOOKUP(frasest[[#This Row],[author_es]],autorest[author_es],autorest[language_es])</f>
        <v>Euskara</v>
      </c>
      <c r="L844" t="str">
        <f>_xlfn.XLOOKUP(frasest[[#This Row],[author_es]],autorest[author_es],autorest[language_la])</f>
        <v>Lingua Vasconica</v>
      </c>
      <c r="M844" t="str">
        <f>_xlfn.XLOOKUP(frasest[[#This Row],[author_es]],autorest[author_es],autorest[nation_es])</f>
        <v>España</v>
      </c>
      <c r="N844" t="str">
        <f>_xlfn.XLOOKUP(frasest[[#This Row],[author_es]],autorest[author_es],autorest[nation_la])</f>
        <v>Hispania</v>
      </c>
      <c r="O844" t="str">
        <f>_xlfn.XLOOKUP(frasest[[#This Row],[author_es]],autorest[author_es],autorest[age_es])</f>
        <v>Epoca Desconocida</v>
      </c>
      <c r="P844" t="str">
        <f>_xlfn.XLOOKUP(frasest[[#This Row],[author_es]],autorest[author_es],autorest[age_la])</f>
        <v>Epocha Ignota</v>
      </c>
      <c r="Q844" t="str">
        <f>_xlfn.XLOOKUP(frasest[[#This Row],[author_es]],autorest[author_es],autorest[image])</f>
        <v>https://i.ibb.co/bjgxB3kn/euskadi.png</v>
      </c>
      <c r="R844">
        <f>_xlfn.XLOOKUP(frasest[[#This Row],[author_es]],autorest[author_es],autorest[image_atr])</f>
        <v>0</v>
      </c>
    </row>
    <row r="845" spans="1:18">
      <c r="A845">
        <v>844</v>
      </c>
      <c r="B845" t="s">
        <v>2806</v>
      </c>
      <c r="C845" t="s">
        <v>2807</v>
      </c>
      <c r="D845" t="s">
        <v>2808</v>
      </c>
      <c r="E845" t="s">
        <v>1236</v>
      </c>
      <c r="G845" t="str">
        <f>_xlfn.XLOOKUP(frasest[[#This Row],[author_es]],autorest[author_es],autorest[author_la])</f>
        <v>Sententia Vasconica</v>
      </c>
      <c r="H845" t="str">
        <f>_xlfn.XLOOKUP(frasest[[#This Row],[author_es]],autorest[author_es],autorest[bio_es])</f>
        <v>Proverbios de la tradición oral vasca que reflejan la relación con la naturaleza, el trabajo y los valores comunitarios del pueblo vasco.</v>
      </c>
      <c r="I845" t="str">
        <f>_xlfn.XLOOKUP(frasest[[#This Row],[author_es]],autorest[author_es],autorest[bio_la])</f>
        <v>Collectio sententiarum Vasconicarum.</v>
      </c>
      <c r="J845" t="str">
        <f>_xlfn.XLOOKUP(frasest[[#This Row],[author_es]],autorest[author_es],autorest[iso3691])</f>
        <v>eu</v>
      </c>
      <c r="K845" t="str">
        <f>_xlfn.XLOOKUP(frasest[[#This Row],[author_es]],autorest[author_es],autorest[language_es])</f>
        <v>Euskara</v>
      </c>
      <c r="L845" t="str">
        <f>_xlfn.XLOOKUP(frasest[[#This Row],[author_es]],autorest[author_es],autorest[language_la])</f>
        <v>Lingua Vasconica</v>
      </c>
      <c r="M845" t="str">
        <f>_xlfn.XLOOKUP(frasest[[#This Row],[author_es]],autorest[author_es],autorest[nation_es])</f>
        <v>España</v>
      </c>
      <c r="N845" t="str">
        <f>_xlfn.XLOOKUP(frasest[[#This Row],[author_es]],autorest[author_es],autorest[nation_la])</f>
        <v>Hispania</v>
      </c>
      <c r="O845" t="str">
        <f>_xlfn.XLOOKUP(frasest[[#This Row],[author_es]],autorest[author_es],autorest[age_es])</f>
        <v>Epoca Desconocida</v>
      </c>
      <c r="P845" t="str">
        <f>_xlfn.XLOOKUP(frasest[[#This Row],[author_es]],autorest[author_es],autorest[age_la])</f>
        <v>Epocha Ignota</v>
      </c>
      <c r="Q845" t="str">
        <f>_xlfn.XLOOKUP(frasest[[#This Row],[author_es]],autorest[author_es],autorest[image])</f>
        <v>https://i.ibb.co/bjgxB3kn/euskadi.png</v>
      </c>
      <c r="R845">
        <f>_xlfn.XLOOKUP(frasest[[#This Row],[author_es]],autorest[author_es],autorest[image_atr])</f>
        <v>0</v>
      </c>
    </row>
    <row r="846" spans="1:18">
      <c r="A846">
        <v>845</v>
      </c>
      <c r="B846" t="s">
        <v>2809</v>
      </c>
      <c r="C846" t="s">
        <v>2810</v>
      </c>
      <c r="D846" t="s">
        <v>2811</v>
      </c>
      <c r="E846" t="s">
        <v>1236</v>
      </c>
      <c r="G846" t="str">
        <f>_xlfn.XLOOKUP(frasest[[#This Row],[author_es]],autorest[author_es],autorest[author_la])</f>
        <v>Sententia Vasconica</v>
      </c>
      <c r="H846" t="str">
        <f>_xlfn.XLOOKUP(frasest[[#This Row],[author_es]],autorest[author_es],autorest[bio_es])</f>
        <v>Proverbios de la tradición oral vasca que reflejan la relación con la naturaleza, el trabajo y los valores comunitarios del pueblo vasco.</v>
      </c>
      <c r="I846" t="str">
        <f>_xlfn.XLOOKUP(frasest[[#This Row],[author_es]],autorest[author_es],autorest[bio_la])</f>
        <v>Collectio sententiarum Vasconicarum.</v>
      </c>
      <c r="J846" t="str">
        <f>_xlfn.XLOOKUP(frasest[[#This Row],[author_es]],autorest[author_es],autorest[iso3691])</f>
        <v>eu</v>
      </c>
      <c r="K846" t="str">
        <f>_xlfn.XLOOKUP(frasest[[#This Row],[author_es]],autorest[author_es],autorest[language_es])</f>
        <v>Euskara</v>
      </c>
      <c r="L846" t="str">
        <f>_xlfn.XLOOKUP(frasest[[#This Row],[author_es]],autorest[author_es],autorest[language_la])</f>
        <v>Lingua Vasconica</v>
      </c>
      <c r="M846" t="str">
        <f>_xlfn.XLOOKUP(frasest[[#This Row],[author_es]],autorest[author_es],autorest[nation_es])</f>
        <v>España</v>
      </c>
      <c r="N846" t="str">
        <f>_xlfn.XLOOKUP(frasest[[#This Row],[author_es]],autorest[author_es],autorest[nation_la])</f>
        <v>Hispania</v>
      </c>
      <c r="O846" t="str">
        <f>_xlfn.XLOOKUP(frasest[[#This Row],[author_es]],autorest[author_es],autorest[age_es])</f>
        <v>Epoca Desconocida</v>
      </c>
      <c r="P846" t="str">
        <f>_xlfn.XLOOKUP(frasest[[#This Row],[author_es]],autorest[author_es],autorest[age_la])</f>
        <v>Epocha Ignota</v>
      </c>
      <c r="Q846" t="str">
        <f>_xlfn.XLOOKUP(frasest[[#This Row],[author_es]],autorest[author_es],autorest[image])</f>
        <v>https://i.ibb.co/bjgxB3kn/euskadi.png</v>
      </c>
      <c r="R846">
        <f>_xlfn.XLOOKUP(frasest[[#This Row],[author_es]],autorest[author_es],autorest[image_atr])</f>
        <v>0</v>
      </c>
    </row>
    <row r="847" spans="1:18">
      <c r="A847">
        <v>846</v>
      </c>
      <c r="B847" t="s">
        <v>2812</v>
      </c>
      <c r="C847" t="s">
        <v>2813</v>
      </c>
      <c r="D847" t="s">
        <v>2814</v>
      </c>
      <c r="E847" t="s">
        <v>1236</v>
      </c>
      <c r="G847" t="str">
        <f>_xlfn.XLOOKUP(frasest[[#This Row],[author_es]],autorest[author_es],autorest[author_la])</f>
        <v>Sententia Vasconica</v>
      </c>
      <c r="H847" t="str">
        <f>_xlfn.XLOOKUP(frasest[[#This Row],[author_es]],autorest[author_es],autorest[bio_es])</f>
        <v>Proverbios de la tradición oral vasca que reflejan la relación con la naturaleza, el trabajo y los valores comunitarios del pueblo vasco.</v>
      </c>
      <c r="I847" t="str">
        <f>_xlfn.XLOOKUP(frasest[[#This Row],[author_es]],autorest[author_es],autorest[bio_la])</f>
        <v>Collectio sententiarum Vasconicarum.</v>
      </c>
      <c r="J847" t="str">
        <f>_xlfn.XLOOKUP(frasest[[#This Row],[author_es]],autorest[author_es],autorest[iso3691])</f>
        <v>eu</v>
      </c>
      <c r="K847" t="str">
        <f>_xlfn.XLOOKUP(frasest[[#This Row],[author_es]],autorest[author_es],autorest[language_es])</f>
        <v>Euskara</v>
      </c>
      <c r="L847" t="str">
        <f>_xlfn.XLOOKUP(frasest[[#This Row],[author_es]],autorest[author_es],autorest[language_la])</f>
        <v>Lingua Vasconica</v>
      </c>
      <c r="M847" t="str">
        <f>_xlfn.XLOOKUP(frasest[[#This Row],[author_es]],autorest[author_es],autorest[nation_es])</f>
        <v>España</v>
      </c>
      <c r="N847" t="str">
        <f>_xlfn.XLOOKUP(frasest[[#This Row],[author_es]],autorest[author_es],autorest[nation_la])</f>
        <v>Hispania</v>
      </c>
      <c r="O847" t="str">
        <f>_xlfn.XLOOKUP(frasest[[#This Row],[author_es]],autorest[author_es],autorest[age_es])</f>
        <v>Epoca Desconocida</v>
      </c>
      <c r="P847" t="str">
        <f>_xlfn.XLOOKUP(frasest[[#This Row],[author_es]],autorest[author_es],autorest[age_la])</f>
        <v>Epocha Ignota</v>
      </c>
      <c r="Q847" t="str">
        <f>_xlfn.XLOOKUP(frasest[[#This Row],[author_es]],autorest[author_es],autorest[image])</f>
        <v>https://i.ibb.co/bjgxB3kn/euskadi.png</v>
      </c>
      <c r="R847">
        <f>_xlfn.XLOOKUP(frasest[[#This Row],[author_es]],autorest[author_es],autorest[image_atr])</f>
        <v>0</v>
      </c>
    </row>
    <row r="848" spans="1:18">
      <c r="A848">
        <v>847</v>
      </c>
      <c r="B848" t="s">
        <v>2815</v>
      </c>
      <c r="C848" t="s">
        <v>2816</v>
      </c>
      <c r="D848" t="s">
        <v>2817</v>
      </c>
      <c r="E848" t="s">
        <v>1236</v>
      </c>
      <c r="G848" t="str">
        <f>_xlfn.XLOOKUP(frasest[[#This Row],[author_es]],autorest[author_es],autorest[author_la])</f>
        <v>Sententia Vasconica</v>
      </c>
      <c r="H848" t="str">
        <f>_xlfn.XLOOKUP(frasest[[#This Row],[author_es]],autorest[author_es],autorest[bio_es])</f>
        <v>Proverbios de la tradición oral vasca que reflejan la relación con la naturaleza, el trabajo y los valores comunitarios del pueblo vasco.</v>
      </c>
      <c r="I848" t="str">
        <f>_xlfn.XLOOKUP(frasest[[#This Row],[author_es]],autorest[author_es],autorest[bio_la])</f>
        <v>Collectio sententiarum Vasconicarum.</v>
      </c>
      <c r="J848" t="str">
        <f>_xlfn.XLOOKUP(frasest[[#This Row],[author_es]],autorest[author_es],autorest[iso3691])</f>
        <v>eu</v>
      </c>
      <c r="K848" t="str">
        <f>_xlfn.XLOOKUP(frasest[[#This Row],[author_es]],autorest[author_es],autorest[language_es])</f>
        <v>Euskara</v>
      </c>
      <c r="L848" t="str">
        <f>_xlfn.XLOOKUP(frasest[[#This Row],[author_es]],autorest[author_es],autorest[language_la])</f>
        <v>Lingua Vasconica</v>
      </c>
      <c r="M848" t="str">
        <f>_xlfn.XLOOKUP(frasest[[#This Row],[author_es]],autorest[author_es],autorest[nation_es])</f>
        <v>España</v>
      </c>
      <c r="N848" t="str">
        <f>_xlfn.XLOOKUP(frasest[[#This Row],[author_es]],autorest[author_es],autorest[nation_la])</f>
        <v>Hispania</v>
      </c>
      <c r="O848" t="str">
        <f>_xlfn.XLOOKUP(frasest[[#This Row],[author_es]],autorest[author_es],autorest[age_es])</f>
        <v>Epoca Desconocida</v>
      </c>
      <c r="P848" t="str">
        <f>_xlfn.XLOOKUP(frasest[[#This Row],[author_es]],autorest[author_es],autorest[age_la])</f>
        <v>Epocha Ignota</v>
      </c>
      <c r="Q848" t="str">
        <f>_xlfn.XLOOKUP(frasest[[#This Row],[author_es]],autorest[author_es],autorest[image])</f>
        <v>https://i.ibb.co/bjgxB3kn/euskadi.png</v>
      </c>
      <c r="R848">
        <f>_xlfn.XLOOKUP(frasest[[#This Row],[author_es]],autorest[author_es],autorest[image_atr])</f>
        <v>0</v>
      </c>
    </row>
    <row r="849" spans="1:18">
      <c r="A849">
        <v>848</v>
      </c>
      <c r="B849" t="s">
        <v>2818</v>
      </c>
      <c r="C849" t="s">
        <v>2819</v>
      </c>
      <c r="D849" t="s">
        <v>2820</v>
      </c>
      <c r="E849" t="s">
        <v>1236</v>
      </c>
      <c r="G849" t="str">
        <f>_xlfn.XLOOKUP(frasest[[#This Row],[author_es]],autorest[author_es],autorest[author_la])</f>
        <v>Sententia Vasconica</v>
      </c>
      <c r="H849" t="str">
        <f>_xlfn.XLOOKUP(frasest[[#This Row],[author_es]],autorest[author_es],autorest[bio_es])</f>
        <v>Proverbios de la tradición oral vasca que reflejan la relación con la naturaleza, el trabajo y los valores comunitarios del pueblo vasco.</v>
      </c>
      <c r="I849" t="str">
        <f>_xlfn.XLOOKUP(frasest[[#This Row],[author_es]],autorest[author_es],autorest[bio_la])</f>
        <v>Collectio sententiarum Vasconicarum.</v>
      </c>
      <c r="J849" t="str">
        <f>_xlfn.XLOOKUP(frasest[[#This Row],[author_es]],autorest[author_es],autorest[iso3691])</f>
        <v>eu</v>
      </c>
      <c r="K849" t="str">
        <f>_xlfn.XLOOKUP(frasest[[#This Row],[author_es]],autorest[author_es],autorest[language_es])</f>
        <v>Euskara</v>
      </c>
      <c r="L849" t="str">
        <f>_xlfn.XLOOKUP(frasest[[#This Row],[author_es]],autorest[author_es],autorest[language_la])</f>
        <v>Lingua Vasconica</v>
      </c>
      <c r="M849" t="str">
        <f>_xlfn.XLOOKUP(frasest[[#This Row],[author_es]],autorest[author_es],autorest[nation_es])</f>
        <v>España</v>
      </c>
      <c r="N849" t="str">
        <f>_xlfn.XLOOKUP(frasest[[#This Row],[author_es]],autorest[author_es],autorest[nation_la])</f>
        <v>Hispania</v>
      </c>
      <c r="O849" t="str">
        <f>_xlfn.XLOOKUP(frasest[[#This Row],[author_es]],autorest[author_es],autorest[age_es])</f>
        <v>Epoca Desconocida</v>
      </c>
      <c r="P849" t="str">
        <f>_xlfn.XLOOKUP(frasest[[#This Row],[author_es]],autorest[author_es],autorest[age_la])</f>
        <v>Epocha Ignota</v>
      </c>
      <c r="Q849" t="str">
        <f>_xlfn.XLOOKUP(frasest[[#This Row],[author_es]],autorest[author_es],autorest[image])</f>
        <v>https://i.ibb.co/bjgxB3kn/euskadi.png</v>
      </c>
      <c r="R849">
        <f>_xlfn.XLOOKUP(frasest[[#This Row],[author_es]],autorest[author_es],autorest[image_atr])</f>
        <v>0</v>
      </c>
    </row>
    <row r="850" spans="1:18">
      <c r="A850">
        <v>849</v>
      </c>
      <c r="B850" t="s">
        <v>2821</v>
      </c>
      <c r="C850" t="s">
        <v>2822</v>
      </c>
      <c r="D850" t="s">
        <v>2823</v>
      </c>
      <c r="E850" t="s">
        <v>1236</v>
      </c>
      <c r="G850" t="str">
        <f>_xlfn.XLOOKUP(frasest[[#This Row],[author_es]],autorest[author_es],autorest[author_la])</f>
        <v>Sententia Vasconica</v>
      </c>
      <c r="H850" t="str">
        <f>_xlfn.XLOOKUP(frasest[[#This Row],[author_es]],autorest[author_es],autorest[bio_es])</f>
        <v>Proverbios de la tradición oral vasca que reflejan la relación con la naturaleza, el trabajo y los valores comunitarios del pueblo vasco.</v>
      </c>
      <c r="I850" t="str">
        <f>_xlfn.XLOOKUP(frasest[[#This Row],[author_es]],autorest[author_es],autorest[bio_la])</f>
        <v>Collectio sententiarum Vasconicarum.</v>
      </c>
      <c r="J850" t="str">
        <f>_xlfn.XLOOKUP(frasest[[#This Row],[author_es]],autorest[author_es],autorest[iso3691])</f>
        <v>eu</v>
      </c>
      <c r="K850" t="str">
        <f>_xlfn.XLOOKUP(frasest[[#This Row],[author_es]],autorest[author_es],autorest[language_es])</f>
        <v>Euskara</v>
      </c>
      <c r="L850" t="str">
        <f>_xlfn.XLOOKUP(frasest[[#This Row],[author_es]],autorest[author_es],autorest[language_la])</f>
        <v>Lingua Vasconica</v>
      </c>
      <c r="M850" t="str">
        <f>_xlfn.XLOOKUP(frasest[[#This Row],[author_es]],autorest[author_es],autorest[nation_es])</f>
        <v>España</v>
      </c>
      <c r="N850" t="str">
        <f>_xlfn.XLOOKUP(frasest[[#This Row],[author_es]],autorest[author_es],autorest[nation_la])</f>
        <v>Hispania</v>
      </c>
      <c r="O850" t="str">
        <f>_xlfn.XLOOKUP(frasest[[#This Row],[author_es]],autorest[author_es],autorest[age_es])</f>
        <v>Epoca Desconocida</v>
      </c>
      <c r="P850" t="str">
        <f>_xlfn.XLOOKUP(frasest[[#This Row],[author_es]],autorest[author_es],autorest[age_la])</f>
        <v>Epocha Ignota</v>
      </c>
      <c r="Q850" t="str">
        <f>_xlfn.XLOOKUP(frasest[[#This Row],[author_es]],autorest[author_es],autorest[image])</f>
        <v>https://i.ibb.co/bjgxB3kn/euskadi.png</v>
      </c>
      <c r="R850">
        <f>_xlfn.XLOOKUP(frasest[[#This Row],[author_es]],autorest[author_es],autorest[image_atr])</f>
        <v>0</v>
      </c>
    </row>
    <row r="851" spans="1:18">
      <c r="A851">
        <v>850</v>
      </c>
      <c r="B851" t="s">
        <v>2824</v>
      </c>
      <c r="C851" t="s">
        <v>2825</v>
      </c>
      <c r="D851" t="s">
        <v>2826</v>
      </c>
      <c r="E851" t="s">
        <v>1236</v>
      </c>
      <c r="G851" t="str">
        <f>_xlfn.XLOOKUP(frasest[[#This Row],[author_es]],autorest[author_es],autorest[author_la])</f>
        <v>Sententia Vasconica</v>
      </c>
      <c r="H851" t="str">
        <f>_xlfn.XLOOKUP(frasest[[#This Row],[author_es]],autorest[author_es],autorest[bio_es])</f>
        <v>Proverbios de la tradición oral vasca que reflejan la relación con la naturaleza, el trabajo y los valores comunitarios del pueblo vasco.</v>
      </c>
      <c r="I851" t="str">
        <f>_xlfn.XLOOKUP(frasest[[#This Row],[author_es]],autorest[author_es],autorest[bio_la])</f>
        <v>Collectio sententiarum Vasconicarum.</v>
      </c>
      <c r="J851" t="str">
        <f>_xlfn.XLOOKUP(frasest[[#This Row],[author_es]],autorest[author_es],autorest[iso3691])</f>
        <v>eu</v>
      </c>
      <c r="K851" t="str">
        <f>_xlfn.XLOOKUP(frasest[[#This Row],[author_es]],autorest[author_es],autorest[language_es])</f>
        <v>Euskara</v>
      </c>
      <c r="L851" t="str">
        <f>_xlfn.XLOOKUP(frasest[[#This Row],[author_es]],autorest[author_es],autorest[language_la])</f>
        <v>Lingua Vasconica</v>
      </c>
      <c r="M851" t="str">
        <f>_xlfn.XLOOKUP(frasest[[#This Row],[author_es]],autorest[author_es],autorest[nation_es])</f>
        <v>España</v>
      </c>
      <c r="N851" t="str">
        <f>_xlfn.XLOOKUP(frasest[[#This Row],[author_es]],autorest[author_es],autorest[nation_la])</f>
        <v>Hispania</v>
      </c>
      <c r="O851" t="str">
        <f>_xlfn.XLOOKUP(frasest[[#This Row],[author_es]],autorest[author_es],autorest[age_es])</f>
        <v>Epoca Desconocida</v>
      </c>
      <c r="P851" t="str">
        <f>_xlfn.XLOOKUP(frasest[[#This Row],[author_es]],autorest[author_es],autorest[age_la])</f>
        <v>Epocha Ignota</v>
      </c>
      <c r="Q851" t="str">
        <f>_xlfn.XLOOKUP(frasest[[#This Row],[author_es]],autorest[author_es],autorest[image])</f>
        <v>https://i.ibb.co/bjgxB3kn/euskadi.png</v>
      </c>
      <c r="R851">
        <f>_xlfn.XLOOKUP(frasest[[#This Row],[author_es]],autorest[author_es],autorest[image_atr])</f>
        <v>0</v>
      </c>
    </row>
    <row r="852" spans="1:18">
      <c r="A852">
        <v>851</v>
      </c>
      <c r="B852" t="s">
        <v>2827</v>
      </c>
      <c r="C852" t="s">
        <v>2828</v>
      </c>
      <c r="D852" t="s">
        <v>2829</v>
      </c>
      <c r="E852" t="s">
        <v>1236</v>
      </c>
      <c r="G852" t="str">
        <f>_xlfn.XLOOKUP(frasest[[#This Row],[author_es]],autorest[author_es],autorest[author_la])</f>
        <v>Sententia Vasconica</v>
      </c>
      <c r="H852" t="str">
        <f>_xlfn.XLOOKUP(frasest[[#This Row],[author_es]],autorest[author_es],autorest[bio_es])</f>
        <v>Proverbios de la tradición oral vasca que reflejan la relación con la naturaleza, el trabajo y los valores comunitarios del pueblo vasco.</v>
      </c>
      <c r="I852" t="str">
        <f>_xlfn.XLOOKUP(frasest[[#This Row],[author_es]],autorest[author_es],autorest[bio_la])</f>
        <v>Collectio sententiarum Vasconicarum.</v>
      </c>
      <c r="J852" t="str">
        <f>_xlfn.XLOOKUP(frasest[[#This Row],[author_es]],autorest[author_es],autorest[iso3691])</f>
        <v>eu</v>
      </c>
      <c r="K852" t="str">
        <f>_xlfn.XLOOKUP(frasest[[#This Row],[author_es]],autorest[author_es],autorest[language_es])</f>
        <v>Euskara</v>
      </c>
      <c r="L852" t="str">
        <f>_xlfn.XLOOKUP(frasest[[#This Row],[author_es]],autorest[author_es],autorest[language_la])</f>
        <v>Lingua Vasconica</v>
      </c>
      <c r="M852" t="str">
        <f>_xlfn.XLOOKUP(frasest[[#This Row],[author_es]],autorest[author_es],autorest[nation_es])</f>
        <v>España</v>
      </c>
      <c r="N852" t="str">
        <f>_xlfn.XLOOKUP(frasest[[#This Row],[author_es]],autorest[author_es],autorest[nation_la])</f>
        <v>Hispania</v>
      </c>
      <c r="O852" t="str">
        <f>_xlfn.XLOOKUP(frasest[[#This Row],[author_es]],autorest[author_es],autorest[age_es])</f>
        <v>Epoca Desconocida</v>
      </c>
      <c r="P852" t="str">
        <f>_xlfn.XLOOKUP(frasest[[#This Row],[author_es]],autorest[author_es],autorest[age_la])</f>
        <v>Epocha Ignota</v>
      </c>
      <c r="Q852" t="str">
        <f>_xlfn.XLOOKUP(frasest[[#This Row],[author_es]],autorest[author_es],autorest[image])</f>
        <v>https://i.ibb.co/bjgxB3kn/euskadi.png</v>
      </c>
      <c r="R852">
        <f>_xlfn.XLOOKUP(frasest[[#This Row],[author_es]],autorest[author_es],autorest[image_atr])</f>
        <v>0</v>
      </c>
    </row>
    <row r="853" spans="1:18">
      <c r="A853">
        <v>852</v>
      </c>
      <c r="B853" t="s">
        <v>2830</v>
      </c>
      <c r="C853" t="s">
        <v>2831</v>
      </c>
      <c r="D853" t="s">
        <v>2832</v>
      </c>
      <c r="E853" t="s">
        <v>1236</v>
      </c>
      <c r="G853" t="str">
        <f>_xlfn.XLOOKUP(frasest[[#This Row],[author_es]],autorest[author_es],autorest[author_la])</f>
        <v>Sententia Vasconica</v>
      </c>
      <c r="H853" t="str">
        <f>_xlfn.XLOOKUP(frasest[[#This Row],[author_es]],autorest[author_es],autorest[bio_es])</f>
        <v>Proverbios de la tradición oral vasca que reflejan la relación con la naturaleza, el trabajo y los valores comunitarios del pueblo vasco.</v>
      </c>
      <c r="I853" t="str">
        <f>_xlfn.XLOOKUP(frasest[[#This Row],[author_es]],autorest[author_es],autorest[bio_la])</f>
        <v>Collectio sententiarum Vasconicarum.</v>
      </c>
      <c r="J853" t="str">
        <f>_xlfn.XLOOKUP(frasest[[#This Row],[author_es]],autorest[author_es],autorest[iso3691])</f>
        <v>eu</v>
      </c>
      <c r="K853" t="str">
        <f>_xlfn.XLOOKUP(frasest[[#This Row],[author_es]],autorest[author_es],autorest[language_es])</f>
        <v>Euskara</v>
      </c>
      <c r="L853" t="str">
        <f>_xlfn.XLOOKUP(frasest[[#This Row],[author_es]],autorest[author_es],autorest[language_la])</f>
        <v>Lingua Vasconica</v>
      </c>
      <c r="M853" t="str">
        <f>_xlfn.XLOOKUP(frasest[[#This Row],[author_es]],autorest[author_es],autorest[nation_es])</f>
        <v>España</v>
      </c>
      <c r="N853" t="str">
        <f>_xlfn.XLOOKUP(frasest[[#This Row],[author_es]],autorest[author_es],autorest[nation_la])</f>
        <v>Hispania</v>
      </c>
      <c r="O853" t="str">
        <f>_xlfn.XLOOKUP(frasest[[#This Row],[author_es]],autorest[author_es],autorest[age_es])</f>
        <v>Epoca Desconocida</v>
      </c>
      <c r="P853" t="str">
        <f>_xlfn.XLOOKUP(frasest[[#This Row],[author_es]],autorest[author_es],autorest[age_la])</f>
        <v>Epocha Ignota</v>
      </c>
      <c r="Q853" t="str">
        <f>_xlfn.XLOOKUP(frasest[[#This Row],[author_es]],autorest[author_es],autorest[image])</f>
        <v>https://i.ibb.co/bjgxB3kn/euskadi.png</v>
      </c>
      <c r="R853">
        <f>_xlfn.XLOOKUP(frasest[[#This Row],[author_es]],autorest[author_es],autorest[image_atr])</f>
        <v>0</v>
      </c>
    </row>
    <row r="854" spans="1:18">
      <c r="A854">
        <v>853</v>
      </c>
      <c r="B854" t="s">
        <v>2833</v>
      </c>
      <c r="C854" t="s">
        <v>2834</v>
      </c>
      <c r="D854" t="s">
        <v>2835</v>
      </c>
      <c r="E854" t="s">
        <v>1236</v>
      </c>
      <c r="G854" t="str">
        <f>_xlfn.XLOOKUP(frasest[[#This Row],[author_es]],autorest[author_es],autorest[author_la])</f>
        <v>Sententia Vasconica</v>
      </c>
      <c r="H854" t="str">
        <f>_xlfn.XLOOKUP(frasest[[#This Row],[author_es]],autorest[author_es],autorest[bio_es])</f>
        <v>Proverbios de la tradición oral vasca que reflejan la relación con la naturaleza, el trabajo y los valores comunitarios del pueblo vasco.</v>
      </c>
      <c r="I854" t="str">
        <f>_xlfn.XLOOKUP(frasest[[#This Row],[author_es]],autorest[author_es],autorest[bio_la])</f>
        <v>Collectio sententiarum Vasconicarum.</v>
      </c>
      <c r="J854" t="str">
        <f>_xlfn.XLOOKUP(frasest[[#This Row],[author_es]],autorest[author_es],autorest[iso3691])</f>
        <v>eu</v>
      </c>
      <c r="K854" t="str">
        <f>_xlfn.XLOOKUP(frasest[[#This Row],[author_es]],autorest[author_es],autorest[language_es])</f>
        <v>Euskara</v>
      </c>
      <c r="L854" t="str">
        <f>_xlfn.XLOOKUP(frasest[[#This Row],[author_es]],autorest[author_es],autorest[language_la])</f>
        <v>Lingua Vasconica</v>
      </c>
      <c r="M854" t="str">
        <f>_xlfn.XLOOKUP(frasest[[#This Row],[author_es]],autorest[author_es],autorest[nation_es])</f>
        <v>España</v>
      </c>
      <c r="N854" t="str">
        <f>_xlfn.XLOOKUP(frasest[[#This Row],[author_es]],autorest[author_es],autorest[nation_la])</f>
        <v>Hispania</v>
      </c>
      <c r="O854" t="str">
        <f>_xlfn.XLOOKUP(frasest[[#This Row],[author_es]],autorest[author_es],autorest[age_es])</f>
        <v>Epoca Desconocida</v>
      </c>
      <c r="P854" t="str">
        <f>_xlfn.XLOOKUP(frasest[[#This Row],[author_es]],autorest[author_es],autorest[age_la])</f>
        <v>Epocha Ignota</v>
      </c>
      <c r="Q854" t="str">
        <f>_xlfn.XLOOKUP(frasest[[#This Row],[author_es]],autorest[author_es],autorest[image])</f>
        <v>https://i.ibb.co/bjgxB3kn/euskadi.png</v>
      </c>
      <c r="R854">
        <f>_xlfn.XLOOKUP(frasest[[#This Row],[author_es]],autorest[author_es],autorest[image_atr])</f>
        <v>0</v>
      </c>
    </row>
    <row r="855" spans="1:18">
      <c r="A855">
        <v>854</v>
      </c>
      <c r="B855" t="s">
        <v>2836</v>
      </c>
      <c r="C855" t="s">
        <v>2837</v>
      </c>
      <c r="D855" t="s">
        <v>2838</v>
      </c>
      <c r="E855" t="s">
        <v>1236</v>
      </c>
      <c r="G855" t="str">
        <f>_xlfn.XLOOKUP(frasest[[#This Row],[author_es]],autorest[author_es],autorest[author_la])</f>
        <v>Sententia Vasconica</v>
      </c>
      <c r="H855" t="str">
        <f>_xlfn.XLOOKUP(frasest[[#This Row],[author_es]],autorest[author_es],autorest[bio_es])</f>
        <v>Proverbios de la tradición oral vasca que reflejan la relación con la naturaleza, el trabajo y los valores comunitarios del pueblo vasco.</v>
      </c>
      <c r="I855" t="str">
        <f>_xlfn.XLOOKUP(frasest[[#This Row],[author_es]],autorest[author_es],autorest[bio_la])</f>
        <v>Collectio sententiarum Vasconicarum.</v>
      </c>
      <c r="J855" t="str">
        <f>_xlfn.XLOOKUP(frasest[[#This Row],[author_es]],autorest[author_es],autorest[iso3691])</f>
        <v>eu</v>
      </c>
      <c r="K855" t="str">
        <f>_xlfn.XLOOKUP(frasest[[#This Row],[author_es]],autorest[author_es],autorest[language_es])</f>
        <v>Euskara</v>
      </c>
      <c r="L855" t="str">
        <f>_xlfn.XLOOKUP(frasest[[#This Row],[author_es]],autorest[author_es],autorest[language_la])</f>
        <v>Lingua Vasconica</v>
      </c>
      <c r="M855" t="str">
        <f>_xlfn.XLOOKUP(frasest[[#This Row],[author_es]],autorest[author_es],autorest[nation_es])</f>
        <v>España</v>
      </c>
      <c r="N855" t="str">
        <f>_xlfn.XLOOKUP(frasest[[#This Row],[author_es]],autorest[author_es],autorest[nation_la])</f>
        <v>Hispania</v>
      </c>
      <c r="O855" t="str">
        <f>_xlfn.XLOOKUP(frasest[[#This Row],[author_es]],autorest[author_es],autorest[age_es])</f>
        <v>Epoca Desconocida</v>
      </c>
      <c r="P855" t="str">
        <f>_xlfn.XLOOKUP(frasest[[#This Row],[author_es]],autorest[author_es],autorest[age_la])</f>
        <v>Epocha Ignota</v>
      </c>
      <c r="Q855" t="str">
        <f>_xlfn.XLOOKUP(frasest[[#This Row],[author_es]],autorest[author_es],autorest[image])</f>
        <v>https://i.ibb.co/bjgxB3kn/euskadi.png</v>
      </c>
      <c r="R855">
        <f>_xlfn.XLOOKUP(frasest[[#This Row],[author_es]],autorest[author_es],autorest[image_atr])</f>
        <v>0</v>
      </c>
    </row>
    <row r="856" spans="1:18">
      <c r="A856">
        <v>855</v>
      </c>
      <c r="B856" t="s">
        <v>2839</v>
      </c>
      <c r="C856" t="s">
        <v>2840</v>
      </c>
      <c r="D856" t="s">
        <v>2841</v>
      </c>
      <c r="E856" t="s">
        <v>1236</v>
      </c>
      <c r="G856" t="str">
        <f>_xlfn.XLOOKUP(frasest[[#This Row],[author_es]],autorest[author_es],autorest[author_la])</f>
        <v>Sententia Vasconica</v>
      </c>
      <c r="H856" t="str">
        <f>_xlfn.XLOOKUP(frasest[[#This Row],[author_es]],autorest[author_es],autorest[bio_es])</f>
        <v>Proverbios de la tradición oral vasca que reflejan la relación con la naturaleza, el trabajo y los valores comunitarios del pueblo vasco.</v>
      </c>
      <c r="I856" t="str">
        <f>_xlfn.XLOOKUP(frasest[[#This Row],[author_es]],autorest[author_es],autorest[bio_la])</f>
        <v>Collectio sententiarum Vasconicarum.</v>
      </c>
      <c r="J856" t="str">
        <f>_xlfn.XLOOKUP(frasest[[#This Row],[author_es]],autorest[author_es],autorest[iso3691])</f>
        <v>eu</v>
      </c>
      <c r="K856" t="str">
        <f>_xlfn.XLOOKUP(frasest[[#This Row],[author_es]],autorest[author_es],autorest[language_es])</f>
        <v>Euskara</v>
      </c>
      <c r="L856" t="str">
        <f>_xlfn.XLOOKUP(frasest[[#This Row],[author_es]],autorest[author_es],autorest[language_la])</f>
        <v>Lingua Vasconica</v>
      </c>
      <c r="M856" t="str">
        <f>_xlfn.XLOOKUP(frasest[[#This Row],[author_es]],autorest[author_es],autorest[nation_es])</f>
        <v>España</v>
      </c>
      <c r="N856" t="str">
        <f>_xlfn.XLOOKUP(frasest[[#This Row],[author_es]],autorest[author_es],autorest[nation_la])</f>
        <v>Hispania</v>
      </c>
      <c r="O856" t="str">
        <f>_xlfn.XLOOKUP(frasest[[#This Row],[author_es]],autorest[author_es],autorest[age_es])</f>
        <v>Epoca Desconocida</v>
      </c>
      <c r="P856" t="str">
        <f>_xlfn.XLOOKUP(frasest[[#This Row],[author_es]],autorest[author_es],autorest[age_la])</f>
        <v>Epocha Ignota</v>
      </c>
      <c r="Q856" t="str">
        <f>_xlfn.XLOOKUP(frasest[[#This Row],[author_es]],autorest[author_es],autorest[image])</f>
        <v>https://i.ibb.co/bjgxB3kn/euskadi.png</v>
      </c>
      <c r="R856">
        <f>_xlfn.XLOOKUP(frasest[[#This Row],[author_es]],autorest[author_es],autorest[image_atr])</f>
        <v>0</v>
      </c>
    </row>
    <row r="857" spans="1:18">
      <c r="A857">
        <v>856</v>
      </c>
      <c r="B857" t="s">
        <v>2842</v>
      </c>
      <c r="C857" t="s">
        <v>2843</v>
      </c>
      <c r="D857" t="s">
        <v>2844</v>
      </c>
      <c r="E857" t="s">
        <v>1236</v>
      </c>
      <c r="G857" t="str">
        <f>_xlfn.XLOOKUP(frasest[[#This Row],[author_es]],autorest[author_es],autorest[author_la])</f>
        <v>Sententia Vasconica</v>
      </c>
      <c r="H857" t="str">
        <f>_xlfn.XLOOKUP(frasest[[#This Row],[author_es]],autorest[author_es],autorest[bio_es])</f>
        <v>Proverbios de la tradición oral vasca que reflejan la relación con la naturaleza, el trabajo y los valores comunitarios del pueblo vasco.</v>
      </c>
      <c r="I857" t="str">
        <f>_xlfn.XLOOKUP(frasest[[#This Row],[author_es]],autorest[author_es],autorest[bio_la])</f>
        <v>Collectio sententiarum Vasconicarum.</v>
      </c>
      <c r="J857" t="str">
        <f>_xlfn.XLOOKUP(frasest[[#This Row],[author_es]],autorest[author_es],autorest[iso3691])</f>
        <v>eu</v>
      </c>
      <c r="K857" t="str">
        <f>_xlfn.XLOOKUP(frasest[[#This Row],[author_es]],autorest[author_es],autorest[language_es])</f>
        <v>Euskara</v>
      </c>
      <c r="L857" t="str">
        <f>_xlfn.XLOOKUP(frasest[[#This Row],[author_es]],autorest[author_es],autorest[language_la])</f>
        <v>Lingua Vasconica</v>
      </c>
      <c r="M857" t="str">
        <f>_xlfn.XLOOKUP(frasest[[#This Row],[author_es]],autorest[author_es],autorest[nation_es])</f>
        <v>España</v>
      </c>
      <c r="N857" t="str">
        <f>_xlfn.XLOOKUP(frasest[[#This Row],[author_es]],autorest[author_es],autorest[nation_la])</f>
        <v>Hispania</v>
      </c>
      <c r="O857" t="str">
        <f>_xlfn.XLOOKUP(frasest[[#This Row],[author_es]],autorest[author_es],autorest[age_es])</f>
        <v>Epoca Desconocida</v>
      </c>
      <c r="P857" t="str">
        <f>_xlfn.XLOOKUP(frasest[[#This Row],[author_es]],autorest[author_es],autorest[age_la])</f>
        <v>Epocha Ignota</v>
      </c>
      <c r="Q857" t="str">
        <f>_xlfn.XLOOKUP(frasest[[#This Row],[author_es]],autorest[author_es],autorest[image])</f>
        <v>https://i.ibb.co/bjgxB3kn/euskadi.png</v>
      </c>
      <c r="R857">
        <f>_xlfn.XLOOKUP(frasest[[#This Row],[author_es]],autorest[author_es],autorest[image_atr])</f>
        <v>0</v>
      </c>
    </row>
    <row r="858" spans="1:18">
      <c r="A858">
        <v>857</v>
      </c>
      <c r="B858" t="s">
        <v>2845</v>
      </c>
      <c r="C858" t="s">
        <v>2846</v>
      </c>
      <c r="D858" t="s">
        <v>2847</v>
      </c>
      <c r="E858" t="s">
        <v>1236</v>
      </c>
      <c r="G858" t="str">
        <f>_xlfn.XLOOKUP(frasest[[#This Row],[author_es]],autorest[author_es],autorest[author_la])</f>
        <v>Sententia Vasconica</v>
      </c>
      <c r="H858" t="str">
        <f>_xlfn.XLOOKUP(frasest[[#This Row],[author_es]],autorest[author_es],autorest[bio_es])</f>
        <v>Proverbios de la tradición oral vasca que reflejan la relación con la naturaleza, el trabajo y los valores comunitarios del pueblo vasco.</v>
      </c>
      <c r="I858" t="str">
        <f>_xlfn.XLOOKUP(frasest[[#This Row],[author_es]],autorest[author_es],autorest[bio_la])</f>
        <v>Collectio sententiarum Vasconicarum.</v>
      </c>
      <c r="J858" t="str">
        <f>_xlfn.XLOOKUP(frasest[[#This Row],[author_es]],autorest[author_es],autorest[iso3691])</f>
        <v>eu</v>
      </c>
      <c r="K858" t="str">
        <f>_xlfn.XLOOKUP(frasest[[#This Row],[author_es]],autorest[author_es],autorest[language_es])</f>
        <v>Euskara</v>
      </c>
      <c r="L858" t="str">
        <f>_xlfn.XLOOKUP(frasest[[#This Row],[author_es]],autorest[author_es],autorest[language_la])</f>
        <v>Lingua Vasconica</v>
      </c>
      <c r="M858" t="str">
        <f>_xlfn.XLOOKUP(frasest[[#This Row],[author_es]],autorest[author_es],autorest[nation_es])</f>
        <v>España</v>
      </c>
      <c r="N858" t="str">
        <f>_xlfn.XLOOKUP(frasest[[#This Row],[author_es]],autorest[author_es],autorest[nation_la])</f>
        <v>Hispania</v>
      </c>
      <c r="O858" t="str">
        <f>_xlfn.XLOOKUP(frasest[[#This Row],[author_es]],autorest[author_es],autorest[age_es])</f>
        <v>Epoca Desconocida</v>
      </c>
      <c r="P858" t="str">
        <f>_xlfn.XLOOKUP(frasest[[#This Row],[author_es]],autorest[author_es],autorest[age_la])</f>
        <v>Epocha Ignota</v>
      </c>
      <c r="Q858" t="str">
        <f>_xlfn.XLOOKUP(frasest[[#This Row],[author_es]],autorest[author_es],autorest[image])</f>
        <v>https://i.ibb.co/bjgxB3kn/euskadi.png</v>
      </c>
      <c r="R858">
        <f>_xlfn.XLOOKUP(frasest[[#This Row],[author_es]],autorest[author_es],autorest[image_atr])</f>
        <v>0</v>
      </c>
    </row>
    <row r="859" spans="1:18">
      <c r="A859">
        <v>858</v>
      </c>
      <c r="B859" t="s">
        <v>2848</v>
      </c>
      <c r="C859" t="s">
        <v>2849</v>
      </c>
      <c r="D859" t="s">
        <v>2850</v>
      </c>
      <c r="E859" t="s">
        <v>1236</v>
      </c>
      <c r="G859" t="str">
        <f>_xlfn.XLOOKUP(frasest[[#This Row],[author_es]],autorest[author_es],autorest[author_la])</f>
        <v>Sententia Vasconica</v>
      </c>
      <c r="H859" t="str">
        <f>_xlfn.XLOOKUP(frasest[[#This Row],[author_es]],autorest[author_es],autorest[bio_es])</f>
        <v>Proverbios de la tradición oral vasca que reflejan la relación con la naturaleza, el trabajo y los valores comunitarios del pueblo vasco.</v>
      </c>
      <c r="I859" t="str">
        <f>_xlfn.XLOOKUP(frasest[[#This Row],[author_es]],autorest[author_es],autorest[bio_la])</f>
        <v>Collectio sententiarum Vasconicarum.</v>
      </c>
      <c r="J859" t="str">
        <f>_xlfn.XLOOKUP(frasest[[#This Row],[author_es]],autorest[author_es],autorest[iso3691])</f>
        <v>eu</v>
      </c>
      <c r="K859" t="str">
        <f>_xlfn.XLOOKUP(frasest[[#This Row],[author_es]],autorest[author_es],autorest[language_es])</f>
        <v>Euskara</v>
      </c>
      <c r="L859" t="str">
        <f>_xlfn.XLOOKUP(frasest[[#This Row],[author_es]],autorest[author_es],autorest[language_la])</f>
        <v>Lingua Vasconica</v>
      </c>
      <c r="M859" t="str">
        <f>_xlfn.XLOOKUP(frasest[[#This Row],[author_es]],autorest[author_es],autorest[nation_es])</f>
        <v>España</v>
      </c>
      <c r="N859" t="str">
        <f>_xlfn.XLOOKUP(frasest[[#This Row],[author_es]],autorest[author_es],autorest[nation_la])</f>
        <v>Hispania</v>
      </c>
      <c r="O859" t="str">
        <f>_xlfn.XLOOKUP(frasest[[#This Row],[author_es]],autorest[author_es],autorest[age_es])</f>
        <v>Epoca Desconocida</v>
      </c>
      <c r="P859" t="str">
        <f>_xlfn.XLOOKUP(frasest[[#This Row],[author_es]],autorest[author_es],autorest[age_la])</f>
        <v>Epocha Ignota</v>
      </c>
      <c r="Q859" t="str">
        <f>_xlfn.XLOOKUP(frasest[[#This Row],[author_es]],autorest[author_es],autorest[image])</f>
        <v>https://i.ibb.co/bjgxB3kn/euskadi.png</v>
      </c>
      <c r="R859">
        <f>_xlfn.XLOOKUP(frasest[[#This Row],[author_es]],autorest[author_es],autorest[image_atr])</f>
        <v>0</v>
      </c>
    </row>
    <row r="860" spans="1:18">
      <c r="A860">
        <v>859</v>
      </c>
      <c r="B860" t="s">
        <v>2851</v>
      </c>
      <c r="C860" t="s">
        <v>2852</v>
      </c>
      <c r="D860" t="s">
        <v>2853</v>
      </c>
      <c r="E860" t="s">
        <v>1236</v>
      </c>
      <c r="G860" t="str">
        <f>_xlfn.XLOOKUP(frasest[[#This Row],[author_es]],autorest[author_es],autorest[author_la])</f>
        <v>Sententia Vasconica</v>
      </c>
      <c r="H860" t="str">
        <f>_xlfn.XLOOKUP(frasest[[#This Row],[author_es]],autorest[author_es],autorest[bio_es])</f>
        <v>Proverbios de la tradición oral vasca que reflejan la relación con la naturaleza, el trabajo y los valores comunitarios del pueblo vasco.</v>
      </c>
      <c r="I860" t="str">
        <f>_xlfn.XLOOKUP(frasest[[#This Row],[author_es]],autorest[author_es],autorest[bio_la])</f>
        <v>Collectio sententiarum Vasconicarum.</v>
      </c>
      <c r="J860" t="str">
        <f>_xlfn.XLOOKUP(frasest[[#This Row],[author_es]],autorest[author_es],autorest[iso3691])</f>
        <v>eu</v>
      </c>
      <c r="K860" t="str">
        <f>_xlfn.XLOOKUP(frasest[[#This Row],[author_es]],autorest[author_es],autorest[language_es])</f>
        <v>Euskara</v>
      </c>
      <c r="L860" t="str">
        <f>_xlfn.XLOOKUP(frasest[[#This Row],[author_es]],autorest[author_es],autorest[language_la])</f>
        <v>Lingua Vasconica</v>
      </c>
      <c r="M860" t="str">
        <f>_xlfn.XLOOKUP(frasest[[#This Row],[author_es]],autorest[author_es],autorest[nation_es])</f>
        <v>España</v>
      </c>
      <c r="N860" t="str">
        <f>_xlfn.XLOOKUP(frasest[[#This Row],[author_es]],autorest[author_es],autorest[nation_la])</f>
        <v>Hispania</v>
      </c>
      <c r="O860" t="str">
        <f>_xlfn.XLOOKUP(frasest[[#This Row],[author_es]],autorest[author_es],autorest[age_es])</f>
        <v>Epoca Desconocida</v>
      </c>
      <c r="P860" t="str">
        <f>_xlfn.XLOOKUP(frasest[[#This Row],[author_es]],autorest[author_es],autorest[age_la])</f>
        <v>Epocha Ignota</v>
      </c>
      <c r="Q860" t="str">
        <f>_xlfn.XLOOKUP(frasest[[#This Row],[author_es]],autorest[author_es],autorest[image])</f>
        <v>https://i.ibb.co/bjgxB3kn/euskadi.png</v>
      </c>
      <c r="R860">
        <f>_xlfn.XLOOKUP(frasest[[#This Row],[author_es]],autorest[author_es],autorest[image_atr])</f>
        <v>0</v>
      </c>
    </row>
    <row r="861" spans="1:18">
      <c r="A861">
        <v>860</v>
      </c>
      <c r="B861" t="s">
        <v>2854</v>
      </c>
      <c r="C861" t="s">
        <v>2855</v>
      </c>
      <c r="D861" t="s">
        <v>2856</v>
      </c>
      <c r="E861" t="s">
        <v>1236</v>
      </c>
      <c r="G861" t="str">
        <f>_xlfn.XLOOKUP(frasest[[#This Row],[author_es]],autorest[author_es],autorest[author_la])</f>
        <v>Sententia Vasconica</v>
      </c>
      <c r="H861" t="str">
        <f>_xlfn.XLOOKUP(frasest[[#This Row],[author_es]],autorest[author_es],autorest[bio_es])</f>
        <v>Proverbios de la tradición oral vasca que reflejan la relación con la naturaleza, el trabajo y los valores comunitarios del pueblo vasco.</v>
      </c>
      <c r="I861" t="str">
        <f>_xlfn.XLOOKUP(frasest[[#This Row],[author_es]],autorest[author_es],autorest[bio_la])</f>
        <v>Collectio sententiarum Vasconicarum.</v>
      </c>
      <c r="J861" t="str">
        <f>_xlfn.XLOOKUP(frasest[[#This Row],[author_es]],autorest[author_es],autorest[iso3691])</f>
        <v>eu</v>
      </c>
      <c r="K861" t="str">
        <f>_xlfn.XLOOKUP(frasest[[#This Row],[author_es]],autorest[author_es],autorest[language_es])</f>
        <v>Euskara</v>
      </c>
      <c r="L861" t="str">
        <f>_xlfn.XLOOKUP(frasest[[#This Row],[author_es]],autorest[author_es],autorest[language_la])</f>
        <v>Lingua Vasconica</v>
      </c>
      <c r="M861" t="str">
        <f>_xlfn.XLOOKUP(frasest[[#This Row],[author_es]],autorest[author_es],autorest[nation_es])</f>
        <v>España</v>
      </c>
      <c r="N861" t="str">
        <f>_xlfn.XLOOKUP(frasest[[#This Row],[author_es]],autorest[author_es],autorest[nation_la])</f>
        <v>Hispania</v>
      </c>
      <c r="O861" t="str">
        <f>_xlfn.XLOOKUP(frasest[[#This Row],[author_es]],autorest[author_es],autorest[age_es])</f>
        <v>Epoca Desconocida</v>
      </c>
      <c r="P861" t="str">
        <f>_xlfn.XLOOKUP(frasest[[#This Row],[author_es]],autorest[author_es],autorest[age_la])</f>
        <v>Epocha Ignota</v>
      </c>
      <c r="Q861" t="str">
        <f>_xlfn.XLOOKUP(frasest[[#This Row],[author_es]],autorest[author_es],autorest[image])</f>
        <v>https://i.ibb.co/bjgxB3kn/euskadi.png</v>
      </c>
      <c r="R861">
        <f>_xlfn.XLOOKUP(frasest[[#This Row],[author_es]],autorest[author_es],autorest[image_atr])</f>
        <v>0</v>
      </c>
    </row>
    <row r="862" spans="1:18">
      <c r="A862">
        <v>861</v>
      </c>
      <c r="B862" t="s">
        <v>2857</v>
      </c>
      <c r="C862" t="s">
        <v>2858</v>
      </c>
      <c r="D862" t="s">
        <v>2859</v>
      </c>
      <c r="E862" t="s">
        <v>1236</v>
      </c>
      <c r="G862" t="str">
        <f>_xlfn.XLOOKUP(frasest[[#This Row],[author_es]],autorest[author_es],autorest[author_la])</f>
        <v>Sententia Vasconica</v>
      </c>
      <c r="H862" t="str">
        <f>_xlfn.XLOOKUP(frasest[[#This Row],[author_es]],autorest[author_es],autorest[bio_es])</f>
        <v>Proverbios de la tradición oral vasca que reflejan la relación con la naturaleza, el trabajo y los valores comunitarios del pueblo vasco.</v>
      </c>
      <c r="I862" t="str">
        <f>_xlfn.XLOOKUP(frasest[[#This Row],[author_es]],autorest[author_es],autorest[bio_la])</f>
        <v>Collectio sententiarum Vasconicarum.</v>
      </c>
      <c r="J862" t="str">
        <f>_xlfn.XLOOKUP(frasest[[#This Row],[author_es]],autorest[author_es],autorest[iso3691])</f>
        <v>eu</v>
      </c>
      <c r="K862" t="str">
        <f>_xlfn.XLOOKUP(frasest[[#This Row],[author_es]],autorest[author_es],autorest[language_es])</f>
        <v>Euskara</v>
      </c>
      <c r="L862" t="str">
        <f>_xlfn.XLOOKUP(frasest[[#This Row],[author_es]],autorest[author_es],autorest[language_la])</f>
        <v>Lingua Vasconica</v>
      </c>
      <c r="M862" t="str">
        <f>_xlfn.XLOOKUP(frasest[[#This Row],[author_es]],autorest[author_es],autorest[nation_es])</f>
        <v>España</v>
      </c>
      <c r="N862" t="str">
        <f>_xlfn.XLOOKUP(frasest[[#This Row],[author_es]],autorest[author_es],autorest[nation_la])</f>
        <v>Hispania</v>
      </c>
      <c r="O862" t="str">
        <f>_xlfn.XLOOKUP(frasest[[#This Row],[author_es]],autorest[author_es],autorest[age_es])</f>
        <v>Epoca Desconocida</v>
      </c>
      <c r="P862" t="str">
        <f>_xlfn.XLOOKUP(frasest[[#This Row],[author_es]],autorest[author_es],autorest[age_la])</f>
        <v>Epocha Ignota</v>
      </c>
      <c r="Q862" t="str">
        <f>_xlfn.XLOOKUP(frasest[[#This Row],[author_es]],autorest[author_es],autorest[image])</f>
        <v>https://i.ibb.co/bjgxB3kn/euskadi.png</v>
      </c>
      <c r="R862">
        <f>_xlfn.XLOOKUP(frasest[[#This Row],[author_es]],autorest[author_es],autorest[image_atr])</f>
        <v>0</v>
      </c>
    </row>
    <row r="863" spans="1:18">
      <c r="A863">
        <v>862</v>
      </c>
      <c r="B863" t="s">
        <v>2860</v>
      </c>
      <c r="C863" t="s">
        <v>2861</v>
      </c>
      <c r="D863" t="s">
        <v>2862</v>
      </c>
      <c r="E863" t="s">
        <v>1236</v>
      </c>
      <c r="G863" t="str">
        <f>_xlfn.XLOOKUP(frasest[[#This Row],[author_es]],autorest[author_es],autorest[author_la])</f>
        <v>Sententia Vasconica</v>
      </c>
      <c r="H863" t="str">
        <f>_xlfn.XLOOKUP(frasest[[#This Row],[author_es]],autorest[author_es],autorest[bio_es])</f>
        <v>Proverbios de la tradición oral vasca que reflejan la relación con la naturaleza, el trabajo y los valores comunitarios del pueblo vasco.</v>
      </c>
      <c r="I863" t="str">
        <f>_xlfn.XLOOKUP(frasest[[#This Row],[author_es]],autorest[author_es],autorest[bio_la])</f>
        <v>Collectio sententiarum Vasconicarum.</v>
      </c>
      <c r="J863" t="str">
        <f>_xlfn.XLOOKUP(frasest[[#This Row],[author_es]],autorest[author_es],autorest[iso3691])</f>
        <v>eu</v>
      </c>
      <c r="K863" t="str">
        <f>_xlfn.XLOOKUP(frasest[[#This Row],[author_es]],autorest[author_es],autorest[language_es])</f>
        <v>Euskara</v>
      </c>
      <c r="L863" t="str">
        <f>_xlfn.XLOOKUP(frasest[[#This Row],[author_es]],autorest[author_es],autorest[language_la])</f>
        <v>Lingua Vasconica</v>
      </c>
      <c r="M863" t="str">
        <f>_xlfn.XLOOKUP(frasest[[#This Row],[author_es]],autorest[author_es],autorest[nation_es])</f>
        <v>España</v>
      </c>
      <c r="N863" t="str">
        <f>_xlfn.XLOOKUP(frasest[[#This Row],[author_es]],autorest[author_es],autorest[nation_la])</f>
        <v>Hispania</v>
      </c>
      <c r="O863" t="str">
        <f>_xlfn.XLOOKUP(frasest[[#This Row],[author_es]],autorest[author_es],autorest[age_es])</f>
        <v>Epoca Desconocida</v>
      </c>
      <c r="P863" t="str">
        <f>_xlfn.XLOOKUP(frasest[[#This Row],[author_es]],autorest[author_es],autorest[age_la])</f>
        <v>Epocha Ignota</v>
      </c>
      <c r="Q863" t="str">
        <f>_xlfn.XLOOKUP(frasest[[#This Row],[author_es]],autorest[author_es],autorest[image])</f>
        <v>https://i.ibb.co/bjgxB3kn/euskadi.png</v>
      </c>
      <c r="R863">
        <f>_xlfn.XLOOKUP(frasest[[#This Row],[author_es]],autorest[author_es],autorest[image_atr])</f>
        <v>0</v>
      </c>
    </row>
    <row r="864" spans="1:18">
      <c r="A864">
        <v>863</v>
      </c>
      <c r="B864" t="s">
        <v>2863</v>
      </c>
      <c r="C864" t="s">
        <v>2864</v>
      </c>
      <c r="D864" t="s">
        <v>2865</v>
      </c>
      <c r="E864" t="s">
        <v>1236</v>
      </c>
      <c r="G864" t="str">
        <f>_xlfn.XLOOKUP(frasest[[#This Row],[author_es]],autorest[author_es],autorest[author_la])</f>
        <v>Sententia Vasconica</v>
      </c>
      <c r="H864" t="str">
        <f>_xlfn.XLOOKUP(frasest[[#This Row],[author_es]],autorest[author_es],autorest[bio_es])</f>
        <v>Proverbios de la tradición oral vasca que reflejan la relación con la naturaleza, el trabajo y los valores comunitarios del pueblo vasco.</v>
      </c>
      <c r="I864" t="str">
        <f>_xlfn.XLOOKUP(frasest[[#This Row],[author_es]],autorest[author_es],autorest[bio_la])</f>
        <v>Collectio sententiarum Vasconicarum.</v>
      </c>
      <c r="J864" t="str">
        <f>_xlfn.XLOOKUP(frasest[[#This Row],[author_es]],autorest[author_es],autorest[iso3691])</f>
        <v>eu</v>
      </c>
      <c r="K864" t="str">
        <f>_xlfn.XLOOKUP(frasest[[#This Row],[author_es]],autorest[author_es],autorest[language_es])</f>
        <v>Euskara</v>
      </c>
      <c r="L864" t="str">
        <f>_xlfn.XLOOKUP(frasest[[#This Row],[author_es]],autorest[author_es],autorest[language_la])</f>
        <v>Lingua Vasconica</v>
      </c>
      <c r="M864" t="str">
        <f>_xlfn.XLOOKUP(frasest[[#This Row],[author_es]],autorest[author_es],autorest[nation_es])</f>
        <v>España</v>
      </c>
      <c r="N864" t="str">
        <f>_xlfn.XLOOKUP(frasest[[#This Row],[author_es]],autorest[author_es],autorest[nation_la])</f>
        <v>Hispania</v>
      </c>
      <c r="O864" t="str">
        <f>_xlfn.XLOOKUP(frasest[[#This Row],[author_es]],autorest[author_es],autorest[age_es])</f>
        <v>Epoca Desconocida</v>
      </c>
      <c r="P864" t="str">
        <f>_xlfn.XLOOKUP(frasest[[#This Row],[author_es]],autorest[author_es],autorest[age_la])</f>
        <v>Epocha Ignota</v>
      </c>
      <c r="Q864" t="str">
        <f>_xlfn.XLOOKUP(frasest[[#This Row],[author_es]],autorest[author_es],autorest[image])</f>
        <v>https://i.ibb.co/bjgxB3kn/euskadi.png</v>
      </c>
      <c r="R864">
        <f>_xlfn.XLOOKUP(frasest[[#This Row],[author_es]],autorest[author_es],autorest[image_atr])</f>
        <v>0</v>
      </c>
    </row>
    <row r="865" spans="1:18">
      <c r="A865">
        <v>864</v>
      </c>
      <c r="B865" t="s">
        <v>2866</v>
      </c>
      <c r="C865" t="s">
        <v>2867</v>
      </c>
      <c r="D865" t="s">
        <v>2868</v>
      </c>
      <c r="E865" t="s">
        <v>1236</v>
      </c>
      <c r="G865" t="str">
        <f>_xlfn.XLOOKUP(frasest[[#This Row],[author_es]],autorest[author_es],autorest[author_la])</f>
        <v>Sententia Vasconica</v>
      </c>
      <c r="H865" t="str">
        <f>_xlfn.XLOOKUP(frasest[[#This Row],[author_es]],autorest[author_es],autorest[bio_es])</f>
        <v>Proverbios de la tradición oral vasca que reflejan la relación con la naturaleza, el trabajo y los valores comunitarios del pueblo vasco.</v>
      </c>
      <c r="I865" t="str">
        <f>_xlfn.XLOOKUP(frasest[[#This Row],[author_es]],autorest[author_es],autorest[bio_la])</f>
        <v>Collectio sententiarum Vasconicarum.</v>
      </c>
      <c r="J865" t="str">
        <f>_xlfn.XLOOKUP(frasest[[#This Row],[author_es]],autorest[author_es],autorest[iso3691])</f>
        <v>eu</v>
      </c>
      <c r="K865" t="str">
        <f>_xlfn.XLOOKUP(frasest[[#This Row],[author_es]],autorest[author_es],autorest[language_es])</f>
        <v>Euskara</v>
      </c>
      <c r="L865" t="str">
        <f>_xlfn.XLOOKUP(frasest[[#This Row],[author_es]],autorest[author_es],autorest[language_la])</f>
        <v>Lingua Vasconica</v>
      </c>
      <c r="M865" t="str">
        <f>_xlfn.XLOOKUP(frasest[[#This Row],[author_es]],autorest[author_es],autorest[nation_es])</f>
        <v>España</v>
      </c>
      <c r="N865" t="str">
        <f>_xlfn.XLOOKUP(frasest[[#This Row],[author_es]],autorest[author_es],autorest[nation_la])</f>
        <v>Hispania</v>
      </c>
      <c r="O865" t="str">
        <f>_xlfn.XLOOKUP(frasest[[#This Row],[author_es]],autorest[author_es],autorest[age_es])</f>
        <v>Epoca Desconocida</v>
      </c>
      <c r="P865" t="str">
        <f>_xlfn.XLOOKUP(frasest[[#This Row],[author_es]],autorest[author_es],autorest[age_la])</f>
        <v>Epocha Ignota</v>
      </c>
      <c r="Q865" t="str">
        <f>_xlfn.XLOOKUP(frasest[[#This Row],[author_es]],autorest[author_es],autorest[image])</f>
        <v>https://i.ibb.co/bjgxB3kn/euskadi.png</v>
      </c>
      <c r="R865">
        <f>_xlfn.XLOOKUP(frasest[[#This Row],[author_es]],autorest[author_es],autorest[image_atr])</f>
        <v>0</v>
      </c>
    </row>
    <row r="866" spans="1:18">
      <c r="A866">
        <v>865</v>
      </c>
      <c r="B866" t="s">
        <v>2869</v>
      </c>
      <c r="C866" t="s">
        <v>2870</v>
      </c>
      <c r="D866" t="s">
        <v>2871</v>
      </c>
      <c r="E866" t="s">
        <v>1236</v>
      </c>
      <c r="G866" t="str">
        <f>_xlfn.XLOOKUP(frasest[[#This Row],[author_es]],autorest[author_es],autorest[author_la])</f>
        <v>Sententia Vasconica</v>
      </c>
      <c r="H866" t="str">
        <f>_xlfn.XLOOKUP(frasest[[#This Row],[author_es]],autorest[author_es],autorest[bio_es])</f>
        <v>Proverbios de la tradición oral vasca que reflejan la relación con la naturaleza, el trabajo y los valores comunitarios del pueblo vasco.</v>
      </c>
      <c r="I866" t="str">
        <f>_xlfn.XLOOKUP(frasest[[#This Row],[author_es]],autorest[author_es],autorest[bio_la])</f>
        <v>Collectio sententiarum Vasconicarum.</v>
      </c>
      <c r="J866" t="str">
        <f>_xlfn.XLOOKUP(frasest[[#This Row],[author_es]],autorest[author_es],autorest[iso3691])</f>
        <v>eu</v>
      </c>
      <c r="K866" t="str">
        <f>_xlfn.XLOOKUP(frasest[[#This Row],[author_es]],autorest[author_es],autorest[language_es])</f>
        <v>Euskara</v>
      </c>
      <c r="L866" t="str">
        <f>_xlfn.XLOOKUP(frasest[[#This Row],[author_es]],autorest[author_es],autorest[language_la])</f>
        <v>Lingua Vasconica</v>
      </c>
      <c r="M866" t="str">
        <f>_xlfn.XLOOKUP(frasest[[#This Row],[author_es]],autorest[author_es],autorest[nation_es])</f>
        <v>España</v>
      </c>
      <c r="N866" t="str">
        <f>_xlfn.XLOOKUP(frasest[[#This Row],[author_es]],autorest[author_es],autorest[nation_la])</f>
        <v>Hispania</v>
      </c>
      <c r="O866" t="str">
        <f>_xlfn.XLOOKUP(frasest[[#This Row],[author_es]],autorest[author_es],autorest[age_es])</f>
        <v>Epoca Desconocida</v>
      </c>
      <c r="P866" t="str">
        <f>_xlfn.XLOOKUP(frasest[[#This Row],[author_es]],autorest[author_es],autorest[age_la])</f>
        <v>Epocha Ignota</v>
      </c>
      <c r="Q866" t="str">
        <f>_xlfn.XLOOKUP(frasest[[#This Row],[author_es]],autorest[author_es],autorest[image])</f>
        <v>https://i.ibb.co/bjgxB3kn/euskadi.png</v>
      </c>
      <c r="R866">
        <f>_xlfn.XLOOKUP(frasest[[#This Row],[author_es]],autorest[author_es],autorest[image_atr])</f>
        <v>0</v>
      </c>
    </row>
    <row r="867" spans="1:18">
      <c r="A867">
        <v>866</v>
      </c>
      <c r="B867" t="s">
        <v>2872</v>
      </c>
      <c r="C867" t="s">
        <v>2873</v>
      </c>
      <c r="D867" t="s">
        <v>2874</v>
      </c>
      <c r="E867" t="s">
        <v>1236</v>
      </c>
      <c r="G867" t="str">
        <f>_xlfn.XLOOKUP(frasest[[#This Row],[author_es]],autorest[author_es],autorest[author_la])</f>
        <v>Sententia Vasconica</v>
      </c>
      <c r="H867" t="str">
        <f>_xlfn.XLOOKUP(frasest[[#This Row],[author_es]],autorest[author_es],autorest[bio_es])</f>
        <v>Proverbios de la tradición oral vasca que reflejan la relación con la naturaleza, el trabajo y los valores comunitarios del pueblo vasco.</v>
      </c>
      <c r="I867" t="str">
        <f>_xlfn.XLOOKUP(frasest[[#This Row],[author_es]],autorest[author_es],autorest[bio_la])</f>
        <v>Collectio sententiarum Vasconicarum.</v>
      </c>
      <c r="J867" t="str">
        <f>_xlfn.XLOOKUP(frasest[[#This Row],[author_es]],autorest[author_es],autorest[iso3691])</f>
        <v>eu</v>
      </c>
      <c r="K867" t="str">
        <f>_xlfn.XLOOKUP(frasest[[#This Row],[author_es]],autorest[author_es],autorest[language_es])</f>
        <v>Euskara</v>
      </c>
      <c r="L867" t="str">
        <f>_xlfn.XLOOKUP(frasest[[#This Row],[author_es]],autorest[author_es],autorest[language_la])</f>
        <v>Lingua Vasconica</v>
      </c>
      <c r="M867" t="str">
        <f>_xlfn.XLOOKUP(frasest[[#This Row],[author_es]],autorest[author_es],autorest[nation_es])</f>
        <v>España</v>
      </c>
      <c r="N867" t="str">
        <f>_xlfn.XLOOKUP(frasest[[#This Row],[author_es]],autorest[author_es],autorest[nation_la])</f>
        <v>Hispania</v>
      </c>
      <c r="O867" t="str">
        <f>_xlfn.XLOOKUP(frasest[[#This Row],[author_es]],autorest[author_es],autorest[age_es])</f>
        <v>Epoca Desconocida</v>
      </c>
      <c r="P867" t="str">
        <f>_xlfn.XLOOKUP(frasest[[#This Row],[author_es]],autorest[author_es],autorest[age_la])</f>
        <v>Epocha Ignota</v>
      </c>
      <c r="Q867" t="str">
        <f>_xlfn.XLOOKUP(frasest[[#This Row],[author_es]],autorest[author_es],autorest[image])</f>
        <v>https://i.ibb.co/bjgxB3kn/euskadi.png</v>
      </c>
      <c r="R867">
        <f>_xlfn.XLOOKUP(frasest[[#This Row],[author_es]],autorest[author_es],autorest[image_atr])</f>
        <v>0</v>
      </c>
    </row>
    <row r="868" spans="1:18">
      <c r="A868">
        <v>867</v>
      </c>
      <c r="B868" t="s">
        <v>2875</v>
      </c>
      <c r="C868" t="s">
        <v>2876</v>
      </c>
      <c r="D868" t="s">
        <v>2877</v>
      </c>
      <c r="E868" t="s">
        <v>1236</v>
      </c>
      <c r="G868" t="str">
        <f>_xlfn.XLOOKUP(frasest[[#This Row],[author_es]],autorest[author_es],autorest[author_la])</f>
        <v>Sententia Vasconica</v>
      </c>
      <c r="H868" t="str">
        <f>_xlfn.XLOOKUP(frasest[[#This Row],[author_es]],autorest[author_es],autorest[bio_es])</f>
        <v>Proverbios de la tradición oral vasca que reflejan la relación con la naturaleza, el trabajo y los valores comunitarios del pueblo vasco.</v>
      </c>
      <c r="I868" t="str">
        <f>_xlfn.XLOOKUP(frasest[[#This Row],[author_es]],autorest[author_es],autorest[bio_la])</f>
        <v>Collectio sententiarum Vasconicarum.</v>
      </c>
      <c r="J868" t="str">
        <f>_xlfn.XLOOKUP(frasest[[#This Row],[author_es]],autorest[author_es],autorest[iso3691])</f>
        <v>eu</v>
      </c>
      <c r="K868" t="str">
        <f>_xlfn.XLOOKUP(frasest[[#This Row],[author_es]],autorest[author_es],autorest[language_es])</f>
        <v>Euskara</v>
      </c>
      <c r="L868" t="str">
        <f>_xlfn.XLOOKUP(frasest[[#This Row],[author_es]],autorest[author_es],autorest[language_la])</f>
        <v>Lingua Vasconica</v>
      </c>
      <c r="M868" t="str">
        <f>_xlfn.XLOOKUP(frasest[[#This Row],[author_es]],autorest[author_es],autorest[nation_es])</f>
        <v>España</v>
      </c>
      <c r="N868" t="str">
        <f>_xlfn.XLOOKUP(frasest[[#This Row],[author_es]],autorest[author_es],autorest[nation_la])</f>
        <v>Hispania</v>
      </c>
      <c r="O868" t="str">
        <f>_xlfn.XLOOKUP(frasest[[#This Row],[author_es]],autorest[author_es],autorest[age_es])</f>
        <v>Epoca Desconocida</v>
      </c>
      <c r="P868" t="str">
        <f>_xlfn.XLOOKUP(frasest[[#This Row],[author_es]],autorest[author_es],autorest[age_la])</f>
        <v>Epocha Ignota</v>
      </c>
      <c r="Q868" t="str">
        <f>_xlfn.XLOOKUP(frasest[[#This Row],[author_es]],autorest[author_es],autorest[image])</f>
        <v>https://i.ibb.co/bjgxB3kn/euskadi.png</v>
      </c>
      <c r="R868">
        <f>_xlfn.XLOOKUP(frasest[[#This Row],[author_es]],autorest[author_es],autorest[image_atr])</f>
        <v>0</v>
      </c>
    </row>
    <row r="869" spans="1:18">
      <c r="A869">
        <v>868</v>
      </c>
      <c r="B869" t="s">
        <v>2878</v>
      </c>
      <c r="C869" t="s">
        <v>2879</v>
      </c>
      <c r="D869" t="s">
        <v>2880</v>
      </c>
      <c r="E869" t="s">
        <v>1236</v>
      </c>
      <c r="G869" t="str">
        <f>_xlfn.XLOOKUP(frasest[[#This Row],[author_es]],autorest[author_es],autorest[author_la])</f>
        <v>Sententia Vasconica</v>
      </c>
      <c r="H869" t="str">
        <f>_xlfn.XLOOKUP(frasest[[#This Row],[author_es]],autorest[author_es],autorest[bio_es])</f>
        <v>Proverbios de la tradición oral vasca que reflejan la relación con la naturaleza, el trabajo y los valores comunitarios del pueblo vasco.</v>
      </c>
      <c r="I869" t="str">
        <f>_xlfn.XLOOKUP(frasest[[#This Row],[author_es]],autorest[author_es],autorest[bio_la])</f>
        <v>Collectio sententiarum Vasconicarum.</v>
      </c>
      <c r="J869" t="str">
        <f>_xlfn.XLOOKUP(frasest[[#This Row],[author_es]],autorest[author_es],autorest[iso3691])</f>
        <v>eu</v>
      </c>
      <c r="K869" t="str">
        <f>_xlfn.XLOOKUP(frasest[[#This Row],[author_es]],autorest[author_es],autorest[language_es])</f>
        <v>Euskara</v>
      </c>
      <c r="L869" t="str">
        <f>_xlfn.XLOOKUP(frasest[[#This Row],[author_es]],autorest[author_es],autorest[language_la])</f>
        <v>Lingua Vasconica</v>
      </c>
      <c r="M869" t="str">
        <f>_xlfn.XLOOKUP(frasest[[#This Row],[author_es]],autorest[author_es],autorest[nation_es])</f>
        <v>España</v>
      </c>
      <c r="N869" t="str">
        <f>_xlfn.XLOOKUP(frasest[[#This Row],[author_es]],autorest[author_es],autorest[nation_la])</f>
        <v>Hispania</v>
      </c>
      <c r="O869" t="str">
        <f>_xlfn.XLOOKUP(frasest[[#This Row],[author_es]],autorest[author_es],autorest[age_es])</f>
        <v>Epoca Desconocida</v>
      </c>
      <c r="P869" t="str">
        <f>_xlfn.XLOOKUP(frasest[[#This Row],[author_es]],autorest[author_es],autorest[age_la])</f>
        <v>Epocha Ignota</v>
      </c>
      <c r="Q869" t="str">
        <f>_xlfn.XLOOKUP(frasest[[#This Row],[author_es]],autorest[author_es],autorest[image])</f>
        <v>https://i.ibb.co/bjgxB3kn/euskadi.png</v>
      </c>
      <c r="R869">
        <f>_xlfn.XLOOKUP(frasest[[#This Row],[author_es]],autorest[author_es],autorest[image_atr])</f>
        <v>0</v>
      </c>
    </row>
    <row r="870" spans="1:18">
      <c r="A870">
        <v>869</v>
      </c>
      <c r="B870" t="s">
        <v>2881</v>
      </c>
      <c r="C870" t="s">
        <v>2882</v>
      </c>
      <c r="D870" t="s">
        <v>2883</v>
      </c>
      <c r="E870" t="s">
        <v>1236</v>
      </c>
      <c r="G870" t="str">
        <f>_xlfn.XLOOKUP(frasest[[#This Row],[author_es]],autorest[author_es],autorest[author_la])</f>
        <v>Sententia Vasconica</v>
      </c>
      <c r="H870" t="str">
        <f>_xlfn.XLOOKUP(frasest[[#This Row],[author_es]],autorest[author_es],autorest[bio_es])</f>
        <v>Proverbios de la tradición oral vasca que reflejan la relación con la naturaleza, el trabajo y los valores comunitarios del pueblo vasco.</v>
      </c>
      <c r="I870" t="str">
        <f>_xlfn.XLOOKUP(frasest[[#This Row],[author_es]],autorest[author_es],autorest[bio_la])</f>
        <v>Collectio sententiarum Vasconicarum.</v>
      </c>
      <c r="J870" t="str">
        <f>_xlfn.XLOOKUP(frasest[[#This Row],[author_es]],autorest[author_es],autorest[iso3691])</f>
        <v>eu</v>
      </c>
      <c r="K870" t="str">
        <f>_xlfn.XLOOKUP(frasest[[#This Row],[author_es]],autorest[author_es],autorest[language_es])</f>
        <v>Euskara</v>
      </c>
      <c r="L870" t="str">
        <f>_xlfn.XLOOKUP(frasest[[#This Row],[author_es]],autorest[author_es],autorest[language_la])</f>
        <v>Lingua Vasconica</v>
      </c>
      <c r="M870" t="str">
        <f>_xlfn.XLOOKUP(frasest[[#This Row],[author_es]],autorest[author_es],autorest[nation_es])</f>
        <v>España</v>
      </c>
      <c r="N870" t="str">
        <f>_xlfn.XLOOKUP(frasest[[#This Row],[author_es]],autorest[author_es],autorest[nation_la])</f>
        <v>Hispania</v>
      </c>
      <c r="O870" t="str">
        <f>_xlfn.XLOOKUP(frasest[[#This Row],[author_es]],autorest[author_es],autorest[age_es])</f>
        <v>Epoca Desconocida</v>
      </c>
      <c r="P870" t="str">
        <f>_xlfn.XLOOKUP(frasest[[#This Row],[author_es]],autorest[author_es],autorest[age_la])</f>
        <v>Epocha Ignota</v>
      </c>
      <c r="Q870" t="str">
        <f>_xlfn.XLOOKUP(frasest[[#This Row],[author_es]],autorest[author_es],autorest[image])</f>
        <v>https://i.ibb.co/bjgxB3kn/euskadi.png</v>
      </c>
      <c r="R870">
        <f>_xlfn.XLOOKUP(frasest[[#This Row],[author_es]],autorest[author_es],autorest[image_atr])</f>
        <v>0</v>
      </c>
    </row>
    <row r="871" spans="1:18">
      <c r="A871">
        <v>870</v>
      </c>
      <c r="B871" t="s">
        <v>2884</v>
      </c>
      <c r="C871" t="s">
        <v>2885</v>
      </c>
      <c r="D871" t="s">
        <v>2886</v>
      </c>
      <c r="E871" t="s">
        <v>1236</v>
      </c>
      <c r="G871" t="str">
        <f>_xlfn.XLOOKUP(frasest[[#This Row],[author_es]],autorest[author_es],autorest[author_la])</f>
        <v>Sententia Vasconica</v>
      </c>
      <c r="H871" t="str">
        <f>_xlfn.XLOOKUP(frasest[[#This Row],[author_es]],autorest[author_es],autorest[bio_es])</f>
        <v>Proverbios de la tradición oral vasca que reflejan la relación con la naturaleza, el trabajo y los valores comunitarios del pueblo vasco.</v>
      </c>
      <c r="I871" t="str">
        <f>_xlfn.XLOOKUP(frasest[[#This Row],[author_es]],autorest[author_es],autorest[bio_la])</f>
        <v>Collectio sententiarum Vasconicarum.</v>
      </c>
      <c r="J871" t="str">
        <f>_xlfn.XLOOKUP(frasest[[#This Row],[author_es]],autorest[author_es],autorest[iso3691])</f>
        <v>eu</v>
      </c>
      <c r="K871" t="str">
        <f>_xlfn.XLOOKUP(frasest[[#This Row],[author_es]],autorest[author_es],autorest[language_es])</f>
        <v>Euskara</v>
      </c>
      <c r="L871" t="str">
        <f>_xlfn.XLOOKUP(frasest[[#This Row],[author_es]],autorest[author_es],autorest[language_la])</f>
        <v>Lingua Vasconica</v>
      </c>
      <c r="M871" t="str">
        <f>_xlfn.XLOOKUP(frasest[[#This Row],[author_es]],autorest[author_es],autorest[nation_es])</f>
        <v>España</v>
      </c>
      <c r="N871" t="str">
        <f>_xlfn.XLOOKUP(frasest[[#This Row],[author_es]],autorest[author_es],autorest[nation_la])</f>
        <v>Hispania</v>
      </c>
      <c r="O871" t="str">
        <f>_xlfn.XLOOKUP(frasest[[#This Row],[author_es]],autorest[author_es],autorest[age_es])</f>
        <v>Epoca Desconocida</v>
      </c>
      <c r="P871" t="str">
        <f>_xlfn.XLOOKUP(frasest[[#This Row],[author_es]],autorest[author_es],autorest[age_la])</f>
        <v>Epocha Ignota</v>
      </c>
      <c r="Q871" t="str">
        <f>_xlfn.XLOOKUP(frasest[[#This Row],[author_es]],autorest[author_es],autorest[image])</f>
        <v>https://i.ibb.co/bjgxB3kn/euskadi.png</v>
      </c>
      <c r="R871">
        <f>_xlfn.XLOOKUP(frasest[[#This Row],[author_es]],autorest[author_es],autorest[image_atr])</f>
        <v>0</v>
      </c>
    </row>
    <row r="872" spans="1:18">
      <c r="A872">
        <v>871</v>
      </c>
      <c r="B872" t="s">
        <v>2887</v>
      </c>
      <c r="C872" t="s">
        <v>2888</v>
      </c>
      <c r="D872" t="s">
        <v>2889</v>
      </c>
      <c r="E872" t="s">
        <v>1236</v>
      </c>
      <c r="G872" t="str">
        <f>_xlfn.XLOOKUP(frasest[[#This Row],[author_es]],autorest[author_es],autorest[author_la])</f>
        <v>Sententia Vasconica</v>
      </c>
      <c r="H872" t="str">
        <f>_xlfn.XLOOKUP(frasest[[#This Row],[author_es]],autorest[author_es],autorest[bio_es])</f>
        <v>Proverbios de la tradición oral vasca que reflejan la relación con la naturaleza, el trabajo y los valores comunitarios del pueblo vasco.</v>
      </c>
      <c r="I872" t="str">
        <f>_xlfn.XLOOKUP(frasest[[#This Row],[author_es]],autorest[author_es],autorest[bio_la])</f>
        <v>Collectio sententiarum Vasconicarum.</v>
      </c>
      <c r="J872" t="str">
        <f>_xlfn.XLOOKUP(frasest[[#This Row],[author_es]],autorest[author_es],autorest[iso3691])</f>
        <v>eu</v>
      </c>
      <c r="K872" t="str">
        <f>_xlfn.XLOOKUP(frasest[[#This Row],[author_es]],autorest[author_es],autorest[language_es])</f>
        <v>Euskara</v>
      </c>
      <c r="L872" t="str">
        <f>_xlfn.XLOOKUP(frasest[[#This Row],[author_es]],autorest[author_es],autorest[language_la])</f>
        <v>Lingua Vasconica</v>
      </c>
      <c r="M872" t="str">
        <f>_xlfn.XLOOKUP(frasest[[#This Row],[author_es]],autorest[author_es],autorest[nation_es])</f>
        <v>España</v>
      </c>
      <c r="N872" t="str">
        <f>_xlfn.XLOOKUP(frasest[[#This Row],[author_es]],autorest[author_es],autorest[nation_la])</f>
        <v>Hispania</v>
      </c>
      <c r="O872" t="str">
        <f>_xlfn.XLOOKUP(frasest[[#This Row],[author_es]],autorest[author_es],autorest[age_es])</f>
        <v>Epoca Desconocida</v>
      </c>
      <c r="P872" t="str">
        <f>_xlfn.XLOOKUP(frasest[[#This Row],[author_es]],autorest[author_es],autorest[age_la])</f>
        <v>Epocha Ignota</v>
      </c>
      <c r="Q872" t="str">
        <f>_xlfn.XLOOKUP(frasest[[#This Row],[author_es]],autorest[author_es],autorest[image])</f>
        <v>https://i.ibb.co/bjgxB3kn/euskadi.png</v>
      </c>
      <c r="R872">
        <f>_xlfn.XLOOKUP(frasest[[#This Row],[author_es]],autorest[author_es],autorest[image_atr])</f>
        <v>0</v>
      </c>
    </row>
    <row r="873" spans="1:18">
      <c r="A873">
        <v>872</v>
      </c>
      <c r="B873" t="s">
        <v>2890</v>
      </c>
      <c r="C873" t="s">
        <v>2891</v>
      </c>
      <c r="D873" t="s">
        <v>2892</v>
      </c>
      <c r="E873" t="s">
        <v>1236</v>
      </c>
      <c r="G873" t="str">
        <f>_xlfn.XLOOKUP(frasest[[#This Row],[author_es]],autorest[author_es],autorest[author_la])</f>
        <v>Sententia Vasconica</v>
      </c>
      <c r="H873" t="str">
        <f>_xlfn.XLOOKUP(frasest[[#This Row],[author_es]],autorest[author_es],autorest[bio_es])</f>
        <v>Proverbios de la tradición oral vasca que reflejan la relación con la naturaleza, el trabajo y los valores comunitarios del pueblo vasco.</v>
      </c>
      <c r="I873" t="str">
        <f>_xlfn.XLOOKUP(frasest[[#This Row],[author_es]],autorest[author_es],autorest[bio_la])</f>
        <v>Collectio sententiarum Vasconicarum.</v>
      </c>
      <c r="J873" t="str">
        <f>_xlfn.XLOOKUP(frasest[[#This Row],[author_es]],autorest[author_es],autorest[iso3691])</f>
        <v>eu</v>
      </c>
      <c r="K873" t="str">
        <f>_xlfn.XLOOKUP(frasest[[#This Row],[author_es]],autorest[author_es],autorest[language_es])</f>
        <v>Euskara</v>
      </c>
      <c r="L873" t="str">
        <f>_xlfn.XLOOKUP(frasest[[#This Row],[author_es]],autorest[author_es],autorest[language_la])</f>
        <v>Lingua Vasconica</v>
      </c>
      <c r="M873" t="str">
        <f>_xlfn.XLOOKUP(frasest[[#This Row],[author_es]],autorest[author_es],autorest[nation_es])</f>
        <v>España</v>
      </c>
      <c r="N873" t="str">
        <f>_xlfn.XLOOKUP(frasest[[#This Row],[author_es]],autorest[author_es],autorest[nation_la])</f>
        <v>Hispania</v>
      </c>
      <c r="O873" t="str">
        <f>_xlfn.XLOOKUP(frasest[[#This Row],[author_es]],autorest[author_es],autorest[age_es])</f>
        <v>Epoca Desconocida</v>
      </c>
      <c r="P873" t="str">
        <f>_xlfn.XLOOKUP(frasest[[#This Row],[author_es]],autorest[author_es],autorest[age_la])</f>
        <v>Epocha Ignota</v>
      </c>
      <c r="Q873" t="str">
        <f>_xlfn.XLOOKUP(frasest[[#This Row],[author_es]],autorest[author_es],autorest[image])</f>
        <v>https://i.ibb.co/bjgxB3kn/euskadi.png</v>
      </c>
      <c r="R873">
        <f>_xlfn.XLOOKUP(frasest[[#This Row],[author_es]],autorest[author_es],autorest[image_atr])</f>
        <v>0</v>
      </c>
    </row>
    <row r="874" spans="1:18">
      <c r="A874">
        <v>873</v>
      </c>
      <c r="B874" t="s">
        <v>2893</v>
      </c>
      <c r="C874" t="s">
        <v>2894</v>
      </c>
      <c r="D874" t="s">
        <v>2895</v>
      </c>
      <c r="E874" t="s">
        <v>1236</v>
      </c>
      <c r="G874" t="str">
        <f>_xlfn.XLOOKUP(frasest[[#This Row],[author_es]],autorest[author_es],autorest[author_la])</f>
        <v>Sententia Vasconica</v>
      </c>
      <c r="H874" t="str">
        <f>_xlfn.XLOOKUP(frasest[[#This Row],[author_es]],autorest[author_es],autorest[bio_es])</f>
        <v>Proverbios de la tradición oral vasca que reflejan la relación con la naturaleza, el trabajo y los valores comunitarios del pueblo vasco.</v>
      </c>
      <c r="I874" t="str">
        <f>_xlfn.XLOOKUP(frasest[[#This Row],[author_es]],autorest[author_es],autorest[bio_la])</f>
        <v>Collectio sententiarum Vasconicarum.</v>
      </c>
      <c r="J874" t="str">
        <f>_xlfn.XLOOKUP(frasest[[#This Row],[author_es]],autorest[author_es],autorest[iso3691])</f>
        <v>eu</v>
      </c>
      <c r="K874" t="str">
        <f>_xlfn.XLOOKUP(frasest[[#This Row],[author_es]],autorest[author_es],autorest[language_es])</f>
        <v>Euskara</v>
      </c>
      <c r="L874" t="str">
        <f>_xlfn.XLOOKUP(frasest[[#This Row],[author_es]],autorest[author_es],autorest[language_la])</f>
        <v>Lingua Vasconica</v>
      </c>
      <c r="M874" t="str">
        <f>_xlfn.XLOOKUP(frasest[[#This Row],[author_es]],autorest[author_es],autorest[nation_es])</f>
        <v>España</v>
      </c>
      <c r="N874" t="str">
        <f>_xlfn.XLOOKUP(frasest[[#This Row],[author_es]],autorest[author_es],autorest[nation_la])</f>
        <v>Hispania</v>
      </c>
      <c r="O874" t="str">
        <f>_xlfn.XLOOKUP(frasest[[#This Row],[author_es]],autorest[author_es],autorest[age_es])</f>
        <v>Epoca Desconocida</v>
      </c>
      <c r="P874" t="str">
        <f>_xlfn.XLOOKUP(frasest[[#This Row],[author_es]],autorest[author_es],autorest[age_la])</f>
        <v>Epocha Ignota</v>
      </c>
      <c r="Q874" t="str">
        <f>_xlfn.XLOOKUP(frasest[[#This Row],[author_es]],autorest[author_es],autorest[image])</f>
        <v>https://i.ibb.co/bjgxB3kn/euskadi.png</v>
      </c>
      <c r="R874">
        <f>_xlfn.XLOOKUP(frasest[[#This Row],[author_es]],autorest[author_es],autorest[image_atr])</f>
        <v>0</v>
      </c>
    </row>
    <row r="875" spans="1:18">
      <c r="A875">
        <v>874</v>
      </c>
      <c r="B875" t="s">
        <v>2896</v>
      </c>
      <c r="C875" t="s">
        <v>2897</v>
      </c>
      <c r="D875" t="s">
        <v>2898</v>
      </c>
      <c r="E875" t="s">
        <v>1236</v>
      </c>
      <c r="G875" t="str">
        <f>_xlfn.XLOOKUP(frasest[[#This Row],[author_es]],autorest[author_es],autorest[author_la])</f>
        <v>Sententia Vasconica</v>
      </c>
      <c r="H875" t="str">
        <f>_xlfn.XLOOKUP(frasest[[#This Row],[author_es]],autorest[author_es],autorest[bio_es])</f>
        <v>Proverbios de la tradición oral vasca que reflejan la relación con la naturaleza, el trabajo y los valores comunitarios del pueblo vasco.</v>
      </c>
      <c r="I875" t="str">
        <f>_xlfn.XLOOKUP(frasest[[#This Row],[author_es]],autorest[author_es],autorest[bio_la])</f>
        <v>Collectio sententiarum Vasconicarum.</v>
      </c>
      <c r="J875" t="str">
        <f>_xlfn.XLOOKUP(frasest[[#This Row],[author_es]],autorest[author_es],autorest[iso3691])</f>
        <v>eu</v>
      </c>
      <c r="K875" t="str">
        <f>_xlfn.XLOOKUP(frasest[[#This Row],[author_es]],autorest[author_es],autorest[language_es])</f>
        <v>Euskara</v>
      </c>
      <c r="L875" t="str">
        <f>_xlfn.XLOOKUP(frasest[[#This Row],[author_es]],autorest[author_es],autorest[language_la])</f>
        <v>Lingua Vasconica</v>
      </c>
      <c r="M875" t="str">
        <f>_xlfn.XLOOKUP(frasest[[#This Row],[author_es]],autorest[author_es],autorest[nation_es])</f>
        <v>España</v>
      </c>
      <c r="N875" t="str">
        <f>_xlfn.XLOOKUP(frasest[[#This Row],[author_es]],autorest[author_es],autorest[nation_la])</f>
        <v>Hispania</v>
      </c>
      <c r="O875" t="str">
        <f>_xlfn.XLOOKUP(frasest[[#This Row],[author_es]],autorest[author_es],autorest[age_es])</f>
        <v>Epoca Desconocida</v>
      </c>
      <c r="P875" t="str">
        <f>_xlfn.XLOOKUP(frasest[[#This Row],[author_es]],autorest[author_es],autorest[age_la])</f>
        <v>Epocha Ignota</v>
      </c>
      <c r="Q875" t="str">
        <f>_xlfn.XLOOKUP(frasest[[#This Row],[author_es]],autorest[author_es],autorest[image])</f>
        <v>https://i.ibb.co/bjgxB3kn/euskadi.png</v>
      </c>
      <c r="R875">
        <f>_xlfn.XLOOKUP(frasest[[#This Row],[author_es]],autorest[author_es],autorest[image_atr])</f>
        <v>0</v>
      </c>
    </row>
    <row r="876" spans="1:18">
      <c r="A876">
        <v>875</v>
      </c>
      <c r="B876" t="s">
        <v>2899</v>
      </c>
      <c r="C876" t="s">
        <v>2900</v>
      </c>
      <c r="D876" t="s">
        <v>2901</v>
      </c>
      <c r="E876" t="s">
        <v>1236</v>
      </c>
      <c r="G876" t="str">
        <f>_xlfn.XLOOKUP(frasest[[#This Row],[author_es]],autorest[author_es],autorest[author_la])</f>
        <v>Sententia Vasconica</v>
      </c>
      <c r="H876" t="str">
        <f>_xlfn.XLOOKUP(frasest[[#This Row],[author_es]],autorest[author_es],autorest[bio_es])</f>
        <v>Proverbios de la tradición oral vasca que reflejan la relación con la naturaleza, el trabajo y los valores comunitarios del pueblo vasco.</v>
      </c>
      <c r="I876" t="str">
        <f>_xlfn.XLOOKUP(frasest[[#This Row],[author_es]],autorest[author_es],autorest[bio_la])</f>
        <v>Collectio sententiarum Vasconicarum.</v>
      </c>
      <c r="J876" t="str">
        <f>_xlfn.XLOOKUP(frasest[[#This Row],[author_es]],autorest[author_es],autorest[iso3691])</f>
        <v>eu</v>
      </c>
      <c r="K876" t="str">
        <f>_xlfn.XLOOKUP(frasest[[#This Row],[author_es]],autorest[author_es],autorest[language_es])</f>
        <v>Euskara</v>
      </c>
      <c r="L876" t="str">
        <f>_xlfn.XLOOKUP(frasest[[#This Row],[author_es]],autorest[author_es],autorest[language_la])</f>
        <v>Lingua Vasconica</v>
      </c>
      <c r="M876" t="str">
        <f>_xlfn.XLOOKUP(frasest[[#This Row],[author_es]],autorest[author_es],autorest[nation_es])</f>
        <v>España</v>
      </c>
      <c r="N876" t="str">
        <f>_xlfn.XLOOKUP(frasest[[#This Row],[author_es]],autorest[author_es],autorest[nation_la])</f>
        <v>Hispania</v>
      </c>
      <c r="O876" t="str">
        <f>_xlfn.XLOOKUP(frasest[[#This Row],[author_es]],autorest[author_es],autorest[age_es])</f>
        <v>Epoca Desconocida</v>
      </c>
      <c r="P876" t="str">
        <f>_xlfn.XLOOKUP(frasest[[#This Row],[author_es]],autorest[author_es],autorest[age_la])</f>
        <v>Epocha Ignota</v>
      </c>
      <c r="Q876" t="str">
        <f>_xlfn.XLOOKUP(frasest[[#This Row],[author_es]],autorest[author_es],autorest[image])</f>
        <v>https://i.ibb.co/bjgxB3kn/euskadi.png</v>
      </c>
      <c r="R876">
        <f>_xlfn.XLOOKUP(frasest[[#This Row],[author_es]],autorest[author_es],autorest[image_atr])</f>
        <v>0</v>
      </c>
    </row>
    <row r="877" spans="1:18">
      <c r="A877">
        <v>876</v>
      </c>
      <c r="B877" t="s">
        <v>2902</v>
      </c>
      <c r="C877" t="s">
        <v>2903</v>
      </c>
      <c r="D877" t="s">
        <v>2904</v>
      </c>
      <c r="E877" t="s">
        <v>1236</v>
      </c>
      <c r="G877" t="str">
        <f>_xlfn.XLOOKUP(frasest[[#This Row],[author_es]],autorest[author_es],autorest[author_la])</f>
        <v>Sententia Vasconica</v>
      </c>
      <c r="H877" t="str">
        <f>_xlfn.XLOOKUP(frasest[[#This Row],[author_es]],autorest[author_es],autorest[bio_es])</f>
        <v>Proverbios de la tradición oral vasca que reflejan la relación con la naturaleza, el trabajo y los valores comunitarios del pueblo vasco.</v>
      </c>
      <c r="I877" t="str">
        <f>_xlfn.XLOOKUP(frasest[[#This Row],[author_es]],autorest[author_es],autorest[bio_la])</f>
        <v>Collectio sententiarum Vasconicarum.</v>
      </c>
      <c r="J877" t="str">
        <f>_xlfn.XLOOKUP(frasest[[#This Row],[author_es]],autorest[author_es],autorest[iso3691])</f>
        <v>eu</v>
      </c>
      <c r="K877" t="str">
        <f>_xlfn.XLOOKUP(frasest[[#This Row],[author_es]],autorest[author_es],autorest[language_es])</f>
        <v>Euskara</v>
      </c>
      <c r="L877" t="str">
        <f>_xlfn.XLOOKUP(frasest[[#This Row],[author_es]],autorest[author_es],autorest[language_la])</f>
        <v>Lingua Vasconica</v>
      </c>
      <c r="M877" t="str">
        <f>_xlfn.XLOOKUP(frasest[[#This Row],[author_es]],autorest[author_es],autorest[nation_es])</f>
        <v>España</v>
      </c>
      <c r="N877" t="str">
        <f>_xlfn.XLOOKUP(frasest[[#This Row],[author_es]],autorest[author_es],autorest[nation_la])</f>
        <v>Hispania</v>
      </c>
      <c r="O877" t="str">
        <f>_xlfn.XLOOKUP(frasest[[#This Row],[author_es]],autorest[author_es],autorest[age_es])</f>
        <v>Epoca Desconocida</v>
      </c>
      <c r="P877" t="str">
        <f>_xlfn.XLOOKUP(frasest[[#This Row],[author_es]],autorest[author_es],autorest[age_la])</f>
        <v>Epocha Ignota</v>
      </c>
      <c r="Q877" t="str">
        <f>_xlfn.XLOOKUP(frasest[[#This Row],[author_es]],autorest[author_es],autorest[image])</f>
        <v>https://i.ibb.co/bjgxB3kn/euskadi.png</v>
      </c>
      <c r="R877">
        <f>_xlfn.XLOOKUP(frasest[[#This Row],[author_es]],autorest[author_es],autorest[image_atr])</f>
        <v>0</v>
      </c>
    </row>
    <row r="878" spans="1:18">
      <c r="A878">
        <v>877</v>
      </c>
      <c r="B878" t="s">
        <v>2905</v>
      </c>
      <c r="C878" t="s">
        <v>2906</v>
      </c>
      <c r="D878" t="s">
        <v>2907</v>
      </c>
      <c r="E878" t="s">
        <v>1236</v>
      </c>
      <c r="G878" t="str">
        <f>_xlfn.XLOOKUP(frasest[[#This Row],[author_es]],autorest[author_es],autorest[author_la])</f>
        <v>Sententia Vasconica</v>
      </c>
      <c r="H878" t="str">
        <f>_xlfn.XLOOKUP(frasest[[#This Row],[author_es]],autorest[author_es],autorest[bio_es])</f>
        <v>Proverbios de la tradición oral vasca que reflejan la relación con la naturaleza, el trabajo y los valores comunitarios del pueblo vasco.</v>
      </c>
      <c r="I878" t="str">
        <f>_xlfn.XLOOKUP(frasest[[#This Row],[author_es]],autorest[author_es],autorest[bio_la])</f>
        <v>Collectio sententiarum Vasconicarum.</v>
      </c>
      <c r="J878" t="str">
        <f>_xlfn.XLOOKUP(frasest[[#This Row],[author_es]],autorest[author_es],autorest[iso3691])</f>
        <v>eu</v>
      </c>
      <c r="K878" t="str">
        <f>_xlfn.XLOOKUP(frasest[[#This Row],[author_es]],autorest[author_es],autorest[language_es])</f>
        <v>Euskara</v>
      </c>
      <c r="L878" t="str">
        <f>_xlfn.XLOOKUP(frasest[[#This Row],[author_es]],autorest[author_es],autorest[language_la])</f>
        <v>Lingua Vasconica</v>
      </c>
      <c r="M878" t="str">
        <f>_xlfn.XLOOKUP(frasest[[#This Row],[author_es]],autorest[author_es],autorest[nation_es])</f>
        <v>España</v>
      </c>
      <c r="N878" t="str">
        <f>_xlfn.XLOOKUP(frasest[[#This Row],[author_es]],autorest[author_es],autorest[nation_la])</f>
        <v>Hispania</v>
      </c>
      <c r="O878" t="str">
        <f>_xlfn.XLOOKUP(frasest[[#This Row],[author_es]],autorest[author_es],autorest[age_es])</f>
        <v>Epoca Desconocida</v>
      </c>
      <c r="P878" t="str">
        <f>_xlfn.XLOOKUP(frasest[[#This Row],[author_es]],autorest[author_es],autorest[age_la])</f>
        <v>Epocha Ignota</v>
      </c>
      <c r="Q878" t="str">
        <f>_xlfn.XLOOKUP(frasest[[#This Row],[author_es]],autorest[author_es],autorest[image])</f>
        <v>https://i.ibb.co/bjgxB3kn/euskadi.png</v>
      </c>
      <c r="R878">
        <f>_xlfn.XLOOKUP(frasest[[#This Row],[author_es]],autorest[author_es],autorest[image_atr])</f>
        <v>0</v>
      </c>
    </row>
    <row r="879" spans="1:18">
      <c r="A879">
        <v>878</v>
      </c>
      <c r="B879" t="s">
        <v>2908</v>
      </c>
      <c r="C879" t="s">
        <v>2909</v>
      </c>
      <c r="D879" t="s">
        <v>2910</v>
      </c>
      <c r="E879" t="s">
        <v>1236</v>
      </c>
      <c r="G879" t="str">
        <f>_xlfn.XLOOKUP(frasest[[#This Row],[author_es]],autorest[author_es],autorest[author_la])</f>
        <v>Sententia Vasconica</v>
      </c>
      <c r="H879" t="str">
        <f>_xlfn.XLOOKUP(frasest[[#This Row],[author_es]],autorest[author_es],autorest[bio_es])</f>
        <v>Proverbios de la tradición oral vasca que reflejan la relación con la naturaleza, el trabajo y los valores comunitarios del pueblo vasco.</v>
      </c>
      <c r="I879" t="str">
        <f>_xlfn.XLOOKUP(frasest[[#This Row],[author_es]],autorest[author_es],autorest[bio_la])</f>
        <v>Collectio sententiarum Vasconicarum.</v>
      </c>
      <c r="J879" t="str">
        <f>_xlfn.XLOOKUP(frasest[[#This Row],[author_es]],autorest[author_es],autorest[iso3691])</f>
        <v>eu</v>
      </c>
      <c r="K879" t="str">
        <f>_xlfn.XLOOKUP(frasest[[#This Row],[author_es]],autorest[author_es],autorest[language_es])</f>
        <v>Euskara</v>
      </c>
      <c r="L879" t="str">
        <f>_xlfn.XLOOKUP(frasest[[#This Row],[author_es]],autorest[author_es],autorest[language_la])</f>
        <v>Lingua Vasconica</v>
      </c>
      <c r="M879" t="str">
        <f>_xlfn.XLOOKUP(frasest[[#This Row],[author_es]],autorest[author_es],autorest[nation_es])</f>
        <v>España</v>
      </c>
      <c r="N879" t="str">
        <f>_xlfn.XLOOKUP(frasest[[#This Row],[author_es]],autorest[author_es],autorest[nation_la])</f>
        <v>Hispania</v>
      </c>
      <c r="O879" t="str">
        <f>_xlfn.XLOOKUP(frasest[[#This Row],[author_es]],autorest[author_es],autorest[age_es])</f>
        <v>Epoca Desconocida</v>
      </c>
      <c r="P879" t="str">
        <f>_xlfn.XLOOKUP(frasest[[#This Row],[author_es]],autorest[author_es],autorest[age_la])</f>
        <v>Epocha Ignota</v>
      </c>
      <c r="Q879" t="str">
        <f>_xlfn.XLOOKUP(frasest[[#This Row],[author_es]],autorest[author_es],autorest[image])</f>
        <v>https://i.ibb.co/bjgxB3kn/euskadi.png</v>
      </c>
      <c r="R879">
        <f>_xlfn.XLOOKUP(frasest[[#This Row],[author_es]],autorest[author_es],autorest[image_atr])</f>
        <v>0</v>
      </c>
    </row>
    <row r="880" spans="1:18">
      <c r="A880">
        <v>879</v>
      </c>
      <c r="B880" t="s">
        <v>2911</v>
      </c>
      <c r="C880" t="s">
        <v>2912</v>
      </c>
      <c r="D880" t="s">
        <v>2913</v>
      </c>
      <c r="E880" t="s">
        <v>1236</v>
      </c>
      <c r="G880" t="str">
        <f>_xlfn.XLOOKUP(frasest[[#This Row],[author_es]],autorest[author_es],autorest[author_la])</f>
        <v>Sententia Vasconica</v>
      </c>
      <c r="H880" t="str">
        <f>_xlfn.XLOOKUP(frasest[[#This Row],[author_es]],autorest[author_es],autorest[bio_es])</f>
        <v>Proverbios de la tradición oral vasca que reflejan la relación con la naturaleza, el trabajo y los valores comunitarios del pueblo vasco.</v>
      </c>
      <c r="I880" t="str">
        <f>_xlfn.XLOOKUP(frasest[[#This Row],[author_es]],autorest[author_es],autorest[bio_la])</f>
        <v>Collectio sententiarum Vasconicarum.</v>
      </c>
      <c r="J880" t="str">
        <f>_xlfn.XLOOKUP(frasest[[#This Row],[author_es]],autorest[author_es],autorest[iso3691])</f>
        <v>eu</v>
      </c>
      <c r="K880" t="str">
        <f>_xlfn.XLOOKUP(frasest[[#This Row],[author_es]],autorest[author_es],autorest[language_es])</f>
        <v>Euskara</v>
      </c>
      <c r="L880" t="str">
        <f>_xlfn.XLOOKUP(frasest[[#This Row],[author_es]],autorest[author_es],autorest[language_la])</f>
        <v>Lingua Vasconica</v>
      </c>
      <c r="M880" t="str">
        <f>_xlfn.XLOOKUP(frasest[[#This Row],[author_es]],autorest[author_es],autorest[nation_es])</f>
        <v>España</v>
      </c>
      <c r="N880" t="str">
        <f>_xlfn.XLOOKUP(frasest[[#This Row],[author_es]],autorest[author_es],autorest[nation_la])</f>
        <v>Hispania</v>
      </c>
      <c r="O880" t="str">
        <f>_xlfn.XLOOKUP(frasest[[#This Row],[author_es]],autorest[author_es],autorest[age_es])</f>
        <v>Epoca Desconocida</v>
      </c>
      <c r="P880" t="str">
        <f>_xlfn.XLOOKUP(frasest[[#This Row],[author_es]],autorest[author_es],autorest[age_la])</f>
        <v>Epocha Ignota</v>
      </c>
      <c r="Q880" t="str">
        <f>_xlfn.XLOOKUP(frasest[[#This Row],[author_es]],autorest[author_es],autorest[image])</f>
        <v>https://i.ibb.co/bjgxB3kn/euskadi.png</v>
      </c>
      <c r="R880">
        <f>_xlfn.XLOOKUP(frasest[[#This Row],[author_es]],autorest[author_es],autorest[image_atr])</f>
        <v>0</v>
      </c>
    </row>
    <row r="881" spans="1:18">
      <c r="A881">
        <v>880</v>
      </c>
      <c r="B881" t="s">
        <v>2914</v>
      </c>
      <c r="C881" t="s">
        <v>2915</v>
      </c>
      <c r="D881" t="s">
        <v>2916</v>
      </c>
      <c r="E881" t="s">
        <v>1236</v>
      </c>
      <c r="G881" t="str">
        <f>_xlfn.XLOOKUP(frasest[[#This Row],[author_es]],autorest[author_es],autorest[author_la])</f>
        <v>Sententia Vasconica</v>
      </c>
      <c r="H881" t="str">
        <f>_xlfn.XLOOKUP(frasest[[#This Row],[author_es]],autorest[author_es],autorest[bio_es])</f>
        <v>Proverbios de la tradición oral vasca que reflejan la relación con la naturaleza, el trabajo y los valores comunitarios del pueblo vasco.</v>
      </c>
      <c r="I881" t="str">
        <f>_xlfn.XLOOKUP(frasest[[#This Row],[author_es]],autorest[author_es],autorest[bio_la])</f>
        <v>Collectio sententiarum Vasconicarum.</v>
      </c>
      <c r="J881" t="str">
        <f>_xlfn.XLOOKUP(frasest[[#This Row],[author_es]],autorest[author_es],autorest[iso3691])</f>
        <v>eu</v>
      </c>
      <c r="K881" t="str">
        <f>_xlfn.XLOOKUP(frasest[[#This Row],[author_es]],autorest[author_es],autorest[language_es])</f>
        <v>Euskara</v>
      </c>
      <c r="L881" t="str">
        <f>_xlfn.XLOOKUP(frasest[[#This Row],[author_es]],autorest[author_es],autorest[language_la])</f>
        <v>Lingua Vasconica</v>
      </c>
      <c r="M881" t="str">
        <f>_xlfn.XLOOKUP(frasest[[#This Row],[author_es]],autorest[author_es],autorest[nation_es])</f>
        <v>España</v>
      </c>
      <c r="N881" t="str">
        <f>_xlfn.XLOOKUP(frasest[[#This Row],[author_es]],autorest[author_es],autorest[nation_la])</f>
        <v>Hispania</v>
      </c>
      <c r="O881" t="str">
        <f>_xlfn.XLOOKUP(frasest[[#This Row],[author_es]],autorest[author_es],autorest[age_es])</f>
        <v>Epoca Desconocida</v>
      </c>
      <c r="P881" t="str">
        <f>_xlfn.XLOOKUP(frasest[[#This Row],[author_es]],autorest[author_es],autorest[age_la])</f>
        <v>Epocha Ignota</v>
      </c>
      <c r="Q881" t="str">
        <f>_xlfn.XLOOKUP(frasest[[#This Row],[author_es]],autorest[author_es],autorest[image])</f>
        <v>https://i.ibb.co/bjgxB3kn/euskadi.png</v>
      </c>
      <c r="R881">
        <f>_xlfn.XLOOKUP(frasest[[#This Row],[author_es]],autorest[author_es],autorest[image_atr])</f>
        <v>0</v>
      </c>
    </row>
    <row r="882" spans="1:18">
      <c r="A882">
        <v>881</v>
      </c>
      <c r="B882" t="s">
        <v>2917</v>
      </c>
      <c r="C882" t="s">
        <v>2918</v>
      </c>
      <c r="D882" t="s">
        <v>2919</v>
      </c>
      <c r="E882" t="s">
        <v>1236</v>
      </c>
      <c r="G882" t="str">
        <f>_xlfn.XLOOKUP(frasest[[#This Row],[author_es]],autorest[author_es],autorest[author_la])</f>
        <v>Sententia Vasconica</v>
      </c>
      <c r="H882" t="str">
        <f>_xlfn.XLOOKUP(frasest[[#This Row],[author_es]],autorest[author_es],autorest[bio_es])</f>
        <v>Proverbios de la tradición oral vasca que reflejan la relación con la naturaleza, el trabajo y los valores comunitarios del pueblo vasco.</v>
      </c>
      <c r="I882" t="str">
        <f>_xlfn.XLOOKUP(frasest[[#This Row],[author_es]],autorest[author_es],autorest[bio_la])</f>
        <v>Collectio sententiarum Vasconicarum.</v>
      </c>
      <c r="J882" t="str">
        <f>_xlfn.XLOOKUP(frasest[[#This Row],[author_es]],autorest[author_es],autorest[iso3691])</f>
        <v>eu</v>
      </c>
      <c r="K882" t="str">
        <f>_xlfn.XLOOKUP(frasest[[#This Row],[author_es]],autorest[author_es],autorest[language_es])</f>
        <v>Euskara</v>
      </c>
      <c r="L882" t="str">
        <f>_xlfn.XLOOKUP(frasest[[#This Row],[author_es]],autorest[author_es],autorest[language_la])</f>
        <v>Lingua Vasconica</v>
      </c>
      <c r="M882" t="str">
        <f>_xlfn.XLOOKUP(frasest[[#This Row],[author_es]],autorest[author_es],autorest[nation_es])</f>
        <v>España</v>
      </c>
      <c r="N882" t="str">
        <f>_xlfn.XLOOKUP(frasest[[#This Row],[author_es]],autorest[author_es],autorest[nation_la])</f>
        <v>Hispania</v>
      </c>
      <c r="O882" t="str">
        <f>_xlfn.XLOOKUP(frasest[[#This Row],[author_es]],autorest[author_es],autorest[age_es])</f>
        <v>Epoca Desconocida</v>
      </c>
      <c r="P882" t="str">
        <f>_xlfn.XLOOKUP(frasest[[#This Row],[author_es]],autorest[author_es],autorest[age_la])</f>
        <v>Epocha Ignota</v>
      </c>
      <c r="Q882" t="str">
        <f>_xlfn.XLOOKUP(frasest[[#This Row],[author_es]],autorest[author_es],autorest[image])</f>
        <v>https://i.ibb.co/bjgxB3kn/euskadi.png</v>
      </c>
      <c r="R882">
        <f>_xlfn.XLOOKUP(frasest[[#This Row],[author_es]],autorest[author_es],autorest[image_atr])</f>
        <v>0</v>
      </c>
    </row>
    <row r="883" spans="1:18">
      <c r="A883">
        <v>882</v>
      </c>
      <c r="B883" t="s">
        <v>2920</v>
      </c>
      <c r="C883" t="s">
        <v>2921</v>
      </c>
      <c r="D883" t="s">
        <v>2922</v>
      </c>
      <c r="E883" t="s">
        <v>1236</v>
      </c>
      <c r="G883" t="str">
        <f>_xlfn.XLOOKUP(frasest[[#This Row],[author_es]],autorest[author_es],autorest[author_la])</f>
        <v>Sententia Vasconica</v>
      </c>
      <c r="H883" t="str">
        <f>_xlfn.XLOOKUP(frasest[[#This Row],[author_es]],autorest[author_es],autorest[bio_es])</f>
        <v>Proverbios de la tradición oral vasca que reflejan la relación con la naturaleza, el trabajo y los valores comunitarios del pueblo vasco.</v>
      </c>
      <c r="I883" t="str">
        <f>_xlfn.XLOOKUP(frasest[[#This Row],[author_es]],autorest[author_es],autorest[bio_la])</f>
        <v>Collectio sententiarum Vasconicarum.</v>
      </c>
      <c r="J883" t="str">
        <f>_xlfn.XLOOKUP(frasest[[#This Row],[author_es]],autorest[author_es],autorest[iso3691])</f>
        <v>eu</v>
      </c>
      <c r="K883" t="str">
        <f>_xlfn.XLOOKUP(frasest[[#This Row],[author_es]],autorest[author_es],autorest[language_es])</f>
        <v>Euskara</v>
      </c>
      <c r="L883" t="str">
        <f>_xlfn.XLOOKUP(frasest[[#This Row],[author_es]],autorest[author_es],autorest[language_la])</f>
        <v>Lingua Vasconica</v>
      </c>
      <c r="M883" t="str">
        <f>_xlfn.XLOOKUP(frasest[[#This Row],[author_es]],autorest[author_es],autorest[nation_es])</f>
        <v>España</v>
      </c>
      <c r="N883" t="str">
        <f>_xlfn.XLOOKUP(frasest[[#This Row],[author_es]],autorest[author_es],autorest[nation_la])</f>
        <v>Hispania</v>
      </c>
      <c r="O883" t="str">
        <f>_xlfn.XLOOKUP(frasest[[#This Row],[author_es]],autorest[author_es],autorest[age_es])</f>
        <v>Epoca Desconocida</v>
      </c>
      <c r="P883" t="str">
        <f>_xlfn.XLOOKUP(frasest[[#This Row],[author_es]],autorest[author_es],autorest[age_la])</f>
        <v>Epocha Ignota</v>
      </c>
      <c r="Q883" t="str">
        <f>_xlfn.XLOOKUP(frasest[[#This Row],[author_es]],autorest[author_es],autorest[image])</f>
        <v>https://i.ibb.co/bjgxB3kn/euskadi.png</v>
      </c>
      <c r="R883">
        <f>_xlfn.XLOOKUP(frasest[[#This Row],[author_es]],autorest[author_es],autorest[image_atr])</f>
        <v>0</v>
      </c>
    </row>
    <row r="884" spans="1:18">
      <c r="A884">
        <v>883</v>
      </c>
      <c r="B884" t="s">
        <v>2923</v>
      </c>
      <c r="C884" t="s">
        <v>2924</v>
      </c>
      <c r="D884" t="s">
        <v>2925</v>
      </c>
      <c r="E884" t="s">
        <v>1236</v>
      </c>
      <c r="G884" t="str">
        <f>_xlfn.XLOOKUP(frasest[[#This Row],[author_es]],autorest[author_es],autorest[author_la])</f>
        <v>Sententia Vasconica</v>
      </c>
      <c r="H884" t="str">
        <f>_xlfn.XLOOKUP(frasest[[#This Row],[author_es]],autorest[author_es],autorest[bio_es])</f>
        <v>Proverbios de la tradición oral vasca que reflejan la relación con la naturaleza, el trabajo y los valores comunitarios del pueblo vasco.</v>
      </c>
      <c r="I884" t="str">
        <f>_xlfn.XLOOKUP(frasest[[#This Row],[author_es]],autorest[author_es],autorest[bio_la])</f>
        <v>Collectio sententiarum Vasconicarum.</v>
      </c>
      <c r="J884" t="str">
        <f>_xlfn.XLOOKUP(frasest[[#This Row],[author_es]],autorest[author_es],autorest[iso3691])</f>
        <v>eu</v>
      </c>
      <c r="K884" t="str">
        <f>_xlfn.XLOOKUP(frasest[[#This Row],[author_es]],autorest[author_es],autorest[language_es])</f>
        <v>Euskara</v>
      </c>
      <c r="L884" t="str">
        <f>_xlfn.XLOOKUP(frasest[[#This Row],[author_es]],autorest[author_es],autorest[language_la])</f>
        <v>Lingua Vasconica</v>
      </c>
      <c r="M884" t="str">
        <f>_xlfn.XLOOKUP(frasest[[#This Row],[author_es]],autorest[author_es],autorest[nation_es])</f>
        <v>España</v>
      </c>
      <c r="N884" t="str">
        <f>_xlfn.XLOOKUP(frasest[[#This Row],[author_es]],autorest[author_es],autorest[nation_la])</f>
        <v>Hispania</v>
      </c>
      <c r="O884" t="str">
        <f>_xlfn.XLOOKUP(frasest[[#This Row],[author_es]],autorest[author_es],autorest[age_es])</f>
        <v>Epoca Desconocida</v>
      </c>
      <c r="P884" t="str">
        <f>_xlfn.XLOOKUP(frasest[[#This Row],[author_es]],autorest[author_es],autorest[age_la])</f>
        <v>Epocha Ignota</v>
      </c>
      <c r="Q884" t="str">
        <f>_xlfn.XLOOKUP(frasest[[#This Row],[author_es]],autorest[author_es],autorest[image])</f>
        <v>https://i.ibb.co/bjgxB3kn/euskadi.png</v>
      </c>
      <c r="R884">
        <f>_xlfn.XLOOKUP(frasest[[#This Row],[author_es]],autorest[author_es],autorest[image_atr])</f>
        <v>0</v>
      </c>
    </row>
    <row r="885" spans="1:18">
      <c r="A885">
        <v>884</v>
      </c>
      <c r="B885" t="s">
        <v>2926</v>
      </c>
      <c r="C885" t="s">
        <v>2927</v>
      </c>
      <c r="D885" t="s">
        <v>2928</v>
      </c>
      <c r="E885" t="s">
        <v>1236</v>
      </c>
      <c r="G885" t="str">
        <f>_xlfn.XLOOKUP(frasest[[#This Row],[author_es]],autorest[author_es],autorest[author_la])</f>
        <v>Sententia Vasconica</v>
      </c>
      <c r="H885" t="str">
        <f>_xlfn.XLOOKUP(frasest[[#This Row],[author_es]],autorest[author_es],autorest[bio_es])</f>
        <v>Proverbios de la tradición oral vasca que reflejan la relación con la naturaleza, el trabajo y los valores comunitarios del pueblo vasco.</v>
      </c>
      <c r="I885" t="str">
        <f>_xlfn.XLOOKUP(frasest[[#This Row],[author_es]],autorest[author_es],autorest[bio_la])</f>
        <v>Collectio sententiarum Vasconicarum.</v>
      </c>
      <c r="J885" t="str">
        <f>_xlfn.XLOOKUP(frasest[[#This Row],[author_es]],autorest[author_es],autorest[iso3691])</f>
        <v>eu</v>
      </c>
      <c r="K885" t="str">
        <f>_xlfn.XLOOKUP(frasest[[#This Row],[author_es]],autorest[author_es],autorest[language_es])</f>
        <v>Euskara</v>
      </c>
      <c r="L885" t="str">
        <f>_xlfn.XLOOKUP(frasest[[#This Row],[author_es]],autorest[author_es],autorest[language_la])</f>
        <v>Lingua Vasconica</v>
      </c>
      <c r="M885" t="str">
        <f>_xlfn.XLOOKUP(frasest[[#This Row],[author_es]],autorest[author_es],autorest[nation_es])</f>
        <v>España</v>
      </c>
      <c r="N885" t="str">
        <f>_xlfn.XLOOKUP(frasest[[#This Row],[author_es]],autorest[author_es],autorest[nation_la])</f>
        <v>Hispania</v>
      </c>
      <c r="O885" t="str">
        <f>_xlfn.XLOOKUP(frasest[[#This Row],[author_es]],autorest[author_es],autorest[age_es])</f>
        <v>Epoca Desconocida</v>
      </c>
      <c r="P885" t="str">
        <f>_xlfn.XLOOKUP(frasest[[#This Row],[author_es]],autorest[author_es],autorest[age_la])</f>
        <v>Epocha Ignota</v>
      </c>
      <c r="Q885" t="str">
        <f>_xlfn.XLOOKUP(frasest[[#This Row],[author_es]],autorest[author_es],autorest[image])</f>
        <v>https://i.ibb.co/bjgxB3kn/euskadi.png</v>
      </c>
      <c r="R885">
        <f>_xlfn.XLOOKUP(frasest[[#This Row],[author_es]],autorest[author_es],autorest[image_atr])</f>
        <v>0</v>
      </c>
    </row>
    <row r="886" spans="1:18">
      <c r="A886">
        <v>885</v>
      </c>
      <c r="B886" t="s">
        <v>2929</v>
      </c>
      <c r="C886" t="s">
        <v>2930</v>
      </c>
      <c r="D886" t="s">
        <v>2931</v>
      </c>
      <c r="E886" t="s">
        <v>1236</v>
      </c>
      <c r="G886" t="str">
        <f>_xlfn.XLOOKUP(frasest[[#This Row],[author_es]],autorest[author_es],autorest[author_la])</f>
        <v>Sententia Vasconica</v>
      </c>
      <c r="H886" t="str">
        <f>_xlfn.XLOOKUP(frasest[[#This Row],[author_es]],autorest[author_es],autorest[bio_es])</f>
        <v>Proverbios de la tradición oral vasca que reflejan la relación con la naturaleza, el trabajo y los valores comunitarios del pueblo vasco.</v>
      </c>
      <c r="I886" t="str">
        <f>_xlfn.XLOOKUP(frasest[[#This Row],[author_es]],autorest[author_es],autorest[bio_la])</f>
        <v>Collectio sententiarum Vasconicarum.</v>
      </c>
      <c r="J886" t="str">
        <f>_xlfn.XLOOKUP(frasest[[#This Row],[author_es]],autorest[author_es],autorest[iso3691])</f>
        <v>eu</v>
      </c>
      <c r="K886" t="str">
        <f>_xlfn.XLOOKUP(frasest[[#This Row],[author_es]],autorest[author_es],autorest[language_es])</f>
        <v>Euskara</v>
      </c>
      <c r="L886" t="str">
        <f>_xlfn.XLOOKUP(frasest[[#This Row],[author_es]],autorest[author_es],autorest[language_la])</f>
        <v>Lingua Vasconica</v>
      </c>
      <c r="M886" t="str">
        <f>_xlfn.XLOOKUP(frasest[[#This Row],[author_es]],autorest[author_es],autorest[nation_es])</f>
        <v>España</v>
      </c>
      <c r="N886" t="str">
        <f>_xlfn.XLOOKUP(frasest[[#This Row],[author_es]],autorest[author_es],autorest[nation_la])</f>
        <v>Hispania</v>
      </c>
      <c r="O886" t="str">
        <f>_xlfn.XLOOKUP(frasest[[#This Row],[author_es]],autorest[author_es],autorest[age_es])</f>
        <v>Epoca Desconocida</v>
      </c>
      <c r="P886" t="str">
        <f>_xlfn.XLOOKUP(frasest[[#This Row],[author_es]],autorest[author_es],autorest[age_la])</f>
        <v>Epocha Ignota</v>
      </c>
      <c r="Q886" t="str">
        <f>_xlfn.XLOOKUP(frasest[[#This Row],[author_es]],autorest[author_es],autorest[image])</f>
        <v>https://i.ibb.co/bjgxB3kn/euskadi.png</v>
      </c>
      <c r="R886">
        <f>_xlfn.XLOOKUP(frasest[[#This Row],[author_es]],autorest[author_es],autorest[image_atr])</f>
        <v>0</v>
      </c>
    </row>
    <row r="887" spans="1:18">
      <c r="A887">
        <v>886</v>
      </c>
      <c r="B887" t="s">
        <v>2932</v>
      </c>
      <c r="C887" t="s">
        <v>2933</v>
      </c>
      <c r="D887" t="s">
        <v>2934</v>
      </c>
      <c r="E887" t="s">
        <v>1236</v>
      </c>
      <c r="G887" t="str">
        <f>_xlfn.XLOOKUP(frasest[[#This Row],[author_es]],autorest[author_es],autorest[author_la])</f>
        <v>Sententia Vasconica</v>
      </c>
      <c r="H887" t="str">
        <f>_xlfn.XLOOKUP(frasest[[#This Row],[author_es]],autorest[author_es],autorest[bio_es])</f>
        <v>Proverbios de la tradición oral vasca que reflejan la relación con la naturaleza, el trabajo y los valores comunitarios del pueblo vasco.</v>
      </c>
      <c r="I887" t="str">
        <f>_xlfn.XLOOKUP(frasest[[#This Row],[author_es]],autorest[author_es],autorest[bio_la])</f>
        <v>Collectio sententiarum Vasconicarum.</v>
      </c>
      <c r="J887" t="str">
        <f>_xlfn.XLOOKUP(frasest[[#This Row],[author_es]],autorest[author_es],autorest[iso3691])</f>
        <v>eu</v>
      </c>
      <c r="K887" t="str">
        <f>_xlfn.XLOOKUP(frasest[[#This Row],[author_es]],autorest[author_es],autorest[language_es])</f>
        <v>Euskara</v>
      </c>
      <c r="L887" t="str">
        <f>_xlfn.XLOOKUP(frasest[[#This Row],[author_es]],autorest[author_es],autorest[language_la])</f>
        <v>Lingua Vasconica</v>
      </c>
      <c r="M887" t="str">
        <f>_xlfn.XLOOKUP(frasest[[#This Row],[author_es]],autorest[author_es],autorest[nation_es])</f>
        <v>España</v>
      </c>
      <c r="N887" t="str">
        <f>_xlfn.XLOOKUP(frasest[[#This Row],[author_es]],autorest[author_es],autorest[nation_la])</f>
        <v>Hispania</v>
      </c>
      <c r="O887" t="str">
        <f>_xlfn.XLOOKUP(frasest[[#This Row],[author_es]],autorest[author_es],autorest[age_es])</f>
        <v>Epoca Desconocida</v>
      </c>
      <c r="P887" t="str">
        <f>_xlfn.XLOOKUP(frasest[[#This Row],[author_es]],autorest[author_es],autorest[age_la])</f>
        <v>Epocha Ignota</v>
      </c>
      <c r="Q887" t="str">
        <f>_xlfn.XLOOKUP(frasest[[#This Row],[author_es]],autorest[author_es],autorest[image])</f>
        <v>https://i.ibb.co/bjgxB3kn/euskadi.png</v>
      </c>
      <c r="R887">
        <f>_xlfn.XLOOKUP(frasest[[#This Row],[author_es]],autorest[author_es],autorest[image_atr])</f>
        <v>0</v>
      </c>
    </row>
    <row r="888" spans="1:18">
      <c r="A888">
        <v>887</v>
      </c>
      <c r="B888" t="s">
        <v>2935</v>
      </c>
      <c r="C888" t="s">
        <v>2936</v>
      </c>
      <c r="D888" t="s">
        <v>2937</v>
      </c>
      <c r="E888" t="s">
        <v>1236</v>
      </c>
      <c r="G888" t="str">
        <f>_xlfn.XLOOKUP(frasest[[#This Row],[author_es]],autorest[author_es],autorest[author_la])</f>
        <v>Sententia Vasconica</v>
      </c>
      <c r="H888" t="str">
        <f>_xlfn.XLOOKUP(frasest[[#This Row],[author_es]],autorest[author_es],autorest[bio_es])</f>
        <v>Proverbios de la tradición oral vasca que reflejan la relación con la naturaleza, el trabajo y los valores comunitarios del pueblo vasco.</v>
      </c>
      <c r="I888" t="str">
        <f>_xlfn.XLOOKUP(frasest[[#This Row],[author_es]],autorest[author_es],autorest[bio_la])</f>
        <v>Collectio sententiarum Vasconicarum.</v>
      </c>
      <c r="J888" t="str">
        <f>_xlfn.XLOOKUP(frasest[[#This Row],[author_es]],autorest[author_es],autorest[iso3691])</f>
        <v>eu</v>
      </c>
      <c r="K888" t="str">
        <f>_xlfn.XLOOKUP(frasest[[#This Row],[author_es]],autorest[author_es],autorest[language_es])</f>
        <v>Euskara</v>
      </c>
      <c r="L888" t="str">
        <f>_xlfn.XLOOKUP(frasest[[#This Row],[author_es]],autorest[author_es],autorest[language_la])</f>
        <v>Lingua Vasconica</v>
      </c>
      <c r="M888" t="str">
        <f>_xlfn.XLOOKUP(frasest[[#This Row],[author_es]],autorest[author_es],autorest[nation_es])</f>
        <v>España</v>
      </c>
      <c r="N888" t="str">
        <f>_xlfn.XLOOKUP(frasest[[#This Row],[author_es]],autorest[author_es],autorest[nation_la])</f>
        <v>Hispania</v>
      </c>
      <c r="O888" t="str">
        <f>_xlfn.XLOOKUP(frasest[[#This Row],[author_es]],autorest[author_es],autorest[age_es])</f>
        <v>Epoca Desconocida</v>
      </c>
      <c r="P888" t="str">
        <f>_xlfn.XLOOKUP(frasest[[#This Row],[author_es]],autorest[author_es],autorest[age_la])</f>
        <v>Epocha Ignota</v>
      </c>
      <c r="Q888" t="str">
        <f>_xlfn.XLOOKUP(frasest[[#This Row],[author_es]],autorest[author_es],autorest[image])</f>
        <v>https://i.ibb.co/bjgxB3kn/euskadi.png</v>
      </c>
      <c r="R888">
        <f>_xlfn.XLOOKUP(frasest[[#This Row],[author_es]],autorest[author_es],autorest[image_atr])</f>
        <v>0</v>
      </c>
    </row>
    <row r="889" spans="1:18">
      <c r="A889">
        <v>888</v>
      </c>
      <c r="B889" t="s">
        <v>2938</v>
      </c>
      <c r="C889" t="s">
        <v>2939</v>
      </c>
      <c r="D889" t="s">
        <v>2940</v>
      </c>
      <c r="E889" t="s">
        <v>1236</v>
      </c>
      <c r="G889" t="str">
        <f>_xlfn.XLOOKUP(frasest[[#This Row],[author_es]],autorest[author_es],autorest[author_la])</f>
        <v>Sententia Vasconica</v>
      </c>
      <c r="H889" t="str">
        <f>_xlfn.XLOOKUP(frasest[[#This Row],[author_es]],autorest[author_es],autorest[bio_es])</f>
        <v>Proverbios de la tradición oral vasca que reflejan la relación con la naturaleza, el trabajo y los valores comunitarios del pueblo vasco.</v>
      </c>
      <c r="I889" t="str">
        <f>_xlfn.XLOOKUP(frasest[[#This Row],[author_es]],autorest[author_es],autorest[bio_la])</f>
        <v>Collectio sententiarum Vasconicarum.</v>
      </c>
      <c r="J889" t="str">
        <f>_xlfn.XLOOKUP(frasest[[#This Row],[author_es]],autorest[author_es],autorest[iso3691])</f>
        <v>eu</v>
      </c>
      <c r="K889" t="str">
        <f>_xlfn.XLOOKUP(frasest[[#This Row],[author_es]],autorest[author_es],autorest[language_es])</f>
        <v>Euskara</v>
      </c>
      <c r="L889" t="str">
        <f>_xlfn.XLOOKUP(frasest[[#This Row],[author_es]],autorest[author_es],autorest[language_la])</f>
        <v>Lingua Vasconica</v>
      </c>
      <c r="M889" t="str">
        <f>_xlfn.XLOOKUP(frasest[[#This Row],[author_es]],autorest[author_es],autorest[nation_es])</f>
        <v>España</v>
      </c>
      <c r="N889" t="str">
        <f>_xlfn.XLOOKUP(frasest[[#This Row],[author_es]],autorest[author_es],autorest[nation_la])</f>
        <v>Hispania</v>
      </c>
      <c r="O889" t="str">
        <f>_xlfn.XLOOKUP(frasest[[#This Row],[author_es]],autorest[author_es],autorest[age_es])</f>
        <v>Epoca Desconocida</v>
      </c>
      <c r="P889" t="str">
        <f>_xlfn.XLOOKUP(frasest[[#This Row],[author_es]],autorest[author_es],autorest[age_la])</f>
        <v>Epocha Ignota</v>
      </c>
      <c r="Q889" t="str">
        <f>_xlfn.XLOOKUP(frasest[[#This Row],[author_es]],autorest[author_es],autorest[image])</f>
        <v>https://i.ibb.co/bjgxB3kn/euskadi.png</v>
      </c>
      <c r="R889">
        <f>_xlfn.XLOOKUP(frasest[[#This Row],[author_es]],autorest[author_es],autorest[image_atr])</f>
        <v>0</v>
      </c>
    </row>
    <row r="890" spans="1:18">
      <c r="A890">
        <v>889</v>
      </c>
      <c r="B890" t="s">
        <v>2941</v>
      </c>
      <c r="C890" t="s">
        <v>2942</v>
      </c>
      <c r="D890" t="s">
        <v>2943</v>
      </c>
      <c r="E890" t="s">
        <v>1236</v>
      </c>
      <c r="G890" t="str">
        <f>_xlfn.XLOOKUP(frasest[[#This Row],[author_es]],autorest[author_es],autorest[author_la])</f>
        <v>Sententia Vasconica</v>
      </c>
      <c r="H890" t="str">
        <f>_xlfn.XLOOKUP(frasest[[#This Row],[author_es]],autorest[author_es],autorest[bio_es])</f>
        <v>Proverbios de la tradición oral vasca que reflejan la relación con la naturaleza, el trabajo y los valores comunitarios del pueblo vasco.</v>
      </c>
      <c r="I890" t="str">
        <f>_xlfn.XLOOKUP(frasest[[#This Row],[author_es]],autorest[author_es],autorest[bio_la])</f>
        <v>Collectio sententiarum Vasconicarum.</v>
      </c>
      <c r="J890" t="str">
        <f>_xlfn.XLOOKUP(frasest[[#This Row],[author_es]],autorest[author_es],autorest[iso3691])</f>
        <v>eu</v>
      </c>
      <c r="K890" t="str">
        <f>_xlfn.XLOOKUP(frasest[[#This Row],[author_es]],autorest[author_es],autorest[language_es])</f>
        <v>Euskara</v>
      </c>
      <c r="L890" t="str">
        <f>_xlfn.XLOOKUP(frasest[[#This Row],[author_es]],autorest[author_es],autorest[language_la])</f>
        <v>Lingua Vasconica</v>
      </c>
      <c r="M890" t="str">
        <f>_xlfn.XLOOKUP(frasest[[#This Row],[author_es]],autorest[author_es],autorest[nation_es])</f>
        <v>España</v>
      </c>
      <c r="N890" t="str">
        <f>_xlfn.XLOOKUP(frasest[[#This Row],[author_es]],autorest[author_es],autorest[nation_la])</f>
        <v>Hispania</v>
      </c>
      <c r="O890" t="str">
        <f>_xlfn.XLOOKUP(frasest[[#This Row],[author_es]],autorest[author_es],autorest[age_es])</f>
        <v>Epoca Desconocida</v>
      </c>
      <c r="P890" t="str">
        <f>_xlfn.XLOOKUP(frasest[[#This Row],[author_es]],autorest[author_es],autorest[age_la])</f>
        <v>Epocha Ignota</v>
      </c>
      <c r="Q890" t="str">
        <f>_xlfn.XLOOKUP(frasest[[#This Row],[author_es]],autorest[author_es],autorest[image])</f>
        <v>https://i.ibb.co/bjgxB3kn/euskadi.png</v>
      </c>
      <c r="R890">
        <f>_xlfn.XLOOKUP(frasest[[#This Row],[author_es]],autorest[author_es],autorest[image_atr])</f>
        <v>0</v>
      </c>
    </row>
    <row r="891" spans="1:18">
      <c r="A891">
        <v>890</v>
      </c>
      <c r="B891" t="s">
        <v>2944</v>
      </c>
      <c r="C891" t="s">
        <v>2945</v>
      </c>
      <c r="D891" t="s">
        <v>2946</v>
      </c>
      <c r="E891" t="s">
        <v>1236</v>
      </c>
      <c r="G891" t="str">
        <f>_xlfn.XLOOKUP(frasest[[#This Row],[author_es]],autorest[author_es],autorest[author_la])</f>
        <v>Sententia Vasconica</v>
      </c>
      <c r="H891" t="str">
        <f>_xlfn.XLOOKUP(frasest[[#This Row],[author_es]],autorest[author_es],autorest[bio_es])</f>
        <v>Proverbios de la tradición oral vasca que reflejan la relación con la naturaleza, el trabajo y los valores comunitarios del pueblo vasco.</v>
      </c>
      <c r="I891" t="str">
        <f>_xlfn.XLOOKUP(frasest[[#This Row],[author_es]],autorest[author_es],autorest[bio_la])</f>
        <v>Collectio sententiarum Vasconicarum.</v>
      </c>
      <c r="J891" t="str">
        <f>_xlfn.XLOOKUP(frasest[[#This Row],[author_es]],autorest[author_es],autorest[iso3691])</f>
        <v>eu</v>
      </c>
      <c r="K891" t="str">
        <f>_xlfn.XLOOKUP(frasest[[#This Row],[author_es]],autorest[author_es],autorest[language_es])</f>
        <v>Euskara</v>
      </c>
      <c r="L891" t="str">
        <f>_xlfn.XLOOKUP(frasest[[#This Row],[author_es]],autorest[author_es],autorest[language_la])</f>
        <v>Lingua Vasconica</v>
      </c>
      <c r="M891" t="str">
        <f>_xlfn.XLOOKUP(frasest[[#This Row],[author_es]],autorest[author_es],autorest[nation_es])</f>
        <v>España</v>
      </c>
      <c r="N891" t="str">
        <f>_xlfn.XLOOKUP(frasest[[#This Row],[author_es]],autorest[author_es],autorest[nation_la])</f>
        <v>Hispania</v>
      </c>
      <c r="O891" t="str">
        <f>_xlfn.XLOOKUP(frasest[[#This Row],[author_es]],autorest[author_es],autorest[age_es])</f>
        <v>Epoca Desconocida</v>
      </c>
      <c r="P891" t="str">
        <f>_xlfn.XLOOKUP(frasest[[#This Row],[author_es]],autorest[author_es],autorest[age_la])</f>
        <v>Epocha Ignota</v>
      </c>
      <c r="Q891" t="str">
        <f>_xlfn.XLOOKUP(frasest[[#This Row],[author_es]],autorest[author_es],autorest[image])</f>
        <v>https://i.ibb.co/bjgxB3kn/euskadi.png</v>
      </c>
      <c r="R891">
        <f>_xlfn.XLOOKUP(frasest[[#This Row],[author_es]],autorest[author_es],autorest[image_atr])</f>
        <v>0</v>
      </c>
    </row>
    <row r="892" spans="1:18">
      <c r="A892">
        <v>891</v>
      </c>
      <c r="B892" t="s">
        <v>2947</v>
      </c>
      <c r="C892" t="s">
        <v>2948</v>
      </c>
      <c r="D892" t="s">
        <v>2949</v>
      </c>
      <c r="E892" t="s">
        <v>1236</v>
      </c>
      <c r="G892" t="str">
        <f>_xlfn.XLOOKUP(frasest[[#This Row],[author_es]],autorest[author_es],autorest[author_la])</f>
        <v>Sententia Vasconica</v>
      </c>
      <c r="H892" t="str">
        <f>_xlfn.XLOOKUP(frasest[[#This Row],[author_es]],autorest[author_es],autorest[bio_es])</f>
        <v>Proverbios de la tradición oral vasca que reflejan la relación con la naturaleza, el trabajo y los valores comunitarios del pueblo vasco.</v>
      </c>
      <c r="I892" t="str">
        <f>_xlfn.XLOOKUP(frasest[[#This Row],[author_es]],autorest[author_es],autorest[bio_la])</f>
        <v>Collectio sententiarum Vasconicarum.</v>
      </c>
      <c r="J892" t="str">
        <f>_xlfn.XLOOKUP(frasest[[#This Row],[author_es]],autorest[author_es],autorest[iso3691])</f>
        <v>eu</v>
      </c>
      <c r="K892" t="str">
        <f>_xlfn.XLOOKUP(frasest[[#This Row],[author_es]],autorest[author_es],autorest[language_es])</f>
        <v>Euskara</v>
      </c>
      <c r="L892" t="str">
        <f>_xlfn.XLOOKUP(frasest[[#This Row],[author_es]],autorest[author_es],autorest[language_la])</f>
        <v>Lingua Vasconica</v>
      </c>
      <c r="M892" t="str">
        <f>_xlfn.XLOOKUP(frasest[[#This Row],[author_es]],autorest[author_es],autorest[nation_es])</f>
        <v>España</v>
      </c>
      <c r="N892" t="str">
        <f>_xlfn.XLOOKUP(frasest[[#This Row],[author_es]],autorest[author_es],autorest[nation_la])</f>
        <v>Hispania</v>
      </c>
      <c r="O892" t="str">
        <f>_xlfn.XLOOKUP(frasest[[#This Row],[author_es]],autorest[author_es],autorest[age_es])</f>
        <v>Epoca Desconocida</v>
      </c>
      <c r="P892" t="str">
        <f>_xlfn.XLOOKUP(frasest[[#This Row],[author_es]],autorest[author_es],autorest[age_la])</f>
        <v>Epocha Ignota</v>
      </c>
      <c r="Q892" t="str">
        <f>_xlfn.XLOOKUP(frasest[[#This Row],[author_es]],autorest[author_es],autorest[image])</f>
        <v>https://i.ibb.co/bjgxB3kn/euskadi.png</v>
      </c>
      <c r="R892">
        <f>_xlfn.XLOOKUP(frasest[[#This Row],[author_es]],autorest[author_es],autorest[image_atr])</f>
        <v>0</v>
      </c>
    </row>
    <row r="893" spans="1:18">
      <c r="A893">
        <v>892</v>
      </c>
      <c r="B893" t="s">
        <v>2950</v>
      </c>
      <c r="C893" t="s">
        <v>2951</v>
      </c>
      <c r="D893" t="s">
        <v>2952</v>
      </c>
      <c r="E893" t="s">
        <v>1236</v>
      </c>
      <c r="G893" t="str">
        <f>_xlfn.XLOOKUP(frasest[[#This Row],[author_es]],autorest[author_es],autorest[author_la])</f>
        <v>Sententia Vasconica</v>
      </c>
      <c r="H893" t="str">
        <f>_xlfn.XLOOKUP(frasest[[#This Row],[author_es]],autorest[author_es],autorest[bio_es])</f>
        <v>Proverbios de la tradición oral vasca que reflejan la relación con la naturaleza, el trabajo y los valores comunitarios del pueblo vasco.</v>
      </c>
      <c r="I893" t="str">
        <f>_xlfn.XLOOKUP(frasest[[#This Row],[author_es]],autorest[author_es],autorest[bio_la])</f>
        <v>Collectio sententiarum Vasconicarum.</v>
      </c>
      <c r="J893" t="str">
        <f>_xlfn.XLOOKUP(frasest[[#This Row],[author_es]],autorest[author_es],autorest[iso3691])</f>
        <v>eu</v>
      </c>
      <c r="K893" t="str">
        <f>_xlfn.XLOOKUP(frasest[[#This Row],[author_es]],autorest[author_es],autorest[language_es])</f>
        <v>Euskara</v>
      </c>
      <c r="L893" t="str">
        <f>_xlfn.XLOOKUP(frasest[[#This Row],[author_es]],autorest[author_es],autorest[language_la])</f>
        <v>Lingua Vasconica</v>
      </c>
      <c r="M893" t="str">
        <f>_xlfn.XLOOKUP(frasest[[#This Row],[author_es]],autorest[author_es],autorest[nation_es])</f>
        <v>España</v>
      </c>
      <c r="N893" t="str">
        <f>_xlfn.XLOOKUP(frasest[[#This Row],[author_es]],autorest[author_es],autorest[nation_la])</f>
        <v>Hispania</v>
      </c>
      <c r="O893" t="str">
        <f>_xlfn.XLOOKUP(frasest[[#This Row],[author_es]],autorest[author_es],autorest[age_es])</f>
        <v>Epoca Desconocida</v>
      </c>
      <c r="P893" t="str">
        <f>_xlfn.XLOOKUP(frasest[[#This Row],[author_es]],autorest[author_es],autorest[age_la])</f>
        <v>Epocha Ignota</v>
      </c>
      <c r="Q893" t="str">
        <f>_xlfn.XLOOKUP(frasest[[#This Row],[author_es]],autorest[author_es],autorest[image])</f>
        <v>https://i.ibb.co/bjgxB3kn/euskadi.png</v>
      </c>
      <c r="R893">
        <f>_xlfn.XLOOKUP(frasest[[#This Row],[author_es]],autorest[author_es],autorest[image_atr])</f>
        <v>0</v>
      </c>
    </row>
    <row r="894" spans="1:18">
      <c r="A894">
        <v>893</v>
      </c>
      <c r="B894" t="s">
        <v>2953</v>
      </c>
      <c r="C894" t="s">
        <v>2954</v>
      </c>
      <c r="D894" t="s">
        <v>2955</v>
      </c>
      <c r="E894" t="s">
        <v>1236</v>
      </c>
      <c r="G894" t="str">
        <f>_xlfn.XLOOKUP(frasest[[#This Row],[author_es]],autorest[author_es],autorest[author_la])</f>
        <v>Sententia Vasconica</v>
      </c>
      <c r="H894" t="str">
        <f>_xlfn.XLOOKUP(frasest[[#This Row],[author_es]],autorest[author_es],autorest[bio_es])</f>
        <v>Proverbios de la tradición oral vasca que reflejan la relación con la naturaleza, el trabajo y los valores comunitarios del pueblo vasco.</v>
      </c>
      <c r="I894" t="str">
        <f>_xlfn.XLOOKUP(frasest[[#This Row],[author_es]],autorest[author_es],autorest[bio_la])</f>
        <v>Collectio sententiarum Vasconicarum.</v>
      </c>
      <c r="J894" t="str">
        <f>_xlfn.XLOOKUP(frasest[[#This Row],[author_es]],autorest[author_es],autorest[iso3691])</f>
        <v>eu</v>
      </c>
      <c r="K894" t="str">
        <f>_xlfn.XLOOKUP(frasest[[#This Row],[author_es]],autorest[author_es],autorest[language_es])</f>
        <v>Euskara</v>
      </c>
      <c r="L894" t="str">
        <f>_xlfn.XLOOKUP(frasest[[#This Row],[author_es]],autorest[author_es],autorest[language_la])</f>
        <v>Lingua Vasconica</v>
      </c>
      <c r="M894" t="str">
        <f>_xlfn.XLOOKUP(frasest[[#This Row],[author_es]],autorest[author_es],autorest[nation_es])</f>
        <v>España</v>
      </c>
      <c r="N894" t="str">
        <f>_xlfn.XLOOKUP(frasest[[#This Row],[author_es]],autorest[author_es],autorest[nation_la])</f>
        <v>Hispania</v>
      </c>
      <c r="O894" t="str">
        <f>_xlfn.XLOOKUP(frasest[[#This Row],[author_es]],autorest[author_es],autorest[age_es])</f>
        <v>Epoca Desconocida</v>
      </c>
      <c r="P894" t="str">
        <f>_xlfn.XLOOKUP(frasest[[#This Row],[author_es]],autorest[author_es],autorest[age_la])</f>
        <v>Epocha Ignota</v>
      </c>
      <c r="Q894" t="str">
        <f>_xlfn.XLOOKUP(frasest[[#This Row],[author_es]],autorest[author_es],autorest[image])</f>
        <v>https://i.ibb.co/bjgxB3kn/euskadi.png</v>
      </c>
      <c r="R894">
        <f>_xlfn.XLOOKUP(frasest[[#This Row],[author_es]],autorest[author_es],autorest[image_atr])</f>
        <v>0</v>
      </c>
    </row>
    <row r="895" spans="1:18">
      <c r="A895">
        <v>894</v>
      </c>
      <c r="B895" t="s">
        <v>2956</v>
      </c>
      <c r="C895" t="s">
        <v>2957</v>
      </c>
      <c r="D895" t="s">
        <v>2958</v>
      </c>
      <c r="E895" t="s">
        <v>1236</v>
      </c>
      <c r="G895" t="str">
        <f>_xlfn.XLOOKUP(frasest[[#This Row],[author_es]],autorest[author_es],autorest[author_la])</f>
        <v>Sententia Vasconica</v>
      </c>
      <c r="H895" t="str">
        <f>_xlfn.XLOOKUP(frasest[[#This Row],[author_es]],autorest[author_es],autorest[bio_es])</f>
        <v>Proverbios de la tradición oral vasca que reflejan la relación con la naturaleza, el trabajo y los valores comunitarios del pueblo vasco.</v>
      </c>
      <c r="I895" t="str">
        <f>_xlfn.XLOOKUP(frasest[[#This Row],[author_es]],autorest[author_es],autorest[bio_la])</f>
        <v>Collectio sententiarum Vasconicarum.</v>
      </c>
      <c r="J895" t="str">
        <f>_xlfn.XLOOKUP(frasest[[#This Row],[author_es]],autorest[author_es],autorest[iso3691])</f>
        <v>eu</v>
      </c>
      <c r="K895" t="str">
        <f>_xlfn.XLOOKUP(frasest[[#This Row],[author_es]],autorest[author_es],autorest[language_es])</f>
        <v>Euskara</v>
      </c>
      <c r="L895" t="str">
        <f>_xlfn.XLOOKUP(frasest[[#This Row],[author_es]],autorest[author_es],autorest[language_la])</f>
        <v>Lingua Vasconica</v>
      </c>
      <c r="M895" t="str">
        <f>_xlfn.XLOOKUP(frasest[[#This Row],[author_es]],autorest[author_es],autorest[nation_es])</f>
        <v>España</v>
      </c>
      <c r="N895" t="str">
        <f>_xlfn.XLOOKUP(frasest[[#This Row],[author_es]],autorest[author_es],autorest[nation_la])</f>
        <v>Hispania</v>
      </c>
      <c r="O895" t="str">
        <f>_xlfn.XLOOKUP(frasest[[#This Row],[author_es]],autorest[author_es],autorest[age_es])</f>
        <v>Epoca Desconocida</v>
      </c>
      <c r="P895" t="str">
        <f>_xlfn.XLOOKUP(frasest[[#This Row],[author_es]],autorest[author_es],autorest[age_la])</f>
        <v>Epocha Ignota</v>
      </c>
      <c r="Q895" t="str">
        <f>_xlfn.XLOOKUP(frasest[[#This Row],[author_es]],autorest[author_es],autorest[image])</f>
        <v>https://i.ibb.co/bjgxB3kn/euskadi.png</v>
      </c>
      <c r="R895">
        <f>_xlfn.XLOOKUP(frasest[[#This Row],[author_es]],autorest[author_es],autorest[image_atr])</f>
        <v>0</v>
      </c>
    </row>
    <row r="896" spans="1:18">
      <c r="A896">
        <v>895</v>
      </c>
      <c r="B896" t="s">
        <v>2959</v>
      </c>
      <c r="C896" t="s">
        <v>2960</v>
      </c>
      <c r="D896" t="s">
        <v>2961</v>
      </c>
      <c r="E896" t="s">
        <v>1236</v>
      </c>
      <c r="G896" t="str">
        <f>_xlfn.XLOOKUP(frasest[[#This Row],[author_es]],autorest[author_es],autorest[author_la])</f>
        <v>Sententia Vasconica</v>
      </c>
      <c r="H896" t="str">
        <f>_xlfn.XLOOKUP(frasest[[#This Row],[author_es]],autorest[author_es],autorest[bio_es])</f>
        <v>Proverbios de la tradición oral vasca que reflejan la relación con la naturaleza, el trabajo y los valores comunitarios del pueblo vasco.</v>
      </c>
      <c r="I896" t="str">
        <f>_xlfn.XLOOKUP(frasest[[#This Row],[author_es]],autorest[author_es],autorest[bio_la])</f>
        <v>Collectio sententiarum Vasconicarum.</v>
      </c>
      <c r="J896" t="str">
        <f>_xlfn.XLOOKUP(frasest[[#This Row],[author_es]],autorest[author_es],autorest[iso3691])</f>
        <v>eu</v>
      </c>
      <c r="K896" t="str">
        <f>_xlfn.XLOOKUP(frasest[[#This Row],[author_es]],autorest[author_es],autorest[language_es])</f>
        <v>Euskara</v>
      </c>
      <c r="L896" t="str">
        <f>_xlfn.XLOOKUP(frasest[[#This Row],[author_es]],autorest[author_es],autorest[language_la])</f>
        <v>Lingua Vasconica</v>
      </c>
      <c r="M896" t="str">
        <f>_xlfn.XLOOKUP(frasest[[#This Row],[author_es]],autorest[author_es],autorest[nation_es])</f>
        <v>España</v>
      </c>
      <c r="N896" t="str">
        <f>_xlfn.XLOOKUP(frasest[[#This Row],[author_es]],autorest[author_es],autorest[nation_la])</f>
        <v>Hispania</v>
      </c>
      <c r="O896" t="str">
        <f>_xlfn.XLOOKUP(frasest[[#This Row],[author_es]],autorest[author_es],autorest[age_es])</f>
        <v>Epoca Desconocida</v>
      </c>
      <c r="P896" t="str">
        <f>_xlfn.XLOOKUP(frasest[[#This Row],[author_es]],autorest[author_es],autorest[age_la])</f>
        <v>Epocha Ignota</v>
      </c>
      <c r="Q896" t="str">
        <f>_xlfn.XLOOKUP(frasest[[#This Row],[author_es]],autorest[author_es],autorest[image])</f>
        <v>https://i.ibb.co/bjgxB3kn/euskadi.png</v>
      </c>
      <c r="R896">
        <f>_xlfn.XLOOKUP(frasest[[#This Row],[author_es]],autorest[author_es],autorest[image_atr])</f>
        <v>0</v>
      </c>
    </row>
    <row r="897" spans="1:18">
      <c r="A897">
        <v>896</v>
      </c>
      <c r="B897" t="s">
        <v>2962</v>
      </c>
      <c r="C897" t="s">
        <v>2963</v>
      </c>
      <c r="D897" t="s">
        <v>2962</v>
      </c>
      <c r="E897" t="s">
        <v>24</v>
      </c>
      <c r="G897" t="str">
        <f>_xlfn.XLOOKUP(frasest[[#This Row],[author_es]],autorest[author_es],autorest[author_la])</f>
        <v>Sententia Hispanica</v>
      </c>
      <c r="H897" t="str">
        <f>_xlfn.XLOOKUP(frasest[[#This Row],[author_es]],autorest[author_es],autorest[bio_es])</f>
        <v>Refranes populares de la tradición oral hispana que expresan de forma breve y ingeniosa enseñanzas prácticas sobre la vida cotidiana.</v>
      </c>
      <c r="I897" t="str">
        <f>_xlfn.XLOOKUP(frasest[[#This Row],[author_es]],autorest[author_es],autorest[bio_la])</f>
        <v>Collectio sententiarum Hispanicarum.</v>
      </c>
      <c r="J897" t="str">
        <f>_xlfn.XLOOKUP(frasest[[#This Row],[author_es]],autorest[author_es],autorest[iso3691])</f>
        <v>es</v>
      </c>
      <c r="K897" t="str">
        <f>_xlfn.XLOOKUP(frasest[[#This Row],[author_es]],autorest[author_es],autorest[language_es])</f>
        <v>Español</v>
      </c>
      <c r="L897" t="str">
        <f>_xlfn.XLOOKUP(frasest[[#This Row],[author_es]],autorest[author_es],autorest[language_la])</f>
        <v>Lingua Hispanica</v>
      </c>
      <c r="M897" t="str">
        <f>_xlfn.XLOOKUP(frasest[[#This Row],[author_es]],autorest[author_es],autorest[nation_es])</f>
        <v>España</v>
      </c>
      <c r="N897" t="str">
        <f>_xlfn.XLOOKUP(frasest[[#This Row],[author_es]],autorest[author_es],autorest[nation_la])</f>
        <v>Hispania</v>
      </c>
      <c r="O897" t="str">
        <f>_xlfn.XLOOKUP(frasest[[#This Row],[author_es]],autorest[author_es],autorest[age_es])</f>
        <v>Epoca Desconocida</v>
      </c>
      <c r="P897" t="str">
        <f>_xlfn.XLOOKUP(frasest[[#This Row],[author_es]],autorest[author_es],autorest[age_la])</f>
        <v>Epocha Ignota</v>
      </c>
      <c r="Q897" t="str">
        <f>_xlfn.XLOOKUP(frasest[[#This Row],[author_es]],autorest[author_es],autorest[image])</f>
        <v>https://i.ibb.co/Y4f7TZWm/espa-a.png</v>
      </c>
      <c r="R897">
        <f>_xlfn.XLOOKUP(frasest[[#This Row],[author_es]],autorest[author_es],autorest[image_atr])</f>
        <v>0</v>
      </c>
    </row>
    <row r="898" spans="1:18">
      <c r="A898">
        <v>897</v>
      </c>
      <c r="B898" t="s">
        <v>2964</v>
      </c>
      <c r="C898" t="s">
        <v>2965</v>
      </c>
      <c r="D898" t="s">
        <v>2964</v>
      </c>
      <c r="E898" t="s">
        <v>24</v>
      </c>
      <c r="G898" t="str">
        <f>_xlfn.XLOOKUP(frasest[[#This Row],[author_es]],autorest[author_es],autorest[author_la])</f>
        <v>Sententia Hispanica</v>
      </c>
      <c r="H898" t="str">
        <f>_xlfn.XLOOKUP(frasest[[#This Row],[author_es]],autorest[author_es],autorest[bio_es])</f>
        <v>Refranes populares de la tradición oral hispana que expresan de forma breve y ingeniosa enseñanzas prácticas sobre la vida cotidiana.</v>
      </c>
      <c r="I898" t="str">
        <f>_xlfn.XLOOKUP(frasest[[#This Row],[author_es]],autorest[author_es],autorest[bio_la])</f>
        <v>Collectio sententiarum Hispanicarum.</v>
      </c>
      <c r="J898" t="str">
        <f>_xlfn.XLOOKUP(frasest[[#This Row],[author_es]],autorest[author_es],autorest[iso3691])</f>
        <v>es</v>
      </c>
      <c r="K898" t="str">
        <f>_xlfn.XLOOKUP(frasest[[#This Row],[author_es]],autorest[author_es],autorest[language_es])</f>
        <v>Español</v>
      </c>
      <c r="L898" t="str">
        <f>_xlfn.XLOOKUP(frasest[[#This Row],[author_es]],autorest[author_es],autorest[language_la])</f>
        <v>Lingua Hispanica</v>
      </c>
      <c r="M898" t="str">
        <f>_xlfn.XLOOKUP(frasest[[#This Row],[author_es]],autorest[author_es],autorest[nation_es])</f>
        <v>España</v>
      </c>
      <c r="N898" t="str">
        <f>_xlfn.XLOOKUP(frasest[[#This Row],[author_es]],autorest[author_es],autorest[nation_la])</f>
        <v>Hispania</v>
      </c>
      <c r="O898" t="str">
        <f>_xlfn.XLOOKUP(frasest[[#This Row],[author_es]],autorest[author_es],autorest[age_es])</f>
        <v>Epoca Desconocida</v>
      </c>
      <c r="P898" t="str">
        <f>_xlfn.XLOOKUP(frasest[[#This Row],[author_es]],autorest[author_es],autorest[age_la])</f>
        <v>Epocha Ignota</v>
      </c>
      <c r="Q898" t="str">
        <f>_xlfn.XLOOKUP(frasest[[#This Row],[author_es]],autorest[author_es],autorest[image])</f>
        <v>https://i.ibb.co/Y4f7TZWm/espa-a.png</v>
      </c>
      <c r="R898">
        <f>_xlfn.XLOOKUP(frasest[[#This Row],[author_es]],autorest[author_es],autorest[image_atr])</f>
        <v>0</v>
      </c>
    </row>
    <row r="899" spans="1:18">
      <c r="A899">
        <v>898</v>
      </c>
      <c r="B899" t="s">
        <v>2966</v>
      </c>
      <c r="C899" t="s">
        <v>2967</v>
      </c>
      <c r="D899" t="s">
        <v>2966</v>
      </c>
      <c r="E899" t="s">
        <v>24</v>
      </c>
      <c r="G899" t="str">
        <f>_xlfn.XLOOKUP(frasest[[#This Row],[author_es]],autorest[author_es],autorest[author_la])</f>
        <v>Sententia Hispanica</v>
      </c>
      <c r="H899" t="str">
        <f>_xlfn.XLOOKUP(frasest[[#This Row],[author_es]],autorest[author_es],autorest[bio_es])</f>
        <v>Refranes populares de la tradición oral hispana que expresan de forma breve y ingeniosa enseñanzas prácticas sobre la vida cotidiana.</v>
      </c>
      <c r="I899" t="str">
        <f>_xlfn.XLOOKUP(frasest[[#This Row],[author_es]],autorest[author_es],autorest[bio_la])</f>
        <v>Collectio sententiarum Hispanicarum.</v>
      </c>
      <c r="J899" t="str">
        <f>_xlfn.XLOOKUP(frasest[[#This Row],[author_es]],autorest[author_es],autorest[iso3691])</f>
        <v>es</v>
      </c>
      <c r="K899" t="str">
        <f>_xlfn.XLOOKUP(frasest[[#This Row],[author_es]],autorest[author_es],autorest[language_es])</f>
        <v>Español</v>
      </c>
      <c r="L899" t="str">
        <f>_xlfn.XLOOKUP(frasest[[#This Row],[author_es]],autorest[author_es],autorest[language_la])</f>
        <v>Lingua Hispanica</v>
      </c>
      <c r="M899" t="str">
        <f>_xlfn.XLOOKUP(frasest[[#This Row],[author_es]],autorest[author_es],autorest[nation_es])</f>
        <v>España</v>
      </c>
      <c r="N899" t="str">
        <f>_xlfn.XLOOKUP(frasest[[#This Row],[author_es]],autorest[author_es],autorest[nation_la])</f>
        <v>Hispania</v>
      </c>
      <c r="O899" t="str">
        <f>_xlfn.XLOOKUP(frasest[[#This Row],[author_es]],autorest[author_es],autorest[age_es])</f>
        <v>Epoca Desconocida</v>
      </c>
      <c r="P899" t="str">
        <f>_xlfn.XLOOKUP(frasest[[#This Row],[author_es]],autorest[author_es],autorest[age_la])</f>
        <v>Epocha Ignota</v>
      </c>
      <c r="Q899" t="str">
        <f>_xlfn.XLOOKUP(frasest[[#This Row],[author_es]],autorest[author_es],autorest[image])</f>
        <v>https://i.ibb.co/Y4f7TZWm/espa-a.png</v>
      </c>
      <c r="R899">
        <f>_xlfn.XLOOKUP(frasest[[#This Row],[author_es]],autorest[author_es],autorest[image_atr])</f>
        <v>0</v>
      </c>
    </row>
    <row r="900" spans="1:18">
      <c r="A900">
        <v>899</v>
      </c>
      <c r="B900" t="s">
        <v>2968</v>
      </c>
      <c r="C900" t="s">
        <v>2969</v>
      </c>
      <c r="D900" t="s">
        <v>2968</v>
      </c>
      <c r="E900" t="s">
        <v>24</v>
      </c>
      <c r="G900" t="str">
        <f>_xlfn.XLOOKUP(frasest[[#This Row],[author_es]],autorest[author_es],autorest[author_la])</f>
        <v>Sententia Hispanica</v>
      </c>
      <c r="H900" t="str">
        <f>_xlfn.XLOOKUP(frasest[[#This Row],[author_es]],autorest[author_es],autorest[bio_es])</f>
        <v>Refranes populares de la tradición oral hispana que expresan de forma breve y ingeniosa enseñanzas prácticas sobre la vida cotidiana.</v>
      </c>
      <c r="I900" t="str">
        <f>_xlfn.XLOOKUP(frasest[[#This Row],[author_es]],autorest[author_es],autorest[bio_la])</f>
        <v>Collectio sententiarum Hispanicarum.</v>
      </c>
      <c r="J900" t="str">
        <f>_xlfn.XLOOKUP(frasest[[#This Row],[author_es]],autorest[author_es],autorest[iso3691])</f>
        <v>es</v>
      </c>
      <c r="K900" t="str">
        <f>_xlfn.XLOOKUP(frasest[[#This Row],[author_es]],autorest[author_es],autorest[language_es])</f>
        <v>Español</v>
      </c>
      <c r="L900" t="str">
        <f>_xlfn.XLOOKUP(frasest[[#This Row],[author_es]],autorest[author_es],autorest[language_la])</f>
        <v>Lingua Hispanica</v>
      </c>
      <c r="M900" t="str">
        <f>_xlfn.XLOOKUP(frasest[[#This Row],[author_es]],autorest[author_es],autorest[nation_es])</f>
        <v>España</v>
      </c>
      <c r="N900" t="str">
        <f>_xlfn.XLOOKUP(frasest[[#This Row],[author_es]],autorest[author_es],autorest[nation_la])</f>
        <v>Hispania</v>
      </c>
      <c r="O900" t="str">
        <f>_xlfn.XLOOKUP(frasest[[#This Row],[author_es]],autorest[author_es],autorest[age_es])</f>
        <v>Epoca Desconocida</v>
      </c>
      <c r="P900" t="str">
        <f>_xlfn.XLOOKUP(frasest[[#This Row],[author_es]],autorest[author_es],autorest[age_la])</f>
        <v>Epocha Ignota</v>
      </c>
      <c r="Q900" t="str">
        <f>_xlfn.XLOOKUP(frasest[[#This Row],[author_es]],autorest[author_es],autorest[image])</f>
        <v>https://i.ibb.co/Y4f7TZWm/espa-a.png</v>
      </c>
      <c r="R900">
        <f>_xlfn.XLOOKUP(frasest[[#This Row],[author_es]],autorest[author_es],autorest[image_atr])</f>
        <v>0</v>
      </c>
    </row>
    <row r="901" spans="1:18">
      <c r="A901">
        <v>900</v>
      </c>
      <c r="B901" t="s">
        <v>2970</v>
      </c>
      <c r="C901" t="s">
        <v>2971</v>
      </c>
      <c r="D901" t="s">
        <v>2970</v>
      </c>
      <c r="E901" t="s">
        <v>24</v>
      </c>
      <c r="G901" t="str">
        <f>_xlfn.XLOOKUP(frasest[[#This Row],[author_es]],autorest[author_es],autorest[author_la])</f>
        <v>Sententia Hispanica</v>
      </c>
      <c r="H901" t="str">
        <f>_xlfn.XLOOKUP(frasest[[#This Row],[author_es]],autorest[author_es],autorest[bio_es])</f>
        <v>Refranes populares de la tradición oral hispana que expresan de forma breve y ingeniosa enseñanzas prácticas sobre la vida cotidiana.</v>
      </c>
      <c r="I901" t="str">
        <f>_xlfn.XLOOKUP(frasest[[#This Row],[author_es]],autorest[author_es],autorest[bio_la])</f>
        <v>Collectio sententiarum Hispanicarum.</v>
      </c>
      <c r="J901" t="str">
        <f>_xlfn.XLOOKUP(frasest[[#This Row],[author_es]],autorest[author_es],autorest[iso3691])</f>
        <v>es</v>
      </c>
      <c r="K901" t="str">
        <f>_xlfn.XLOOKUP(frasest[[#This Row],[author_es]],autorest[author_es],autorest[language_es])</f>
        <v>Español</v>
      </c>
      <c r="L901" t="str">
        <f>_xlfn.XLOOKUP(frasest[[#This Row],[author_es]],autorest[author_es],autorest[language_la])</f>
        <v>Lingua Hispanica</v>
      </c>
      <c r="M901" t="str">
        <f>_xlfn.XLOOKUP(frasest[[#This Row],[author_es]],autorest[author_es],autorest[nation_es])</f>
        <v>España</v>
      </c>
      <c r="N901" t="str">
        <f>_xlfn.XLOOKUP(frasest[[#This Row],[author_es]],autorest[author_es],autorest[nation_la])</f>
        <v>Hispania</v>
      </c>
      <c r="O901" t="str">
        <f>_xlfn.XLOOKUP(frasest[[#This Row],[author_es]],autorest[author_es],autorest[age_es])</f>
        <v>Epoca Desconocida</v>
      </c>
      <c r="P901" t="str">
        <f>_xlfn.XLOOKUP(frasest[[#This Row],[author_es]],autorest[author_es],autorest[age_la])</f>
        <v>Epocha Ignota</v>
      </c>
      <c r="Q901" t="str">
        <f>_xlfn.XLOOKUP(frasest[[#This Row],[author_es]],autorest[author_es],autorest[image])</f>
        <v>https://i.ibb.co/Y4f7TZWm/espa-a.png</v>
      </c>
      <c r="R901">
        <f>_xlfn.XLOOKUP(frasest[[#This Row],[author_es]],autorest[author_es],autorest[image_atr])</f>
        <v>0</v>
      </c>
    </row>
    <row r="902" spans="1:18">
      <c r="A902">
        <v>901</v>
      </c>
      <c r="B902" t="s">
        <v>2972</v>
      </c>
      <c r="C902" t="s">
        <v>2973</v>
      </c>
      <c r="D902" t="s">
        <v>2972</v>
      </c>
      <c r="E902" t="s">
        <v>24</v>
      </c>
      <c r="G902" t="str">
        <f>_xlfn.XLOOKUP(frasest[[#This Row],[author_es]],autorest[author_es],autorest[author_la])</f>
        <v>Sententia Hispanica</v>
      </c>
      <c r="H902" t="str">
        <f>_xlfn.XLOOKUP(frasest[[#This Row],[author_es]],autorest[author_es],autorest[bio_es])</f>
        <v>Refranes populares de la tradición oral hispana que expresan de forma breve y ingeniosa enseñanzas prácticas sobre la vida cotidiana.</v>
      </c>
      <c r="I902" t="str">
        <f>_xlfn.XLOOKUP(frasest[[#This Row],[author_es]],autorest[author_es],autorest[bio_la])</f>
        <v>Collectio sententiarum Hispanicarum.</v>
      </c>
      <c r="J902" t="str">
        <f>_xlfn.XLOOKUP(frasest[[#This Row],[author_es]],autorest[author_es],autorest[iso3691])</f>
        <v>es</v>
      </c>
      <c r="K902" t="str">
        <f>_xlfn.XLOOKUP(frasest[[#This Row],[author_es]],autorest[author_es],autorest[language_es])</f>
        <v>Español</v>
      </c>
      <c r="L902" t="str">
        <f>_xlfn.XLOOKUP(frasest[[#This Row],[author_es]],autorest[author_es],autorest[language_la])</f>
        <v>Lingua Hispanica</v>
      </c>
      <c r="M902" t="str">
        <f>_xlfn.XLOOKUP(frasest[[#This Row],[author_es]],autorest[author_es],autorest[nation_es])</f>
        <v>España</v>
      </c>
      <c r="N902" t="str">
        <f>_xlfn.XLOOKUP(frasest[[#This Row],[author_es]],autorest[author_es],autorest[nation_la])</f>
        <v>Hispania</v>
      </c>
      <c r="O902" t="str">
        <f>_xlfn.XLOOKUP(frasest[[#This Row],[author_es]],autorest[author_es],autorest[age_es])</f>
        <v>Epoca Desconocida</v>
      </c>
      <c r="P902" t="str">
        <f>_xlfn.XLOOKUP(frasest[[#This Row],[author_es]],autorest[author_es],autorest[age_la])</f>
        <v>Epocha Ignota</v>
      </c>
      <c r="Q902" t="str">
        <f>_xlfn.XLOOKUP(frasest[[#This Row],[author_es]],autorest[author_es],autorest[image])</f>
        <v>https://i.ibb.co/Y4f7TZWm/espa-a.png</v>
      </c>
      <c r="R902">
        <f>_xlfn.XLOOKUP(frasest[[#This Row],[author_es]],autorest[author_es],autorest[image_atr])</f>
        <v>0</v>
      </c>
    </row>
    <row r="903" spans="1:18">
      <c r="A903">
        <v>902</v>
      </c>
      <c r="B903" t="s">
        <v>2974</v>
      </c>
      <c r="C903" t="s">
        <v>2975</v>
      </c>
      <c r="D903" t="s">
        <v>2974</v>
      </c>
      <c r="E903" t="s">
        <v>24</v>
      </c>
      <c r="G903" t="str">
        <f>_xlfn.XLOOKUP(frasest[[#This Row],[author_es]],autorest[author_es],autorest[author_la])</f>
        <v>Sententia Hispanica</v>
      </c>
      <c r="H903" t="str">
        <f>_xlfn.XLOOKUP(frasest[[#This Row],[author_es]],autorest[author_es],autorest[bio_es])</f>
        <v>Refranes populares de la tradición oral hispana que expresan de forma breve y ingeniosa enseñanzas prácticas sobre la vida cotidiana.</v>
      </c>
      <c r="I903" t="str">
        <f>_xlfn.XLOOKUP(frasest[[#This Row],[author_es]],autorest[author_es],autorest[bio_la])</f>
        <v>Collectio sententiarum Hispanicarum.</v>
      </c>
      <c r="J903" t="str">
        <f>_xlfn.XLOOKUP(frasest[[#This Row],[author_es]],autorest[author_es],autorest[iso3691])</f>
        <v>es</v>
      </c>
      <c r="K903" t="str">
        <f>_xlfn.XLOOKUP(frasest[[#This Row],[author_es]],autorest[author_es],autorest[language_es])</f>
        <v>Español</v>
      </c>
      <c r="L903" t="str">
        <f>_xlfn.XLOOKUP(frasest[[#This Row],[author_es]],autorest[author_es],autorest[language_la])</f>
        <v>Lingua Hispanica</v>
      </c>
      <c r="M903" t="str">
        <f>_xlfn.XLOOKUP(frasest[[#This Row],[author_es]],autorest[author_es],autorest[nation_es])</f>
        <v>España</v>
      </c>
      <c r="N903" t="str">
        <f>_xlfn.XLOOKUP(frasest[[#This Row],[author_es]],autorest[author_es],autorest[nation_la])</f>
        <v>Hispania</v>
      </c>
      <c r="O903" t="str">
        <f>_xlfn.XLOOKUP(frasest[[#This Row],[author_es]],autorest[author_es],autorest[age_es])</f>
        <v>Epoca Desconocida</v>
      </c>
      <c r="P903" t="str">
        <f>_xlfn.XLOOKUP(frasest[[#This Row],[author_es]],autorest[author_es],autorest[age_la])</f>
        <v>Epocha Ignota</v>
      </c>
      <c r="Q903" t="str">
        <f>_xlfn.XLOOKUP(frasest[[#This Row],[author_es]],autorest[author_es],autorest[image])</f>
        <v>https://i.ibb.co/Y4f7TZWm/espa-a.png</v>
      </c>
      <c r="R903">
        <f>_xlfn.XLOOKUP(frasest[[#This Row],[author_es]],autorest[author_es],autorest[image_atr])</f>
        <v>0</v>
      </c>
    </row>
    <row r="904" spans="1:18">
      <c r="A904">
        <v>903</v>
      </c>
      <c r="B904" t="s">
        <v>2976</v>
      </c>
      <c r="C904" t="s">
        <v>2977</v>
      </c>
      <c r="D904" t="s">
        <v>2976</v>
      </c>
      <c r="E904" t="s">
        <v>24</v>
      </c>
      <c r="G904" t="str">
        <f>_xlfn.XLOOKUP(frasest[[#This Row],[author_es]],autorest[author_es],autorest[author_la])</f>
        <v>Sententia Hispanica</v>
      </c>
      <c r="H904" t="str">
        <f>_xlfn.XLOOKUP(frasest[[#This Row],[author_es]],autorest[author_es],autorest[bio_es])</f>
        <v>Refranes populares de la tradición oral hispana que expresan de forma breve y ingeniosa enseñanzas prácticas sobre la vida cotidiana.</v>
      </c>
      <c r="I904" t="str">
        <f>_xlfn.XLOOKUP(frasest[[#This Row],[author_es]],autorest[author_es],autorest[bio_la])</f>
        <v>Collectio sententiarum Hispanicarum.</v>
      </c>
      <c r="J904" t="str">
        <f>_xlfn.XLOOKUP(frasest[[#This Row],[author_es]],autorest[author_es],autorest[iso3691])</f>
        <v>es</v>
      </c>
      <c r="K904" t="str">
        <f>_xlfn.XLOOKUP(frasest[[#This Row],[author_es]],autorest[author_es],autorest[language_es])</f>
        <v>Español</v>
      </c>
      <c r="L904" t="str">
        <f>_xlfn.XLOOKUP(frasest[[#This Row],[author_es]],autorest[author_es],autorest[language_la])</f>
        <v>Lingua Hispanica</v>
      </c>
      <c r="M904" t="str">
        <f>_xlfn.XLOOKUP(frasest[[#This Row],[author_es]],autorest[author_es],autorest[nation_es])</f>
        <v>España</v>
      </c>
      <c r="N904" t="str">
        <f>_xlfn.XLOOKUP(frasest[[#This Row],[author_es]],autorest[author_es],autorest[nation_la])</f>
        <v>Hispania</v>
      </c>
      <c r="O904" t="str">
        <f>_xlfn.XLOOKUP(frasest[[#This Row],[author_es]],autorest[author_es],autorest[age_es])</f>
        <v>Epoca Desconocida</v>
      </c>
      <c r="P904" t="str">
        <f>_xlfn.XLOOKUP(frasest[[#This Row],[author_es]],autorest[author_es],autorest[age_la])</f>
        <v>Epocha Ignota</v>
      </c>
      <c r="Q904" t="str">
        <f>_xlfn.XLOOKUP(frasest[[#This Row],[author_es]],autorest[author_es],autorest[image])</f>
        <v>https://i.ibb.co/Y4f7TZWm/espa-a.png</v>
      </c>
      <c r="R904">
        <f>_xlfn.XLOOKUP(frasest[[#This Row],[author_es]],autorest[author_es],autorest[image_atr])</f>
        <v>0</v>
      </c>
    </row>
    <row r="905" spans="1:18">
      <c r="A905">
        <v>904</v>
      </c>
      <c r="B905" t="s">
        <v>2978</v>
      </c>
      <c r="C905" t="s">
        <v>2979</v>
      </c>
      <c r="D905" t="s">
        <v>2978</v>
      </c>
      <c r="E905" t="s">
        <v>24</v>
      </c>
      <c r="G905" t="str">
        <f>_xlfn.XLOOKUP(frasest[[#This Row],[author_es]],autorest[author_es],autorest[author_la])</f>
        <v>Sententia Hispanica</v>
      </c>
      <c r="H905" t="str">
        <f>_xlfn.XLOOKUP(frasest[[#This Row],[author_es]],autorest[author_es],autorest[bio_es])</f>
        <v>Refranes populares de la tradición oral hispana que expresan de forma breve y ingeniosa enseñanzas prácticas sobre la vida cotidiana.</v>
      </c>
      <c r="I905" t="str">
        <f>_xlfn.XLOOKUP(frasest[[#This Row],[author_es]],autorest[author_es],autorest[bio_la])</f>
        <v>Collectio sententiarum Hispanicarum.</v>
      </c>
      <c r="J905" t="str">
        <f>_xlfn.XLOOKUP(frasest[[#This Row],[author_es]],autorest[author_es],autorest[iso3691])</f>
        <v>es</v>
      </c>
      <c r="K905" t="str">
        <f>_xlfn.XLOOKUP(frasest[[#This Row],[author_es]],autorest[author_es],autorest[language_es])</f>
        <v>Español</v>
      </c>
      <c r="L905" t="str">
        <f>_xlfn.XLOOKUP(frasest[[#This Row],[author_es]],autorest[author_es],autorest[language_la])</f>
        <v>Lingua Hispanica</v>
      </c>
      <c r="M905" t="str">
        <f>_xlfn.XLOOKUP(frasest[[#This Row],[author_es]],autorest[author_es],autorest[nation_es])</f>
        <v>España</v>
      </c>
      <c r="N905" t="str">
        <f>_xlfn.XLOOKUP(frasest[[#This Row],[author_es]],autorest[author_es],autorest[nation_la])</f>
        <v>Hispania</v>
      </c>
      <c r="O905" t="str">
        <f>_xlfn.XLOOKUP(frasest[[#This Row],[author_es]],autorest[author_es],autorest[age_es])</f>
        <v>Epoca Desconocida</v>
      </c>
      <c r="P905" t="str">
        <f>_xlfn.XLOOKUP(frasest[[#This Row],[author_es]],autorest[author_es],autorest[age_la])</f>
        <v>Epocha Ignota</v>
      </c>
      <c r="Q905" t="str">
        <f>_xlfn.XLOOKUP(frasest[[#This Row],[author_es]],autorest[author_es],autorest[image])</f>
        <v>https://i.ibb.co/Y4f7TZWm/espa-a.png</v>
      </c>
      <c r="R905">
        <f>_xlfn.XLOOKUP(frasest[[#This Row],[author_es]],autorest[author_es],autorest[image_atr])</f>
        <v>0</v>
      </c>
    </row>
    <row r="906" spans="1:18">
      <c r="A906">
        <v>905</v>
      </c>
      <c r="B906" t="s">
        <v>2980</v>
      </c>
      <c r="C906" t="s">
        <v>2981</v>
      </c>
      <c r="D906" t="s">
        <v>2980</v>
      </c>
      <c r="E906" t="s">
        <v>24</v>
      </c>
      <c r="G906" t="str">
        <f>_xlfn.XLOOKUP(frasest[[#This Row],[author_es]],autorest[author_es],autorest[author_la])</f>
        <v>Sententia Hispanica</v>
      </c>
      <c r="H906" t="str">
        <f>_xlfn.XLOOKUP(frasest[[#This Row],[author_es]],autorest[author_es],autorest[bio_es])</f>
        <v>Refranes populares de la tradición oral hispana que expresan de forma breve y ingeniosa enseñanzas prácticas sobre la vida cotidiana.</v>
      </c>
      <c r="I906" t="str">
        <f>_xlfn.XLOOKUP(frasest[[#This Row],[author_es]],autorest[author_es],autorest[bio_la])</f>
        <v>Collectio sententiarum Hispanicarum.</v>
      </c>
      <c r="J906" t="str">
        <f>_xlfn.XLOOKUP(frasest[[#This Row],[author_es]],autorest[author_es],autorest[iso3691])</f>
        <v>es</v>
      </c>
      <c r="K906" t="str">
        <f>_xlfn.XLOOKUP(frasest[[#This Row],[author_es]],autorest[author_es],autorest[language_es])</f>
        <v>Español</v>
      </c>
      <c r="L906" t="str">
        <f>_xlfn.XLOOKUP(frasest[[#This Row],[author_es]],autorest[author_es],autorest[language_la])</f>
        <v>Lingua Hispanica</v>
      </c>
      <c r="M906" t="str">
        <f>_xlfn.XLOOKUP(frasest[[#This Row],[author_es]],autorest[author_es],autorest[nation_es])</f>
        <v>España</v>
      </c>
      <c r="N906" t="str">
        <f>_xlfn.XLOOKUP(frasest[[#This Row],[author_es]],autorest[author_es],autorest[nation_la])</f>
        <v>Hispania</v>
      </c>
      <c r="O906" t="str">
        <f>_xlfn.XLOOKUP(frasest[[#This Row],[author_es]],autorest[author_es],autorest[age_es])</f>
        <v>Epoca Desconocida</v>
      </c>
      <c r="P906" t="str">
        <f>_xlfn.XLOOKUP(frasest[[#This Row],[author_es]],autorest[author_es],autorest[age_la])</f>
        <v>Epocha Ignota</v>
      </c>
      <c r="Q906" t="str">
        <f>_xlfn.XLOOKUP(frasest[[#This Row],[author_es]],autorest[author_es],autorest[image])</f>
        <v>https://i.ibb.co/Y4f7TZWm/espa-a.png</v>
      </c>
      <c r="R906">
        <f>_xlfn.XLOOKUP(frasest[[#This Row],[author_es]],autorest[author_es],autorest[image_atr])</f>
        <v>0</v>
      </c>
    </row>
    <row r="907" spans="1:18">
      <c r="A907">
        <v>906</v>
      </c>
      <c r="B907" t="s">
        <v>2982</v>
      </c>
      <c r="C907" t="s">
        <v>2983</v>
      </c>
      <c r="D907" t="s">
        <v>2982</v>
      </c>
      <c r="E907" t="s">
        <v>24</v>
      </c>
      <c r="G907" t="str">
        <f>_xlfn.XLOOKUP(frasest[[#This Row],[author_es]],autorest[author_es],autorest[author_la])</f>
        <v>Sententia Hispanica</v>
      </c>
      <c r="H907" t="str">
        <f>_xlfn.XLOOKUP(frasest[[#This Row],[author_es]],autorest[author_es],autorest[bio_es])</f>
        <v>Refranes populares de la tradición oral hispana que expresan de forma breve y ingeniosa enseñanzas prácticas sobre la vida cotidiana.</v>
      </c>
      <c r="I907" t="str">
        <f>_xlfn.XLOOKUP(frasest[[#This Row],[author_es]],autorest[author_es],autorest[bio_la])</f>
        <v>Collectio sententiarum Hispanicarum.</v>
      </c>
      <c r="J907" t="str">
        <f>_xlfn.XLOOKUP(frasest[[#This Row],[author_es]],autorest[author_es],autorest[iso3691])</f>
        <v>es</v>
      </c>
      <c r="K907" t="str">
        <f>_xlfn.XLOOKUP(frasest[[#This Row],[author_es]],autorest[author_es],autorest[language_es])</f>
        <v>Español</v>
      </c>
      <c r="L907" t="str">
        <f>_xlfn.XLOOKUP(frasest[[#This Row],[author_es]],autorest[author_es],autorest[language_la])</f>
        <v>Lingua Hispanica</v>
      </c>
      <c r="M907" t="str">
        <f>_xlfn.XLOOKUP(frasest[[#This Row],[author_es]],autorest[author_es],autorest[nation_es])</f>
        <v>España</v>
      </c>
      <c r="N907" t="str">
        <f>_xlfn.XLOOKUP(frasest[[#This Row],[author_es]],autorest[author_es],autorest[nation_la])</f>
        <v>Hispania</v>
      </c>
      <c r="O907" t="str">
        <f>_xlfn.XLOOKUP(frasest[[#This Row],[author_es]],autorest[author_es],autorest[age_es])</f>
        <v>Epoca Desconocida</v>
      </c>
      <c r="P907" t="str">
        <f>_xlfn.XLOOKUP(frasest[[#This Row],[author_es]],autorest[author_es],autorest[age_la])</f>
        <v>Epocha Ignota</v>
      </c>
      <c r="Q907" t="str">
        <f>_xlfn.XLOOKUP(frasest[[#This Row],[author_es]],autorest[author_es],autorest[image])</f>
        <v>https://i.ibb.co/Y4f7TZWm/espa-a.png</v>
      </c>
      <c r="R907">
        <f>_xlfn.XLOOKUP(frasest[[#This Row],[author_es]],autorest[author_es],autorest[image_atr])</f>
        <v>0</v>
      </c>
    </row>
    <row r="908" spans="1:18">
      <c r="A908">
        <v>907</v>
      </c>
      <c r="B908" t="s">
        <v>2984</v>
      </c>
      <c r="C908" t="s">
        <v>2985</v>
      </c>
      <c r="D908" t="s">
        <v>2984</v>
      </c>
      <c r="E908" t="s">
        <v>24</v>
      </c>
      <c r="G908" t="str">
        <f>_xlfn.XLOOKUP(frasest[[#This Row],[author_es]],autorest[author_es],autorest[author_la])</f>
        <v>Sententia Hispanica</v>
      </c>
      <c r="H908" t="str">
        <f>_xlfn.XLOOKUP(frasest[[#This Row],[author_es]],autorest[author_es],autorest[bio_es])</f>
        <v>Refranes populares de la tradición oral hispana que expresan de forma breve y ingeniosa enseñanzas prácticas sobre la vida cotidiana.</v>
      </c>
      <c r="I908" t="str">
        <f>_xlfn.XLOOKUP(frasest[[#This Row],[author_es]],autorest[author_es],autorest[bio_la])</f>
        <v>Collectio sententiarum Hispanicarum.</v>
      </c>
      <c r="J908" t="str">
        <f>_xlfn.XLOOKUP(frasest[[#This Row],[author_es]],autorest[author_es],autorest[iso3691])</f>
        <v>es</v>
      </c>
      <c r="K908" t="str">
        <f>_xlfn.XLOOKUP(frasest[[#This Row],[author_es]],autorest[author_es],autorest[language_es])</f>
        <v>Español</v>
      </c>
      <c r="L908" t="str">
        <f>_xlfn.XLOOKUP(frasest[[#This Row],[author_es]],autorest[author_es],autorest[language_la])</f>
        <v>Lingua Hispanica</v>
      </c>
      <c r="M908" t="str">
        <f>_xlfn.XLOOKUP(frasest[[#This Row],[author_es]],autorest[author_es],autorest[nation_es])</f>
        <v>España</v>
      </c>
      <c r="N908" t="str">
        <f>_xlfn.XLOOKUP(frasest[[#This Row],[author_es]],autorest[author_es],autorest[nation_la])</f>
        <v>Hispania</v>
      </c>
      <c r="O908" t="str">
        <f>_xlfn.XLOOKUP(frasest[[#This Row],[author_es]],autorest[author_es],autorest[age_es])</f>
        <v>Epoca Desconocida</v>
      </c>
      <c r="P908" t="str">
        <f>_xlfn.XLOOKUP(frasest[[#This Row],[author_es]],autorest[author_es],autorest[age_la])</f>
        <v>Epocha Ignota</v>
      </c>
      <c r="Q908" t="str">
        <f>_xlfn.XLOOKUP(frasest[[#This Row],[author_es]],autorest[author_es],autorest[image])</f>
        <v>https://i.ibb.co/Y4f7TZWm/espa-a.png</v>
      </c>
      <c r="R908">
        <f>_xlfn.XLOOKUP(frasest[[#This Row],[author_es]],autorest[author_es],autorest[image_atr])</f>
        <v>0</v>
      </c>
    </row>
    <row r="909" spans="1:18">
      <c r="A909">
        <v>908</v>
      </c>
      <c r="B909" t="s">
        <v>2986</v>
      </c>
      <c r="C909" t="s">
        <v>2987</v>
      </c>
      <c r="D909" t="s">
        <v>2986</v>
      </c>
      <c r="E909" t="s">
        <v>24</v>
      </c>
      <c r="G909" t="str">
        <f>_xlfn.XLOOKUP(frasest[[#This Row],[author_es]],autorest[author_es],autorest[author_la])</f>
        <v>Sententia Hispanica</v>
      </c>
      <c r="H909" t="str">
        <f>_xlfn.XLOOKUP(frasest[[#This Row],[author_es]],autorest[author_es],autorest[bio_es])</f>
        <v>Refranes populares de la tradición oral hispana que expresan de forma breve y ingeniosa enseñanzas prácticas sobre la vida cotidiana.</v>
      </c>
      <c r="I909" t="str">
        <f>_xlfn.XLOOKUP(frasest[[#This Row],[author_es]],autorest[author_es],autorest[bio_la])</f>
        <v>Collectio sententiarum Hispanicarum.</v>
      </c>
      <c r="J909" t="str">
        <f>_xlfn.XLOOKUP(frasest[[#This Row],[author_es]],autorest[author_es],autorest[iso3691])</f>
        <v>es</v>
      </c>
      <c r="K909" t="str">
        <f>_xlfn.XLOOKUP(frasest[[#This Row],[author_es]],autorest[author_es],autorest[language_es])</f>
        <v>Español</v>
      </c>
      <c r="L909" t="str">
        <f>_xlfn.XLOOKUP(frasest[[#This Row],[author_es]],autorest[author_es],autorest[language_la])</f>
        <v>Lingua Hispanica</v>
      </c>
      <c r="M909" t="str">
        <f>_xlfn.XLOOKUP(frasest[[#This Row],[author_es]],autorest[author_es],autorest[nation_es])</f>
        <v>España</v>
      </c>
      <c r="N909" t="str">
        <f>_xlfn.XLOOKUP(frasest[[#This Row],[author_es]],autorest[author_es],autorest[nation_la])</f>
        <v>Hispania</v>
      </c>
      <c r="O909" t="str">
        <f>_xlfn.XLOOKUP(frasest[[#This Row],[author_es]],autorest[author_es],autorest[age_es])</f>
        <v>Epoca Desconocida</v>
      </c>
      <c r="P909" t="str">
        <f>_xlfn.XLOOKUP(frasest[[#This Row],[author_es]],autorest[author_es],autorest[age_la])</f>
        <v>Epocha Ignota</v>
      </c>
      <c r="Q909" t="str">
        <f>_xlfn.XLOOKUP(frasest[[#This Row],[author_es]],autorest[author_es],autorest[image])</f>
        <v>https://i.ibb.co/Y4f7TZWm/espa-a.png</v>
      </c>
      <c r="R909">
        <f>_xlfn.XLOOKUP(frasest[[#This Row],[author_es]],autorest[author_es],autorest[image_atr])</f>
        <v>0</v>
      </c>
    </row>
    <row r="910" spans="1:18">
      <c r="A910">
        <v>909</v>
      </c>
      <c r="B910" t="s">
        <v>2377</v>
      </c>
      <c r="C910" t="s">
        <v>2378</v>
      </c>
      <c r="D910" t="s">
        <v>2377</v>
      </c>
      <c r="E910" t="s">
        <v>24</v>
      </c>
      <c r="G910" t="str">
        <f>_xlfn.XLOOKUP(frasest[[#This Row],[author_es]],autorest[author_es],autorest[author_la])</f>
        <v>Sententia Hispanica</v>
      </c>
      <c r="H910" t="str">
        <f>_xlfn.XLOOKUP(frasest[[#This Row],[author_es]],autorest[author_es],autorest[bio_es])</f>
        <v>Refranes populares de la tradición oral hispana que expresan de forma breve y ingeniosa enseñanzas prácticas sobre la vida cotidiana.</v>
      </c>
      <c r="I910" t="str">
        <f>_xlfn.XLOOKUP(frasest[[#This Row],[author_es]],autorest[author_es],autorest[bio_la])</f>
        <v>Collectio sententiarum Hispanicarum.</v>
      </c>
      <c r="J910" t="str">
        <f>_xlfn.XLOOKUP(frasest[[#This Row],[author_es]],autorest[author_es],autorest[iso3691])</f>
        <v>es</v>
      </c>
      <c r="K910" t="str">
        <f>_xlfn.XLOOKUP(frasest[[#This Row],[author_es]],autorest[author_es],autorest[language_es])</f>
        <v>Español</v>
      </c>
      <c r="L910" t="str">
        <f>_xlfn.XLOOKUP(frasest[[#This Row],[author_es]],autorest[author_es],autorest[language_la])</f>
        <v>Lingua Hispanica</v>
      </c>
      <c r="M910" t="str">
        <f>_xlfn.XLOOKUP(frasest[[#This Row],[author_es]],autorest[author_es],autorest[nation_es])</f>
        <v>España</v>
      </c>
      <c r="N910" t="str">
        <f>_xlfn.XLOOKUP(frasest[[#This Row],[author_es]],autorest[author_es],autorest[nation_la])</f>
        <v>Hispania</v>
      </c>
      <c r="O910" t="str">
        <f>_xlfn.XLOOKUP(frasest[[#This Row],[author_es]],autorest[author_es],autorest[age_es])</f>
        <v>Epoca Desconocida</v>
      </c>
      <c r="P910" t="str">
        <f>_xlfn.XLOOKUP(frasest[[#This Row],[author_es]],autorest[author_es],autorest[age_la])</f>
        <v>Epocha Ignota</v>
      </c>
      <c r="Q910" t="str">
        <f>_xlfn.XLOOKUP(frasest[[#This Row],[author_es]],autorest[author_es],autorest[image])</f>
        <v>https://i.ibb.co/Y4f7TZWm/espa-a.png</v>
      </c>
      <c r="R910">
        <f>_xlfn.XLOOKUP(frasest[[#This Row],[author_es]],autorest[author_es],autorest[image_atr])</f>
        <v>0</v>
      </c>
    </row>
    <row r="911" spans="1:18">
      <c r="A911">
        <v>910</v>
      </c>
      <c r="B911" t="s">
        <v>2988</v>
      </c>
      <c r="C911" t="s">
        <v>2989</v>
      </c>
      <c r="D911" t="s">
        <v>2988</v>
      </c>
      <c r="E911" t="s">
        <v>24</v>
      </c>
      <c r="G911" t="str">
        <f>_xlfn.XLOOKUP(frasest[[#This Row],[author_es]],autorest[author_es],autorest[author_la])</f>
        <v>Sententia Hispanica</v>
      </c>
      <c r="H911" t="str">
        <f>_xlfn.XLOOKUP(frasest[[#This Row],[author_es]],autorest[author_es],autorest[bio_es])</f>
        <v>Refranes populares de la tradición oral hispana que expresan de forma breve y ingeniosa enseñanzas prácticas sobre la vida cotidiana.</v>
      </c>
      <c r="I911" t="str">
        <f>_xlfn.XLOOKUP(frasest[[#This Row],[author_es]],autorest[author_es],autorest[bio_la])</f>
        <v>Collectio sententiarum Hispanicarum.</v>
      </c>
      <c r="J911" t="str">
        <f>_xlfn.XLOOKUP(frasest[[#This Row],[author_es]],autorest[author_es],autorest[iso3691])</f>
        <v>es</v>
      </c>
      <c r="K911" t="str">
        <f>_xlfn.XLOOKUP(frasest[[#This Row],[author_es]],autorest[author_es],autorest[language_es])</f>
        <v>Español</v>
      </c>
      <c r="L911" t="str">
        <f>_xlfn.XLOOKUP(frasest[[#This Row],[author_es]],autorest[author_es],autorest[language_la])</f>
        <v>Lingua Hispanica</v>
      </c>
      <c r="M911" t="str">
        <f>_xlfn.XLOOKUP(frasest[[#This Row],[author_es]],autorest[author_es],autorest[nation_es])</f>
        <v>España</v>
      </c>
      <c r="N911" t="str">
        <f>_xlfn.XLOOKUP(frasest[[#This Row],[author_es]],autorest[author_es],autorest[nation_la])</f>
        <v>Hispania</v>
      </c>
      <c r="O911" t="str">
        <f>_xlfn.XLOOKUP(frasest[[#This Row],[author_es]],autorest[author_es],autorest[age_es])</f>
        <v>Epoca Desconocida</v>
      </c>
      <c r="P911" t="str">
        <f>_xlfn.XLOOKUP(frasest[[#This Row],[author_es]],autorest[author_es],autorest[age_la])</f>
        <v>Epocha Ignota</v>
      </c>
      <c r="Q911" t="str">
        <f>_xlfn.XLOOKUP(frasest[[#This Row],[author_es]],autorest[author_es],autorest[image])</f>
        <v>https://i.ibb.co/Y4f7TZWm/espa-a.png</v>
      </c>
      <c r="R911">
        <f>_xlfn.XLOOKUP(frasest[[#This Row],[author_es]],autorest[author_es],autorest[image_atr])</f>
        <v>0</v>
      </c>
    </row>
    <row r="912" spans="1:18">
      <c r="A912">
        <v>911</v>
      </c>
      <c r="B912" t="s">
        <v>2990</v>
      </c>
      <c r="C912" t="s">
        <v>2991</v>
      </c>
      <c r="D912" t="s">
        <v>2990</v>
      </c>
      <c r="E912" t="s">
        <v>24</v>
      </c>
      <c r="G912" t="str">
        <f>_xlfn.XLOOKUP(frasest[[#This Row],[author_es]],autorest[author_es],autorest[author_la])</f>
        <v>Sententia Hispanica</v>
      </c>
      <c r="H912" t="str">
        <f>_xlfn.XLOOKUP(frasest[[#This Row],[author_es]],autorest[author_es],autorest[bio_es])</f>
        <v>Refranes populares de la tradición oral hispana que expresan de forma breve y ingeniosa enseñanzas prácticas sobre la vida cotidiana.</v>
      </c>
      <c r="I912" t="str">
        <f>_xlfn.XLOOKUP(frasest[[#This Row],[author_es]],autorest[author_es],autorest[bio_la])</f>
        <v>Collectio sententiarum Hispanicarum.</v>
      </c>
      <c r="J912" t="str">
        <f>_xlfn.XLOOKUP(frasest[[#This Row],[author_es]],autorest[author_es],autorest[iso3691])</f>
        <v>es</v>
      </c>
      <c r="K912" t="str">
        <f>_xlfn.XLOOKUP(frasest[[#This Row],[author_es]],autorest[author_es],autorest[language_es])</f>
        <v>Español</v>
      </c>
      <c r="L912" t="str">
        <f>_xlfn.XLOOKUP(frasest[[#This Row],[author_es]],autorest[author_es],autorest[language_la])</f>
        <v>Lingua Hispanica</v>
      </c>
      <c r="M912" t="str">
        <f>_xlfn.XLOOKUP(frasest[[#This Row],[author_es]],autorest[author_es],autorest[nation_es])</f>
        <v>España</v>
      </c>
      <c r="N912" t="str">
        <f>_xlfn.XLOOKUP(frasest[[#This Row],[author_es]],autorest[author_es],autorest[nation_la])</f>
        <v>Hispania</v>
      </c>
      <c r="O912" t="str">
        <f>_xlfn.XLOOKUP(frasest[[#This Row],[author_es]],autorest[author_es],autorest[age_es])</f>
        <v>Epoca Desconocida</v>
      </c>
      <c r="P912" t="str">
        <f>_xlfn.XLOOKUP(frasest[[#This Row],[author_es]],autorest[author_es],autorest[age_la])</f>
        <v>Epocha Ignota</v>
      </c>
      <c r="Q912" t="str">
        <f>_xlfn.XLOOKUP(frasest[[#This Row],[author_es]],autorest[author_es],autorest[image])</f>
        <v>https://i.ibb.co/Y4f7TZWm/espa-a.png</v>
      </c>
      <c r="R912">
        <f>_xlfn.XLOOKUP(frasest[[#This Row],[author_es]],autorest[author_es],autorest[image_atr])</f>
        <v>0</v>
      </c>
    </row>
    <row r="913" spans="1:18">
      <c r="A913">
        <v>912</v>
      </c>
      <c r="B913" t="s">
        <v>2992</v>
      </c>
      <c r="C913" t="s">
        <v>2993</v>
      </c>
      <c r="D913" t="s">
        <v>2992</v>
      </c>
      <c r="E913" t="s">
        <v>24</v>
      </c>
      <c r="G913" t="str">
        <f>_xlfn.XLOOKUP(frasest[[#This Row],[author_es]],autorest[author_es],autorest[author_la])</f>
        <v>Sententia Hispanica</v>
      </c>
      <c r="H913" t="str">
        <f>_xlfn.XLOOKUP(frasest[[#This Row],[author_es]],autorest[author_es],autorest[bio_es])</f>
        <v>Refranes populares de la tradición oral hispana que expresan de forma breve y ingeniosa enseñanzas prácticas sobre la vida cotidiana.</v>
      </c>
      <c r="I913" t="str">
        <f>_xlfn.XLOOKUP(frasest[[#This Row],[author_es]],autorest[author_es],autorest[bio_la])</f>
        <v>Collectio sententiarum Hispanicarum.</v>
      </c>
      <c r="J913" t="str">
        <f>_xlfn.XLOOKUP(frasest[[#This Row],[author_es]],autorest[author_es],autorest[iso3691])</f>
        <v>es</v>
      </c>
      <c r="K913" t="str">
        <f>_xlfn.XLOOKUP(frasest[[#This Row],[author_es]],autorest[author_es],autorest[language_es])</f>
        <v>Español</v>
      </c>
      <c r="L913" t="str">
        <f>_xlfn.XLOOKUP(frasest[[#This Row],[author_es]],autorest[author_es],autorest[language_la])</f>
        <v>Lingua Hispanica</v>
      </c>
      <c r="M913" t="str">
        <f>_xlfn.XLOOKUP(frasest[[#This Row],[author_es]],autorest[author_es],autorest[nation_es])</f>
        <v>España</v>
      </c>
      <c r="N913" t="str">
        <f>_xlfn.XLOOKUP(frasest[[#This Row],[author_es]],autorest[author_es],autorest[nation_la])</f>
        <v>Hispania</v>
      </c>
      <c r="O913" t="str">
        <f>_xlfn.XLOOKUP(frasest[[#This Row],[author_es]],autorest[author_es],autorest[age_es])</f>
        <v>Epoca Desconocida</v>
      </c>
      <c r="P913" t="str">
        <f>_xlfn.XLOOKUP(frasest[[#This Row],[author_es]],autorest[author_es],autorest[age_la])</f>
        <v>Epocha Ignota</v>
      </c>
      <c r="Q913" t="str">
        <f>_xlfn.XLOOKUP(frasest[[#This Row],[author_es]],autorest[author_es],autorest[image])</f>
        <v>https://i.ibb.co/Y4f7TZWm/espa-a.png</v>
      </c>
      <c r="R913">
        <f>_xlfn.XLOOKUP(frasest[[#This Row],[author_es]],autorest[author_es],autorest[image_atr])</f>
        <v>0</v>
      </c>
    </row>
    <row r="914" spans="1:18">
      <c r="A914">
        <v>913</v>
      </c>
      <c r="B914" t="s">
        <v>2994</v>
      </c>
      <c r="C914" t="s">
        <v>2995</v>
      </c>
      <c r="D914" t="s">
        <v>2994</v>
      </c>
      <c r="E914" t="s">
        <v>24</v>
      </c>
      <c r="G914" t="str">
        <f>_xlfn.XLOOKUP(frasest[[#This Row],[author_es]],autorest[author_es],autorest[author_la])</f>
        <v>Sententia Hispanica</v>
      </c>
      <c r="H914" t="str">
        <f>_xlfn.XLOOKUP(frasest[[#This Row],[author_es]],autorest[author_es],autorest[bio_es])</f>
        <v>Refranes populares de la tradición oral hispana que expresan de forma breve y ingeniosa enseñanzas prácticas sobre la vida cotidiana.</v>
      </c>
      <c r="I914" t="str">
        <f>_xlfn.XLOOKUP(frasest[[#This Row],[author_es]],autorest[author_es],autorest[bio_la])</f>
        <v>Collectio sententiarum Hispanicarum.</v>
      </c>
      <c r="J914" t="str">
        <f>_xlfn.XLOOKUP(frasest[[#This Row],[author_es]],autorest[author_es],autorest[iso3691])</f>
        <v>es</v>
      </c>
      <c r="K914" t="str">
        <f>_xlfn.XLOOKUP(frasest[[#This Row],[author_es]],autorest[author_es],autorest[language_es])</f>
        <v>Español</v>
      </c>
      <c r="L914" t="str">
        <f>_xlfn.XLOOKUP(frasest[[#This Row],[author_es]],autorest[author_es],autorest[language_la])</f>
        <v>Lingua Hispanica</v>
      </c>
      <c r="M914" t="str">
        <f>_xlfn.XLOOKUP(frasest[[#This Row],[author_es]],autorest[author_es],autorest[nation_es])</f>
        <v>España</v>
      </c>
      <c r="N914" t="str">
        <f>_xlfn.XLOOKUP(frasest[[#This Row],[author_es]],autorest[author_es],autorest[nation_la])</f>
        <v>Hispania</v>
      </c>
      <c r="O914" t="str">
        <f>_xlfn.XLOOKUP(frasest[[#This Row],[author_es]],autorest[author_es],autorest[age_es])</f>
        <v>Epoca Desconocida</v>
      </c>
      <c r="P914" t="str">
        <f>_xlfn.XLOOKUP(frasest[[#This Row],[author_es]],autorest[author_es],autorest[age_la])</f>
        <v>Epocha Ignota</v>
      </c>
      <c r="Q914" t="str">
        <f>_xlfn.XLOOKUP(frasest[[#This Row],[author_es]],autorest[author_es],autorest[image])</f>
        <v>https://i.ibb.co/Y4f7TZWm/espa-a.png</v>
      </c>
      <c r="R914">
        <f>_xlfn.XLOOKUP(frasest[[#This Row],[author_es]],autorest[author_es],autorest[image_atr])</f>
        <v>0</v>
      </c>
    </row>
    <row r="915" spans="1:18">
      <c r="A915">
        <v>914</v>
      </c>
      <c r="B915" t="s">
        <v>2996</v>
      </c>
      <c r="C915" t="s">
        <v>2997</v>
      </c>
      <c r="D915" t="s">
        <v>2996</v>
      </c>
      <c r="E915" t="s">
        <v>24</v>
      </c>
      <c r="G915" t="str">
        <f>_xlfn.XLOOKUP(frasest[[#This Row],[author_es]],autorest[author_es],autorest[author_la])</f>
        <v>Sententia Hispanica</v>
      </c>
      <c r="H915" t="str">
        <f>_xlfn.XLOOKUP(frasest[[#This Row],[author_es]],autorest[author_es],autorest[bio_es])</f>
        <v>Refranes populares de la tradición oral hispana que expresan de forma breve y ingeniosa enseñanzas prácticas sobre la vida cotidiana.</v>
      </c>
      <c r="I915" t="str">
        <f>_xlfn.XLOOKUP(frasest[[#This Row],[author_es]],autorest[author_es],autorest[bio_la])</f>
        <v>Collectio sententiarum Hispanicarum.</v>
      </c>
      <c r="J915" t="str">
        <f>_xlfn.XLOOKUP(frasest[[#This Row],[author_es]],autorest[author_es],autorest[iso3691])</f>
        <v>es</v>
      </c>
      <c r="K915" t="str">
        <f>_xlfn.XLOOKUP(frasest[[#This Row],[author_es]],autorest[author_es],autorest[language_es])</f>
        <v>Español</v>
      </c>
      <c r="L915" t="str">
        <f>_xlfn.XLOOKUP(frasest[[#This Row],[author_es]],autorest[author_es],autorest[language_la])</f>
        <v>Lingua Hispanica</v>
      </c>
      <c r="M915" t="str">
        <f>_xlfn.XLOOKUP(frasest[[#This Row],[author_es]],autorest[author_es],autorest[nation_es])</f>
        <v>España</v>
      </c>
      <c r="N915" t="str">
        <f>_xlfn.XLOOKUP(frasest[[#This Row],[author_es]],autorest[author_es],autorest[nation_la])</f>
        <v>Hispania</v>
      </c>
      <c r="O915" t="str">
        <f>_xlfn.XLOOKUP(frasest[[#This Row],[author_es]],autorest[author_es],autorest[age_es])</f>
        <v>Epoca Desconocida</v>
      </c>
      <c r="P915" t="str">
        <f>_xlfn.XLOOKUP(frasest[[#This Row],[author_es]],autorest[author_es],autorest[age_la])</f>
        <v>Epocha Ignota</v>
      </c>
      <c r="Q915" t="str">
        <f>_xlfn.XLOOKUP(frasest[[#This Row],[author_es]],autorest[author_es],autorest[image])</f>
        <v>https://i.ibb.co/Y4f7TZWm/espa-a.png</v>
      </c>
      <c r="R915">
        <f>_xlfn.XLOOKUP(frasest[[#This Row],[author_es]],autorest[author_es],autorest[image_atr])</f>
        <v>0</v>
      </c>
    </row>
    <row r="916" spans="1:18">
      <c r="A916">
        <v>915</v>
      </c>
      <c r="B916" t="s">
        <v>2998</v>
      </c>
      <c r="C916" t="s">
        <v>2999</v>
      </c>
      <c r="D916" t="s">
        <v>2998</v>
      </c>
      <c r="E916" t="s">
        <v>24</v>
      </c>
      <c r="G916" t="str">
        <f>_xlfn.XLOOKUP(frasest[[#This Row],[author_es]],autorest[author_es],autorest[author_la])</f>
        <v>Sententia Hispanica</v>
      </c>
      <c r="H916" t="str">
        <f>_xlfn.XLOOKUP(frasest[[#This Row],[author_es]],autorest[author_es],autorest[bio_es])</f>
        <v>Refranes populares de la tradición oral hispana que expresan de forma breve y ingeniosa enseñanzas prácticas sobre la vida cotidiana.</v>
      </c>
      <c r="I916" t="str">
        <f>_xlfn.XLOOKUP(frasest[[#This Row],[author_es]],autorest[author_es],autorest[bio_la])</f>
        <v>Collectio sententiarum Hispanicarum.</v>
      </c>
      <c r="J916" t="str">
        <f>_xlfn.XLOOKUP(frasest[[#This Row],[author_es]],autorest[author_es],autorest[iso3691])</f>
        <v>es</v>
      </c>
      <c r="K916" t="str">
        <f>_xlfn.XLOOKUP(frasest[[#This Row],[author_es]],autorest[author_es],autorest[language_es])</f>
        <v>Español</v>
      </c>
      <c r="L916" t="str">
        <f>_xlfn.XLOOKUP(frasest[[#This Row],[author_es]],autorest[author_es],autorest[language_la])</f>
        <v>Lingua Hispanica</v>
      </c>
      <c r="M916" t="str">
        <f>_xlfn.XLOOKUP(frasest[[#This Row],[author_es]],autorest[author_es],autorest[nation_es])</f>
        <v>España</v>
      </c>
      <c r="N916" t="str">
        <f>_xlfn.XLOOKUP(frasest[[#This Row],[author_es]],autorest[author_es],autorest[nation_la])</f>
        <v>Hispania</v>
      </c>
      <c r="O916" t="str">
        <f>_xlfn.XLOOKUP(frasest[[#This Row],[author_es]],autorest[author_es],autorest[age_es])</f>
        <v>Epoca Desconocida</v>
      </c>
      <c r="P916" t="str">
        <f>_xlfn.XLOOKUP(frasest[[#This Row],[author_es]],autorest[author_es],autorest[age_la])</f>
        <v>Epocha Ignota</v>
      </c>
      <c r="Q916" t="str">
        <f>_xlfn.XLOOKUP(frasest[[#This Row],[author_es]],autorest[author_es],autorest[image])</f>
        <v>https://i.ibb.co/Y4f7TZWm/espa-a.png</v>
      </c>
      <c r="R916">
        <f>_xlfn.XLOOKUP(frasest[[#This Row],[author_es]],autorest[author_es],autorest[image_atr])</f>
        <v>0</v>
      </c>
    </row>
    <row r="917" spans="1:18">
      <c r="A917">
        <v>916</v>
      </c>
      <c r="B917" t="s">
        <v>3000</v>
      </c>
      <c r="C917" t="s">
        <v>3001</v>
      </c>
      <c r="D917" t="s">
        <v>3000</v>
      </c>
      <c r="E917" t="s">
        <v>24</v>
      </c>
      <c r="G917" t="str">
        <f>_xlfn.XLOOKUP(frasest[[#This Row],[author_es]],autorest[author_es],autorest[author_la])</f>
        <v>Sententia Hispanica</v>
      </c>
      <c r="H917" t="str">
        <f>_xlfn.XLOOKUP(frasest[[#This Row],[author_es]],autorest[author_es],autorest[bio_es])</f>
        <v>Refranes populares de la tradición oral hispana que expresan de forma breve y ingeniosa enseñanzas prácticas sobre la vida cotidiana.</v>
      </c>
      <c r="I917" t="str">
        <f>_xlfn.XLOOKUP(frasest[[#This Row],[author_es]],autorest[author_es],autorest[bio_la])</f>
        <v>Collectio sententiarum Hispanicarum.</v>
      </c>
      <c r="J917" t="str">
        <f>_xlfn.XLOOKUP(frasest[[#This Row],[author_es]],autorest[author_es],autorest[iso3691])</f>
        <v>es</v>
      </c>
      <c r="K917" t="str">
        <f>_xlfn.XLOOKUP(frasest[[#This Row],[author_es]],autorest[author_es],autorest[language_es])</f>
        <v>Español</v>
      </c>
      <c r="L917" t="str">
        <f>_xlfn.XLOOKUP(frasest[[#This Row],[author_es]],autorest[author_es],autorest[language_la])</f>
        <v>Lingua Hispanica</v>
      </c>
      <c r="M917" t="str">
        <f>_xlfn.XLOOKUP(frasest[[#This Row],[author_es]],autorest[author_es],autorest[nation_es])</f>
        <v>España</v>
      </c>
      <c r="N917" t="str">
        <f>_xlfn.XLOOKUP(frasest[[#This Row],[author_es]],autorest[author_es],autorest[nation_la])</f>
        <v>Hispania</v>
      </c>
      <c r="O917" t="str">
        <f>_xlfn.XLOOKUP(frasest[[#This Row],[author_es]],autorest[author_es],autorest[age_es])</f>
        <v>Epoca Desconocida</v>
      </c>
      <c r="P917" t="str">
        <f>_xlfn.XLOOKUP(frasest[[#This Row],[author_es]],autorest[author_es],autorest[age_la])</f>
        <v>Epocha Ignota</v>
      </c>
      <c r="Q917" t="str">
        <f>_xlfn.XLOOKUP(frasest[[#This Row],[author_es]],autorest[author_es],autorest[image])</f>
        <v>https://i.ibb.co/Y4f7TZWm/espa-a.png</v>
      </c>
      <c r="R917">
        <f>_xlfn.XLOOKUP(frasest[[#This Row],[author_es]],autorest[author_es],autorest[image_atr])</f>
        <v>0</v>
      </c>
    </row>
    <row r="918" spans="1:18">
      <c r="A918">
        <v>917</v>
      </c>
      <c r="B918" t="s">
        <v>3002</v>
      </c>
      <c r="C918" t="s">
        <v>3003</v>
      </c>
      <c r="D918" t="s">
        <v>3002</v>
      </c>
      <c r="E918" t="s">
        <v>24</v>
      </c>
      <c r="G918" t="str">
        <f>_xlfn.XLOOKUP(frasest[[#This Row],[author_es]],autorest[author_es],autorest[author_la])</f>
        <v>Sententia Hispanica</v>
      </c>
      <c r="H918" t="str">
        <f>_xlfn.XLOOKUP(frasest[[#This Row],[author_es]],autorest[author_es],autorest[bio_es])</f>
        <v>Refranes populares de la tradición oral hispana que expresan de forma breve y ingeniosa enseñanzas prácticas sobre la vida cotidiana.</v>
      </c>
      <c r="I918" t="str">
        <f>_xlfn.XLOOKUP(frasest[[#This Row],[author_es]],autorest[author_es],autorest[bio_la])</f>
        <v>Collectio sententiarum Hispanicarum.</v>
      </c>
      <c r="J918" t="str">
        <f>_xlfn.XLOOKUP(frasest[[#This Row],[author_es]],autorest[author_es],autorest[iso3691])</f>
        <v>es</v>
      </c>
      <c r="K918" t="str">
        <f>_xlfn.XLOOKUP(frasest[[#This Row],[author_es]],autorest[author_es],autorest[language_es])</f>
        <v>Español</v>
      </c>
      <c r="L918" t="str">
        <f>_xlfn.XLOOKUP(frasest[[#This Row],[author_es]],autorest[author_es],autorest[language_la])</f>
        <v>Lingua Hispanica</v>
      </c>
      <c r="M918" t="str">
        <f>_xlfn.XLOOKUP(frasest[[#This Row],[author_es]],autorest[author_es],autorest[nation_es])</f>
        <v>España</v>
      </c>
      <c r="N918" t="str">
        <f>_xlfn.XLOOKUP(frasest[[#This Row],[author_es]],autorest[author_es],autorest[nation_la])</f>
        <v>Hispania</v>
      </c>
      <c r="O918" t="str">
        <f>_xlfn.XLOOKUP(frasest[[#This Row],[author_es]],autorest[author_es],autorest[age_es])</f>
        <v>Epoca Desconocida</v>
      </c>
      <c r="P918" t="str">
        <f>_xlfn.XLOOKUP(frasest[[#This Row],[author_es]],autorest[author_es],autorest[age_la])</f>
        <v>Epocha Ignota</v>
      </c>
      <c r="Q918" t="str">
        <f>_xlfn.XLOOKUP(frasest[[#This Row],[author_es]],autorest[author_es],autorest[image])</f>
        <v>https://i.ibb.co/Y4f7TZWm/espa-a.png</v>
      </c>
      <c r="R918">
        <f>_xlfn.XLOOKUP(frasest[[#This Row],[author_es]],autorest[author_es],autorest[image_atr])</f>
        <v>0</v>
      </c>
    </row>
    <row r="919" spans="1:18">
      <c r="A919">
        <v>918</v>
      </c>
      <c r="B919" t="s">
        <v>3004</v>
      </c>
      <c r="C919" t="s">
        <v>3005</v>
      </c>
      <c r="D919" t="s">
        <v>3004</v>
      </c>
      <c r="E919" t="s">
        <v>24</v>
      </c>
      <c r="G919" t="str">
        <f>_xlfn.XLOOKUP(frasest[[#This Row],[author_es]],autorest[author_es],autorest[author_la])</f>
        <v>Sententia Hispanica</v>
      </c>
      <c r="H919" t="str">
        <f>_xlfn.XLOOKUP(frasest[[#This Row],[author_es]],autorest[author_es],autorest[bio_es])</f>
        <v>Refranes populares de la tradición oral hispana que expresan de forma breve y ingeniosa enseñanzas prácticas sobre la vida cotidiana.</v>
      </c>
      <c r="I919" t="str">
        <f>_xlfn.XLOOKUP(frasest[[#This Row],[author_es]],autorest[author_es],autorest[bio_la])</f>
        <v>Collectio sententiarum Hispanicarum.</v>
      </c>
      <c r="J919" t="str">
        <f>_xlfn.XLOOKUP(frasest[[#This Row],[author_es]],autorest[author_es],autorest[iso3691])</f>
        <v>es</v>
      </c>
      <c r="K919" t="str">
        <f>_xlfn.XLOOKUP(frasest[[#This Row],[author_es]],autorest[author_es],autorest[language_es])</f>
        <v>Español</v>
      </c>
      <c r="L919" t="str">
        <f>_xlfn.XLOOKUP(frasest[[#This Row],[author_es]],autorest[author_es],autorest[language_la])</f>
        <v>Lingua Hispanica</v>
      </c>
      <c r="M919" t="str">
        <f>_xlfn.XLOOKUP(frasest[[#This Row],[author_es]],autorest[author_es],autorest[nation_es])</f>
        <v>España</v>
      </c>
      <c r="N919" t="str">
        <f>_xlfn.XLOOKUP(frasest[[#This Row],[author_es]],autorest[author_es],autorest[nation_la])</f>
        <v>Hispania</v>
      </c>
      <c r="O919" t="str">
        <f>_xlfn.XLOOKUP(frasest[[#This Row],[author_es]],autorest[author_es],autorest[age_es])</f>
        <v>Epoca Desconocida</v>
      </c>
      <c r="P919" t="str">
        <f>_xlfn.XLOOKUP(frasest[[#This Row],[author_es]],autorest[author_es],autorest[age_la])</f>
        <v>Epocha Ignota</v>
      </c>
      <c r="Q919" t="str">
        <f>_xlfn.XLOOKUP(frasest[[#This Row],[author_es]],autorest[author_es],autorest[image])</f>
        <v>https://i.ibb.co/Y4f7TZWm/espa-a.png</v>
      </c>
      <c r="R919">
        <f>_xlfn.XLOOKUP(frasest[[#This Row],[author_es]],autorest[author_es],autorest[image_atr])</f>
        <v>0</v>
      </c>
    </row>
    <row r="920" spans="1:18">
      <c r="A920">
        <v>919</v>
      </c>
      <c r="B920" t="s">
        <v>3006</v>
      </c>
      <c r="C920" t="s">
        <v>3007</v>
      </c>
      <c r="D920" t="s">
        <v>3006</v>
      </c>
      <c r="E920" t="s">
        <v>24</v>
      </c>
      <c r="G920" t="str">
        <f>_xlfn.XLOOKUP(frasest[[#This Row],[author_es]],autorest[author_es],autorest[author_la])</f>
        <v>Sententia Hispanica</v>
      </c>
      <c r="H920" t="str">
        <f>_xlfn.XLOOKUP(frasest[[#This Row],[author_es]],autorest[author_es],autorest[bio_es])</f>
        <v>Refranes populares de la tradición oral hispana que expresan de forma breve y ingeniosa enseñanzas prácticas sobre la vida cotidiana.</v>
      </c>
      <c r="I920" t="str">
        <f>_xlfn.XLOOKUP(frasest[[#This Row],[author_es]],autorest[author_es],autorest[bio_la])</f>
        <v>Collectio sententiarum Hispanicarum.</v>
      </c>
      <c r="J920" t="str">
        <f>_xlfn.XLOOKUP(frasest[[#This Row],[author_es]],autorest[author_es],autorest[iso3691])</f>
        <v>es</v>
      </c>
      <c r="K920" t="str">
        <f>_xlfn.XLOOKUP(frasest[[#This Row],[author_es]],autorest[author_es],autorest[language_es])</f>
        <v>Español</v>
      </c>
      <c r="L920" t="str">
        <f>_xlfn.XLOOKUP(frasest[[#This Row],[author_es]],autorest[author_es],autorest[language_la])</f>
        <v>Lingua Hispanica</v>
      </c>
      <c r="M920" t="str">
        <f>_xlfn.XLOOKUP(frasest[[#This Row],[author_es]],autorest[author_es],autorest[nation_es])</f>
        <v>España</v>
      </c>
      <c r="N920" t="str">
        <f>_xlfn.XLOOKUP(frasest[[#This Row],[author_es]],autorest[author_es],autorest[nation_la])</f>
        <v>Hispania</v>
      </c>
      <c r="O920" t="str">
        <f>_xlfn.XLOOKUP(frasest[[#This Row],[author_es]],autorest[author_es],autorest[age_es])</f>
        <v>Epoca Desconocida</v>
      </c>
      <c r="P920" t="str">
        <f>_xlfn.XLOOKUP(frasest[[#This Row],[author_es]],autorest[author_es],autorest[age_la])</f>
        <v>Epocha Ignota</v>
      </c>
      <c r="Q920" t="str">
        <f>_xlfn.XLOOKUP(frasest[[#This Row],[author_es]],autorest[author_es],autorest[image])</f>
        <v>https://i.ibb.co/Y4f7TZWm/espa-a.png</v>
      </c>
      <c r="R920">
        <f>_xlfn.XLOOKUP(frasest[[#This Row],[author_es]],autorest[author_es],autorest[image_atr])</f>
        <v>0</v>
      </c>
    </row>
    <row r="921" spans="1:18">
      <c r="A921">
        <v>920</v>
      </c>
      <c r="B921" t="s">
        <v>3008</v>
      </c>
      <c r="C921" t="s">
        <v>3009</v>
      </c>
      <c r="D921" t="s">
        <v>3008</v>
      </c>
      <c r="E921" t="s">
        <v>24</v>
      </c>
      <c r="G921" t="str">
        <f>_xlfn.XLOOKUP(frasest[[#This Row],[author_es]],autorest[author_es],autorest[author_la])</f>
        <v>Sententia Hispanica</v>
      </c>
      <c r="H921" t="str">
        <f>_xlfn.XLOOKUP(frasest[[#This Row],[author_es]],autorest[author_es],autorest[bio_es])</f>
        <v>Refranes populares de la tradición oral hispana que expresan de forma breve y ingeniosa enseñanzas prácticas sobre la vida cotidiana.</v>
      </c>
      <c r="I921" t="str">
        <f>_xlfn.XLOOKUP(frasest[[#This Row],[author_es]],autorest[author_es],autorest[bio_la])</f>
        <v>Collectio sententiarum Hispanicarum.</v>
      </c>
      <c r="J921" t="str">
        <f>_xlfn.XLOOKUP(frasest[[#This Row],[author_es]],autorest[author_es],autorest[iso3691])</f>
        <v>es</v>
      </c>
      <c r="K921" t="str">
        <f>_xlfn.XLOOKUP(frasest[[#This Row],[author_es]],autorest[author_es],autorest[language_es])</f>
        <v>Español</v>
      </c>
      <c r="L921" t="str">
        <f>_xlfn.XLOOKUP(frasest[[#This Row],[author_es]],autorest[author_es],autorest[language_la])</f>
        <v>Lingua Hispanica</v>
      </c>
      <c r="M921" t="str">
        <f>_xlfn.XLOOKUP(frasest[[#This Row],[author_es]],autorest[author_es],autorest[nation_es])</f>
        <v>España</v>
      </c>
      <c r="N921" t="str">
        <f>_xlfn.XLOOKUP(frasest[[#This Row],[author_es]],autorest[author_es],autorest[nation_la])</f>
        <v>Hispania</v>
      </c>
      <c r="O921" t="str">
        <f>_xlfn.XLOOKUP(frasest[[#This Row],[author_es]],autorest[author_es],autorest[age_es])</f>
        <v>Epoca Desconocida</v>
      </c>
      <c r="P921" t="str">
        <f>_xlfn.XLOOKUP(frasest[[#This Row],[author_es]],autorest[author_es],autorest[age_la])</f>
        <v>Epocha Ignota</v>
      </c>
      <c r="Q921" t="str">
        <f>_xlfn.XLOOKUP(frasest[[#This Row],[author_es]],autorest[author_es],autorest[image])</f>
        <v>https://i.ibb.co/Y4f7TZWm/espa-a.png</v>
      </c>
      <c r="R921">
        <f>_xlfn.XLOOKUP(frasest[[#This Row],[author_es]],autorest[author_es],autorest[image_atr])</f>
        <v>0</v>
      </c>
    </row>
    <row r="922" spans="1:18">
      <c r="A922">
        <v>921</v>
      </c>
      <c r="B922" t="s">
        <v>3010</v>
      </c>
      <c r="C922" t="s">
        <v>3011</v>
      </c>
      <c r="D922" t="s">
        <v>3010</v>
      </c>
      <c r="E922" t="s">
        <v>24</v>
      </c>
      <c r="G922" t="str">
        <f>_xlfn.XLOOKUP(frasest[[#This Row],[author_es]],autorest[author_es],autorest[author_la])</f>
        <v>Sententia Hispanica</v>
      </c>
      <c r="H922" t="str">
        <f>_xlfn.XLOOKUP(frasest[[#This Row],[author_es]],autorest[author_es],autorest[bio_es])</f>
        <v>Refranes populares de la tradición oral hispana que expresan de forma breve y ingeniosa enseñanzas prácticas sobre la vida cotidiana.</v>
      </c>
      <c r="I922" t="str">
        <f>_xlfn.XLOOKUP(frasest[[#This Row],[author_es]],autorest[author_es],autorest[bio_la])</f>
        <v>Collectio sententiarum Hispanicarum.</v>
      </c>
      <c r="J922" t="str">
        <f>_xlfn.XLOOKUP(frasest[[#This Row],[author_es]],autorest[author_es],autorest[iso3691])</f>
        <v>es</v>
      </c>
      <c r="K922" t="str">
        <f>_xlfn.XLOOKUP(frasest[[#This Row],[author_es]],autorest[author_es],autorest[language_es])</f>
        <v>Español</v>
      </c>
      <c r="L922" t="str">
        <f>_xlfn.XLOOKUP(frasest[[#This Row],[author_es]],autorest[author_es],autorest[language_la])</f>
        <v>Lingua Hispanica</v>
      </c>
      <c r="M922" t="str">
        <f>_xlfn.XLOOKUP(frasest[[#This Row],[author_es]],autorest[author_es],autorest[nation_es])</f>
        <v>España</v>
      </c>
      <c r="N922" t="str">
        <f>_xlfn.XLOOKUP(frasest[[#This Row],[author_es]],autorest[author_es],autorest[nation_la])</f>
        <v>Hispania</v>
      </c>
      <c r="O922" t="str">
        <f>_xlfn.XLOOKUP(frasest[[#This Row],[author_es]],autorest[author_es],autorest[age_es])</f>
        <v>Epoca Desconocida</v>
      </c>
      <c r="P922" t="str">
        <f>_xlfn.XLOOKUP(frasest[[#This Row],[author_es]],autorest[author_es],autorest[age_la])</f>
        <v>Epocha Ignota</v>
      </c>
      <c r="Q922" t="str">
        <f>_xlfn.XLOOKUP(frasest[[#This Row],[author_es]],autorest[author_es],autorest[image])</f>
        <v>https://i.ibb.co/Y4f7TZWm/espa-a.png</v>
      </c>
      <c r="R922">
        <f>_xlfn.XLOOKUP(frasest[[#This Row],[author_es]],autorest[author_es],autorest[image_atr])</f>
        <v>0</v>
      </c>
    </row>
    <row r="923" spans="1:18">
      <c r="A923">
        <v>922</v>
      </c>
      <c r="B923" t="s">
        <v>3012</v>
      </c>
      <c r="C923" t="s">
        <v>3013</v>
      </c>
      <c r="D923" t="s">
        <v>3012</v>
      </c>
      <c r="E923" t="s">
        <v>24</v>
      </c>
      <c r="G923" t="str">
        <f>_xlfn.XLOOKUP(frasest[[#This Row],[author_es]],autorest[author_es],autorest[author_la])</f>
        <v>Sententia Hispanica</v>
      </c>
      <c r="H923" t="str">
        <f>_xlfn.XLOOKUP(frasest[[#This Row],[author_es]],autorest[author_es],autorest[bio_es])</f>
        <v>Refranes populares de la tradición oral hispana que expresan de forma breve y ingeniosa enseñanzas prácticas sobre la vida cotidiana.</v>
      </c>
      <c r="I923" t="str">
        <f>_xlfn.XLOOKUP(frasest[[#This Row],[author_es]],autorest[author_es],autorest[bio_la])</f>
        <v>Collectio sententiarum Hispanicarum.</v>
      </c>
      <c r="J923" t="str">
        <f>_xlfn.XLOOKUP(frasest[[#This Row],[author_es]],autorest[author_es],autorest[iso3691])</f>
        <v>es</v>
      </c>
      <c r="K923" t="str">
        <f>_xlfn.XLOOKUP(frasest[[#This Row],[author_es]],autorest[author_es],autorest[language_es])</f>
        <v>Español</v>
      </c>
      <c r="L923" t="str">
        <f>_xlfn.XLOOKUP(frasest[[#This Row],[author_es]],autorest[author_es],autorest[language_la])</f>
        <v>Lingua Hispanica</v>
      </c>
      <c r="M923" t="str">
        <f>_xlfn.XLOOKUP(frasest[[#This Row],[author_es]],autorest[author_es],autorest[nation_es])</f>
        <v>España</v>
      </c>
      <c r="N923" t="str">
        <f>_xlfn.XLOOKUP(frasest[[#This Row],[author_es]],autorest[author_es],autorest[nation_la])</f>
        <v>Hispania</v>
      </c>
      <c r="O923" t="str">
        <f>_xlfn.XLOOKUP(frasest[[#This Row],[author_es]],autorest[author_es],autorest[age_es])</f>
        <v>Epoca Desconocida</v>
      </c>
      <c r="P923" t="str">
        <f>_xlfn.XLOOKUP(frasest[[#This Row],[author_es]],autorest[author_es],autorest[age_la])</f>
        <v>Epocha Ignota</v>
      </c>
      <c r="Q923" t="str">
        <f>_xlfn.XLOOKUP(frasest[[#This Row],[author_es]],autorest[author_es],autorest[image])</f>
        <v>https://i.ibb.co/Y4f7TZWm/espa-a.png</v>
      </c>
      <c r="R923">
        <f>_xlfn.XLOOKUP(frasest[[#This Row],[author_es]],autorest[author_es],autorest[image_atr])</f>
        <v>0</v>
      </c>
    </row>
    <row r="924" spans="1:18">
      <c r="A924">
        <v>923</v>
      </c>
      <c r="B924" t="s">
        <v>3014</v>
      </c>
      <c r="C924" t="s">
        <v>3015</v>
      </c>
      <c r="D924" t="s">
        <v>3014</v>
      </c>
      <c r="E924" t="s">
        <v>24</v>
      </c>
      <c r="G924" t="str">
        <f>_xlfn.XLOOKUP(frasest[[#This Row],[author_es]],autorest[author_es],autorest[author_la])</f>
        <v>Sententia Hispanica</v>
      </c>
      <c r="H924" t="str">
        <f>_xlfn.XLOOKUP(frasest[[#This Row],[author_es]],autorest[author_es],autorest[bio_es])</f>
        <v>Refranes populares de la tradición oral hispana que expresan de forma breve y ingeniosa enseñanzas prácticas sobre la vida cotidiana.</v>
      </c>
      <c r="I924" t="str">
        <f>_xlfn.XLOOKUP(frasest[[#This Row],[author_es]],autorest[author_es],autorest[bio_la])</f>
        <v>Collectio sententiarum Hispanicarum.</v>
      </c>
      <c r="J924" t="str">
        <f>_xlfn.XLOOKUP(frasest[[#This Row],[author_es]],autorest[author_es],autorest[iso3691])</f>
        <v>es</v>
      </c>
      <c r="K924" t="str">
        <f>_xlfn.XLOOKUP(frasest[[#This Row],[author_es]],autorest[author_es],autorest[language_es])</f>
        <v>Español</v>
      </c>
      <c r="L924" t="str">
        <f>_xlfn.XLOOKUP(frasest[[#This Row],[author_es]],autorest[author_es],autorest[language_la])</f>
        <v>Lingua Hispanica</v>
      </c>
      <c r="M924" t="str">
        <f>_xlfn.XLOOKUP(frasest[[#This Row],[author_es]],autorest[author_es],autorest[nation_es])</f>
        <v>España</v>
      </c>
      <c r="N924" t="str">
        <f>_xlfn.XLOOKUP(frasest[[#This Row],[author_es]],autorest[author_es],autorest[nation_la])</f>
        <v>Hispania</v>
      </c>
      <c r="O924" t="str">
        <f>_xlfn.XLOOKUP(frasest[[#This Row],[author_es]],autorest[author_es],autorest[age_es])</f>
        <v>Epoca Desconocida</v>
      </c>
      <c r="P924" t="str">
        <f>_xlfn.XLOOKUP(frasest[[#This Row],[author_es]],autorest[author_es],autorest[age_la])</f>
        <v>Epocha Ignota</v>
      </c>
      <c r="Q924" t="str">
        <f>_xlfn.XLOOKUP(frasest[[#This Row],[author_es]],autorest[author_es],autorest[image])</f>
        <v>https://i.ibb.co/Y4f7TZWm/espa-a.png</v>
      </c>
      <c r="R924">
        <f>_xlfn.XLOOKUP(frasest[[#This Row],[author_es]],autorest[author_es],autorest[image_atr])</f>
        <v>0</v>
      </c>
    </row>
    <row r="925" spans="1:18">
      <c r="A925">
        <v>924</v>
      </c>
      <c r="B925" t="s">
        <v>3016</v>
      </c>
      <c r="C925" t="s">
        <v>3017</v>
      </c>
      <c r="D925" t="s">
        <v>3016</v>
      </c>
      <c r="E925" t="s">
        <v>24</v>
      </c>
      <c r="G925" t="str">
        <f>_xlfn.XLOOKUP(frasest[[#This Row],[author_es]],autorest[author_es],autorest[author_la])</f>
        <v>Sententia Hispanica</v>
      </c>
      <c r="H925" t="str">
        <f>_xlfn.XLOOKUP(frasest[[#This Row],[author_es]],autorest[author_es],autorest[bio_es])</f>
        <v>Refranes populares de la tradición oral hispana que expresan de forma breve y ingeniosa enseñanzas prácticas sobre la vida cotidiana.</v>
      </c>
      <c r="I925" t="str">
        <f>_xlfn.XLOOKUP(frasest[[#This Row],[author_es]],autorest[author_es],autorest[bio_la])</f>
        <v>Collectio sententiarum Hispanicarum.</v>
      </c>
      <c r="J925" t="str">
        <f>_xlfn.XLOOKUP(frasest[[#This Row],[author_es]],autorest[author_es],autorest[iso3691])</f>
        <v>es</v>
      </c>
      <c r="K925" t="str">
        <f>_xlfn.XLOOKUP(frasest[[#This Row],[author_es]],autorest[author_es],autorest[language_es])</f>
        <v>Español</v>
      </c>
      <c r="L925" t="str">
        <f>_xlfn.XLOOKUP(frasest[[#This Row],[author_es]],autorest[author_es],autorest[language_la])</f>
        <v>Lingua Hispanica</v>
      </c>
      <c r="M925" t="str">
        <f>_xlfn.XLOOKUP(frasest[[#This Row],[author_es]],autorest[author_es],autorest[nation_es])</f>
        <v>España</v>
      </c>
      <c r="N925" t="str">
        <f>_xlfn.XLOOKUP(frasest[[#This Row],[author_es]],autorest[author_es],autorest[nation_la])</f>
        <v>Hispania</v>
      </c>
      <c r="O925" t="str">
        <f>_xlfn.XLOOKUP(frasest[[#This Row],[author_es]],autorest[author_es],autorest[age_es])</f>
        <v>Epoca Desconocida</v>
      </c>
      <c r="P925" t="str">
        <f>_xlfn.XLOOKUP(frasest[[#This Row],[author_es]],autorest[author_es],autorest[age_la])</f>
        <v>Epocha Ignota</v>
      </c>
      <c r="Q925" t="str">
        <f>_xlfn.XLOOKUP(frasest[[#This Row],[author_es]],autorest[author_es],autorest[image])</f>
        <v>https://i.ibb.co/Y4f7TZWm/espa-a.png</v>
      </c>
      <c r="R925">
        <f>_xlfn.XLOOKUP(frasest[[#This Row],[author_es]],autorest[author_es],autorest[image_atr])</f>
        <v>0</v>
      </c>
    </row>
    <row r="926" spans="1:18">
      <c r="A926">
        <v>925</v>
      </c>
      <c r="B926" t="s">
        <v>3018</v>
      </c>
      <c r="C926" t="s">
        <v>3019</v>
      </c>
      <c r="D926" t="s">
        <v>3018</v>
      </c>
      <c r="E926" t="s">
        <v>24</v>
      </c>
      <c r="G926" t="str">
        <f>_xlfn.XLOOKUP(frasest[[#This Row],[author_es]],autorest[author_es],autorest[author_la])</f>
        <v>Sententia Hispanica</v>
      </c>
      <c r="H926" t="str">
        <f>_xlfn.XLOOKUP(frasest[[#This Row],[author_es]],autorest[author_es],autorest[bio_es])</f>
        <v>Refranes populares de la tradición oral hispana que expresan de forma breve y ingeniosa enseñanzas prácticas sobre la vida cotidiana.</v>
      </c>
      <c r="I926" t="str">
        <f>_xlfn.XLOOKUP(frasest[[#This Row],[author_es]],autorest[author_es],autorest[bio_la])</f>
        <v>Collectio sententiarum Hispanicarum.</v>
      </c>
      <c r="J926" t="str">
        <f>_xlfn.XLOOKUP(frasest[[#This Row],[author_es]],autorest[author_es],autorest[iso3691])</f>
        <v>es</v>
      </c>
      <c r="K926" t="str">
        <f>_xlfn.XLOOKUP(frasest[[#This Row],[author_es]],autorest[author_es],autorest[language_es])</f>
        <v>Español</v>
      </c>
      <c r="L926" t="str">
        <f>_xlfn.XLOOKUP(frasest[[#This Row],[author_es]],autorest[author_es],autorest[language_la])</f>
        <v>Lingua Hispanica</v>
      </c>
      <c r="M926" t="str">
        <f>_xlfn.XLOOKUP(frasest[[#This Row],[author_es]],autorest[author_es],autorest[nation_es])</f>
        <v>España</v>
      </c>
      <c r="N926" t="str">
        <f>_xlfn.XLOOKUP(frasest[[#This Row],[author_es]],autorest[author_es],autorest[nation_la])</f>
        <v>Hispania</v>
      </c>
      <c r="O926" t="str">
        <f>_xlfn.XLOOKUP(frasest[[#This Row],[author_es]],autorest[author_es],autorest[age_es])</f>
        <v>Epoca Desconocida</v>
      </c>
      <c r="P926" t="str">
        <f>_xlfn.XLOOKUP(frasest[[#This Row],[author_es]],autorest[author_es],autorest[age_la])</f>
        <v>Epocha Ignota</v>
      </c>
      <c r="Q926" t="str">
        <f>_xlfn.XLOOKUP(frasest[[#This Row],[author_es]],autorest[author_es],autorest[image])</f>
        <v>https://i.ibb.co/Y4f7TZWm/espa-a.png</v>
      </c>
      <c r="R926">
        <f>_xlfn.XLOOKUP(frasest[[#This Row],[author_es]],autorest[author_es],autorest[image_atr])</f>
        <v>0</v>
      </c>
    </row>
    <row r="927" spans="1:18">
      <c r="A927">
        <v>926</v>
      </c>
      <c r="B927" t="s">
        <v>3020</v>
      </c>
      <c r="C927" t="s">
        <v>3021</v>
      </c>
      <c r="D927" t="s">
        <v>3020</v>
      </c>
      <c r="E927" t="s">
        <v>24</v>
      </c>
      <c r="G927" t="str">
        <f>_xlfn.XLOOKUP(frasest[[#This Row],[author_es]],autorest[author_es],autorest[author_la])</f>
        <v>Sententia Hispanica</v>
      </c>
      <c r="H927" t="str">
        <f>_xlfn.XLOOKUP(frasest[[#This Row],[author_es]],autorest[author_es],autorest[bio_es])</f>
        <v>Refranes populares de la tradición oral hispana que expresan de forma breve y ingeniosa enseñanzas prácticas sobre la vida cotidiana.</v>
      </c>
      <c r="I927" t="str">
        <f>_xlfn.XLOOKUP(frasest[[#This Row],[author_es]],autorest[author_es],autorest[bio_la])</f>
        <v>Collectio sententiarum Hispanicarum.</v>
      </c>
      <c r="J927" t="str">
        <f>_xlfn.XLOOKUP(frasest[[#This Row],[author_es]],autorest[author_es],autorest[iso3691])</f>
        <v>es</v>
      </c>
      <c r="K927" t="str">
        <f>_xlfn.XLOOKUP(frasest[[#This Row],[author_es]],autorest[author_es],autorest[language_es])</f>
        <v>Español</v>
      </c>
      <c r="L927" t="str">
        <f>_xlfn.XLOOKUP(frasest[[#This Row],[author_es]],autorest[author_es],autorest[language_la])</f>
        <v>Lingua Hispanica</v>
      </c>
      <c r="M927" t="str">
        <f>_xlfn.XLOOKUP(frasest[[#This Row],[author_es]],autorest[author_es],autorest[nation_es])</f>
        <v>España</v>
      </c>
      <c r="N927" t="str">
        <f>_xlfn.XLOOKUP(frasest[[#This Row],[author_es]],autorest[author_es],autorest[nation_la])</f>
        <v>Hispania</v>
      </c>
      <c r="O927" t="str">
        <f>_xlfn.XLOOKUP(frasest[[#This Row],[author_es]],autorest[author_es],autorest[age_es])</f>
        <v>Epoca Desconocida</v>
      </c>
      <c r="P927" t="str">
        <f>_xlfn.XLOOKUP(frasest[[#This Row],[author_es]],autorest[author_es],autorest[age_la])</f>
        <v>Epocha Ignota</v>
      </c>
      <c r="Q927" t="str">
        <f>_xlfn.XLOOKUP(frasest[[#This Row],[author_es]],autorest[author_es],autorest[image])</f>
        <v>https://i.ibb.co/Y4f7TZWm/espa-a.png</v>
      </c>
      <c r="R927">
        <f>_xlfn.XLOOKUP(frasest[[#This Row],[author_es]],autorest[author_es],autorest[image_atr])</f>
        <v>0</v>
      </c>
    </row>
    <row r="928" spans="1:18">
      <c r="A928">
        <v>927</v>
      </c>
      <c r="B928" t="s">
        <v>3022</v>
      </c>
      <c r="C928" t="s">
        <v>3023</v>
      </c>
      <c r="D928" t="s">
        <v>3022</v>
      </c>
      <c r="E928" t="s">
        <v>24</v>
      </c>
      <c r="G928" t="str">
        <f>_xlfn.XLOOKUP(frasest[[#This Row],[author_es]],autorest[author_es],autorest[author_la])</f>
        <v>Sententia Hispanica</v>
      </c>
      <c r="H928" t="str">
        <f>_xlfn.XLOOKUP(frasest[[#This Row],[author_es]],autorest[author_es],autorest[bio_es])</f>
        <v>Refranes populares de la tradición oral hispana que expresan de forma breve y ingeniosa enseñanzas prácticas sobre la vida cotidiana.</v>
      </c>
      <c r="I928" t="str">
        <f>_xlfn.XLOOKUP(frasest[[#This Row],[author_es]],autorest[author_es],autorest[bio_la])</f>
        <v>Collectio sententiarum Hispanicarum.</v>
      </c>
      <c r="J928" t="str">
        <f>_xlfn.XLOOKUP(frasest[[#This Row],[author_es]],autorest[author_es],autorest[iso3691])</f>
        <v>es</v>
      </c>
      <c r="K928" t="str">
        <f>_xlfn.XLOOKUP(frasest[[#This Row],[author_es]],autorest[author_es],autorest[language_es])</f>
        <v>Español</v>
      </c>
      <c r="L928" t="str">
        <f>_xlfn.XLOOKUP(frasest[[#This Row],[author_es]],autorest[author_es],autorest[language_la])</f>
        <v>Lingua Hispanica</v>
      </c>
      <c r="M928" t="str">
        <f>_xlfn.XLOOKUP(frasest[[#This Row],[author_es]],autorest[author_es],autorest[nation_es])</f>
        <v>España</v>
      </c>
      <c r="N928" t="str">
        <f>_xlfn.XLOOKUP(frasest[[#This Row],[author_es]],autorest[author_es],autorest[nation_la])</f>
        <v>Hispania</v>
      </c>
      <c r="O928" t="str">
        <f>_xlfn.XLOOKUP(frasest[[#This Row],[author_es]],autorest[author_es],autorest[age_es])</f>
        <v>Epoca Desconocida</v>
      </c>
      <c r="P928" t="str">
        <f>_xlfn.XLOOKUP(frasest[[#This Row],[author_es]],autorest[author_es],autorest[age_la])</f>
        <v>Epocha Ignota</v>
      </c>
      <c r="Q928" t="str">
        <f>_xlfn.XLOOKUP(frasest[[#This Row],[author_es]],autorest[author_es],autorest[image])</f>
        <v>https://i.ibb.co/Y4f7TZWm/espa-a.png</v>
      </c>
      <c r="R928">
        <f>_xlfn.XLOOKUP(frasest[[#This Row],[author_es]],autorest[author_es],autorest[image_atr])</f>
        <v>0</v>
      </c>
    </row>
    <row r="929" spans="1:18">
      <c r="A929">
        <v>928</v>
      </c>
      <c r="B929" t="s">
        <v>3024</v>
      </c>
      <c r="C929" t="s">
        <v>3025</v>
      </c>
      <c r="D929" t="s">
        <v>3024</v>
      </c>
      <c r="E929" t="s">
        <v>24</v>
      </c>
      <c r="G929" t="str">
        <f>_xlfn.XLOOKUP(frasest[[#This Row],[author_es]],autorest[author_es],autorest[author_la])</f>
        <v>Sententia Hispanica</v>
      </c>
      <c r="H929" t="str">
        <f>_xlfn.XLOOKUP(frasest[[#This Row],[author_es]],autorest[author_es],autorest[bio_es])</f>
        <v>Refranes populares de la tradición oral hispana que expresan de forma breve y ingeniosa enseñanzas prácticas sobre la vida cotidiana.</v>
      </c>
      <c r="I929" t="str">
        <f>_xlfn.XLOOKUP(frasest[[#This Row],[author_es]],autorest[author_es],autorest[bio_la])</f>
        <v>Collectio sententiarum Hispanicarum.</v>
      </c>
      <c r="J929" t="str">
        <f>_xlfn.XLOOKUP(frasest[[#This Row],[author_es]],autorest[author_es],autorest[iso3691])</f>
        <v>es</v>
      </c>
      <c r="K929" t="str">
        <f>_xlfn.XLOOKUP(frasest[[#This Row],[author_es]],autorest[author_es],autorest[language_es])</f>
        <v>Español</v>
      </c>
      <c r="L929" t="str">
        <f>_xlfn.XLOOKUP(frasest[[#This Row],[author_es]],autorest[author_es],autorest[language_la])</f>
        <v>Lingua Hispanica</v>
      </c>
      <c r="M929" t="str">
        <f>_xlfn.XLOOKUP(frasest[[#This Row],[author_es]],autorest[author_es],autorest[nation_es])</f>
        <v>España</v>
      </c>
      <c r="N929" t="str">
        <f>_xlfn.XLOOKUP(frasest[[#This Row],[author_es]],autorest[author_es],autorest[nation_la])</f>
        <v>Hispania</v>
      </c>
      <c r="O929" t="str">
        <f>_xlfn.XLOOKUP(frasest[[#This Row],[author_es]],autorest[author_es],autorest[age_es])</f>
        <v>Epoca Desconocida</v>
      </c>
      <c r="P929" t="str">
        <f>_xlfn.XLOOKUP(frasest[[#This Row],[author_es]],autorest[author_es],autorest[age_la])</f>
        <v>Epocha Ignota</v>
      </c>
      <c r="Q929" t="str">
        <f>_xlfn.XLOOKUP(frasest[[#This Row],[author_es]],autorest[author_es],autorest[image])</f>
        <v>https://i.ibb.co/Y4f7TZWm/espa-a.png</v>
      </c>
      <c r="R929">
        <f>_xlfn.XLOOKUP(frasest[[#This Row],[author_es]],autorest[author_es],autorest[image_atr])</f>
        <v>0</v>
      </c>
    </row>
    <row r="930" spans="1:18">
      <c r="A930">
        <v>929</v>
      </c>
      <c r="B930" t="s">
        <v>3026</v>
      </c>
      <c r="C930" t="s">
        <v>3027</v>
      </c>
      <c r="D930" t="s">
        <v>3026</v>
      </c>
      <c r="E930" t="s">
        <v>24</v>
      </c>
      <c r="G930" t="str">
        <f>_xlfn.XLOOKUP(frasest[[#This Row],[author_es]],autorest[author_es],autorest[author_la])</f>
        <v>Sententia Hispanica</v>
      </c>
      <c r="H930" t="str">
        <f>_xlfn.XLOOKUP(frasest[[#This Row],[author_es]],autorest[author_es],autorest[bio_es])</f>
        <v>Refranes populares de la tradición oral hispana que expresan de forma breve y ingeniosa enseñanzas prácticas sobre la vida cotidiana.</v>
      </c>
      <c r="I930" t="str">
        <f>_xlfn.XLOOKUP(frasest[[#This Row],[author_es]],autorest[author_es],autorest[bio_la])</f>
        <v>Collectio sententiarum Hispanicarum.</v>
      </c>
      <c r="J930" t="str">
        <f>_xlfn.XLOOKUP(frasest[[#This Row],[author_es]],autorest[author_es],autorest[iso3691])</f>
        <v>es</v>
      </c>
      <c r="K930" t="str">
        <f>_xlfn.XLOOKUP(frasest[[#This Row],[author_es]],autorest[author_es],autorest[language_es])</f>
        <v>Español</v>
      </c>
      <c r="L930" t="str">
        <f>_xlfn.XLOOKUP(frasest[[#This Row],[author_es]],autorest[author_es],autorest[language_la])</f>
        <v>Lingua Hispanica</v>
      </c>
      <c r="M930" t="str">
        <f>_xlfn.XLOOKUP(frasest[[#This Row],[author_es]],autorest[author_es],autorest[nation_es])</f>
        <v>España</v>
      </c>
      <c r="N930" t="str">
        <f>_xlfn.XLOOKUP(frasest[[#This Row],[author_es]],autorest[author_es],autorest[nation_la])</f>
        <v>Hispania</v>
      </c>
      <c r="O930" t="str">
        <f>_xlfn.XLOOKUP(frasest[[#This Row],[author_es]],autorest[author_es],autorest[age_es])</f>
        <v>Epoca Desconocida</v>
      </c>
      <c r="P930" t="str">
        <f>_xlfn.XLOOKUP(frasest[[#This Row],[author_es]],autorest[author_es],autorest[age_la])</f>
        <v>Epocha Ignota</v>
      </c>
      <c r="Q930" t="str">
        <f>_xlfn.XLOOKUP(frasest[[#This Row],[author_es]],autorest[author_es],autorest[image])</f>
        <v>https://i.ibb.co/Y4f7TZWm/espa-a.png</v>
      </c>
      <c r="R930">
        <f>_xlfn.XLOOKUP(frasest[[#This Row],[author_es]],autorest[author_es],autorest[image_atr])</f>
        <v>0</v>
      </c>
    </row>
    <row r="931" spans="1:18">
      <c r="A931">
        <v>930</v>
      </c>
      <c r="B931" t="s">
        <v>3028</v>
      </c>
      <c r="C931" t="s">
        <v>3029</v>
      </c>
      <c r="D931" t="s">
        <v>3028</v>
      </c>
      <c r="E931" t="s">
        <v>24</v>
      </c>
      <c r="G931" t="str">
        <f>_xlfn.XLOOKUP(frasest[[#This Row],[author_es]],autorest[author_es],autorest[author_la])</f>
        <v>Sententia Hispanica</v>
      </c>
      <c r="H931" t="str">
        <f>_xlfn.XLOOKUP(frasest[[#This Row],[author_es]],autorest[author_es],autorest[bio_es])</f>
        <v>Refranes populares de la tradición oral hispana que expresan de forma breve y ingeniosa enseñanzas prácticas sobre la vida cotidiana.</v>
      </c>
      <c r="I931" t="str">
        <f>_xlfn.XLOOKUP(frasest[[#This Row],[author_es]],autorest[author_es],autorest[bio_la])</f>
        <v>Collectio sententiarum Hispanicarum.</v>
      </c>
      <c r="J931" t="str">
        <f>_xlfn.XLOOKUP(frasest[[#This Row],[author_es]],autorest[author_es],autorest[iso3691])</f>
        <v>es</v>
      </c>
      <c r="K931" t="str">
        <f>_xlfn.XLOOKUP(frasest[[#This Row],[author_es]],autorest[author_es],autorest[language_es])</f>
        <v>Español</v>
      </c>
      <c r="L931" t="str">
        <f>_xlfn.XLOOKUP(frasest[[#This Row],[author_es]],autorest[author_es],autorest[language_la])</f>
        <v>Lingua Hispanica</v>
      </c>
      <c r="M931" t="str">
        <f>_xlfn.XLOOKUP(frasest[[#This Row],[author_es]],autorest[author_es],autorest[nation_es])</f>
        <v>España</v>
      </c>
      <c r="N931" t="str">
        <f>_xlfn.XLOOKUP(frasest[[#This Row],[author_es]],autorest[author_es],autorest[nation_la])</f>
        <v>Hispania</v>
      </c>
      <c r="O931" t="str">
        <f>_xlfn.XLOOKUP(frasest[[#This Row],[author_es]],autorest[author_es],autorest[age_es])</f>
        <v>Epoca Desconocida</v>
      </c>
      <c r="P931" t="str">
        <f>_xlfn.XLOOKUP(frasest[[#This Row],[author_es]],autorest[author_es],autorest[age_la])</f>
        <v>Epocha Ignota</v>
      </c>
      <c r="Q931" t="str">
        <f>_xlfn.XLOOKUP(frasest[[#This Row],[author_es]],autorest[author_es],autorest[image])</f>
        <v>https://i.ibb.co/Y4f7TZWm/espa-a.png</v>
      </c>
      <c r="R931">
        <f>_xlfn.XLOOKUP(frasest[[#This Row],[author_es]],autorest[author_es],autorest[image_atr])</f>
        <v>0</v>
      </c>
    </row>
    <row r="932" spans="1:18">
      <c r="A932">
        <v>931</v>
      </c>
      <c r="B932" t="s">
        <v>3030</v>
      </c>
      <c r="C932" t="s">
        <v>3031</v>
      </c>
      <c r="D932" t="s">
        <v>3030</v>
      </c>
      <c r="E932" t="s">
        <v>24</v>
      </c>
      <c r="G932" t="str">
        <f>_xlfn.XLOOKUP(frasest[[#This Row],[author_es]],autorest[author_es],autorest[author_la])</f>
        <v>Sententia Hispanica</v>
      </c>
      <c r="H932" t="str">
        <f>_xlfn.XLOOKUP(frasest[[#This Row],[author_es]],autorest[author_es],autorest[bio_es])</f>
        <v>Refranes populares de la tradición oral hispana que expresan de forma breve y ingeniosa enseñanzas prácticas sobre la vida cotidiana.</v>
      </c>
      <c r="I932" t="str">
        <f>_xlfn.XLOOKUP(frasest[[#This Row],[author_es]],autorest[author_es],autorest[bio_la])</f>
        <v>Collectio sententiarum Hispanicarum.</v>
      </c>
      <c r="J932" t="str">
        <f>_xlfn.XLOOKUP(frasest[[#This Row],[author_es]],autorest[author_es],autorest[iso3691])</f>
        <v>es</v>
      </c>
      <c r="K932" t="str">
        <f>_xlfn.XLOOKUP(frasest[[#This Row],[author_es]],autorest[author_es],autorest[language_es])</f>
        <v>Español</v>
      </c>
      <c r="L932" t="str">
        <f>_xlfn.XLOOKUP(frasest[[#This Row],[author_es]],autorest[author_es],autorest[language_la])</f>
        <v>Lingua Hispanica</v>
      </c>
      <c r="M932" t="str">
        <f>_xlfn.XLOOKUP(frasest[[#This Row],[author_es]],autorest[author_es],autorest[nation_es])</f>
        <v>España</v>
      </c>
      <c r="N932" t="str">
        <f>_xlfn.XLOOKUP(frasest[[#This Row],[author_es]],autorest[author_es],autorest[nation_la])</f>
        <v>Hispania</v>
      </c>
      <c r="O932" t="str">
        <f>_xlfn.XLOOKUP(frasest[[#This Row],[author_es]],autorest[author_es],autorest[age_es])</f>
        <v>Epoca Desconocida</v>
      </c>
      <c r="P932" t="str">
        <f>_xlfn.XLOOKUP(frasest[[#This Row],[author_es]],autorest[author_es],autorest[age_la])</f>
        <v>Epocha Ignota</v>
      </c>
      <c r="Q932" t="str">
        <f>_xlfn.XLOOKUP(frasest[[#This Row],[author_es]],autorest[author_es],autorest[image])</f>
        <v>https://i.ibb.co/Y4f7TZWm/espa-a.png</v>
      </c>
      <c r="R932">
        <f>_xlfn.XLOOKUP(frasest[[#This Row],[author_es]],autorest[author_es],autorest[image_atr])</f>
        <v>0</v>
      </c>
    </row>
    <row r="933" spans="1:18">
      <c r="A933">
        <v>932</v>
      </c>
      <c r="B933" t="s">
        <v>3032</v>
      </c>
      <c r="C933" t="s">
        <v>3033</v>
      </c>
      <c r="D933" t="s">
        <v>3032</v>
      </c>
      <c r="E933" t="s">
        <v>24</v>
      </c>
      <c r="G933" t="str">
        <f>_xlfn.XLOOKUP(frasest[[#This Row],[author_es]],autorest[author_es],autorest[author_la])</f>
        <v>Sententia Hispanica</v>
      </c>
      <c r="H933" t="str">
        <f>_xlfn.XLOOKUP(frasest[[#This Row],[author_es]],autorest[author_es],autorest[bio_es])</f>
        <v>Refranes populares de la tradición oral hispana que expresan de forma breve y ingeniosa enseñanzas prácticas sobre la vida cotidiana.</v>
      </c>
      <c r="I933" t="str">
        <f>_xlfn.XLOOKUP(frasest[[#This Row],[author_es]],autorest[author_es],autorest[bio_la])</f>
        <v>Collectio sententiarum Hispanicarum.</v>
      </c>
      <c r="J933" t="str">
        <f>_xlfn.XLOOKUP(frasest[[#This Row],[author_es]],autorest[author_es],autorest[iso3691])</f>
        <v>es</v>
      </c>
      <c r="K933" t="str">
        <f>_xlfn.XLOOKUP(frasest[[#This Row],[author_es]],autorest[author_es],autorest[language_es])</f>
        <v>Español</v>
      </c>
      <c r="L933" t="str">
        <f>_xlfn.XLOOKUP(frasest[[#This Row],[author_es]],autorest[author_es],autorest[language_la])</f>
        <v>Lingua Hispanica</v>
      </c>
      <c r="M933" t="str">
        <f>_xlfn.XLOOKUP(frasest[[#This Row],[author_es]],autorest[author_es],autorest[nation_es])</f>
        <v>España</v>
      </c>
      <c r="N933" t="str">
        <f>_xlfn.XLOOKUP(frasest[[#This Row],[author_es]],autorest[author_es],autorest[nation_la])</f>
        <v>Hispania</v>
      </c>
      <c r="O933" t="str">
        <f>_xlfn.XLOOKUP(frasest[[#This Row],[author_es]],autorest[author_es],autorest[age_es])</f>
        <v>Epoca Desconocida</v>
      </c>
      <c r="P933" t="str">
        <f>_xlfn.XLOOKUP(frasest[[#This Row],[author_es]],autorest[author_es],autorest[age_la])</f>
        <v>Epocha Ignota</v>
      </c>
      <c r="Q933" t="str">
        <f>_xlfn.XLOOKUP(frasest[[#This Row],[author_es]],autorest[author_es],autorest[image])</f>
        <v>https://i.ibb.co/Y4f7TZWm/espa-a.png</v>
      </c>
      <c r="R933">
        <f>_xlfn.XLOOKUP(frasest[[#This Row],[author_es]],autorest[author_es],autorest[image_atr])</f>
        <v>0</v>
      </c>
    </row>
    <row r="934" spans="1:18">
      <c r="A934">
        <v>933</v>
      </c>
      <c r="B934" t="s">
        <v>3034</v>
      </c>
      <c r="C934" t="s">
        <v>3035</v>
      </c>
      <c r="D934" t="s">
        <v>3034</v>
      </c>
      <c r="E934" t="s">
        <v>24</v>
      </c>
      <c r="G934" t="str">
        <f>_xlfn.XLOOKUP(frasest[[#This Row],[author_es]],autorest[author_es],autorest[author_la])</f>
        <v>Sententia Hispanica</v>
      </c>
      <c r="H934" t="str">
        <f>_xlfn.XLOOKUP(frasest[[#This Row],[author_es]],autorest[author_es],autorest[bio_es])</f>
        <v>Refranes populares de la tradición oral hispana que expresan de forma breve y ingeniosa enseñanzas prácticas sobre la vida cotidiana.</v>
      </c>
      <c r="I934" t="str">
        <f>_xlfn.XLOOKUP(frasest[[#This Row],[author_es]],autorest[author_es],autorest[bio_la])</f>
        <v>Collectio sententiarum Hispanicarum.</v>
      </c>
      <c r="J934" t="str">
        <f>_xlfn.XLOOKUP(frasest[[#This Row],[author_es]],autorest[author_es],autorest[iso3691])</f>
        <v>es</v>
      </c>
      <c r="K934" t="str">
        <f>_xlfn.XLOOKUP(frasest[[#This Row],[author_es]],autorest[author_es],autorest[language_es])</f>
        <v>Español</v>
      </c>
      <c r="L934" t="str">
        <f>_xlfn.XLOOKUP(frasest[[#This Row],[author_es]],autorest[author_es],autorest[language_la])</f>
        <v>Lingua Hispanica</v>
      </c>
      <c r="M934" t="str">
        <f>_xlfn.XLOOKUP(frasest[[#This Row],[author_es]],autorest[author_es],autorest[nation_es])</f>
        <v>España</v>
      </c>
      <c r="N934" t="str">
        <f>_xlfn.XLOOKUP(frasest[[#This Row],[author_es]],autorest[author_es],autorest[nation_la])</f>
        <v>Hispania</v>
      </c>
      <c r="O934" t="str">
        <f>_xlfn.XLOOKUP(frasest[[#This Row],[author_es]],autorest[author_es],autorest[age_es])</f>
        <v>Epoca Desconocida</v>
      </c>
      <c r="P934" t="str">
        <f>_xlfn.XLOOKUP(frasest[[#This Row],[author_es]],autorest[author_es],autorest[age_la])</f>
        <v>Epocha Ignota</v>
      </c>
      <c r="Q934" t="str">
        <f>_xlfn.XLOOKUP(frasest[[#This Row],[author_es]],autorest[author_es],autorest[image])</f>
        <v>https://i.ibb.co/Y4f7TZWm/espa-a.png</v>
      </c>
      <c r="R934">
        <f>_xlfn.XLOOKUP(frasest[[#This Row],[author_es]],autorest[author_es],autorest[image_atr])</f>
        <v>0</v>
      </c>
    </row>
    <row r="935" spans="1:18">
      <c r="A935">
        <v>934</v>
      </c>
      <c r="B935" t="s">
        <v>3036</v>
      </c>
      <c r="C935" t="s">
        <v>3037</v>
      </c>
      <c r="D935" t="s">
        <v>3036</v>
      </c>
      <c r="E935" t="s">
        <v>24</v>
      </c>
      <c r="G935" t="str">
        <f>_xlfn.XLOOKUP(frasest[[#This Row],[author_es]],autorest[author_es],autorest[author_la])</f>
        <v>Sententia Hispanica</v>
      </c>
      <c r="H935" t="str">
        <f>_xlfn.XLOOKUP(frasest[[#This Row],[author_es]],autorest[author_es],autorest[bio_es])</f>
        <v>Refranes populares de la tradición oral hispana que expresan de forma breve y ingeniosa enseñanzas prácticas sobre la vida cotidiana.</v>
      </c>
      <c r="I935" t="str">
        <f>_xlfn.XLOOKUP(frasest[[#This Row],[author_es]],autorest[author_es],autorest[bio_la])</f>
        <v>Collectio sententiarum Hispanicarum.</v>
      </c>
      <c r="J935" t="str">
        <f>_xlfn.XLOOKUP(frasest[[#This Row],[author_es]],autorest[author_es],autorest[iso3691])</f>
        <v>es</v>
      </c>
      <c r="K935" t="str">
        <f>_xlfn.XLOOKUP(frasest[[#This Row],[author_es]],autorest[author_es],autorest[language_es])</f>
        <v>Español</v>
      </c>
      <c r="L935" t="str">
        <f>_xlfn.XLOOKUP(frasest[[#This Row],[author_es]],autorest[author_es],autorest[language_la])</f>
        <v>Lingua Hispanica</v>
      </c>
      <c r="M935" t="str">
        <f>_xlfn.XLOOKUP(frasest[[#This Row],[author_es]],autorest[author_es],autorest[nation_es])</f>
        <v>España</v>
      </c>
      <c r="N935" t="str">
        <f>_xlfn.XLOOKUP(frasest[[#This Row],[author_es]],autorest[author_es],autorest[nation_la])</f>
        <v>Hispania</v>
      </c>
      <c r="O935" t="str">
        <f>_xlfn.XLOOKUP(frasest[[#This Row],[author_es]],autorest[author_es],autorest[age_es])</f>
        <v>Epoca Desconocida</v>
      </c>
      <c r="P935" t="str">
        <f>_xlfn.XLOOKUP(frasest[[#This Row],[author_es]],autorest[author_es],autorest[age_la])</f>
        <v>Epocha Ignota</v>
      </c>
      <c r="Q935" t="str">
        <f>_xlfn.XLOOKUP(frasest[[#This Row],[author_es]],autorest[author_es],autorest[image])</f>
        <v>https://i.ibb.co/Y4f7TZWm/espa-a.png</v>
      </c>
      <c r="R935">
        <f>_xlfn.XLOOKUP(frasest[[#This Row],[author_es]],autorest[author_es],autorest[image_atr])</f>
        <v>0</v>
      </c>
    </row>
    <row r="936" spans="1:18">
      <c r="A936">
        <v>935</v>
      </c>
      <c r="B936" t="s">
        <v>3038</v>
      </c>
      <c r="C936" t="s">
        <v>3039</v>
      </c>
      <c r="D936" t="s">
        <v>3038</v>
      </c>
      <c r="E936" t="s">
        <v>24</v>
      </c>
      <c r="G936" t="str">
        <f>_xlfn.XLOOKUP(frasest[[#This Row],[author_es]],autorest[author_es],autorest[author_la])</f>
        <v>Sententia Hispanica</v>
      </c>
      <c r="H936" t="str">
        <f>_xlfn.XLOOKUP(frasest[[#This Row],[author_es]],autorest[author_es],autorest[bio_es])</f>
        <v>Refranes populares de la tradición oral hispana que expresan de forma breve y ingeniosa enseñanzas prácticas sobre la vida cotidiana.</v>
      </c>
      <c r="I936" t="str">
        <f>_xlfn.XLOOKUP(frasest[[#This Row],[author_es]],autorest[author_es],autorest[bio_la])</f>
        <v>Collectio sententiarum Hispanicarum.</v>
      </c>
      <c r="J936" t="str">
        <f>_xlfn.XLOOKUP(frasest[[#This Row],[author_es]],autorest[author_es],autorest[iso3691])</f>
        <v>es</v>
      </c>
      <c r="K936" t="str">
        <f>_xlfn.XLOOKUP(frasest[[#This Row],[author_es]],autorest[author_es],autorest[language_es])</f>
        <v>Español</v>
      </c>
      <c r="L936" t="str">
        <f>_xlfn.XLOOKUP(frasest[[#This Row],[author_es]],autorest[author_es],autorest[language_la])</f>
        <v>Lingua Hispanica</v>
      </c>
      <c r="M936" t="str">
        <f>_xlfn.XLOOKUP(frasest[[#This Row],[author_es]],autorest[author_es],autorest[nation_es])</f>
        <v>España</v>
      </c>
      <c r="N936" t="str">
        <f>_xlfn.XLOOKUP(frasest[[#This Row],[author_es]],autorest[author_es],autorest[nation_la])</f>
        <v>Hispania</v>
      </c>
      <c r="O936" t="str">
        <f>_xlfn.XLOOKUP(frasest[[#This Row],[author_es]],autorest[author_es],autorest[age_es])</f>
        <v>Epoca Desconocida</v>
      </c>
      <c r="P936" t="str">
        <f>_xlfn.XLOOKUP(frasest[[#This Row],[author_es]],autorest[author_es],autorest[age_la])</f>
        <v>Epocha Ignota</v>
      </c>
      <c r="Q936" t="str">
        <f>_xlfn.XLOOKUP(frasest[[#This Row],[author_es]],autorest[author_es],autorest[image])</f>
        <v>https://i.ibb.co/Y4f7TZWm/espa-a.png</v>
      </c>
      <c r="R936">
        <f>_xlfn.XLOOKUP(frasest[[#This Row],[author_es]],autorest[author_es],autorest[image_atr])</f>
        <v>0</v>
      </c>
    </row>
    <row r="937" spans="1:18">
      <c r="A937">
        <v>936</v>
      </c>
      <c r="B937" t="s">
        <v>3040</v>
      </c>
      <c r="C937" t="s">
        <v>3041</v>
      </c>
      <c r="D937" t="s">
        <v>3040</v>
      </c>
      <c r="E937" t="s">
        <v>24</v>
      </c>
      <c r="G937" t="str">
        <f>_xlfn.XLOOKUP(frasest[[#This Row],[author_es]],autorest[author_es],autorest[author_la])</f>
        <v>Sententia Hispanica</v>
      </c>
      <c r="H937" t="str">
        <f>_xlfn.XLOOKUP(frasest[[#This Row],[author_es]],autorest[author_es],autorest[bio_es])</f>
        <v>Refranes populares de la tradición oral hispana que expresan de forma breve y ingeniosa enseñanzas prácticas sobre la vida cotidiana.</v>
      </c>
      <c r="I937" t="str">
        <f>_xlfn.XLOOKUP(frasest[[#This Row],[author_es]],autorest[author_es],autorest[bio_la])</f>
        <v>Collectio sententiarum Hispanicarum.</v>
      </c>
      <c r="J937" t="str">
        <f>_xlfn.XLOOKUP(frasest[[#This Row],[author_es]],autorest[author_es],autorest[iso3691])</f>
        <v>es</v>
      </c>
      <c r="K937" t="str">
        <f>_xlfn.XLOOKUP(frasest[[#This Row],[author_es]],autorest[author_es],autorest[language_es])</f>
        <v>Español</v>
      </c>
      <c r="L937" t="str">
        <f>_xlfn.XLOOKUP(frasest[[#This Row],[author_es]],autorest[author_es],autorest[language_la])</f>
        <v>Lingua Hispanica</v>
      </c>
      <c r="M937" t="str">
        <f>_xlfn.XLOOKUP(frasest[[#This Row],[author_es]],autorest[author_es],autorest[nation_es])</f>
        <v>España</v>
      </c>
      <c r="N937" t="str">
        <f>_xlfn.XLOOKUP(frasest[[#This Row],[author_es]],autorest[author_es],autorest[nation_la])</f>
        <v>Hispania</v>
      </c>
      <c r="O937" t="str">
        <f>_xlfn.XLOOKUP(frasest[[#This Row],[author_es]],autorest[author_es],autorest[age_es])</f>
        <v>Epoca Desconocida</v>
      </c>
      <c r="P937" t="str">
        <f>_xlfn.XLOOKUP(frasest[[#This Row],[author_es]],autorest[author_es],autorest[age_la])</f>
        <v>Epocha Ignota</v>
      </c>
      <c r="Q937" t="str">
        <f>_xlfn.XLOOKUP(frasest[[#This Row],[author_es]],autorest[author_es],autorest[image])</f>
        <v>https://i.ibb.co/Y4f7TZWm/espa-a.png</v>
      </c>
      <c r="R937">
        <f>_xlfn.XLOOKUP(frasest[[#This Row],[author_es]],autorest[author_es],autorest[image_atr])</f>
        <v>0</v>
      </c>
    </row>
    <row r="938" spans="1:18">
      <c r="A938">
        <v>937</v>
      </c>
      <c r="B938" t="s">
        <v>3042</v>
      </c>
      <c r="C938" t="s">
        <v>3043</v>
      </c>
      <c r="D938" t="s">
        <v>3042</v>
      </c>
      <c r="E938" t="s">
        <v>24</v>
      </c>
      <c r="G938" t="str">
        <f>_xlfn.XLOOKUP(frasest[[#This Row],[author_es]],autorest[author_es],autorest[author_la])</f>
        <v>Sententia Hispanica</v>
      </c>
      <c r="H938" t="str">
        <f>_xlfn.XLOOKUP(frasest[[#This Row],[author_es]],autorest[author_es],autorest[bio_es])</f>
        <v>Refranes populares de la tradición oral hispana que expresan de forma breve y ingeniosa enseñanzas prácticas sobre la vida cotidiana.</v>
      </c>
      <c r="I938" t="str">
        <f>_xlfn.XLOOKUP(frasest[[#This Row],[author_es]],autorest[author_es],autorest[bio_la])</f>
        <v>Collectio sententiarum Hispanicarum.</v>
      </c>
      <c r="J938" t="str">
        <f>_xlfn.XLOOKUP(frasest[[#This Row],[author_es]],autorest[author_es],autorest[iso3691])</f>
        <v>es</v>
      </c>
      <c r="K938" t="str">
        <f>_xlfn.XLOOKUP(frasest[[#This Row],[author_es]],autorest[author_es],autorest[language_es])</f>
        <v>Español</v>
      </c>
      <c r="L938" t="str">
        <f>_xlfn.XLOOKUP(frasest[[#This Row],[author_es]],autorest[author_es],autorest[language_la])</f>
        <v>Lingua Hispanica</v>
      </c>
      <c r="M938" t="str">
        <f>_xlfn.XLOOKUP(frasest[[#This Row],[author_es]],autorest[author_es],autorest[nation_es])</f>
        <v>España</v>
      </c>
      <c r="N938" t="str">
        <f>_xlfn.XLOOKUP(frasest[[#This Row],[author_es]],autorest[author_es],autorest[nation_la])</f>
        <v>Hispania</v>
      </c>
      <c r="O938" t="str">
        <f>_xlfn.XLOOKUP(frasest[[#This Row],[author_es]],autorest[author_es],autorest[age_es])</f>
        <v>Epoca Desconocida</v>
      </c>
      <c r="P938" t="str">
        <f>_xlfn.XLOOKUP(frasest[[#This Row],[author_es]],autorest[author_es],autorest[age_la])</f>
        <v>Epocha Ignota</v>
      </c>
      <c r="Q938" t="str">
        <f>_xlfn.XLOOKUP(frasest[[#This Row],[author_es]],autorest[author_es],autorest[image])</f>
        <v>https://i.ibb.co/Y4f7TZWm/espa-a.png</v>
      </c>
      <c r="R938">
        <f>_xlfn.XLOOKUP(frasest[[#This Row],[author_es]],autorest[author_es],autorest[image_atr])</f>
        <v>0</v>
      </c>
    </row>
    <row r="939" spans="1:18">
      <c r="A939">
        <v>938</v>
      </c>
      <c r="B939" t="s">
        <v>3044</v>
      </c>
      <c r="C939" t="s">
        <v>3045</v>
      </c>
      <c r="D939" t="s">
        <v>3044</v>
      </c>
      <c r="E939" t="s">
        <v>24</v>
      </c>
      <c r="G939" t="str">
        <f>_xlfn.XLOOKUP(frasest[[#This Row],[author_es]],autorest[author_es],autorest[author_la])</f>
        <v>Sententia Hispanica</v>
      </c>
      <c r="H939" t="str">
        <f>_xlfn.XLOOKUP(frasest[[#This Row],[author_es]],autorest[author_es],autorest[bio_es])</f>
        <v>Refranes populares de la tradición oral hispana que expresan de forma breve y ingeniosa enseñanzas prácticas sobre la vida cotidiana.</v>
      </c>
      <c r="I939" t="str">
        <f>_xlfn.XLOOKUP(frasest[[#This Row],[author_es]],autorest[author_es],autorest[bio_la])</f>
        <v>Collectio sententiarum Hispanicarum.</v>
      </c>
      <c r="J939" t="str">
        <f>_xlfn.XLOOKUP(frasest[[#This Row],[author_es]],autorest[author_es],autorest[iso3691])</f>
        <v>es</v>
      </c>
      <c r="K939" t="str">
        <f>_xlfn.XLOOKUP(frasest[[#This Row],[author_es]],autorest[author_es],autorest[language_es])</f>
        <v>Español</v>
      </c>
      <c r="L939" t="str">
        <f>_xlfn.XLOOKUP(frasest[[#This Row],[author_es]],autorest[author_es],autorest[language_la])</f>
        <v>Lingua Hispanica</v>
      </c>
      <c r="M939" t="str">
        <f>_xlfn.XLOOKUP(frasest[[#This Row],[author_es]],autorest[author_es],autorest[nation_es])</f>
        <v>España</v>
      </c>
      <c r="N939" t="str">
        <f>_xlfn.XLOOKUP(frasest[[#This Row],[author_es]],autorest[author_es],autorest[nation_la])</f>
        <v>Hispania</v>
      </c>
      <c r="O939" t="str">
        <f>_xlfn.XLOOKUP(frasest[[#This Row],[author_es]],autorest[author_es],autorest[age_es])</f>
        <v>Epoca Desconocida</v>
      </c>
      <c r="P939" t="str">
        <f>_xlfn.XLOOKUP(frasest[[#This Row],[author_es]],autorest[author_es],autorest[age_la])</f>
        <v>Epocha Ignota</v>
      </c>
      <c r="Q939" t="str">
        <f>_xlfn.XLOOKUP(frasest[[#This Row],[author_es]],autorest[author_es],autorest[image])</f>
        <v>https://i.ibb.co/Y4f7TZWm/espa-a.png</v>
      </c>
      <c r="R939">
        <f>_xlfn.XLOOKUP(frasest[[#This Row],[author_es]],autorest[author_es],autorest[image_atr])</f>
        <v>0</v>
      </c>
    </row>
    <row r="940" spans="1:18">
      <c r="A940">
        <v>939</v>
      </c>
      <c r="B940" t="s">
        <v>3046</v>
      </c>
      <c r="C940" t="s">
        <v>3047</v>
      </c>
      <c r="D940" t="s">
        <v>3046</v>
      </c>
      <c r="E940" t="s">
        <v>24</v>
      </c>
      <c r="G940" t="str">
        <f>_xlfn.XLOOKUP(frasest[[#This Row],[author_es]],autorest[author_es],autorest[author_la])</f>
        <v>Sententia Hispanica</v>
      </c>
      <c r="H940" t="str">
        <f>_xlfn.XLOOKUP(frasest[[#This Row],[author_es]],autorest[author_es],autorest[bio_es])</f>
        <v>Refranes populares de la tradición oral hispana que expresan de forma breve y ingeniosa enseñanzas prácticas sobre la vida cotidiana.</v>
      </c>
      <c r="I940" t="str">
        <f>_xlfn.XLOOKUP(frasest[[#This Row],[author_es]],autorest[author_es],autorest[bio_la])</f>
        <v>Collectio sententiarum Hispanicarum.</v>
      </c>
      <c r="J940" t="str">
        <f>_xlfn.XLOOKUP(frasest[[#This Row],[author_es]],autorest[author_es],autorest[iso3691])</f>
        <v>es</v>
      </c>
      <c r="K940" t="str">
        <f>_xlfn.XLOOKUP(frasest[[#This Row],[author_es]],autorest[author_es],autorest[language_es])</f>
        <v>Español</v>
      </c>
      <c r="L940" t="str">
        <f>_xlfn.XLOOKUP(frasest[[#This Row],[author_es]],autorest[author_es],autorest[language_la])</f>
        <v>Lingua Hispanica</v>
      </c>
      <c r="M940" t="str">
        <f>_xlfn.XLOOKUP(frasest[[#This Row],[author_es]],autorest[author_es],autorest[nation_es])</f>
        <v>España</v>
      </c>
      <c r="N940" t="str">
        <f>_xlfn.XLOOKUP(frasest[[#This Row],[author_es]],autorest[author_es],autorest[nation_la])</f>
        <v>Hispania</v>
      </c>
      <c r="O940" t="str">
        <f>_xlfn.XLOOKUP(frasest[[#This Row],[author_es]],autorest[author_es],autorest[age_es])</f>
        <v>Epoca Desconocida</v>
      </c>
      <c r="P940" t="str">
        <f>_xlfn.XLOOKUP(frasest[[#This Row],[author_es]],autorest[author_es],autorest[age_la])</f>
        <v>Epocha Ignota</v>
      </c>
      <c r="Q940" t="str">
        <f>_xlfn.XLOOKUP(frasest[[#This Row],[author_es]],autorest[author_es],autorest[image])</f>
        <v>https://i.ibb.co/Y4f7TZWm/espa-a.png</v>
      </c>
      <c r="R940">
        <f>_xlfn.XLOOKUP(frasest[[#This Row],[author_es]],autorest[author_es],autorest[image_atr])</f>
        <v>0</v>
      </c>
    </row>
    <row r="941" spans="1:18">
      <c r="A941">
        <v>940</v>
      </c>
      <c r="B941" t="s">
        <v>3048</v>
      </c>
      <c r="C941" t="s">
        <v>3049</v>
      </c>
      <c r="D941" t="s">
        <v>3048</v>
      </c>
      <c r="E941" t="s">
        <v>24</v>
      </c>
      <c r="G941" t="str">
        <f>_xlfn.XLOOKUP(frasest[[#This Row],[author_es]],autorest[author_es],autorest[author_la])</f>
        <v>Sententia Hispanica</v>
      </c>
      <c r="H941" t="str">
        <f>_xlfn.XLOOKUP(frasest[[#This Row],[author_es]],autorest[author_es],autorest[bio_es])</f>
        <v>Refranes populares de la tradición oral hispana que expresan de forma breve y ingeniosa enseñanzas prácticas sobre la vida cotidiana.</v>
      </c>
      <c r="I941" t="str">
        <f>_xlfn.XLOOKUP(frasest[[#This Row],[author_es]],autorest[author_es],autorest[bio_la])</f>
        <v>Collectio sententiarum Hispanicarum.</v>
      </c>
      <c r="J941" t="str">
        <f>_xlfn.XLOOKUP(frasest[[#This Row],[author_es]],autorest[author_es],autorest[iso3691])</f>
        <v>es</v>
      </c>
      <c r="K941" t="str">
        <f>_xlfn.XLOOKUP(frasest[[#This Row],[author_es]],autorest[author_es],autorest[language_es])</f>
        <v>Español</v>
      </c>
      <c r="L941" t="str">
        <f>_xlfn.XLOOKUP(frasest[[#This Row],[author_es]],autorest[author_es],autorest[language_la])</f>
        <v>Lingua Hispanica</v>
      </c>
      <c r="M941" t="str">
        <f>_xlfn.XLOOKUP(frasest[[#This Row],[author_es]],autorest[author_es],autorest[nation_es])</f>
        <v>España</v>
      </c>
      <c r="N941" t="str">
        <f>_xlfn.XLOOKUP(frasest[[#This Row],[author_es]],autorest[author_es],autorest[nation_la])</f>
        <v>Hispania</v>
      </c>
      <c r="O941" t="str">
        <f>_xlfn.XLOOKUP(frasest[[#This Row],[author_es]],autorest[author_es],autorest[age_es])</f>
        <v>Epoca Desconocida</v>
      </c>
      <c r="P941" t="str">
        <f>_xlfn.XLOOKUP(frasest[[#This Row],[author_es]],autorest[author_es],autorest[age_la])</f>
        <v>Epocha Ignota</v>
      </c>
      <c r="Q941" t="str">
        <f>_xlfn.XLOOKUP(frasest[[#This Row],[author_es]],autorest[author_es],autorest[image])</f>
        <v>https://i.ibb.co/Y4f7TZWm/espa-a.png</v>
      </c>
      <c r="R941">
        <f>_xlfn.XLOOKUP(frasest[[#This Row],[author_es]],autorest[author_es],autorest[image_atr])</f>
        <v>0</v>
      </c>
    </row>
    <row r="942" spans="1:18">
      <c r="A942">
        <v>941</v>
      </c>
      <c r="B942" t="s">
        <v>3050</v>
      </c>
      <c r="C942" t="s">
        <v>3051</v>
      </c>
      <c r="D942" t="s">
        <v>3050</v>
      </c>
      <c r="E942" t="s">
        <v>24</v>
      </c>
      <c r="G942" t="str">
        <f>_xlfn.XLOOKUP(frasest[[#This Row],[author_es]],autorest[author_es],autorest[author_la])</f>
        <v>Sententia Hispanica</v>
      </c>
      <c r="H942" t="str">
        <f>_xlfn.XLOOKUP(frasest[[#This Row],[author_es]],autorest[author_es],autorest[bio_es])</f>
        <v>Refranes populares de la tradición oral hispana que expresan de forma breve y ingeniosa enseñanzas prácticas sobre la vida cotidiana.</v>
      </c>
      <c r="I942" t="str">
        <f>_xlfn.XLOOKUP(frasest[[#This Row],[author_es]],autorest[author_es],autorest[bio_la])</f>
        <v>Collectio sententiarum Hispanicarum.</v>
      </c>
      <c r="J942" t="str">
        <f>_xlfn.XLOOKUP(frasest[[#This Row],[author_es]],autorest[author_es],autorest[iso3691])</f>
        <v>es</v>
      </c>
      <c r="K942" t="str">
        <f>_xlfn.XLOOKUP(frasest[[#This Row],[author_es]],autorest[author_es],autorest[language_es])</f>
        <v>Español</v>
      </c>
      <c r="L942" t="str">
        <f>_xlfn.XLOOKUP(frasest[[#This Row],[author_es]],autorest[author_es],autorest[language_la])</f>
        <v>Lingua Hispanica</v>
      </c>
      <c r="M942" t="str">
        <f>_xlfn.XLOOKUP(frasest[[#This Row],[author_es]],autorest[author_es],autorest[nation_es])</f>
        <v>España</v>
      </c>
      <c r="N942" t="str">
        <f>_xlfn.XLOOKUP(frasest[[#This Row],[author_es]],autorest[author_es],autorest[nation_la])</f>
        <v>Hispania</v>
      </c>
      <c r="O942" t="str">
        <f>_xlfn.XLOOKUP(frasest[[#This Row],[author_es]],autorest[author_es],autorest[age_es])</f>
        <v>Epoca Desconocida</v>
      </c>
      <c r="P942" t="str">
        <f>_xlfn.XLOOKUP(frasest[[#This Row],[author_es]],autorest[author_es],autorest[age_la])</f>
        <v>Epocha Ignota</v>
      </c>
      <c r="Q942" t="str">
        <f>_xlfn.XLOOKUP(frasest[[#This Row],[author_es]],autorest[author_es],autorest[image])</f>
        <v>https://i.ibb.co/Y4f7TZWm/espa-a.png</v>
      </c>
      <c r="R942">
        <f>_xlfn.XLOOKUP(frasest[[#This Row],[author_es]],autorest[author_es],autorest[image_atr])</f>
        <v>0</v>
      </c>
    </row>
    <row r="943" spans="1:18">
      <c r="A943">
        <v>942</v>
      </c>
      <c r="B943" t="s">
        <v>3052</v>
      </c>
      <c r="C943" t="s">
        <v>3053</v>
      </c>
      <c r="D943" t="s">
        <v>3052</v>
      </c>
      <c r="E943" t="s">
        <v>24</v>
      </c>
      <c r="G943" t="str">
        <f>_xlfn.XLOOKUP(frasest[[#This Row],[author_es]],autorest[author_es],autorest[author_la])</f>
        <v>Sententia Hispanica</v>
      </c>
      <c r="H943" t="str">
        <f>_xlfn.XLOOKUP(frasest[[#This Row],[author_es]],autorest[author_es],autorest[bio_es])</f>
        <v>Refranes populares de la tradición oral hispana que expresan de forma breve y ingeniosa enseñanzas prácticas sobre la vida cotidiana.</v>
      </c>
      <c r="I943" t="str">
        <f>_xlfn.XLOOKUP(frasest[[#This Row],[author_es]],autorest[author_es],autorest[bio_la])</f>
        <v>Collectio sententiarum Hispanicarum.</v>
      </c>
      <c r="J943" t="str">
        <f>_xlfn.XLOOKUP(frasest[[#This Row],[author_es]],autorest[author_es],autorest[iso3691])</f>
        <v>es</v>
      </c>
      <c r="K943" t="str">
        <f>_xlfn.XLOOKUP(frasest[[#This Row],[author_es]],autorest[author_es],autorest[language_es])</f>
        <v>Español</v>
      </c>
      <c r="L943" t="str">
        <f>_xlfn.XLOOKUP(frasest[[#This Row],[author_es]],autorest[author_es],autorest[language_la])</f>
        <v>Lingua Hispanica</v>
      </c>
      <c r="M943" t="str">
        <f>_xlfn.XLOOKUP(frasest[[#This Row],[author_es]],autorest[author_es],autorest[nation_es])</f>
        <v>España</v>
      </c>
      <c r="N943" t="str">
        <f>_xlfn.XLOOKUP(frasest[[#This Row],[author_es]],autorest[author_es],autorest[nation_la])</f>
        <v>Hispania</v>
      </c>
      <c r="O943" t="str">
        <f>_xlfn.XLOOKUP(frasest[[#This Row],[author_es]],autorest[author_es],autorest[age_es])</f>
        <v>Epoca Desconocida</v>
      </c>
      <c r="P943" t="str">
        <f>_xlfn.XLOOKUP(frasest[[#This Row],[author_es]],autorest[author_es],autorest[age_la])</f>
        <v>Epocha Ignota</v>
      </c>
      <c r="Q943" t="str">
        <f>_xlfn.XLOOKUP(frasest[[#This Row],[author_es]],autorest[author_es],autorest[image])</f>
        <v>https://i.ibb.co/Y4f7TZWm/espa-a.png</v>
      </c>
      <c r="R943">
        <f>_xlfn.XLOOKUP(frasest[[#This Row],[author_es]],autorest[author_es],autorest[image_atr])</f>
        <v>0</v>
      </c>
    </row>
    <row r="944" spans="1:18">
      <c r="A944">
        <v>943</v>
      </c>
      <c r="B944" t="s">
        <v>3054</v>
      </c>
      <c r="C944" t="s">
        <v>3055</v>
      </c>
      <c r="D944" t="s">
        <v>3054</v>
      </c>
      <c r="E944" t="s">
        <v>24</v>
      </c>
      <c r="G944" t="str">
        <f>_xlfn.XLOOKUP(frasest[[#This Row],[author_es]],autorest[author_es],autorest[author_la])</f>
        <v>Sententia Hispanica</v>
      </c>
      <c r="H944" t="str">
        <f>_xlfn.XLOOKUP(frasest[[#This Row],[author_es]],autorest[author_es],autorest[bio_es])</f>
        <v>Refranes populares de la tradición oral hispana que expresan de forma breve y ingeniosa enseñanzas prácticas sobre la vida cotidiana.</v>
      </c>
      <c r="I944" t="str">
        <f>_xlfn.XLOOKUP(frasest[[#This Row],[author_es]],autorest[author_es],autorest[bio_la])</f>
        <v>Collectio sententiarum Hispanicarum.</v>
      </c>
      <c r="J944" t="str">
        <f>_xlfn.XLOOKUP(frasest[[#This Row],[author_es]],autorest[author_es],autorest[iso3691])</f>
        <v>es</v>
      </c>
      <c r="K944" t="str">
        <f>_xlfn.XLOOKUP(frasest[[#This Row],[author_es]],autorest[author_es],autorest[language_es])</f>
        <v>Español</v>
      </c>
      <c r="L944" t="str">
        <f>_xlfn.XLOOKUP(frasest[[#This Row],[author_es]],autorest[author_es],autorest[language_la])</f>
        <v>Lingua Hispanica</v>
      </c>
      <c r="M944" t="str">
        <f>_xlfn.XLOOKUP(frasest[[#This Row],[author_es]],autorest[author_es],autorest[nation_es])</f>
        <v>España</v>
      </c>
      <c r="N944" t="str">
        <f>_xlfn.XLOOKUP(frasest[[#This Row],[author_es]],autorest[author_es],autorest[nation_la])</f>
        <v>Hispania</v>
      </c>
      <c r="O944" t="str">
        <f>_xlfn.XLOOKUP(frasest[[#This Row],[author_es]],autorest[author_es],autorest[age_es])</f>
        <v>Epoca Desconocida</v>
      </c>
      <c r="P944" t="str">
        <f>_xlfn.XLOOKUP(frasest[[#This Row],[author_es]],autorest[author_es],autorest[age_la])</f>
        <v>Epocha Ignota</v>
      </c>
      <c r="Q944" t="str">
        <f>_xlfn.XLOOKUP(frasest[[#This Row],[author_es]],autorest[author_es],autorest[image])</f>
        <v>https://i.ibb.co/Y4f7TZWm/espa-a.png</v>
      </c>
      <c r="R944">
        <f>_xlfn.XLOOKUP(frasest[[#This Row],[author_es]],autorest[author_es],autorest[image_atr])</f>
        <v>0</v>
      </c>
    </row>
    <row r="945" spans="1:18">
      <c r="A945">
        <v>944</v>
      </c>
      <c r="B945" t="s">
        <v>3056</v>
      </c>
      <c r="C945" t="s">
        <v>3057</v>
      </c>
      <c r="D945" t="s">
        <v>3056</v>
      </c>
      <c r="E945" t="s">
        <v>24</v>
      </c>
      <c r="G945" t="str">
        <f>_xlfn.XLOOKUP(frasest[[#This Row],[author_es]],autorest[author_es],autorest[author_la])</f>
        <v>Sententia Hispanica</v>
      </c>
      <c r="H945" t="str">
        <f>_xlfn.XLOOKUP(frasest[[#This Row],[author_es]],autorest[author_es],autorest[bio_es])</f>
        <v>Refranes populares de la tradición oral hispana que expresan de forma breve y ingeniosa enseñanzas prácticas sobre la vida cotidiana.</v>
      </c>
      <c r="I945" t="str">
        <f>_xlfn.XLOOKUP(frasest[[#This Row],[author_es]],autorest[author_es],autorest[bio_la])</f>
        <v>Collectio sententiarum Hispanicarum.</v>
      </c>
      <c r="J945" t="str">
        <f>_xlfn.XLOOKUP(frasest[[#This Row],[author_es]],autorest[author_es],autorest[iso3691])</f>
        <v>es</v>
      </c>
      <c r="K945" t="str">
        <f>_xlfn.XLOOKUP(frasest[[#This Row],[author_es]],autorest[author_es],autorest[language_es])</f>
        <v>Español</v>
      </c>
      <c r="L945" t="str">
        <f>_xlfn.XLOOKUP(frasest[[#This Row],[author_es]],autorest[author_es],autorest[language_la])</f>
        <v>Lingua Hispanica</v>
      </c>
      <c r="M945" t="str">
        <f>_xlfn.XLOOKUP(frasest[[#This Row],[author_es]],autorest[author_es],autorest[nation_es])</f>
        <v>España</v>
      </c>
      <c r="N945" t="str">
        <f>_xlfn.XLOOKUP(frasest[[#This Row],[author_es]],autorest[author_es],autorest[nation_la])</f>
        <v>Hispania</v>
      </c>
      <c r="O945" t="str">
        <f>_xlfn.XLOOKUP(frasest[[#This Row],[author_es]],autorest[author_es],autorest[age_es])</f>
        <v>Epoca Desconocida</v>
      </c>
      <c r="P945" t="str">
        <f>_xlfn.XLOOKUP(frasest[[#This Row],[author_es]],autorest[author_es],autorest[age_la])</f>
        <v>Epocha Ignota</v>
      </c>
      <c r="Q945" t="str">
        <f>_xlfn.XLOOKUP(frasest[[#This Row],[author_es]],autorest[author_es],autorest[image])</f>
        <v>https://i.ibb.co/Y4f7TZWm/espa-a.png</v>
      </c>
      <c r="R945">
        <f>_xlfn.XLOOKUP(frasest[[#This Row],[author_es]],autorest[author_es],autorest[image_atr])</f>
        <v>0</v>
      </c>
    </row>
    <row r="946" spans="1:18">
      <c r="A946">
        <v>945</v>
      </c>
      <c r="B946" t="s">
        <v>3058</v>
      </c>
      <c r="C946" t="s">
        <v>3059</v>
      </c>
      <c r="D946" t="s">
        <v>3058</v>
      </c>
      <c r="E946" t="s">
        <v>24</v>
      </c>
      <c r="G946" t="str">
        <f>_xlfn.XLOOKUP(frasest[[#This Row],[author_es]],autorest[author_es],autorest[author_la])</f>
        <v>Sententia Hispanica</v>
      </c>
      <c r="H946" t="str">
        <f>_xlfn.XLOOKUP(frasest[[#This Row],[author_es]],autorest[author_es],autorest[bio_es])</f>
        <v>Refranes populares de la tradición oral hispana que expresan de forma breve y ingeniosa enseñanzas prácticas sobre la vida cotidiana.</v>
      </c>
      <c r="I946" t="str">
        <f>_xlfn.XLOOKUP(frasest[[#This Row],[author_es]],autorest[author_es],autorest[bio_la])</f>
        <v>Collectio sententiarum Hispanicarum.</v>
      </c>
      <c r="J946" t="str">
        <f>_xlfn.XLOOKUP(frasest[[#This Row],[author_es]],autorest[author_es],autorest[iso3691])</f>
        <v>es</v>
      </c>
      <c r="K946" t="str">
        <f>_xlfn.XLOOKUP(frasest[[#This Row],[author_es]],autorest[author_es],autorest[language_es])</f>
        <v>Español</v>
      </c>
      <c r="L946" t="str">
        <f>_xlfn.XLOOKUP(frasest[[#This Row],[author_es]],autorest[author_es],autorest[language_la])</f>
        <v>Lingua Hispanica</v>
      </c>
      <c r="M946" t="str">
        <f>_xlfn.XLOOKUP(frasest[[#This Row],[author_es]],autorest[author_es],autorest[nation_es])</f>
        <v>España</v>
      </c>
      <c r="N946" t="str">
        <f>_xlfn.XLOOKUP(frasest[[#This Row],[author_es]],autorest[author_es],autorest[nation_la])</f>
        <v>Hispania</v>
      </c>
      <c r="O946" t="str">
        <f>_xlfn.XLOOKUP(frasest[[#This Row],[author_es]],autorest[author_es],autorest[age_es])</f>
        <v>Epoca Desconocida</v>
      </c>
      <c r="P946" t="str">
        <f>_xlfn.XLOOKUP(frasest[[#This Row],[author_es]],autorest[author_es],autorest[age_la])</f>
        <v>Epocha Ignota</v>
      </c>
      <c r="Q946" t="str">
        <f>_xlfn.XLOOKUP(frasest[[#This Row],[author_es]],autorest[author_es],autorest[image])</f>
        <v>https://i.ibb.co/Y4f7TZWm/espa-a.png</v>
      </c>
      <c r="R946">
        <f>_xlfn.XLOOKUP(frasest[[#This Row],[author_es]],autorest[author_es],autorest[image_atr])</f>
        <v>0</v>
      </c>
    </row>
    <row r="947" spans="1:18">
      <c r="A947">
        <v>946</v>
      </c>
      <c r="B947" t="s">
        <v>3060</v>
      </c>
      <c r="C947" t="s">
        <v>3061</v>
      </c>
      <c r="D947" t="s">
        <v>3060</v>
      </c>
      <c r="E947" t="s">
        <v>24</v>
      </c>
      <c r="G947" t="str">
        <f>_xlfn.XLOOKUP(frasest[[#This Row],[author_es]],autorest[author_es],autorest[author_la])</f>
        <v>Sententia Hispanica</v>
      </c>
      <c r="H947" t="str">
        <f>_xlfn.XLOOKUP(frasest[[#This Row],[author_es]],autorest[author_es],autorest[bio_es])</f>
        <v>Refranes populares de la tradición oral hispana que expresan de forma breve y ingeniosa enseñanzas prácticas sobre la vida cotidiana.</v>
      </c>
      <c r="I947" t="str">
        <f>_xlfn.XLOOKUP(frasest[[#This Row],[author_es]],autorest[author_es],autorest[bio_la])</f>
        <v>Collectio sententiarum Hispanicarum.</v>
      </c>
      <c r="J947" t="str">
        <f>_xlfn.XLOOKUP(frasest[[#This Row],[author_es]],autorest[author_es],autorest[iso3691])</f>
        <v>es</v>
      </c>
      <c r="K947" t="str">
        <f>_xlfn.XLOOKUP(frasest[[#This Row],[author_es]],autorest[author_es],autorest[language_es])</f>
        <v>Español</v>
      </c>
      <c r="L947" t="str">
        <f>_xlfn.XLOOKUP(frasest[[#This Row],[author_es]],autorest[author_es],autorest[language_la])</f>
        <v>Lingua Hispanica</v>
      </c>
      <c r="M947" t="str">
        <f>_xlfn.XLOOKUP(frasest[[#This Row],[author_es]],autorest[author_es],autorest[nation_es])</f>
        <v>España</v>
      </c>
      <c r="N947" t="str">
        <f>_xlfn.XLOOKUP(frasest[[#This Row],[author_es]],autorest[author_es],autorest[nation_la])</f>
        <v>Hispania</v>
      </c>
      <c r="O947" t="str">
        <f>_xlfn.XLOOKUP(frasest[[#This Row],[author_es]],autorest[author_es],autorest[age_es])</f>
        <v>Epoca Desconocida</v>
      </c>
      <c r="P947" t="str">
        <f>_xlfn.XLOOKUP(frasest[[#This Row],[author_es]],autorest[author_es],autorest[age_la])</f>
        <v>Epocha Ignota</v>
      </c>
      <c r="Q947" t="str">
        <f>_xlfn.XLOOKUP(frasest[[#This Row],[author_es]],autorest[author_es],autorest[image])</f>
        <v>https://i.ibb.co/Y4f7TZWm/espa-a.png</v>
      </c>
      <c r="R947">
        <f>_xlfn.XLOOKUP(frasest[[#This Row],[author_es]],autorest[author_es],autorest[image_atr])</f>
        <v>0</v>
      </c>
    </row>
    <row r="948" spans="1:18">
      <c r="A948">
        <v>947</v>
      </c>
      <c r="B948" t="s">
        <v>3062</v>
      </c>
      <c r="C948" t="s">
        <v>3063</v>
      </c>
      <c r="D948" t="s">
        <v>3062</v>
      </c>
      <c r="E948" t="s">
        <v>24</v>
      </c>
      <c r="G948" t="str">
        <f>_xlfn.XLOOKUP(frasest[[#This Row],[author_es]],autorest[author_es],autorest[author_la])</f>
        <v>Sententia Hispanica</v>
      </c>
      <c r="H948" t="str">
        <f>_xlfn.XLOOKUP(frasest[[#This Row],[author_es]],autorest[author_es],autorest[bio_es])</f>
        <v>Refranes populares de la tradición oral hispana que expresan de forma breve y ingeniosa enseñanzas prácticas sobre la vida cotidiana.</v>
      </c>
      <c r="I948" t="str">
        <f>_xlfn.XLOOKUP(frasest[[#This Row],[author_es]],autorest[author_es],autorest[bio_la])</f>
        <v>Collectio sententiarum Hispanicarum.</v>
      </c>
      <c r="J948" t="str">
        <f>_xlfn.XLOOKUP(frasest[[#This Row],[author_es]],autorest[author_es],autorest[iso3691])</f>
        <v>es</v>
      </c>
      <c r="K948" t="str">
        <f>_xlfn.XLOOKUP(frasest[[#This Row],[author_es]],autorest[author_es],autorest[language_es])</f>
        <v>Español</v>
      </c>
      <c r="L948" t="str">
        <f>_xlfn.XLOOKUP(frasest[[#This Row],[author_es]],autorest[author_es],autorest[language_la])</f>
        <v>Lingua Hispanica</v>
      </c>
      <c r="M948" t="str">
        <f>_xlfn.XLOOKUP(frasest[[#This Row],[author_es]],autorest[author_es],autorest[nation_es])</f>
        <v>España</v>
      </c>
      <c r="N948" t="str">
        <f>_xlfn.XLOOKUP(frasest[[#This Row],[author_es]],autorest[author_es],autorest[nation_la])</f>
        <v>Hispania</v>
      </c>
      <c r="O948" t="str">
        <f>_xlfn.XLOOKUP(frasest[[#This Row],[author_es]],autorest[author_es],autorest[age_es])</f>
        <v>Epoca Desconocida</v>
      </c>
      <c r="P948" t="str">
        <f>_xlfn.XLOOKUP(frasest[[#This Row],[author_es]],autorest[author_es],autorest[age_la])</f>
        <v>Epocha Ignota</v>
      </c>
      <c r="Q948" t="str">
        <f>_xlfn.XLOOKUP(frasest[[#This Row],[author_es]],autorest[author_es],autorest[image])</f>
        <v>https://i.ibb.co/Y4f7TZWm/espa-a.png</v>
      </c>
      <c r="R948">
        <f>_xlfn.XLOOKUP(frasest[[#This Row],[author_es]],autorest[author_es],autorest[image_atr])</f>
        <v>0</v>
      </c>
    </row>
    <row r="949" spans="1:18">
      <c r="A949">
        <v>948</v>
      </c>
      <c r="B949" t="s">
        <v>3064</v>
      </c>
      <c r="C949" t="s">
        <v>2316</v>
      </c>
      <c r="D949" t="s">
        <v>3064</v>
      </c>
      <c r="E949" t="s">
        <v>24</v>
      </c>
      <c r="G949" t="str">
        <f>_xlfn.XLOOKUP(frasest[[#This Row],[author_es]],autorest[author_es],autorest[author_la])</f>
        <v>Sententia Hispanica</v>
      </c>
      <c r="H949" t="str">
        <f>_xlfn.XLOOKUP(frasest[[#This Row],[author_es]],autorest[author_es],autorest[bio_es])</f>
        <v>Refranes populares de la tradición oral hispana que expresan de forma breve y ingeniosa enseñanzas prácticas sobre la vida cotidiana.</v>
      </c>
      <c r="I949" t="str">
        <f>_xlfn.XLOOKUP(frasest[[#This Row],[author_es]],autorest[author_es],autorest[bio_la])</f>
        <v>Collectio sententiarum Hispanicarum.</v>
      </c>
      <c r="J949" t="str">
        <f>_xlfn.XLOOKUP(frasest[[#This Row],[author_es]],autorest[author_es],autorest[iso3691])</f>
        <v>es</v>
      </c>
      <c r="K949" t="str">
        <f>_xlfn.XLOOKUP(frasest[[#This Row],[author_es]],autorest[author_es],autorest[language_es])</f>
        <v>Español</v>
      </c>
      <c r="L949" t="str">
        <f>_xlfn.XLOOKUP(frasest[[#This Row],[author_es]],autorest[author_es],autorest[language_la])</f>
        <v>Lingua Hispanica</v>
      </c>
      <c r="M949" t="str">
        <f>_xlfn.XLOOKUP(frasest[[#This Row],[author_es]],autorest[author_es],autorest[nation_es])</f>
        <v>España</v>
      </c>
      <c r="N949" t="str">
        <f>_xlfn.XLOOKUP(frasest[[#This Row],[author_es]],autorest[author_es],autorest[nation_la])</f>
        <v>Hispania</v>
      </c>
      <c r="O949" t="str">
        <f>_xlfn.XLOOKUP(frasest[[#This Row],[author_es]],autorest[author_es],autorest[age_es])</f>
        <v>Epoca Desconocida</v>
      </c>
      <c r="P949" t="str">
        <f>_xlfn.XLOOKUP(frasest[[#This Row],[author_es]],autorest[author_es],autorest[age_la])</f>
        <v>Epocha Ignota</v>
      </c>
      <c r="Q949" t="str">
        <f>_xlfn.XLOOKUP(frasest[[#This Row],[author_es]],autorest[author_es],autorest[image])</f>
        <v>https://i.ibb.co/Y4f7TZWm/espa-a.png</v>
      </c>
      <c r="R949">
        <f>_xlfn.XLOOKUP(frasest[[#This Row],[author_es]],autorest[author_es],autorest[image_atr])</f>
        <v>0</v>
      </c>
    </row>
    <row r="950" spans="1:18">
      <c r="A950">
        <v>949</v>
      </c>
      <c r="B950" t="s">
        <v>3065</v>
      </c>
      <c r="C950" t="s">
        <v>3066</v>
      </c>
      <c r="D950" t="s">
        <v>3065</v>
      </c>
      <c r="E950" t="s">
        <v>24</v>
      </c>
      <c r="G950" t="str">
        <f>_xlfn.XLOOKUP(frasest[[#This Row],[author_es]],autorest[author_es],autorest[author_la])</f>
        <v>Sententia Hispanica</v>
      </c>
      <c r="H950" t="str">
        <f>_xlfn.XLOOKUP(frasest[[#This Row],[author_es]],autorest[author_es],autorest[bio_es])</f>
        <v>Refranes populares de la tradición oral hispana que expresan de forma breve y ingeniosa enseñanzas prácticas sobre la vida cotidiana.</v>
      </c>
      <c r="I950" t="str">
        <f>_xlfn.XLOOKUP(frasest[[#This Row],[author_es]],autorest[author_es],autorest[bio_la])</f>
        <v>Collectio sententiarum Hispanicarum.</v>
      </c>
      <c r="J950" t="str">
        <f>_xlfn.XLOOKUP(frasest[[#This Row],[author_es]],autorest[author_es],autorest[iso3691])</f>
        <v>es</v>
      </c>
      <c r="K950" t="str">
        <f>_xlfn.XLOOKUP(frasest[[#This Row],[author_es]],autorest[author_es],autorest[language_es])</f>
        <v>Español</v>
      </c>
      <c r="L950" t="str">
        <f>_xlfn.XLOOKUP(frasest[[#This Row],[author_es]],autorest[author_es],autorest[language_la])</f>
        <v>Lingua Hispanica</v>
      </c>
      <c r="M950" t="str">
        <f>_xlfn.XLOOKUP(frasest[[#This Row],[author_es]],autorest[author_es],autorest[nation_es])</f>
        <v>España</v>
      </c>
      <c r="N950" t="str">
        <f>_xlfn.XLOOKUP(frasest[[#This Row],[author_es]],autorest[author_es],autorest[nation_la])</f>
        <v>Hispania</v>
      </c>
      <c r="O950" t="str">
        <f>_xlfn.XLOOKUP(frasest[[#This Row],[author_es]],autorest[author_es],autorest[age_es])</f>
        <v>Epoca Desconocida</v>
      </c>
      <c r="P950" t="str">
        <f>_xlfn.XLOOKUP(frasest[[#This Row],[author_es]],autorest[author_es],autorest[age_la])</f>
        <v>Epocha Ignota</v>
      </c>
      <c r="Q950" t="str">
        <f>_xlfn.XLOOKUP(frasest[[#This Row],[author_es]],autorest[author_es],autorest[image])</f>
        <v>https://i.ibb.co/Y4f7TZWm/espa-a.png</v>
      </c>
      <c r="R950">
        <f>_xlfn.XLOOKUP(frasest[[#This Row],[author_es]],autorest[author_es],autorest[image_atr])</f>
        <v>0</v>
      </c>
    </row>
    <row r="951" spans="1:18">
      <c r="A951">
        <v>950</v>
      </c>
      <c r="B951" t="s">
        <v>3067</v>
      </c>
      <c r="C951" t="s">
        <v>3068</v>
      </c>
      <c r="D951" t="s">
        <v>3067</v>
      </c>
      <c r="E951" t="s">
        <v>24</v>
      </c>
      <c r="G951" t="str">
        <f>_xlfn.XLOOKUP(frasest[[#This Row],[author_es]],autorest[author_es],autorest[author_la])</f>
        <v>Sententia Hispanica</v>
      </c>
      <c r="H951" t="str">
        <f>_xlfn.XLOOKUP(frasest[[#This Row],[author_es]],autorest[author_es],autorest[bio_es])</f>
        <v>Refranes populares de la tradición oral hispana que expresan de forma breve y ingeniosa enseñanzas prácticas sobre la vida cotidiana.</v>
      </c>
      <c r="I951" t="str">
        <f>_xlfn.XLOOKUP(frasest[[#This Row],[author_es]],autorest[author_es],autorest[bio_la])</f>
        <v>Collectio sententiarum Hispanicarum.</v>
      </c>
      <c r="J951" t="str">
        <f>_xlfn.XLOOKUP(frasest[[#This Row],[author_es]],autorest[author_es],autorest[iso3691])</f>
        <v>es</v>
      </c>
      <c r="K951" t="str">
        <f>_xlfn.XLOOKUP(frasest[[#This Row],[author_es]],autorest[author_es],autorest[language_es])</f>
        <v>Español</v>
      </c>
      <c r="L951" t="str">
        <f>_xlfn.XLOOKUP(frasest[[#This Row],[author_es]],autorest[author_es],autorest[language_la])</f>
        <v>Lingua Hispanica</v>
      </c>
      <c r="M951" t="str">
        <f>_xlfn.XLOOKUP(frasest[[#This Row],[author_es]],autorest[author_es],autorest[nation_es])</f>
        <v>España</v>
      </c>
      <c r="N951" t="str">
        <f>_xlfn.XLOOKUP(frasest[[#This Row],[author_es]],autorest[author_es],autorest[nation_la])</f>
        <v>Hispania</v>
      </c>
      <c r="O951" t="str">
        <f>_xlfn.XLOOKUP(frasest[[#This Row],[author_es]],autorest[author_es],autorest[age_es])</f>
        <v>Epoca Desconocida</v>
      </c>
      <c r="P951" t="str">
        <f>_xlfn.XLOOKUP(frasest[[#This Row],[author_es]],autorest[author_es],autorest[age_la])</f>
        <v>Epocha Ignota</v>
      </c>
      <c r="Q951" t="str">
        <f>_xlfn.XLOOKUP(frasest[[#This Row],[author_es]],autorest[author_es],autorest[image])</f>
        <v>https://i.ibb.co/Y4f7TZWm/espa-a.png</v>
      </c>
      <c r="R951">
        <f>_xlfn.XLOOKUP(frasest[[#This Row],[author_es]],autorest[author_es],autorest[image_atr])</f>
        <v>0</v>
      </c>
    </row>
    <row r="952" spans="1:18">
      <c r="A952">
        <v>951</v>
      </c>
      <c r="B952" t="s">
        <v>3069</v>
      </c>
      <c r="C952" t="s">
        <v>3070</v>
      </c>
      <c r="D952" t="s">
        <v>3069</v>
      </c>
      <c r="E952" t="s">
        <v>24</v>
      </c>
      <c r="G952" t="str">
        <f>_xlfn.XLOOKUP(frasest[[#This Row],[author_es]],autorest[author_es],autorest[author_la])</f>
        <v>Sententia Hispanica</v>
      </c>
      <c r="H952" t="str">
        <f>_xlfn.XLOOKUP(frasest[[#This Row],[author_es]],autorest[author_es],autorest[bio_es])</f>
        <v>Refranes populares de la tradición oral hispana que expresan de forma breve y ingeniosa enseñanzas prácticas sobre la vida cotidiana.</v>
      </c>
      <c r="I952" t="str">
        <f>_xlfn.XLOOKUP(frasest[[#This Row],[author_es]],autorest[author_es],autorest[bio_la])</f>
        <v>Collectio sententiarum Hispanicarum.</v>
      </c>
      <c r="J952" t="str">
        <f>_xlfn.XLOOKUP(frasest[[#This Row],[author_es]],autorest[author_es],autorest[iso3691])</f>
        <v>es</v>
      </c>
      <c r="K952" t="str">
        <f>_xlfn.XLOOKUP(frasest[[#This Row],[author_es]],autorest[author_es],autorest[language_es])</f>
        <v>Español</v>
      </c>
      <c r="L952" t="str">
        <f>_xlfn.XLOOKUP(frasest[[#This Row],[author_es]],autorest[author_es],autorest[language_la])</f>
        <v>Lingua Hispanica</v>
      </c>
      <c r="M952" t="str">
        <f>_xlfn.XLOOKUP(frasest[[#This Row],[author_es]],autorest[author_es],autorest[nation_es])</f>
        <v>España</v>
      </c>
      <c r="N952" t="str">
        <f>_xlfn.XLOOKUP(frasest[[#This Row],[author_es]],autorest[author_es],autorest[nation_la])</f>
        <v>Hispania</v>
      </c>
      <c r="O952" t="str">
        <f>_xlfn.XLOOKUP(frasest[[#This Row],[author_es]],autorest[author_es],autorest[age_es])</f>
        <v>Epoca Desconocida</v>
      </c>
      <c r="P952" t="str">
        <f>_xlfn.XLOOKUP(frasest[[#This Row],[author_es]],autorest[author_es],autorest[age_la])</f>
        <v>Epocha Ignota</v>
      </c>
      <c r="Q952" t="str">
        <f>_xlfn.XLOOKUP(frasest[[#This Row],[author_es]],autorest[author_es],autorest[image])</f>
        <v>https://i.ibb.co/Y4f7TZWm/espa-a.png</v>
      </c>
      <c r="R952">
        <f>_xlfn.XLOOKUP(frasest[[#This Row],[author_es]],autorest[author_es],autorest[image_atr])</f>
        <v>0</v>
      </c>
    </row>
    <row r="953" spans="1:18">
      <c r="A953">
        <v>952</v>
      </c>
      <c r="B953" t="s">
        <v>3071</v>
      </c>
      <c r="C953" t="s">
        <v>3072</v>
      </c>
      <c r="D953" t="s">
        <v>3071</v>
      </c>
      <c r="E953" t="s">
        <v>24</v>
      </c>
      <c r="G953" t="str">
        <f>_xlfn.XLOOKUP(frasest[[#This Row],[author_es]],autorest[author_es],autorest[author_la])</f>
        <v>Sententia Hispanica</v>
      </c>
      <c r="H953" t="str">
        <f>_xlfn.XLOOKUP(frasest[[#This Row],[author_es]],autorest[author_es],autorest[bio_es])</f>
        <v>Refranes populares de la tradición oral hispana que expresan de forma breve y ingeniosa enseñanzas prácticas sobre la vida cotidiana.</v>
      </c>
      <c r="I953" t="str">
        <f>_xlfn.XLOOKUP(frasest[[#This Row],[author_es]],autorest[author_es],autorest[bio_la])</f>
        <v>Collectio sententiarum Hispanicarum.</v>
      </c>
      <c r="J953" t="str">
        <f>_xlfn.XLOOKUP(frasest[[#This Row],[author_es]],autorest[author_es],autorest[iso3691])</f>
        <v>es</v>
      </c>
      <c r="K953" t="str">
        <f>_xlfn.XLOOKUP(frasest[[#This Row],[author_es]],autorest[author_es],autorest[language_es])</f>
        <v>Español</v>
      </c>
      <c r="L953" t="str">
        <f>_xlfn.XLOOKUP(frasest[[#This Row],[author_es]],autorest[author_es],autorest[language_la])</f>
        <v>Lingua Hispanica</v>
      </c>
      <c r="M953" t="str">
        <f>_xlfn.XLOOKUP(frasest[[#This Row],[author_es]],autorest[author_es],autorest[nation_es])</f>
        <v>España</v>
      </c>
      <c r="N953" t="str">
        <f>_xlfn.XLOOKUP(frasest[[#This Row],[author_es]],autorest[author_es],autorest[nation_la])</f>
        <v>Hispania</v>
      </c>
      <c r="O953" t="str">
        <f>_xlfn.XLOOKUP(frasest[[#This Row],[author_es]],autorest[author_es],autorest[age_es])</f>
        <v>Epoca Desconocida</v>
      </c>
      <c r="P953" t="str">
        <f>_xlfn.XLOOKUP(frasest[[#This Row],[author_es]],autorest[author_es],autorest[age_la])</f>
        <v>Epocha Ignota</v>
      </c>
      <c r="Q953" t="str">
        <f>_xlfn.XLOOKUP(frasest[[#This Row],[author_es]],autorest[author_es],autorest[image])</f>
        <v>https://i.ibb.co/Y4f7TZWm/espa-a.png</v>
      </c>
      <c r="R953">
        <f>_xlfn.XLOOKUP(frasest[[#This Row],[author_es]],autorest[author_es],autorest[image_atr])</f>
        <v>0</v>
      </c>
    </row>
    <row r="954" spans="1:18">
      <c r="A954">
        <v>953</v>
      </c>
      <c r="B954" t="s">
        <v>3073</v>
      </c>
      <c r="C954" t="s">
        <v>3074</v>
      </c>
      <c r="D954" t="s">
        <v>3073</v>
      </c>
      <c r="E954" t="s">
        <v>24</v>
      </c>
      <c r="G954" t="str">
        <f>_xlfn.XLOOKUP(frasest[[#This Row],[author_es]],autorest[author_es],autorest[author_la])</f>
        <v>Sententia Hispanica</v>
      </c>
      <c r="H954" t="str">
        <f>_xlfn.XLOOKUP(frasest[[#This Row],[author_es]],autorest[author_es],autorest[bio_es])</f>
        <v>Refranes populares de la tradición oral hispana que expresan de forma breve y ingeniosa enseñanzas prácticas sobre la vida cotidiana.</v>
      </c>
      <c r="I954" t="str">
        <f>_xlfn.XLOOKUP(frasest[[#This Row],[author_es]],autorest[author_es],autorest[bio_la])</f>
        <v>Collectio sententiarum Hispanicarum.</v>
      </c>
      <c r="J954" t="str">
        <f>_xlfn.XLOOKUP(frasest[[#This Row],[author_es]],autorest[author_es],autorest[iso3691])</f>
        <v>es</v>
      </c>
      <c r="K954" t="str">
        <f>_xlfn.XLOOKUP(frasest[[#This Row],[author_es]],autorest[author_es],autorest[language_es])</f>
        <v>Español</v>
      </c>
      <c r="L954" t="str">
        <f>_xlfn.XLOOKUP(frasest[[#This Row],[author_es]],autorest[author_es],autorest[language_la])</f>
        <v>Lingua Hispanica</v>
      </c>
      <c r="M954" t="str">
        <f>_xlfn.XLOOKUP(frasest[[#This Row],[author_es]],autorest[author_es],autorest[nation_es])</f>
        <v>España</v>
      </c>
      <c r="N954" t="str">
        <f>_xlfn.XLOOKUP(frasest[[#This Row],[author_es]],autorest[author_es],autorest[nation_la])</f>
        <v>Hispania</v>
      </c>
      <c r="O954" t="str">
        <f>_xlfn.XLOOKUP(frasest[[#This Row],[author_es]],autorest[author_es],autorest[age_es])</f>
        <v>Epoca Desconocida</v>
      </c>
      <c r="P954" t="str">
        <f>_xlfn.XLOOKUP(frasest[[#This Row],[author_es]],autorest[author_es],autorest[age_la])</f>
        <v>Epocha Ignota</v>
      </c>
      <c r="Q954" t="str">
        <f>_xlfn.XLOOKUP(frasest[[#This Row],[author_es]],autorest[author_es],autorest[image])</f>
        <v>https://i.ibb.co/Y4f7TZWm/espa-a.png</v>
      </c>
      <c r="R954">
        <f>_xlfn.XLOOKUP(frasest[[#This Row],[author_es]],autorest[author_es],autorest[image_atr])</f>
        <v>0</v>
      </c>
    </row>
    <row r="955" spans="1:18">
      <c r="A955">
        <v>954</v>
      </c>
      <c r="B955" t="s">
        <v>3075</v>
      </c>
      <c r="C955" t="s">
        <v>3076</v>
      </c>
      <c r="D955" t="s">
        <v>3075</v>
      </c>
      <c r="E955" t="s">
        <v>24</v>
      </c>
      <c r="G955" t="str">
        <f>_xlfn.XLOOKUP(frasest[[#This Row],[author_es]],autorest[author_es],autorest[author_la])</f>
        <v>Sententia Hispanica</v>
      </c>
      <c r="H955" t="str">
        <f>_xlfn.XLOOKUP(frasest[[#This Row],[author_es]],autorest[author_es],autorest[bio_es])</f>
        <v>Refranes populares de la tradición oral hispana que expresan de forma breve y ingeniosa enseñanzas prácticas sobre la vida cotidiana.</v>
      </c>
      <c r="I955" t="str">
        <f>_xlfn.XLOOKUP(frasest[[#This Row],[author_es]],autorest[author_es],autorest[bio_la])</f>
        <v>Collectio sententiarum Hispanicarum.</v>
      </c>
      <c r="J955" t="str">
        <f>_xlfn.XLOOKUP(frasest[[#This Row],[author_es]],autorest[author_es],autorest[iso3691])</f>
        <v>es</v>
      </c>
      <c r="K955" t="str">
        <f>_xlfn.XLOOKUP(frasest[[#This Row],[author_es]],autorest[author_es],autorest[language_es])</f>
        <v>Español</v>
      </c>
      <c r="L955" t="str">
        <f>_xlfn.XLOOKUP(frasest[[#This Row],[author_es]],autorest[author_es],autorest[language_la])</f>
        <v>Lingua Hispanica</v>
      </c>
      <c r="M955" t="str">
        <f>_xlfn.XLOOKUP(frasest[[#This Row],[author_es]],autorest[author_es],autorest[nation_es])</f>
        <v>España</v>
      </c>
      <c r="N955" t="str">
        <f>_xlfn.XLOOKUP(frasest[[#This Row],[author_es]],autorest[author_es],autorest[nation_la])</f>
        <v>Hispania</v>
      </c>
      <c r="O955" t="str">
        <f>_xlfn.XLOOKUP(frasest[[#This Row],[author_es]],autorest[author_es],autorest[age_es])</f>
        <v>Epoca Desconocida</v>
      </c>
      <c r="P955" t="str">
        <f>_xlfn.XLOOKUP(frasest[[#This Row],[author_es]],autorest[author_es],autorest[age_la])</f>
        <v>Epocha Ignota</v>
      </c>
      <c r="Q955" t="str">
        <f>_xlfn.XLOOKUP(frasest[[#This Row],[author_es]],autorest[author_es],autorest[image])</f>
        <v>https://i.ibb.co/Y4f7TZWm/espa-a.png</v>
      </c>
      <c r="R955">
        <f>_xlfn.XLOOKUP(frasest[[#This Row],[author_es]],autorest[author_es],autorest[image_atr])</f>
        <v>0</v>
      </c>
    </row>
    <row r="956" spans="1:18">
      <c r="A956">
        <v>955</v>
      </c>
      <c r="B956" t="s">
        <v>3077</v>
      </c>
      <c r="C956" t="s">
        <v>3078</v>
      </c>
      <c r="D956" t="s">
        <v>3077</v>
      </c>
      <c r="E956" t="s">
        <v>24</v>
      </c>
      <c r="G956" t="str">
        <f>_xlfn.XLOOKUP(frasest[[#This Row],[author_es]],autorest[author_es],autorest[author_la])</f>
        <v>Sententia Hispanica</v>
      </c>
      <c r="H956" t="str">
        <f>_xlfn.XLOOKUP(frasest[[#This Row],[author_es]],autorest[author_es],autorest[bio_es])</f>
        <v>Refranes populares de la tradición oral hispana que expresan de forma breve y ingeniosa enseñanzas prácticas sobre la vida cotidiana.</v>
      </c>
      <c r="I956" t="str">
        <f>_xlfn.XLOOKUP(frasest[[#This Row],[author_es]],autorest[author_es],autorest[bio_la])</f>
        <v>Collectio sententiarum Hispanicarum.</v>
      </c>
      <c r="J956" t="str">
        <f>_xlfn.XLOOKUP(frasest[[#This Row],[author_es]],autorest[author_es],autorest[iso3691])</f>
        <v>es</v>
      </c>
      <c r="K956" t="str">
        <f>_xlfn.XLOOKUP(frasest[[#This Row],[author_es]],autorest[author_es],autorest[language_es])</f>
        <v>Español</v>
      </c>
      <c r="L956" t="str">
        <f>_xlfn.XLOOKUP(frasest[[#This Row],[author_es]],autorest[author_es],autorest[language_la])</f>
        <v>Lingua Hispanica</v>
      </c>
      <c r="M956" t="str">
        <f>_xlfn.XLOOKUP(frasest[[#This Row],[author_es]],autorest[author_es],autorest[nation_es])</f>
        <v>España</v>
      </c>
      <c r="N956" t="str">
        <f>_xlfn.XLOOKUP(frasest[[#This Row],[author_es]],autorest[author_es],autorest[nation_la])</f>
        <v>Hispania</v>
      </c>
      <c r="O956" t="str">
        <f>_xlfn.XLOOKUP(frasest[[#This Row],[author_es]],autorest[author_es],autorest[age_es])</f>
        <v>Epoca Desconocida</v>
      </c>
      <c r="P956" t="str">
        <f>_xlfn.XLOOKUP(frasest[[#This Row],[author_es]],autorest[author_es],autorest[age_la])</f>
        <v>Epocha Ignota</v>
      </c>
      <c r="Q956" t="str">
        <f>_xlfn.XLOOKUP(frasest[[#This Row],[author_es]],autorest[author_es],autorest[image])</f>
        <v>https://i.ibb.co/Y4f7TZWm/espa-a.png</v>
      </c>
      <c r="R956">
        <f>_xlfn.XLOOKUP(frasest[[#This Row],[author_es]],autorest[author_es],autorest[image_atr])</f>
        <v>0</v>
      </c>
    </row>
    <row r="957" spans="1:18">
      <c r="A957">
        <v>956</v>
      </c>
      <c r="B957" t="s">
        <v>3079</v>
      </c>
      <c r="C957" t="s">
        <v>3080</v>
      </c>
      <c r="D957" t="s">
        <v>3079</v>
      </c>
      <c r="E957" t="s">
        <v>24</v>
      </c>
      <c r="G957" t="str">
        <f>_xlfn.XLOOKUP(frasest[[#This Row],[author_es]],autorest[author_es],autorest[author_la])</f>
        <v>Sententia Hispanica</v>
      </c>
      <c r="H957" t="str">
        <f>_xlfn.XLOOKUP(frasest[[#This Row],[author_es]],autorest[author_es],autorest[bio_es])</f>
        <v>Refranes populares de la tradición oral hispana que expresan de forma breve y ingeniosa enseñanzas prácticas sobre la vida cotidiana.</v>
      </c>
      <c r="I957" t="str">
        <f>_xlfn.XLOOKUP(frasest[[#This Row],[author_es]],autorest[author_es],autorest[bio_la])</f>
        <v>Collectio sententiarum Hispanicarum.</v>
      </c>
      <c r="J957" t="str">
        <f>_xlfn.XLOOKUP(frasest[[#This Row],[author_es]],autorest[author_es],autorest[iso3691])</f>
        <v>es</v>
      </c>
      <c r="K957" t="str">
        <f>_xlfn.XLOOKUP(frasest[[#This Row],[author_es]],autorest[author_es],autorest[language_es])</f>
        <v>Español</v>
      </c>
      <c r="L957" t="str">
        <f>_xlfn.XLOOKUP(frasest[[#This Row],[author_es]],autorest[author_es],autorest[language_la])</f>
        <v>Lingua Hispanica</v>
      </c>
      <c r="M957" t="str">
        <f>_xlfn.XLOOKUP(frasest[[#This Row],[author_es]],autorest[author_es],autorest[nation_es])</f>
        <v>España</v>
      </c>
      <c r="N957" t="str">
        <f>_xlfn.XLOOKUP(frasest[[#This Row],[author_es]],autorest[author_es],autorest[nation_la])</f>
        <v>Hispania</v>
      </c>
      <c r="O957" t="str">
        <f>_xlfn.XLOOKUP(frasest[[#This Row],[author_es]],autorest[author_es],autorest[age_es])</f>
        <v>Epoca Desconocida</v>
      </c>
      <c r="P957" t="str">
        <f>_xlfn.XLOOKUP(frasest[[#This Row],[author_es]],autorest[author_es],autorest[age_la])</f>
        <v>Epocha Ignota</v>
      </c>
      <c r="Q957" t="str">
        <f>_xlfn.XLOOKUP(frasest[[#This Row],[author_es]],autorest[author_es],autorest[image])</f>
        <v>https://i.ibb.co/Y4f7TZWm/espa-a.png</v>
      </c>
      <c r="R957">
        <f>_xlfn.XLOOKUP(frasest[[#This Row],[author_es]],autorest[author_es],autorest[image_atr])</f>
        <v>0</v>
      </c>
    </row>
    <row r="958" spans="1:18">
      <c r="A958">
        <v>957</v>
      </c>
      <c r="B958" t="s">
        <v>3081</v>
      </c>
      <c r="C958" t="s">
        <v>3082</v>
      </c>
      <c r="D958" t="s">
        <v>3081</v>
      </c>
      <c r="E958" t="s">
        <v>24</v>
      </c>
      <c r="G958" t="str">
        <f>_xlfn.XLOOKUP(frasest[[#This Row],[author_es]],autorest[author_es],autorest[author_la])</f>
        <v>Sententia Hispanica</v>
      </c>
      <c r="H958" t="str">
        <f>_xlfn.XLOOKUP(frasest[[#This Row],[author_es]],autorest[author_es],autorest[bio_es])</f>
        <v>Refranes populares de la tradición oral hispana que expresan de forma breve y ingeniosa enseñanzas prácticas sobre la vida cotidiana.</v>
      </c>
      <c r="I958" t="str">
        <f>_xlfn.XLOOKUP(frasest[[#This Row],[author_es]],autorest[author_es],autorest[bio_la])</f>
        <v>Collectio sententiarum Hispanicarum.</v>
      </c>
      <c r="J958" t="str">
        <f>_xlfn.XLOOKUP(frasest[[#This Row],[author_es]],autorest[author_es],autorest[iso3691])</f>
        <v>es</v>
      </c>
      <c r="K958" t="str">
        <f>_xlfn.XLOOKUP(frasest[[#This Row],[author_es]],autorest[author_es],autorest[language_es])</f>
        <v>Español</v>
      </c>
      <c r="L958" t="str">
        <f>_xlfn.XLOOKUP(frasest[[#This Row],[author_es]],autorest[author_es],autorest[language_la])</f>
        <v>Lingua Hispanica</v>
      </c>
      <c r="M958" t="str">
        <f>_xlfn.XLOOKUP(frasest[[#This Row],[author_es]],autorest[author_es],autorest[nation_es])</f>
        <v>España</v>
      </c>
      <c r="N958" t="str">
        <f>_xlfn.XLOOKUP(frasest[[#This Row],[author_es]],autorest[author_es],autorest[nation_la])</f>
        <v>Hispania</v>
      </c>
      <c r="O958" t="str">
        <f>_xlfn.XLOOKUP(frasest[[#This Row],[author_es]],autorest[author_es],autorest[age_es])</f>
        <v>Epoca Desconocida</v>
      </c>
      <c r="P958" t="str">
        <f>_xlfn.XLOOKUP(frasest[[#This Row],[author_es]],autorest[author_es],autorest[age_la])</f>
        <v>Epocha Ignota</v>
      </c>
      <c r="Q958" t="str">
        <f>_xlfn.XLOOKUP(frasest[[#This Row],[author_es]],autorest[author_es],autorest[image])</f>
        <v>https://i.ibb.co/Y4f7TZWm/espa-a.png</v>
      </c>
      <c r="R958">
        <f>_xlfn.XLOOKUP(frasest[[#This Row],[author_es]],autorest[author_es],autorest[image_atr])</f>
        <v>0</v>
      </c>
    </row>
    <row r="959" spans="1:18">
      <c r="A959">
        <v>958</v>
      </c>
      <c r="B959" t="s">
        <v>3083</v>
      </c>
      <c r="C959" t="s">
        <v>3084</v>
      </c>
      <c r="D959" t="s">
        <v>3083</v>
      </c>
      <c r="E959" t="s">
        <v>24</v>
      </c>
      <c r="G959" t="str">
        <f>_xlfn.XLOOKUP(frasest[[#This Row],[author_es]],autorest[author_es],autorest[author_la])</f>
        <v>Sententia Hispanica</v>
      </c>
      <c r="H959" t="str">
        <f>_xlfn.XLOOKUP(frasest[[#This Row],[author_es]],autorest[author_es],autorest[bio_es])</f>
        <v>Refranes populares de la tradición oral hispana que expresan de forma breve y ingeniosa enseñanzas prácticas sobre la vida cotidiana.</v>
      </c>
      <c r="I959" t="str">
        <f>_xlfn.XLOOKUP(frasest[[#This Row],[author_es]],autorest[author_es],autorest[bio_la])</f>
        <v>Collectio sententiarum Hispanicarum.</v>
      </c>
      <c r="J959" t="str">
        <f>_xlfn.XLOOKUP(frasest[[#This Row],[author_es]],autorest[author_es],autorest[iso3691])</f>
        <v>es</v>
      </c>
      <c r="K959" t="str">
        <f>_xlfn.XLOOKUP(frasest[[#This Row],[author_es]],autorest[author_es],autorest[language_es])</f>
        <v>Español</v>
      </c>
      <c r="L959" t="str">
        <f>_xlfn.XLOOKUP(frasest[[#This Row],[author_es]],autorest[author_es],autorest[language_la])</f>
        <v>Lingua Hispanica</v>
      </c>
      <c r="M959" t="str">
        <f>_xlfn.XLOOKUP(frasest[[#This Row],[author_es]],autorest[author_es],autorest[nation_es])</f>
        <v>España</v>
      </c>
      <c r="N959" t="str">
        <f>_xlfn.XLOOKUP(frasest[[#This Row],[author_es]],autorest[author_es],autorest[nation_la])</f>
        <v>Hispania</v>
      </c>
      <c r="O959" t="str">
        <f>_xlfn.XLOOKUP(frasest[[#This Row],[author_es]],autorest[author_es],autorest[age_es])</f>
        <v>Epoca Desconocida</v>
      </c>
      <c r="P959" t="str">
        <f>_xlfn.XLOOKUP(frasest[[#This Row],[author_es]],autorest[author_es],autorest[age_la])</f>
        <v>Epocha Ignota</v>
      </c>
      <c r="Q959" t="str">
        <f>_xlfn.XLOOKUP(frasest[[#This Row],[author_es]],autorest[author_es],autorest[image])</f>
        <v>https://i.ibb.co/Y4f7TZWm/espa-a.png</v>
      </c>
      <c r="R959">
        <f>_xlfn.XLOOKUP(frasest[[#This Row],[author_es]],autorest[author_es],autorest[image_atr])</f>
        <v>0</v>
      </c>
    </row>
    <row r="960" spans="1:18">
      <c r="A960">
        <v>959</v>
      </c>
      <c r="B960" t="s">
        <v>3085</v>
      </c>
      <c r="C960" t="s">
        <v>3086</v>
      </c>
      <c r="D960" t="s">
        <v>3085</v>
      </c>
      <c r="E960" t="s">
        <v>24</v>
      </c>
      <c r="G960" t="str">
        <f>_xlfn.XLOOKUP(frasest[[#This Row],[author_es]],autorest[author_es],autorest[author_la])</f>
        <v>Sententia Hispanica</v>
      </c>
      <c r="H960" t="str">
        <f>_xlfn.XLOOKUP(frasest[[#This Row],[author_es]],autorest[author_es],autorest[bio_es])</f>
        <v>Refranes populares de la tradición oral hispana que expresan de forma breve y ingeniosa enseñanzas prácticas sobre la vida cotidiana.</v>
      </c>
      <c r="I960" t="str">
        <f>_xlfn.XLOOKUP(frasest[[#This Row],[author_es]],autorest[author_es],autorest[bio_la])</f>
        <v>Collectio sententiarum Hispanicarum.</v>
      </c>
      <c r="J960" t="str">
        <f>_xlfn.XLOOKUP(frasest[[#This Row],[author_es]],autorest[author_es],autorest[iso3691])</f>
        <v>es</v>
      </c>
      <c r="K960" t="str">
        <f>_xlfn.XLOOKUP(frasest[[#This Row],[author_es]],autorest[author_es],autorest[language_es])</f>
        <v>Español</v>
      </c>
      <c r="L960" t="str">
        <f>_xlfn.XLOOKUP(frasest[[#This Row],[author_es]],autorest[author_es],autorest[language_la])</f>
        <v>Lingua Hispanica</v>
      </c>
      <c r="M960" t="str">
        <f>_xlfn.XLOOKUP(frasest[[#This Row],[author_es]],autorest[author_es],autorest[nation_es])</f>
        <v>España</v>
      </c>
      <c r="N960" t="str">
        <f>_xlfn.XLOOKUP(frasest[[#This Row],[author_es]],autorest[author_es],autorest[nation_la])</f>
        <v>Hispania</v>
      </c>
      <c r="O960" t="str">
        <f>_xlfn.XLOOKUP(frasest[[#This Row],[author_es]],autorest[author_es],autorest[age_es])</f>
        <v>Epoca Desconocida</v>
      </c>
      <c r="P960" t="str">
        <f>_xlfn.XLOOKUP(frasest[[#This Row],[author_es]],autorest[author_es],autorest[age_la])</f>
        <v>Epocha Ignota</v>
      </c>
      <c r="Q960" t="str">
        <f>_xlfn.XLOOKUP(frasest[[#This Row],[author_es]],autorest[author_es],autorest[image])</f>
        <v>https://i.ibb.co/Y4f7TZWm/espa-a.png</v>
      </c>
      <c r="R960">
        <f>_xlfn.XLOOKUP(frasest[[#This Row],[author_es]],autorest[author_es],autorest[image_atr])</f>
        <v>0</v>
      </c>
    </row>
    <row r="961" spans="1:18">
      <c r="A961">
        <v>960</v>
      </c>
      <c r="B961" t="s">
        <v>3087</v>
      </c>
      <c r="C961" t="s">
        <v>3088</v>
      </c>
      <c r="D961" t="s">
        <v>3087</v>
      </c>
      <c r="E961" t="s">
        <v>24</v>
      </c>
      <c r="G961" t="str">
        <f>_xlfn.XLOOKUP(frasest[[#This Row],[author_es]],autorest[author_es],autorest[author_la])</f>
        <v>Sententia Hispanica</v>
      </c>
      <c r="H961" t="str">
        <f>_xlfn.XLOOKUP(frasest[[#This Row],[author_es]],autorest[author_es],autorest[bio_es])</f>
        <v>Refranes populares de la tradición oral hispana que expresan de forma breve y ingeniosa enseñanzas prácticas sobre la vida cotidiana.</v>
      </c>
      <c r="I961" t="str">
        <f>_xlfn.XLOOKUP(frasest[[#This Row],[author_es]],autorest[author_es],autorest[bio_la])</f>
        <v>Collectio sententiarum Hispanicarum.</v>
      </c>
      <c r="J961" t="str">
        <f>_xlfn.XLOOKUP(frasest[[#This Row],[author_es]],autorest[author_es],autorest[iso3691])</f>
        <v>es</v>
      </c>
      <c r="K961" t="str">
        <f>_xlfn.XLOOKUP(frasest[[#This Row],[author_es]],autorest[author_es],autorest[language_es])</f>
        <v>Español</v>
      </c>
      <c r="L961" t="str">
        <f>_xlfn.XLOOKUP(frasest[[#This Row],[author_es]],autorest[author_es],autorest[language_la])</f>
        <v>Lingua Hispanica</v>
      </c>
      <c r="M961" t="str">
        <f>_xlfn.XLOOKUP(frasest[[#This Row],[author_es]],autorest[author_es],autorest[nation_es])</f>
        <v>España</v>
      </c>
      <c r="N961" t="str">
        <f>_xlfn.XLOOKUP(frasest[[#This Row],[author_es]],autorest[author_es],autorest[nation_la])</f>
        <v>Hispania</v>
      </c>
      <c r="O961" t="str">
        <f>_xlfn.XLOOKUP(frasest[[#This Row],[author_es]],autorest[author_es],autorest[age_es])</f>
        <v>Epoca Desconocida</v>
      </c>
      <c r="P961" t="str">
        <f>_xlfn.XLOOKUP(frasest[[#This Row],[author_es]],autorest[author_es],autorest[age_la])</f>
        <v>Epocha Ignota</v>
      </c>
      <c r="Q961" t="str">
        <f>_xlfn.XLOOKUP(frasest[[#This Row],[author_es]],autorest[author_es],autorest[image])</f>
        <v>https://i.ibb.co/Y4f7TZWm/espa-a.png</v>
      </c>
      <c r="R961">
        <f>_xlfn.XLOOKUP(frasest[[#This Row],[author_es]],autorest[author_es],autorest[image_atr])</f>
        <v>0</v>
      </c>
    </row>
    <row r="962" spans="1:18">
      <c r="A962">
        <v>961</v>
      </c>
      <c r="B962" t="s">
        <v>3089</v>
      </c>
      <c r="C962" t="s">
        <v>3090</v>
      </c>
      <c r="D962" t="s">
        <v>3089</v>
      </c>
      <c r="E962" t="s">
        <v>24</v>
      </c>
      <c r="G962" t="str">
        <f>_xlfn.XLOOKUP(frasest[[#This Row],[author_es]],autorest[author_es],autorest[author_la])</f>
        <v>Sententia Hispanica</v>
      </c>
      <c r="H962" t="str">
        <f>_xlfn.XLOOKUP(frasest[[#This Row],[author_es]],autorest[author_es],autorest[bio_es])</f>
        <v>Refranes populares de la tradición oral hispana que expresan de forma breve y ingeniosa enseñanzas prácticas sobre la vida cotidiana.</v>
      </c>
      <c r="I962" t="str">
        <f>_xlfn.XLOOKUP(frasest[[#This Row],[author_es]],autorest[author_es],autorest[bio_la])</f>
        <v>Collectio sententiarum Hispanicarum.</v>
      </c>
      <c r="J962" t="str">
        <f>_xlfn.XLOOKUP(frasest[[#This Row],[author_es]],autorest[author_es],autorest[iso3691])</f>
        <v>es</v>
      </c>
      <c r="K962" t="str">
        <f>_xlfn.XLOOKUP(frasest[[#This Row],[author_es]],autorest[author_es],autorest[language_es])</f>
        <v>Español</v>
      </c>
      <c r="L962" t="str">
        <f>_xlfn.XLOOKUP(frasest[[#This Row],[author_es]],autorest[author_es],autorest[language_la])</f>
        <v>Lingua Hispanica</v>
      </c>
      <c r="M962" t="str">
        <f>_xlfn.XLOOKUP(frasest[[#This Row],[author_es]],autorest[author_es],autorest[nation_es])</f>
        <v>España</v>
      </c>
      <c r="N962" t="str">
        <f>_xlfn.XLOOKUP(frasest[[#This Row],[author_es]],autorest[author_es],autorest[nation_la])</f>
        <v>Hispania</v>
      </c>
      <c r="O962" t="str">
        <f>_xlfn.XLOOKUP(frasest[[#This Row],[author_es]],autorest[author_es],autorest[age_es])</f>
        <v>Epoca Desconocida</v>
      </c>
      <c r="P962" t="str">
        <f>_xlfn.XLOOKUP(frasest[[#This Row],[author_es]],autorest[author_es],autorest[age_la])</f>
        <v>Epocha Ignota</v>
      </c>
      <c r="Q962" t="str">
        <f>_xlfn.XLOOKUP(frasest[[#This Row],[author_es]],autorest[author_es],autorest[image])</f>
        <v>https://i.ibb.co/Y4f7TZWm/espa-a.png</v>
      </c>
      <c r="R962">
        <f>_xlfn.XLOOKUP(frasest[[#This Row],[author_es]],autorest[author_es],autorest[image_atr])</f>
        <v>0</v>
      </c>
    </row>
    <row r="963" spans="1:18">
      <c r="A963">
        <v>962</v>
      </c>
      <c r="B963" t="s">
        <v>3091</v>
      </c>
      <c r="C963" t="s">
        <v>3092</v>
      </c>
      <c r="D963" t="s">
        <v>3091</v>
      </c>
      <c r="E963" t="s">
        <v>24</v>
      </c>
      <c r="G963" t="str">
        <f>_xlfn.XLOOKUP(frasest[[#This Row],[author_es]],autorest[author_es],autorest[author_la])</f>
        <v>Sententia Hispanica</v>
      </c>
      <c r="H963" t="str">
        <f>_xlfn.XLOOKUP(frasest[[#This Row],[author_es]],autorest[author_es],autorest[bio_es])</f>
        <v>Refranes populares de la tradición oral hispana que expresan de forma breve y ingeniosa enseñanzas prácticas sobre la vida cotidiana.</v>
      </c>
      <c r="I963" t="str">
        <f>_xlfn.XLOOKUP(frasest[[#This Row],[author_es]],autorest[author_es],autorest[bio_la])</f>
        <v>Collectio sententiarum Hispanicarum.</v>
      </c>
      <c r="J963" t="str">
        <f>_xlfn.XLOOKUP(frasest[[#This Row],[author_es]],autorest[author_es],autorest[iso3691])</f>
        <v>es</v>
      </c>
      <c r="K963" t="str">
        <f>_xlfn.XLOOKUP(frasest[[#This Row],[author_es]],autorest[author_es],autorest[language_es])</f>
        <v>Español</v>
      </c>
      <c r="L963" t="str">
        <f>_xlfn.XLOOKUP(frasest[[#This Row],[author_es]],autorest[author_es],autorest[language_la])</f>
        <v>Lingua Hispanica</v>
      </c>
      <c r="M963" t="str">
        <f>_xlfn.XLOOKUP(frasest[[#This Row],[author_es]],autorest[author_es],autorest[nation_es])</f>
        <v>España</v>
      </c>
      <c r="N963" t="str">
        <f>_xlfn.XLOOKUP(frasest[[#This Row],[author_es]],autorest[author_es],autorest[nation_la])</f>
        <v>Hispania</v>
      </c>
      <c r="O963" t="str">
        <f>_xlfn.XLOOKUP(frasest[[#This Row],[author_es]],autorest[author_es],autorest[age_es])</f>
        <v>Epoca Desconocida</v>
      </c>
      <c r="P963" t="str">
        <f>_xlfn.XLOOKUP(frasest[[#This Row],[author_es]],autorest[author_es],autorest[age_la])</f>
        <v>Epocha Ignota</v>
      </c>
      <c r="Q963" t="str">
        <f>_xlfn.XLOOKUP(frasest[[#This Row],[author_es]],autorest[author_es],autorest[image])</f>
        <v>https://i.ibb.co/Y4f7TZWm/espa-a.png</v>
      </c>
      <c r="R963">
        <f>_xlfn.XLOOKUP(frasest[[#This Row],[author_es]],autorest[author_es],autorest[image_atr])</f>
        <v>0</v>
      </c>
    </row>
    <row r="964" spans="1:18">
      <c r="A964">
        <v>963</v>
      </c>
      <c r="B964" t="s">
        <v>3093</v>
      </c>
      <c r="C964" t="s">
        <v>3094</v>
      </c>
      <c r="D964" t="s">
        <v>3093</v>
      </c>
      <c r="E964" t="s">
        <v>24</v>
      </c>
      <c r="G964" t="str">
        <f>_xlfn.XLOOKUP(frasest[[#This Row],[author_es]],autorest[author_es],autorest[author_la])</f>
        <v>Sententia Hispanica</v>
      </c>
      <c r="H964" t="str">
        <f>_xlfn.XLOOKUP(frasest[[#This Row],[author_es]],autorest[author_es],autorest[bio_es])</f>
        <v>Refranes populares de la tradición oral hispana que expresan de forma breve y ingeniosa enseñanzas prácticas sobre la vida cotidiana.</v>
      </c>
      <c r="I964" t="str">
        <f>_xlfn.XLOOKUP(frasest[[#This Row],[author_es]],autorest[author_es],autorest[bio_la])</f>
        <v>Collectio sententiarum Hispanicarum.</v>
      </c>
      <c r="J964" t="str">
        <f>_xlfn.XLOOKUP(frasest[[#This Row],[author_es]],autorest[author_es],autorest[iso3691])</f>
        <v>es</v>
      </c>
      <c r="K964" t="str">
        <f>_xlfn.XLOOKUP(frasest[[#This Row],[author_es]],autorest[author_es],autorest[language_es])</f>
        <v>Español</v>
      </c>
      <c r="L964" t="str">
        <f>_xlfn.XLOOKUP(frasest[[#This Row],[author_es]],autorest[author_es],autorest[language_la])</f>
        <v>Lingua Hispanica</v>
      </c>
      <c r="M964" t="str">
        <f>_xlfn.XLOOKUP(frasest[[#This Row],[author_es]],autorest[author_es],autorest[nation_es])</f>
        <v>España</v>
      </c>
      <c r="N964" t="str">
        <f>_xlfn.XLOOKUP(frasest[[#This Row],[author_es]],autorest[author_es],autorest[nation_la])</f>
        <v>Hispania</v>
      </c>
      <c r="O964" t="str">
        <f>_xlfn.XLOOKUP(frasest[[#This Row],[author_es]],autorest[author_es],autorest[age_es])</f>
        <v>Epoca Desconocida</v>
      </c>
      <c r="P964" t="str">
        <f>_xlfn.XLOOKUP(frasest[[#This Row],[author_es]],autorest[author_es],autorest[age_la])</f>
        <v>Epocha Ignota</v>
      </c>
      <c r="Q964" t="str">
        <f>_xlfn.XLOOKUP(frasest[[#This Row],[author_es]],autorest[author_es],autorest[image])</f>
        <v>https://i.ibb.co/Y4f7TZWm/espa-a.png</v>
      </c>
      <c r="R964">
        <f>_xlfn.XLOOKUP(frasest[[#This Row],[author_es]],autorest[author_es],autorest[image_atr])</f>
        <v>0</v>
      </c>
    </row>
    <row r="965" spans="1:18">
      <c r="A965">
        <v>964</v>
      </c>
      <c r="B965" t="s">
        <v>3095</v>
      </c>
      <c r="C965" t="s">
        <v>3096</v>
      </c>
      <c r="D965" t="s">
        <v>3095</v>
      </c>
      <c r="E965" t="s">
        <v>24</v>
      </c>
      <c r="G965" t="str">
        <f>_xlfn.XLOOKUP(frasest[[#This Row],[author_es]],autorest[author_es],autorest[author_la])</f>
        <v>Sententia Hispanica</v>
      </c>
      <c r="H965" t="str">
        <f>_xlfn.XLOOKUP(frasest[[#This Row],[author_es]],autorest[author_es],autorest[bio_es])</f>
        <v>Refranes populares de la tradición oral hispana que expresan de forma breve y ingeniosa enseñanzas prácticas sobre la vida cotidiana.</v>
      </c>
      <c r="I965" t="str">
        <f>_xlfn.XLOOKUP(frasest[[#This Row],[author_es]],autorest[author_es],autorest[bio_la])</f>
        <v>Collectio sententiarum Hispanicarum.</v>
      </c>
      <c r="J965" t="str">
        <f>_xlfn.XLOOKUP(frasest[[#This Row],[author_es]],autorest[author_es],autorest[iso3691])</f>
        <v>es</v>
      </c>
      <c r="K965" t="str">
        <f>_xlfn.XLOOKUP(frasest[[#This Row],[author_es]],autorest[author_es],autorest[language_es])</f>
        <v>Español</v>
      </c>
      <c r="L965" t="str">
        <f>_xlfn.XLOOKUP(frasest[[#This Row],[author_es]],autorest[author_es],autorest[language_la])</f>
        <v>Lingua Hispanica</v>
      </c>
      <c r="M965" t="str">
        <f>_xlfn.XLOOKUP(frasest[[#This Row],[author_es]],autorest[author_es],autorest[nation_es])</f>
        <v>España</v>
      </c>
      <c r="N965" t="str">
        <f>_xlfn.XLOOKUP(frasest[[#This Row],[author_es]],autorest[author_es],autorest[nation_la])</f>
        <v>Hispania</v>
      </c>
      <c r="O965" t="str">
        <f>_xlfn.XLOOKUP(frasest[[#This Row],[author_es]],autorest[author_es],autorest[age_es])</f>
        <v>Epoca Desconocida</v>
      </c>
      <c r="P965" t="str">
        <f>_xlfn.XLOOKUP(frasest[[#This Row],[author_es]],autorest[author_es],autorest[age_la])</f>
        <v>Epocha Ignota</v>
      </c>
      <c r="Q965" t="str">
        <f>_xlfn.XLOOKUP(frasest[[#This Row],[author_es]],autorest[author_es],autorest[image])</f>
        <v>https://i.ibb.co/Y4f7TZWm/espa-a.png</v>
      </c>
      <c r="R965">
        <f>_xlfn.XLOOKUP(frasest[[#This Row],[author_es]],autorest[author_es],autorest[image_atr])</f>
        <v>0</v>
      </c>
    </row>
    <row r="966" spans="1:18">
      <c r="A966">
        <v>965</v>
      </c>
      <c r="B966" t="s">
        <v>3097</v>
      </c>
      <c r="C966" t="s">
        <v>3098</v>
      </c>
      <c r="D966" t="s">
        <v>3097</v>
      </c>
      <c r="E966" t="s">
        <v>24</v>
      </c>
      <c r="G966" t="str">
        <f>_xlfn.XLOOKUP(frasest[[#This Row],[author_es]],autorest[author_es],autorest[author_la])</f>
        <v>Sententia Hispanica</v>
      </c>
      <c r="H966" t="str">
        <f>_xlfn.XLOOKUP(frasest[[#This Row],[author_es]],autorest[author_es],autorest[bio_es])</f>
        <v>Refranes populares de la tradición oral hispana que expresan de forma breve y ingeniosa enseñanzas prácticas sobre la vida cotidiana.</v>
      </c>
      <c r="I966" t="str">
        <f>_xlfn.XLOOKUP(frasest[[#This Row],[author_es]],autorest[author_es],autorest[bio_la])</f>
        <v>Collectio sententiarum Hispanicarum.</v>
      </c>
      <c r="J966" t="str">
        <f>_xlfn.XLOOKUP(frasest[[#This Row],[author_es]],autorest[author_es],autorest[iso3691])</f>
        <v>es</v>
      </c>
      <c r="K966" t="str">
        <f>_xlfn.XLOOKUP(frasest[[#This Row],[author_es]],autorest[author_es],autorest[language_es])</f>
        <v>Español</v>
      </c>
      <c r="L966" t="str">
        <f>_xlfn.XLOOKUP(frasest[[#This Row],[author_es]],autorest[author_es],autorest[language_la])</f>
        <v>Lingua Hispanica</v>
      </c>
      <c r="M966" t="str">
        <f>_xlfn.XLOOKUP(frasest[[#This Row],[author_es]],autorest[author_es],autorest[nation_es])</f>
        <v>España</v>
      </c>
      <c r="N966" t="str">
        <f>_xlfn.XLOOKUP(frasest[[#This Row],[author_es]],autorest[author_es],autorest[nation_la])</f>
        <v>Hispania</v>
      </c>
      <c r="O966" t="str">
        <f>_xlfn.XLOOKUP(frasest[[#This Row],[author_es]],autorest[author_es],autorest[age_es])</f>
        <v>Epoca Desconocida</v>
      </c>
      <c r="P966" t="str">
        <f>_xlfn.XLOOKUP(frasest[[#This Row],[author_es]],autorest[author_es],autorest[age_la])</f>
        <v>Epocha Ignota</v>
      </c>
      <c r="Q966" t="str">
        <f>_xlfn.XLOOKUP(frasest[[#This Row],[author_es]],autorest[author_es],autorest[image])</f>
        <v>https://i.ibb.co/Y4f7TZWm/espa-a.png</v>
      </c>
      <c r="R966">
        <f>_xlfn.XLOOKUP(frasest[[#This Row],[author_es]],autorest[author_es],autorest[image_atr])</f>
        <v>0</v>
      </c>
    </row>
    <row r="967" spans="1:18">
      <c r="A967">
        <v>966</v>
      </c>
      <c r="B967" t="s">
        <v>3099</v>
      </c>
      <c r="C967" t="s">
        <v>3100</v>
      </c>
      <c r="D967" t="s">
        <v>3099</v>
      </c>
      <c r="E967" t="s">
        <v>24</v>
      </c>
      <c r="G967" t="str">
        <f>_xlfn.XLOOKUP(frasest[[#This Row],[author_es]],autorest[author_es],autorest[author_la])</f>
        <v>Sententia Hispanica</v>
      </c>
      <c r="H967" t="str">
        <f>_xlfn.XLOOKUP(frasest[[#This Row],[author_es]],autorest[author_es],autorest[bio_es])</f>
        <v>Refranes populares de la tradición oral hispana que expresan de forma breve y ingeniosa enseñanzas prácticas sobre la vida cotidiana.</v>
      </c>
      <c r="I967" t="str">
        <f>_xlfn.XLOOKUP(frasest[[#This Row],[author_es]],autorest[author_es],autorest[bio_la])</f>
        <v>Collectio sententiarum Hispanicarum.</v>
      </c>
      <c r="J967" t="str">
        <f>_xlfn.XLOOKUP(frasest[[#This Row],[author_es]],autorest[author_es],autorest[iso3691])</f>
        <v>es</v>
      </c>
      <c r="K967" t="str">
        <f>_xlfn.XLOOKUP(frasest[[#This Row],[author_es]],autorest[author_es],autorest[language_es])</f>
        <v>Español</v>
      </c>
      <c r="L967" t="str">
        <f>_xlfn.XLOOKUP(frasest[[#This Row],[author_es]],autorest[author_es],autorest[language_la])</f>
        <v>Lingua Hispanica</v>
      </c>
      <c r="M967" t="str">
        <f>_xlfn.XLOOKUP(frasest[[#This Row],[author_es]],autorest[author_es],autorest[nation_es])</f>
        <v>España</v>
      </c>
      <c r="N967" t="str">
        <f>_xlfn.XLOOKUP(frasest[[#This Row],[author_es]],autorest[author_es],autorest[nation_la])</f>
        <v>Hispania</v>
      </c>
      <c r="O967" t="str">
        <f>_xlfn.XLOOKUP(frasest[[#This Row],[author_es]],autorest[author_es],autorest[age_es])</f>
        <v>Epoca Desconocida</v>
      </c>
      <c r="P967" t="str">
        <f>_xlfn.XLOOKUP(frasest[[#This Row],[author_es]],autorest[author_es],autorest[age_la])</f>
        <v>Epocha Ignota</v>
      </c>
      <c r="Q967" t="str">
        <f>_xlfn.XLOOKUP(frasest[[#This Row],[author_es]],autorest[author_es],autorest[image])</f>
        <v>https://i.ibb.co/Y4f7TZWm/espa-a.png</v>
      </c>
      <c r="R967">
        <f>_xlfn.XLOOKUP(frasest[[#This Row],[author_es]],autorest[author_es],autorest[image_atr])</f>
        <v>0</v>
      </c>
    </row>
    <row r="968" spans="1:18">
      <c r="A968">
        <v>967</v>
      </c>
      <c r="B968" t="s">
        <v>3101</v>
      </c>
      <c r="C968" t="s">
        <v>3102</v>
      </c>
      <c r="D968" t="s">
        <v>3101</v>
      </c>
      <c r="E968" t="s">
        <v>24</v>
      </c>
      <c r="G968" t="str">
        <f>_xlfn.XLOOKUP(frasest[[#This Row],[author_es]],autorest[author_es],autorest[author_la])</f>
        <v>Sententia Hispanica</v>
      </c>
      <c r="H968" t="str">
        <f>_xlfn.XLOOKUP(frasest[[#This Row],[author_es]],autorest[author_es],autorest[bio_es])</f>
        <v>Refranes populares de la tradición oral hispana que expresan de forma breve y ingeniosa enseñanzas prácticas sobre la vida cotidiana.</v>
      </c>
      <c r="I968" t="str">
        <f>_xlfn.XLOOKUP(frasest[[#This Row],[author_es]],autorest[author_es],autorest[bio_la])</f>
        <v>Collectio sententiarum Hispanicarum.</v>
      </c>
      <c r="J968" t="str">
        <f>_xlfn.XLOOKUP(frasest[[#This Row],[author_es]],autorest[author_es],autorest[iso3691])</f>
        <v>es</v>
      </c>
      <c r="K968" t="str">
        <f>_xlfn.XLOOKUP(frasest[[#This Row],[author_es]],autorest[author_es],autorest[language_es])</f>
        <v>Español</v>
      </c>
      <c r="L968" t="str">
        <f>_xlfn.XLOOKUP(frasest[[#This Row],[author_es]],autorest[author_es],autorest[language_la])</f>
        <v>Lingua Hispanica</v>
      </c>
      <c r="M968" t="str">
        <f>_xlfn.XLOOKUP(frasest[[#This Row],[author_es]],autorest[author_es],autorest[nation_es])</f>
        <v>España</v>
      </c>
      <c r="N968" t="str">
        <f>_xlfn.XLOOKUP(frasest[[#This Row],[author_es]],autorest[author_es],autorest[nation_la])</f>
        <v>Hispania</v>
      </c>
      <c r="O968" t="str">
        <f>_xlfn.XLOOKUP(frasest[[#This Row],[author_es]],autorest[author_es],autorest[age_es])</f>
        <v>Epoca Desconocida</v>
      </c>
      <c r="P968" t="str">
        <f>_xlfn.XLOOKUP(frasest[[#This Row],[author_es]],autorest[author_es],autorest[age_la])</f>
        <v>Epocha Ignota</v>
      </c>
      <c r="Q968" t="str">
        <f>_xlfn.XLOOKUP(frasest[[#This Row],[author_es]],autorest[author_es],autorest[image])</f>
        <v>https://i.ibb.co/Y4f7TZWm/espa-a.png</v>
      </c>
      <c r="R968">
        <f>_xlfn.XLOOKUP(frasest[[#This Row],[author_es]],autorest[author_es],autorest[image_atr])</f>
        <v>0</v>
      </c>
    </row>
    <row r="969" spans="1:18">
      <c r="A969">
        <v>968</v>
      </c>
      <c r="B969" t="s">
        <v>2631</v>
      </c>
      <c r="C969" t="s">
        <v>2632</v>
      </c>
      <c r="D969" t="s">
        <v>2631</v>
      </c>
      <c r="E969" t="s">
        <v>24</v>
      </c>
      <c r="G969" t="str">
        <f>_xlfn.XLOOKUP(frasest[[#This Row],[author_es]],autorest[author_es],autorest[author_la])</f>
        <v>Sententia Hispanica</v>
      </c>
      <c r="H969" t="str">
        <f>_xlfn.XLOOKUP(frasest[[#This Row],[author_es]],autorest[author_es],autorest[bio_es])</f>
        <v>Refranes populares de la tradición oral hispana que expresan de forma breve y ingeniosa enseñanzas prácticas sobre la vida cotidiana.</v>
      </c>
      <c r="I969" t="str">
        <f>_xlfn.XLOOKUP(frasest[[#This Row],[author_es]],autorest[author_es],autorest[bio_la])</f>
        <v>Collectio sententiarum Hispanicarum.</v>
      </c>
      <c r="J969" t="str">
        <f>_xlfn.XLOOKUP(frasest[[#This Row],[author_es]],autorest[author_es],autorest[iso3691])</f>
        <v>es</v>
      </c>
      <c r="K969" t="str">
        <f>_xlfn.XLOOKUP(frasest[[#This Row],[author_es]],autorest[author_es],autorest[language_es])</f>
        <v>Español</v>
      </c>
      <c r="L969" t="str">
        <f>_xlfn.XLOOKUP(frasest[[#This Row],[author_es]],autorest[author_es],autorest[language_la])</f>
        <v>Lingua Hispanica</v>
      </c>
      <c r="M969" t="str">
        <f>_xlfn.XLOOKUP(frasest[[#This Row],[author_es]],autorest[author_es],autorest[nation_es])</f>
        <v>España</v>
      </c>
      <c r="N969" t="str">
        <f>_xlfn.XLOOKUP(frasest[[#This Row],[author_es]],autorest[author_es],autorest[nation_la])</f>
        <v>Hispania</v>
      </c>
      <c r="O969" t="str">
        <f>_xlfn.XLOOKUP(frasest[[#This Row],[author_es]],autorest[author_es],autorest[age_es])</f>
        <v>Epoca Desconocida</v>
      </c>
      <c r="P969" t="str">
        <f>_xlfn.XLOOKUP(frasest[[#This Row],[author_es]],autorest[author_es],autorest[age_la])</f>
        <v>Epocha Ignota</v>
      </c>
      <c r="Q969" t="str">
        <f>_xlfn.XLOOKUP(frasest[[#This Row],[author_es]],autorest[author_es],autorest[image])</f>
        <v>https://i.ibb.co/Y4f7TZWm/espa-a.png</v>
      </c>
      <c r="R969">
        <f>_xlfn.XLOOKUP(frasest[[#This Row],[author_es]],autorest[author_es],autorest[image_atr])</f>
        <v>0</v>
      </c>
    </row>
    <row r="970" spans="1:18">
      <c r="A970">
        <v>969</v>
      </c>
      <c r="B970" t="s">
        <v>3103</v>
      </c>
      <c r="C970" t="s">
        <v>3104</v>
      </c>
      <c r="D970" t="s">
        <v>3103</v>
      </c>
      <c r="E970" t="s">
        <v>24</v>
      </c>
      <c r="G970" t="str">
        <f>_xlfn.XLOOKUP(frasest[[#This Row],[author_es]],autorest[author_es],autorest[author_la])</f>
        <v>Sententia Hispanica</v>
      </c>
      <c r="H970" t="str">
        <f>_xlfn.XLOOKUP(frasest[[#This Row],[author_es]],autorest[author_es],autorest[bio_es])</f>
        <v>Refranes populares de la tradición oral hispana que expresan de forma breve y ingeniosa enseñanzas prácticas sobre la vida cotidiana.</v>
      </c>
      <c r="I970" t="str">
        <f>_xlfn.XLOOKUP(frasest[[#This Row],[author_es]],autorest[author_es],autorest[bio_la])</f>
        <v>Collectio sententiarum Hispanicarum.</v>
      </c>
      <c r="J970" t="str">
        <f>_xlfn.XLOOKUP(frasest[[#This Row],[author_es]],autorest[author_es],autorest[iso3691])</f>
        <v>es</v>
      </c>
      <c r="K970" t="str">
        <f>_xlfn.XLOOKUP(frasest[[#This Row],[author_es]],autorest[author_es],autorest[language_es])</f>
        <v>Español</v>
      </c>
      <c r="L970" t="str">
        <f>_xlfn.XLOOKUP(frasest[[#This Row],[author_es]],autorest[author_es],autorest[language_la])</f>
        <v>Lingua Hispanica</v>
      </c>
      <c r="M970" t="str">
        <f>_xlfn.XLOOKUP(frasest[[#This Row],[author_es]],autorest[author_es],autorest[nation_es])</f>
        <v>España</v>
      </c>
      <c r="N970" t="str">
        <f>_xlfn.XLOOKUP(frasest[[#This Row],[author_es]],autorest[author_es],autorest[nation_la])</f>
        <v>Hispania</v>
      </c>
      <c r="O970" t="str">
        <f>_xlfn.XLOOKUP(frasest[[#This Row],[author_es]],autorest[author_es],autorest[age_es])</f>
        <v>Epoca Desconocida</v>
      </c>
      <c r="P970" t="str">
        <f>_xlfn.XLOOKUP(frasest[[#This Row],[author_es]],autorest[author_es],autorest[age_la])</f>
        <v>Epocha Ignota</v>
      </c>
      <c r="Q970" t="str">
        <f>_xlfn.XLOOKUP(frasest[[#This Row],[author_es]],autorest[author_es],autorest[image])</f>
        <v>https://i.ibb.co/Y4f7TZWm/espa-a.png</v>
      </c>
      <c r="R970">
        <f>_xlfn.XLOOKUP(frasest[[#This Row],[author_es]],autorest[author_es],autorest[image_atr])</f>
        <v>0</v>
      </c>
    </row>
    <row r="971" spans="1:18">
      <c r="A971">
        <v>970</v>
      </c>
      <c r="B971" t="s">
        <v>3105</v>
      </c>
      <c r="C971" t="s">
        <v>3106</v>
      </c>
      <c r="D971" t="s">
        <v>3105</v>
      </c>
      <c r="E971" t="s">
        <v>24</v>
      </c>
      <c r="G971" t="str">
        <f>_xlfn.XLOOKUP(frasest[[#This Row],[author_es]],autorest[author_es],autorest[author_la])</f>
        <v>Sententia Hispanica</v>
      </c>
      <c r="H971" t="str">
        <f>_xlfn.XLOOKUP(frasest[[#This Row],[author_es]],autorest[author_es],autorest[bio_es])</f>
        <v>Refranes populares de la tradición oral hispana que expresan de forma breve y ingeniosa enseñanzas prácticas sobre la vida cotidiana.</v>
      </c>
      <c r="I971" t="str">
        <f>_xlfn.XLOOKUP(frasest[[#This Row],[author_es]],autorest[author_es],autorest[bio_la])</f>
        <v>Collectio sententiarum Hispanicarum.</v>
      </c>
      <c r="J971" t="str">
        <f>_xlfn.XLOOKUP(frasest[[#This Row],[author_es]],autorest[author_es],autorest[iso3691])</f>
        <v>es</v>
      </c>
      <c r="K971" t="str">
        <f>_xlfn.XLOOKUP(frasest[[#This Row],[author_es]],autorest[author_es],autorest[language_es])</f>
        <v>Español</v>
      </c>
      <c r="L971" t="str">
        <f>_xlfn.XLOOKUP(frasest[[#This Row],[author_es]],autorest[author_es],autorest[language_la])</f>
        <v>Lingua Hispanica</v>
      </c>
      <c r="M971" t="str">
        <f>_xlfn.XLOOKUP(frasest[[#This Row],[author_es]],autorest[author_es],autorest[nation_es])</f>
        <v>España</v>
      </c>
      <c r="N971" t="str">
        <f>_xlfn.XLOOKUP(frasest[[#This Row],[author_es]],autorest[author_es],autorest[nation_la])</f>
        <v>Hispania</v>
      </c>
      <c r="O971" t="str">
        <f>_xlfn.XLOOKUP(frasest[[#This Row],[author_es]],autorest[author_es],autorest[age_es])</f>
        <v>Epoca Desconocida</v>
      </c>
      <c r="P971" t="str">
        <f>_xlfn.XLOOKUP(frasest[[#This Row],[author_es]],autorest[author_es],autorest[age_la])</f>
        <v>Epocha Ignota</v>
      </c>
      <c r="Q971" t="str">
        <f>_xlfn.XLOOKUP(frasest[[#This Row],[author_es]],autorest[author_es],autorest[image])</f>
        <v>https://i.ibb.co/Y4f7TZWm/espa-a.png</v>
      </c>
      <c r="R971">
        <f>_xlfn.XLOOKUP(frasest[[#This Row],[author_es]],autorest[author_es],autorest[image_atr])</f>
        <v>0</v>
      </c>
    </row>
    <row r="972" spans="1:18">
      <c r="A972">
        <v>971</v>
      </c>
      <c r="B972" t="s">
        <v>3107</v>
      </c>
      <c r="C972" t="s">
        <v>3108</v>
      </c>
      <c r="D972" t="s">
        <v>3107</v>
      </c>
      <c r="E972" t="s">
        <v>24</v>
      </c>
      <c r="G972" t="str">
        <f>_xlfn.XLOOKUP(frasest[[#This Row],[author_es]],autorest[author_es],autorest[author_la])</f>
        <v>Sententia Hispanica</v>
      </c>
      <c r="H972" t="str">
        <f>_xlfn.XLOOKUP(frasest[[#This Row],[author_es]],autorest[author_es],autorest[bio_es])</f>
        <v>Refranes populares de la tradición oral hispana que expresan de forma breve y ingeniosa enseñanzas prácticas sobre la vida cotidiana.</v>
      </c>
      <c r="I972" t="str">
        <f>_xlfn.XLOOKUP(frasest[[#This Row],[author_es]],autorest[author_es],autorest[bio_la])</f>
        <v>Collectio sententiarum Hispanicarum.</v>
      </c>
      <c r="J972" t="str">
        <f>_xlfn.XLOOKUP(frasest[[#This Row],[author_es]],autorest[author_es],autorest[iso3691])</f>
        <v>es</v>
      </c>
      <c r="K972" t="str">
        <f>_xlfn.XLOOKUP(frasest[[#This Row],[author_es]],autorest[author_es],autorest[language_es])</f>
        <v>Español</v>
      </c>
      <c r="L972" t="str">
        <f>_xlfn.XLOOKUP(frasest[[#This Row],[author_es]],autorest[author_es],autorest[language_la])</f>
        <v>Lingua Hispanica</v>
      </c>
      <c r="M972" t="str">
        <f>_xlfn.XLOOKUP(frasest[[#This Row],[author_es]],autorest[author_es],autorest[nation_es])</f>
        <v>España</v>
      </c>
      <c r="N972" t="str">
        <f>_xlfn.XLOOKUP(frasest[[#This Row],[author_es]],autorest[author_es],autorest[nation_la])</f>
        <v>Hispania</v>
      </c>
      <c r="O972" t="str">
        <f>_xlfn.XLOOKUP(frasest[[#This Row],[author_es]],autorest[author_es],autorest[age_es])</f>
        <v>Epoca Desconocida</v>
      </c>
      <c r="P972" t="str">
        <f>_xlfn.XLOOKUP(frasest[[#This Row],[author_es]],autorest[author_es],autorest[age_la])</f>
        <v>Epocha Ignota</v>
      </c>
      <c r="Q972" t="str">
        <f>_xlfn.XLOOKUP(frasest[[#This Row],[author_es]],autorest[author_es],autorest[image])</f>
        <v>https://i.ibb.co/Y4f7TZWm/espa-a.png</v>
      </c>
      <c r="R972">
        <f>_xlfn.XLOOKUP(frasest[[#This Row],[author_es]],autorest[author_es],autorest[image_atr])</f>
        <v>0</v>
      </c>
    </row>
    <row r="973" spans="1:18">
      <c r="A973">
        <v>972</v>
      </c>
      <c r="B973" t="s">
        <v>3109</v>
      </c>
      <c r="C973" t="s">
        <v>3110</v>
      </c>
      <c r="D973" t="s">
        <v>3109</v>
      </c>
      <c r="E973" t="s">
        <v>24</v>
      </c>
      <c r="G973" t="str">
        <f>_xlfn.XLOOKUP(frasest[[#This Row],[author_es]],autorest[author_es],autorest[author_la])</f>
        <v>Sententia Hispanica</v>
      </c>
      <c r="H973" t="str">
        <f>_xlfn.XLOOKUP(frasest[[#This Row],[author_es]],autorest[author_es],autorest[bio_es])</f>
        <v>Refranes populares de la tradición oral hispana que expresan de forma breve y ingeniosa enseñanzas prácticas sobre la vida cotidiana.</v>
      </c>
      <c r="I973" t="str">
        <f>_xlfn.XLOOKUP(frasest[[#This Row],[author_es]],autorest[author_es],autorest[bio_la])</f>
        <v>Collectio sententiarum Hispanicarum.</v>
      </c>
      <c r="J973" t="str">
        <f>_xlfn.XLOOKUP(frasest[[#This Row],[author_es]],autorest[author_es],autorest[iso3691])</f>
        <v>es</v>
      </c>
      <c r="K973" t="str">
        <f>_xlfn.XLOOKUP(frasest[[#This Row],[author_es]],autorest[author_es],autorest[language_es])</f>
        <v>Español</v>
      </c>
      <c r="L973" t="str">
        <f>_xlfn.XLOOKUP(frasest[[#This Row],[author_es]],autorest[author_es],autorest[language_la])</f>
        <v>Lingua Hispanica</v>
      </c>
      <c r="M973" t="str">
        <f>_xlfn.XLOOKUP(frasest[[#This Row],[author_es]],autorest[author_es],autorest[nation_es])</f>
        <v>España</v>
      </c>
      <c r="N973" t="str">
        <f>_xlfn.XLOOKUP(frasest[[#This Row],[author_es]],autorest[author_es],autorest[nation_la])</f>
        <v>Hispania</v>
      </c>
      <c r="O973" t="str">
        <f>_xlfn.XLOOKUP(frasest[[#This Row],[author_es]],autorest[author_es],autorest[age_es])</f>
        <v>Epoca Desconocida</v>
      </c>
      <c r="P973" t="str">
        <f>_xlfn.XLOOKUP(frasest[[#This Row],[author_es]],autorest[author_es],autorest[age_la])</f>
        <v>Epocha Ignota</v>
      </c>
      <c r="Q973" t="str">
        <f>_xlfn.XLOOKUP(frasest[[#This Row],[author_es]],autorest[author_es],autorest[image])</f>
        <v>https://i.ibb.co/Y4f7TZWm/espa-a.png</v>
      </c>
      <c r="R973">
        <f>_xlfn.XLOOKUP(frasest[[#This Row],[author_es]],autorest[author_es],autorest[image_atr])</f>
        <v>0</v>
      </c>
    </row>
    <row r="974" spans="1:18">
      <c r="A974">
        <v>973</v>
      </c>
      <c r="B974" t="s">
        <v>3111</v>
      </c>
      <c r="C974" t="s">
        <v>3112</v>
      </c>
      <c r="D974" t="s">
        <v>3111</v>
      </c>
      <c r="E974" t="s">
        <v>24</v>
      </c>
      <c r="G974" t="str">
        <f>_xlfn.XLOOKUP(frasest[[#This Row],[author_es]],autorest[author_es],autorest[author_la])</f>
        <v>Sententia Hispanica</v>
      </c>
      <c r="H974" t="str">
        <f>_xlfn.XLOOKUP(frasest[[#This Row],[author_es]],autorest[author_es],autorest[bio_es])</f>
        <v>Refranes populares de la tradición oral hispana que expresan de forma breve y ingeniosa enseñanzas prácticas sobre la vida cotidiana.</v>
      </c>
      <c r="I974" t="str">
        <f>_xlfn.XLOOKUP(frasest[[#This Row],[author_es]],autorest[author_es],autorest[bio_la])</f>
        <v>Collectio sententiarum Hispanicarum.</v>
      </c>
      <c r="J974" t="str">
        <f>_xlfn.XLOOKUP(frasest[[#This Row],[author_es]],autorest[author_es],autorest[iso3691])</f>
        <v>es</v>
      </c>
      <c r="K974" t="str">
        <f>_xlfn.XLOOKUP(frasest[[#This Row],[author_es]],autorest[author_es],autorest[language_es])</f>
        <v>Español</v>
      </c>
      <c r="L974" t="str">
        <f>_xlfn.XLOOKUP(frasest[[#This Row],[author_es]],autorest[author_es],autorest[language_la])</f>
        <v>Lingua Hispanica</v>
      </c>
      <c r="M974" t="str">
        <f>_xlfn.XLOOKUP(frasest[[#This Row],[author_es]],autorest[author_es],autorest[nation_es])</f>
        <v>España</v>
      </c>
      <c r="N974" t="str">
        <f>_xlfn.XLOOKUP(frasest[[#This Row],[author_es]],autorest[author_es],autorest[nation_la])</f>
        <v>Hispania</v>
      </c>
      <c r="O974" t="str">
        <f>_xlfn.XLOOKUP(frasest[[#This Row],[author_es]],autorest[author_es],autorest[age_es])</f>
        <v>Epoca Desconocida</v>
      </c>
      <c r="P974" t="str">
        <f>_xlfn.XLOOKUP(frasest[[#This Row],[author_es]],autorest[author_es],autorest[age_la])</f>
        <v>Epocha Ignota</v>
      </c>
      <c r="Q974" t="str">
        <f>_xlfn.XLOOKUP(frasest[[#This Row],[author_es]],autorest[author_es],autorest[image])</f>
        <v>https://i.ibb.co/Y4f7TZWm/espa-a.png</v>
      </c>
      <c r="R974">
        <f>_xlfn.XLOOKUP(frasest[[#This Row],[author_es]],autorest[author_es],autorest[image_atr])</f>
        <v>0</v>
      </c>
    </row>
    <row r="975" spans="1:18">
      <c r="A975">
        <v>974</v>
      </c>
      <c r="B975" t="s">
        <v>3113</v>
      </c>
      <c r="C975" t="s">
        <v>3114</v>
      </c>
      <c r="D975" t="s">
        <v>3113</v>
      </c>
      <c r="E975" t="s">
        <v>24</v>
      </c>
      <c r="G975" t="str">
        <f>_xlfn.XLOOKUP(frasest[[#This Row],[author_es]],autorest[author_es],autorest[author_la])</f>
        <v>Sententia Hispanica</v>
      </c>
      <c r="H975" t="str">
        <f>_xlfn.XLOOKUP(frasest[[#This Row],[author_es]],autorest[author_es],autorest[bio_es])</f>
        <v>Refranes populares de la tradición oral hispana que expresan de forma breve y ingeniosa enseñanzas prácticas sobre la vida cotidiana.</v>
      </c>
      <c r="I975" t="str">
        <f>_xlfn.XLOOKUP(frasest[[#This Row],[author_es]],autorest[author_es],autorest[bio_la])</f>
        <v>Collectio sententiarum Hispanicarum.</v>
      </c>
      <c r="J975" t="str">
        <f>_xlfn.XLOOKUP(frasest[[#This Row],[author_es]],autorest[author_es],autorest[iso3691])</f>
        <v>es</v>
      </c>
      <c r="K975" t="str">
        <f>_xlfn.XLOOKUP(frasest[[#This Row],[author_es]],autorest[author_es],autorest[language_es])</f>
        <v>Español</v>
      </c>
      <c r="L975" t="str">
        <f>_xlfn.XLOOKUP(frasest[[#This Row],[author_es]],autorest[author_es],autorest[language_la])</f>
        <v>Lingua Hispanica</v>
      </c>
      <c r="M975" t="str">
        <f>_xlfn.XLOOKUP(frasest[[#This Row],[author_es]],autorest[author_es],autorest[nation_es])</f>
        <v>España</v>
      </c>
      <c r="N975" t="str">
        <f>_xlfn.XLOOKUP(frasest[[#This Row],[author_es]],autorest[author_es],autorest[nation_la])</f>
        <v>Hispania</v>
      </c>
      <c r="O975" t="str">
        <f>_xlfn.XLOOKUP(frasest[[#This Row],[author_es]],autorest[author_es],autorest[age_es])</f>
        <v>Epoca Desconocida</v>
      </c>
      <c r="P975" t="str">
        <f>_xlfn.XLOOKUP(frasest[[#This Row],[author_es]],autorest[author_es],autorest[age_la])</f>
        <v>Epocha Ignota</v>
      </c>
      <c r="Q975" t="str">
        <f>_xlfn.XLOOKUP(frasest[[#This Row],[author_es]],autorest[author_es],autorest[image])</f>
        <v>https://i.ibb.co/Y4f7TZWm/espa-a.png</v>
      </c>
      <c r="R975">
        <f>_xlfn.XLOOKUP(frasest[[#This Row],[author_es]],autorest[author_es],autorest[image_atr])</f>
        <v>0</v>
      </c>
    </row>
    <row r="976" spans="1:18">
      <c r="A976">
        <v>975</v>
      </c>
      <c r="B976" t="s">
        <v>3115</v>
      </c>
      <c r="C976" t="s">
        <v>3116</v>
      </c>
      <c r="D976" t="s">
        <v>3115</v>
      </c>
      <c r="E976" t="s">
        <v>24</v>
      </c>
      <c r="G976" t="str">
        <f>_xlfn.XLOOKUP(frasest[[#This Row],[author_es]],autorest[author_es],autorest[author_la])</f>
        <v>Sententia Hispanica</v>
      </c>
      <c r="H976" t="str">
        <f>_xlfn.XLOOKUP(frasest[[#This Row],[author_es]],autorest[author_es],autorest[bio_es])</f>
        <v>Refranes populares de la tradición oral hispana que expresan de forma breve y ingeniosa enseñanzas prácticas sobre la vida cotidiana.</v>
      </c>
      <c r="I976" t="str">
        <f>_xlfn.XLOOKUP(frasest[[#This Row],[author_es]],autorest[author_es],autorest[bio_la])</f>
        <v>Collectio sententiarum Hispanicarum.</v>
      </c>
      <c r="J976" t="str">
        <f>_xlfn.XLOOKUP(frasest[[#This Row],[author_es]],autorest[author_es],autorest[iso3691])</f>
        <v>es</v>
      </c>
      <c r="K976" t="str">
        <f>_xlfn.XLOOKUP(frasest[[#This Row],[author_es]],autorest[author_es],autorest[language_es])</f>
        <v>Español</v>
      </c>
      <c r="L976" t="str">
        <f>_xlfn.XLOOKUP(frasest[[#This Row],[author_es]],autorest[author_es],autorest[language_la])</f>
        <v>Lingua Hispanica</v>
      </c>
      <c r="M976" t="str">
        <f>_xlfn.XLOOKUP(frasest[[#This Row],[author_es]],autorest[author_es],autorest[nation_es])</f>
        <v>España</v>
      </c>
      <c r="N976" t="str">
        <f>_xlfn.XLOOKUP(frasest[[#This Row],[author_es]],autorest[author_es],autorest[nation_la])</f>
        <v>Hispania</v>
      </c>
      <c r="O976" t="str">
        <f>_xlfn.XLOOKUP(frasest[[#This Row],[author_es]],autorest[author_es],autorest[age_es])</f>
        <v>Epoca Desconocida</v>
      </c>
      <c r="P976" t="str">
        <f>_xlfn.XLOOKUP(frasest[[#This Row],[author_es]],autorest[author_es],autorest[age_la])</f>
        <v>Epocha Ignota</v>
      </c>
      <c r="Q976" t="str">
        <f>_xlfn.XLOOKUP(frasest[[#This Row],[author_es]],autorest[author_es],autorest[image])</f>
        <v>https://i.ibb.co/Y4f7TZWm/espa-a.png</v>
      </c>
      <c r="R976">
        <f>_xlfn.XLOOKUP(frasest[[#This Row],[author_es]],autorest[author_es],autorest[image_atr])</f>
        <v>0</v>
      </c>
    </row>
    <row r="977" spans="1:18">
      <c r="A977">
        <v>976</v>
      </c>
      <c r="B977" t="s">
        <v>3117</v>
      </c>
      <c r="C977" t="s">
        <v>3118</v>
      </c>
      <c r="D977" t="s">
        <v>3117</v>
      </c>
      <c r="E977" t="s">
        <v>24</v>
      </c>
      <c r="G977" t="str">
        <f>_xlfn.XLOOKUP(frasest[[#This Row],[author_es]],autorest[author_es],autorest[author_la])</f>
        <v>Sententia Hispanica</v>
      </c>
      <c r="H977" t="str">
        <f>_xlfn.XLOOKUP(frasest[[#This Row],[author_es]],autorest[author_es],autorest[bio_es])</f>
        <v>Refranes populares de la tradición oral hispana que expresan de forma breve y ingeniosa enseñanzas prácticas sobre la vida cotidiana.</v>
      </c>
      <c r="I977" t="str">
        <f>_xlfn.XLOOKUP(frasest[[#This Row],[author_es]],autorest[author_es],autorest[bio_la])</f>
        <v>Collectio sententiarum Hispanicarum.</v>
      </c>
      <c r="J977" t="str">
        <f>_xlfn.XLOOKUP(frasest[[#This Row],[author_es]],autorest[author_es],autorest[iso3691])</f>
        <v>es</v>
      </c>
      <c r="K977" t="str">
        <f>_xlfn.XLOOKUP(frasest[[#This Row],[author_es]],autorest[author_es],autorest[language_es])</f>
        <v>Español</v>
      </c>
      <c r="L977" t="str">
        <f>_xlfn.XLOOKUP(frasest[[#This Row],[author_es]],autorest[author_es],autorest[language_la])</f>
        <v>Lingua Hispanica</v>
      </c>
      <c r="M977" t="str">
        <f>_xlfn.XLOOKUP(frasest[[#This Row],[author_es]],autorest[author_es],autorest[nation_es])</f>
        <v>España</v>
      </c>
      <c r="N977" t="str">
        <f>_xlfn.XLOOKUP(frasest[[#This Row],[author_es]],autorest[author_es],autorest[nation_la])</f>
        <v>Hispania</v>
      </c>
      <c r="O977" t="str">
        <f>_xlfn.XLOOKUP(frasest[[#This Row],[author_es]],autorest[author_es],autorest[age_es])</f>
        <v>Epoca Desconocida</v>
      </c>
      <c r="P977" t="str">
        <f>_xlfn.XLOOKUP(frasest[[#This Row],[author_es]],autorest[author_es],autorest[age_la])</f>
        <v>Epocha Ignota</v>
      </c>
      <c r="Q977" t="str">
        <f>_xlfn.XLOOKUP(frasest[[#This Row],[author_es]],autorest[author_es],autorest[image])</f>
        <v>https://i.ibb.co/Y4f7TZWm/espa-a.png</v>
      </c>
      <c r="R977">
        <f>_xlfn.XLOOKUP(frasest[[#This Row],[author_es]],autorest[author_es],autorest[image_atr])</f>
        <v>0</v>
      </c>
    </row>
    <row r="978" spans="1:18">
      <c r="A978">
        <v>977</v>
      </c>
      <c r="B978" t="s">
        <v>3119</v>
      </c>
      <c r="C978" t="s">
        <v>3120</v>
      </c>
      <c r="D978" t="s">
        <v>3119</v>
      </c>
      <c r="E978" t="s">
        <v>24</v>
      </c>
      <c r="G978" t="str">
        <f>_xlfn.XLOOKUP(frasest[[#This Row],[author_es]],autorest[author_es],autorest[author_la])</f>
        <v>Sententia Hispanica</v>
      </c>
      <c r="H978" t="str">
        <f>_xlfn.XLOOKUP(frasest[[#This Row],[author_es]],autorest[author_es],autorest[bio_es])</f>
        <v>Refranes populares de la tradición oral hispana que expresan de forma breve y ingeniosa enseñanzas prácticas sobre la vida cotidiana.</v>
      </c>
      <c r="I978" t="str">
        <f>_xlfn.XLOOKUP(frasest[[#This Row],[author_es]],autorest[author_es],autorest[bio_la])</f>
        <v>Collectio sententiarum Hispanicarum.</v>
      </c>
      <c r="J978" t="str">
        <f>_xlfn.XLOOKUP(frasest[[#This Row],[author_es]],autorest[author_es],autorest[iso3691])</f>
        <v>es</v>
      </c>
      <c r="K978" t="str">
        <f>_xlfn.XLOOKUP(frasest[[#This Row],[author_es]],autorest[author_es],autorest[language_es])</f>
        <v>Español</v>
      </c>
      <c r="L978" t="str">
        <f>_xlfn.XLOOKUP(frasest[[#This Row],[author_es]],autorest[author_es],autorest[language_la])</f>
        <v>Lingua Hispanica</v>
      </c>
      <c r="M978" t="str">
        <f>_xlfn.XLOOKUP(frasest[[#This Row],[author_es]],autorest[author_es],autorest[nation_es])</f>
        <v>España</v>
      </c>
      <c r="N978" t="str">
        <f>_xlfn.XLOOKUP(frasest[[#This Row],[author_es]],autorest[author_es],autorest[nation_la])</f>
        <v>Hispania</v>
      </c>
      <c r="O978" t="str">
        <f>_xlfn.XLOOKUP(frasest[[#This Row],[author_es]],autorest[author_es],autorest[age_es])</f>
        <v>Epoca Desconocida</v>
      </c>
      <c r="P978" t="str">
        <f>_xlfn.XLOOKUP(frasest[[#This Row],[author_es]],autorest[author_es],autorest[age_la])</f>
        <v>Epocha Ignota</v>
      </c>
      <c r="Q978" t="str">
        <f>_xlfn.XLOOKUP(frasest[[#This Row],[author_es]],autorest[author_es],autorest[image])</f>
        <v>https://i.ibb.co/Y4f7TZWm/espa-a.png</v>
      </c>
      <c r="R978">
        <f>_xlfn.XLOOKUP(frasest[[#This Row],[author_es]],autorest[author_es],autorest[image_atr])</f>
        <v>0</v>
      </c>
    </row>
    <row r="979" spans="1:18">
      <c r="A979">
        <v>978</v>
      </c>
      <c r="B979" t="s">
        <v>3121</v>
      </c>
      <c r="C979" t="s">
        <v>3122</v>
      </c>
      <c r="D979" t="s">
        <v>3121</v>
      </c>
      <c r="E979" t="s">
        <v>24</v>
      </c>
      <c r="G979" t="str">
        <f>_xlfn.XLOOKUP(frasest[[#This Row],[author_es]],autorest[author_es],autorest[author_la])</f>
        <v>Sententia Hispanica</v>
      </c>
      <c r="H979" t="str">
        <f>_xlfn.XLOOKUP(frasest[[#This Row],[author_es]],autorest[author_es],autorest[bio_es])</f>
        <v>Refranes populares de la tradición oral hispana que expresan de forma breve y ingeniosa enseñanzas prácticas sobre la vida cotidiana.</v>
      </c>
      <c r="I979" t="str">
        <f>_xlfn.XLOOKUP(frasest[[#This Row],[author_es]],autorest[author_es],autorest[bio_la])</f>
        <v>Collectio sententiarum Hispanicarum.</v>
      </c>
      <c r="J979" t="str">
        <f>_xlfn.XLOOKUP(frasest[[#This Row],[author_es]],autorest[author_es],autorest[iso3691])</f>
        <v>es</v>
      </c>
      <c r="K979" t="str">
        <f>_xlfn.XLOOKUP(frasest[[#This Row],[author_es]],autorest[author_es],autorest[language_es])</f>
        <v>Español</v>
      </c>
      <c r="L979" t="str">
        <f>_xlfn.XLOOKUP(frasest[[#This Row],[author_es]],autorest[author_es],autorest[language_la])</f>
        <v>Lingua Hispanica</v>
      </c>
      <c r="M979" t="str">
        <f>_xlfn.XLOOKUP(frasest[[#This Row],[author_es]],autorest[author_es],autorest[nation_es])</f>
        <v>España</v>
      </c>
      <c r="N979" t="str">
        <f>_xlfn.XLOOKUP(frasest[[#This Row],[author_es]],autorest[author_es],autorest[nation_la])</f>
        <v>Hispania</v>
      </c>
      <c r="O979" t="str">
        <f>_xlfn.XLOOKUP(frasest[[#This Row],[author_es]],autorest[author_es],autorest[age_es])</f>
        <v>Epoca Desconocida</v>
      </c>
      <c r="P979" t="str">
        <f>_xlfn.XLOOKUP(frasest[[#This Row],[author_es]],autorest[author_es],autorest[age_la])</f>
        <v>Epocha Ignota</v>
      </c>
      <c r="Q979" t="str">
        <f>_xlfn.XLOOKUP(frasest[[#This Row],[author_es]],autorest[author_es],autorest[image])</f>
        <v>https://i.ibb.co/Y4f7TZWm/espa-a.png</v>
      </c>
      <c r="R979">
        <f>_xlfn.XLOOKUP(frasest[[#This Row],[author_es]],autorest[author_es],autorest[image_atr])</f>
        <v>0</v>
      </c>
    </row>
    <row r="980" spans="1:18">
      <c r="A980">
        <v>979</v>
      </c>
      <c r="B980" t="s">
        <v>3123</v>
      </c>
      <c r="C980" t="s">
        <v>3124</v>
      </c>
      <c r="D980" t="s">
        <v>3123</v>
      </c>
      <c r="E980" t="s">
        <v>24</v>
      </c>
      <c r="G980" t="str">
        <f>_xlfn.XLOOKUP(frasest[[#This Row],[author_es]],autorest[author_es],autorest[author_la])</f>
        <v>Sententia Hispanica</v>
      </c>
      <c r="H980" t="str">
        <f>_xlfn.XLOOKUP(frasest[[#This Row],[author_es]],autorest[author_es],autorest[bio_es])</f>
        <v>Refranes populares de la tradición oral hispana que expresan de forma breve y ingeniosa enseñanzas prácticas sobre la vida cotidiana.</v>
      </c>
      <c r="I980" t="str">
        <f>_xlfn.XLOOKUP(frasest[[#This Row],[author_es]],autorest[author_es],autorest[bio_la])</f>
        <v>Collectio sententiarum Hispanicarum.</v>
      </c>
      <c r="J980" t="str">
        <f>_xlfn.XLOOKUP(frasest[[#This Row],[author_es]],autorest[author_es],autorest[iso3691])</f>
        <v>es</v>
      </c>
      <c r="K980" t="str">
        <f>_xlfn.XLOOKUP(frasest[[#This Row],[author_es]],autorest[author_es],autorest[language_es])</f>
        <v>Español</v>
      </c>
      <c r="L980" t="str">
        <f>_xlfn.XLOOKUP(frasest[[#This Row],[author_es]],autorest[author_es],autorest[language_la])</f>
        <v>Lingua Hispanica</v>
      </c>
      <c r="M980" t="str">
        <f>_xlfn.XLOOKUP(frasest[[#This Row],[author_es]],autorest[author_es],autorest[nation_es])</f>
        <v>España</v>
      </c>
      <c r="N980" t="str">
        <f>_xlfn.XLOOKUP(frasest[[#This Row],[author_es]],autorest[author_es],autorest[nation_la])</f>
        <v>Hispania</v>
      </c>
      <c r="O980" t="str">
        <f>_xlfn.XLOOKUP(frasest[[#This Row],[author_es]],autorest[author_es],autorest[age_es])</f>
        <v>Epoca Desconocida</v>
      </c>
      <c r="P980" t="str">
        <f>_xlfn.XLOOKUP(frasest[[#This Row],[author_es]],autorest[author_es],autorest[age_la])</f>
        <v>Epocha Ignota</v>
      </c>
      <c r="Q980" t="str">
        <f>_xlfn.XLOOKUP(frasest[[#This Row],[author_es]],autorest[author_es],autorest[image])</f>
        <v>https://i.ibb.co/Y4f7TZWm/espa-a.png</v>
      </c>
      <c r="R980">
        <f>_xlfn.XLOOKUP(frasest[[#This Row],[author_es]],autorest[author_es],autorest[image_atr])</f>
        <v>0</v>
      </c>
    </row>
    <row r="981" spans="1:18">
      <c r="A981">
        <v>980</v>
      </c>
      <c r="B981" t="s">
        <v>2637</v>
      </c>
      <c r="C981" t="s">
        <v>2638</v>
      </c>
      <c r="D981" t="s">
        <v>2637</v>
      </c>
      <c r="E981" t="s">
        <v>24</v>
      </c>
      <c r="G981" t="str">
        <f>_xlfn.XLOOKUP(frasest[[#This Row],[author_es]],autorest[author_es],autorest[author_la])</f>
        <v>Sententia Hispanica</v>
      </c>
      <c r="H981" t="str">
        <f>_xlfn.XLOOKUP(frasest[[#This Row],[author_es]],autorest[author_es],autorest[bio_es])</f>
        <v>Refranes populares de la tradición oral hispana que expresan de forma breve y ingeniosa enseñanzas prácticas sobre la vida cotidiana.</v>
      </c>
      <c r="I981" t="str">
        <f>_xlfn.XLOOKUP(frasest[[#This Row],[author_es]],autorest[author_es],autorest[bio_la])</f>
        <v>Collectio sententiarum Hispanicarum.</v>
      </c>
      <c r="J981" t="str">
        <f>_xlfn.XLOOKUP(frasest[[#This Row],[author_es]],autorest[author_es],autorest[iso3691])</f>
        <v>es</v>
      </c>
      <c r="K981" t="str">
        <f>_xlfn.XLOOKUP(frasest[[#This Row],[author_es]],autorest[author_es],autorest[language_es])</f>
        <v>Español</v>
      </c>
      <c r="L981" t="str">
        <f>_xlfn.XLOOKUP(frasest[[#This Row],[author_es]],autorest[author_es],autorest[language_la])</f>
        <v>Lingua Hispanica</v>
      </c>
      <c r="M981" t="str">
        <f>_xlfn.XLOOKUP(frasest[[#This Row],[author_es]],autorest[author_es],autorest[nation_es])</f>
        <v>España</v>
      </c>
      <c r="N981" t="str">
        <f>_xlfn.XLOOKUP(frasest[[#This Row],[author_es]],autorest[author_es],autorest[nation_la])</f>
        <v>Hispania</v>
      </c>
      <c r="O981" t="str">
        <f>_xlfn.XLOOKUP(frasest[[#This Row],[author_es]],autorest[author_es],autorest[age_es])</f>
        <v>Epoca Desconocida</v>
      </c>
      <c r="P981" t="str">
        <f>_xlfn.XLOOKUP(frasest[[#This Row],[author_es]],autorest[author_es],autorest[age_la])</f>
        <v>Epocha Ignota</v>
      </c>
      <c r="Q981" t="str">
        <f>_xlfn.XLOOKUP(frasest[[#This Row],[author_es]],autorest[author_es],autorest[image])</f>
        <v>https://i.ibb.co/Y4f7TZWm/espa-a.png</v>
      </c>
      <c r="R981">
        <f>_xlfn.XLOOKUP(frasest[[#This Row],[author_es]],autorest[author_es],autorest[image_atr])</f>
        <v>0</v>
      </c>
    </row>
    <row r="982" spans="1:18">
      <c r="A982">
        <v>981</v>
      </c>
      <c r="B982" t="s">
        <v>3125</v>
      </c>
      <c r="C982" t="s">
        <v>3126</v>
      </c>
      <c r="D982" t="s">
        <v>3125</v>
      </c>
      <c r="E982" t="s">
        <v>24</v>
      </c>
      <c r="G982" t="str">
        <f>_xlfn.XLOOKUP(frasest[[#This Row],[author_es]],autorest[author_es],autorest[author_la])</f>
        <v>Sententia Hispanica</v>
      </c>
      <c r="H982" t="str">
        <f>_xlfn.XLOOKUP(frasest[[#This Row],[author_es]],autorest[author_es],autorest[bio_es])</f>
        <v>Refranes populares de la tradición oral hispana que expresan de forma breve y ingeniosa enseñanzas prácticas sobre la vida cotidiana.</v>
      </c>
      <c r="I982" t="str">
        <f>_xlfn.XLOOKUP(frasest[[#This Row],[author_es]],autorest[author_es],autorest[bio_la])</f>
        <v>Collectio sententiarum Hispanicarum.</v>
      </c>
      <c r="J982" t="str">
        <f>_xlfn.XLOOKUP(frasest[[#This Row],[author_es]],autorest[author_es],autorest[iso3691])</f>
        <v>es</v>
      </c>
      <c r="K982" t="str">
        <f>_xlfn.XLOOKUP(frasest[[#This Row],[author_es]],autorest[author_es],autorest[language_es])</f>
        <v>Español</v>
      </c>
      <c r="L982" t="str">
        <f>_xlfn.XLOOKUP(frasest[[#This Row],[author_es]],autorest[author_es],autorest[language_la])</f>
        <v>Lingua Hispanica</v>
      </c>
      <c r="M982" t="str">
        <f>_xlfn.XLOOKUP(frasest[[#This Row],[author_es]],autorest[author_es],autorest[nation_es])</f>
        <v>España</v>
      </c>
      <c r="N982" t="str">
        <f>_xlfn.XLOOKUP(frasest[[#This Row],[author_es]],autorest[author_es],autorest[nation_la])</f>
        <v>Hispania</v>
      </c>
      <c r="O982" t="str">
        <f>_xlfn.XLOOKUP(frasest[[#This Row],[author_es]],autorest[author_es],autorest[age_es])</f>
        <v>Epoca Desconocida</v>
      </c>
      <c r="P982" t="str">
        <f>_xlfn.XLOOKUP(frasest[[#This Row],[author_es]],autorest[author_es],autorest[age_la])</f>
        <v>Epocha Ignota</v>
      </c>
      <c r="Q982" t="str">
        <f>_xlfn.XLOOKUP(frasest[[#This Row],[author_es]],autorest[author_es],autorest[image])</f>
        <v>https://i.ibb.co/Y4f7TZWm/espa-a.png</v>
      </c>
      <c r="R982">
        <f>_xlfn.XLOOKUP(frasest[[#This Row],[author_es]],autorest[author_es],autorest[image_atr])</f>
        <v>0</v>
      </c>
    </row>
    <row r="983" spans="1:18">
      <c r="A983">
        <v>982</v>
      </c>
      <c r="B983" t="s">
        <v>3127</v>
      </c>
      <c r="C983" t="s">
        <v>3128</v>
      </c>
      <c r="D983" t="s">
        <v>3127</v>
      </c>
      <c r="E983" t="s">
        <v>24</v>
      </c>
      <c r="G983" t="str">
        <f>_xlfn.XLOOKUP(frasest[[#This Row],[author_es]],autorest[author_es],autorest[author_la])</f>
        <v>Sententia Hispanica</v>
      </c>
      <c r="H983" t="str">
        <f>_xlfn.XLOOKUP(frasest[[#This Row],[author_es]],autorest[author_es],autorest[bio_es])</f>
        <v>Refranes populares de la tradición oral hispana que expresan de forma breve y ingeniosa enseñanzas prácticas sobre la vida cotidiana.</v>
      </c>
      <c r="I983" t="str">
        <f>_xlfn.XLOOKUP(frasest[[#This Row],[author_es]],autorest[author_es],autorest[bio_la])</f>
        <v>Collectio sententiarum Hispanicarum.</v>
      </c>
      <c r="J983" t="str">
        <f>_xlfn.XLOOKUP(frasest[[#This Row],[author_es]],autorest[author_es],autorest[iso3691])</f>
        <v>es</v>
      </c>
      <c r="K983" t="str">
        <f>_xlfn.XLOOKUP(frasest[[#This Row],[author_es]],autorest[author_es],autorest[language_es])</f>
        <v>Español</v>
      </c>
      <c r="L983" t="str">
        <f>_xlfn.XLOOKUP(frasest[[#This Row],[author_es]],autorest[author_es],autorest[language_la])</f>
        <v>Lingua Hispanica</v>
      </c>
      <c r="M983" t="str">
        <f>_xlfn.XLOOKUP(frasest[[#This Row],[author_es]],autorest[author_es],autorest[nation_es])</f>
        <v>España</v>
      </c>
      <c r="N983" t="str">
        <f>_xlfn.XLOOKUP(frasest[[#This Row],[author_es]],autorest[author_es],autorest[nation_la])</f>
        <v>Hispania</v>
      </c>
      <c r="O983" t="str">
        <f>_xlfn.XLOOKUP(frasest[[#This Row],[author_es]],autorest[author_es],autorest[age_es])</f>
        <v>Epoca Desconocida</v>
      </c>
      <c r="P983" t="str">
        <f>_xlfn.XLOOKUP(frasest[[#This Row],[author_es]],autorest[author_es],autorest[age_la])</f>
        <v>Epocha Ignota</v>
      </c>
      <c r="Q983" t="str">
        <f>_xlfn.XLOOKUP(frasest[[#This Row],[author_es]],autorest[author_es],autorest[image])</f>
        <v>https://i.ibb.co/Y4f7TZWm/espa-a.png</v>
      </c>
      <c r="R983">
        <f>_xlfn.XLOOKUP(frasest[[#This Row],[author_es]],autorest[author_es],autorest[image_atr])</f>
        <v>0</v>
      </c>
    </row>
    <row r="984" spans="1:18">
      <c r="A984">
        <v>983</v>
      </c>
      <c r="B984" t="s">
        <v>3129</v>
      </c>
      <c r="C984" t="s">
        <v>3130</v>
      </c>
      <c r="D984" t="s">
        <v>3129</v>
      </c>
      <c r="E984" t="s">
        <v>24</v>
      </c>
      <c r="G984" t="str">
        <f>_xlfn.XLOOKUP(frasest[[#This Row],[author_es]],autorest[author_es],autorest[author_la])</f>
        <v>Sententia Hispanica</v>
      </c>
      <c r="H984" t="str">
        <f>_xlfn.XLOOKUP(frasest[[#This Row],[author_es]],autorest[author_es],autorest[bio_es])</f>
        <v>Refranes populares de la tradición oral hispana que expresan de forma breve y ingeniosa enseñanzas prácticas sobre la vida cotidiana.</v>
      </c>
      <c r="I984" t="str">
        <f>_xlfn.XLOOKUP(frasest[[#This Row],[author_es]],autorest[author_es],autorest[bio_la])</f>
        <v>Collectio sententiarum Hispanicarum.</v>
      </c>
      <c r="J984" t="str">
        <f>_xlfn.XLOOKUP(frasest[[#This Row],[author_es]],autorest[author_es],autorest[iso3691])</f>
        <v>es</v>
      </c>
      <c r="K984" t="str">
        <f>_xlfn.XLOOKUP(frasest[[#This Row],[author_es]],autorest[author_es],autorest[language_es])</f>
        <v>Español</v>
      </c>
      <c r="L984" t="str">
        <f>_xlfn.XLOOKUP(frasest[[#This Row],[author_es]],autorest[author_es],autorest[language_la])</f>
        <v>Lingua Hispanica</v>
      </c>
      <c r="M984" t="str">
        <f>_xlfn.XLOOKUP(frasest[[#This Row],[author_es]],autorest[author_es],autorest[nation_es])</f>
        <v>España</v>
      </c>
      <c r="N984" t="str">
        <f>_xlfn.XLOOKUP(frasest[[#This Row],[author_es]],autorest[author_es],autorest[nation_la])</f>
        <v>Hispania</v>
      </c>
      <c r="O984" t="str">
        <f>_xlfn.XLOOKUP(frasest[[#This Row],[author_es]],autorest[author_es],autorest[age_es])</f>
        <v>Epoca Desconocida</v>
      </c>
      <c r="P984" t="str">
        <f>_xlfn.XLOOKUP(frasest[[#This Row],[author_es]],autorest[author_es],autorest[age_la])</f>
        <v>Epocha Ignota</v>
      </c>
      <c r="Q984" t="str">
        <f>_xlfn.XLOOKUP(frasest[[#This Row],[author_es]],autorest[author_es],autorest[image])</f>
        <v>https://i.ibb.co/Y4f7TZWm/espa-a.png</v>
      </c>
      <c r="R984">
        <f>_xlfn.XLOOKUP(frasest[[#This Row],[author_es]],autorest[author_es],autorest[image_atr])</f>
        <v>0</v>
      </c>
    </row>
    <row r="985" spans="1:18">
      <c r="A985">
        <v>984</v>
      </c>
      <c r="B985" t="s">
        <v>3131</v>
      </c>
      <c r="C985" t="s">
        <v>3132</v>
      </c>
      <c r="D985" t="s">
        <v>3131</v>
      </c>
      <c r="E985" t="s">
        <v>24</v>
      </c>
      <c r="G985" t="str">
        <f>_xlfn.XLOOKUP(frasest[[#This Row],[author_es]],autorest[author_es],autorest[author_la])</f>
        <v>Sententia Hispanica</v>
      </c>
      <c r="H985" t="str">
        <f>_xlfn.XLOOKUP(frasest[[#This Row],[author_es]],autorest[author_es],autorest[bio_es])</f>
        <v>Refranes populares de la tradición oral hispana que expresan de forma breve y ingeniosa enseñanzas prácticas sobre la vida cotidiana.</v>
      </c>
      <c r="I985" t="str">
        <f>_xlfn.XLOOKUP(frasest[[#This Row],[author_es]],autorest[author_es],autorest[bio_la])</f>
        <v>Collectio sententiarum Hispanicarum.</v>
      </c>
      <c r="J985" t="str">
        <f>_xlfn.XLOOKUP(frasest[[#This Row],[author_es]],autorest[author_es],autorest[iso3691])</f>
        <v>es</v>
      </c>
      <c r="K985" t="str">
        <f>_xlfn.XLOOKUP(frasest[[#This Row],[author_es]],autorest[author_es],autorest[language_es])</f>
        <v>Español</v>
      </c>
      <c r="L985" t="str">
        <f>_xlfn.XLOOKUP(frasest[[#This Row],[author_es]],autorest[author_es],autorest[language_la])</f>
        <v>Lingua Hispanica</v>
      </c>
      <c r="M985" t="str">
        <f>_xlfn.XLOOKUP(frasest[[#This Row],[author_es]],autorest[author_es],autorest[nation_es])</f>
        <v>España</v>
      </c>
      <c r="N985" t="str">
        <f>_xlfn.XLOOKUP(frasest[[#This Row],[author_es]],autorest[author_es],autorest[nation_la])</f>
        <v>Hispania</v>
      </c>
      <c r="O985" t="str">
        <f>_xlfn.XLOOKUP(frasest[[#This Row],[author_es]],autorest[author_es],autorest[age_es])</f>
        <v>Epoca Desconocida</v>
      </c>
      <c r="P985" t="str">
        <f>_xlfn.XLOOKUP(frasest[[#This Row],[author_es]],autorest[author_es],autorest[age_la])</f>
        <v>Epocha Ignota</v>
      </c>
      <c r="Q985" t="str">
        <f>_xlfn.XLOOKUP(frasest[[#This Row],[author_es]],autorest[author_es],autorest[image])</f>
        <v>https://i.ibb.co/Y4f7TZWm/espa-a.png</v>
      </c>
      <c r="R985">
        <f>_xlfn.XLOOKUP(frasest[[#This Row],[author_es]],autorest[author_es],autorest[image_atr])</f>
        <v>0</v>
      </c>
    </row>
    <row r="986" spans="1:18">
      <c r="A986">
        <v>985</v>
      </c>
      <c r="B986" t="s">
        <v>3133</v>
      </c>
      <c r="C986" t="s">
        <v>3134</v>
      </c>
      <c r="D986" t="s">
        <v>3133</v>
      </c>
      <c r="E986" t="s">
        <v>24</v>
      </c>
      <c r="G986" t="str">
        <f>_xlfn.XLOOKUP(frasest[[#This Row],[author_es]],autorest[author_es],autorest[author_la])</f>
        <v>Sententia Hispanica</v>
      </c>
      <c r="H986" t="str">
        <f>_xlfn.XLOOKUP(frasest[[#This Row],[author_es]],autorest[author_es],autorest[bio_es])</f>
        <v>Refranes populares de la tradición oral hispana que expresan de forma breve y ingeniosa enseñanzas prácticas sobre la vida cotidiana.</v>
      </c>
      <c r="I986" t="str">
        <f>_xlfn.XLOOKUP(frasest[[#This Row],[author_es]],autorest[author_es],autorest[bio_la])</f>
        <v>Collectio sententiarum Hispanicarum.</v>
      </c>
      <c r="J986" t="str">
        <f>_xlfn.XLOOKUP(frasest[[#This Row],[author_es]],autorest[author_es],autorest[iso3691])</f>
        <v>es</v>
      </c>
      <c r="K986" t="str">
        <f>_xlfn.XLOOKUP(frasest[[#This Row],[author_es]],autorest[author_es],autorest[language_es])</f>
        <v>Español</v>
      </c>
      <c r="L986" t="str">
        <f>_xlfn.XLOOKUP(frasest[[#This Row],[author_es]],autorest[author_es],autorest[language_la])</f>
        <v>Lingua Hispanica</v>
      </c>
      <c r="M986" t="str">
        <f>_xlfn.XLOOKUP(frasest[[#This Row],[author_es]],autorest[author_es],autorest[nation_es])</f>
        <v>España</v>
      </c>
      <c r="N986" t="str">
        <f>_xlfn.XLOOKUP(frasest[[#This Row],[author_es]],autorest[author_es],autorest[nation_la])</f>
        <v>Hispania</v>
      </c>
      <c r="O986" t="str">
        <f>_xlfn.XLOOKUP(frasest[[#This Row],[author_es]],autorest[author_es],autorest[age_es])</f>
        <v>Epoca Desconocida</v>
      </c>
      <c r="P986" t="str">
        <f>_xlfn.XLOOKUP(frasest[[#This Row],[author_es]],autorest[author_es],autorest[age_la])</f>
        <v>Epocha Ignota</v>
      </c>
      <c r="Q986" t="str">
        <f>_xlfn.XLOOKUP(frasest[[#This Row],[author_es]],autorest[author_es],autorest[image])</f>
        <v>https://i.ibb.co/Y4f7TZWm/espa-a.png</v>
      </c>
      <c r="R986">
        <f>_xlfn.XLOOKUP(frasest[[#This Row],[author_es]],autorest[author_es],autorest[image_atr])</f>
        <v>0</v>
      </c>
    </row>
    <row r="987" spans="1:18">
      <c r="A987">
        <v>986</v>
      </c>
      <c r="B987" t="s">
        <v>3135</v>
      </c>
      <c r="C987" t="s">
        <v>3136</v>
      </c>
      <c r="D987" t="s">
        <v>3135</v>
      </c>
      <c r="E987" t="s">
        <v>24</v>
      </c>
      <c r="G987" t="str">
        <f>_xlfn.XLOOKUP(frasest[[#This Row],[author_es]],autorest[author_es],autorest[author_la])</f>
        <v>Sententia Hispanica</v>
      </c>
      <c r="H987" t="str">
        <f>_xlfn.XLOOKUP(frasest[[#This Row],[author_es]],autorest[author_es],autorest[bio_es])</f>
        <v>Refranes populares de la tradición oral hispana que expresan de forma breve y ingeniosa enseñanzas prácticas sobre la vida cotidiana.</v>
      </c>
      <c r="I987" t="str">
        <f>_xlfn.XLOOKUP(frasest[[#This Row],[author_es]],autorest[author_es],autorest[bio_la])</f>
        <v>Collectio sententiarum Hispanicarum.</v>
      </c>
      <c r="J987" t="str">
        <f>_xlfn.XLOOKUP(frasest[[#This Row],[author_es]],autorest[author_es],autorest[iso3691])</f>
        <v>es</v>
      </c>
      <c r="K987" t="str">
        <f>_xlfn.XLOOKUP(frasest[[#This Row],[author_es]],autorest[author_es],autorest[language_es])</f>
        <v>Español</v>
      </c>
      <c r="L987" t="str">
        <f>_xlfn.XLOOKUP(frasest[[#This Row],[author_es]],autorest[author_es],autorest[language_la])</f>
        <v>Lingua Hispanica</v>
      </c>
      <c r="M987" t="str">
        <f>_xlfn.XLOOKUP(frasest[[#This Row],[author_es]],autorest[author_es],autorest[nation_es])</f>
        <v>España</v>
      </c>
      <c r="N987" t="str">
        <f>_xlfn.XLOOKUP(frasest[[#This Row],[author_es]],autorest[author_es],autorest[nation_la])</f>
        <v>Hispania</v>
      </c>
      <c r="O987" t="str">
        <f>_xlfn.XLOOKUP(frasest[[#This Row],[author_es]],autorest[author_es],autorest[age_es])</f>
        <v>Epoca Desconocida</v>
      </c>
      <c r="P987" t="str">
        <f>_xlfn.XLOOKUP(frasest[[#This Row],[author_es]],autorest[author_es],autorest[age_la])</f>
        <v>Epocha Ignota</v>
      </c>
      <c r="Q987" t="str">
        <f>_xlfn.XLOOKUP(frasest[[#This Row],[author_es]],autorest[author_es],autorest[image])</f>
        <v>https://i.ibb.co/Y4f7TZWm/espa-a.png</v>
      </c>
      <c r="R987">
        <f>_xlfn.XLOOKUP(frasest[[#This Row],[author_es]],autorest[author_es],autorest[image_atr])</f>
        <v>0</v>
      </c>
    </row>
    <row r="988" spans="1:18">
      <c r="A988">
        <v>987</v>
      </c>
      <c r="B988" t="s">
        <v>3137</v>
      </c>
      <c r="C988" t="s">
        <v>3138</v>
      </c>
      <c r="D988" t="s">
        <v>3137</v>
      </c>
      <c r="E988" t="s">
        <v>24</v>
      </c>
      <c r="G988" t="str">
        <f>_xlfn.XLOOKUP(frasest[[#This Row],[author_es]],autorest[author_es],autorest[author_la])</f>
        <v>Sententia Hispanica</v>
      </c>
      <c r="H988" t="str">
        <f>_xlfn.XLOOKUP(frasest[[#This Row],[author_es]],autorest[author_es],autorest[bio_es])</f>
        <v>Refranes populares de la tradición oral hispana que expresan de forma breve y ingeniosa enseñanzas prácticas sobre la vida cotidiana.</v>
      </c>
      <c r="I988" t="str">
        <f>_xlfn.XLOOKUP(frasest[[#This Row],[author_es]],autorest[author_es],autorest[bio_la])</f>
        <v>Collectio sententiarum Hispanicarum.</v>
      </c>
      <c r="J988" t="str">
        <f>_xlfn.XLOOKUP(frasest[[#This Row],[author_es]],autorest[author_es],autorest[iso3691])</f>
        <v>es</v>
      </c>
      <c r="K988" t="str">
        <f>_xlfn.XLOOKUP(frasest[[#This Row],[author_es]],autorest[author_es],autorest[language_es])</f>
        <v>Español</v>
      </c>
      <c r="L988" t="str">
        <f>_xlfn.XLOOKUP(frasest[[#This Row],[author_es]],autorest[author_es],autorest[language_la])</f>
        <v>Lingua Hispanica</v>
      </c>
      <c r="M988" t="str">
        <f>_xlfn.XLOOKUP(frasest[[#This Row],[author_es]],autorest[author_es],autorest[nation_es])</f>
        <v>España</v>
      </c>
      <c r="N988" t="str">
        <f>_xlfn.XLOOKUP(frasest[[#This Row],[author_es]],autorest[author_es],autorest[nation_la])</f>
        <v>Hispania</v>
      </c>
      <c r="O988" t="str">
        <f>_xlfn.XLOOKUP(frasest[[#This Row],[author_es]],autorest[author_es],autorest[age_es])</f>
        <v>Epoca Desconocida</v>
      </c>
      <c r="P988" t="str">
        <f>_xlfn.XLOOKUP(frasest[[#This Row],[author_es]],autorest[author_es],autorest[age_la])</f>
        <v>Epocha Ignota</v>
      </c>
      <c r="Q988" t="str">
        <f>_xlfn.XLOOKUP(frasest[[#This Row],[author_es]],autorest[author_es],autorest[image])</f>
        <v>https://i.ibb.co/Y4f7TZWm/espa-a.png</v>
      </c>
      <c r="R988">
        <f>_xlfn.XLOOKUP(frasest[[#This Row],[author_es]],autorest[author_es],autorest[image_atr])</f>
        <v>0</v>
      </c>
    </row>
    <row r="989" spans="1:18">
      <c r="A989">
        <v>988</v>
      </c>
      <c r="B989" t="s">
        <v>3139</v>
      </c>
      <c r="C989" t="s">
        <v>3140</v>
      </c>
      <c r="D989" t="s">
        <v>3139</v>
      </c>
      <c r="E989" t="s">
        <v>24</v>
      </c>
      <c r="G989" t="str">
        <f>_xlfn.XLOOKUP(frasest[[#This Row],[author_es]],autorest[author_es],autorest[author_la])</f>
        <v>Sententia Hispanica</v>
      </c>
      <c r="H989" t="str">
        <f>_xlfn.XLOOKUP(frasest[[#This Row],[author_es]],autorest[author_es],autorest[bio_es])</f>
        <v>Refranes populares de la tradición oral hispana que expresan de forma breve y ingeniosa enseñanzas prácticas sobre la vida cotidiana.</v>
      </c>
      <c r="I989" t="str">
        <f>_xlfn.XLOOKUP(frasest[[#This Row],[author_es]],autorest[author_es],autorest[bio_la])</f>
        <v>Collectio sententiarum Hispanicarum.</v>
      </c>
      <c r="J989" t="str">
        <f>_xlfn.XLOOKUP(frasest[[#This Row],[author_es]],autorest[author_es],autorest[iso3691])</f>
        <v>es</v>
      </c>
      <c r="K989" t="str">
        <f>_xlfn.XLOOKUP(frasest[[#This Row],[author_es]],autorest[author_es],autorest[language_es])</f>
        <v>Español</v>
      </c>
      <c r="L989" t="str">
        <f>_xlfn.XLOOKUP(frasest[[#This Row],[author_es]],autorest[author_es],autorest[language_la])</f>
        <v>Lingua Hispanica</v>
      </c>
      <c r="M989" t="str">
        <f>_xlfn.XLOOKUP(frasest[[#This Row],[author_es]],autorest[author_es],autorest[nation_es])</f>
        <v>España</v>
      </c>
      <c r="N989" t="str">
        <f>_xlfn.XLOOKUP(frasest[[#This Row],[author_es]],autorest[author_es],autorest[nation_la])</f>
        <v>Hispania</v>
      </c>
      <c r="O989" t="str">
        <f>_xlfn.XLOOKUP(frasest[[#This Row],[author_es]],autorest[author_es],autorest[age_es])</f>
        <v>Epoca Desconocida</v>
      </c>
      <c r="P989" t="str">
        <f>_xlfn.XLOOKUP(frasest[[#This Row],[author_es]],autorest[author_es],autorest[age_la])</f>
        <v>Epocha Ignota</v>
      </c>
      <c r="Q989" t="str">
        <f>_xlfn.XLOOKUP(frasest[[#This Row],[author_es]],autorest[author_es],autorest[image])</f>
        <v>https://i.ibb.co/Y4f7TZWm/espa-a.png</v>
      </c>
      <c r="R989">
        <f>_xlfn.XLOOKUP(frasest[[#This Row],[author_es]],autorest[author_es],autorest[image_atr])</f>
        <v>0</v>
      </c>
    </row>
    <row r="990" spans="1:18">
      <c r="A990">
        <v>989</v>
      </c>
      <c r="B990" t="s">
        <v>3141</v>
      </c>
      <c r="C990" t="s">
        <v>3142</v>
      </c>
      <c r="D990" t="s">
        <v>3141</v>
      </c>
      <c r="E990" t="s">
        <v>24</v>
      </c>
      <c r="G990" t="str">
        <f>_xlfn.XLOOKUP(frasest[[#This Row],[author_es]],autorest[author_es],autorest[author_la])</f>
        <v>Sententia Hispanica</v>
      </c>
      <c r="H990" t="str">
        <f>_xlfn.XLOOKUP(frasest[[#This Row],[author_es]],autorest[author_es],autorest[bio_es])</f>
        <v>Refranes populares de la tradición oral hispana que expresan de forma breve y ingeniosa enseñanzas prácticas sobre la vida cotidiana.</v>
      </c>
      <c r="I990" t="str">
        <f>_xlfn.XLOOKUP(frasest[[#This Row],[author_es]],autorest[author_es],autorest[bio_la])</f>
        <v>Collectio sententiarum Hispanicarum.</v>
      </c>
      <c r="J990" t="str">
        <f>_xlfn.XLOOKUP(frasest[[#This Row],[author_es]],autorest[author_es],autorest[iso3691])</f>
        <v>es</v>
      </c>
      <c r="K990" t="str">
        <f>_xlfn.XLOOKUP(frasest[[#This Row],[author_es]],autorest[author_es],autorest[language_es])</f>
        <v>Español</v>
      </c>
      <c r="L990" t="str">
        <f>_xlfn.XLOOKUP(frasest[[#This Row],[author_es]],autorest[author_es],autorest[language_la])</f>
        <v>Lingua Hispanica</v>
      </c>
      <c r="M990" t="str">
        <f>_xlfn.XLOOKUP(frasest[[#This Row],[author_es]],autorest[author_es],autorest[nation_es])</f>
        <v>España</v>
      </c>
      <c r="N990" t="str">
        <f>_xlfn.XLOOKUP(frasest[[#This Row],[author_es]],autorest[author_es],autorest[nation_la])</f>
        <v>Hispania</v>
      </c>
      <c r="O990" t="str">
        <f>_xlfn.XLOOKUP(frasest[[#This Row],[author_es]],autorest[author_es],autorest[age_es])</f>
        <v>Epoca Desconocida</v>
      </c>
      <c r="P990" t="str">
        <f>_xlfn.XLOOKUP(frasest[[#This Row],[author_es]],autorest[author_es],autorest[age_la])</f>
        <v>Epocha Ignota</v>
      </c>
      <c r="Q990" t="str">
        <f>_xlfn.XLOOKUP(frasest[[#This Row],[author_es]],autorest[author_es],autorest[image])</f>
        <v>https://i.ibb.co/Y4f7TZWm/espa-a.png</v>
      </c>
      <c r="R990">
        <f>_xlfn.XLOOKUP(frasest[[#This Row],[author_es]],autorest[author_es],autorest[image_atr])</f>
        <v>0</v>
      </c>
    </row>
    <row r="991" spans="1:18">
      <c r="A991">
        <v>990</v>
      </c>
      <c r="B991" t="s">
        <v>3143</v>
      </c>
      <c r="C991" t="s">
        <v>3144</v>
      </c>
      <c r="D991" t="s">
        <v>3143</v>
      </c>
      <c r="E991" t="s">
        <v>24</v>
      </c>
      <c r="G991" t="str">
        <f>_xlfn.XLOOKUP(frasest[[#This Row],[author_es]],autorest[author_es],autorest[author_la])</f>
        <v>Sententia Hispanica</v>
      </c>
      <c r="H991" t="str">
        <f>_xlfn.XLOOKUP(frasest[[#This Row],[author_es]],autorest[author_es],autorest[bio_es])</f>
        <v>Refranes populares de la tradición oral hispana que expresan de forma breve y ingeniosa enseñanzas prácticas sobre la vida cotidiana.</v>
      </c>
      <c r="I991" t="str">
        <f>_xlfn.XLOOKUP(frasest[[#This Row],[author_es]],autorest[author_es],autorest[bio_la])</f>
        <v>Collectio sententiarum Hispanicarum.</v>
      </c>
      <c r="J991" t="str">
        <f>_xlfn.XLOOKUP(frasest[[#This Row],[author_es]],autorest[author_es],autorest[iso3691])</f>
        <v>es</v>
      </c>
      <c r="K991" t="str">
        <f>_xlfn.XLOOKUP(frasest[[#This Row],[author_es]],autorest[author_es],autorest[language_es])</f>
        <v>Español</v>
      </c>
      <c r="L991" t="str">
        <f>_xlfn.XLOOKUP(frasest[[#This Row],[author_es]],autorest[author_es],autorest[language_la])</f>
        <v>Lingua Hispanica</v>
      </c>
      <c r="M991" t="str">
        <f>_xlfn.XLOOKUP(frasest[[#This Row],[author_es]],autorest[author_es],autorest[nation_es])</f>
        <v>España</v>
      </c>
      <c r="N991" t="str">
        <f>_xlfn.XLOOKUP(frasest[[#This Row],[author_es]],autorest[author_es],autorest[nation_la])</f>
        <v>Hispania</v>
      </c>
      <c r="O991" t="str">
        <f>_xlfn.XLOOKUP(frasest[[#This Row],[author_es]],autorest[author_es],autorest[age_es])</f>
        <v>Epoca Desconocida</v>
      </c>
      <c r="P991" t="str">
        <f>_xlfn.XLOOKUP(frasest[[#This Row],[author_es]],autorest[author_es],autorest[age_la])</f>
        <v>Epocha Ignota</v>
      </c>
      <c r="Q991" t="str">
        <f>_xlfn.XLOOKUP(frasest[[#This Row],[author_es]],autorest[author_es],autorest[image])</f>
        <v>https://i.ibb.co/Y4f7TZWm/espa-a.png</v>
      </c>
      <c r="R991">
        <f>_xlfn.XLOOKUP(frasest[[#This Row],[author_es]],autorest[author_es],autorest[image_atr])</f>
        <v>0</v>
      </c>
    </row>
    <row r="992" spans="1:18">
      <c r="A992">
        <v>991</v>
      </c>
      <c r="B992" t="s">
        <v>3145</v>
      </c>
      <c r="C992" t="s">
        <v>3146</v>
      </c>
      <c r="D992" t="s">
        <v>3145</v>
      </c>
      <c r="E992" t="s">
        <v>24</v>
      </c>
      <c r="G992" t="str">
        <f>_xlfn.XLOOKUP(frasest[[#This Row],[author_es]],autorest[author_es],autorest[author_la])</f>
        <v>Sententia Hispanica</v>
      </c>
      <c r="H992" t="str">
        <f>_xlfn.XLOOKUP(frasest[[#This Row],[author_es]],autorest[author_es],autorest[bio_es])</f>
        <v>Refranes populares de la tradición oral hispana que expresan de forma breve y ingeniosa enseñanzas prácticas sobre la vida cotidiana.</v>
      </c>
      <c r="I992" t="str">
        <f>_xlfn.XLOOKUP(frasest[[#This Row],[author_es]],autorest[author_es],autorest[bio_la])</f>
        <v>Collectio sententiarum Hispanicarum.</v>
      </c>
      <c r="J992" t="str">
        <f>_xlfn.XLOOKUP(frasest[[#This Row],[author_es]],autorest[author_es],autorest[iso3691])</f>
        <v>es</v>
      </c>
      <c r="K992" t="str">
        <f>_xlfn.XLOOKUP(frasest[[#This Row],[author_es]],autorest[author_es],autorest[language_es])</f>
        <v>Español</v>
      </c>
      <c r="L992" t="str">
        <f>_xlfn.XLOOKUP(frasest[[#This Row],[author_es]],autorest[author_es],autorest[language_la])</f>
        <v>Lingua Hispanica</v>
      </c>
      <c r="M992" t="str">
        <f>_xlfn.XLOOKUP(frasest[[#This Row],[author_es]],autorest[author_es],autorest[nation_es])</f>
        <v>España</v>
      </c>
      <c r="N992" t="str">
        <f>_xlfn.XLOOKUP(frasest[[#This Row],[author_es]],autorest[author_es],autorest[nation_la])</f>
        <v>Hispania</v>
      </c>
      <c r="O992" t="str">
        <f>_xlfn.XLOOKUP(frasest[[#This Row],[author_es]],autorest[author_es],autorest[age_es])</f>
        <v>Epoca Desconocida</v>
      </c>
      <c r="P992" t="str">
        <f>_xlfn.XLOOKUP(frasest[[#This Row],[author_es]],autorest[author_es],autorest[age_la])</f>
        <v>Epocha Ignota</v>
      </c>
      <c r="Q992" t="str">
        <f>_xlfn.XLOOKUP(frasest[[#This Row],[author_es]],autorest[author_es],autorest[image])</f>
        <v>https://i.ibb.co/Y4f7TZWm/espa-a.png</v>
      </c>
      <c r="R992">
        <f>_xlfn.XLOOKUP(frasest[[#This Row],[author_es]],autorest[author_es],autorest[image_atr])</f>
        <v>0</v>
      </c>
    </row>
    <row r="993" spans="1:18">
      <c r="A993">
        <v>992</v>
      </c>
      <c r="B993" t="s">
        <v>3147</v>
      </c>
      <c r="C993" t="s">
        <v>3148</v>
      </c>
      <c r="D993" t="s">
        <v>3147</v>
      </c>
      <c r="E993" t="s">
        <v>24</v>
      </c>
      <c r="G993" t="str">
        <f>_xlfn.XLOOKUP(frasest[[#This Row],[author_es]],autorest[author_es],autorest[author_la])</f>
        <v>Sententia Hispanica</v>
      </c>
      <c r="H993" t="str">
        <f>_xlfn.XLOOKUP(frasest[[#This Row],[author_es]],autorest[author_es],autorest[bio_es])</f>
        <v>Refranes populares de la tradición oral hispana que expresan de forma breve y ingeniosa enseñanzas prácticas sobre la vida cotidiana.</v>
      </c>
      <c r="I993" t="str">
        <f>_xlfn.XLOOKUP(frasest[[#This Row],[author_es]],autorest[author_es],autorest[bio_la])</f>
        <v>Collectio sententiarum Hispanicarum.</v>
      </c>
      <c r="J993" t="str">
        <f>_xlfn.XLOOKUP(frasest[[#This Row],[author_es]],autorest[author_es],autorest[iso3691])</f>
        <v>es</v>
      </c>
      <c r="K993" t="str">
        <f>_xlfn.XLOOKUP(frasest[[#This Row],[author_es]],autorest[author_es],autorest[language_es])</f>
        <v>Español</v>
      </c>
      <c r="L993" t="str">
        <f>_xlfn.XLOOKUP(frasest[[#This Row],[author_es]],autorest[author_es],autorest[language_la])</f>
        <v>Lingua Hispanica</v>
      </c>
      <c r="M993" t="str">
        <f>_xlfn.XLOOKUP(frasest[[#This Row],[author_es]],autorest[author_es],autorest[nation_es])</f>
        <v>España</v>
      </c>
      <c r="N993" t="str">
        <f>_xlfn.XLOOKUP(frasest[[#This Row],[author_es]],autorest[author_es],autorest[nation_la])</f>
        <v>Hispania</v>
      </c>
      <c r="O993" t="str">
        <f>_xlfn.XLOOKUP(frasest[[#This Row],[author_es]],autorest[author_es],autorest[age_es])</f>
        <v>Epoca Desconocida</v>
      </c>
      <c r="P993" t="str">
        <f>_xlfn.XLOOKUP(frasest[[#This Row],[author_es]],autorest[author_es],autorest[age_la])</f>
        <v>Epocha Ignota</v>
      </c>
      <c r="Q993" t="str">
        <f>_xlfn.XLOOKUP(frasest[[#This Row],[author_es]],autorest[author_es],autorest[image])</f>
        <v>https://i.ibb.co/Y4f7TZWm/espa-a.png</v>
      </c>
      <c r="R993">
        <f>_xlfn.XLOOKUP(frasest[[#This Row],[author_es]],autorest[author_es],autorest[image_atr])</f>
        <v>0</v>
      </c>
    </row>
    <row r="994" spans="1:18">
      <c r="A994">
        <v>993</v>
      </c>
      <c r="B994" t="s">
        <v>2575</v>
      </c>
      <c r="C994" t="s">
        <v>2576</v>
      </c>
      <c r="D994" t="s">
        <v>2575</v>
      </c>
      <c r="E994" t="s">
        <v>24</v>
      </c>
      <c r="G994" t="str">
        <f>_xlfn.XLOOKUP(frasest[[#This Row],[author_es]],autorest[author_es],autorest[author_la])</f>
        <v>Sententia Hispanica</v>
      </c>
      <c r="H994" t="str">
        <f>_xlfn.XLOOKUP(frasest[[#This Row],[author_es]],autorest[author_es],autorest[bio_es])</f>
        <v>Refranes populares de la tradición oral hispana que expresan de forma breve y ingeniosa enseñanzas prácticas sobre la vida cotidiana.</v>
      </c>
      <c r="I994" t="str">
        <f>_xlfn.XLOOKUP(frasest[[#This Row],[author_es]],autorest[author_es],autorest[bio_la])</f>
        <v>Collectio sententiarum Hispanicarum.</v>
      </c>
      <c r="J994" t="str">
        <f>_xlfn.XLOOKUP(frasest[[#This Row],[author_es]],autorest[author_es],autorest[iso3691])</f>
        <v>es</v>
      </c>
      <c r="K994" t="str">
        <f>_xlfn.XLOOKUP(frasest[[#This Row],[author_es]],autorest[author_es],autorest[language_es])</f>
        <v>Español</v>
      </c>
      <c r="L994" t="str">
        <f>_xlfn.XLOOKUP(frasest[[#This Row],[author_es]],autorest[author_es],autorest[language_la])</f>
        <v>Lingua Hispanica</v>
      </c>
      <c r="M994" t="str">
        <f>_xlfn.XLOOKUP(frasest[[#This Row],[author_es]],autorest[author_es],autorest[nation_es])</f>
        <v>España</v>
      </c>
      <c r="N994" t="str">
        <f>_xlfn.XLOOKUP(frasest[[#This Row],[author_es]],autorest[author_es],autorest[nation_la])</f>
        <v>Hispania</v>
      </c>
      <c r="O994" t="str">
        <f>_xlfn.XLOOKUP(frasest[[#This Row],[author_es]],autorest[author_es],autorest[age_es])</f>
        <v>Epoca Desconocida</v>
      </c>
      <c r="P994" t="str">
        <f>_xlfn.XLOOKUP(frasest[[#This Row],[author_es]],autorest[author_es],autorest[age_la])</f>
        <v>Epocha Ignota</v>
      </c>
      <c r="Q994" t="str">
        <f>_xlfn.XLOOKUP(frasest[[#This Row],[author_es]],autorest[author_es],autorest[image])</f>
        <v>https://i.ibb.co/Y4f7TZWm/espa-a.png</v>
      </c>
      <c r="R994">
        <f>_xlfn.XLOOKUP(frasest[[#This Row],[author_es]],autorest[author_es],autorest[image_atr])</f>
        <v>0</v>
      </c>
    </row>
    <row r="995" spans="1:18">
      <c r="A995">
        <v>994</v>
      </c>
      <c r="B995" t="s">
        <v>3149</v>
      </c>
      <c r="C995" t="s">
        <v>3150</v>
      </c>
      <c r="D995" t="s">
        <v>3149</v>
      </c>
      <c r="E995" t="s">
        <v>24</v>
      </c>
      <c r="G995" t="str">
        <f>_xlfn.XLOOKUP(frasest[[#This Row],[author_es]],autorest[author_es],autorest[author_la])</f>
        <v>Sententia Hispanica</v>
      </c>
      <c r="H995" t="str">
        <f>_xlfn.XLOOKUP(frasest[[#This Row],[author_es]],autorest[author_es],autorest[bio_es])</f>
        <v>Refranes populares de la tradición oral hispana que expresan de forma breve y ingeniosa enseñanzas prácticas sobre la vida cotidiana.</v>
      </c>
      <c r="I995" t="str">
        <f>_xlfn.XLOOKUP(frasest[[#This Row],[author_es]],autorest[author_es],autorest[bio_la])</f>
        <v>Collectio sententiarum Hispanicarum.</v>
      </c>
      <c r="J995" t="str">
        <f>_xlfn.XLOOKUP(frasest[[#This Row],[author_es]],autorest[author_es],autorest[iso3691])</f>
        <v>es</v>
      </c>
      <c r="K995" t="str">
        <f>_xlfn.XLOOKUP(frasest[[#This Row],[author_es]],autorest[author_es],autorest[language_es])</f>
        <v>Español</v>
      </c>
      <c r="L995" t="str">
        <f>_xlfn.XLOOKUP(frasest[[#This Row],[author_es]],autorest[author_es],autorest[language_la])</f>
        <v>Lingua Hispanica</v>
      </c>
      <c r="M995" t="str">
        <f>_xlfn.XLOOKUP(frasest[[#This Row],[author_es]],autorest[author_es],autorest[nation_es])</f>
        <v>España</v>
      </c>
      <c r="N995" t="str">
        <f>_xlfn.XLOOKUP(frasest[[#This Row],[author_es]],autorest[author_es],autorest[nation_la])</f>
        <v>Hispania</v>
      </c>
      <c r="O995" t="str">
        <f>_xlfn.XLOOKUP(frasest[[#This Row],[author_es]],autorest[author_es],autorest[age_es])</f>
        <v>Epoca Desconocida</v>
      </c>
      <c r="P995" t="str">
        <f>_xlfn.XLOOKUP(frasest[[#This Row],[author_es]],autorest[author_es],autorest[age_la])</f>
        <v>Epocha Ignota</v>
      </c>
      <c r="Q995" t="str">
        <f>_xlfn.XLOOKUP(frasest[[#This Row],[author_es]],autorest[author_es],autorest[image])</f>
        <v>https://i.ibb.co/Y4f7TZWm/espa-a.png</v>
      </c>
      <c r="R995">
        <f>_xlfn.XLOOKUP(frasest[[#This Row],[author_es]],autorest[author_es],autorest[image_atr])</f>
        <v>0</v>
      </c>
    </row>
    <row r="996" spans="1:18">
      <c r="A996">
        <v>995</v>
      </c>
      <c r="B996" t="s">
        <v>3151</v>
      </c>
      <c r="C996" t="s">
        <v>3152</v>
      </c>
      <c r="D996" t="s">
        <v>3151</v>
      </c>
      <c r="E996" t="s">
        <v>24</v>
      </c>
      <c r="G996" t="str">
        <f>_xlfn.XLOOKUP(frasest[[#This Row],[author_es]],autorest[author_es],autorest[author_la])</f>
        <v>Sententia Hispanica</v>
      </c>
      <c r="H996" t="str">
        <f>_xlfn.XLOOKUP(frasest[[#This Row],[author_es]],autorest[author_es],autorest[bio_es])</f>
        <v>Refranes populares de la tradición oral hispana que expresan de forma breve y ingeniosa enseñanzas prácticas sobre la vida cotidiana.</v>
      </c>
      <c r="I996" t="str">
        <f>_xlfn.XLOOKUP(frasest[[#This Row],[author_es]],autorest[author_es],autorest[bio_la])</f>
        <v>Collectio sententiarum Hispanicarum.</v>
      </c>
      <c r="J996" t="str">
        <f>_xlfn.XLOOKUP(frasest[[#This Row],[author_es]],autorest[author_es],autorest[iso3691])</f>
        <v>es</v>
      </c>
      <c r="K996" t="str">
        <f>_xlfn.XLOOKUP(frasest[[#This Row],[author_es]],autorest[author_es],autorest[language_es])</f>
        <v>Español</v>
      </c>
      <c r="L996" t="str">
        <f>_xlfn.XLOOKUP(frasest[[#This Row],[author_es]],autorest[author_es],autorest[language_la])</f>
        <v>Lingua Hispanica</v>
      </c>
      <c r="M996" t="str">
        <f>_xlfn.XLOOKUP(frasest[[#This Row],[author_es]],autorest[author_es],autorest[nation_es])</f>
        <v>España</v>
      </c>
      <c r="N996" t="str">
        <f>_xlfn.XLOOKUP(frasest[[#This Row],[author_es]],autorest[author_es],autorest[nation_la])</f>
        <v>Hispania</v>
      </c>
      <c r="O996" t="str">
        <f>_xlfn.XLOOKUP(frasest[[#This Row],[author_es]],autorest[author_es],autorest[age_es])</f>
        <v>Epoca Desconocida</v>
      </c>
      <c r="P996" t="str">
        <f>_xlfn.XLOOKUP(frasest[[#This Row],[author_es]],autorest[author_es],autorest[age_la])</f>
        <v>Epocha Ignota</v>
      </c>
      <c r="Q996" t="str">
        <f>_xlfn.XLOOKUP(frasest[[#This Row],[author_es]],autorest[author_es],autorest[image])</f>
        <v>https://i.ibb.co/Y4f7TZWm/espa-a.png</v>
      </c>
      <c r="R996">
        <f>_xlfn.XLOOKUP(frasest[[#This Row],[author_es]],autorest[author_es],autorest[image_atr])</f>
        <v>0</v>
      </c>
    </row>
    <row r="997" spans="1:18">
      <c r="A997">
        <v>996</v>
      </c>
      <c r="B997" t="s">
        <v>3153</v>
      </c>
      <c r="C997" t="s">
        <v>3154</v>
      </c>
      <c r="D997" t="s">
        <v>3153</v>
      </c>
      <c r="E997" t="s">
        <v>24</v>
      </c>
      <c r="G997" t="str">
        <f>_xlfn.XLOOKUP(frasest[[#This Row],[author_es]],autorest[author_es],autorest[author_la])</f>
        <v>Sententia Hispanica</v>
      </c>
      <c r="H997" t="str">
        <f>_xlfn.XLOOKUP(frasest[[#This Row],[author_es]],autorest[author_es],autorest[bio_es])</f>
        <v>Refranes populares de la tradición oral hispana que expresan de forma breve y ingeniosa enseñanzas prácticas sobre la vida cotidiana.</v>
      </c>
      <c r="I997" t="str">
        <f>_xlfn.XLOOKUP(frasest[[#This Row],[author_es]],autorest[author_es],autorest[bio_la])</f>
        <v>Collectio sententiarum Hispanicarum.</v>
      </c>
      <c r="J997" t="str">
        <f>_xlfn.XLOOKUP(frasest[[#This Row],[author_es]],autorest[author_es],autorest[iso3691])</f>
        <v>es</v>
      </c>
      <c r="K997" t="str">
        <f>_xlfn.XLOOKUP(frasest[[#This Row],[author_es]],autorest[author_es],autorest[language_es])</f>
        <v>Español</v>
      </c>
      <c r="L997" t="str">
        <f>_xlfn.XLOOKUP(frasest[[#This Row],[author_es]],autorest[author_es],autorest[language_la])</f>
        <v>Lingua Hispanica</v>
      </c>
      <c r="M997" t="str">
        <f>_xlfn.XLOOKUP(frasest[[#This Row],[author_es]],autorest[author_es],autorest[nation_es])</f>
        <v>España</v>
      </c>
      <c r="N997" t="str">
        <f>_xlfn.XLOOKUP(frasest[[#This Row],[author_es]],autorest[author_es],autorest[nation_la])</f>
        <v>Hispania</v>
      </c>
      <c r="O997" t="str">
        <f>_xlfn.XLOOKUP(frasest[[#This Row],[author_es]],autorest[author_es],autorest[age_es])</f>
        <v>Epoca Desconocida</v>
      </c>
      <c r="P997" t="str">
        <f>_xlfn.XLOOKUP(frasest[[#This Row],[author_es]],autorest[author_es],autorest[age_la])</f>
        <v>Epocha Ignota</v>
      </c>
      <c r="Q997" t="str">
        <f>_xlfn.XLOOKUP(frasest[[#This Row],[author_es]],autorest[author_es],autorest[image])</f>
        <v>https://i.ibb.co/Y4f7TZWm/espa-a.png</v>
      </c>
      <c r="R997">
        <f>_xlfn.XLOOKUP(frasest[[#This Row],[author_es]],autorest[author_es],autorest[image_atr])</f>
        <v>0</v>
      </c>
    </row>
    <row r="998" spans="1:18">
      <c r="A998">
        <v>997</v>
      </c>
      <c r="B998" t="s">
        <v>3155</v>
      </c>
      <c r="C998" t="s">
        <v>3156</v>
      </c>
      <c r="D998" t="s">
        <v>3155</v>
      </c>
      <c r="E998" t="s">
        <v>24</v>
      </c>
      <c r="G998" t="str">
        <f>_xlfn.XLOOKUP(frasest[[#This Row],[author_es]],autorest[author_es],autorest[author_la])</f>
        <v>Sententia Hispanica</v>
      </c>
      <c r="H998" t="str">
        <f>_xlfn.XLOOKUP(frasest[[#This Row],[author_es]],autorest[author_es],autorest[bio_es])</f>
        <v>Refranes populares de la tradición oral hispana que expresan de forma breve y ingeniosa enseñanzas prácticas sobre la vida cotidiana.</v>
      </c>
      <c r="I998" t="str">
        <f>_xlfn.XLOOKUP(frasest[[#This Row],[author_es]],autorest[author_es],autorest[bio_la])</f>
        <v>Collectio sententiarum Hispanicarum.</v>
      </c>
      <c r="J998" t="str">
        <f>_xlfn.XLOOKUP(frasest[[#This Row],[author_es]],autorest[author_es],autorest[iso3691])</f>
        <v>es</v>
      </c>
      <c r="K998" t="str">
        <f>_xlfn.XLOOKUP(frasest[[#This Row],[author_es]],autorest[author_es],autorest[language_es])</f>
        <v>Español</v>
      </c>
      <c r="L998" t="str">
        <f>_xlfn.XLOOKUP(frasest[[#This Row],[author_es]],autorest[author_es],autorest[language_la])</f>
        <v>Lingua Hispanica</v>
      </c>
      <c r="M998" t="str">
        <f>_xlfn.XLOOKUP(frasest[[#This Row],[author_es]],autorest[author_es],autorest[nation_es])</f>
        <v>España</v>
      </c>
      <c r="N998" t="str">
        <f>_xlfn.XLOOKUP(frasest[[#This Row],[author_es]],autorest[author_es],autorest[nation_la])</f>
        <v>Hispania</v>
      </c>
      <c r="O998" t="str">
        <f>_xlfn.XLOOKUP(frasest[[#This Row],[author_es]],autorest[author_es],autorest[age_es])</f>
        <v>Epoca Desconocida</v>
      </c>
      <c r="P998" t="str">
        <f>_xlfn.XLOOKUP(frasest[[#This Row],[author_es]],autorest[author_es],autorest[age_la])</f>
        <v>Epocha Ignota</v>
      </c>
      <c r="Q998" t="str">
        <f>_xlfn.XLOOKUP(frasest[[#This Row],[author_es]],autorest[author_es],autorest[image])</f>
        <v>https://i.ibb.co/Y4f7TZWm/espa-a.png</v>
      </c>
      <c r="R998">
        <f>_xlfn.XLOOKUP(frasest[[#This Row],[author_es]],autorest[author_es],autorest[image_atr])</f>
        <v>0</v>
      </c>
    </row>
    <row r="999" spans="1:18">
      <c r="A999">
        <v>998</v>
      </c>
      <c r="B999" t="s">
        <v>3157</v>
      </c>
      <c r="C999" t="s">
        <v>3158</v>
      </c>
      <c r="D999" t="s">
        <v>3157</v>
      </c>
      <c r="E999" t="s">
        <v>24</v>
      </c>
      <c r="G999" t="str">
        <f>_xlfn.XLOOKUP(frasest[[#This Row],[author_es]],autorest[author_es],autorest[author_la])</f>
        <v>Sententia Hispanica</v>
      </c>
      <c r="H999" t="str">
        <f>_xlfn.XLOOKUP(frasest[[#This Row],[author_es]],autorest[author_es],autorest[bio_es])</f>
        <v>Refranes populares de la tradición oral hispana que expresan de forma breve y ingeniosa enseñanzas prácticas sobre la vida cotidiana.</v>
      </c>
      <c r="I999" t="str">
        <f>_xlfn.XLOOKUP(frasest[[#This Row],[author_es]],autorest[author_es],autorest[bio_la])</f>
        <v>Collectio sententiarum Hispanicarum.</v>
      </c>
      <c r="J999" t="str">
        <f>_xlfn.XLOOKUP(frasest[[#This Row],[author_es]],autorest[author_es],autorest[iso3691])</f>
        <v>es</v>
      </c>
      <c r="K999" t="str">
        <f>_xlfn.XLOOKUP(frasest[[#This Row],[author_es]],autorest[author_es],autorest[language_es])</f>
        <v>Español</v>
      </c>
      <c r="L999" t="str">
        <f>_xlfn.XLOOKUP(frasest[[#This Row],[author_es]],autorest[author_es],autorest[language_la])</f>
        <v>Lingua Hispanica</v>
      </c>
      <c r="M999" t="str">
        <f>_xlfn.XLOOKUP(frasest[[#This Row],[author_es]],autorest[author_es],autorest[nation_es])</f>
        <v>España</v>
      </c>
      <c r="N999" t="str">
        <f>_xlfn.XLOOKUP(frasest[[#This Row],[author_es]],autorest[author_es],autorest[nation_la])</f>
        <v>Hispania</v>
      </c>
      <c r="O999" t="str">
        <f>_xlfn.XLOOKUP(frasest[[#This Row],[author_es]],autorest[author_es],autorest[age_es])</f>
        <v>Epoca Desconocida</v>
      </c>
      <c r="P999" t="str">
        <f>_xlfn.XLOOKUP(frasest[[#This Row],[author_es]],autorest[author_es],autorest[age_la])</f>
        <v>Epocha Ignota</v>
      </c>
      <c r="Q999" t="str">
        <f>_xlfn.XLOOKUP(frasest[[#This Row],[author_es]],autorest[author_es],autorest[image])</f>
        <v>https://i.ibb.co/Y4f7TZWm/espa-a.png</v>
      </c>
      <c r="R999">
        <f>_xlfn.XLOOKUP(frasest[[#This Row],[author_es]],autorest[author_es],autorest[image_atr])</f>
        <v>0</v>
      </c>
    </row>
    <row r="1000" spans="1:18">
      <c r="A1000">
        <v>999</v>
      </c>
      <c r="B1000" t="s">
        <v>3159</v>
      </c>
      <c r="C1000" t="s">
        <v>3160</v>
      </c>
      <c r="D1000" t="s">
        <v>3159</v>
      </c>
      <c r="E1000" t="s">
        <v>24</v>
      </c>
      <c r="G1000" t="str">
        <f>_xlfn.XLOOKUP(frasest[[#This Row],[author_es]],autorest[author_es],autorest[author_la])</f>
        <v>Sententia Hispanica</v>
      </c>
      <c r="H1000" t="str">
        <f>_xlfn.XLOOKUP(frasest[[#This Row],[author_es]],autorest[author_es],autorest[bio_es])</f>
        <v>Refranes populares de la tradición oral hispana que expresan de forma breve y ingeniosa enseñanzas prácticas sobre la vida cotidiana.</v>
      </c>
      <c r="I1000" t="str">
        <f>_xlfn.XLOOKUP(frasest[[#This Row],[author_es]],autorest[author_es],autorest[bio_la])</f>
        <v>Collectio sententiarum Hispanicarum.</v>
      </c>
      <c r="J1000" t="str">
        <f>_xlfn.XLOOKUP(frasest[[#This Row],[author_es]],autorest[author_es],autorest[iso3691])</f>
        <v>es</v>
      </c>
      <c r="K1000" t="str">
        <f>_xlfn.XLOOKUP(frasest[[#This Row],[author_es]],autorest[author_es],autorest[language_es])</f>
        <v>Español</v>
      </c>
      <c r="L1000" t="str">
        <f>_xlfn.XLOOKUP(frasest[[#This Row],[author_es]],autorest[author_es],autorest[language_la])</f>
        <v>Lingua Hispanica</v>
      </c>
      <c r="M1000" t="str">
        <f>_xlfn.XLOOKUP(frasest[[#This Row],[author_es]],autorest[author_es],autorest[nation_es])</f>
        <v>España</v>
      </c>
      <c r="N1000" t="str">
        <f>_xlfn.XLOOKUP(frasest[[#This Row],[author_es]],autorest[author_es],autorest[nation_la])</f>
        <v>Hispania</v>
      </c>
      <c r="O1000" t="str">
        <f>_xlfn.XLOOKUP(frasest[[#This Row],[author_es]],autorest[author_es],autorest[age_es])</f>
        <v>Epoca Desconocida</v>
      </c>
      <c r="P1000" t="str">
        <f>_xlfn.XLOOKUP(frasest[[#This Row],[author_es]],autorest[author_es],autorest[age_la])</f>
        <v>Epocha Ignota</v>
      </c>
      <c r="Q1000" t="str">
        <f>_xlfn.XLOOKUP(frasest[[#This Row],[author_es]],autorest[author_es],autorest[image])</f>
        <v>https://i.ibb.co/Y4f7TZWm/espa-a.png</v>
      </c>
      <c r="R1000">
        <f>_xlfn.XLOOKUP(frasest[[#This Row],[author_es]],autorest[author_es],autorest[image_atr])</f>
        <v>0</v>
      </c>
    </row>
    <row r="1001" spans="1:18">
      <c r="A1001">
        <v>1000</v>
      </c>
      <c r="B1001" t="s">
        <v>3161</v>
      </c>
      <c r="C1001" t="s">
        <v>3162</v>
      </c>
      <c r="D1001" t="s">
        <v>3161</v>
      </c>
      <c r="E1001" t="s">
        <v>24</v>
      </c>
      <c r="G1001" t="str">
        <f>_xlfn.XLOOKUP(frasest[[#This Row],[author_es]],autorest[author_es],autorest[author_la])</f>
        <v>Sententia Hispanica</v>
      </c>
      <c r="H1001" t="str">
        <f>_xlfn.XLOOKUP(frasest[[#This Row],[author_es]],autorest[author_es],autorest[bio_es])</f>
        <v>Refranes populares de la tradición oral hispana que expresan de forma breve y ingeniosa enseñanzas prácticas sobre la vida cotidiana.</v>
      </c>
      <c r="I1001" t="str">
        <f>_xlfn.XLOOKUP(frasest[[#This Row],[author_es]],autorest[author_es],autorest[bio_la])</f>
        <v>Collectio sententiarum Hispanicarum.</v>
      </c>
      <c r="J1001" t="str">
        <f>_xlfn.XLOOKUP(frasest[[#This Row],[author_es]],autorest[author_es],autorest[iso3691])</f>
        <v>es</v>
      </c>
      <c r="K1001" t="str">
        <f>_xlfn.XLOOKUP(frasest[[#This Row],[author_es]],autorest[author_es],autorest[language_es])</f>
        <v>Español</v>
      </c>
      <c r="L1001" t="str">
        <f>_xlfn.XLOOKUP(frasest[[#This Row],[author_es]],autorest[author_es],autorest[language_la])</f>
        <v>Lingua Hispanica</v>
      </c>
      <c r="M1001" t="str">
        <f>_xlfn.XLOOKUP(frasest[[#This Row],[author_es]],autorest[author_es],autorest[nation_es])</f>
        <v>España</v>
      </c>
      <c r="N1001" t="str">
        <f>_xlfn.XLOOKUP(frasest[[#This Row],[author_es]],autorest[author_es],autorest[nation_la])</f>
        <v>Hispania</v>
      </c>
      <c r="O1001" t="str">
        <f>_xlfn.XLOOKUP(frasest[[#This Row],[author_es]],autorest[author_es],autorest[age_es])</f>
        <v>Epoca Desconocida</v>
      </c>
      <c r="P1001" t="str">
        <f>_xlfn.XLOOKUP(frasest[[#This Row],[author_es]],autorest[author_es],autorest[age_la])</f>
        <v>Epocha Ignota</v>
      </c>
      <c r="Q1001" t="str">
        <f>_xlfn.XLOOKUP(frasest[[#This Row],[author_es]],autorest[author_es],autorest[image])</f>
        <v>https://i.ibb.co/Y4f7TZWm/espa-a.png</v>
      </c>
      <c r="R1001">
        <f>_xlfn.XLOOKUP(frasest[[#This Row],[author_es]],autorest[author_es],autorest[image_atr])</f>
        <v>0</v>
      </c>
    </row>
    <row r="1002" spans="1:18">
      <c r="A1002">
        <v>1001</v>
      </c>
      <c r="B1002" t="s">
        <v>3163</v>
      </c>
      <c r="C1002" t="s">
        <v>3164</v>
      </c>
      <c r="D1002" t="s">
        <v>3163</v>
      </c>
      <c r="E1002" t="s">
        <v>24</v>
      </c>
      <c r="G1002" t="str">
        <f>_xlfn.XLOOKUP(frasest[[#This Row],[author_es]],autorest[author_es],autorest[author_la])</f>
        <v>Sententia Hispanica</v>
      </c>
      <c r="H1002" t="str">
        <f>_xlfn.XLOOKUP(frasest[[#This Row],[author_es]],autorest[author_es],autorest[bio_es])</f>
        <v>Refranes populares de la tradición oral hispana que expresan de forma breve y ingeniosa enseñanzas prácticas sobre la vida cotidiana.</v>
      </c>
      <c r="I1002" t="str">
        <f>_xlfn.XLOOKUP(frasest[[#This Row],[author_es]],autorest[author_es],autorest[bio_la])</f>
        <v>Collectio sententiarum Hispanicarum.</v>
      </c>
      <c r="J1002" t="str">
        <f>_xlfn.XLOOKUP(frasest[[#This Row],[author_es]],autorest[author_es],autorest[iso3691])</f>
        <v>es</v>
      </c>
      <c r="K1002" t="str">
        <f>_xlfn.XLOOKUP(frasest[[#This Row],[author_es]],autorest[author_es],autorest[language_es])</f>
        <v>Español</v>
      </c>
      <c r="L1002" t="str">
        <f>_xlfn.XLOOKUP(frasest[[#This Row],[author_es]],autorest[author_es],autorest[language_la])</f>
        <v>Lingua Hispanica</v>
      </c>
      <c r="M1002" t="str">
        <f>_xlfn.XLOOKUP(frasest[[#This Row],[author_es]],autorest[author_es],autorest[nation_es])</f>
        <v>España</v>
      </c>
      <c r="N1002" t="str">
        <f>_xlfn.XLOOKUP(frasest[[#This Row],[author_es]],autorest[author_es],autorest[nation_la])</f>
        <v>Hispania</v>
      </c>
      <c r="O1002" t="str">
        <f>_xlfn.XLOOKUP(frasest[[#This Row],[author_es]],autorest[author_es],autorest[age_es])</f>
        <v>Epoca Desconocida</v>
      </c>
      <c r="P1002" t="str">
        <f>_xlfn.XLOOKUP(frasest[[#This Row],[author_es]],autorest[author_es],autorest[age_la])</f>
        <v>Epocha Ignota</v>
      </c>
      <c r="Q1002" t="str">
        <f>_xlfn.XLOOKUP(frasest[[#This Row],[author_es]],autorest[author_es],autorest[image])</f>
        <v>https://i.ibb.co/Y4f7TZWm/espa-a.png</v>
      </c>
      <c r="R1002">
        <f>_xlfn.XLOOKUP(frasest[[#This Row],[author_es]],autorest[author_es],autorest[image_atr])</f>
        <v>0</v>
      </c>
    </row>
    <row r="1003" spans="1:18">
      <c r="A1003">
        <v>1002</v>
      </c>
      <c r="B1003" t="s">
        <v>3165</v>
      </c>
      <c r="C1003" t="s">
        <v>3166</v>
      </c>
      <c r="D1003" t="s">
        <v>3165</v>
      </c>
      <c r="E1003" t="s">
        <v>24</v>
      </c>
      <c r="G1003" t="str">
        <f>_xlfn.XLOOKUP(frasest[[#This Row],[author_es]],autorest[author_es],autorest[author_la])</f>
        <v>Sententia Hispanica</v>
      </c>
      <c r="H1003" t="str">
        <f>_xlfn.XLOOKUP(frasest[[#This Row],[author_es]],autorest[author_es],autorest[bio_es])</f>
        <v>Refranes populares de la tradición oral hispana que expresan de forma breve y ingeniosa enseñanzas prácticas sobre la vida cotidiana.</v>
      </c>
      <c r="I1003" t="str">
        <f>_xlfn.XLOOKUP(frasest[[#This Row],[author_es]],autorest[author_es],autorest[bio_la])</f>
        <v>Collectio sententiarum Hispanicarum.</v>
      </c>
      <c r="J1003" t="str">
        <f>_xlfn.XLOOKUP(frasest[[#This Row],[author_es]],autorest[author_es],autorest[iso3691])</f>
        <v>es</v>
      </c>
      <c r="K1003" t="str">
        <f>_xlfn.XLOOKUP(frasest[[#This Row],[author_es]],autorest[author_es],autorest[language_es])</f>
        <v>Español</v>
      </c>
      <c r="L1003" t="str">
        <f>_xlfn.XLOOKUP(frasest[[#This Row],[author_es]],autorest[author_es],autorest[language_la])</f>
        <v>Lingua Hispanica</v>
      </c>
      <c r="M1003" t="str">
        <f>_xlfn.XLOOKUP(frasest[[#This Row],[author_es]],autorest[author_es],autorest[nation_es])</f>
        <v>España</v>
      </c>
      <c r="N1003" t="str">
        <f>_xlfn.XLOOKUP(frasest[[#This Row],[author_es]],autorest[author_es],autorest[nation_la])</f>
        <v>Hispania</v>
      </c>
      <c r="O1003" t="str">
        <f>_xlfn.XLOOKUP(frasest[[#This Row],[author_es]],autorest[author_es],autorest[age_es])</f>
        <v>Epoca Desconocida</v>
      </c>
      <c r="P1003" t="str">
        <f>_xlfn.XLOOKUP(frasest[[#This Row],[author_es]],autorest[author_es],autorest[age_la])</f>
        <v>Epocha Ignota</v>
      </c>
      <c r="Q1003" t="str">
        <f>_xlfn.XLOOKUP(frasest[[#This Row],[author_es]],autorest[author_es],autorest[image])</f>
        <v>https://i.ibb.co/Y4f7TZWm/espa-a.png</v>
      </c>
      <c r="R1003">
        <f>_xlfn.XLOOKUP(frasest[[#This Row],[author_es]],autorest[author_es],autorest[image_atr])</f>
        <v>0</v>
      </c>
    </row>
    <row r="1004" spans="1:18">
      <c r="A1004">
        <v>1003</v>
      </c>
      <c r="B1004" t="s">
        <v>3167</v>
      </c>
      <c r="C1004" t="s">
        <v>3168</v>
      </c>
      <c r="D1004" t="s">
        <v>3167</v>
      </c>
      <c r="E1004" t="s">
        <v>24</v>
      </c>
      <c r="G1004" t="str">
        <f>_xlfn.XLOOKUP(frasest[[#This Row],[author_es]],autorest[author_es],autorest[author_la])</f>
        <v>Sententia Hispanica</v>
      </c>
      <c r="H1004" t="str">
        <f>_xlfn.XLOOKUP(frasest[[#This Row],[author_es]],autorest[author_es],autorest[bio_es])</f>
        <v>Refranes populares de la tradición oral hispana que expresan de forma breve y ingeniosa enseñanzas prácticas sobre la vida cotidiana.</v>
      </c>
      <c r="I1004" t="str">
        <f>_xlfn.XLOOKUP(frasest[[#This Row],[author_es]],autorest[author_es],autorest[bio_la])</f>
        <v>Collectio sententiarum Hispanicarum.</v>
      </c>
      <c r="J1004" t="str">
        <f>_xlfn.XLOOKUP(frasest[[#This Row],[author_es]],autorest[author_es],autorest[iso3691])</f>
        <v>es</v>
      </c>
      <c r="K1004" t="str">
        <f>_xlfn.XLOOKUP(frasest[[#This Row],[author_es]],autorest[author_es],autorest[language_es])</f>
        <v>Español</v>
      </c>
      <c r="L1004" t="str">
        <f>_xlfn.XLOOKUP(frasest[[#This Row],[author_es]],autorest[author_es],autorest[language_la])</f>
        <v>Lingua Hispanica</v>
      </c>
      <c r="M1004" t="str">
        <f>_xlfn.XLOOKUP(frasest[[#This Row],[author_es]],autorest[author_es],autorest[nation_es])</f>
        <v>España</v>
      </c>
      <c r="N1004" t="str">
        <f>_xlfn.XLOOKUP(frasest[[#This Row],[author_es]],autorest[author_es],autorest[nation_la])</f>
        <v>Hispania</v>
      </c>
      <c r="O1004" t="str">
        <f>_xlfn.XLOOKUP(frasest[[#This Row],[author_es]],autorest[author_es],autorest[age_es])</f>
        <v>Epoca Desconocida</v>
      </c>
      <c r="P1004" t="str">
        <f>_xlfn.XLOOKUP(frasest[[#This Row],[author_es]],autorest[author_es],autorest[age_la])</f>
        <v>Epocha Ignota</v>
      </c>
      <c r="Q1004" t="str">
        <f>_xlfn.XLOOKUP(frasest[[#This Row],[author_es]],autorest[author_es],autorest[image])</f>
        <v>https://i.ibb.co/Y4f7TZWm/espa-a.png</v>
      </c>
      <c r="R1004">
        <f>_xlfn.XLOOKUP(frasest[[#This Row],[author_es]],autorest[author_es],autorest[image_atr])</f>
        <v>0</v>
      </c>
    </row>
    <row r="1005" spans="1:18">
      <c r="A1005">
        <v>1004</v>
      </c>
      <c r="B1005" t="s">
        <v>3169</v>
      </c>
      <c r="C1005" t="s">
        <v>3170</v>
      </c>
      <c r="D1005" t="s">
        <v>3169</v>
      </c>
      <c r="E1005" t="s">
        <v>24</v>
      </c>
      <c r="G1005" t="str">
        <f>_xlfn.XLOOKUP(frasest[[#This Row],[author_es]],autorest[author_es],autorest[author_la])</f>
        <v>Sententia Hispanica</v>
      </c>
      <c r="H1005" t="str">
        <f>_xlfn.XLOOKUP(frasest[[#This Row],[author_es]],autorest[author_es],autorest[bio_es])</f>
        <v>Refranes populares de la tradición oral hispana que expresan de forma breve y ingeniosa enseñanzas prácticas sobre la vida cotidiana.</v>
      </c>
      <c r="I1005" t="str">
        <f>_xlfn.XLOOKUP(frasest[[#This Row],[author_es]],autorest[author_es],autorest[bio_la])</f>
        <v>Collectio sententiarum Hispanicarum.</v>
      </c>
      <c r="J1005" t="str">
        <f>_xlfn.XLOOKUP(frasest[[#This Row],[author_es]],autorest[author_es],autorest[iso3691])</f>
        <v>es</v>
      </c>
      <c r="K1005" t="str">
        <f>_xlfn.XLOOKUP(frasest[[#This Row],[author_es]],autorest[author_es],autorest[language_es])</f>
        <v>Español</v>
      </c>
      <c r="L1005" t="str">
        <f>_xlfn.XLOOKUP(frasest[[#This Row],[author_es]],autorest[author_es],autorest[language_la])</f>
        <v>Lingua Hispanica</v>
      </c>
      <c r="M1005" t="str">
        <f>_xlfn.XLOOKUP(frasest[[#This Row],[author_es]],autorest[author_es],autorest[nation_es])</f>
        <v>España</v>
      </c>
      <c r="N1005" t="str">
        <f>_xlfn.XLOOKUP(frasest[[#This Row],[author_es]],autorest[author_es],autorest[nation_la])</f>
        <v>Hispania</v>
      </c>
      <c r="O1005" t="str">
        <f>_xlfn.XLOOKUP(frasest[[#This Row],[author_es]],autorest[author_es],autorest[age_es])</f>
        <v>Epoca Desconocida</v>
      </c>
      <c r="P1005" t="str">
        <f>_xlfn.XLOOKUP(frasest[[#This Row],[author_es]],autorest[author_es],autorest[age_la])</f>
        <v>Epocha Ignota</v>
      </c>
      <c r="Q1005" t="str">
        <f>_xlfn.XLOOKUP(frasest[[#This Row],[author_es]],autorest[author_es],autorest[image])</f>
        <v>https://i.ibb.co/Y4f7TZWm/espa-a.png</v>
      </c>
      <c r="R1005">
        <f>_xlfn.XLOOKUP(frasest[[#This Row],[author_es]],autorest[author_es],autorest[image_atr])</f>
        <v>0</v>
      </c>
    </row>
    <row r="1006" spans="1:18">
      <c r="A1006">
        <v>1005</v>
      </c>
      <c r="B1006" t="s">
        <v>3171</v>
      </c>
      <c r="C1006" t="s">
        <v>3172</v>
      </c>
      <c r="D1006" t="s">
        <v>3171</v>
      </c>
      <c r="E1006" t="s">
        <v>24</v>
      </c>
      <c r="G1006" t="str">
        <f>_xlfn.XLOOKUP(frasest[[#This Row],[author_es]],autorest[author_es],autorest[author_la])</f>
        <v>Sententia Hispanica</v>
      </c>
      <c r="H1006" t="str">
        <f>_xlfn.XLOOKUP(frasest[[#This Row],[author_es]],autorest[author_es],autorest[bio_es])</f>
        <v>Refranes populares de la tradición oral hispana que expresan de forma breve y ingeniosa enseñanzas prácticas sobre la vida cotidiana.</v>
      </c>
      <c r="I1006" t="str">
        <f>_xlfn.XLOOKUP(frasest[[#This Row],[author_es]],autorest[author_es],autorest[bio_la])</f>
        <v>Collectio sententiarum Hispanicarum.</v>
      </c>
      <c r="J1006" t="str">
        <f>_xlfn.XLOOKUP(frasest[[#This Row],[author_es]],autorest[author_es],autorest[iso3691])</f>
        <v>es</v>
      </c>
      <c r="K1006" t="str">
        <f>_xlfn.XLOOKUP(frasest[[#This Row],[author_es]],autorest[author_es],autorest[language_es])</f>
        <v>Español</v>
      </c>
      <c r="L1006" t="str">
        <f>_xlfn.XLOOKUP(frasest[[#This Row],[author_es]],autorest[author_es],autorest[language_la])</f>
        <v>Lingua Hispanica</v>
      </c>
      <c r="M1006" t="str">
        <f>_xlfn.XLOOKUP(frasest[[#This Row],[author_es]],autorest[author_es],autorest[nation_es])</f>
        <v>España</v>
      </c>
      <c r="N1006" t="str">
        <f>_xlfn.XLOOKUP(frasest[[#This Row],[author_es]],autorest[author_es],autorest[nation_la])</f>
        <v>Hispania</v>
      </c>
      <c r="O1006" t="str">
        <f>_xlfn.XLOOKUP(frasest[[#This Row],[author_es]],autorest[author_es],autorest[age_es])</f>
        <v>Epoca Desconocida</v>
      </c>
      <c r="P1006" t="str">
        <f>_xlfn.XLOOKUP(frasest[[#This Row],[author_es]],autorest[author_es],autorest[age_la])</f>
        <v>Epocha Ignota</v>
      </c>
      <c r="Q1006" t="str">
        <f>_xlfn.XLOOKUP(frasest[[#This Row],[author_es]],autorest[author_es],autorest[image])</f>
        <v>https://i.ibb.co/Y4f7TZWm/espa-a.png</v>
      </c>
      <c r="R1006">
        <f>_xlfn.XLOOKUP(frasest[[#This Row],[author_es]],autorest[author_es],autorest[image_atr])</f>
        <v>0</v>
      </c>
    </row>
    <row r="1007" spans="1:18">
      <c r="A1007">
        <v>1006</v>
      </c>
      <c r="B1007" t="s">
        <v>3173</v>
      </c>
      <c r="C1007" t="s">
        <v>3174</v>
      </c>
      <c r="D1007" t="s">
        <v>3173</v>
      </c>
      <c r="E1007" t="s">
        <v>24</v>
      </c>
      <c r="G1007" t="str">
        <f>_xlfn.XLOOKUP(frasest[[#This Row],[author_es]],autorest[author_es],autorest[author_la])</f>
        <v>Sententia Hispanica</v>
      </c>
      <c r="H1007" t="str">
        <f>_xlfn.XLOOKUP(frasest[[#This Row],[author_es]],autorest[author_es],autorest[bio_es])</f>
        <v>Refranes populares de la tradición oral hispana que expresan de forma breve y ingeniosa enseñanzas prácticas sobre la vida cotidiana.</v>
      </c>
      <c r="I1007" t="str">
        <f>_xlfn.XLOOKUP(frasest[[#This Row],[author_es]],autorest[author_es],autorest[bio_la])</f>
        <v>Collectio sententiarum Hispanicarum.</v>
      </c>
      <c r="J1007" t="str">
        <f>_xlfn.XLOOKUP(frasest[[#This Row],[author_es]],autorest[author_es],autorest[iso3691])</f>
        <v>es</v>
      </c>
      <c r="K1007" t="str">
        <f>_xlfn.XLOOKUP(frasest[[#This Row],[author_es]],autorest[author_es],autorest[language_es])</f>
        <v>Español</v>
      </c>
      <c r="L1007" t="str">
        <f>_xlfn.XLOOKUP(frasest[[#This Row],[author_es]],autorest[author_es],autorest[language_la])</f>
        <v>Lingua Hispanica</v>
      </c>
      <c r="M1007" t="str">
        <f>_xlfn.XLOOKUP(frasest[[#This Row],[author_es]],autorest[author_es],autorest[nation_es])</f>
        <v>España</v>
      </c>
      <c r="N1007" t="str">
        <f>_xlfn.XLOOKUP(frasest[[#This Row],[author_es]],autorest[author_es],autorest[nation_la])</f>
        <v>Hispania</v>
      </c>
      <c r="O1007" t="str">
        <f>_xlfn.XLOOKUP(frasest[[#This Row],[author_es]],autorest[author_es],autorest[age_es])</f>
        <v>Epoca Desconocida</v>
      </c>
      <c r="P1007" t="str">
        <f>_xlfn.XLOOKUP(frasest[[#This Row],[author_es]],autorest[author_es],autorest[age_la])</f>
        <v>Epocha Ignota</v>
      </c>
      <c r="Q1007" t="str">
        <f>_xlfn.XLOOKUP(frasest[[#This Row],[author_es]],autorest[author_es],autorest[image])</f>
        <v>https://i.ibb.co/Y4f7TZWm/espa-a.png</v>
      </c>
      <c r="R1007">
        <f>_xlfn.XLOOKUP(frasest[[#This Row],[author_es]],autorest[author_es],autorest[image_atr])</f>
        <v>0</v>
      </c>
    </row>
    <row r="1008" spans="1:18">
      <c r="A1008">
        <v>1007</v>
      </c>
      <c r="B1008" t="s">
        <v>3175</v>
      </c>
      <c r="C1008" t="s">
        <v>3176</v>
      </c>
      <c r="D1008" t="s">
        <v>3175</v>
      </c>
      <c r="E1008" t="s">
        <v>24</v>
      </c>
      <c r="G1008" t="str">
        <f>_xlfn.XLOOKUP(frasest[[#This Row],[author_es]],autorest[author_es],autorest[author_la])</f>
        <v>Sententia Hispanica</v>
      </c>
      <c r="H1008" t="str">
        <f>_xlfn.XLOOKUP(frasest[[#This Row],[author_es]],autorest[author_es],autorest[bio_es])</f>
        <v>Refranes populares de la tradición oral hispana que expresan de forma breve y ingeniosa enseñanzas prácticas sobre la vida cotidiana.</v>
      </c>
      <c r="I1008" t="str">
        <f>_xlfn.XLOOKUP(frasest[[#This Row],[author_es]],autorest[author_es],autorest[bio_la])</f>
        <v>Collectio sententiarum Hispanicarum.</v>
      </c>
      <c r="J1008" t="str">
        <f>_xlfn.XLOOKUP(frasest[[#This Row],[author_es]],autorest[author_es],autorest[iso3691])</f>
        <v>es</v>
      </c>
      <c r="K1008" t="str">
        <f>_xlfn.XLOOKUP(frasest[[#This Row],[author_es]],autorest[author_es],autorest[language_es])</f>
        <v>Español</v>
      </c>
      <c r="L1008" t="str">
        <f>_xlfn.XLOOKUP(frasest[[#This Row],[author_es]],autorest[author_es],autorest[language_la])</f>
        <v>Lingua Hispanica</v>
      </c>
      <c r="M1008" t="str">
        <f>_xlfn.XLOOKUP(frasest[[#This Row],[author_es]],autorest[author_es],autorest[nation_es])</f>
        <v>España</v>
      </c>
      <c r="N1008" t="str">
        <f>_xlfn.XLOOKUP(frasest[[#This Row],[author_es]],autorest[author_es],autorest[nation_la])</f>
        <v>Hispania</v>
      </c>
      <c r="O1008" t="str">
        <f>_xlfn.XLOOKUP(frasest[[#This Row],[author_es]],autorest[author_es],autorest[age_es])</f>
        <v>Epoca Desconocida</v>
      </c>
      <c r="P1008" t="str">
        <f>_xlfn.XLOOKUP(frasest[[#This Row],[author_es]],autorest[author_es],autorest[age_la])</f>
        <v>Epocha Ignota</v>
      </c>
      <c r="Q1008" t="str">
        <f>_xlfn.XLOOKUP(frasest[[#This Row],[author_es]],autorest[author_es],autorest[image])</f>
        <v>https://i.ibb.co/Y4f7TZWm/espa-a.png</v>
      </c>
      <c r="R1008">
        <f>_xlfn.XLOOKUP(frasest[[#This Row],[author_es]],autorest[author_es],autorest[image_atr])</f>
        <v>0</v>
      </c>
    </row>
    <row r="1009" spans="1:18">
      <c r="A1009">
        <v>1008</v>
      </c>
      <c r="B1009" t="s">
        <v>3177</v>
      </c>
      <c r="C1009" t="s">
        <v>3178</v>
      </c>
      <c r="D1009" t="s">
        <v>3177</v>
      </c>
      <c r="E1009" t="s">
        <v>24</v>
      </c>
      <c r="G1009" t="str">
        <f>_xlfn.XLOOKUP(frasest[[#This Row],[author_es]],autorest[author_es],autorest[author_la])</f>
        <v>Sententia Hispanica</v>
      </c>
      <c r="H1009" t="str">
        <f>_xlfn.XLOOKUP(frasest[[#This Row],[author_es]],autorest[author_es],autorest[bio_es])</f>
        <v>Refranes populares de la tradición oral hispana que expresan de forma breve y ingeniosa enseñanzas prácticas sobre la vida cotidiana.</v>
      </c>
      <c r="I1009" t="str">
        <f>_xlfn.XLOOKUP(frasest[[#This Row],[author_es]],autorest[author_es],autorest[bio_la])</f>
        <v>Collectio sententiarum Hispanicarum.</v>
      </c>
      <c r="J1009" t="str">
        <f>_xlfn.XLOOKUP(frasest[[#This Row],[author_es]],autorest[author_es],autorest[iso3691])</f>
        <v>es</v>
      </c>
      <c r="K1009" t="str">
        <f>_xlfn.XLOOKUP(frasest[[#This Row],[author_es]],autorest[author_es],autorest[language_es])</f>
        <v>Español</v>
      </c>
      <c r="L1009" t="str">
        <f>_xlfn.XLOOKUP(frasest[[#This Row],[author_es]],autorest[author_es],autorest[language_la])</f>
        <v>Lingua Hispanica</v>
      </c>
      <c r="M1009" t="str">
        <f>_xlfn.XLOOKUP(frasest[[#This Row],[author_es]],autorest[author_es],autorest[nation_es])</f>
        <v>España</v>
      </c>
      <c r="N1009" t="str">
        <f>_xlfn.XLOOKUP(frasest[[#This Row],[author_es]],autorest[author_es],autorest[nation_la])</f>
        <v>Hispania</v>
      </c>
      <c r="O1009" t="str">
        <f>_xlfn.XLOOKUP(frasest[[#This Row],[author_es]],autorest[author_es],autorest[age_es])</f>
        <v>Epoca Desconocida</v>
      </c>
      <c r="P1009" t="str">
        <f>_xlfn.XLOOKUP(frasest[[#This Row],[author_es]],autorest[author_es],autorest[age_la])</f>
        <v>Epocha Ignota</v>
      </c>
      <c r="Q1009" t="str">
        <f>_xlfn.XLOOKUP(frasest[[#This Row],[author_es]],autorest[author_es],autorest[image])</f>
        <v>https://i.ibb.co/Y4f7TZWm/espa-a.png</v>
      </c>
      <c r="R1009">
        <f>_xlfn.XLOOKUP(frasest[[#This Row],[author_es]],autorest[author_es],autorest[image_atr])</f>
        <v>0</v>
      </c>
    </row>
    <row r="1010" spans="1:18">
      <c r="A1010">
        <v>1009</v>
      </c>
      <c r="B1010" t="s">
        <v>3179</v>
      </c>
      <c r="C1010" t="s">
        <v>3180</v>
      </c>
      <c r="D1010" t="s">
        <v>3179</v>
      </c>
      <c r="E1010" t="s">
        <v>24</v>
      </c>
      <c r="G1010" t="str">
        <f>_xlfn.XLOOKUP(frasest[[#This Row],[author_es]],autorest[author_es],autorest[author_la])</f>
        <v>Sententia Hispanica</v>
      </c>
      <c r="H1010" t="str">
        <f>_xlfn.XLOOKUP(frasest[[#This Row],[author_es]],autorest[author_es],autorest[bio_es])</f>
        <v>Refranes populares de la tradición oral hispana que expresan de forma breve y ingeniosa enseñanzas prácticas sobre la vida cotidiana.</v>
      </c>
      <c r="I1010" t="str">
        <f>_xlfn.XLOOKUP(frasest[[#This Row],[author_es]],autorest[author_es],autorest[bio_la])</f>
        <v>Collectio sententiarum Hispanicarum.</v>
      </c>
      <c r="J1010" t="str">
        <f>_xlfn.XLOOKUP(frasest[[#This Row],[author_es]],autorest[author_es],autorest[iso3691])</f>
        <v>es</v>
      </c>
      <c r="K1010" t="str">
        <f>_xlfn.XLOOKUP(frasest[[#This Row],[author_es]],autorest[author_es],autorest[language_es])</f>
        <v>Español</v>
      </c>
      <c r="L1010" t="str">
        <f>_xlfn.XLOOKUP(frasest[[#This Row],[author_es]],autorest[author_es],autorest[language_la])</f>
        <v>Lingua Hispanica</v>
      </c>
      <c r="M1010" t="str">
        <f>_xlfn.XLOOKUP(frasest[[#This Row],[author_es]],autorest[author_es],autorest[nation_es])</f>
        <v>España</v>
      </c>
      <c r="N1010" t="str">
        <f>_xlfn.XLOOKUP(frasest[[#This Row],[author_es]],autorest[author_es],autorest[nation_la])</f>
        <v>Hispania</v>
      </c>
      <c r="O1010" t="str">
        <f>_xlfn.XLOOKUP(frasest[[#This Row],[author_es]],autorest[author_es],autorest[age_es])</f>
        <v>Epoca Desconocida</v>
      </c>
      <c r="P1010" t="str">
        <f>_xlfn.XLOOKUP(frasest[[#This Row],[author_es]],autorest[author_es],autorest[age_la])</f>
        <v>Epocha Ignota</v>
      </c>
      <c r="Q1010" t="str">
        <f>_xlfn.XLOOKUP(frasest[[#This Row],[author_es]],autorest[author_es],autorest[image])</f>
        <v>https://i.ibb.co/Y4f7TZWm/espa-a.png</v>
      </c>
      <c r="R1010">
        <f>_xlfn.XLOOKUP(frasest[[#This Row],[author_es]],autorest[author_es],autorest[image_atr])</f>
        <v>0</v>
      </c>
    </row>
    <row r="1011" spans="1:18">
      <c r="A1011">
        <v>1010</v>
      </c>
      <c r="B1011" t="s">
        <v>3181</v>
      </c>
      <c r="C1011" t="s">
        <v>3182</v>
      </c>
      <c r="D1011" t="s">
        <v>3181</v>
      </c>
      <c r="E1011" t="s">
        <v>24</v>
      </c>
      <c r="G1011" t="str">
        <f>_xlfn.XLOOKUP(frasest[[#This Row],[author_es]],autorest[author_es],autorest[author_la])</f>
        <v>Sententia Hispanica</v>
      </c>
      <c r="H1011" t="str">
        <f>_xlfn.XLOOKUP(frasest[[#This Row],[author_es]],autorest[author_es],autorest[bio_es])</f>
        <v>Refranes populares de la tradición oral hispana que expresan de forma breve y ingeniosa enseñanzas prácticas sobre la vida cotidiana.</v>
      </c>
      <c r="I1011" t="str">
        <f>_xlfn.XLOOKUP(frasest[[#This Row],[author_es]],autorest[author_es],autorest[bio_la])</f>
        <v>Collectio sententiarum Hispanicarum.</v>
      </c>
      <c r="J1011" t="str">
        <f>_xlfn.XLOOKUP(frasest[[#This Row],[author_es]],autorest[author_es],autorest[iso3691])</f>
        <v>es</v>
      </c>
      <c r="K1011" t="str">
        <f>_xlfn.XLOOKUP(frasest[[#This Row],[author_es]],autorest[author_es],autorest[language_es])</f>
        <v>Español</v>
      </c>
      <c r="L1011" t="str">
        <f>_xlfn.XLOOKUP(frasest[[#This Row],[author_es]],autorest[author_es],autorest[language_la])</f>
        <v>Lingua Hispanica</v>
      </c>
      <c r="M1011" t="str">
        <f>_xlfn.XLOOKUP(frasest[[#This Row],[author_es]],autorest[author_es],autorest[nation_es])</f>
        <v>España</v>
      </c>
      <c r="N1011" t="str">
        <f>_xlfn.XLOOKUP(frasest[[#This Row],[author_es]],autorest[author_es],autorest[nation_la])</f>
        <v>Hispania</v>
      </c>
      <c r="O1011" t="str">
        <f>_xlfn.XLOOKUP(frasest[[#This Row],[author_es]],autorest[author_es],autorest[age_es])</f>
        <v>Epoca Desconocida</v>
      </c>
      <c r="P1011" t="str">
        <f>_xlfn.XLOOKUP(frasest[[#This Row],[author_es]],autorest[author_es],autorest[age_la])</f>
        <v>Epocha Ignota</v>
      </c>
      <c r="Q1011" t="str">
        <f>_xlfn.XLOOKUP(frasest[[#This Row],[author_es]],autorest[author_es],autorest[image])</f>
        <v>https://i.ibb.co/Y4f7TZWm/espa-a.png</v>
      </c>
      <c r="R1011">
        <f>_xlfn.XLOOKUP(frasest[[#This Row],[author_es]],autorest[author_es],autorest[image_atr])</f>
        <v>0</v>
      </c>
    </row>
    <row r="1012" spans="1:18">
      <c r="A1012">
        <v>1011</v>
      </c>
      <c r="B1012" t="s">
        <v>3183</v>
      </c>
      <c r="C1012" t="s">
        <v>3106</v>
      </c>
      <c r="D1012" t="s">
        <v>3183</v>
      </c>
      <c r="E1012" t="s">
        <v>24</v>
      </c>
      <c r="G1012" t="str">
        <f>_xlfn.XLOOKUP(frasest[[#This Row],[author_es]],autorest[author_es],autorest[author_la])</f>
        <v>Sententia Hispanica</v>
      </c>
      <c r="H1012" t="str">
        <f>_xlfn.XLOOKUP(frasest[[#This Row],[author_es]],autorest[author_es],autorest[bio_es])</f>
        <v>Refranes populares de la tradición oral hispana que expresan de forma breve y ingeniosa enseñanzas prácticas sobre la vida cotidiana.</v>
      </c>
      <c r="I1012" t="str">
        <f>_xlfn.XLOOKUP(frasest[[#This Row],[author_es]],autorest[author_es],autorest[bio_la])</f>
        <v>Collectio sententiarum Hispanicarum.</v>
      </c>
      <c r="J1012" t="str">
        <f>_xlfn.XLOOKUP(frasest[[#This Row],[author_es]],autorest[author_es],autorest[iso3691])</f>
        <v>es</v>
      </c>
      <c r="K1012" t="str">
        <f>_xlfn.XLOOKUP(frasest[[#This Row],[author_es]],autorest[author_es],autorest[language_es])</f>
        <v>Español</v>
      </c>
      <c r="L1012" t="str">
        <f>_xlfn.XLOOKUP(frasest[[#This Row],[author_es]],autorest[author_es],autorest[language_la])</f>
        <v>Lingua Hispanica</v>
      </c>
      <c r="M1012" t="str">
        <f>_xlfn.XLOOKUP(frasest[[#This Row],[author_es]],autorest[author_es],autorest[nation_es])</f>
        <v>España</v>
      </c>
      <c r="N1012" t="str">
        <f>_xlfn.XLOOKUP(frasest[[#This Row],[author_es]],autorest[author_es],autorest[nation_la])</f>
        <v>Hispania</v>
      </c>
      <c r="O1012" t="str">
        <f>_xlfn.XLOOKUP(frasest[[#This Row],[author_es]],autorest[author_es],autorest[age_es])</f>
        <v>Epoca Desconocida</v>
      </c>
      <c r="P1012" t="str">
        <f>_xlfn.XLOOKUP(frasest[[#This Row],[author_es]],autorest[author_es],autorest[age_la])</f>
        <v>Epocha Ignota</v>
      </c>
      <c r="Q1012" t="str">
        <f>_xlfn.XLOOKUP(frasest[[#This Row],[author_es]],autorest[author_es],autorest[image])</f>
        <v>https://i.ibb.co/Y4f7TZWm/espa-a.png</v>
      </c>
      <c r="R1012">
        <f>_xlfn.XLOOKUP(frasest[[#This Row],[author_es]],autorest[author_es],autorest[image_atr])</f>
        <v>0</v>
      </c>
    </row>
    <row r="1013" spans="1:18">
      <c r="A1013">
        <v>1012</v>
      </c>
      <c r="B1013" t="s">
        <v>3184</v>
      </c>
      <c r="C1013" t="s">
        <v>3185</v>
      </c>
      <c r="D1013" t="s">
        <v>3184</v>
      </c>
      <c r="E1013" t="s">
        <v>24</v>
      </c>
      <c r="G1013" t="str">
        <f>_xlfn.XLOOKUP(frasest[[#This Row],[author_es]],autorest[author_es],autorest[author_la])</f>
        <v>Sententia Hispanica</v>
      </c>
      <c r="H1013" t="str">
        <f>_xlfn.XLOOKUP(frasest[[#This Row],[author_es]],autorest[author_es],autorest[bio_es])</f>
        <v>Refranes populares de la tradición oral hispana que expresan de forma breve y ingeniosa enseñanzas prácticas sobre la vida cotidiana.</v>
      </c>
      <c r="I1013" t="str">
        <f>_xlfn.XLOOKUP(frasest[[#This Row],[author_es]],autorest[author_es],autorest[bio_la])</f>
        <v>Collectio sententiarum Hispanicarum.</v>
      </c>
      <c r="J1013" t="str">
        <f>_xlfn.XLOOKUP(frasest[[#This Row],[author_es]],autorest[author_es],autorest[iso3691])</f>
        <v>es</v>
      </c>
      <c r="K1013" t="str">
        <f>_xlfn.XLOOKUP(frasest[[#This Row],[author_es]],autorest[author_es],autorest[language_es])</f>
        <v>Español</v>
      </c>
      <c r="L1013" t="str">
        <f>_xlfn.XLOOKUP(frasest[[#This Row],[author_es]],autorest[author_es],autorest[language_la])</f>
        <v>Lingua Hispanica</v>
      </c>
      <c r="M1013" t="str">
        <f>_xlfn.XLOOKUP(frasest[[#This Row],[author_es]],autorest[author_es],autorest[nation_es])</f>
        <v>España</v>
      </c>
      <c r="N1013" t="str">
        <f>_xlfn.XLOOKUP(frasest[[#This Row],[author_es]],autorest[author_es],autorest[nation_la])</f>
        <v>Hispania</v>
      </c>
      <c r="O1013" t="str">
        <f>_xlfn.XLOOKUP(frasest[[#This Row],[author_es]],autorest[author_es],autorest[age_es])</f>
        <v>Epoca Desconocida</v>
      </c>
      <c r="P1013" t="str">
        <f>_xlfn.XLOOKUP(frasest[[#This Row],[author_es]],autorest[author_es],autorest[age_la])</f>
        <v>Epocha Ignota</v>
      </c>
      <c r="Q1013" t="str">
        <f>_xlfn.XLOOKUP(frasest[[#This Row],[author_es]],autorest[author_es],autorest[image])</f>
        <v>https://i.ibb.co/Y4f7TZWm/espa-a.png</v>
      </c>
      <c r="R1013">
        <f>_xlfn.XLOOKUP(frasest[[#This Row],[author_es]],autorest[author_es],autorest[image_atr])</f>
        <v>0</v>
      </c>
    </row>
    <row r="1014" spans="1:18">
      <c r="A1014">
        <v>1013</v>
      </c>
      <c r="B1014" t="s">
        <v>3186</v>
      </c>
      <c r="C1014" t="s">
        <v>3187</v>
      </c>
      <c r="D1014" t="s">
        <v>3186</v>
      </c>
      <c r="E1014" t="s">
        <v>24</v>
      </c>
      <c r="G1014" t="str">
        <f>_xlfn.XLOOKUP(frasest[[#This Row],[author_es]],autorest[author_es],autorest[author_la])</f>
        <v>Sententia Hispanica</v>
      </c>
      <c r="H1014" t="str">
        <f>_xlfn.XLOOKUP(frasest[[#This Row],[author_es]],autorest[author_es],autorest[bio_es])</f>
        <v>Refranes populares de la tradición oral hispana que expresan de forma breve y ingeniosa enseñanzas prácticas sobre la vida cotidiana.</v>
      </c>
      <c r="I1014" t="str">
        <f>_xlfn.XLOOKUP(frasest[[#This Row],[author_es]],autorest[author_es],autorest[bio_la])</f>
        <v>Collectio sententiarum Hispanicarum.</v>
      </c>
      <c r="J1014" t="str">
        <f>_xlfn.XLOOKUP(frasest[[#This Row],[author_es]],autorest[author_es],autorest[iso3691])</f>
        <v>es</v>
      </c>
      <c r="K1014" t="str">
        <f>_xlfn.XLOOKUP(frasest[[#This Row],[author_es]],autorest[author_es],autorest[language_es])</f>
        <v>Español</v>
      </c>
      <c r="L1014" t="str">
        <f>_xlfn.XLOOKUP(frasest[[#This Row],[author_es]],autorest[author_es],autorest[language_la])</f>
        <v>Lingua Hispanica</v>
      </c>
      <c r="M1014" t="str">
        <f>_xlfn.XLOOKUP(frasest[[#This Row],[author_es]],autorest[author_es],autorest[nation_es])</f>
        <v>España</v>
      </c>
      <c r="N1014" t="str">
        <f>_xlfn.XLOOKUP(frasest[[#This Row],[author_es]],autorest[author_es],autorest[nation_la])</f>
        <v>Hispania</v>
      </c>
      <c r="O1014" t="str">
        <f>_xlfn.XLOOKUP(frasest[[#This Row],[author_es]],autorest[author_es],autorest[age_es])</f>
        <v>Epoca Desconocida</v>
      </c>
      <c r="P1014" t="str">
        <f>_xlfn.XLOOKUP(frasest[[#This Row],[author_es]],autorest[author_es],autorest[age_la])</f>
        <v>Epocha Ignota</v>
      </c>
      <c r="Q1014" t="str">
        <f>_xlfn.XLOOKUP(frasest[[#This Row],[author_es]],autorest[author_es],autorest[image])</f>
        <v>https://i.ibb.co/Y4f7TZWm/espa-a.png</v>
      </c>
      <c r="R1014">
        <f>_xlfn.XLOOKUP(frasest[[#This Row],[author_es]],autorest[author_es],autorest[image_atr])</f>
        <v>0</v>
      </c>
    </row>
    <row r="1015" spans="1:18">
      <c r="A1015">
        <v>1014</v>
      </c>
      <c r="B1015" t="s">
        <v>3188</v>
      </c>
      <c r="C1015" t="s">
        <v>3189</v>
      </c>
      <c r="D1015" t="s">
        <v>3188</v>
      </c>
      <c r="E1015" t="s">
        <v>24</v>
      </c>
      <c r="G1015" t="str">
        <f>_xlfn.XLOOKUP(frasest[[#This Row],[author_es]],autorest[author_es],autorest[author_la])</f>
        <v>Sententia Hispanica</v>
      </c>
      <c r="H1015" t="str">
        <f>_xlfn.XLOOKUP(frasest[[#This Row],[author_es]],autorest[author_es],autorest[bio_es])</f>
        <v>Refranes populares de la tradición oral hispana que expresan de forma breve y ingeniosa enseñanzas prácticas sobre la vida cotidiana.</v>
      </c>
      <c r="I1015" t="str">
        <f>_xlfn.XLOOKUP(frasest[[#This Row],[author_es]],autorest[author_es],autorest[bio_la])</f>
        <v>Collectio sententiarum Hispanicarum.</v>
      </c>
      <c r="J1015" t="str">
        <f>_xlfn.XLOOKUP(frasest[[#This Row],[author_es]],autorest[author_es],autorest[iso3691])</f>
        <v>es</v>
      </c>
      <c r="K1015" t="str">
        <f>_xlfn.XLOOKUP(frasest[[#This Row],[author_es]],autorest[author_es],autorest[language_es])</f>
        <v>Español</v>
      </c>
      <c r="L1015" t="str">
        <f>_xlfn.XLOOKUP(frasest[[#This Row],[author_es]],autorest[author_es],autorest[language_la])</f>
        <v>Lingua Hispanica</v>
      </c>
      <c r="M1015" t="str">
        <f>_xlfn.XLOOKUP(frasest[[#This Row],[author_es]],autorest[author_es],autorest[nation_es])</f>
        <v>España</v>
      </c>
      <c r="N1015" t="str">
        <f>_xlfn.XLOOKUP(frasest[[#This Row],[author_es]],autorest[author_es],autorest[nation_la])</f>
        <v>Hispania</v>
      </c>
      <c r="O1015" t="str">
        <f>_xlfn.XLOOKUP(frasest[[#This Row],[author_es]],autorest[author_es],autorest[age_es])</f>
        <v>Epoca Desconocida</v>
      </c>
      <c r="P1015" t="str">
        <f>_xlfn.XLOOKUP(frasest[[#This Row],[author_es]],autorest[author_es],autorest[age_la])</f>
        <v>Epocha Ignota</v>
      </c>
      <c r="Q1015" t="str">
        <f>_xlfn.XLOOKUP(frasest[[#This Row],[author_es]],autorest[author_es],autorest[image])</f>
        <v>https://i.ibb.co/Y4f7TZWm/espa-a.png</v>
      </c>
      <c r="R1015">
        <f>_xlfn.XLOOKUP(frasest[[#This Row],[author_es]],autorest[author_es],autorest[image_atr])</f>
        <v>0</v>
      </c>
    </row>
    <row r="1016" spans="1:18">
      <c r="A1016">
        <v>1015</v>
      </c>
      <c r="B1016" t="s">
        <v>3155</v>
      </c>
      <c r="C1016" t="s">
        <v>3156</v>
      </c>
      <c r="D1016" t="s">
        <v>3155</v>
      </c>
      <c r="E1016" t="s">
        <v>24</v>
      </c>
      <c r="G1016" t="str">
        <f>_xlfn.XLOOKUP(frasest[[#This Row],[author_es]],autorest[author_es],autorest[author_la])</f>
        <v>Sententia Hispanica</v>
      </c>
      <c r="H1016" t="str">
        <f>_xlfn.XLOOKUP(frasest[[#This Row],[author_es]],autorest[author_es],autorest[bio_es])</f>
        <v>Refranes populares de la tradición oral hispana que expresan de forma breve y ingeniosa enseñanzas prácticas sobre la vida cotidiana.</v>
      </c>
      <c r="I1016" t="str">
        <f>_xlfn.XLOOKUP(frasest[[#This Row],[author_es]],autorest[author_es],autorest[bio_la])</f>
        <v>Collectio sententiarum Hispanicarum.</v>
      </c>
      <c r="J1016" t="str">
        <f>_xlfn.XLOOKUP(frasest[[#This Row],[author_es]],autorest[author_es],autorest[iso3691])</f>
        <v>es</v>
      </c>
      <c r="K1016" t="str">
        <f>_xlfn.XLOOKUP(frasest[[#This Row],[author_es]],autorest[author_es],autorest[language_es])</f>
        <v>Español</v>
      </c>
      <c r="L1016" t="str">
        <f>_xlfn.XLOOKUP(frasest[[#This Row],[author_es]],autorest[author_es],autorest[language_la])</f>
        <v>Lingua Hispanica</v>
      </c>
      <c r="M1016" t="str">
        <f>_xlfn.XLOOKUP(frasest[[#This Row],[author_es]],autorest[author_es],autorest[nation_es])</f>
        <v>España</v>
      </c>
      <c r="N1016" t="str">
        <f>_xlfn.XLOOKUP(frasest[[#This Row],[author_es]],autorest[author_es],autorest[nation_la])</f>
        <v>Hispania</v>
      </c>
      <c r="O1016" t="str">
        <f>_xlfn.XLOOKUP(frasest[[#This Row],[author_es]],autorest[author_es],autorest[age_es])</f>
        <v>Epoca Desconocida</v>
      </c>
      <c r="P1016" t="str">
        <f>_xlfn.XLOOKUP(frasest[[#This Row],[author_es]],autorest[author_es],autorest[age_la])</f>
        <v>Epocha Ignota</v>
      </c>
      <c r="Q1016" t="str">
        <f>_xlfn.XLOOKUP(frasest[[#This Row],[author_es]],autorest[author_es],autorest[image])</f>
        <v>https://i.ibb.co/Y4f7TZWm/espa-a.png</v>
      </c>
      <c r="R1016">
        <f>_xlfn.XLOOKUP(frasest[[#This Row],[author_es]],autorest[author_es],autorest[image_atr])</f>
        <v>0</v>
      </c>
    </row>
    <row r="1017" spans="1:18">
      <c r="A1017">
        <v>1016</v>
      </c>
      <c r="B1017" t="s">
        <v>3190</v>
      </c>
      <c r="C1017" t="s">
        <v>3191</v>
      </c>
      <c r="D1017" t="s">
        <v>3190</v>
      </c>
      <c r="E1017" t="s">
        <v>24</v>
      </c>
      <c r="G1017" t="str">
        <f>_xlfn.XLOOKUP(frasest[[#This Row],[author_es]],autorest[author_es],autorest[author_la])</f>
        <v>Sententia Hispanica</v>
      </c>
      <c r="H1017" t="str">
        <f>_xlfn.XLOOKUP(frasest[[#This Row],[author_es]],autorest[author_es],autorest[bio_es])</f>
        <v>Refranes populares de la tradición oral hispana que expresan de forma breve y ingeniosa enseñanzas prácticas sobre la vida cotidiana.</v>
      </c>
      <c r="I1017" t="str">
        <f>_xlfn.XLOOKUP(frasest[[#This Row],[author_es]],autorest[author_es],autorest[bio_la])</f>
        <v>Collectio sententiarum Hispanicarum.</v>
      </c>
      <c r="J1017" t="str">
        <f>_xlfn.XLOOKUP(frasest[[#This Row],[author_es]],autorest[author_es],autorest[iso3691])</f>
        <v>es</v>
      </c>
      <c r="K1017" t="str">
        <f>_xlfn.XLOOKUP(frasest[[#This Row],[author_es]],autorest[author_es],autorest[language_es])</f>
        <v>Español</v>
      </c>
      <c r="L1017" t="str">
        <f>_xlfn.XLOOKUP(frasest[[#This Row],[author_es]],autorest[author_es],autorest[language_la])</f>
        <v>Lingua Hispanica</v>
      </c>
      <c r="M1017" t="str">
        <f>_xlfn.XLOOKUP(frasest[[#This Row],[author_es]],autorest[author_es],autorest[nation_es])</f>
        <v>España</v>
      </c>
      <c r="N1017" t="str">
        <f>_xlfn.XLOOKUP(frasest[[#This Row],[author_es]],autorest[author_es],autorest[nation_la])</f>
        <v>Hispania</v>
      </c>
      <c r="O1017" t="str">
        <f>_xlfn.XLOOKUP(frasest[[#This Row],[author_es]],autorest[author_es],autorest[age_es])</f>
        <v>Epoca Desconocida</v>
      </c>
      <c r="P1017" t="str">
        <f>_xlfn.XLOOKUP(frasest[[#This Row],[author_es]],autorest[author_es],autorest[age_la])</f>
        <v>Epocha Ignota</v>
      </c>
      <c r="Q1017" t="str">
        <f>_xlfn.XLOOKUP(frasest[[#This Row],[author_es]],autorest[author_es],autorest[image])</f>
        <v>https://i.ibb.co/Y4f7TZWm/espa-a.png</v>
      </c>
      <c r="R1017">
        <f>_xlfn.XLOOKUP(frasest[[#This Row],[author_es]],autorest[author_es],autorest[image_atr])</f>
        <v>0</v>
      </c>
    </row>
    <row r="1018" spans="1:18">
      <c r="A1018">
        <v>1017</v>
      </c>
      <c r="B1018" t="s">
        <v>3192</v>
      </c>
      <c r="C1018" t="s">
        <v>3193</v>
      </c>
      <c r="D1018" t="s">
        <v>3192</v>
      </c>
      <c r="E1018" t="s">
        <v>24</v>
      </c>
      <c r="G1018" t="str">
        <f>_xlfn.XLOOKUP(frasest[[#This Row],[author_es]],autorest[author_es],autorest[author_la])</f>
        <v>Sententia Hispanica</v>
      </c>
      <c r="H1018" t="str">
        <f>_xlfn.XLOOKUP(frasest[[#This Row],[author_es]],autorest[author_es],autorest[bio_es])</f>
        <v>Refranes populares de la tradición oral hispana que expresan de forma breve y ingeniosa enseñanzas prácticas sobre la vida cotidiana.</v>
      </c>
      <c r="I1018" t="str">
        <f>_xlfn.XLOOKUP(frasest[[#This Row],[author_es]],autorest[author_es],autorest[bio_la])</f>
        <v>Collectio sententiarum Hispanicarum.</v>
      </c>
      <c r="J1018" t="str">
        <f>_xlfn.XLOOKUP(frasest[[#This Row],[author_es]],autorest[author_es],autorest[iso3691])</f>
        <v>es</v>
      </c>
      <c r="K1018" t="str">
        <f>_xlfn.XLOOKUP(frasest[[#This Row],[author_es]],autorest[author_es],autorest[language_es])</f>
        <v>Español</v>
      </c>
      <c r="L1018" t="str">
        <f>_xlfn.XLOOKUP(frasest[[#This Row],[author_es]],autorest[author_es],autorest[language_la])</f>
        <v>Lingua Hispanica</v>
      </c>
      <c r="M1018" t="str">
        <f>_xlfn.XLOOKUP(frasest[[#This Row],[author_es]],autorest[author_es],autorest[nation_es])</f>
        <v>España</v>
      </c>
      <c r="N1018" t="str">
        <f>_xlfn.XLOOKUP(frasest[[#This Row],[author_es]],autorest[author_es],autorest[nation_la])</f>
        <v>Hispania</v>
      </c>
      <c r="O1018" t="str">
        <f>_xlfn.XLOOKUP(frasest[[#This Row],[author_es]],autorest[author_es],autorest[age_es])</f>
        <v>Epoca Desconocida</v>
      </c>
      <c r="P1018" t="str">
        <f>_xlfn.XLOOKUP(frasest[[#This Row],[author_es]],autorest[author_es],autorest[age_la])</f>
        <v>Epocha Ignota</v>
      </c>
      <c r="Q1018" t="str">
        <f>_xlfn.XLOOKUP(frasest[[#This Row],[author_es]],autorest[author_es],autorest[image])</f>
        <v>https://i.ibb.co/Y4f7TZWm/espa-a.png</v>
      </c>
      <c r="R1018">
        <f>_xlfn.XLOOKUP(frasest[[#This Row],[author_es]],autorest[author_es],autorest[image_atr])</f>
        <v>0</v>
      </c>
    </row>
    <row r="1019" spans="1:18">
      <c r="A1019">
        <v>1018</v>
      </c>
      <c r="B1019" t="s">
        <v>3194</v>
      </c>
      <c r="C1019" t="s">
        <v>3195</v>
      </c>
      <c r="D1019" t="s">
        <v>3194</v>
      </c>
      <c r="E1019" t="s">
        <v>24</v>
      </c>
      <c r="G1019" t="str">
        <f>_xlfn.XLOOKUP(frasest[[#This Row],[author_es]],autorest[author_es],autorest[author_la])</f>
        <v>Sententia Hispanica</v>
      </c>
      <c r="H1019" t="str">
        <f>_xlfn.XLOOKUP(frasest[[#This Row],[author_es]],autorest[author_es],autorest[bio_es])</f>
        <v>Refranes populares de la tradición oral hispana que expresan de forma breve y ingeniosa enseñanzas prácticas sobre la vida cotidiana.</v>
      </c>
      <c r="I1019" t="str">
        <f>_xlfn.XLOOKUP(frasest[[#This Row],[author_es]],autorest[author_es],autorest[bio_la])</f>
        <v>Collectio sententiarum Hispanicarum.</v>
      </c>
      <c r="J1019" t="str">
        <f>_xlfn.XLOOKUP(frasest[[#This Row],[author_es]],autorest[author_es],autorest[iso3691])</f>
        <v>es</v>
      </c>
      <c r="K1019" t="str">
        <f>_xlfn.XLOOKUP(frasest[[#This Row],[author_es]],autorest[author_es],autorest[language_es])</f>
        <v>Español</v>
      </c>
      <c r="L1019" t="str">
        <f>_xlfn.XLOOKUP(frasest[[#This Row],[author_es]],autorest[author_es],autorest[language_la])</f>
        <v>Lingua Hispanica</v>
      </c>
      <c r="M1019" t="str">
        <f>_xlfn.XLOOKUP(frasest[[#This Row],[author_es]],autorest[author_es],autorest[nation_es])</f>
        <v>España</v>
      </c>
      <c r="N1019" t="str">
        <f>_xlfn.XLOOKUP(frasest[[#This Row],[author_es]],autorest[author_es],autorest[nation_la])</f>
        <v>Hispania</v>
      </c>
      <c r="O1019" t="str">
        <f>_xlfn.XLOOKUP(frasest[[#This Row],[author_es]],autorest[author_es],autorest[age_es])</f>
        <v>Epoca Desconocida</v>
      </c>
      <c r="P1019" t="str">
        <f>_xlfn.XLOOKUP(frasest[[#This Row],[author_es]],autorest[author_es],autorest[age_la])</f>
        <v>Epocha Ignota</v>
      </c>
      <c r="Q1019" t="str">
        <f>_xlfn.XLOOKUP(frasest[[#This Row],[author_es]],autorest[author_es],autorest[image])</f>
        <v>https://i.ibb.co/Y4f7TZWm/espa-a.png</v>
      </c>
      <c r="R1019">
        <f>_xlfn.XLOOKUP(frasest[[#This Row],[author_es]],autorest[author_es],autorest[image_atr])</f>
        <v>0</v>
      </c>
    </row>
    <row r="1020" spans="1:18">
      <c r="A1020">
        <v>1019</v>
      </c>
      <c r="B1020" t="s">
        <v>3196</v>
      </c>
      <c r="C1020" t="s">
        <v>3197</v>
      </c>
      <c r="D1020" t="s">
        <v>3196</v>
      </c>
      <c r="E1020" t="s">
        <v>24</v>
      </c>
      <c r="G1020" t="str">
        <f>_xlfn.XLOOKUP(frasest[[#This Row],[author_es]],autorest[author_es],autorest[author_la])</f>
        <v>Sententia Hispanica</v>
      </c>
      <c r="H1020" t="str">
        <f>_xlfn.XLOOKUP(frasest[[#This Row],[author_es]],autorest[author_es],autorest[bio_es])</f>
        <v>Refranes populares de la tradición oral hispana que expresan de forma breve y ingeniosa enseñanzas prácticas sobre la vida cotidiana.</v>
      </c>
      <c r="I1020" t="str">
        <f>_xlfn.XLOOKUP(frasest[[#This Row],[author_es]],autorest[author_es],autorest[bio_la])</f>
        <v>Collectio sententiarum Hispanicarum.</v>
      </c>
      <c r="J1020" t="str">
        <f>_xlfn.XLOOKUP(frasest[[#This Row],[author_es]],autorest[author_es],autorest[iso3691])</f>
        <v>es</v>
      </c>
      <c r="K1020" t="str">
        <f>_xlfn.XLOOKUP(frasest[[#This Row],[author_es]],autorest[author_es],autorest[language_es])</f>
        <v>Español</v>
      </c>
      <c r="L1020" t="str">
        <f>_xlfn.XLOOKUP(frasest[[#This Row],[author_es]],autorest[author_es],autorest[language_la])</f>
        <v>Lingua Hispanica</v>
      </c>
      <c r="M1020" t="str">
        <f>_xlfn.XLOOKUP(frasest[[#This Row],[author_es]],autorest[author_es],autorest[nation_es])</f>
        <v>España</v>
      </c>
      <c r="N1020" t="str">
        <f>_xlfn.XLOOKUP(frasest[[#This Row],[author_es]],autorest[author_es],autorest[nation_la])</f>
        <v>Hispania</v>
      </c>
      <c r="O1020" t="str">
        <f>_xlfn.XLOOKUP(frasest[[#This Row],[author_es]],autorest[author_es],autorest[age_es])</f>
        <v>Epoca Desconocida</v>
      </c>
      <c r="P1020" t="str">
        <f>_xlfn.XLOOKUP(frasest[[#This Row],[author_es]],autorest[author_es],autorest[age_la])</f>
        <v>Epocha Ignota</v>
      </c>
      <c r="Q1020" t="str">
        <f>_xlfn.XLOOKUP(frasest[[#This Row],[author_es]],autorest[author_es],autorest[image])</f>
        <v>https://i.ibb.co/Y4f7TZWm/espa-a.png</v>
      </c>
      <c r="R1020">
        <f>_xlfn.XLOOKUP(frasest[[#This Row],[author_es]],autorest[author_es],autorest[image_atr])</f>
        <v>0</v>
      </c>
    </row>
    <row r="1021" spans="1:18">
      <c r="A1021">
        <v>1020</v>
      </c>
      <c r="B1021" t="s">
        <v>3198</v>
      </c>
      <c r="C1021" t="s">
        <v>3199</v>
      </c>
      <c r="D1021" t="s">
        <v>3198</v>
      </c>
      <c r="E1021" t="s">
        <v>24</v>
      </c>
      <c r="G1021" t="str">
        <f>_xlfn.XLOOKUP(frasest[[#This Row],[author_es]],autorest[author_es],autorest[author_la])</f>
        <v>Sententia Hispanica</v>
      </c>
      <c r="H1021" t="str">
        <f>_xlfn.XLOOKUP(frasest[[#This Row],[author_es]],autorest[author_es],autorest[bio_es])</f>
        <v>Refranes populares de la tradición oral hispana que expresan de forma breve y ingeniosa enseñanzas prácticas sobre la vida cotidiana.</v>
      </c>
      <c r="I1021" t="str">
        <f>_xlfn.XLOOKUP(frasest[[#This Row],[author_es]],autorest[author_es],autorest[bio_la])</f>
        <v>Collectio sententiarum Hispanicarum.</v>
      </c>
      <c r="J1021" t="str">
        <f>_xlfn.XLOOKUP(frasest[[#This Row],[author_es]],autorest[author_es],autorest[iso3691])</f>
        <v>es</v>
      </c>
      <c r="K1021" t="str">
        <f>_xlfn.XLOOKUP(frasest[[#This Row],[author_es]],autorest[author_es],autorest[language_es])</f>
        <v>Español</v>
      </c>
      <c r="L1021" t="str">
        <f>_xlfn.XLOOKUP(frasest[[#This Row],[author_es]],autorest[author_es],autorest[language_la])</f>
        <v>Lingua Hispanica</v>
      </c>
      <c r="M1021" t="str">
        <f>_xlfn.XLOOKUP(frasest[[#This Row],[author_es]],autorest[author_es],autorest[nation_es])</f>
        <v>España</v>
      </c>
      <c r="N1021" t="str">
        <f>_xlfn.XLOOKUP(frasest[[#This Row],[author_es]],autorest[author_es],autorest[nation_la])</f>
        <v>Hispania</v>
      </c>
      <c r="O1021" t="str">
        <f>_xlfn.XLOOKUP(frasest[[#This Row],[author_es]],autorest[author_es],autorest[age_es])</f>
        <v>Epoca Desconocida</v>
      </c>
      <c r="P1021" t="str">
        <f>_xlfn.XLOOKUP(frasest[[#This Row],[author_es]],autorest[author_es],autorest[age_la])</f>
        <v>Epocha Ignota</v>
      </c>
      <c r="Q1021" t="str">
        <f>_xlfn.XLOOKUP(frasest[[#This Row],[author_es]],autorest[author_es],autorest[image])</f>
        <v>https://i.ibb.co/Y4f7TZWm/espa-a.png</v>
      </c>
      <c r="R1021">
        <f>_xlfn.XLOOKUP(frasest[[#This Row],[author_es]],autorest[author_es],autorest[image_atr])</f>
        <v>0</v>
      </c>
    </row>
    <row r="1022" spans="1:18">
      <c r="A1022">
        <v>1021</v>
      </c>
      <c r="B1022" t="s">
        <v>3200</v>
      </c>
      <c r="C1022" t="s">
        <v>3201</v>
      </c>
      <c r="D1022" s="1" t="s">
        <v>3202</v>
      </c>
      <c r="E1022" t="s">
        <v>36</v>
      </c>
      <c r="G1022" t="str">
        <f>_xlfn.XLOOKUP(frasest[[#This Row],[author_es]],autorest[author_es],autorest[author_la])</f>
        <v>Proverbium Sinense</v>
      </c>
      <c r="H1022" t="str">
        <f>_xlfn.XLOOKUP(frasest[[#This Row],[author_es]],autorest[author_es],autorest[bio_es])</f>
        <v>Conjunto de proverbios tradicionales de la cultura china que transmiten sabiduría popular, valores morales y enseñanzas prácticas transmitidas oralmente durante siglos.</v>
      </c>
      <c r="I1022" t="str">
        <f>_xlfn.XLOOKUP(frasest[[#This Row],[author_es]],autorest[author_es],autorest[bio_la])</f>
        <v>Collectio sententiarum Sinensium, magnopere in cultura tradita.</v>
      </c>
      <c r="J1022" t="str">
        <f>_xlfn.XLOOKUP(frasest[[#This Row],[author_es]],autorest[author_es],autorest[iso3691])</f>
        <v>zh</v>
      </c>
      <c r="K1022" t="str">
        <f>_xlfn.XLOOKUP(frasest[[#This Row],[author_es]],autorest[author_es],autorest[language_es])</f>
        <v>Chino</v>
      </c>
      <c r="L1022" t="str">
        <f>_xlfn.XLOOKUP(frasest[[#This Row],[author_es]],autorest[author_es],autorest[language_la])</f>
        <v>Lingua Sinica</v>
      </c>
      <c r="M1022" t="str">
        <f>_xlfn.XLOOKUP(frasest[[#This Row],[author_es]],autorest[author_es],autorest[nation_es])</f>
        <v>China</v>
      </c>
      <c r="N1022" t="str">
        <f>_xlfn.XLOOKUP(frasest[[#This Row],[author_es]],autorest[author_es],autorest[nation_la])</f>
        <v>Sinae</v>
      </c>
      <c r="O1022" t="str">
        <f>_xlfn.XLOOKUP(frasest[[#This Row],[author_es]],autorest[author_es],autorest[age_es])</f>
        <v>Epoca Desconocida</v>
      </c>
      <c r="P1022" t="str">
        <f>_xlfn.XLOOKUP(frasest[[#This Row],[author_es]],autorest[author_es],autorest[age_la])</f>
        <v>Epocha Ignota</v>
      </c>
      <c r="Q1022" t="str">
        <f>_xlfn.XLOOKUP(frasest[[#This Row],[author_es]],autorest[author_es],autorest[image])</f>
        <v>https://i.ibb.co/qLfpZm6h/china.png</v>
      </c>
      <c r="R1022">
        <f>_xlfn.XLOOKUP(frasest[[#This Row],[author_es]],autorest[author_es],autorest[image_atr])</f>
        <v>0</v>
      </c>
    </row>
    <row r="1023" spans="1:18">
      <c r="A1023">
        <v>1022</v>
      </c>
      <c r="B1023" t="s">
        <v>3203</v>
      </c>
      <c r="C1023" t="s">
        <v>3204</v>
      </c>
      <c r="D1023" s="1" t="s">
        <v>3205</v>
      </c>
      <c r="E1023" t="s">
        <v>36</v>
      </c>
      <c r="G1023" t="str">
        <f>_xlfn.XLOOKUP(frasest[[#This Row],[author_es]],autorest[author_es],autorest[author_la])</f>
        <v>Proverbium Sinense</v>
      </c>
      <c r="H1023" t="str">
        <f>_xlfn.XLOOKUP(frasest[[#This Row],[author_es]],autorest[author_es],autorest[bio_es])</f>
        <v>Conjunto de proverbios tradicionales de la cultura china que transmiten sabiduría popular, valores morales y enseñanzas prácticas transmitidas oralmente durante siglos.</v>
      </c>
      <c r="I1023" t="str">
        <f>_xlfn.XLOOKUP(frasest[[#This Row],[author_es]],autorest[author_es],autorest[bio_la])</f>
        <v>Collectio sententiarum Sinensium, magnopere in cultura tradita.</v>
      </c>
      <c r="J1023" t="str">
        <f>_xlfn.XLOOKUP(frasest[[#This Row],[author_es]],autorest[author_es],autorest[iso3691])</f>
        <v>zh</v>
      </c>
      <c r="K1023" t="str">
        <f>_xlfn.XLOOKUP(frasest[[#This Row],[author_es]],autorest[author_es],autorest[language_es])</f>
        <v>Chino</v>
      </c>
      <c r="L1023" t="str">
        <f>_xlfn.XLOOKUP(frasest[[#This Row],[author_es]],autorest[author_es],autorest[language_la])</f>
        <v>Lingua Sinica</v>
      </c>
      <c r="M1023" t="str">
        <f>_xlfn.XLOOKUP(frasest[[#This Row],[author_es]],autorest[author_es],autorest[nation_es])</f>
        <v>China</v>
      </c>
      <c r="N1023" t="str">
        <f>_xlfn.XLOOKUP(frasest[[#This Row],[author_es]],autorest[author_es],autorest[nation_la])</f>
        <v>Sinae</v>
      </c>
      <c r="O1023" t="str">
        <f>_xlfn.XLOOKUP(frasest[[#This Row],[author_es]],autorest[author_es],autorest[age_es])</f>
        <v>Epoca Desconocida</v>
      </c>
      <c r="P1023" t="str">
        <f>_xlfn.XLOOKUP(frasest[[#This Row],[author_es]],autorest[author_es],autorest[age_la])</f>
        <v>Epocha Ignota</v>
      </c>
      <c r="Q1023" t="str">
        <f>_xlfn.XLOOKUP(frasest[[#This Row],[author_es]],autorest[author_es],autorest[image])</f>
        <v>https://i.ibb.co/qLfpZm6h/china.png</v>
      </c>
      <c r="R1023">
        <f>_xlfn.XLOOKUP(frasest[[#This Row],[author_es]],autorest[author_es],autorest[image_atr])</f>
        <v>0</v>
      </c>
    </row>
    <row r="1024" spans="1:18">
      <c r="A1024">
        <v>1023</v>
      </c>
      <c r="B1024" t="s">
        <v>3206</v>
      </c>
      <c r="C1024" t="s">
        <v>3207</v>
      </c>
      <c r="D1024" s="1" t="s">
        <v>3208</v>
      </c>
      <c r="E1024" t="s">
        <v>36</v>
      </c>
      <c r="G1024" t="str">
        <f>_xlfn.XLOOKUP(frasest[[#This Row],[author_es]],autorest[author_es],autorest[author_la])</f>
        <v>Proverbium Sinense</v>
      </c>
      <c r="H1024" t="str">
        <f>_xlfn.XLOOKUP(frasest[[#This Row],[author_es]],autorest[author_es],autorest[bio_es])</f>
        <v>Conjunto de proverbios tradicionales de la cultura china que transmiten sabiduría popular, valores morales y enseñanzas prácticas transmitidas oralmente durante siglos.</v>
      </c>
      <c r="I1024" t="str">
        <f>_xlfn.XLOOKUP(frasest[[#This Row],[author_es]],autorest[author_es],autorest[bio_la])</f>
        <v>Collectio sententiarum Sinensium, magnopere in cultura tradita.</v>
      </c>
      <c r="J1024" t="str">
        <f>_xlfn.XLOOKUP(frasest[[#This Row],[author_es]],autorest[author_es],autorest[iso3691])</f>
        <v>zh</v>
      </c>
      <c r="K1024" t="str">
        <f>_xlfn.XLOOKUP(frasest[[#This Row],[author_es]],autorest[author_es],autorest[language_es])</f>
        <v>Chino</v>
      </c>
      <c r="L1024" t="str">
        <f>_xlfn.XLOOKUP(frasest[[#This Row],[author_es]],autorest[author_es],autorest[language_la])</f>
        <v>Lingua Sinica</v>
      </c>
      <c r="M1024" t="str">
        <f>_xlfn.XLOOKUP(frasest[[#This Row],[author_es]],autorest[author_es],autorest[nation_es])</f>
        <v>China</v>
      </c>
      <c r="N1024" t="str">
        <f>_xlfn.XLOOKUP(frasest[[#This Row],[author_es]],autorest[author_es],autorest[nation_la])</f>
        <v>Sinae</v>
      </c>
      <c r="O1024" t="str">
        <f>_xlfn.XLOOKUP(frasest[[#This Row],[author_es]],autorest[author_es],autorest[age_es])</f>
        <v>Epoca Desconocida</v>
      </c>
      <c r="P1024" t="str">
        <f>_xlfn.XLOOKUP(frasest[[#This Row],[author_es]],autorest[author_es],autorest[age_la])</f>
        <v>Epocha Ignota</v>
      </c>
      <c r="Q1024" t="str">
        <f>_xlfn.XLOOKUP(frasest[[#This Row],[author_es]],autorest[author_es],autorest[image])</f>
        <v>https://i.ibb.co/qLfpZm6h/china.png</v>
      </c>
      <c r="R1024">
        <f>_xlfn.XLOOKUP(frasest[[#This Row],[author_es]],autorest[author_es],autorest[image_atr])</f>
        <v>0</v>
      </c>
    </row>
    <row r="1025" spans="1:18">
      <c r="A1025">
        <v>1024</v>
      </c>
      <c r="B1025" t="s">
        <v>3209</v>
      </c>
      <c r="C1025" t="s">
        <v>3210</v>
      </c>
      <c r="D1025" s="1" t="s">
        <v>3211</v>
      </c>
      <c r="E1025" t="s">
        <v>36</v>
      </c>
      <c r="G1025" t="str">
        <f>_xlfn.XLOOKUP(frasest[[#This Row],[author_es]],autorest[author_es],autorest[author_la])</f>
        <v>Proverbium Sinense</v>
      </c>
      <c r="H1025" t="str">
        <f>_xlfn.XLOOKUP(frasest[[#This Row],[author_es]],autorest[author_es],autorest[bio_es])</f>
        <v>Conjunto de proverbios tradicionales de la cultura china que transmiten sabiduría popular, valores morales y enseñanzas prácticas transmitidas oralmente durante siglos.</v>
      </c>
      <c r="I1025" t="str">
        <f>_xlfn.XLOOKUP(frasest[[#This Row],[author_es]],autorest[author_es],autorest[bio_la])</f>
        <v>Collectio sententiarum Sinensium, magnopere in cultura tradita.</v>
      </c>
      <c r="J1025" t="str">
        <f>_xlfn.XLOOKUP(frasest[[#This Row],[author_es]],autorest[author_es],autorest[iso3691])</f>
        <v>zh</v>
      </c>
      <c r="K1025" t="str">
        <f>_xlfn.XLOOKUP(frasest[[#This Row],[author_es]],autorest[author_es],autorest[language_es])</f>
        <v>Chino</v>
      </c>
      <c r="L1025" t="str">
        <f>_xlfn.XLOOKUP(frasest[[#This Row],[author_es]],autorest[author_es],autorest[language_la])</f>
        <v>Lingua Sinica</v>
      </c>
      <c r="M1025" t="str">
        <f>_xlfn.XLOOKUP(frasest[[#This Row],[author_es]],autorest[author_es],autorest[nation_es])</f>
        <v>China</v>
      </c>
      <c r="N1025" t="str">
        <f>_xlfn.XLOOKUP(frasest[[#This Row],[author_es]],autorest[author_es],autorest[nation_la])</f>
        <v>Sinae</v>
      </c>
      <c r="O1025" t="str">
        <f>_xlfn.XLOOKUP(frasest[[#This Row],[author_es]],autorest[author_es],autorest[age_es])</f>
        <v>Epoca Desconocida</v>
      </c>
      <c r="P1025" t="str">
        <f>_xlfn.XLOOKUP(frasest[[#This Row],[author_es]],autorest[author_es],autorest[age_la])</f>
        <v>Epocha Ignota</v>
      </c>
      <c r="Q1025" t="str">
        <f>_xlfn.XLOOKUP(frasest[[#This Row],[author_es]],autorest[author_es],autorest[image])</f>
        <v>https://i.ibb.co/qLfpZm6h/china.png</v>
      </c>
      <c r="R1025">
        <f>_xlfn.XLOOKUP(frasest[[#This Row],[author_es]],autorest[author_es],autorest[image_atr])</f>
        <v>0</v>
      </c>
    </row>
    <row r="1026" spans="1:18">
      <c r="A1026">
        <v>1025</v>
      </c>
      <c r="B1026" t="s">
        <v>3212</v>
      </c>
      <c r="C1026" t="s">
        <v>3213</v>
      </c>
      <c r="D1026" s="1" t="s">
        <v>3214</v>
      </c>
      <c r="E1026" t="s">
        <v>36</v>
      </c>
      <c r="G1026" t="str">
        <f>_xlfn.XLOOKUP(frasest[[#This Row],[author_es]],autorest[author_es],autorest[author_la])</f>
        <v>Proverbium Sinense</v>
      </c>
      <c r="H1026" t="str">
        <f>_xlfn.XLOOKUP(frasest[[#This Row],[author_es]],autorest[author_es],autorest[bio_es])</f>
        <v>Conjunto de proverbios tradicionales de la cultura china que transmiten sabiduría popular, valores morales y enseñanzas prácticas transmitidas oralmente durante siglos.</v>
      </c>
      <c r="I1026" t="str">
        <f>_xlfn.XLOOKUP(frasest[[#This Row],[author_es]],autorest[author_es],autorest[bio_la])</f>
        <v>Collectio sententiarum Sinensium, magnopere in cultura tradita.</v>
      </c>
      <c r="J1026" t="str">
        <f>_xlfn.XLOOKUP(frasest[[#This Row],[author_es]],autorest[author_es],autorest[iso3691])</f>
        <v>zh</v>
      </c>
      <c r="K1026" t="str">
        <f>_xlfn.XLOOKUP(frasest[[#This Row],[author_es]],autorest[author_es],autorest[language_es])</f>
        <v>Chino</v>
      </c>
      <c r="L1026" t="str">
        <f>_xlfn.XLOOKUP(frasest[[#This Row],[author_es]],autorest[author_es],autorest[language_la])</f>
        <v>Lingua Sinica</v>
      </c>
      <c r="M1026" t="str">
        <f>_xlfn.XLOOKUP(frasest[[#This Row],[author_es]],autorest[author_es],autorest[nation_es])</f>
        <v>China</v>
      </c>
      <c r="N1026" t="str">
        <f>_xlfn.XLOOKUP(frasest[[#This Row],[author_es]],autorest[author_es],autorest[nation_la])</f>
        <v>Sinae</v>
      </c>
      <c r="O1026" t="str">
        <f>_xlfn.XLOOKUP(frasest[[#This Row],[author_es]],autorest[author_es],autorest[age_es])</f>
        <v>Epoca Desconocida</v>
      </c>
      <c r="P1026" t="str">
        <f>_xlfn.XLOOKUP(frasest[[#This Row],[author_es]],autorest[author_es],autorest[age_la])</f>
        <v>Epocha Ignota</v>
      </c>
      <c r="Q1026" t="str">
        <f>_xlfn.XLOOKUP(frasest[[#This Row],[author_es]],autorest[author_es],autorest[image])</f>
        <v>https://i.ibb.co/qLfpZm6h/china.png</v>
      </c>
      <c r="R1026">
        <f>_xlfn.XLOOKUP(frasest[[#This Row],[author_es]],autorest[author_es],autorest[image_atr])</f>
        <v>0</v>
      </c>
    </row>
    <row r="1027" spans="1:18">
      <c r="A1027">
        <v>1026</v>
      </c>
      <c r="B1027" t="s">
        <v>3215</v>
      </c>
      <c r="C1027" t="s">
        <v>3216</v>
      </c>
      <c r="D1027" s="1" t="s">
        <v>3217</v>
      </c>
      <c r="E1027" t="s">
        <v>36</v>
      </c>
      <c r="G1027" t="str">
        <f>_xlfn.XLOOKUP(frasest[[#This Row],[author_es]],autorest[author_es],autorest[author_la])</f>
        <v>Proverbium Sinense</v>
      </c>
      <c r="H1027" t="str">
        <f>_xlfn.XLOOKUP(frasest[[#This Row],[author_es]],autorest[author_es],autorest[bio_es])</f>
        <v>Conjunto de proverbios tradicionales de la cultura china que transmiten sabiduría popular, valores morales y enseñanzas prácticas transmitidas oralmente durante siglos.</v>
      </c>
      <c r="I1027" t="str">
        <f>_xlfn.XLOOKUP(frasest[[#This Row],[author_es]],autorest[author_es],autorest[bio_la])</f>
        <v>Collectio sententiarum Sinensium, magnopere in cultura tradita.</v>
      </c>
      <c r="J1027" t="str">
        <f>_xlfn.XLOOKUP(frasest[[#This Row],[author_es]],autorest[author_es],autorest[iso3691])</f>
        <v>zh</v>
      </c>
      <c r="K1027" t="str">
        <f>_xlfn.XLOOKUP(frasest[[#This Row],[author_es]],autorest[author_es],autorest[language_es])</f>
        <v>Chino</v>
      </c>
      <c r="L1027" t="str">
        <f>_xlfn.XLOOKUP(frasest[[#This Row],[author_es]],autorest[author_es],autorest[language_la])</f>
        <v>Lingua Sinica</v>
      </c>
      <c r="M1027" t="str">
        <f>_xlfn.XLOOKUP(frasest[[#This Row],[author_es]],autorest[author_es],autorest[nation_es])</f>
        <v>China</v>
      </c>
      <c r="N1027" t="str">
        <f>_xlfn.XLOOKUP(frasest[[#This Row],[author_es]],autorest[author_es],autorest[nation_la])</f>
        <v>Sinae</v>
      </c>
      <c r="O1027" t="str">
        <f>_xlfn.XLOOKUP(frasest[[#This Row],[author_es]],autorest[author_es],autorest[age_es])</f>
        <v>Epoca Desconocida</v>
      </c>
      <c r="P1027" t="str">
        <f>_xlfn.XLOOKUP(frasest[[#This Row],[author_es]],autorest[author_es],autorest[age_la])</f>
        <v>Epocha Ignota</v>
      </c>
      <c r="Q1027" t="str">
        <f>_xlfn.XLOOKUP(frasest[[#This Row],[author_es]],autorest[author_es],autorest[image])</f>
        <v>https://i.ibb.co/qLfpZm6h/china.png</v>
      </c>
      <c r="R1027">
        <f>_xlfn.XLOOKUP(frasest[[#This Row],[author_es]],autorest[author_es],autorest[image_atr])</f>
        <v>0</v>
      </c>
    </row>
    <row r="1028" spans="1:18">
      <c r="A1028">
        <v>1027</v>
      </c>
      <c r="B1028" t="s">
        <v>3218</v>
      </c>
      <c r="C1028" t="s">
        <v>3219</v>
      </c>
      <c r="D1028" s="1" t="s">
        <v>3220</v>
      </c>
      <c r="E1028" t="s">
        <v>36</v>
      </c>
      <c r="G1028" t="str">
        <f>_xlfn.XLOOKUP(frasest[[#This Row],[author_es]],autorest[author_es],autorest[author_la])</f>
        <v>Proverbium Sinense</v>
      </c>
      <c r="H1028" t="str">
        <f>_xlfn.XLOOKUP(frasest[[#This Row],[author_es]],autorest[author_es],autorest[bio_es])</f>
        <v>Conjunto de proverbios tradicionales de la cultura china que transmiten sabiduría popular, valores morales y enseñanzas prácticas transmitidas oralmente durante siglos.</v>
      </c>
      <c r="I1028" t="str">
        <f>_xlfn.XLOOKUP(frasest[[#This Row],[author_es]],autorest[author_es],autorest[bio_la])</f>
        <v>Collectio sententiarum Sinensium, magnopere in cultura tradita.</v>
      </c>
      <c r="J1028" t="str">
        <f>_xlfn.XLOOKUP(frasest[[#This Row],[author_es]],autorest[author_es],autorest[iso3691])</f>
        <v>zh</v>
      </c>
      <c r="K1028" t="str">
        <f>_xlfn.XLOOKUP(frasest[[#This Row],[author_es]],autorest[author_es],autorest[language_es])</f>
        <v>Chino</v>
      </c>
      <c r="L1028" t="str">
        <f>_xlfn.XLOOKUP(frasest[[#This Row],[author_es]],autorest[author_es],autorest[language_la])</f>
        <v>Lingua Sinica</v>
      </c>
      <c r="M1028" t="str">
        <f>_xlfn.XLOOKUP(frasest[[#This Row],[author_es]],autorest[author_es],autorest[nation_es])</f>
        <v>China</v>
      </c>
      <c r="N1028" t="str">
        <f>_xlfn.XLOOKUP(frasest[[#This Row],[author_es]],autorest[author_es],autorest[nation_la])</f>
        <v>Sinae</v>
      </c>
      <c r="O1028" t="str">
        <f>_xlfn.XLOOKUP(frasest[[#This Row],[author_es]],autorest[author_es],autorest[age_es])</f>
        <v>Epoca Desconocida</v>
      </c>
      <c r="P1028" t="str">
        <f>_xlfn.XLOOKUP(frasest[[#This Row],[author_es]],autorest[author_es],autorest[age_la])</f>
        <v>Epocha Ignota</v>
      </c>
      <c r="Q1028" t="str">
        <f>_xlfn.XLOOKUP(frasest[[#This Row],[author_es]],autorest[author_es],autorest[image])</f>
        <v>https://i.ibb.co/qLfpZm6h/china.png</v>
      </c>
      <c r="R1028">
        <f>_xlfn.XLOOKUP(frasest[[#This Row],[author_es]],autorest[author_es],autorest[image_atr])</f>
        <v>0</v>
      </c>
    </row>
    <row r="1029" spans="1:18">
      <c r="A1029">
        <v>1028</v>
      </c>
      <c r="B1029" t="s">
        <v>3221</v>
      </c>
      <c r="C1029" t="s">
        <v>3222</v>
      </c>
      <c r="D1029" s="1" t="s">
        <v>3223</v>
      </c>
      <c r="E1029" t="s">
        <v>36</v>
      </c>
      <c r="G1029" t="str">
        <f>_xlfn.XLOOKUP(frasest[[#This Row],[author_es]],autorest[author_es],autorest[author_la])</f>
        <v>Proverbium Sinense</v>
      </c>
      <c r="H1029" t="str">
        <f>_xlfn.XLOOKUP(frasest[[#This Row],[author_es]],autorest[author_es],autorest[bio_es])</f>
        <v>Conjunto de proverbios tradicionales de la cultura china que transmiten sabiduría popular, valores morales y enseñanzas prácticas transmitidas oralmente durante siglos.</v>
      </c>
      <c r="I1029" t="str">
        <f>_xlfn.XLOOKUP(frasest[[#This Row],[author_es]],autorest[author_es],autorest[bio_la])</f>
        <v>Collectio sententiarum Sinensium, magnopere in cultura tradita.</v>
      </c>
      <c r="J1029" t="str">
        <f>_xlfn.XLOOKUP(frasest[[#This Row],[author_es]],autorest[author_es],autorest[iso3691])</f>
        <v>zh</v>
      </c>
      <c r="K1029" t="str">
        <f>_xlfn.XLOOKUP(frasest[[#This Row],[author_es]],autorest[author_es],autorest[language_es])</f>
        <v>Chino</v>
      </c>
      <c r="L1029" t="str">
        <f>_xlfn.XLOOKUP(frasest[[#This Row],[author_es]],autorest[author_es],autorest[language_la])</f>
        <v>Lingua Sinica</v>
      </c>
      <c r="M1029" t="str">
        <f>_xlfn.XLOOKUP(frasest[[#This Row],[author_es]],autorest[author_es],autorest[nation_es])</f>
        <v>China</v>
      </c>
      <c r="N1029" t="str">
        <f>_xlfn.XLOOKUP(frasest[[#This Row],[author_es]],autorest[author_es],autorest[nation_la])</f>
        <v>Sinae</v>
      </c>
      <c r="O1029" t="str">
        <f>_xlfn.XLOOKUP(frasest[[#This Row],[author_es]],autorest[author_es],autorest[age_es])</f>
        <v>Epoca Desconocida</v>
      </c>
      <c r="P1029" t="str">
        <f>_xlfn.XLOOKUP(frasest[[#This Row],[author_es]],autorest[author_es],autorest[age_la])</f>
        <v>Epocha Ignota</v>
      </c>
      <c r="Q1029" t="str">
        <f>_xlfn.XLOOKUP(frasest[[#This Row],[author_es]],autorest[author_es],autorest[image])</f>
        <v>https://i.ibb.co/qLfpZm6h/china.png</v>
      </c>
      <c r="R1029">
        <f>_xlfn.XLOOKUP(frasest[[#This Row],[author_es]],autorest[author_es],autorest[image_atr])</f>
        <v>0</v>
      </c>
    </row>
    <row r="1030" spans="1:18">
      <c r="A1030">
        <v>1029</v>
      </c>
      <c r="B1030" t="s">
        <v>3224</v>
      </c>
      <c r="C1030" t="s">
        <v>3225</v>
      </c>
      <c r="D1030" s="1" t="s">
        <v>3226</v>
      </c>
      <c r="E1030" t="s">
        <v>36</v>
      </c>
      <c r="G1030" t="str">
        <f>_xlfn.XLOOKUP(frasest[[#This Row],[author_es]],autorest[author_es],autorest[author_la])</f>
        <v>Proverbium Sinense</v>
      </c>
      <c r="H1030" t="str">
        <f>_xlfn.XLOOKUP(frasest[[#This Row],[author_es]],autorest[author_es],autorest[bio_es])</f>
        <v>Conjunto de proverbios tradicionales de la cultura china que transmiten sabiduría popular, valores morales y enseñanzas prácticas transmitidas oralmente durante siglos.</v>
      </c>
      <c r="I1030" t="str">
        <f>_xlfn.XLOOKUP(frasest[[#This Row],[author_es]],autorest[author_es],autorest[bio_la])</f>
        <v>Collectio sententiarum Sinensium, magnopere in cultura tradita.</v>
      </c>
      <c r="J1030" t="str">
        <f>_xlfn.XLOOKUP(frasest[[#This Row],[author_es]],autorest[author_es],autorest[iso3691])</f>
        <v>zh</v>
      </c>
      <c r="K1030" t="str">
        <f>_xlfn.XLOOKUP(frasest[[#This Row],[author_es]],autorest[author_es],autorest[language_es])</f>
        <v>Chino</v>
      </c>
      <c r="L1030" t="str">
        <f>_xlfn.XLOOKUP(frasest[[#This Row],[author_es]],autorest[author_es],autorest[language_la])</f>
        <v>Lingua Sinica</v>
      </c>
      <c r="M1030" t="str">
        <f>_xlfn.XLOOKUP(frasest[[#This Row],[author_es]],autorest[author_es],autorest[nation_es])</f>
        <v>China</v>
      </c>
      <c r="N1030" t="str">
        <f>_xlfn.XLOOKUP(frasest[[#This Row],[author_es]],autorest[author_es],autorest[nation_la])</f>
        <v>Sinae</v>
      </c>
      <c r="O1030" t="str">
        <f>_xlfn.XLOOKUP(frasest[[#This Row],[author_es]],autorest[author_es],autorest[age_es])</f>
        <v>Epoca Desconocida</v>
      </c>
      <c r="P1030" t="str">
        <f>_xlfn.XLOOKUP(frasest[[#This Row],[author_es]],autorest[author_es],autorest[age_la])</f>
        <v>Epocha Ignota</v>
      </c>
      <c r="Q1030" t="str">
        <f>_xlfn.XLOOKUP(frasest[[#This Row],[author_es]],autorest[author_es],autorest[image])</f>
        <v>https://i.ibb.co/qLfpZm6h/china.png</v>
      </c>
      <c r="R1030">
        <f>_xlfn.XLOOKUP(frasest[[#This Row],[author_es]],autorest[author_es],autorest[image_atr])</f>
        <v>0</v>
      </c>
    </row>
    <row r="1031" spans="1:18">
      <c r="A1031">
        <v>1030</v>
      </c>
      <c r="B1031" t="s">
        <v>3227</v>
      </c>
      <c r="C1031" t="s">
        <v>3228</v>
      </c>
      <c r="D1031" s="1" t="s">
        <v>3229</v>
      </c>
      <c r="E1031" t="s">
        <v>36</v>
      </c>
      <c r="G1031" t="str">
        <f>_xlfn.XLOOKUP(frasest[[#This Row],[author_es]],autorest[author_es],autorest[author_la])</f>
        <v>Proverbium Sinense</v>
      </c>
      <c r="H1031" t="str">
        <f>_xlfn.XLOOKUP(frasest[[#This Row],[author_es]],autorest[author_es],autorest[bio_es])</f>
        <v>Conjunto de proverbios tradicionales de la cultura china que transmiten sabiduría popular, valores morales y enseñanzas prácticas transmitidas oralmente durante siglos.</v>
      </c>
      <c r="I1031" t="str">
        <f>_xlfn.XLOOKUP(frasest[[#This Row],[author_es]],autorest[author_es],autorest[bio_la])</f>
        <v>Collectio sententiarum Sinensium, magnopere in cultura tradita.</v>
      </c>
      <c r="J1031" t="str">
        <f>_xlfn.XLOOKUP(frasest[[#This Row],[author_es]],autorest[author_es],autorest[iso3691])</f>
        <v>zh</v>
      </c>
      <c r="K1031" t="str">
        <f>_xlfn.XLOOKUP(frasest[[#This Row],[author_es]],autorest[author_es],autorest[language_es])</f>
        <v>Chino</v>
      </c>
      <c r="L1031" t="str">
        <f>_xlfn.XLOOKUP(frasest[[#This Row],[author_es]],autorest[author_es],autorest[language_la])</f>
        <v>Lingua Sinica</v>
      </c>
      <c r="M1031" t="str">
        <f>_xlfn.XLOOKUP(frasest[[#This Row],[author_es]],autorest[author_es],autorest[nation_es])</f>
        <v>China</v>
      </c>
      <c r="N1031" t="str">
        <f>_xlfn.XLOOKUP(frasest[[#This Row],[author_es]],autorest[author_es],autorest[nation_la])</f>
        <v>Sinae</v>
      </c>
      <c r="O1031" t="str">
        <f>_xlfn.XLOOKUP(frasest[[#This Row],[author_es]],autorest[author_es],autorest[age_es])</f>
        <v>Epoca Desconocida</v>
      </c>
      <c r="P1031" t="str">
        <f>_xlfn.XLOOKUP(frasest[[#This Row],[author_es]],autorest[author_es],autorest[age_la])</f>
        <v>Epocha Ignota</v>
      </c>
      <c r="Q1031" t="str">
        <f>_xlfn.XLOOKUP(frasest[[#This Row],[author_es]],autorest[author_es],autorest[image])</f>
        <v>https://i.ibb.co/qLfpZm6h/china.png</v>
      </c>
      <c r="R1031">
        <f>_xlfn.XLOOKUP(frasest[[#This Row],[author_es]],autorest[author_es],autorest[image_atr])</f>
        <v>0</v>
      </c>
    </row>
    <row r="1032" spans="1:18">
      <c r="A1032">
        <v>1031</v>
      </c>
      <c r="B1032" t="s">
        <v>3230</v>
      </c>
      <c r="C1032" t="s">
        <v>3231</v>
      </c>
      <c r="D1032" s="1" t="s">
        <v>1295</v>
      </c>
      <c r="E1032" t="s">
        <v>36</v>
      </c>
      <c r="G1032" t="str">
        <f>_xlfn.XLOOKUP(frasest[[#This Row],[author_es]],autorest[author_es],autorest[author_la])</f>
        <v>Proverbium Sinense</v>
      </c>
      <c r="H1032" t="str">
        <f>_xlfn.XLOOKUP(frasest[[#This Row],[author_es]],autorest[author_es],autorest[bio_es])</f>
        <v>Conjunto de proverbios tradicionales de la cultura china que transmiten sabiduría popular, valores morales y enseñanzas prácticas transmitidas oralmente durante siglos.</v>
      </c>
      <c r="I1032" t="str">
        <f>_xlfn.XLOOKUP(frasest[[#This Row],[author_es]],autorest[author_es],autorest[bio_la])</f>
        <v>Collectio sententiarum Sinensium, magnopere in cultura tradita.</v>
      </c>
      <c r="J1032" t="str">
        <f>_xlfn.XLOOKUP(frasest[[#This Row],[author_es]],autorest[author_es],autorest[iso3691])</f>
        <v>zh</v>
      </c>
      <c r="K1032" t="str">
        <f>_xlfn.XLOOKUP(frasest[[#This Row],[author_es]],autorest[author_es],autorest[language_es])</f>
        <v>Chino</v>
      </c>
      <c r="L1032" t="str">
        <f>_xlfn.XLOOKUP(frasest[[#This Row],[author_es]],autorest[author_es],autorest[language_la])</f>
        <v>Lingua Sinica</v>
      </c>
      <c r="M1032" t="str">
        <f>_xlfn.XLOOKUP(frasest[[#This Row],[author_es]],autorest[author_es],autorest[nation_es])</f>
        <v>China</v>
      </c>
      <c r="N1032" t="str">
        <f>_xlfn.XLOOKUP(frasest[[#This Row],[author_es]],autorest[author_es],autorest[nation_la])</f>
        <v>Sinae</v>
      </c>
      <c r="O1032" t="str">
        <f>_xlfn.XLOOKUP(frasest[[#This Row],[author_es]],autorest[author_es],autorest[age_es])</f>
        <v>Epoca Desconocida</v>
      </c>
      <c r="P1032" t="str">
        <f>_xlfn.XLOOKUP(frasest[[#This Row],[author_es]],autorest[author_es],autorest[age_la])</f>
        <v>Epocha Ignota</v>
      </c>
      <c r="Q1032" t="str">
        <f>_xlfn.XLOOKUP(frasest[[#This Row],[author_es]],autorest[author_es],autorest[image])</f>
        <v>https://i.ibb.co/qLfpZm6h/china.png</v>
      </c>
      <c r="R1032">
        <f>_xlfn.XLOOKUP(frasest[[#This Row],[author_es]],autorest[author_es],autorest[image_atr])</f>
        <v>0</v>
      </c>
    </row>
    <row r="1033" spans="1:18">
      <c r="A1033">
        <v>1032</v>
      </c>
      <c r="B1033" t="s">
        <v>3232</v>
      </c>
      <c r="C1033" t="s">
        <v>3233</v>
      </c>
      <c r="D1033" s="1" t="s">
        <v>3234</v>
      </c>
      <c r="E1033" t="s">
        <v>36</v>
      </c>
      <c r="G1033" t="str">
        <f>_xlfn.XLOOKUP(frasest[[#This Row],[author_es]],autorest[author_es],autorest[author_la])</f>
        <v>Proverbium Sinense</v>
      </c>
      <c r="H1033" t="str">
        <f>_xlfn.XLOOKUP(frasest[[#This Row],[author_es]],autorest[author_es],autorest[bio_es])</f>
        <v>Conjunto de proverbios tradicionales de la cultura china que transmiten sabiduría popular, valores morales y enseñanzas prácticas transmitidas oralmente durante siglos.</v>
      </c>
      <c r="I1033" t="str">
        <f>_xlfn.XLOOKUP(frasest[[#This Row],[author_es]],autorest[author_es],autorest[bio_la])</f>
        <v>Collectio sententiarum Sinensium, magnopere in cultura tradita.</v>
      </c>
      <c r="J1033" t="str">
        <f>_xlfn.XLOOKUP(frasest[[#This Row],[author_es]],autorest[author_es],autorest[iso3691])</f>
        <v>zh</v>
      </c>
      <c r="K1033" t="str">
        <f>_xlfn.XLOOKUP(frasest[[#This Row],[author_es]],autorest[author_es],autorest[language_es])</f>
        <v>Chino</v>
      </c>
      <c r="L1033" t="str">
        <f>_xlfn.XLOOKUP(frasest[[#This Row],[author_es]],autorest[author_es],autorest[language_la])</f>
        <v>Lingua Sinica</v>
      </c>
      <c r="M1033" t="str">
        <f>_xlfn.XLOOKUP(frasest[[#This Row],[author_es]],autorest[author_es],autorest[nation_es])</f>
        <v>China</v>
      </c>
      <c r="N1033" t="str">
        <f>_xlfn.XLOOKUP(frasest[[#This Row],[author_es]],autorest[author_es],autorest[nation_la])</f>
        <v>Sinae</v>
      </c>
      <c r="O1033" t="str">
        <f>_xlfn.XLOOKUP(frasest[[#This Row],[author_es]],autorest[author_es],autorest[age_es])</f>
        <v>Epoca Desconocida</v>
      </c>
      <c r="P1033" t="str">
        <f>_xlfn.XLOOKUP(frasest[[#This Row],[author_es]],autorest[author_es],autorest[age_la])</f>
        <v>Epocha Ignota</v>
      </c>
      <c r="Q1033" t="str">
        <f>_xlfn.XLOOKUP(frasest[[#This Row],[author_es]],autorest[author_es],autorest[image])</f>
        <v>https://i.ibb.co/qLfpZm6h/china.png</v>
      </c>
      <c r="R1033">
        <f>_xlfn.XLOOKUP(frasest[[#This Row],[author_es]],autorest[author_es],autorest[image_atr])</f>
        <v>0</v>
      </c>
    </row>
    <row r="1034" spans="1:18">
      <c r="A1034">
        <v>1033</v>
      </c>
      <c r="B1034" t="s">
        <v>3235</v>
      </c>
      <c r="C1034" t="s">
        <v>3236</v>
      </c>
      <c r="D1034" s="1" t="s">
        <v>3237</v>
      </c>
      <c r="E1034" t="s">
        <v>36</v>
      </c>
      <c r="G1034" t="str">
        <f>_xlfn.XLOOKUP(frasest[[#This Row],[author_es]],autorest[author_es],autorest[author_la])</f>
        <v>Proverbium Sinense</v>
      </c>
      <c r="H1034" t="str">
        <f>_xlfn.XLOOKUP(frasest[[#This Row],[author_es]],autorest[author_es],autorest[bio_es])</f>
        <v>Conjunto de proverbios tradicionales de la cultura china que transmiten sabiduría popular, valores morales y enseñanzas prácticas transmitidas oralmente durante siglos.</v>
      </c>
      <c r="I1034" t="str">
        <f>_xlfn.XLOOKUP(frasest[[#This Row],[author_es]],autorest[author_es],autorest[bio_la])</f>
        <v>Collectio sententiarum Sinensium, magnopere in cultura tradita.</v>
      </c>
      <c r="J1034" t="str">
        <f>_xlfn.XLOOKUP(frasest[[#This Row],[author_es]],autorest[author_es],autorest[iso3691])</f>
        <v>zh</v>
      </c>
      <c r="K1034" t="str">
        <f>_xlfn.XLOOKUP(frasest[[#This Row],[author_es]],autorest[author_es],autorest[language_es])</f>
        <v>Chino</v>
      </c>
      <c r="L1034" t="str">
        <f>_xlfn.XLOOKUP(frasest[[#This Row],[author_es]],autorest[author_es],autorest[language_la])</f>
        <v>Lingua Sinica</v>
      </c>
      <c r="M1034" t="str">
        <f>_xlfn.XLOOKUP(frasest[[#This Row],[author_es]],autorest[author_es],autorest[nation_es])</f>
        <v>China</v>
      </c>
      <c r="N1034" t="str">
        <f>_xlfn.XLOOKUP(frasest[[#This Row],[author_es]],autorest[author_es],autorest[nation_la])</f>
        <v>Sinae</v>
      </c>
      <c r="O1034" t="str">
        <f>_xlfn.XLOOKUP(frasest[[#This Row],[author_es]],autorest[author_es],autorest[age_es])</f>
        <v>Epoca Desconocida</v>
      </c>
      <c r="P1034" t="str">
        <f>_xlfn.XLOOKUP(frasest[[#This Row],[author_es]],autorest[author_es],autorest[age_la])</f>
        <v>Epocha Ignota</v>
      </c>
      <c r="Q1034" t="str">
        <f>_xlfn.XLOOKUP(frasest[[#This Row],[author_es]],autorest[author_es],autorest[image])</f>
        <v>https://i.ibb.co/qLfpZm6h/china.png</v>
      </c>
      <c r="R1034">
        <f>_xlfn.XLOOKUP(frasest[[#This Row],[author_es]],autorest[author_es],autorest[image_atr])</f>
        <v>0</v>
      </c>
    </row>
    <row r="1035" spans="1:18">
      <c r="A1035">
        <v>1034</v>
      </c>
      <c r="B1035" t="s">
        <v>3238</v>
      </c>
      <c r="C1035" t="s">
        <v>3239</v>
      </c>
      <c r="D1035" s="1" t="s">
        <v>3240</v>
      </c>
      <c r="E1035" t="s">
        <v>36</v>
      </c>
      <c r="G1035" t="str">
        <f>_xlfn.XLOOKUP(frasest[[#This Row],[author_es]],autorest[author_es],autorest[author_la])</f>
        <v>Proverbium Sinense</v>
      </c>
      <c r="H1035" t="str">
        <f>_xlfn.XLOOKUP(frasest[[#This Row],[author_es]],autorest[author_es],autorest[bio_es])</f>
        <v>Conjunto de proverbios tradicionales de la cultura china que transmiten sabiduría popular, valores morales y enseñanzas prácticas transmitidas oralmente durante siglos.</v>
      </c>
      <c r="I1035" t="str">
        <f>_xlfn.XLOOKUP(frasest[[#This Row],[author_es]],autorest[author_es],autorest[bio_la])</f>
        <v>Collectio sententiarum Sinensium, magnopere in cultura tradita.</v>
      </c>
      <c r="J1035" t="str">
        <f>_xlfn.XLOOKUP(frasest[[#This Row],[author_es]],autorest[author_es],autorest[iso3691])</f>
        <v>zh</v>
      </c>
      <c r="K1035" t="str">
        <f>_xlfn.XLOOKUP(frasest[[#This Row],[author_es]],autorest[author_es],autorest[language_es])</f>
        <v>Chino</v>
      </c>
      <c r="L1035" t="str">
        <f>_xlfn.XLOOKUP(frasest[[#This Row],[author_es]],autorest[author_es],autorest[language_la])</f>
        <v>Lingua Sinica</v>
      </c>
      <c r="M1035" t="str">
        <f>_xlfn.XLOOKUP(frasest[[#This Row],[author_es]],autorest[author_es],autorest[nation_es])</f>
        <v>China</v>
      </c>
      <c r="N1035" t="str">
        <f>_xlfn.XLOOKUP(frasest[[#This Row],[author_es]],autorest[author_es],autorest[nation_la])</f>
        <v>Sinae</v>
      </c>
      <c r="O1035" t="str">
        <f>_xlfn.XLOOKUP(frasest[[#This Row],[author_es]],autorest[author_es],autorest[age_es])</f>
        <v>Epoca Desconocida</v>
      </c>
      <c r="P1035" t="str">
        <f>_xlfn.XLOOKUP(frasest[[#This Row],[author_es]],autorest[author_es],autorest[age_la])</f>
        <v>Epocha Ignota</v>
      </c>
      <c r="Q1035" t="str">
        <f>_xlfn.XLOOKUP(frasest[[#This Row],[author_es]],autorest[author_es],autorest[image])</f>
        <v>https://i.ibb.co/qLfpZm6h/china.png</v>
      </c>
      <c r="R1035">
        <f>_xlfn.XLOOKUP(frasest[[#This Row],[author_es]],autorest[author_es],autorest[image_atr])</f>
        <v>0</v>
      </c>
    </row>
    <row r="1036" spans="1:18">
      <c r="A1036">
        <v>1035</v>
      </c>
      <c r="B1036" t="s">
        <v>3241</v>
      </c>
      <c r="C1036" t="s">
        <v>3242</v>
      </c>
      <c r="D1036" s="1" t="s">
        <v>3243</v>
      </c>
      <c r="E1036" t="s">
        <v>36</v>
      </c>
      <c r="G1036" t="str">
        <f>_xlfn.XLOOKUP(frasest[[#This Row],[author_es]],autorest[author_es],autorest[author_la])</f>
        <v>Proverbium Sinense</v>
      </c>
      <c r="H1036" t="str">
        <f>_xlfn.XLOOKUP(frasest[[#This Row],[author_es]],autorest[author_es],autorest[bio_es])</f>
        <v>Conjunto de proverbios tradicionales de la cultura china que transmiten sabiduría popular, valores morales y enseñanzas prácticas transmitidas oralmente durante siglos.</v>
      </c>
      <c r="I1036" t="str">
        <f>_xlfn.XLOOKUP(frasest[[#This Row],[author_es]],autorest[author_es],autorest[bio_la])</f>
        <v>Collectio sententiarum Sinensium, magnopere in cultura tradita.</v>
      </c>
      <c r="J1036" t="str">
        <f>_xlfn.XLOOKUP(frasest[[#This Row],[author_es]],autorest[author_es],autorest[iso3691])</f>
        <v>zh</v>
      </c>
      <c r="K1036" t="str">
        <f>_xlfn.XLOOKUP(frasest[[#This Row],[author_es]],autorest[author_es],autorest[language_es])</f>
        <v>Chino</v>
      </c>
      <c r="L1036" t="str">
        <f>_xlfn.XLOOKUP(frasest[[#This Row],[author_es]],autorest[author_es],autorest[language_la])</f>
        <v>Lingua Sinica</v>
      </c>
      <c r="M1036" t="str">
        <f>_xlfn.XLOOKUP(frasest[[#This Row],[author_es]],autorest[author_es],autorest[nation_es])</f>
        <v>China</v>
      </c>
      <c r="N1036" t="str">
        <f>_xlfn.XLOOKUP(frasest[[#This Row],[author_es]],autorest[author_es],autorest[nation_la])</f>
        <v>Sinae</v>
      </c>
      <c r="O1036" t="str">
        <f>_xlfn.XLOOKUP(frasest[[#This Row],[author_es]],autorest[author_es],autorest[age_es])</f>
        <v>Epoca Desconocida</v>
      </c>
      <c r="P1036" t="str">
        <f>_xlfn.XLOOKUP(frasest[[#This Row],[author_es]],autorest[author_es],autorest[age_la])</f>
        <v>Epocha Ignota</v>
      </c>
      <c r="Q1036" t="str">
        <f>_xlfn.XLOOKUP(frasest[[#This Row],[author_es]],autorest[author_es],autorest[image])</f>
        <v>https://i.ibb.co/qLfpZm6h/china.png</v>
      </c>
      <c r="R1036">
        <f>_xlfn.XLOOKUP(frasest[[#This Row],[author_es]],autorest[author_es],autorest[image_atr])</f>
        <v>0</v>
      </c>
    </row>
    <row r="1037" spans="1:18">
      <c r="A1037">
        <v>1036</v>
      </c>
      <c r="B1037" t="s">
        <v>3244</v>
      </c>
      <c r="C1037" t="s">
        <v>3245</v>
      </c>
      <c r="D1037" s="1" t="s">
        <v>3246</v>
      </c>
      <c r="E1037" t="s">
        <v>36</v>
      </c>
      <c r="G1037" t="str">
        <f>_xlfn.XLOOKUP(frasest[[#This Row],[author_es]],autorest[author_es],autorest[author_la])</f>
        <v>Proverbium Sinense</v>
      </c>
      <c r="H1037" t="str">
        <f>_xlfn.XLOOKUP(frasest[[#This Row],[author_es]],autorest[author_es],autorest[bio_es])</f>
        <v>Conjunto de proverbios tradicionales de la cultura china que transmiten sabiduría popular, valores morales y enseñanzas prácticas transmitidas oralmente durante siglos.</v>
      </c>
      <c r="I1037" t="str">
        <f>_xlfn.XLOOKUP(frasest[[#This Row],[author_es]],autorest[author_es],autorest[bio_la])</f>
        <v>Collectio sententiarum Sinensium, magnopere in cultura tradita.</v>
      </c>
      <c r="J1037" t="str">
        <f>_xlfn.XLOOKUP(frasest[[#This Row],[author_es]],autorest[author_es],autorest[iso3691])</f>
        <v>zh</v>
      </c>
      <c r="K1037" t="str">
        <f>_xlfn.XLOOKUP(frasest[[#This Row],[author_es]],autorest[author_es],autorest[language_es])</f>
        <v>Chino</v>
      </c>
      <c r="L1037" t="str">
        <f>_xlfn.XLOOKUP(frasest[[#This Row],[author_es]],autorest[author_es],autorest[language_la])</f>
        <v>Lingua Sinica</v>
      </c>
      <c r="M1037" t="str">
        <f>_xlfn.XLOOKUP(frasest[[#This Row],[author_es]],autorest[author_es],autorest[nation_es])</f>
        <v>China</v>
      </c>
      <c r="N1037" t="str">
        <f>_xlfn.XLOOKUP(frasest[[#This Row],[author_es]],autorest[author_es],autorest[nation_la])</f>
        <v>Sinae</v>
      </c>
      <c r="O1037" t="str">
        <f>_xlfn.XLOOKUP(frasest[[#This Row],[author_es]],autorest[author_es],autorest[age_es])</f>
        <v>Epoca Desconocida</v>
      </c>
      <c r="P1037" t="str">
        <f>_xlfn.XLOOKUP(frasest[[#This Row],[author_es]],autorest[author_es],autorest[age_la])</f>
        <v>Epocha Ignota</v>
      </c>
      <c r="Q1037" t="str">
        <f>_xlfn.XLOOKUP(frasest[[#This Row],[author_es]],autorest[author_es],autorest[image])</f>
        <v>https://i.ibb.co/qLfpZm6h/china.png</v>
      </c>
      <c r="R1037">
        <f>_xlfn.XLOOKUP(frasest[[#This Row],[author_es]],autorest[author_es],autorest[image_atr])</f>
        <v>0</v>
      </c>
    </row>
    <row r="1038" spans="1:18">
      <c r="A1038">
        <v>1037</v>
      </c>
      <c r="B1038" t="s">
        <v>3247</v>
      </c>
      <c r="C1038" t="s">
        <v>3248</v>
      </c>
      <c r="D1038" s="1" t="s">
        <v>3249</v>
      </c>
      <c r="E1038" t="s">
        <v>36</v>
      </c>
      <c r="G1038" t="str">
        <f>_xlfn.XLOOKUP(frasest[[#This Row],[author_es]],autorest[author_es],autorest[author_la])</f>
        <v>Proverbium Sinense</v>
      </c>
      <c r="H1038" t="str">
        <f>_xlfn.XLOOKUP(frasest[[#This Row],[author_es]],autorest[author_es],autorest[bio_es])</f>
        <v>Conjunto de proverbios tradicionales de la cultura china que transmiten sabiduría popular, valores morales y enseñanzas prácticas transmitidas oralmente durante siglos.</v>
      </c>
      <c r="I1038" t="str">
        <f>_xlfn.XLOOKUP(frasest[[#This Row],[author_es]],autorest[author_es],autorest[bio_la])</f>
        <v>Collectio sententiarum Sinensium, magnopere in cultura tradita.</v>
      </c>
      <c r="J1038" t="str">
        <f>_xlfn.XLOOKUP(frasest[[#This Row],[author_es]],autorest[author_es],autorest[iso3691])</f>
        <v>zh</v>
      </c>
      <c r="K1038" t="str">
        <f>_xlfn.XLOOKUP(frasest[[#This Row],[author_es]],autorest[author_es],autorest[language_es])</f>
        <v>Chino</v>
      </c>
      <c r="L1038" t="str">
        <f>_xlfn.XLOOKUP(frasest[[#This Row],[author_es]],autorest[author_es],autorest[language_la])</f>
        <v>Lingua Sinica</v>
      </c>
      <c r="M1038" t="str">
        <f>_xlfn.XLOOKUP(frasest[[#This Row],[author_es]],autorest[author_es],autorest[nation_es])</f>
        <v>China</v>
      </c>
      <c r="N1038" t="str">
        <f>_xlfn.XLOOKUP(frasest[[#This Row],[author_es]],autorest[author_es],autorest[nation_la])</f>
        <v>Sinae</v>
      </c>
      <c r="O1038" t="str">
        <f>_xlfn.XLOOKUP(frasest[[#This Row],[author_es]],autorest[author_es],autorest[age_es])</f>
        <v>Epoca Desconocida</v>
      </c>
      <c r="P1038" t="str">
        <f>_xlfn.XLOOKUP(frasest[[#This Row],[author_es]],autorest[author_es],autorest[age_la])</f>
        <v>Epocha Ignota</v>
      </c>
      <c r="Q1038" t="str">
        <f>_xlfn.XLOOKUP(frasest[[#This Row],[author_es]],autorest[author_es],autorest[image])</f>
        <v>https://i.ibb.co/qLfpZm6h/china.png</v>
      </c>
      <c r="R1038">
        <f>_xlfn.XLOOKUP(frasest[[#This Row],[author_es]],autorest[author_es],autorest[image_atr])</f>
        <v>0</v>
      </c>
    </row>
    <row r="1039" spans="1:18">
      <c r="A1039">
        <v>1038</v>
      </c>
      <c r="B1039" t="s">
        <v>3250</v>
      </c>
      <c r="C1039" t="s">
        <v>3251</v>
      </c>
      <c r="D1039" s="1" t="s">
        <v>3252</v>
      </c>
      <c r="E1039" t="s">
        <v>36</v>
      </c>
      <c r="G1039" t="str">
        <f>_xlfn.XLOOKUP(frasest[[#This Row],[author_es]],autorest[author_es],autorest[author_la])</f>
        <v>Proverbium Sinense</v>
      </c>
      <c r="H1039" t="str">
        <f>_xlfn.XLOOKUP(frasest[[#This Row],[author_es]],autorest[author_es],autorest[bio_es])</f>
        <v>Conjunto de proverbios tradicionales de la cultura china que transmiten sabiduría popular, valores morales y enseñanzas prácticas transmitidas oralmente durante siglos.</v>
      </c>
      <c r="I1039" t="str">
        <f>_xlfn.XLOOKUP(frasest[[#This Row],[author_es]],autorest[author_es],autorest[bio_la])</f>
        <v>Collectio sententiarum Sinensium, magnopere in cultura tradita.</v>
      </c>
      <c r="J1039" t="str">
        <f>_xlfn.XLOOKUP(frasest[[#This Row],[author_es]],autorest[author_es],autorest[iso3691])</f>
        <v>zh</v>
      </c>
      <c r="K1039" t="str">
        <f>_xlfn.XLOOKUP(frasest[[#This Row],[author_es]],autorest[author_es],autorest[language_es])</f>
        <v>Chino</v>
      </c>
      <c r="L1039" t="str">
        <f>_xlfn.XLOOKUP(frasest[[#This Row],[author_es]],autorest[author_es],autorest[language_la])</f>
        <v>Lingua Sinica</v>
      </c>
      <c r="M1039" t="str">
        <f>_xlfn.XLOOKUP(frasest[[#This Row],[author_es]],autorest[author_es],autorest[nation_es])</f>
        <v>China</v>
      </c>
      <c r="N1039" t="str">
        <f>_xlfn.XLOOKUP(frasest[[#This Row],[author_es]],autorest[author_es],autorest[nation_la])</f>
        <v>Sinae</v>
      </c>
      <c r="O1039" t="str">
        <f>_xlfn.XLOOKUP(frasest[[#This Row],[author_es]],autorest[author_es],autorest[age_es])</f>
        <v>Epoca Desconocida</v>
      </c>
      <c r="P1039" t="str">
        <f>_xlfn.XLOOKUP(frasest[[#This Row],[author_es]],autorest[author_es],autorest[age_la])</f>
        <v>Epocha Ignota</v>
      </c>
      <c r="Q1039" t="str">
        <f>_xlfn.XLOOKUP(frasest[[#This Row],[author_es]],autorest[author_es],autorest[image])</f>
        <v>https://i.ibb.co/qLfpZm6h/china.png</v>
      </c>
      <c r="R1039">
        <f>_xlfn.XLOOKUP(frasest[[#This Row],[author_es]],autorest[author_es],autorest[image_atr])</f>
        <v>0</v>
      </c>
    </row>
    <row r="1040" spans="1:18">
      <c r="A1040">
        <v>1039</v>
      </c>
      <c r="B1040" t="s">
        <v>3253</v>
      </c>
      <c r="C1040" t="s">
        <v>3254</v>
      </c>
      <c r="D1040" s="1" t="s">
        <v>3255</v>
      </c>
      <c r="E1040" t="s">
        <v>36</v>
      </c>
      <c r="G1040" t="str">
        <f>_xlfn.XLOOKUP(frasest[[#This Row],[author_es]],autorest[author_es],autorest[author_la])</f>
        <v>Proverbium Sinense</v>
      </c>
      <c r="H1040" t="str">
        <f>_xlfn.XLOOKUP(frasest[[#This Row],[author_es]],autorest[author_es],autorest[bio_es])</f>
        <v>Conjunto de proverbios tradicionales de la cultura china que transmiten sabiduría popular, valores morales y enseñanzas prácticas transmitidas oralmente durante siglos.</v>
      </c>
      <c r="I1040" t="str">
        <f>_xlfn.XLOOKUP(frasest[[#This Row],[author_es]],autorest[author_es],autorest[bio_la])</f>
        <v>Collectio sententiarum Sinensium, magnopere in cultura tradita.</v>
      </c>
      <c r="J1040" t="str">
        <f>_xlfn.XLOOKUP(frasest[[#This Row],[author_es]],autorest[author_es],autorest[iso3691])</f>
        <v>zh</v>
      </c>
      <c r="K1040" t="str">
        <f>_xlfn.XLOOKUP(frasest[[#This Row],[author_es]],autorest[author_es],autorest[language_es])</f>
        <v>Chino</v>
      </c>
      <c r="L1040" t="str">
        <f>_xlfn.XLOOKUP(frasest[[#This Row],[author_es]],autorest[author_es],autorest[language_la])</f>
        <v>Lingua Sinica</v>
      </c>
      <c r="M1040" t="str">
        <f>_xlfn.XLOOKUP(frasest[[#This Row],[author_es]],autorest[author_es],autorest[nation_es])</f>
        <v>China</v>
      </c>
      <c r="N1040" t="str">
        <f>_xlfn.XLOOKUP(frasest[[#This Row],[author_es]],autorest[author_es],autorest[nation_la])</f>
        <v>Sinae</v>
      </c>
      <c r="O1040" t="str">
        <f>_xlfn.XLOOKUP(frasest[[#This Row],[author_es]],autorest[author_es],autorest[age_es])</f>
        <v>Epoca Desconocida</v>
      </c>
      <c r="P1040" t="str">
        <f>_xlfn.XLOOKUP(frasest[[#This Row],[author_es]],autorest[author_es],autorest[age_la])</f>
        <v>Epocha Ignota</v>
      </c>
      <c r="Q1040" t="str">
        <f>_xlfn.XLOOKUP(frasest[[#This Row],[author_es]],autorest[author_es],autorest[image])</f>
        <v>https://i.ibb.co/qLfpZm6h/china.png</v>
      </c>
      <c r="R1040">
        <f>_xlfn.XLOOKUP(frasest[[#This Row],[author_es]],autorest[author_es],autorest[image_atr])</f>
        <v>0</v>
      </c>
    </row>
    <row r="1041" spans="1:18">
      <c r="A1041">
        <v>1040</v>
      </c>
      <c r="B1041" t="s">
        <v>3256</v>
      </c>
      <c r="C1041" t="s">
        <v>3257</v>
      </c>
      <c r="D1041" s="1" t="s">
        <v>3258</v>
      </c>
      <c r="E1041" t="s">
        <v>36</v>
      </c>
      <c r="G1041" t="str">
        <f>_xlfn.XLOOKUP(frasest[[#This Row],[author_es]],autorest[author_es],autorest[author_la])</f>
        <v>Proverbium Sinense</v>
      </c>
      <c r="H1041" t="str">
        <f>_xlfn.XLOOKUP(frasest[[#This Row],[author_es]],autorest[author_es],autorest[bio_es])</f>
        <v>Conjunto de proverbios tradicionales de la cultura china que transmiten sabiduría popular, valores morales y enseñanzas prácticas transmitidas oralmente durante siglos.</v>
      </c>
      <c r="I1041" t="str">
        <f>_xlfn.XLOOKUP(frasest[[#This Row],[author_es]],autorest[author_es],autorest[bio_la])</f>
        <v>Collectio sententiarum Sinensium, magnopere in cultura tradita.</v>
      </c>
      <c r="J1041" t="str">
        <f>_xlfn.XLOOKUP(frasest[[#This Row],[author_es]],autorest[author_es],autorest[iso3691])</f>
        <v>zh</v>
      </c>
      <c r="K1041" t="str">
        <f>_xlfn.XLOOKUP(frasest[[#This Row],[author_es]],autorest[author_es],autorest[language_es])</f>
        <v>Chino</v>
      </c>
      <c r="L1041" t="str">
        <f>_xlfn.XLOOKUP(frasest[[#This Row],[author_es]],autorest[author_es],autorest[language_la])</f>
        <v>Lingua Sinica</v>
      </c>
      <c r="M1041" t="str">
        <f>_xlfn.XLOOKUP(frasest[[#This Row],[author_es]],autorest[author_es],autorest[nation_es])</f>
        <v>China</v>
      </c>
      <c r="N1041" t="str">
        <f>_xlfn.XLOOKUP(frasest[[#This Row],[author_es]],autorest[author_es],autorest[nation_la])</f>
        <v>Sinae</v>
      </c>
      <c r="O1041" t="str">
        <f>_xlfn.XLOOKUP(frasest[[#This Row],[author_es]],autorest[author_es],autorest[age_es])</f>
        <v>Epoca Desconocida</v>
      </c>
      <c r="P1041" t="str">
        <f>_xlfn.XLOOKUP(frasest[[#This Row],[author_es]],autorest[author_es],autorest[age_la])</f>
        <v>Epocha Ignota</v>
      </c>
      <c r="Q1041" t="str">
        <f>_xlfn.XLOOKUP(frasest[[#This Row],[author_es]],autorest[author_es],autorest[image])</f>
        <v>https://i.ibb.co/qLfpZm6h/china.png</v>
      </c>
      <c r="R1041">
        <f>_xlfn.XLOOKUP(frasest[[#This Row],[author_es]],autorest[author_es],autorest[image_atr])</f>
        <v>0</v>
      </c>
    </row>
    <row r="1042" spans="1:18">
      <c r="A1042">
        <v>1041</v>
      </c>
      <c r="B1042" t="s">
        <v>3259</v>
      </c>
      <c r="C1042" t="s">
        <v>3260</v>
      </c>
      <c r="D1042" s="1" t="s">
        <v>3261</v>
      </c>
      <c r="E1042" t="s">
        <v>36</v>
      </c>
      <c r="G1042" t="str">
        <f>_xlfn.XLOOKUP(frasest[[#This Row],[author_es]],autorest[author_es],autorest[author_la])</f>
        <v>Proverbium Sinense</v>
      </c>
      <c r="H1042" t="str">
        <f>_xlfn.XLOOKUP(frasest[[#This Row],[author_es]],autorest[author_es],autorest[bio_es])</f>
        <v>Conjunto de proverbios tradicionales de la cultura china que transmiten sabiduría popular, valores morales y enseñanzas prácticas transmitidas oralmente durante siglos.</v>
      </c>
      <c r="I1042" t="str">
        <f>_xlfn.XLOOKUP(frasest[[#This Row],[author_es]],autorest[author_es],autorest[bio_la])</f>
        <v>Collectio sententiarum Sinensium, magnopere in cultura tradita.</v>
      </c>
      <c r="J1042" t="str">
        <f>_xlfn.XLOOKUP(frasest[[#This Row],[author_es]],autorest[author_es],autorest[iso3691])</f>
        <v>zh</v>
      </c>
      <c r="K1042" t="str">
        <f>_xlfn.XLOOKUP(frasest[[#This Row],[author_es]],autorest[author_es],autorest[language_es])</f>
        <v>Chino</v>
      </c>
      <c r="L1042" t="str">
        <f>_xlfn.XLOOKUP(frasest[[#This Row],[author_es]],autorest[author_es],autorest[language_la])</f>
        <v>Lingua Sinica</v>
      </c>
      <c r="M1042" t="str">
        <f>_xlfn.XLOOKUP(frasest[[#This Row],[author_es]],autorest[author_es],autorest[nation_es])</f>
        <v>China</v>
      </c>
      <c r="N1042" t="str">
        <f>_xlfn.XLOOKUP(frasest[[#This Row],[author_es]],autorest[author_es],autorest[nation_la])</f>
        <v>Sinae</v>
      </c>
      <c r="O1042" t="str">
        <f>_xlfn.XLOOKUP(frasest[[#This Row],[author_es]],autorest[author_es],autorest[age_es])</f>
        <v>Epoca Desconocida</v>
      </c>
      <c r="P1042" t="str">
        <f>_xlfn.XLOOKUP(frasest[[#This Row],[author_es]],autorest[author_es],autorest[age_la])</f>
        <v>Epocha Ignota</v>
      </c>
      <c r="Q1042" t="str">
        <f>_xlfn.XLOOKUP(frasest[[#This Row],[author_es]],autorest[author_es],autorest[image])</f>
        <v>https://i.ibb.co/qLfpZm6h/china.png</v>
      </c>
      <c r="R1042">
        <f>_xlfn.XLOOKUP(frasest[[#This Row],[author_es]],autorest[author_es],autorest[image_atr])</f>
        <v>0</v>
      </c>
    </row>
    <row r="1043" spans="1:18">
      <c r="A1043">
        <v>1042</v>
      </c>
      <c r="B1043" t="s">
        <v>3262</v>
      </c>
      <c r="C1043" t="s">
        <v>3263</v>
      </c>
      <c r="D1043" s="1" t="s">
        <v>3264</v>
      </c>
      <c r="E1043" t="s">
        <v>36</v>
      </c>
      <c r="G1043" t="str">
        <f>_xlfn.XLOOKUP(frasest[[#This Row],[author_es]],autorest[author_es],autorest[author_la])</f>
        <v>Proverbium Sinense</v>
      </c>
      <c r="H1043" t="str">
        <f>_xlfn.XLOOKUP(frasest[[#This Row],[author_es]],autorest[author_es],autorest[bio_es])</f>
        <v>Conjunto de proverbios tradicionales de la cultura china que transmiten sabiduría popular, valores morales y enseñanzas prácticas transmitidas oralmente durante siglos.</v>
      </c>
      <c r="I1043" t="str">
        <f>_xlfn.XLOOKUP(frasest[[#This Row],[author_es]],autorest[author_es],autorest[bio_la])</f>
        <v>Collectio sententiarum Sinensium, magnopere in cultura tradita.</v>
      </c>
      <c r="J1043" t="str">
        <f>_xlfn.XLOOKUP(frasest[[#This Row],[author_es]],autorest[author_es],autorest[iso3691])</f>
        <v>zh</v>
      </c>
      <c r="K1043" t="str">
        <f>_xlfn.XLOOKUP(frasest[[#This Row],[author_es]],autorest[author_es],autorest[language_es])</f>
        <v>Chino</v>
      </c>
      <c r="L1043" t="str">
        <f>_xlfn.XLOOKUP(frasest[[#This Row],[author_es]],autorest[author_es],autorest[language_la])</f>
        <v>Lingua Sinica</v>
      </c>
      <c r="M1043" t="str">
        <f>_xlfn.XLOOKUP(frasest[[#This Row],[author_es]],autorest[author_es],autorest[nation_es])</f>
        <v>China</v>
      </c>
      <c r="N1043" t="str">
        <f>_xlfn.XLOOKUP(frasest[[#This Row],[author_es]],autorest[author_es],autorest[nation_la])</f>
        <v>Sinae</v>
      </c>
      <c r="O1043" t="str">
        <f>_xlfn.XLOOKUP(frasest[[#This Row],[author_es]],autorest[author_es],autorest[age_es])</f>
        <v>Epoca Desconocida</v>
      </c>
      <c r="P1043" t="str">
        <f>_xlfn.XLOOKUP(frasest[[#This Row],[author_es]],autorest[author_es],autorest[age_la])</f>
        <v>Epocha Ignota</v>
      </c>
      <c r="Q1043" t="str">
        <f>_xlfn.XLOOKUP(frasest[[#This Row],[author_es]],autorest[author_es],autorest[image])</f>
        <v>https://i.ibb.co/qLfpZm6h/china.png</v>
      </c>
      <c r="R1043">
        <f>_xlfn.XLOOKUP(frasest[[#This Row],[author_es]],autorest[author_es],autorest[image_atr])</f>
        <v>0</v>
      </c>
    </row>
    <row r="1044" spans="1:18">
      <c r="A1044">
        <v>1043</v>
      </c>
      <c r="B1044" t="s">
        <v>3265</v>
      </c>
      <c r="C1044" t="s">
        <v>3266</v>
      </c>
      <c r="D1044" s="1" t="s">
        <v>3267</v>
      </c>
      <c r="E1044" t="s">
        <v>36</v>
      </c>
      <c r="G1044" t="str">
        <f>_xlfn.XLOOKUP(frasest[[#This Row],[author_es]],autorest[author_es],autorest[author_la])</f>
        <v>Proverbium Sinense</v>
      </c>
      <c r="H1044" t="str">
        <f>_xlfn.XLOOKUP(frasest[[#This Row],[author_es]],autorest[author_es],autorest[bio_es])</f>
        <v>Conjunto de proverbios tradicionales de la cultura china que transmiten sabiduría popular, valores morales y enseñanzas prácticas transmitidas oralmente durante siglos.</v>
      </c>
      <c r="I1044" t="str">
        <f>_xlfn.XLOOKUP(frasest[[#This Row],[author_es]],autorest[author_es],autorest[bio_la])</f>
        <v>Collectio sententiarum Sinensium, magnopere in cultura tradita.</v>
      </c>
      <c r="J1044" t="str">
        <f>_xlfn.XLOOKUP(frasest[[#This Row],[author_es]],autorest[author_es],autorest[iso3691])</f>
        <v>zh</v>
      </c>
      <c r="K1044" t="str">
        <f>_xlfn.XLOOKUP(frasest[[#This Row],[author_es]],autorest[author_es],autorest[language_es])</f>
        <v>Chino</v>
      </c>
      <c r="L1044" t="str">
        <f>_xlfn.XLOOKUP(frasest[[#This Row],[author_es]],autorest[author_es],autorest[language_la])</f>
        <v>Lingua Sinica</v>
      </c>
      <c r="M1044" t="str">
        <f>_xlfn.XLOOKUP(frasest[[#This Row],[author_es]],autorest[author_es],autorest[nation_es])</f>
        <v>China</v>
      </c>
      <c r="N1044" t="str">
        <f>_xlfn.XLOOKUP(frasest[[#This Row],[author_es]],autorest[author_es],autorest[nation_la])</f>
        <v>Sinae</v>
      </c>
      <c r="O1044" t="str">
        <f>_xlfn.XLOOKUP(frasest[[#This Row],[author_es]],autorest[author_es],autorest[age_es])</f>
        <v>Epoca Desconocida</v>
      </c>
      <c r="P1044" t="str">
        <f>_xlfn.XLOOKUP(frasest[[#This Row],[author_es]],autorest[author_es],autorest[age_la])</f>
        <v>Epocha Ignota</v>
      </c>
      <c r="Q1044" t="str">
        <f>_xlfn.XLOOKUP(frasest[[#This Row],[author_es]],autorest[author_es],autorest[image])</f>
        <v>https://i.ibb.co/qLfpZm6h/china.png</v>
      </c>
      <c r="R1044">
        <f>_xlfn.XLOOKUP(frasest[[#This Row],[author_es]],autorest[author_es],autorest[image_atr])</f>
        <v>0</v>
      </c>
    </row>
    <row r="1045" spans="1:18">
      <c r="A1045">
        <v>1044</v>
      </c>
      <c r="B1045" t="s">
        <v>3268</v>
      </c>
      <c r="C1045" t="s">
        <v>3269</v>
      </c>
      <c r="D1045" s="1" t="s">
        <v>3270</v>
      </c>
      <c r="E1045" t="s">
        <v>36</v>
      </c>
      <c r="G1045" t="str">
        <f>_xlfn.XLOOKUP(frasest[[#This Row],[author_es]],autorest[author_es],autorest[author_la])</f>
        <v>Proverbium Sinense</v>
      </c>
      <c r="H1045" t="str">
        <f>_xlfn.XLOOKUP(frasest[[#This Row],[author_es]],autorest[author_es],autorest[bio_es])</f>
        <v>Conjunto de proverbios tradicionales de la cultura china que transmiten sabiduría popular, valores morales y enseñanzas prácticas transmitidas oralmente durante siglos.</v>
      </c>
      <c r="I1045" t="str">
        <f>_xlfn.XLOOKUP(frasest[[#This Row],[author_es]],autorest[author_es],autorest[bio_la])</f>
        <v>Collectio sententiarum Sinensium, magnopere in cultura tradita.</v>
      </c>
      <c r="J1045" t="str">
        <f>_xlfn.XLOOKUP(frasest[[#This Row],[author_es]],autorest[author_es],autorest[iso3691])</f>
        <v>zh</v>
      </c>
      <c r="K1045" t="str">
        <f>_xlfn.XLOOKUP(frasest[[#This Row],[author_es]],autorest[author_es],autorest[language_es])</f>
        <v>Chino</v>
      </c>
      <c r="L1045" t="str">
        <f>_xlfn.XLOOKUP(frasest[[#This Row],[author_es]],autorest[author_es],autorest[language_la])</f>
        <v>Lingua Sinica</v>
      </c>
      <c r="M1045" t="str">
        <f>_xlfn.XLOOKUP(frasest[[#This Row],[author_es]],autorest[author_es],autorest[nation_es])</f>
        <v>China</v>
      </c>
      <c r="N1045" t="str">
        <f>_xlfn.XLOOKUP(frasest[[#This Row],[author_es]],autorest[author_es],autorest[nation_la])</f>
        <v>Sinae</v>
      </c>
      <c r="O1045" t="str">
        <f>_xlfn.XLOOKUP(frasest[[#This Row],[author_es]],autorest[author_es],autorest[age_es])</f>
        <v>Epoca Desconocida</v>
      </c>
      <c r="P1045" t="str">
        <f>_xlfn.XLOOKUP(frasest[[#This Row],[author_es]],autorest[author_es],autorest[age_la])</f>
        <v>Epocha Ignota</v>
      </c>
      <c r="Q1045" t="str">
        <f>_xlfn.XLOOKUP(frasest[[#This Row],[author_es]],autorest[author_es],autorest[image])</f>
        <v>https://i.ibb.co/qLfpZm6h/china.png</v>
      </c>
      <c r="R1045">
        <f>_xlfn.XLOOKUP(frasest[[#This Row],[author_es]],autorest[author_es],autorest[image_atr])</f>
        <v>0</v>
      </c>
    </row>
    <row r="1046" spans="1:18">
      <c r="A1046">
        <v>1045</v>
      </c>
      <c r="B1046" t="s">
        <v>3271</v>
      </c>
      <c r="C1046" t="s">
        <v>3272</v>
      </c>
      <c r="D1046" s="1" t="s">
        <v>3273</v>
      </c>
      <c r="E1046" t="s">
        <v>36</v>
      </c>
      <c r="G1046" t="str">
        <f>_xlfn.XLOOKUP(frasest[[#This Row],[author_es]],autorest[author_es],autorest[author_la])</f>
        <v>Proverbium Sinense</v>
      </c>
      <c r="H1046" t="str">
        <f>_xlfn.XLOOKUP(frasest[[#This Row],[author_es]],autorest[author_es],autorest[bio_es])</f>
        <v>Conjunto de proverbios tradicionales de la cultura china que transmiten sabiduría popular, valores morales y enseñanzas prácticas transmitidas oralmente durante siglos.</v>
      </c>
      <c r="I1046" t="str">
        <f>_xlfn.XLOOKUP(frasest[[#This Row],[author_es]],autorest[author_es],autorest[bio_la])</f>
        <v>Collectio sententiarum Sinensium, magnopere in cultura tradita.</v>
      </c>
      <c r="J1046" t="str">
        <f>_xlfn.XLOOKUP(frasest[[#This Row],[author_es]],autorest[author_es],autorest[iso3691])</f>
        <v>zh</v>
      </c>
      <c r="K1046" t="str">
        <f>_xlfn.XLOOKUP(frasest[[#This Row],[author_es]],autorest[author_es],autorest[language_es])</f>
        <v>Chino</v>
      </c>
      <c r="L1046" t="str">
        <f>_xlfn.XLOOKUP(frasest[[#This Row],[author_es]],autorest[author_es],autorest[language_la])</f>
        <v>Lingua Sinica</v>
      </c>
      <c r="M1046" t="str">
        <f>_xlfn.XLOOKUP(frasest[[#This Row],[author_es]],autorest[author_es],autorest[nation_es])</f>
        <v>China</v>
      </c>
      <c r="N1046" t="str">
        <f>_xlfn.XLOOKUP(frasest[[#This Row],[author_es]],autorest[author_es],autorest[nation_la])</f>
        <v>Sinae</v>
      </c>
      <c r="O1046" t="str">
        <f>_xlfn.XLOOKUP(frasest[[#This Row],[author_es]],autorest[author_es],autorest[age_es])</f>
        <v>Epoca Desconocida</v>
      </c>
      <c r="P1046" t="str">
        <f>_xlfn.XLOOKUP(frasest[[#This Row],[author_es]],autorest[author_es],autorest[age_la])</f>
        <v>Epocha Ignota</v>
      </c>
      <c r="Q1046" t="str">
        <f>_xlfn.XLOOKUP(frasest[[#This Row],[author_es]],autorest[author_es],autorest[image])</f>
        <v>https://i.ibb.co/qLfpZm6h/china.png</v>
      </c>
      <c r="R1046">
        <f>_xlfn.XLOOKUP(frasest[[#This Row],[author_es]],autorest[author_es],autorest[image_atr])</f>
        <v>0</v>
      </c>
    </row>
    <row r="1047" spans="1:18">
      <c r="A1047">
        <v>1046</v>
      </c>
      <c r="B1047" t="s">
        <v>3274</v>
      </c>
      <c r="C1047" t="s">
        <v>3275</v>
      </c>
      <c r="D1047" s="1" t="s">
        <v>3276</v>
      </c>
      <c r="E1047" t="s">
        <v>36</v>
      </c>
      <c r="G1047" t="str">
        <f>_xlfn.XLOOKUP(frasest[[#This Row],[author_es]],autorest[author_es],autorest[author_la])</f>
        <v>Proverbium Sinense</v>
      </c>
      <c r="H1047" t="str">
        <f>_xlfn.XLOOKUP(frasest[[#This Row],[author_es]],autorest[author_es],autorest[bio_es])</f>
        <v>Conjunto de proverbios tradicionales de la cultura china que transmiten sabiduría popular, valores morales y enseñanzas prácticas transmitidas oralmente durante siglos.</v>
      </c>
      <c r="I1047" t="str">
        <f>_xlfn.XLOOKUP(frasest[[#This Row],[author_es]],autorest[author_es],autorest[bio_la])</f>
        <v>Collectio sententiarum Sinensium, magnopere in cultura tradita.</v>
      </c>
      <c r="J1047" t="str">
        <f>_xlfn.XLOOKUP(frasest[[#This Row],[author_es]],autorest[author_es],autorest[iso3691])</f>
        <v>zh</v>
      </c>
      <c r="K1047" t="str">
        <f>_xlfn.XLOOKUP(frasest[[#This Row],[author_es]],autorest[author_es],autorest[language_es])</f>
        <v>Chino</v>
      </c>
      <c r="L1047" t="str">
        <f>_xlfn.XLOOKUP(frasest[[#This Row],[author_es]],autorest[author_es],autorest[language_la])</f>
        <v>Lingua Sinica</v>
      </c>
      <c r="M1047" t="str">
        <f>_xlfn.XLOOKUP(frasest[[#This Row],[author_es]],autorest[author_es],autorest[nation_es])</f>
        <v>China</v>
      </c>
      <c r="N1047" t="str">
        <f>_xlfn.XLOOKUP(frasest[[#This Row],[author_es]],autorest[author_es],autorest[nation_la])</f>
        <v>Sinae</v>
      </c>
      <c r="O1047" t="str">
        <f>_xlfn.XLOOKUP(frasest[[#This Row],[author_es]],autorest[author_es],autorest[age_es])</f>
        <v>Epoca Desconocida</v>
      </c>
      <c r="P1047" t="str">
        <f>_xlfn.XLOOKUP(frasest[[#This Row],[author_es]],autorest[author_es],autorest[age_la])</f>
        <v>Epocha Ignota</v>
      </c>
      <c r="Q1047" t="str">
        <f>_xlfn.XLOOKUP(frasest[[#This Row],[author_es]],autorest[author_es],autorest[image])</f>
        <v>https://i.ibb.co/qLfpZm6h/china.png</v>
      </c>
      <c r="R1047">
        <f>_xlfn.XLOOKUP(frasest[[#This Row],[author_es]],autorest[author_es],autorest[image_atr])</f>
        <v>0</v>
      </c>
    </row>
    <row r="1048" spans="1:18">
      <c r="A1048">
        <v>1047</v>
      </c>
      <c r="B1048" t="s">
        <v>3277</v>
      </c>
      <c r="C1048" t="s">
        <v>3278</v>
      </c>
      <c r="D1048" s="1" t="s">
        <v>3279</v>
      </c>
      <c r="E1048" t="s">
        <v>36</v>
      </c>
      <c r="G1048" t="str">
        <f>_xlfn.XLOOKUP(frasest[[#This Row],[author_es]],autorest[author_es],autorest[author_la])</f>
        <v>Proverbium Sinense</v>
      </c>
      <c r="H1048" t="str">
        <f>_xlfn.XLOOKUP(frasest[[#This Row],[author_es]],autorest[author_es],autorest[bio_es])</f>
        <v>Conjunto de proverbios tradicionales de la cultura china que transmiten sabiduría popular, valores morales y enseñanzas prácticas transmitidas oralmente durante siglos.</v>
      </c>
      <c r="I1048" t="str">
        <f>_xlfn.XLOOKUP(frasest[[#This Row],[author_es]],autorest[author_es],autorest[bio_la])</f>
        <v>Collectio sententiarum Sinensium, magnopere in cultura tradita.</v>
      </c>
      <c r="J1048" t="str">
        <f>_xlfn.XLOOKUP(frasest[[#This Row],[author_es]],autorest[author_es],autorest[iso3691])</f>
        <v>zh</v>
      </c>
      <c r="K1048" t="str">
        <f>_xlfn.XLOOKUP(frasest[[#This Row],[author_es]],autorest[author_es],autorest[language_es])</f>
        <v>Chino</v>
      </c>
      <c r="L1048" t="str">
        <f>_xlfn.XLOOKUP(frasest[[#This Row],[author_es]],autorest[author_es],autorest[language_la])</f>
        <v>Lingua Sinica</v>
      </c>
      <c r="M1048" t="str">
        <f>_xlfn.XLOOKUP(frasest[[#This Row],[author_es]],autorest[author_es],autorest[nation_es])</f>
        <v>China</v>
      </c>
      <c r="N1048" t="str">
        <f>_xlfn.XLOOKUP(frasest[[#This Row],[author_es]],autorest[author_es],autorest[nation_la])</f>
        <v>Sinae</v>
      </c>
      <c r="O1048" t="str">
        <f>_xlfn.XLOOKUP(frasest[[#This Row],[author_es]],autorest[author_es],autorest[age_es])</f>
        <v>Epoca Desconocida</v>
      </c>
      <c r="P1048" t="str">
        <f>_xlfn.XLOOKUP(frasest[[#This Row],[author_es]],autorest[author_es],autorest[age_la])</f>
        <v>Epocha Ignota</v>
      </c>
      <c r="Q1048" t="str">
        <f>_xlfn.XLOOKUP(frasest[[#This Row],[author_es]],autorest[author_es],autorest[image])</f>
        <v>https://i.ibb.co/qLfpZm6h/china.png</v>
      </c>
      <c r="R1048">
        <f>_xlfn.XLOOKUP(frasest[[#This Row],[author_es]],autorest[author_es],autorest[image_atr])</f>
        <v>0</v>
      </c>
    </row>
    <row r="1049" spans="1:18">
      <c r="A1049">
        <v>1048</v>
      </c>
      <c r="B1049" t="s">
        <v>3280</v>
      </c>
      <c r="C1049" t="s">
        <v>3281</v>
      </c>
      <c r="D1049" s="1" t="s">
        <v>3282</v>
      </c>
      <c r="E1049" t="s">
        <v>36</v>
      </c>
      <c r="G1049" t="str">
        <f>_xlfn.XLOOKUP(frasest[[#This Row],[author_es]],autorest[author_es],autorest[author_la])</f>
        <v>Proverbium Sinense</v>
      </c>
      <c r="H1049" t="str">
        <f>_xlfn.XLOOKUP(frasest[[#This Row],[author_es]],autorest[author_es],autorest[bio_es])</f>
        <v>Conjunto de proverbios tradicionales de la cultura china que transmiten sabiduría popular, valores morales y enseñanzas prácticas transmitidas oralmente durante siglos.</v>
      </c>
      <c r="I1049" t="str">
        <f>_xlfn.XLOOKUP(frasest[[#This Row],[author_es]],autorest[author_es],autorest[bio_la])</f>
        <v>Collectio sententiarum Sinensium, magnopere in cultura tradita.</v>
      </c>
      <c r="J1049" t="str">
        <f>_xlfn.XLOOKUP(frasest[[#This Row],[author_es]],autorest[author_es],autorest[iso3691])</f>
        <v>zh</v>
      </c>
      <c r="K1049" t="str">
        <f>_xlfn.XLOOKUP(frasest[[#This Row],[author_es]],autorest[author_es],autorest[language_es])</f>
        <v>Chino</v>
      </c>
      <c r="L1049" t="str">
        <f>_xlfn.XLOOKUP(frasest[[#This Row],[author_es]],autorest[author_es],autorest[language_la])</f>
        <v>Lingua Sinica</v>
      </c>
      <c r="M1049" t="str">
        <f>_xlfn.XLOOKUP(frasest[[#This Row],[author_es]],autorest[author_es],autorest[nation_es])</f>
        <v>China</v>
      </c>
      <c r="N1049" t="str">
        <f>_xlfn.XLOOKUP(frasest[[#This Row],[author_es]],autorest[author_es],autorest[nation_la])</f>
        <v>Sinae</v>
      </c>
      <c r="O1049" t="str">
        <f>_xlfn.XLOOKUP(frasest[[#This Row],[author_es]],autorest[author_es],autorest[age_es])</f>
        <v>Epoca Desconocida</v>
      </c>
      <c r="P1049" t="str">
        <f>_xlfn.XLOOKUP(frasest[[#This Row],[author_es]],autorest[author_es],autorest[age_la])</f>
        <v>Epocha Ignota</v>
      </c>
      <c r="Q1049" t="str">
        <f>_xlfn.XLOOKUP(frasest[[#This Row],[author_es]],autorest[author_es],autorest[image])</f>
        <v>https://i.ibb.co/qLfpZm6h/china.png</v>
      </c>
      <c r="R1049">
        <f>_xlfn.XLOOKUP(frasest[[#This Row],[author_es]],autorest[author_es],autorest[image_atr])</f>
        <v>0</v>
      </c>
    </row>
    <row r="1050" spans="1:18">
      <c r="A1050">
        <v>1049</v>
      </c>
      <c r="B1050" t="s">
        <v>3283</v>
      </c>
      <c r="C1050" t="s">
        <v>3284</v>
      </c>
      <c r="D1050" s="1" t="s">
        <v>3285</v>
      </c>
      <c r="E1050" t="s">
        <v>36</v>
      </c>
      <c r="G1050" t="str">
        <f>_xlfn.XLOOKUP(frasest[[#This Row],[author_es]],autorest[author_es],autorest[author_la])</f>
        <v>Proverbium Sinense</v>
      </c>
      <c r="H1050" t="str">
        <f>_xlfn.XLOOKUP(frasest[[#This Row],[author_es]],autorest[author_es],autorest[bio_es])</f>
        <v>Conjunto de proverbios tradicionales de la cultura china que transmiten sabiduría popular, valores morales y enseñanzas prácticas transmitidas oralmente durante siglos.</v>
      </c>
      <c r="I1050" t="str">
        <f>_xlfn.XLOOKUP(frasest[[#This Row],[author_es]],autorest[author_es],autorest[bio_la])</f>
        <v>Collectio sententiarum Sinensium, magnopere in cultura tradita.</v>
      </c>
      <c r="J1050" t="str">
        <f>_xlfn.XLOOKUP(frasest[[#This Row],[author_es]],autorest[author_es],autorest[iso3691])</f>
        <v>zh</v>
      </c>
      <c r="K1050" t="str">
        <f>_xlfn.XLOOKUP(frasest[[#This Row],[author_es]],autorest[author_es],autorest[language_es])</f>
        <v>Chino</v>
      </c>
      <c r="L1050" t="str">
        <f>_xlfn.XLOOKUP(frasest[[#This Row],[author_es]],autorest[author_es],autorest[language_la])</f>
        <v>Lingua Sinica</v>
      </c>
      <c r="M1050" t="str">
        <f>_xlfn.XLOOKUP(frasest[[#This Row],[author_es]],autorest[author_es],autorest[nation_es])</f>
        <v>China</v>
      </c>
      <c r="N1050" t="str">
        <f>_xlfn.XLOOKUP(frasest[[#This Row],[author_es]],autorest[author_es],autorest[nation_la])</f>
        <v>Sinae</v>
      </c>
      <c r="O1050" t="str">
        <f>_xlfn.XLOOKUP(frasest[[#This Row],[author_es]],autorest[author_es],autorest[age_es])</f>
        <v>Epoca Desconocida</v>
      </c>
      <c r="P1050" t="str">
        <f>_xlfn.XLOOKUP(frasest[[#This Row],[author_es]],autorest[author_es],autorest[age_la])</f>
        <v>Epocha Ignota</v>
      </c>
      <c r="Q1050" t="str">
        <f>_xlfn.XLOOKUP(frasest[[#This Row],[author_es]],autorest[author_es],autorest[image])</f>
        <v>https://i.ibb.co/qLfpZm6h/china.png</v>
      </c>
      <c r="R1050">
        <f>_xlfn.XLOOKUP(frasest[[#This Row],[author_es]],autorest[author_es],autorest[image_atr])</f>
        <v>0</v>
      </c>
    </row>
    <row r="1051" spans="1:18">
      <c r="A1051">
        <v>1050</v>
      </c>
      <c r="B1051" t="s">
        <v>3286</v>
      </c>
      <c r="C1051" t="s">
        <v>3287</v>
      </c>
      <c r="D1051" s="1" t="s">
        <v>3288</v>
      </c>
      <c r="E1051" t="s">
        <v>36</v>
      </c>
      <c r="G1051" t="str">
        <f>_xlfn.XLOOKUP(frasest[[#This Row],[author_es]],autorest[author_es],autorest[author_la])</f>
        <v>Proverbium Sinense</v>
      </c>
      <c r="H1051" t="str">
        <f>_xlfn.XLOOKUP(frasest[[#This Row],[author_es]],autorest[author_es],autorest[bio_es])</f>
        <v>Conjunto de proverbios tradicionales de la cultura china que transmiten sabiduría popular, valores morales y enseñanzas prácticas transmitidas oralmente durante siglos.</v>
      </c>
      <c r="I1051" t="str">
        <f>_xlfn.XLOOKUP(frasest[[#This Row],[author_es]],autorest[author_es],autorest[bio_la])</f>
        <v>Collectio sententiarum Sinensium, magnopere in cultura tradita.</v>
      </c>
      <c r="J1051" t="str">
        <f>_xlfn.XLOOKUP(frasest[[#This Row],[author_es]],autorest[author_es],autorest[iso3691])</f>
        <v>zh</v>
      </c>
      <c r="K1051" t="str">
        <f>_xlfn.XLOOKUP(frasest[[#This Row],[author_es]],autorest[author_es],autorest[language_es])</f>
        <v>Chino</v>
      </c>
      <c r="L1051" t="str">
        <f>_xlfn.XLOOKUP(frasest[[#This Row],[author_es]],autorest[author_es],autorest[language_la])</f>
        <v>Lingua Sinica</v>
      </c>
      <c r="M1051" t="str">
        <f>_xlfn.XLOOKUP(frasest[[#This Row],[author_es]],autorest[author_es],autorest[nation_es])</f>
        <v>China</v>
      </c>
      <c r="N1051" t="str">
        <f>_xlfn.XLOOKUP(frasest[[#This Row],[author_es]],autorest[author_es],autorest[nation_la])</f>
        <v>Sinae</v>
      </c>
      <c r="O1051" t="str">
        <f>_xlfn.XLOOKUP(frasest[[#This Row],[author_es]],autorest[author_es],autorest[age_es])</f>
        <v>Epoca Desconocida</v>
      </c>
      <c r="P1051" t="str">
        <f>_xlfn.XLOOKUP(frasest[[#This Row],[author_es]],autorest[author_es],autorest[age_la])</f>
        <v>Epocha Ignota</v>
      </c>
      <c r="Q1051" t="str">
        <f>_xlfn.XLOOKUP(frasest[[#This Row],[author_es]],autorest[author_es],autorest[image])</f>
        <v>https://i.ibb.co/qLfpZm6h/china.png</v>
      </c>
      <c r="R1051">
        <f>_xlfn.XLOOKUP(frasest[[#This Row],[author_es]],autorest[author_es],autorest[image_atr])</f>
        <v>0</v>
      </c>
    </row>
    <row r="1052" spans="1:18">
      <c r="A1052">
        <v>1051</v>
      </c>
      <c r="B1052" t="s">
        <v>3289</v>
      </c>
      <c r="C1052" t="s">
        <v>3290</v>
      </c>
      <c r="D1052" s="1" t="s">
        <v>3291</v>
      </c>
      <c r="E1052" t="s">
        <v>36</v>
      </c>
      <c r="G1052" t="str">
        <f>_xlfn.XLOOKUP(frasest[[#This Row],[author_es]],autorest[author_es],autorest[author_la])</f>
        <v>Proverbium Sinense</v>
      </c>
      <c r="H1052" t="str">
        <f>_xlfn.XLOOKUP(frasest[[#This Row],[author_es]],autorest[author_es],autorest[bio_es])</f>
        <v>Conjunto de proverbios tradicionales de la cultura china que transmiten sabiduría popular, valores morales y enseñanzas prácticas transmitidas oralmente durante siglos.</v>
      </c>
      <c r="I1052" t="str">
        <f>_xlfn.XLOOKUP(frasest[[#This Row],[author_es]],autorest[author_es],autorest[bio_la])</f>
        <v>Collectio sententiarum Sinensium, magnopere in cultura tradita.</v>
      </c>
      <c r="J1052" t="str">
        <f>_xlfn.XLOOKUP(frasest[[#This Row],[author_es]],autorest[author_es],autorest[iso3691])</f>
        <v>zh</v>
      </c>
      <c r="K1052" t="str">
        <f>_xlfn.XLOOKUP(frasest[[#This Row],[author_es]],autorest[author_es],autorest[language_es])</f>
        <v>Chino</v>
      </c>
      <c r="L1052" t="str">
        <f>_xlfn.XLOOKUP(frasest[[#This Row],[author_es]],autorest[author_es],autorest[language_la])</f>
        <v>Lingua Sinica</v>
      </c>
      <c r="M1052" t="str">
        <f>_xlfn.XLOOKUP(frasest[[#This Row],[author_es]],autorest[author_es],autorest[nation_es])</f>
        <v>China</v>
      </c>
      <c r="N1052" t="str">
        <f>_xlfn.XLOOKUP(frasest[[#This Row],[author_es]],autorest[author_es],autorest[nation_la])</f>
        <v>Sinae</v>
      </c>
      <c r="O1052" t="str">
        <f>_xlfn.XLOOKUP(frasest[[#This Row],[author_es]],autorest[author_es],autorest[age_es])</f>
        <v>Epoca Desconocida</v>
      </c>
      <c r="P1052" t="str">
        <f>_xlfn.XLOOKUP(frasest[[#This Row],[author_es]],autorest[author_es],autorest[age_la])</f>
        <v>Epocha Ignota</v>
      </c>
      <c r="Q1052" t="str">
        <f>_xlfn.XLOOKUP(frasest[[#This Row],[author_es]],autorest[author_es],autorest[image])</f>
        <v>https://i.ibb.co/qLfpZm6h/china.png</v>
      </c>
      <c r="R1052">
        <f>_xlfn.XLOOKUP(frasest[[#This Row],[author_es]],autorest[author_es],autorest[image_atr])</f>
        <v>0</v>
      </c>
    </row>
    <row r="1053" spans="1:18">
      <c r="A1053">
        <v>1052</v>
      </c>
      <c r="B1053" t="s">
        <v>3292</v>
      </c>
      <c r="C1053" t="s">
        <v>3293</v>
      </c>
      <c r="D1053" s="1" t="s">
        <v>3294</v>
      </c>
      <c r="E1053" t="s">
        <v>36</v>
      </c>
      <c r="G1053" t="str">
        <f>_xlfn.XLOOKUP(frasest[[#This Row],[author_es]],autorest[author_es],autorest[author_la])</f>
        <v>Proverbium Sinense</v>
      </c>
      <c r="H1053" t="str">
        <f>_xlfn.XLOOKUP(frasest[[#This Row],[author_es]],autorest[author_es],autorest[bio_es])</f>
        <v>Conjunto de proverbios tradicionales de la cultura china que transmiten sabiduría popular, valores morales y enseñanzas prácticas transmitidas oralmente durante siglos.</v>
      </c>
      <c r="I1053" t="str">
        <f>_xlfn.XLOOKUP(frasest[[#This Row],[author_es]],autorest[author_es],autorest[bio_la])</f>
        <v>Collectio sententiarum Sinensium, magnopere in cultura tradita.</v>
      </c>
      <c r="J1053" t="str">
        <f>_xlfn.XLOOKUP(frasest[[#This Row],[author_es]],autorest[author_es],autorest[iso3691])</f>
        <v>zh</v>
      </c>
      <c r="K1053" t="str">
        <f>_xlfn.XLOOKUP(frasest[[#This Row],[author_es]],autorest[author_es],autorest[language_es])</f>
        <v>Chino</v>
      </c>
      <c r="L1053" t="str">
        <f>_xlfn.XLOOKUP(frasest[[#This Row],[author_es]],autorest[author_es],autorest[language_la])</f>
        <v>Lingua Sinica</v>
      </c>
      <c r="M1053" t="str">
        <f>_xlfn.XLOOKUP(frasest[[#This Row],[author_es]],autorest[author_es],autorest[nation_es])</f>
        <v>China</v>
      </c>
      <c r="N1053" t="str">
        <f>_xlfn.XLOOKUP(frasest[[#This Row],[author_es]],autorest[author_es],autorest[nation_la])</f>
        <v>Sinae</v>
      </c>
      <c r="O1053" t="str">
        <f>_xlfn.XLOOKUP(frasest[[#This Row],[author_es]],autorest[author_es],autorest[age_es])</f>
        <v>Epoca Desconocida</v>
      </c>
      <c r="P1053" t="str">
        <f>_xlfn.XLOOKUP(frasest[[#This Row],[author_es]],autorest[author_es],autorest[age_la])</f>
        <v>Epocha Ignota</v>
      </c>
      <c r="Q1053" t="str">
        <f>_xlfn.XLOOKUP(frasest[[#This Row],[author_es]],autorest[author_es],autorest[image])</f>
        <v>https://i.ibb.co/qLfpZm6h/china.png</v>
      </c>
      <c r="R1053">
        <f>_xlfn.XLOOKUP(frasest[[#This Row],[author_es]],autorest[author_es],autorest[image_atr])</f>
        <v>0</v>
      </c>
    </row>
    <row r="1054" spans="1:18">
      <c r="A1054">
        <v>1053</v>
      </c>
      <c r="B1054" t="s">
        <v>3295</v>
      </c>
      <c r="C1054" t="s">
        <v>3296</v>
      </c>
      <c r="D1054" s="1" t="s">
        <v>3297</v>
      </c>
      <c r="E1054" t="s">
        <v>36</v>
      </c>
      <c r="G1054" t="str">
        <f>_xlfn.XLOOKUP(frasest[[#This Row],[author_es]],autorest[author_es],autorest[author_la])</f>
        <v>Proverbium Sinense</v>
      </c>
      <c r="H1054" t="str">
        <f>_xlfn.XLOOKUP(frasest[[#This Row],[author_es]],autorest[author_es],autorest[bio_es])</f>
        <v>Conjunto de proverbios tradicionales de la cultura china que transmiten sabiduría popular, valores morales y enseñanzas prácticas transmitidas oralmente durante siglos.</v>
      </c>
      <c r="I1054" t="str">
        <f>_xlfn.XLOOKUP(frasest[[#This Row],[author_es]],autorest[author_es],autorest[bio_la])</f>
        <v>Collectio sententiarum Sinensium, magnopere in cultura tradita.</v>
      </c>
      <c r="J1054" t="str">
        <f>_xlfn.XLOOKUP(frasest[[#This Row],[author_es]],autorest[author_es],autorest[iso3691])</f>
        <v>zh</v>
      </c>
      <c r="K1054" t="str">
        <f>_xlfn.XLOOKUP(frasest[[#This Row],[author_es]],autorest[author_es],autorest[language_es])</f>
        <v>Chino</v>
      </c>
      <c r="L1054" t="str">
        <f>_xlfn.XLOOKUP(frasest[[#This Row],[author_es]],autorest[author_es],autorest[language_la])</f>
        <v>Lingua Sinica</v>
      </c>
      <c r="M1054" t="str">
        <f>_xlfn.XLOOKUP(frasest[[#This Row],[author_es]],autorest[author_es],autorest[nation_es])</f>
        <v>China</v>
      </c>
      <c r="N1054" t="str">
        <f>_xlfn.XLOOKUP(frasest[[#This Row],[author_es]],autorest[author_es],autorest[nation_la])</f>
        <v>Sinae</v>
      </c>
      <c r="O1054" t="str">
        <f>_xlfn.XLOOKUP(frasest[[#This Row],[author_es]],autorest[author_es],autorest[age_es])</f>
        <v>Epoca Desconocida</v>
      </c>
      <c r="P1054" t="str">
        <f>_xlfn.XLOOKUP(frasest[[#This Row],[author_es]],autorest[author_es],autorest[age_la])</f>
        <v>Epocha Ignota</v>
      </c>
      <c r="Q1054" t="str">
        <f>_xlfn.XLOOKUP(frasest[[#This Row],[author_es]],autorest[author_es],autorest[image])</f>
        <v>https://i.ibb.co/qLfpZm6h/china.png</v>
      </c>
      <c r="R1054">
        <f>_xlfn.XLOOKUP(frasest[[#This Row],[author_es]],autorest[author_es],autorest[image_atr])</f>
        <v>0</v>
      </c>
    </row>
    <row r="1055" spans="1:18">
      <c r="A1055">
        <v>1054</v>
      </c>
      <c r="B1055" t="s">
        <v>3298</v>
      </c>
      <c r="C1055" t="s">
        <v>3299</v>
      </c>
      <c r="D1055" s="1" t="s">
        <v>3300</v>
      </c>
      <c r="E1055" t="s">
        <v>36</v>
      </c>
      <c r="G1055" t="str">
        <f>_xlfn.XLOOKUP(frasest[[#This Row],[author_es]],autorest[author_es],autorest[author_la])</f>
        <v>Proverbium Sinense</v>
      </c>
      <c r="H1055" t="str">
        <f>_xlfn.XLOOKUP(frasest[[#This Row],[author_es]],autorest[author_es],autorest[bio_es])</f>
        <v>Conjunto de proverbios tradicionales de la cultura china que transmiten sabiduría popular, valores morales y enseñanzas prácticas transmitidas oralmente durante siglos.</v>
      </c>
      <c r="I1055" t="str">
        <f>_xlfn.XLOOKUP(frasest[[#This Row],[author_es]],autorest[author_es],autorest[bio_la])</f>
        <v>Collectio sententiarum Sinensium, magnopere in cultura tradita.</v>
      </c>
      <c r="J1055" t="str">
        <f>_xlfn.XLOOKUP(frasest[[#This Row],[author_es]],autorest[author_es],autorest[iso3691])</f>
        <v>zh</v>
      </c>
      <c r="K1055" t="str">
        <f>_xlfn.XLOOKUP(frasest[[#This Row],[author_es]],autorest[author_es],autorest[language_es])</f>
        <v>Chino</v>
      </c>
      <c r="L1055" t="str">
        <f>_xlfn.XLOOKUP(frasest[[#This Row],[author_es]],autorest[author_es],autorest[language_la])</f>
        <v>Lingua Sinica</v>
      </c>
      <c r="M1055" t="str">
        <f>_xlfn.XLOOKUP(frasest[[#This Row],[author_es]],autorest[author_es],autorest[nation_es])</f>
        <v>China</v>
      </c>
      <c r="N1055" t="str">
        <f>_xlfn.XLOOKUP(frasest[[#This Row],[author_es]],autorest[author_es],autorest[nation_la])</f>
        <v>Sinae</v>
      </c>
      <c r="O1055" t="str">
        <f>_xlfn.XLOOKUP(frasest[[#This Row],[author_es]],autorest[author_es],autorest[age_es])</f>
        <v>Epoca Desconocida</v>
      </c>
      <c r="P1055" t="str">
        <f>_xlfn.XLOOKUP(frasest[[#This Row],[author_es]],autorest[author_es],autorest[age_la])</f>
        <v>Epocha Ignota</v>
      </c>
      <c r="Q1055" t="str">
        <f>_xlfn.XLOOKUP(frasest[[#This Row],[author_es]],autorest[author_es],autorest[image])</f>
        <v>https://i.ibb.co/qLfpZm6h/china.png</v>
      </c>
      <c r="R1055">
        <f>_xlfn.XLOOKUP(frasest[[#This Row],[author_es]],autorest[author_es],autorest[image_atr])</f>
        <v>0</v>
      </c>
    </row>
    <row r="1056" spans="1:18">
      <c r="A1056">
        <v>1055</v>
      </c>
      <c r="B1056" t="s">
        <v>3301</v>
      </c>
      <c r="C1056" t="s">
        <v>3302</v>
      </c>
      <c r="D1056" s="1" t="s">
        <v>3303</v>
      </c>
      <c r="E1056" t="s">
        <v>36</v>
      </c>
      <c r="G1056" t="str">
        <f>_xlfn.XLOOKUP(frasest[[#This Row],[author_es]],autorest[author_es],autorest[author_la])</f>
        <v>Proverbium Sinense</v>
      </c>
      <c r="H1056" t="str">
        <f>_xlfn.XLOOKUP(frasest[[#This Row],[author_es]],autorest[author_es],autorest[bio_es])</f>
        <v>Conjunto de proverbios tradicionales de la cultura china que transmiten sabiduría popular, valores morales y enseñanzas prácticas transmitidas oralmente durante siglos.</v>
      </c>
      <c r="I1056" t="str">
        <f>_xlfn.XLOOKUP(frasest[[#This Row],[author_es]],autorest[author_es],autorest[bio_la])</f>
        <v>Collectio sententiarum Sinensium, magnopere in cultura tradita.</v>
      </c>
      <c r="J1056" t="str">
        <f>_xlfn.XLOOKUP(frasest[[#This Row],[author_es]],autorest[author_es],autorest[iso3691])</f>
        <v>zh</v>
      </c>
      <c r="K1056" t="str">
        <f>_xlfn.XLOOKUP(frasest[[#This Row],[author_es]],autorest[author_es],autorest[language_es])</f>
        <v>Chino</v>
      </c>
      <c r="L1056" t="str">
        <f>_xlfn.XLOOKUP(frasest[[#This Row],[author_es]],autorest[author_es],autorest[language_la])</f>
        <v>Lingua Sinica</v>
      </c>
      <c r="M1056" t="str">
        <f>_xlfn.XLOOKUP(frasest[[#This Row],[author_es]],autorest[author_es],autorest[nation_es])</f>
        <v>China</v>
      </c>
      <c r="N1056" t="str">
        <f>_xlfn.XLOOKUP(frasest[[#This Row],[author_es]],autorest[author_es],autorest[nation_la])</f>
        <v>Sinae</v>
      </c>
      <c r="O1056" t="str">
        <f>_xlfn.XLOOKUP(frasest[[#This Row],[author_es]],autorest[author_es],autorest[age_es])</f>
        <v>Epoca Desconocida</v>
      </c>
      <c r="P1056" t="str">
        <f>_xlfn.XLOOKUP(frasest[[#This Row],[author_es]],autorest[author_es],autorest[age_la])</f>
        <v>Epocha Ignota</v>
      </c>
      <c r="Q1056" t="str">
        <f>_xlfn.XLOOKUP(frasest[[#This Row],[author_es]],autorest[author_es],autorest[image])</f>
        <v>https://i.ibb.co/qLfpZm6h/china.png</v>
      </c>
      <c r="R1056">
        <f>_xlfn.XLOOKUP(frasest[[#This Row],[author_es]],autorest[author_es],autorest[image_atr])</f>
        <v>0</v>
      </c>
    </row>
    <row r="1057" spans="1:18">
      <c r="A1057">
        <v>1056</v>
      </c>
      <c r="B1057" t="s">
        <v>3304</v>
      </c>
      <c r="C1057" t="s">
        <v>3305</v>
      </c>
      <c r="D1057" s="1" t="s">
        <v>3306</v>
      </c>
      <c r="E1057" t="s">
        <v>36</v>
      </c>
      <c r="G1057" t="str">
        <f>_xlfn.XLOOKUP(frasest[[#This Row],[author_es]],autorest[author_es],autorest[author_la])</f>
        <v>Proverbium Sinense</v>
      </c>
      <c r="H1057" t="str">
        <f>_xlfn.XLOOKUP(frasest[[#This Row],[author_es]],autorest[author_es],autorest[bio_es])</f>
        <v>Conjunto de proverbios tradicionales de la cultura china que transmiten sabiduría popular, valores morales y enseñanzas prácticas transmitidas oralmente durante siglos.</v>
      </c>
      <c r="I1057" t="str">
        <f>_xlfn.XLOOKUP(frasest[[#This Row],[author_es]],autorest[author_es],autorest[bio_la])</f>
        <v>Collectio sententiarum Sinensium, magnopere in cultura tradita.</v>
      </c>
      <c r="J1057" t="str">
        <f>_xlfn.XLOOKUP(frasest[[#This Row],[author_es]],autorest[author_es],autorest[iso3691])</f>
        <v>zh</v>
      </c>
      <c r="K1057" t="str">
        <f>_xlfn.XLOOKUP(frasest[[#This Row],[author_es]],autorest[author_es],autorest[language_es])</f>
        <v>Chino</v>
      </c>
      <c r="L1057" t="str">
        <f>_xlfn.XLOOKUP(frasest[[#This Row],[author_es]],autorest[author_es],autorest[language_la])</f>
        <v>Lingua Sinica</v>
      </c>
      <c r="M1057" t="str">
        <f>_xlfn.XLOOKUP(frasest[[#This Row],[author_es]],autorest[author_es],autorest[nation_es])</f>
        <v>China</v>
      </c>
      <c r="N1057" t="str">
        <f>_xlfn.XLOOKUP(frasest[[#This Row],[author_es]],autorest[author_es],autorest[nation_la])</f>
        <v>Sinae</v>
      </c>
      <c r="O1057" t="str">
        <f>_xlfn.XLOOKUP(frasest[[#This Row],[author_es]],autorest[author_es],autorest[age_es])</f>
        <v>Epoca Desconocida</v>
      </c>
      <c r="P1057" t="str">
        <f>_xlfn.XLOOKUP(frasest[[#This Row],[author_es]],autorest[author_es],autorest[age_la])</f>
        <v>Epocha Ignota</v>
      </c>
      <c r="Q1057" t="str">
        <f>_xlfn.XLOOKUP(frasest[[#This Row],[author_es]],autorest[author_es],autorest[image])</f>
        <v>https://i.ibb.co/qLfpZm6h/china.png</v>
      </c>
      <c r="R1057">
        <f>_xlfn.XLOOKUP(frasest[[#This Row],[author_es]],autorest[author_es],autorest[image_atr])</f>
        <v>0</v>
      </c>
    </row>
    <row r="1058" spans="1:18">
      <c r="A1058">
        <v>1057</v>
      </c>
      <c r="B1058" t="s">
        <v>3307</v>
      </c>
      <c r="C1058" t="s">
        <v>3308</v>
      </c>
      <c r="D1058" s="1" t="s">
        <v>3309</v>
      </c>
      <c r="E1058" t="s">
        <v>36</v>
      </c>
      <c r="G1058" t="str">
        <f>_xlfn.XLOOKUP(frasest[[#This Row],[author_es]],autorest[author_es],autorest[author_la])</f>
        <v>Proverbium Sinense</v>
      </c>
      <c r="H1058" t="str">
        <f>_xlfn.XLOOKUP(frasest[[#This Row],[author_es]],autorest[author_es],autorest[bio_es])</f>
        <v>Conjunto de proverbios tradicionales de la cultura china que transmiten sabiduría popular, valores morales y enseñanzas prácticas transmitidas oralmente durante siglos.</v>
      </c>
      <c r="I1058" t="str">
        <f>_xlfn.XLOOKUP(frasest[[#This Row],[author_es]],autorest[author_es],autorest[bio_la])</f>
        <v>Collectio sententiarum Sinensium, magnopere in cultura tradita.</v>
      </c>
      <c r="J1058" t="str">
        <f>_xlfn.XLOOKUP(frasest[[#This Row],[author_es]],autorest[author_es],autorest[iso3691])</f>
        <v>zh</v>
      </c>
      <c r="K1058" t="str">
        <f>_xlfn.XLOOKUP(frasest[[#This Row],[author_es]],autorest[author_es],autorest[language_es])</f>
        <v>Chino</v>
      </c>
      <c r="L1058" t="str">
        <f>_xlfn.XLOOKUP(frasest[[#This Row],[author_es]],autorest[author_es],autorest[language_la])</f>
        <v>Lingua Sinica</v>
      </c>
      <c r="M1058" t="str">
        <f>_xlfn.XLOOKUP(frasest[[#This Row],[author_es]],autorest[author_es],autorest[nation_es])</f>
        <v>China</v>
      </c>
      <c r="N1058" t="str">
        <f>_xlfn.XLOOKUP(frasest[[#This Row],[author_es]],autorest[author_es],autorest[nation_la])</f>
        <v>Sinae</v>
      </c>
      <c r="O1058" t="str">
        <f>_xlfn.XLOOKUP(frasest[[#This Row],[author_es]],autorest[author_es],autorest[age_es])</f>
        <v>Epoca Desconocida</v>
      </c>
      <c r="P1058" t="str">
        <f>_xlfn.XLOOKUP(frasest[[#This Row],[author_es]],autorest[author_es],autorest[age_la])</f>
        <v>Epocha Ignota</v>
      </c>
      <c r="Q1058" t="str">
        <f>_xlfn.XLOOKUP(frasest[[#This Row],[author_es]],autorest[author_es],autorest[image])</f>
        <v>https://i.ibb.co/qLfpZm6h/china.png</v>
      </c>
      <c r="R1058">
        <f>_xlfn.XLOOKUP(frasest[[#This Row],[author_es]],autorest[author_es],autorest[image_atr])</f>
        <v>0</v>
      </c>
    </row>
    <row r="1059" spans="1:18">
      <c r="A1059">
        <v>1058</v>
      </c>
      <c r="B1059" t="s">
        <v>3310</v>
      </c>
      <c r="C1059" t="s">
        <v>3311</v>
      </c>
      <c r="D1059" s="1" t="s">
        <v>3312</v>
      </c>
      <c r="E1059" t="s">
        <v>36</v>
      </c>
      <c r="G1059" t="str">
        <f>_xlfn.XLOOKUP(frasest[[#This Row],[author_es]],autorest[author_es],autorest[author_la])</f>
        <v>Proverbium Sinense</v>
      </c>
      <c r="H1059" t="str">
        <f>_xlfn.XLOOKUP(frasest[[#This Row],[author_es]],autorest[author_es],autorest[bio_es])</f>
        <v>Conjunto de proverbios tradicionales de la cultura china que transmiten sabiduría popular, valores morales y enseñanzas prácticas transmitidas oralmente durante siglos.</v>
      </c>
      <c r="I1059" t="str">
        <f>_xlfn.XLOOKUP(frasest[[#This Row],[author_es]],autorest[author_es],autorest[bio_la])</f>
        <v>Collectio sententiarum Sinensium, magnopere in cultura tradita.</v>
      </c>
      <c r="J1059" t="str">
        <f>_xlfn.XLOOKUP(frasest[[#This Row],[author_es]],autorest[author_es],autorest[iso3691])</f>
        <v>zh</v>
      </c>
      <c r="K1059" t="str">
        <f>_xlfn.XLOOKUP(frasest[[#This Row],[author_es]],autorest[author_es],autorest[language_es])</f>
        <v>Chino</v>
      </c>
      <c r="L1059" t="str">
        <f>_xlfn.XLOOKUP(frasest[[#This Row],[author_es]],autorest[author_es],autorest[language_la])</f>
        <v>Lingua Sinica</v>
      </c>
      <c r="M1059" t="str">
        <f>_xlfn.XLOOKUP(frasest[[#This Row],[author_es]],autorest[author_es],autorest[nation_es])</f>
        <v>China</v>
      </c>
      <c r="N1059" t="str">
        <f>_xlfn.XLOOKUP(frasest[[#This Row],[author_es]],autorest[author_es],autorest[nation_la])</f>
        <v>Sinae</v>
      </c>
      <c r="O1059" t="str">
        <f>_xlfn.XLOOKUP(frasest[[#This Row],[author_es]],autorest[author_es],autorest[age_es])</f>
        <v>Epoca Desconocida</v>
      </c>
      <c r="P1059" t="str">
        <f>_xlfn.XLOOKUP(frasest[[#This Row],[author_es]],autorest[author_es],autorest[age_la])</f>
        <v>Epocha Ignota</v>
      </c>
      <c r="Q1059" t="str">
        <f>_xlfn.XLOOKUP(frasest[[#This Row],[author_es]],autorest[author_es],autorest[image])</f>
        <v>https://i.ibb.co/qLfpZm6h/china.png</v>
      </c>
      <c r="R1059">
        <f>_xlfn.XLOOKUP(frasest[[#This Row],[author_es]],autorest[author_es],autorest[image_atr])</f>
        <v>0</v>
      </c>
    </row>
    <row r="1060" spans="1:18">
      <c r="A1060">
        <v>1059</v>
      </c>
      <c r="B1060" t="s">
        <v>3313</v>
      </c>
      <c r="C1060" t="s">
        <v>3314</v>
      </c>
      <c r="D1060" s="1" t="s">
        <v>3315</v>
      </c>
      <c r="E1060" t="s">
        <v>36</v>
      </c>
      <c r="G1060" t="str">
        <f>_xlfn.XLOOKUP(frasest[[#This Row],[author_es]],autorest[author_es],autorest[author_la])</f>
        <v>Proverbium Sinense</v>
      </c>
      <c r="H1060" t="str">
        <f>_xlfn.XLOOKUP(frasest[[#This Row],[author_es]],autorest[author_es],autorest[bio_es])</f>
        <v>Conjunto de proverbios tradicionales de la cultura china que transmiten sabiduría popular, valores morales y enseñanzas prácticas transmitidas oralmente durante siglos.</v>
      </c>
      <c r="I1060" t="str">
        <f>_xlfn.XLOOKUP(frasest[[#This Row],[author_es]],autorest[author_es],autorest[bio_la])</f>
        <v>Collectio sententiarum Sinensium, magnopere in cultura tradita.</v>
      </c>
      <c r="J1060" t="str">
        <f>_xlfn.XLOOKUP(frasest[[#This Row],[author_es]],autorest[author_es],autorest[iso3691])</f>
        <v>zh</v>
      </c>
      <c r="K1060" t="str">
        <f>_xlfn.XLOOKUP(frasest[[#This Row],[author_es]],autorest[author_es],autorest[language_es])</f>
        <v>Chino</v>
      </c>
      <c r="L1060" t="str">
        <f>_xlfn.XLOOKUP(frasest[[#This Row],[author_es]],autorest[author_es],autorest[language_la])</f>
        <v>Lingua Sinica</v>
      </c>
      <c r="M1060" t="str">
        <f>_xlfn.XLOOKUP(frasest[[#This Row],[author_es]],autorest[author_es],autorest[nation_es])</f>
        <v>China</v>
      </c>
      <c r="N1060" t="str">
        <f>_xlfn.XLOOKUP(frasest[[#This Row],[author_es]],autorest[author_es],autorest[nation_la])</f>
        <v>Sinae</v>
      </c>
      <c r="O1060" t="str">
        <f>_xlfn.XLOOKUP(frasest[[#This Row],[author_es]],autorest[author_es],autorest[age_es])</f>
        <v>Epoca Desconocida</v>
      </c>
      <c r="P1060" t="str">
        <f>_xlfn.XLOOKUP(frasest[[#This Row],[author_es]],autorest[author_es],autorest[age_la])</f>
        <v>Epocha Ignota</v>
      </c>
      <c r="Q1060" t="str">
        <f>_xlfn.XLOOKUP(frasest[[#This Row],[author_es]],autorest[author_es],autorest[image])</f>
        <v>https://i.ibb.co/qLfpZm6h/china.png</v>
      </c>
      <c r="R1060">
        <f>_xlfn.XLOOKUP(frasest[[#This Row],[author_es]],autorest[author_es],autorest[image_atr])</f>
        <v>0</v>
      </c>
    </row>
    <row r="1061" spans="1:18">
      <c r="A1061">
        <v>1060</v>
      </c>
      <c r="B1061" t="s">
        <v>3316</v>
      </c>
      <c r="C1061" t="s">
        <v>3317</v>
      </c>
      <c r="D1061" s="1" t="s">
        <v>3318</v>
      </c>
      <c r="E1061" t="s">
        <v>36</v>
      </c>
      <c r="G1061" t="str">
        <f>_xlfn.XLOOKUP(frasest[[#This Row],[author_es]],autorest[author_es],autorest[author_la])</f>
        <v>Proverbium Sinense</v>
      </c>
      <c r="H1061" t="str">
        <f>_xlfn.XLOOKUP(frasest[[#This Row],[author_es]],autorest[author_es],autorest[bio_es])</f>
        <v>Conjunto de proverbios tradicionales de la cultura china que transmiten sabiduría popular, valores morales y enseñanzas prácticas transmitidas oralmente durante siglos.</v>
      </c>
      <c r="I1061" t="str">
        <f>_xlfn.XLOOKUP(frasest[[#This Row],[author_es]],autorest[author_es],autorest[bio_la])</f>
        <v>Collectio sententiarum Sinensium, magnopere in cultura tradita.</v>
      </c>
      <c r="J1061" t="str">
        <f>_xlfn.XLOOKUP(frasest[[#This Row],[author_es]],autorest[author_es],autorest[iso3691])</f>
        <v>zh</v>
      </c>
      <c r="K1061" t="str">
        <f>_xlfn.XLOOKUP(frasest[[#This Row],[author_es]],autorest[author_es],autorest[language_es])</f>
        <v>Chino</v>
      </c>
      <c r="L1061" t="str">
        <f>_xlfn.XLOOKUP(frasest[[#This Row],[author_es]],autorest[author_es],autorest[language_la])</f>
        <v>Lingua Sinica</v>
      </c>
      <c r="M1061" t="str">
        <f>_xlfn.XLOOKUP(frasest[[#This Row],[author_es]],autorest[author_es],autorest[nation_es])</f>
        <v>China</v>
      </c>
      <c r="N1061" t="str">
        <f>_xlfn.XLOOKUP(frasest[[#This Row],[author_es]],autorest[author_es],autorest[nation_la])</f>
        <v>Sinae</v>
      </c>
      <c r="O1061" t="str">
        <f>_xlfn.XLOOKUP(frasest[[#This Row],[author_es]],autorest[author_es],autorest[age_es])</f>
        <v>Epoca Desconocida</v>
      </c>
      <c r="P1061" t="str">
        <f>_xlfn.XLOOKUP(frasest[[#This Row],[author_es]],autorest[author_es],autorest[age_la])</f>
        <v>Epocha Ignota</v>
      </c>
      <c r="Q1061" t="str">
        <f>_xlfn.XLOOKUP(frasest[[#This Row],[author_es]],autorest[author_es],autorest[image])</f>
        <v>https://i.ibb.co/qLfpZm6h/china.png</v>
      </c>
      <c r="R1061">
        <f>_xlfn.XLOOKUP(frasest[[#This Row],[author_es]],autorest[author_es],autorest[image_atr])</f>
        <v>0</v>
      </c>
    </row>
    <row r="1062" spans="1:18">
      <c r="A1062">
        <v>1061</v>
      </c>
      <c r="B1062" t="s">
        <v>3319</v>
      </c>
      <c r="C1062" t="s">
        <v>3320</v>
      </c>
      <c r="D1062" s="1" t="s">
        <v>3321</v>
      </c>
      <c r="E1062" t="s">
        <v>36</v>
      </c>
      <c r="G1062" t="str">
        <f>_xlfn.XLOOKUP(frasest[[#This Row],[author_es]],autorest[author_es],autorest[author_la])</f>
        <v>Proverbium Sinense</v>
      </c>
      <c r="H1062" t="str">
        <f>_xlfn.XLOOKUP(frasest[[#This Row],[author_es]],autorest[author_es],autorest[bio_es])</f>
        <v>Conjunto de proverbios tradicionales de la cultura china que transmiten sabiduría popular, valores morales y enseñanzas prácticas transmitidas oralmente durante siglos.</v>
      </c>
      <c r="I1062" t="str">
        <f>_xlfn.XLOOKUP(frasest[[#This Row],[author_es]],autorest[author_es],autorest[bio_la])</f>
        <v>Collectio sententiarum Sinensium, magnopere in cultura tradita.</v>
      </c>
      <c r="J1062" t="str">
        <f>_xlfn.XLOOKUP(frasest[[#This Row],[author_es]],autorest[author_es],autorest[iso3691])</f>
        <v>zh</v>
      </c>
      <c r="K1062" t="str">
        <f>_xlfn.XLOOKUP(frasest[[#This Row],[author_es]],autorest[author_es],autorest[language_es])</f>
        <v>Chino</v>
      </c>
      <c r="L1062" t="str">
        <f>_xlfn.XLOOKUP(frasest[[#This Row],[author_es]],autorest[author_es],autorest[language_la])</f>
        <v>Lingua Sinica</v>
      </c>
      <c r="M1062" t="str">
        <f>_xlfn.XLOOKUP(frasest[[#This Row],[author_es]],autorest[author_es],autorest[nation_es])</f>
        <v>China</v>
      </c>
      <c r="N1062" t="str">
        <f>_xlfn.XLOOKUP(frasest[[#This Row],[author_es]],autorest[author_es],autorest[nation_la])</f>
        <v>Sinae</v>
      </c>
      <c r="O1062" t="str">
        <f>_xlfn.XLOOKUP(frasest[[#This Row],[author_es]],autorest[author_es],autorest[age_es])</f>
        <v>Epoca Desconocida</v>
      </c>
      <c r="P1062" t="str">
        <f>_xlfn.XLOOKUP(frasest[[#This Row],[author_es]],autorest[author_es],autorest[age_la])</f>
        <v>Epocha Ignota</v>
      </c>
      <c r="Q1062" t="str">
        <f>_xlfn.XLOOKUP(frasest[[#This Row],[author_es]],autorest[author_es],autorest[image])</f>
        <v>https://i.ibb.co/qLfpZm6h/china.png</v>
      </c>
      <c r="R1062">
        <f>_xlfn.XLOOKUP(frasest[[#This Row],[author_es]],autorest[author_es],autorest[image_atr])</f>
        <v>0</v>
      </c>
    </row>
    <row r="1063" spans="1:18">
      <c r="A1063">
        <v>1062</v>
      </c>
      <c r="B1063" t="s">
        <v>1275</v>
      </c>
      <c r="C1063" t="s">
        <v>3322</v>
      </c>
      <c r="D1063" s="1" t="s">
        <v>1277</v>
      </c>
      <c r="E1063" t="s">
        <v>36</v>
      </c>
      <c r="G1063" t="str">
        <f>_xlfn.XLOOKUP(frasest[[#This Row],[author_es]],autorest[author_es],autorest[author_la])</f>
        <v>Proverbium Sinense</v>
      </c>
      <c r="H1063" t="str">
        <f>_xlfn.XLOOKUP(frasest[[#This Row],[author_es]],autorest[author_es],autorest[bio_es])</f>
        <v>Conjunto de proverbios tradicionales de la cultura china que transmiten sabiduría popular, valores morales y enseñanzas prácticas transmitidas oralmente durante siglos.</v>
      </c>
      <c r="I1063" t="str">
        <f>_xlfn.XLOOKUP(frasest[[#This Row],[author_es]],autorest[author_es],autorest[bio_la])</f>
        <v>Collectio sententiarum Sinensium, magnopere in cultura tradita.</v>
      </c>
      <c r="J1063" t="str">
        <f>_xlfn.XLOOKUP(frasest[[#This Row],[author_es]],autorest[author_es],autorest[iso3691])</f>
        <v>zh</v>
      </c>
      <c r="K1063" t="str">
        <f>_xlfn.XLOOKUP(frasest[[#This Row],[author_es]],autorest[author_es],autorest[language_es])</f>
        <v>Chino</v>
      </c>
      <c r="L1063" t="str">
        <f>_xlfn.XLOOKUP(frasest[[#This Row],[author_es]],autorest[author_es],autorest[language_la])</f>
        <v>Lingua Sinica</v>
      </c>
      <c r="M1063" t="str">
        <f>_xlfn.XLOOKUP(frasest[[#This Row],[author_es]],autorest[author_es],autorest[nation_es])</f>
        <v>China</v>
      </c>
      <c r="N1063" t="str">
        <f>_xlfn.XLOOKUP(frasest[[#This Row],[author_es]],autorest[author_es],autorest[nation_la])</f>
        <v>Sinae</v>
      </c>
      <c r="O1063" t="str">
        <f>_xlfn.XLOOKUP(frasest[[#This Row],[author_es]],autorest[author_es],autorest[age_es])</f>
        <v>Epoca Desconocida</v>
      </c>
      <c r="P1063" t="str">
        <f>_xlfn.XLOOKUP(frasest[[#This Row],[author_es]],autorest[author_es],autorest[age_la])</f>
        <v>Epocha Ignota</v>
      </c>
      <c r="Q1063" t="str">
        <f>_xlfn.XLOOKUP(frasest[[#This Row],[author_es]],autorest[author_es],autorest[image])</f>
        <v>https://i.ibb.co/qLfpZm6h/china.png</v>
      </c>
      <c r="R1063">
        <f>_xlfn.XLOOKUP(frasest[[#This Row],[author_es]],autorest[author_es],autorest[image_atr])</f>
        <v>0</v>
      </c>
    </row>
    <row r="1064" spans="1:18">
      <c r="A1064">
        <v>1063</v>
      </c>
      <c r="B1064" t="s">
        <v>3323</v>
      </c>
      <c r="C1064" t="s">
        <v>3324</v>
      </c>
      <c r="D1064" s="1" t="s">
        <v>3325</v>
      </c>
      <c r="E1064" t="s">
        <v>36</v>
      </c>
      <c r="G1064" t="str">
        <f>_xlfn.XLOOKUP(frasest[[#This Row],[author_es]],autorest[author_es],autorest[author_la])</f>
        <v>Proverbium Sinense</v>
      </c>
      <c r="H1064" t="str">
        <f>_xlfn.XLOOKUP(frasest[[#This Row],[author_es]],autorest[author_es],autorest[bio_es])</f>
        <v>Conjunto de proverbios tradicionales de la cultura china que transmiten sabiduría popular, valores morales y enseñanzas prácticas transmitidas oralmente durante siglos.</v>
      </c>
      <c r="I1064" t="str">
        <f>_xlfn.XLOOKUP(frasest[[#This Row],[author_es]],autorest[author_es],autorest[bio_la])</f>
        <v>Collectio sententiarum Sinensium, magnopere in cultura tradita.</v>
      </c>
      <c r="J1064" t="str">
        <f>_xlfn.XLOOKUP(frasest[[#This Row],[author_es]],autorest[author_es],autorest[iso3691])</f>
        <v>zh</v>
      </c>
      <c r="K1064" t="str">
        <f>_xlfn.XLOOKUP(frasest[[#This Row],[author_es]],autorest[author_es],autorest[language_es])</f>
        <v>Chino</v>
      </c>
      <c r="L1064" t="str">
        <f>_xlfn.XLOOKUP(frasest[[#This Row],[author_es]],autorest[author_es],autorest[language_la])</f>
        <v>Lingua Sinica</v>
      </c>
      <c r="M1064" t="str">
        <f>_xlfn.XLOOKUP(frasest[[#This Row],[author_es]],autorest[author_es],autorest[nation_es])</f>
        <v>China</v>
      </c>
      <c r="N1064" t="str">
        <f>_xlfn.XLOOKUP(frasest[[#This Row],[author_es]],autorest[author_es],autorest[nation_la])</f>
        <v>Sinae</v>
      </c>
      <c r="O1064" t="str">
        <f>_xlfn.XLOOKUP(frasest[[#This Row],[author_es]],autorest[author_es],autorest[age_es])</f>
        <v>Epoca Desconocida</v>
      </c>
      <c r="P1064" t="str">
        <f>_xlfn.XLOOKUP(frasest[[#This Row],[author_es]],autorest[author_es],autorest[age_la])</f>
        <v>Epocha Ignota</v>
      </c>
      <c r="Q1064" t="str">
        <f>_xlfn.XLOOKUP(frasest[[#This Row],[author_es]],autorest[author_es],autorest[image])</f>
        <v>https://i.ibb.co/qLfpZm6h/china.png</v>
      </c>
      <c r="R1064">
        <f>_xlfn.XLOOKUP(frasest[[#This Row],[author_es]],autorest[author_es],autorest[image_atr])</f>
        <v>0</v>
      </c>
    </row>
    <row r="1065" spans="1:18">
      <c r="A1065">
        <v>1064</v>
      </c>
      <c r="B1065" t="s">
        <v>3326</v>
      </c>
      <c r="C1065" t="s">
        <v>3327</v>
      </c>
      <c r="D1065" s="1" t="s">
        <v>3328</v>
      </c>
      <c r="E1065" t="s">
        <v>36</v>
      </c>
      <c r="G1065" t="str">
        <f>_xlfn.XLOOKUP(frasest[[#This Row],[author_es]],autorest[author_es],autorest[author_la])</f>
        <v>Proverbium Sinense</v>
      </c>
      <c r="H1065" t="str">
        <f>_xlfn.XLOOKUP(frasest[[#This Row],[author_es]],autorest[author_es],autorest[bio_es])</f>
        <v>Conjunto de proverbios tradicionales de la cultura china que transmiten sabiduría popular, valores morales y enseñanzas prácticas transmitidas oralmente durante siglos.</v>
      </c>
      <c r="I1065" t="str">
        <f>_xlfn.XLOOKUP(frasest[[#This Row],[author_es]],autorest[author_es],autorest[bio_la])</f>
        <v>Collectio sententiarum Sinensium, magnopere in cultura tradita.</v>
      </c>
      <c r="J1065" t="str">
        <f>_xlfn.XLOOKUP(frasest[[#This Row],[author_es]],autorest[author_es],autorest[iso3691])</f>
        <v>zh</v>
      </c>
      <c r="K1065" t="str">
        <f>_xlfn.XLOOKUP(frasest[[#This Row],[author_es]],autorest[author_es],autorest[language_es])</f>
        <v>Chino</v>
      </c>
      <c r="L1065" t="str">
        <f>_xlfn.XLOOKUP(frasest[[#This Row],[author_es]],autorest[author_es],autorest[language_la])</f>
        <v>Lingua Sinica</v>
      </c>
      <c r="M1065" t="str">
        <f>_xlfn.XLOOKUP(frasest[[#This Row],[author_es]],autorest[author_es],autorest[nation_es])</f>
        <v>China</v>
      </c>
      <c r="N1065" t="str">
        <f>_xlfn.XLOOKUP(frasest[[#This Row],[author_es]],autorest[author_es],autorest[nation_la])</f>
        <v>Sinae</v>
      </c>
      <c r="O1065" t="str">
        <f>_xlfn.XLOOKUP(frasest[[#This Row],[author_es]],autorest[author_es],autorest[age_es])</f>
        <v>Epoca Desconocida</v>
      </c>
      <c r="P1065" t="str">
        <f>_xlfn.XLOOKUP(frasest[[#This Row],[author_es]],autorest[author_es],autorest[age_la])</f>
        <v>Epocha Ignota</v>
      </c>
      <c r="Q1065" t="str">
        <f>_xlfn.XLOOKUP(frasest[[#This Row],[author_es]],autorest[author_es],autorest[image])</f>
        <v>https://i.ibb.co/qLfpZm6h/china.png</v>
      </c>
      <c r="R1065">
        <f>_xlfn.XLOOKUP(frasest[[#This Row],[author_es]],autorest[author_es],autorest[image_atr])</f>
        <v>0</v>
      </c>
    </row>
    <row r="1066" spans="1:18">
      <c r="A1066">
        <v>1065</v>
      </c>
      <c r="B1066" t="s">
        <v>3329</v>
      </c>
      <c r="C1066" t="s">
        <v>3330</v>
      </c>
      <c r="D1066" s="1" t="s">
        <v>3331</v>
      </c>
      <c r="E1066" t="s">
        <v>36</v>
      </c>
      <c r="G1066" t="str">
        <f>_xlfn.XLOOKUP(frasest[[#This Row],[author_es]],autorest[author_es],autorest[author_la])</f>
        <v>Proverbium Sinense</v>
      </c>
      <c r="H1066" t="str">
        <f>_xlfn.XLOOKUP(frasest[[#This Row],[author_es]],autorest[author_es],autorest[bio_es])</f>
        <v>Conjunto de proverbios tradicionales de la cultura china que transmiten sabiduría popular, valores morales y enseñanzas prácticas transmitidas oralmente durante siglos.</v>
      </c>
      <c r="I1066" t="str">
        <f>_xlfn.XLOOKUP(frasest[[#This Row],[author_es]],autorest[author_es],autorest[bio_la])</f>
        <v>Collectio sententiarum Sinensium, magnopere in cultura tradita.</v>
      </c>
      <c r="J1066" t="str">
        <f>_xlfn.XLOOKUP(frasest[[#This Row],[author_es]],autorest[author_es],autorest[iso3691])</f>
        <v>zh</v>
      </c>
      <c r="K1066" t="str">
        <f>_xlfn.XLOOKUP(frasest[[#This Row],[author_es]],autorest[author_es],autorest[language_es])</f>
        <v>Chino</v>
      </c>
      <c r="L1066" t="str">
        <f>_xlfn.XLOOKUP(frasest[[#This Row],[author_es]],autorest[author_es],autorest[language_la])</f>
        <v>Lingua Sinica</v>
      </c>
      <c r="M1066" t="str">
        <f>_xlfn.XLOOKUP(frasest[[#This Row],[author_es]],autorest[author_es],autorest[nation_es])</f>
        <v>China</v>
      </c>
      <c r="N1066" t="str">
        <f>_xlfn.XLOOKUP(frasest[[#This Row],[author_es]],autorest[author_es],autorest[nation_la])</f>
        <v>Sinae</v>
      </c>
      <c r="O1066" t="str">
        <f>_xlfn.XLOOKUP(frasest[[#This Row],[author_es]],autorest[author_es],autorest[age_es])</f>
        <v>Epoca Desconocida</v>
      </c>
      <c r="P1066" t="str">
        <f>_xlfn.XLOOKUP(frasest[[#This Row],[author_es]],autorest[author_es],autorest[age_la])</f>
        <v>Epocha Ignota</v>
      </c>
      <c r="Q1066" t="str">
        <f>_xlfn.XLOOKUP(frasest[[#This Row],[author_es]],autorest[author_es],autorest[image])</f>
        <v>https://i.ibb.co/qLfpZm6h/china.png</v>
      </c>
      <c r="R1066">
        <f>_xlfn.XLOOKUP(frasest[[#This Row],[author_es]],autorest[author_es],autorest[image_atr])</f>
        <v>0</v>
      </c>
    </row>
    <row r="1067" spans="1:18">
      <c r="A1067">
        <v>1066</v>
      </c>
      <c r="B1067" t="s">
        <v>3332</v>
      </c>
      <c r="C1067" t="s">
        <v>3333</v>
      </c>
      <c r="D1067" s="1" t="s">
        <v>3334</v>
      </c>
      <c r="E1067" t="s">
        <v>36</v>
      </c>
      <c r="G1067" t="str">
        <f>_xlfn.XLOOKUP(frasest[[#This Row],[author_es]],autorest[author_es],autorest[author_la])</f>
        <v>Proverbium Sinense</v>
      </c>
      <c r="H1067" t="str">
        <f>_xlfn.XLOOKUP(frasest[[#This Row],[author_es]],autorest[author_es],autorest[bio_es])</f>
        <v>Conjunto de proverbios tradicionales de la cultura china que transmiten sabiduría popular, valores morales y enseñanzas prácticas transmitidas oralmente durante siglos.</v>
      </c>
      <c r="I1067" t="str">
        <f>_xlfn.XLOOKUP(frasest[[#This Row],[author_es]],autorest[author_es],autorest[bio_la])</f>
        <v>Collectio sententiarum Sinensium, magnopere in cultura tradita.</v>
      </c>
      <c r="J1067" t="str">
        <f>_xlfn.XLOOKUP(frasest[[#This Row],[author_es]],autorest[author_es],autorest[iso3691])</f>
        <v>zh</v>
      </c>
      <c r="K1067" t="str">
        <f>_xlfn.XLOOKUP(frasest[[#This Row],[author_es]],autorest[author_es],autorest[language_es])</f>
        <v>Chino</v>
      </c>
      <c r="L1067" t="str">
        <f>_xlfn.XLOOKUP(frasest[[#This Row],[author_es]],autorest[author_es],autorest[language_la])</f>
        <v>Lingua Sinica</v>
      </c>
      <c r="M1067" t="str">
        <f>_xlfn.XLOOKUP(frasest[[#This Row],[author_es]],autorest[author_es],autorest[nation_es])</f>
        <v>China</v>
      </c>
      <c r="N1067" t="str">
        <f>_xlfn.XLOOKUP(frasest[[#This Row],[author_es]],autorest[author_es],autorest[nation_la])</f>
        <v>Sinae</v>
      </c>
      <c r="O1067" t="str">
        <f>_xlfn.XLOOKUP(frasest[[#This Row],[author_es]],autorest[author_es],autorest[age_es])</f>
        <v>Epoca Desconocida</v>
      </c>
      <c r="P1067" t="str">
        <f>_xlfn.XLOOKUP(frasest[[#This Row],[author_es]],autorest[author_es],autorest[age_la])</f>
        <v>Epocha Ignota</v>
      </c>
      <c r="Q1067" t="str">
        <f>_xlfn.XLOOKUP(frasest[[#This Row],[author_es]],autorest[author_es],autorest[image])</f>
        <v>https://i.ibb.co/qLfpZm6h/china.png</v>
      </c>
      <c r="R1067">
        <f>_xlfn.XLOOKUP(frasest[[#This Row],[author_es]],autorest[author_es],autorest[image_atr])</f>
        <v>0</v>
      </c>
    </row>
    <row r="1068" spans="1:18">
      <c r="A1068">
        <v>1067</v>
      </c>
      <c r="B1068" t="s">
        <v>3335</v>
      </c>
      <c r="C1068" t="s">
        <v>3336</v>
      </c>
      <c r="D1068" s="1" t="s">
        <v>3337</v>
      </c>
      <c r="E1068" t="s">
        <v>36</v>
      </c>
      <c r="G1068" t="str">
        <f>_xlfn.XLOOKUP(frasest[[#This Row],[author_es]],autorest[author_es],autorest[author_la])</f>
        <v>Proverbium Sinense</v>
      </c>
      <c r="H1068" t="str">
        <f>_xlfn.XLOOKUP(frasest[[#This Row],[author_es]],autorest[author_es],autorest[bio_es])</f>
        <v>Conjunto de proverbios tradicionales de la cultura china que transmiten sabiduría popular, valores morales y enseñanzas prácticas transmitidas oralmente durante siglos.</v>
      </c>
      <c r="I1068" t="str">
        <f>_xlfn.XLOOKUP(frasest[[#This Row],[author_es]],autorest[author_es],autorest[bio_la])</f>
        <v>Collectio sententiarum Sinensium, magnopere in cultura tradita.</v>
      </c>
      <c r="J1068" t="str">
        <f>_xlfn.XLOOKUP(frasest[[#This Row],[author_es]],autorest[author_es],autorest[iso3691])</f>
        <v>zh</v>
      </c>
      <c r="K1068" t="str">
        <f>_xlfn.XLOOKUP(frasest[[#This Row],[author_es]],autorest[author_es],autorest[language_es])</f>
        <v>Chino</v>
      </c>
      <c r="L1068" t="str">
        <f>_xlfn.XLOOKUP(frasest[[#This Row],[author_es]],autorest[author_es],autorest[language_la])</f>
        <v>Lingua Sinica</v>
      </c>
      <c r="M1068" t="str">
        <f>_xlfn.XLOOKUP(frasest[[#This Row],[author_es]],autorest[author_es],autorest[nation_es])</f>
        <v>China</v>
      </c>
      <c r="N1068" t="str">
        <f>_xlfn.XLOOKUP(frasest[[#This Row],[author_es]],autorest[author_es],autorest[nation_la])</f>
        <v>Sinae</v>
      </c>
      <c r="O1068" t="str">
        <f>_xlfn.XLOOKUP(frasest[[#This Row],[author_es]],autorest[author_es],autorest[age_es])</f>
        <v>Epoca Desconocida</v>
      </c>
      <c r="P1068" t="str">
        <f>_xlfn.XLOOKUP(frasest[[#This Row],[author_es]],autorest[author_es],autorest[age_la])</f>
        <v>Epocha Ignota</v>
      </c>
      <c r="Q1068" t="str">
        <f>_xlfn.XLOOKUP(frasest[[#This Row],[author_es]],autorest[author_es],autorest[image])</f>
        <v>https://i.ibb.co/qLfpZm6h/china.png</v>
      </c>
      <c r="R1068">
        <f>_xlfn.XLOOKUP(frasest[[#This Row],[author_es]],autorest[author_es],autorest[image_atr])</f>
        <v>0</v>
      </c>
    </row>
    <row r="1069" spans="1:18">
      <c r="A1069">
        <v>1068</v>
      </c>
      <c r="B1069" t="s">
        <v>3338</v>
      </c>
      <c r="C1069" t="s">
        <v>3339</v>
      </c>
      <c r="D1069" s="1" t="s">
        <v>3340</v>
      </c>
      <c r="E1069" t="s">
        <v>36</v>
      </c>
      <c r="G1069" t="str">
        <f>_xlfn.XLOOKUP(frasest[[#This Row],[author_es]],autorest[author_es],autorest[author_la])</f>
        <v>Proverbium Sinense</v>
      </c>
      <c r="H1069" t="str">
        <f>_xlfn.XLOOKUP(frasest[[#This Row],[author_es]],autorest[author_es],autorest[bio_es])</f>
        <v>Conjunto de proverbios tradicionales de la cultura china que transmiten sabiduría popular, valores morales y enseñanzas prácticas transmitidas oralmente durante siglos.</v>
      </c>
      <c r="I1069" t="str">
        <f>_xlfn.XLOOKUP(frasest[[#This Row],[author_es]],autorest[author_es],autorest[bio_la])</f>
        <v>Collectio sententiarum Sinensium, magnopere in cultura tradita.</v>
      </c>
      <c r="J1069" t="str">
        <f>_xlfn.XLOOKUP(frasest[[#This Row],[author_es]],autorest[author_es],autorest[iso3691])</f>
        <v>zh</v>
      </c>
      <c r="K1069" t="str">
        <f>_xlfn.XLOOKUP(frasest[[#This Row],[author_es]],autorest[author_es],autorest[language_es])</f>
        <v>Chino</v>
      </c>
      <c r="L1069" t="str">
        <f>_xlfn.XLOOKUP(frasest[[#This Row],[author_es]],autorest[author_es],autorest[language_la])</f>
        <v>Lingua Sinica</v>
      </c>
      <c r="M1069" t="str">
        <f>_xlfn.XLOOKUP(frasest[[#This Row],[author_es]],autorest[author_es],autorest[nation_es])</f>
        <v>China</v>
      </c>
      <c r="N1069" t="str">
        <f>_xlfn.XLOOKUP(frasest[[#This Row],[author_es]],autorest[author_es],autorest[nation_la])</f>
        <v>Sinae</v>
      </c>
      <c r="O1069" t="str">
        <f>_xlfn.XLOOKUP(frasest[[#This Row],[author_es]],autorest[author_es],autorest[age_es])</f>
        <v>Epoca Desconocida</v>
      </c>
      <c r="P1069" t="str">
        <f>_xlfn.XLOOKUP(frasest[[#This Row],[author_es]],autorest[author_es],autorest[age_la])</f>
        <v>Epocha Ignota</v>
      </c>
      <c r="Q1069" t="str">
        <f>_xlfn.XLOOKUP(frasest[[#This Row],[author_es]],autorest[author_es],autorest[image])</f>
        <v>https://i.ibb.co/qLfpZm6h/china.png</v>
      </c>
      <c r="R1069">
        <f>_xlfn.XLOOKUP(frasest[[#This Row],[author_es]],autorest[author_es],autorest[image_atr])</f>
        <v>0</v>
      </c>
    </row>
    <row r="1070" spans="1:18">
      <c r="A1070">
        <v>1069</v>
      </c>
      <c r="B1070" t="s">
        <v>3341</v>
      </c>
      <c r="C1070" t="s">
        <v>3342</v>
      </c>
      <c r="D1070" s="1" t="s">
        <v>3343</v>
      </c>
      <c r="E1070" t="s">
        <v>36</v>
      </c>
      <c r="G1070" t="str">
        <f>_xlfn.XLOOKUP(frasest[[#This Row],[author_es]],autorest[author_es],autorest[author_la])</f>
        <v>Proverbium Sinense</v>
      </c>
      <c r="H1070" t="str">
        <f>_xlfn.XLOOKUP(frasest[[#This Row],[author_es]],autorest[author_es],autorest[bio_es])</f>
        <v>Conjunto de proverbios tradicionales de la cultura china que transmiten sabiduría popular, valores morales y enseñanzas prácticas transmitidas oralmente durante siglos.</v>
      </c>
      <c r="I1070" t="str">
        <f>_xlfn.XLOOKUP(frasest[[#This Row],[author_es]],autorest[author_es],autorest[bio_la])</f>
        <v>Collectio sententiarum Sinensium, magnopere in cultura tradita.</v>
      </c>
      <c r="J1070" t="str">
        <f>_xlfn.XLOOKUP(frasest[[#This Row],[author_es]],autorest[author_es],autorest[iso3691])</f>
        <v>zh</v>
      </c>
      <c r="K1070" t="str">
        <f>_xlfn.XLOOKUP(frasest[[#This Row],[author_es]],autorest[author_es],autorest[language_es])</f>
        <v>Chino</v>
      </c>
      <c r="L1070" t="str">
        <f>_xlfn.XLOOKUP(frasest[[#This Row],[author_es]],autorest[author_es],autorest[language_la])</f>
        <v>Lingua Sinica</v>
      </c>
      <c r="M1070" t="str">
        <f>_xlfn.XLOOKUP(frasest[[#This Row],[author_es]],autorest[author_es],autorest[nation_es])</f>
        <v>China</v>
      </c>
      <c r="N1070" t="str">
        <f>_xlfn.XLOOKUP(frasest[[#This Row],[author_es]],autorest[author_es],autorest[nation_la])</f>
        <v>Sinae</v>
      </c>
      <c r="O1070" t="str">
        <f>_xlfn.XLOOKUP(frasest[[#This Row],[author_es]],autorest[author_es],autorest[age_es])</f>
        <v>Epoca Desconocida</v>
      </c>
      <c r="P1070" t="str">
        <f>_xlfn.XLOOKUP(frasest[[#This Row],[author_es]],autorest[author_es],autorest[age_la])</f>
        <v>Epocha Ignota</v>
      </c>
      <c r="Q1070" t="str">
        <f>_xlfn.XLOOKUP(frasest[[#This Row],[author_es]],autorest[author_es],autorest[image])</f>
        <v>https://i.ibb.co/qLfpZm6h/china.png</v>
      </c>
      <c r="R1070">
        <f>_xlfn.XLOOKUP(frasest[[#This Row],[author_es]],autorest[author_es],autorest[image_atr])</f>
        <v>0</v>
      </c>
    </row>
    <row r="1071" spans="1:18">
      <c r="A1071">
        <v>1070</v>
      </c>
      <c r="B1071" t="s">
        <v>3344</v>
      </c>
      <c r="C1071" t="s">
        <v>3345</v>
      </c>
      <c r="D1071" s="1" t="s">
        <v>3346</v>
      </c>
      <c r="E1071" t="s">
        <v>36</v>
      </c>
      <c r="G1071" t="str">
        <f>_xlfn.XLOOKUP(frasest[[#This Row],[author_es]],autorest[author_es],autorest[author_la])</f>
        <v>Proverbium Sinense</v>
      </c>
      <c r="H1071" t="str">
        <f>_xlfn.XLOOKUP(frasest[[#This Row],[author_es]],autorest[author_es],autorest[bio_es])</f>
        <v>Conjunto de proverbios tradicionales de la cultura china que transmiten sabiduría popular, valores morales y enseñanzas prácticas transmitidas oralmente durante siglos.</v>
      </c>
      <c r="I1071" t="str">
        <f>_xlfn.XLOOKUP(frasest[[#This Row],[author_es]],autorest[author_es],autorest[bio_la])</f>
        <v>Collectio sententiarum Sinensium, magnopere in cultura tradita.</v>
      </c>
      <c r="J1071" t="str">
        <f>_xlfn.XLOOKUP(frasest[[#This Row],[author_es]],autorest[author_es],autorest[iso3691])</f>
        <v>zh</v>
      </c>
      <c r="K1071" t="str">
        <f>_xlfn.XLOOKUP(frasest[[#This Row],[author_es]],autorest[author_es],autorest[language_es])</f>
        <v>Chino</v>
      </c>
      <c r="L1071" t="str">
        <f>_xlfn.XLOOKUP(frasest[[#This Row],[author_es]],autorest[author_es],autorest[language_la])</f>
        <v>Lingua Sinica</v>
      </c>
      <c r="M1071" t="str">
        <f>_xlfn.XLOOKUP(frasest[[#This Row],[author_es]],autorest[author_es],autorest[nation_es])</f>
        <v>China</v>
      </c>
      <c r="N1071" t="str">
        <f>_xlfn.XLOOKUP(frasest[[#This Row],[author_es]],autorest[author_es],autorest[nation_la])</f>
        <v>Sinae</v>
      </c>
      <c r="O1071" t="str">
        <f>_xlfn.XLOOKUP(frasest[[#This Row],[author_es]],autorest[author_es],autorest[age_es])</f>
        <v>Epoca Desconocida</v>
      </c>
      <c r="P1071" t="str">
        <f>_xlfn.XLOOKUP(frasest[[#This Row],[author_es]],autorest[author_es],autorest[age_la])</f>
        <v>Epocha Ignota</v>
      </c>
      <c r="Q1071" t="str">
        <f>_xlfn.XLOOKUP(frasest[[#This Row],[author_es]],autorest[author_es],autorest[image])</f>
        <v>https://i.ibb.co/qLfpZm6h/china.png</v>
      </c>
      <c r="R1071">
        <f>_xlfn.XLOOKUP(frasest[[#This Row],[author_es]],autorest[author_es],autorest[image_atr])</f>
        <v>0</v>
      </c>
    </row>
    <row r="1072" spans="1:18">
      <c r="A1072">
        <v>1071</v>
      </c>
      <c r="B1072" t="s">
        <v>3347</v>
      </c>
      <c r="C1072" t="s">
        <v>3348</v>
      </c>
      <c r="D1072" s="1" t="s">
        <v>3349</v>
      </c>
      <c r="E1072" t="s">
        <v>36</v>
      </c>
      <c r="G1072" t="str">
        <f>_xlfn.XLOOKUP(frasest[[#This Row],[author_es]],autorest[author_es],autorest[author_la])</f>
        <v>Proverbium Sinense</v>
      </c>
      <c r="H1072" t="str">
        <f>_xlfn.XLOOKUP(frasest[[#This Row],[author_es]],autorest[author_es],autorest[bio_es])</f>
        <v>Conjunto de proverbios tradicionales de la cultura china que transmiten sabiduría popular, valores morales y enseñanzas prácticas transmitidas oralmente durante siglos.</v>
      </c>
      <c r="I1072" t="str">
        <f>_xlfn.XLOOKUP(frasest[[#This Row],[author_es]],autorest[author_es],autorest[bio_la])</f>
        <v>Collectio sententiarum Sinensium, magnopere in cultura tradita.</v>
      </c>
      <c r="J1072" t="str">
        <f>_xlfn.XLOOKUP(frasest[[#This Row],[author_es]],autorest[author_es],autorest[iso3691])</f>
        <v>zh</v>
      </c>
      <c r="K1072" t="str">
        <f>_xlfn.XLOOKUP(frasest[[#This Row],[author_es]],autorest[author_es],autorest[language_es])</f>
        <v>Chino</v>
      </c>
      <c r="L1072" t="str">
        <f>_xlfn.XLOOKUP(frasest[[#This Row],[author_es]],autorest[author_es],autorest[language_la])</f>
        <v>Lingua Sinica</v>
      </c>
      <c r="M1072" t="str">
        <f>_xlfn.XLOOKUP(frasest[[#This Row],[author_es]],autorest[author_es],autorest[nation_es])</f>
        <v>China</v>
      </c>
      <c r="N1072" t="str">
        <f>_xlfn.XLOOKUP(frasest[[#This Row],[author_es]],autorest[author_es],autorest[nation_la])</f>
        <v>Sinae</v>
      </c>
      <c r="O1072" t="str">
        <f>_xlfn.XLOOKUP(frasest[[#This Row],[author_es]],autorest[author_es],autorest[age_es])</f>
        <v>Epoca Desconocida</v>
      </c>
      <c r="P1072" t="str">
        <f>_xlfn.XLOOKUP(frasest[[#This Row],[author_es]],autorest[author_es],autorest[age_la])</f>
        <v>Epocha Ignota</v>
      </c>
      <c r="Q1072" t="str">
        <f>_xlfn.XLOOKUP(frasest[[#This Row],[author_es]],autorest[author_es],autorest[image])</f>
        <v>https://i.ibb.co/qLfpZm6h/china.png</v>
      </c>
      <c r="R1072">
        <f>_xlfn.XLOOKUP(frasest[[#This Row],[author_es]],autorest[author_es],autorest[image_atr])</f>
        <v>0</v>
      </c>
    </row>
    <row r="1073" spans="1:18">
      <c r="A1073">
        <v>1072</v>
      </c>
      <c r="B1073" t="s">
        <v>3350</v>
      </c>
      <c r="C1073" t="s">
        <v>3351</v>
      </c>
      <c r="D1073" s="1" t="s">
        <v>3352</v>
      </c>
      <c r="E1073" t="s">
        <v>36</v>
      </c>
      <c r="G1073" t="str">
        <f>_xlfn.XLOOKUP(frasest[[#This Row],[author_es]],autorest[author_es],autorest[author_la])</f>
        <v>Proverbium Sinense</v>
      </c>
      <c r="H1073" t="str">
        <f>_xlfn.XLOOKUP(frasest[[#This Row],[author_es]],autorest[author_es],autorest[bio_es])</f>
        <v>Conjunto de proverbios tradicionales de la cultura china que transmiten sabiduría popular, valores morales y enseñanzas prácticas transmitidas oralmente durante siglos.</v>
      </c>
      <c r="I1073" t="str">
        <f>_xlfn.XLOOKUP(frasest[[#This Row],[author_es]],autorest[author_es],autorest[bio_la])</f>
        <v>Collectio sententiarum Sinensium, magnopere in cultura tradita.</v>
      </c>
      <c r="J1073" t="str">
        <f>_xlfn.XLOOKUP(frasest[[#This Row],[author_es]],autorest[author_es],autorest[iso3691])</f>
        <v>zh</v>
      </c>
      <c r="K1073" t="str">
        <f>_xlfn.XLOOKUP(frasest[[#This Row],[author_es]],autorest[author_es],autorest[language_es])</f>
        <v>Chino</v>
      </c>
      <c r="L1073" t="str">
        <f>_xlfn.XLOOKUP(frasest[[#This Row],[author_es]],autorest[author_es],autorest[language_la])</f>
        <v>Lingua Sinica</v>
      </c>
      <c r="M1073" t="str">
        <f>_xlfn.XLOOKUP(frasest[[#This Row],[author_es]],autorest[author_es],autorest[nation_es])</f>
        <v>China</v>
      </c>
      <c r="N1073" t="str">
        <f>_xlfn.XLOOKUP(frasest[[#This Row],[author_es]],autorest[author_es],autorest[nation_la])</f>
        <v>Sinae</v>
      </c>
      <c r="O1073" t="str">
        <f>_xlfn.XLOOKUP(frasest[[#This Row],[author_es]],autorest[author_es],autorest[age_es])</f>
        <v>Epoca Desconocida</v>
      </c>
      <c r="P1073" t="str">
        <f>_xlfn.XLOOKUP(frasest[[#This Row],[author_es]],autorest[author_es],autorest[age_la])</f>
        <v>Epocha Ignota</v>
      </c>
      <c r="Q1073" t="str">
        <f>_xlfn.XLOOKUP(frasest[[#This Row],[author_es]],autorest[author_es],autorest[image])</f>
        <v>https://i.ibb.co/qLfpZm6h/china.png</v>
      </c>
      <c r="R1073">
        <f>_xlfn.XLOOKUP(frasest[[#This Row],[author_es]],autorest[author_es],autorest[image_atr])</f>
        <v>0</v>
      </c>
    </row>
    <row r="1074" spans="1:18">
      <c r="A1074">
        <v>1073</v>
      </c>
      <c r="B1074" t="s">
        <v>3353</v>
      </c>
      <c r="C1074" t="s">
        <v>3354</v>
      </c>
      <c r="D1074" s="1" t="s">
        <v>3355</v>
      </c>
      <c r="E1074" t="s">
        <v>36</v>
      </c>
      <c r="G1074" t="str">
        <f>_xlfn.XLOOKUP(frasest[[#This Row],[author_es]],autorest[author_es],autorest[author_la])</f>
        <v>Proverbium Sinense</v>
      </c>
      <c r="H1074" t="str">
        <f>_xlfn.XLOOKUP(frasest[[#This Row],[author_es]],autorest[author_es],autorest[bio_es])</f>
        <v>Conjunto de proverbios tradicionales de la cultura china que transmiten sabiduría popular, valores morales y enseñanzas prácticas transmitidas oralmente durante siglos.</v>
      </c>
      <c r="I1074" t="str">
        <f>_xlfn.XLOOKUP(frasest[[#This Row],[author_es]],autorest[author_es],autorest[bio_la])</f>
        <v>Collectio sententiarum Sinensium, magnopere in cultura tradita.</v>
      </c>
      <c r="J1074" t="str">
        <f>_xlfn.XLOOKUP(frasest[[#This Row],[author_es]],autorest[author_es],autorest[iso3691])</f>
        <v>zh</v>
      </c>
      <c r="K1074" t="str">
        <f>_xlfn.XLOOKUP(frasest[[#This Row],[author_es]],autorest[author_es],autorest[language_es])</f>
        <v>Chino</v>
      </c>
      <c r="L1074" t="str">
        <f>_xlfn.XLOOKUP(frasest[[#This Row],[author_es]],autorest[author_es],autorest[language_la])</f>
        <v>Lingua Sinica</v>
      </c>
      <c r="M1074" t="str">
        <f>_xlfn.XLOOKUP(frasest[[#This Row],[author_es]],autorest[author_es],autorest[nation_es])</f>
        <v>China</v>
      </c>
      <c r="N1074" t="str">
        <f>_xlfn.XLOOKUP(frasest[[#This Row],[author_es]],autorest[author_es],autorest[nation_la])</f>
        <v>Sinae</v>
      </c>
      <c r="O1074" t="str">
        <f>_xlfn.XLOOKUP(frasest[[#This Row],[author_es]],autorest[author_es],autorest[age_es])</f>
        <v>Epoca Desconocida</v>
      </c>
      <c r="P1074" t="str">
        <f>_xlfn.XLOOKUP(frasest[[#This Row],[author_es]],autorest[author_es],autorest[age_la])</f>
        <v>Epocha Ignota</v>
      </c>
      <c r="Q1074" t="str">
        <f>_xlfn.XLOOKUP(frasest[[#This Row],[author_es]],autorest[author_es],autorest[image])</f>
        <v>https://i.ibb.co/qLfpZm6h/china.png</v>
      </c>
      <c r="R1074">
        <f>_xlfn.XLOOKUP(frasest[[#This Row],[author_es]],autorest[author_es],autorest[image_atr])</f>
        <v>0</v>
      </c>
    </row>
    <row r="1075" spans="1:18">
      <c r="A1075">
        <v>1074</v>
      </c>
      <c r="B1075" t="s">
        <v>3356</v>
      </c>
      <c r="C1075" t="s">
        <v>3357</v>
      </c>
      <c r="D1075" s="1" t="s">
        <v>3358</v>
      </c>
      <c r="E1075" t="s">
        <v>36</v>
      </c>
      <c r="G1075" t="str">
        <f>_xlfn.XLOOKUP(frasest[[#This Row],[author_es]],autorest[author_es],autorest[author_la])</f>
        <v>Proverbium Sinense</v>
      </c>
      <c r="H1075" t="str">
        <f>_xlfn.XLOOKUP(frasest[[#This Row],[author_es]],autorest[author_es],autorest[bio_es])</f>
        <v>Conjunto de proverbios tradicionales de la cultura china que transmiten sabiduría popular, valores morales y enseñanzas prácticas transmitidas oralmente durante siglos.</v>
      </c>
      <c r="I1075" t="str">
        <f>_xlfn.XLOOKUP(frasest[[#This Row],[author_es]],autorest[author_es],autorest[bio_la])</f>
        <v>Collectio sententiarum Sinensium, magnopere in cultura tradita.</v>
      </c>
      <c r="J1075" t="str">
        <f>_xlfn.XLOOKUP(frasest[[#This Row],[author_es]],autorest[author_es],autorest[iso3691])</f>
        <v>zh</v>
      </c>
      <c r="K1075" t="str">
        <f>_xlfn.XLOOKUP(frasest[[#This Row],[author_es]],autorest[author_es],autorest[language_es])</f>
        <v>Chino</v>
      </c>
      <c r="L1075" t="str">
        <f>_xlfn.XLOOKUP(frasest[[#This Row],[author_es]],autorest[author_es],autorest[language_la])</f>
        <v>Lingua Sinica</v>
      </c>
      <c r="M1075" t="str">
        <f>_xlfn.XLOOKUP(frasest[[#This Row],[author_es]],autorest[author_es],autorest[nation_es])</f>
        <v>China</v>
      </c>
      <c r="N1075" t="str">
        <f>_xlfn.XLOOKUP(frasest[[#This Row],[author_es]],autorest[author_es],autorest[nation_la])</f>
        <v>Sinae</v>
      </c>
      <c r="O1075" t="str">
        <f>_xlfn.XLOOKUP(frasest[[#This Row],[author_es]],autorest[author_es],autorest[age_es])</f>
        <v>Epoca Desconocida</v>
      </c>
      <c r="P1075" t="str">
        <f>_xlfn.XLOOKUP(frasest[[#This Row],[author_es]],autorest[author_es],autorest[age_la])</f>
        <v>Epocha Ignota</v>
      </c>
      <c r="Q1075" t="str">
        <f>_xlfn.XLOOKUP(frasest[[#This Row],[author_es]],autorest[author_es],autorest[image])</f>
        <v>https://i.ibb.co/qLfpZm6h/china.png</v>
      </c>
      <c r="R1075">
        <f>_xlfn.XLOOKUP(frasest[[#This Row],[author_es]],autorest[author_es],autorest[image_atr])</f>
        <v>0</v>
      </c>
    </row>
    <row r="1076" spans="1:18">
      <c r="A1076">
        <v>1075</v>
      </c>
      <c r="B1076" t="s">
        <v>3359</v>
      </c>
      <c r="C1076" t="s">
        <v>3360</v>
      </c>
      <c r="D1076" s="1" t="s">
        <v>3361</v>
      </c>
      <c r="E1076" t="s">
        <v>36</v>
      </c>
      <c r="G1076" t="str">
        <f>_xlfn.XLOOKUP(frasest[[#This Row],[author_es]],autorest[author_es],autorest[author_la])</f>
        <v>Proverbium Sinense</v>
      </c>
      <c r="H1076" t="str">
        <f>_xlfn.XLOOKUP(frasest[[#This Row],[author_es]],autorest[author_es],autorest[bio_es])</f>
        <v>Conjunto de proverbios tradicionales de la cultura china que transmiten sabiduría popular, valores morales y enseñanzas prácticas transmitidas oralmente durante siglos.</v>
      </c>
      <c r="I1076" t="str">
        <f>_xlfn.XLOOKUP(frasest[[#This Row],[author_es]],autorest[author_es],autorest[bio_la])</f>
        <v>Collectio sententiarum Sinensium, magnopere in cultura tradita.</v>
      </c>
      <c r="J1076" t="str">
        <f>_xlfn.XLOOKUP(frasest[[#This Row],[author_es]],autorest[author_es],autorest[iso3691])</f>
        <v>zh</v>
      </c>
      <c r="K1076" t="str">
        <f>_xlfn.XLOOKUP(frasest[[#This Row],[author_es]],autorest[author_es],autorest[language_es])</f>
        <v>Chino</v>
      </c>
      <c r="L1076" t="str">
        <f>_xlfn.XLOOKUP(frasest[[#This Row],[author_es]],autorest[author_es],autorest[language_la])</f>
        <v>Lingua Sinica</v>
      </c>
      <c r="M1076" t="str">
        <f>_xlfn.XLOOKUP(frasest[[#This Row],[author_es]],autorest[author_es],autorest[nation_es])</f>
        <v>China</v>
      </c>
      <c r="N1076" t="str">
        <f>_xlfn.XLOOKUP(frasest[[#This Row],[author_es]],autorest[author_es],autorest[nation_la])</f>
        <v>Sinae</v>
      </c>
      <c r="O1076" t="str">
        <f>_xlfn.XLOOKUP(frasest[[#This Row],[author_es]],autorest[author_es],autorest[age_es])</f>
        <v>Epoca Desconocida</v>
      </c>
      <c r="P1076" t="str">
        <f>_xlfn.XLOOKUP(frasest[[#This Row],[author_es]],autorest[author_es],autorest[age_la])</f>
        <v>Epocha Ignota</v>
      </c>
      <c r="Q1076" t="str">
        <f>_xlfn.XLOOKUP(frasest[[#This Row],[author_es]],autorest[author_es],autorest[image])</f>
        <v>https://i.ibb.co/qLfpZm6h/china.png</v>
      </c>
      <c r="R1076">
        <f>_xlfn.XLOOKUP(frasest[[#This Row],[author_es]],autorest[author_es],autorest[image_atr])</f>
        <v>0</v>
      </c>
    </row>
    <row r="1077" spans="1:18">
      <c r="A1077">
        <v>1076</v>
      </c>
      <c r="B1077" t="s">
        <v>3362</v>
      </c>
      <c r="C1077" t="s">
        <v>3363</v>
      </c>
      <c r="D1077" s="1" t="s">
        <v>3364</v>
      </c>
      <c r="E1077" t="s">
        <v>36</v>
      </c>
      <c r="G1077" t="str">
        <f>_xlfn.XLOOKUP(frasest[[#This Row],[author_es]],autorest[author_es],autorest[author_la])</f>
        <v>Proverbium Sinense</v>
      </c>
      <c r="H1077" t="str">
        <f>_xlfn.XLOOKUP(frasest[[#This Row],[author_es]],autorest[author_es],autorest[bio_es])</f>
        <v>Conjunto de proverbios tradicionales de la cultura china que transmiten sabiduría popular, valores morales y enseñanzas prácticas transmitidas oralmente durante siglos.</v>
      </c>
      <c r="I1077" t="str">
        <f>_xlfn.XLOOKUP(frasest[[#This Row],[author_es]],autorest[author_es],autorest[bio_la])</f>
        <v>Collectio sententiarum Sinensium, magnopere in cultura tradita.</v>
      </c>
      <c r="J1077" t="str">
        <f>_xlfn.XLOOKUP(frasest[[#This Row],[author_es]],autorest[author_es],autorest[iso3691])</f>
        <v>zh</v>
      </c>
      <c r="K1077" t="str">
        <f>_xlfn.XLOOKUP(frasest[[#This Row],[author_es]],autorest[author_es],autorest[language_es])</f>
        <v>Chino</v>
      </c>
      <c r="L1077" t="str">
        <f>_xlfn.XLOOKUP(frasest[[#This Row],[author_es]],autorest[author_es],autorest[language_la])</f>
        <v>Lingua Sinica</v>
      </c>
      <c r="M1077" t="str">
        <f>_xlfn.XLOOKUP(frasest[[#This Row],[author_es]],autorest[author_es],autorest[nation_es])</f>
        <v>China</v>
      </c>
      <c r="N1077" t="str">
        <f>_xlfn.XLOOKUP(frasest[[#This Row],[author_es]],autorest[author_es],autorest[nation_la])</f>
        <v>Sinae</v>
      </c>
      <c r="O1077" t="str">
        <f>_xlfn.XLOOKUP(frasest[[#This Row],[author_es]],autorest[author_es],autorest[age_es])</f>
        <v>Epoca Desconocida</v>
      </c>
      <c r="P1077" t="str">
        <f>_xlfn.XLOOKUP(frasest[[#This Row],[author_es]],autorest[author_es],autorest[age_la])</f>
        <v>Epocha Ignota</v>
      </c>
      <c r="Q1077" t="str">
        <f>_xlfn.XLOOKUP(frasest[[#This Row],[author_es]],autorest[author_es],autorest[image])</f>
        <v>https://i.ibb.co/qLfpZm6h/china.png</v>
      </c>
      <c r="R1077">
        <f>_xlfn.XLOOKUP(frasest[[#This Row],[author_es]],autorest[author_es],autorest[image_atr])</f>
        <v>0</v>
      </c>
    </row>
    <row r="1078" spans="1:18">
      <c r="A1078">
        <v>1077</v>
      </c>
      <c r="B1078" t="s">
        <v>3365</v>
      </c>
      <c r="C1078" t="s">
        <v>3366</v>
      </c>
      <c r="D1078" s="1" t="s">
        <v>3367</v>
      </c>
      <c r="E1078" t="s">
        <v>36</v>
      </c>
      <c r="G1078" t="str">
        <f>_xlfn.XLOOKUP(frasest[[#This Row],[author_es]],autorest[author_es],autorest[author_la])</f>
        <v>Proverbium Sinense</v>
      </c>
      <c r="H1078" t="str">
        <f>_xlfn.XLOOKUP(frasest[[#This Row],[author_es]],autorest[author_es],autorest[bio_es])</f>
        <v>Conjunto de proverbios tradicionales de la cultura china que transmiten sabiduría popular, valores morales y enseñanzas prácticas transmitidas oralmente durante siglos.</v>
      </c>
      <c r="I1078" t="str">
        <f>_xlfn.XLOOKUP(frasest[[#This Row],[author_es]],autorest[author_es],autorest[bio_la])</f>
        <v>Collectio sententiarum Sinensium, magnopere in cultura tradita.</v>
      </c>
      <c r="J1078" t="str">
        <f>_xlfn.XLOOKUP(frasest[[#This Row],[author_es]],autorest[author_es],autorest[iso3691])</f>
        <v>zh</v>
      </c>
      <c r="K1078" t="str">
        <f>_xlfn.XLOOKUP(frasest[[#This Row],[author_es]],autorest[author_es],autorest[language_es])</f>
        <v>Chino</v>
      </c>
      <c r="L1078" t="str">
        <f>_xlfn.XLOOKUP(frasest[[#This Row],[author_es]],autorest[author_es],autorest[language_la])</f>
        <v>Lingua Sinica</v>
      </c>
      <c r="M1078" t="str">
        <f>_xlfn.XLOOKUP(frasest[[#This Row],[author_es]],autorest[author_es],autorest[nation_es])</f>
        <v>China</v>
      </c>
      <c r="N1078" t="str">
        <f>_xlfn.XLOOKUP(frasest[[#This Row],[author_es]],autorest[author_es],autorest[nation_la])</f>
        <v>Sinae</v>
      </c>
      <c r="O1078" t="str">
        <f>_xlfn.XLOOKUP(frasest[[#This Row],[author_es]],autorest[author_es],autorest[age_es])</f>
        <v>Epoca Desconocida</v>
      </c>
      <c r="P1078" t="str">
        <f>_xlfn.XLOOKUP(frasest[[#This Row],[author_es]],autorest[author_es],autorest[age_la])</f>
        <v>Epocha Ignota</v>
      </c>
      <c r="Q1078" t="str">
        <f>_xlfn.XLOOKUP(frasest[[#This Row],[author_es]],autorest[author_es],autorest[image])</f>
        <v>https://i.ibb.co/qLfpZm6h/china.png</v>
      </c>
      <c r="R1078">
        <f>_xlfn.XLOOKUP(frasest[[#This Row],[author_es]],autorest[author_es],autorest[image_atr])</f>
        <v>0</v>
      </c>
    </row>
    <row r="1079" spans="1:18">
      <c r="A1079">
        <v>1078</v>
      </c>
      <c r="B1079" t="s">
        <v>3368</v>
      </c>
      <c r="C1079" t="s">
        <v>3369</v>
      </c>
      <c r="D1079" s="1" t="s">
        <v>3370</v>
      </c>
      <c r="E1079" t="s">
        <v>36</v>
      </c>
      <c r="G1079" t="str">
        <f>_xlfn.XLOOKUP(frasest[[#This Row],[author_es]],autorest[author_es],autorest[author_la])</f>
        <v>Proverbium Sinense</v>
      </c>
      <c r="H1079" t="str">
        <f>_xlfn.XLOOKUP(frasest[[#This Row],[author_es]],autorest[author_es],autorest[bio_es])</f>
        <v>Conjunto de proverbios tradicionales de la cultura china que transmiten sabiduría popular, valores morales y enseñanzas prácticas transmitidas oralmente durante siglos.</v>
      </c>
      <c r="I1079" t="str">
        <f>_xlfn.XLOOKUP(frasest[[#This Row],[author_es]],autorest[author_es],autorest[bio_la])</f>
        <v>Collectio sententiarum Sinensium, magnopere in cultura tradita.</v>
      </c>
      <c r="J1079" t="str">
        <f>_xlfn.XLOOKUP(frasest[[#This Row],[author_es]],autorest[author_es],autorest[iso3691])</f>
        <v>zh</v>
      </c>
      <c r="K1079" t="str">
        <f>_xlfn.XLOOKUP(frasest[[#This Row],[author_es]],autorest[author_es],autorest[language_es])</f>
        <v>Chino</v>
      </c>
      <c r="L1079" t="str">
        <f>_xlfn.XLOOKUP(frasest[[#This Row],[author_es]],autorest[author_es],autorest[language_la])</f>
        <v>Lingua Sinica</v>
      </c>
      <c r="M1079" t="str">
        <f>_xlfn.XLOOKUP(frasest[[#This Row],[author_es]],autorest[author_es],autorest[nation_es])</f>
        <v>China</v>
      </c>
      <c r="N1079" t="str">
        <f>_xlfn.XLOOKUP(frasest[[#This Row],[author_es]],autorest[author_es],autorest[nation_la])</f>
        <v>Sinae</v>
      </c>
      <c r="O1079" t="str">
        <f>_xlfn.XLOOKUP(frasest[[#This Row],[author_es]],autorest[author_es],autorest[age_es])</f>
        <v>Epoca Desconocida</v>
      </c>
      <c r="P1079" t="str">
        <f>_xlfn.XLOOKUP(frasest[[#This Row],[author_es]],autorest[author_es],autorest[age_la])</f>
        <v>Epocha Ignota</v>
      </c>
      <c r="Q1079" t="str">
        <f>_xlfn.XLOOKUP(frasest[[#This Row],[author_es]],autorest[author_es],autorest[image])</f>
        <v>https://i.ibb.co/qLfpZm6h/china.png</v>
      </c>
      <c r="R1079">
        <f>_xlfn.XLOOKUP(frasest[[#This Row],[author_es]],autorest[author_es],autorest[image_atr])</f>
        <v>0</v>
      </c>
    </row>
    <row r="1080" spans="1:18">
      <c r="A1080">
        <v>1079</v>
      </c>
      <c r="B1080" t="s">
        <v>3371</v>
      </c>
      <c r="C1080" t="s">
        <v>3372</v>
      </c>
      <c r="D1080" s="1" t="s">
        <v>3373</v>
      </c>
      <c r="E1080" t="s">
        <v>36</v>
      </c>
      <c r="G1080" t="str">
        <f>_xlfn.XLOOKUP(frasest[[#This Row],[author_es]],autorest[author_es],autorest[author_la])</f>
        <v>Proverbium Sinense</v>
      </c>
      <c r="H1080" t="str">
        <f>_xlfn.XLOOKUP(frasest[[#This Row],[author_es]],autorest[author_es],autorest[bio_es])</f>
        <v>Conjunto de proverbios tradicionales de la cultura china que transmiten sabiduría popular, valores morales y enseñanzas prácticas transmitidas oralmente durante siglos.</v>
      </c>
      <c r="I1080" t="str">
        <f>_xlfn.XLOOKUP(frasest[[#This Row],[author_es]],autorest[author_es],autorest[bio_la])</f>
        <v>Collectio sententiarum Sinensium, magnopere in cultura tradita.</v>
      </c>
      <c r="J1080" t="str">
        <f>_xlfn.XLOOKUP(frasest[[#This Row],[author_es]],autorest[author_es],autorest[iso3691])</f>
        <v>zh</v>
      </c>
      <c r="K1080" t="str">
        <f>_xlfn.XLOOKUP(frasest[[#This Row],[author_es]],autorest[author_es],autorest[language_es])</f>
        <v>Chino</v>
      </c>
      <c r="L1080" t="str">
        <f>_xlfn.XLOOKUP(frasest[[#This Row],[author_es]],autorest[author_es],autorest[language_la])</f>
        <v>Lingua Sinica</v>
      </c>
      <c r="M1080" t="str">
        <f>_xlfn.XLOOKUP(frasest[[#This Row],[author_es]],autorest[author_es],autorest[nation_es])</f>
        <v>China</v>
      </c>
      <c r="N1080" t="str">
        <f>_xlfn.XLOOKUP(frasest[[#This Row],[author_es]],autorest[author_es],autorest[nation_la])</f>
        <v>Sinae</v>
      </c>
      <c r="O1080" t="str">
        <f>_xlfn.XLOOKUP(frasest[[#This Row],[author_es]],autorest[author_es],autorest[age_es])</f>
        <v>Epoca Desconocida</v>
      </c>
      <c r="P1080" t="str">
        <f>_xlfn.XLOOKUP(frasest[[#This Row],[author_es]],autorest[author_es],autorest[age_la])</f>
        <v>Epocha Ignota</v>
      </c>
      <c r="Q1080" t="str">
        <f>_xlfn.XLOOKUP(frasest[[#This Row],[author_es]],autorest[author_es],autorest[image])</f>
        <v>https://i.ibb.co/qLfpZm6h/china.png</v>
      </c>
      <c r="R1080">
        <f>_xlfn.XLOOKUP(frasest[[#This Row],[author_es]],autorest[author_es],autorest[image_atr])</f>
        <v>0</v>
      </c>
    </row>
    <row r="1081" spans="1:18">
      <c r="A1081">
        <v>1080</v>
      </c>
      <c r="B1081" t="s">
        <v>3374</v>
      </c>
      <c r="C1081" t="s">
        <v>3375</v>
      </c>
      <c r="D1081" s="1" t="s">
        <v>3376</v>
      </c>
      <c r="E1081" t="s">
        <v>36</v>
      </c>
      <c r="G1081" t="str">
        <f>_xlfn.XLOOKUP(frasest[[#This Row],[author_es]],autorest[author_es],autorest[author_la])</f>
        <v>Proverbium Sinense</v>
      </c>
      <c r="H1081" t="str">
        <f>_xlfn.XLOOKUP(frasest[[#This Row],[author_es]],autorest[author_es],autorest[bio_es])</f>
        <v>Conjunto de proverbios tradicionales de la cultura china que transmiten sabiduría popular, valores morales y enseñanzas prácticas transmitidas oralmente durante siglos.</v>
      </c>
      <c r="I1081" t="str">
        <f>_xlfn.XLOOKUP(frasest[[#This Row],[author_es]],autorest[author_es],autorest[bio_la])</f>
        <v>Collectio sententiarum Sinensium, magnopere in cultura tradita.</v>
      </c>
      <c r="J1081" t="str">
        <f>_xlfn.XLOOKUP(frasest[[#This Row],[author_es]],autorest[author_es],autorest[iso3691])</f>
        <v>zh</v>
      </c>
      <c r="K1081" t="str">
        <f>_xlfn.XLOOKUP(frasest[[#This Row],[author_es]],autorest[author_es],autorest[language_es])</f>
        <v>Chino</v>
      </c>
      <c r="L1081" t="str">
        <f>_xlfn.XLOOKUP(frasest[[#This Row],[author_es]],autorest[author_es],autorest[language_la])</f>
        <v>Lingua Sinica</v>
      </c>
      <c r="M1081" t="str">
        <f>_xlfn.XLOOKUP(frasest[[#This Row],[author_es]],autorest[author_es],autorest[nation_es])</f>
        <v>China</v>
      </c>
      <c r="N1081" t="str">
        <f>_xlfn.XLOOKUP(frasest[[#This Row],[author_es]],autorest[author_es],autorest[nation_la])</f>
        <v>Sinae</v>
      </c>
      <c r="O1081" t="str">
        <f>_xlfn.XLOOKUP(frasest[[#This Row],[author_es]],autorest[author_es],autorest[age_es])</f>
        <v>Epoca Desconocida</v>
      </c>
      <c r="P1081" t="str">
        <f>_xlfn.XLOOKUP(frasest[[#This Row],[author_es]],autorest[author_es],autorest[age_la])</f>
        <v>Epocha Ignota</v>
      </c>
      <c r="Q1081" t="str">
        <f>_xlfn.XLOOKUP(frasest[[#This Row],[author_es]],autorest[author_es],autorest[image])</f>
        <v>https://i.ibb.co/qLfpZm6h/china.png</v>
      </c>
      <c r="R1081">
        <f>_xlfn.XLOOKUP(frasest[[#This Row],[author_es]],autorest[author_es],autorest[image_atr])</f>
        <v>0</v>
      </c>
    </row>
    <row r="1082" spans="1:18">
      <c r="A1082">
        <v>1081</v>
      </c>
      <c r="B1082" t="s">
        <v>3377</v>
      </c>
      <c r="C1082" t="s">
        <v>3378</v>
      </c>
      <c r="D1082" s="1" t="s">
        <v>3379</v>
      </c>
      <c r="E1082" t="s">
        <v>36</v>
      </c>
      <c r="G1082" t="str">
        <f>_xlfn.XLOOKUP(frasest[[#This Row],[author_es]],autorest[author_es],autorest[author_la])</f>
        <v>Proverbium Sinense</v>
      </c>
      <c r="H1082" t="str">
        <f>_xlfn.XLOOKUP(frasest[[#This Row],[author_es]],autorest[author_es],autorest[bio_es])</f>
        <v>Conjunto de proverbios tradicionales de la cultura china que transmiten sabiduría popular, valores morales y enseñanzas prácticas transmitidas oralmente durante siglos.</v>
      </c>
      <c r="I1082" t="str">
        <f>_xlfn.XLOOKUP(frasest[[#This Row],[author_es]],autorest[author_es],autorest[bio_la])</f>
        <v>Collectio sententiarum Sinensium, magnopere in cultura tradita.</v>
      </c>
      <c r="J1082" t="str">
        <f>_xlfn.XLOOKUP(frasest[[#This Row],[author_es]],autorest[author_es],autorest[iso3691])</f>
        <v>zh</v>
      </c>
      <c r="K1082" t="str">
        <f>_xlfn.XLOOKUP(frasest[[#This Row],[author_es]],autorest[author_es],autorest[language_es])</f>
        <v>Chino</v>
      </c>
      <c r="L1082" t="str">
        <f>_xlfn.XLOOKUP(frasest[[#This Row],[author_es]],autorest[author_es],autorest[language_la])</f>
        <v>Lingua Sinica</v>
      </c>
      <c r="M1082" t="str">
        <f>_xlfn.XLOOKUP(frasest[[#This Row],[author_es]],autorest[author_es],autorest[nation_es])</f>
        <v>China</v>
      </c>
      <c r="N1082" t="str">
        <f>_xlfn.XLOOKUP(frasest[[#This Row],[author_es]],autorest[author_es],autorest[nation_la])</f>
        <v>Sinae</v>
      </c>
      <c r="O1082" t="str">
        <f>_xlfn.XLOOKUP(frasest[[#This Row],[author_es]],autorest[author_es],autorest[age_es])</f>
        <v>Epoca Desconocida</v>
      </c>
      <c r="P1082" t="str">
        <f>_xlfn.XLOOKUP(frasest[[#This Row],[author_es]],autorest[author_es],autorest[age_la])</f>
        <v>Epocha Ignota</v>
      </c>
      <c r="Q1082" t="str">
        <f>_xlfn.XLOOKUP(frasest[[#This Row],[author_es]],autorest[author_es],autorest[image])</f>
        <v>https://i.ibb.co/qLfpZm6h/china.png</v>
      </c>
      <c r="R1082">
        <f>_xlfn.XLOOKUP(frasest[[#This Row],[author_es]],autorest[author_es],autorest[image_atr])</f>
        <v>0</v>
      </c>
    </row>
    <row r="1083" spans="1:18">
      <c r="A1083">
        <v>1082</v>
      </c>
      <c r="B1083" t="s">
        <v>3380</v>
      </c>
      <c r="C1083" t="s">
        <v>3381</v>
      </c>
      <c r="D1083" s="1" t="s">
        <v>3382</v>
      </c>
      <c r="E1083" t="s">
        <v>36</v>
      </c>
      <c r="G1083" t="str">
        <f>_xlfn.XLOOKUP(frasest[[#This Row],[author_es]],autorest[author_es],autorest[author_la])</f>
        <v>Proverbium Sinense</v>
      </c>
      <c r="H1083" t="str">
        <f>_xlfn.XLOOKUP(frasest[[#This Row],[author_es]],autorest[author_es],autorest[bio_es])</f>
        <v>Conjunto de proverbios tradicionales de la cultura china que transmiten sabiduría popular, valores morales y enseñanzas prácticas transmitidas oralmente durante siglos.</v>
      </c>
      <c r="I1083" t="str">
        <f>_xlfn.XLOOKUP(frasest[[#This Row],[author_es]],autorest[author_es],autorest[bio_la])</f>
        <v>Collectio sententiarum Sinensium, magnopere in cultura tradita.</v>
      </c>
      <c r="J1083" t="str">
        <f>_xlfn.XLOOKUP(frasest[[#This Row],[author_es]],autorest[author_es],autorest[iso3691])</f>
        <v>zh</v>
      </c>
      <c r="K1083" t="str">
        <f>_xlfn.XLOOKUP(frasest[[#This Row],[author_es]],autorest[author_es],autorest[language_es])</f>
        <v>Chino</v>
      </c>
      <c r="L1083" t="str">
        <f>_xlfn.XLOOKUP(frasest[[#This Row],[author_es]],autorest[author_es],autorest[language_la])</f>
        <v>Lingua Sinica</v>
      </c>
      <c r="M1083" t="str">
        <f>_xlfn.XLOOKUP(frasest[[#This Row],[author_es]],autorest[author_es],autorest[nation_es])</f>
        <v>China</v>
      </c>
      <c r="N1083" t="str">
        <f>_xlfn.XLOOKUP(frasest[[#This Row],[author_es]],autorest[author_es],autorest[nation_la])</f>
        <v>Sinae</v>
      </c>
      <c r="O1083" t="str">
        <f>_xlfn.XLOOKUP(frasest[[#This Row],[author_es]],autorest[author_es],autorest[age_es])</f>
        <v>Epoca Desconocida</v>
      </c>
      <c r="P1083" t="str">
        <f>_xlfn.XLOOKUP(frasest[[#This Row],[author_es]],autorest[author_es],autorest[age_la])</f>
        <v>Epocha Ignota</v>
      </c>
      <c r="Q1083" t="str">
        <f>_xlfn.XLOOKUP(frasest[[#This Row],[author_es]],autorest[author_es],autorest[image])</f>
        <v>https://i.ibb.co/qLfpZm6h/china.png</v>
      </c>
      <c r="R1083">
        <f>_xlfn.XLOOKUP(frasest[[#This Row],[author_es]],autorest[author_es],autorest[image_atr])</f>
        <v>0</v>
      </c>
    </row>
    <row r="1084" spans="1:18">
      <c r="A1084">
        <v>1083</v>
      </c>
      <c r="B1084" t="s">
        <v>3383</v>
      </c>
      <c r="C1084" t="s">
        <v>3384</v>
      </c>
      <c r="D1084" s="1" t="s">
        <v>3385</v>
      </c>
      <c r="E1084" t="s">
        <v>36</v>
      </c>
      <c r="G1084" t="str">
        <f>_xlfn.XLOOKUP(frasest[[#This Row],[author_es]],autorest[author_es],autorest[author_la])</f>
        <v>Proverbium Sinense</v>
      </c>
      <c r="H1084" t="str">
        <f>_xlfn.XLOOKUP(frasest[[#This Row],[author_es]],autorest[author_es],autorest[bio_es])</f>
        <v>Conjunto de proverbios tradicionales de la cultura china que transmiten sabiduría popular, valores morales y enseñanzas prácticas transmitidas oralmente durante siglos.</v>
      </c>
      <c r="I1084" t="str">
        <f>_xlfn.XLOOKUP(frasest[[#This Row],[author_es]],autorest[author_es],autorest[bio_la])</f>
        <v>Collectio sententiarum Sinensium, magnopere in cultura tradita.</v>
      </c>
      <c r="J1084" t="str">
        <f>_xlfn.XLOOKUP(frasest[[#This Row],[author_es]],autorest[author_es],autorest[iso3691])</f>
        <v>zh</v>
      </c>
      <c r="K1084" t="str">
        <f>_xlfn.XLOOKUP(frasest[[#This Row],[author_es]],autorest[author_es],autorest[language_es])</f>
        <v>Chino</v>
      </c>
      <c r="L1084" t="str">
        <f>_xlfn.XLOOKUP(frasest[[#This Row],[author_es]],autorest[author_es],autorest[language_la])</f>
        <v>Lingua Sinica</v>
      </c>
      <c r="M1084" t="str">
        <f>_xlfn.XLOOKUP(frasest[[#This Row],[author_es]],autorest[author_es],autorest[nation_es])</f>
        <v>China</v>
      </c>
      <c r="N1084" t="str">
        <f>_xlfn.XLOOKUP(frasest[[#This Row],[author_es]],autorest[author_es],autorest[nation_la])</f>
        <v>Sinae</v>
      </c>
      <c r="O1084" t="str">
        <f>_xlfn.XLOOKUP(frasest[[#This Row],[author_es]],autorest[author_es],autorest[age_es])</f>
        <v>Epoca Desconocida</v>
      </c>
      <c r="P1084" t="str">
        <f>_xlfn.XLOOKUP(frasest[[#This Row],[author_es]],autorest[author_es],autorest[age_la])</f>
        <v>Epocha Ignota</v>
      </c>
      <c r="Q1084" t="str">
        <f>_xlfn.XLOOKUP(frasest[[#This Row],[author_es]],autorest[author_es],autorest[image])</f>
        <v>https://i.ibb.co/qLfpZm6h/china.png</v>
      </c>
      <c r="R1084">
        <f>_xlfn.XLOOKUP(frasest[[#This Row],[author_es]],autorest[author_es],autorest[image_atr])</f>
        <v>0</v>
      </c>
    </row>
    <row r="1085" spans="1:18">
      <c r="A1085">
        <v>1084</v>
      </c>
      <c r="B1085" t="s">
        <v>3386</v>
      </c>
      <c r="C1085" t="s">
        <v>3387</v>
      </c>
      <c r="D1085" s="1" t="s">
        <v>3388</v>
      </c>
      <c r="E1085" t="s">
        <v>36</v>
      </c>
      <c r="G1085" t="str">
        <f>_xlfn.XLOOKUP(frasest[[#This Row],[author_es]],autorest[author_es],autorest[author_la])</f>
        <v>Proverbium Sinense</v>
      </c>
      <c r="H1085" t="str">
        <f>_xlfn.XLOOKUP(frasest[[#This Row],[author_es]],autorest[author_es],autorest[bio_es])</f>
        <v>Conjunto de proverbios tradicionales de la cultura china que transmiten sabiduría popular, valores morales y enseñanzas prácticas transmitidas oralmente durante siglos.</v>
      </c>
      <c r="I1085" t="str">
        <f>_xlfn.XLOOKUP(frasest[[#This Row],[author_es]],autorest[author_es],autorest[bio_la])</f>
        <v>Collectio sententiarum Sinensium, magnopere in cultura tradita.</v>
      </c>
      <c r="J1085" t="str">
        <f>_xlfn.XLOOKUP(frasest[[#This Row],[author_es]],autorest[author_es],autorest[iso3691])</f>
        <v>zh</v>
      </c>
      <c r="K1085" t="str">
        <f>_xlfn.XLOOKUP(frasest[[#This Row],[author_es]],autorest[author_es],autorest[language_es])</f>
        <v>Chino</v>
      </c>
      <c r="L1085" t="str">
        <f>_xlfn.XLOOKUP(frasest[[#This Row],[author_es]],autorest[author_es],autorest[language_la])</f>
        <v>Lingua Sinica</v>
      </c>
      <c r="M1085" t="str">
        <f>_xlfn.XLOOKUP(frasest[[#This Row],[author_es]],autorest[author_es],autorest[nation_es])</f>
        <v>China</v>
      </c>
      <c r="N1085" t="str">
        <f>_xlfn.XLOOKUP(frasest[[#This Row],[author_es]],autorest[author_es],autorest[nation_la])</f>
        <v>Sinae</v>
      </c>
      <c r="O1085" t="str">
        <f>_xlfn.XLOOKUP(frasest[[#This Row],[author_es]],autorest[author_es],autorest[age_es])</f>
        <v>Epoca Desconocida</v>
      </c>
      <c r="P1085" t="str">
        <f>_xlfn.XLOOKUP(frasest[[#This Row],[author_es]],autorest[author_es],autorest[age_la])</f>
        <v>Epocha Ignota</v>
      </c>
      <c r="Q1085" t="str">
        <f>_xlfn.XLOOKUP(frasest[[#This Row],[author_es]],autorest[author_es],autorest[image])</f>
        <v>https://i.ibb.co/qLfpZm6h/china.png</v>
      </c>
      <c r="R1085">
        <f>_xlfn.XLOOKUP(frasest[[#This Row],[author_es]],autorest[author_es],autorest[image_atr])</f>
        <v>0</v>
      </c>
    </row>
    <row r="1086" spans="1:18">
      <c r="A1086">
        <v>1085</v>
      </c>
      <c r="B1086" t="s">
        <v>3389</v>
      </c>
      <c r="C1086" t="s">
        <v>3390</v>
      </c>
      <c r="D1086" s="1" t="s">
        <v>3391</v>
      </c>
      <c r="E1086" t="s">
        <v>36</v>
      </c>
      <c r="G1086" t="str">
        <f>_xlfn.XLOOKUP(frasest[[#This Row],[author_es]],autorest[author_es],autorest[author_la])</f>
        <v>Proverbium Sinense</v>
      </c>
      <c r="H1086" t="str">
        <f>_xlfn.XLOOKUP(frasest[[#This Row],[author_es]],autorest[author_es],autorest[bio_es])</f>
        <v>Conjunto de proverbios tradicionales de la cultura china que transmiten sabiduría popular, valores morales y enseñanzas prácticas transmitidas oralmente durante siglos.</v>
      </c>
      <c r="I1086" t="str">
        <f>_xlfn.XLOOKUP(frasest[[#This Row],[author_es]],autorest[author_es],autorest[bio_la])</f>
        <v>Collectio sententiarum Sinensium, magnopere in cultura tradita.</v>
      </c>
      <c r="J1086" t="str">
        <f>_xlfn.XLOOKUP(frasest[[#This Row],[author_es]],autorest[author_es],autorest[iso3691])</f>
        <v>zh</v>
      </c>
      <c r="K1086" t="str">
        <f>_xlfn.XLOOKUP(frasest[[#This Row],[author_es]],autorest[author_es],autorest[language_es])</f>
        <v>Chino</v>
      </c>
      <c r="L1086" t="str">
        <f>_xlfn.XLOOKUP(frasest[[#This Row],[author_es]],autorest[author_es],autorest[language_la])</f>
        <v>Lingua Sinica</v>
      </c>
      <c r="M1086" t="str">
        <f>_xlfn.XLOOKUP(frasest[[#This Row],[author_es]],autorest[author_es],autorest[nation_es])</f>
        <v>China</v>
      </c>
      <c r="N1086" t="str">
        <f>_xlfn.XLOOKUP(frasest[[#This Row],[author_es]],autorest[author_es],autorest[nation_la])</f>
        <v>Sinae</v>
      </c>
      <c r="O1086" t="str">
        <f>_xlfn.XLOOKUP(frasest[[#This Row],[author_es]],autorest[author_es],autorest[age_es])</f>
        <v>Epoca Desconocida</v>
      </c>
      <c r="P1086" t="str">
        <f>_xlfn.XLOOKUP(frasest[[#This Row],[author_es]],autorest[author_es],autorest[age_la])</f>
        <v>Epocha Ignota</v>
      </c>
      <c r="Q1086" t="str">
        <f>_xlfn.XLOOKUP(frasest[[#This Row],[author_es]],autorest[author_es],autorest[image])</f>
        <v>https://i.ibb.co/qLfpZm6h/china.png</v>
      </c>
      <c r="R1086">
        <f>_xlfn.XLOOKUP(frasest[[#This Row],[author_es]],autorest[author_es],autorest[image_atr])</f>
        <v>0</v>
      </c>
    </row>
    <row r="1087" spans="1:18">
      <c r="A1087">
        <v>1086</v>
      </c>
      <c r="B1087" t="s">
        <v>3392</v>
      </c>
      <c r="C1087" t="s">
        <v>3393</v>
      </c>
      <c r="D1087" s="1" t="s">
        <v>3394</v>
      </c>
      <c r="E1087" t="s">
        <v>36</v>
      </c>
      <c r="G1087" t="str">
        <f>_xlfn.XLOOKUP(frasest[[#This Row],[author_es]],autorest[author_es],autorest[author_la])</f>
        <v>Proverbium Sinense</v>
      </c>
      <c r="H1087" t="str">
        <f>_xlfn.XLOOKUP(frasest[[#This Row],[author_es]],autorest[author_es],autorest[bio_es])</f>
        <v>Conjunto de proverbios tradicionales de la cultura china que transmiten sabiduría popular, valores morales y enseñanzas prácticas transmitidas oralmente durante siglos.</v>
      </c>
      <c r="I1087" t="str">
        <f>_xlfn.XLOOKUP(frasest[[#This Row],[author_es]],autorest[author_es],autorest[bio_la])</f>
        <v>Collectio sententiarum Sinensium, magnopere in cultura tradita.</v>
      </c>
      <c r="J1087" t="str">
        <f>_xlfn.XLOOKUP(frasest[[#This Row],[author_es]],autorest[author_es],autorest[iso3691])</f>
        <v>zh</v>
      </c>
      <c r="K1087" t="str">
        <f>_xlfn.XLOOKUP(frasest[[#This Row],[author_es]],autorest[author_es],autorest[language_es])</f>
        <v>Chino</v>
      </c>
      <c r="L1087" t="str">
        <f>_xlfn.XLOOKUP(frasest[[#This Row],[author_es]],autorest[author_es],autorest[language_la])</f>
        <v>Lingua Sinica</v>
      </c>
      <c r="M1087" t="str">
        <f>_xlfn.XLOOKUP(frasest[[#This Row],[author_es]],autorest[author_es],autorest[nation_es])</f>
        <v>China</v>
      </c>
      <c r="N1087" t="str">
        <f>_xlfn.XLOOKUP(frasest[[#This Row],[author_es]],autorest[author_es],autorest[nation_la])</f>
        <v>Sinae</v>
      </c>
      <c r="O1087" t="str">
        <f>_xlfn.XLOOKUP(frasest[[#This Row],[author_es]],autorest[author_es],autorest[age_es])</f>
        <v>Epoca Desconocida</v>
      </c>
      <c r="P1087" t="str">
        <f>_xlfn.XLOOKUP(frasest[[#This Row],[author_es]],autorest[author_es],autorest[age_la])</f>
        <v>Epocha Ignota</v>
      </c>
      <c r="Q1087" t="str">
        <f>_xlfn.XLOOKUP(frasest[[#This Row],[author_es]],autorest[author_es],autorest[image])</f>
        <v>https://i.ibb.co/qLfpZm6h/china.png</v>
      </c>
      <c r="R1087">
        <f>_xlfn.XLOOKUP(frasest[[#This Row],[author_es]],autorest[author_es],autorest[image_atr])</f>
        <v>0</v>
      </c>
    </row>
    <row r="1088" spans="1:18">
      <c r="A1088">
        <v>1087</v>
      </c>
      <c r="B1088" t="s">
        <v>3395</v>
      </c>
      <c r="C1088" t="s">
        <v>3396</v>
      </c>
      <c r="D1088" s="1" t="s">
        <v>3397</v>
      </c>
      <c r="E1088" t="s">
        <v>36</v>
      </c>
      <c r="G1088" t="str">
        <f>_xlfn.XLOOKUP(frasest[[#This Row],[author_es]],autorest[author_es],autorest[author_la])</f>
        <v>Proverbium Sinense</v>
      </c>
      <c r="H1088" t="str">
        <f>_xlfn.XLOOKUP(frasest[[#This Row],[author_es]],autorest[author_es],autorest[bio_es])</f>
        <v>Conjunto de proverbios tradicionales de la cultura china que transmiten sabiduría popular, valores morales y enseñanzas prácticas transmitidas oralmente durante siglos.</v>
      </c>
      <c r="I1088" t="str">
        <f>_xlfn.XLOOKUP(frasest[[#This Row],[author_es]],autorest[author_es],autorest[bio_la])</f>
        <v>Collectio sententiarum Sinensium, magnopere in cultura tradita.</v>
      </c>
      <c r="J1088" t="str">
        <f>_xlfn.XLOOKUP(frasest[[#This Row],[author_es]],autorest[author_es],autorest[iso3691])</f>
        <v>zh</v>
      </c>
      <c r="K1088" t="str">
        <f>_xlfn.XLOOKUP(frasest[[#This Row],[author_es]],autorest[author_es],autorest[language_es])</f>
        <v>Chino</v>
      </c>
      <c r="L1088" t="str">
        <f>_xlfn.XLOOKUP(frasest[[#This Row],[author_es]],autorest[author_es],autorest[language_la])</f>
        <v>Lingua Sinica</v>
      </c>
      <c r="M1088" t="str">
        <f>_xlfn.XLOOKUP(frasest[[#This Row],[author_es]],autorest[author_es],autorest[nation_es])</f>
        <v>China</v>
      </c>
      <c r="N1088" t="str">
        <f>_xlfn.XLOOKUP(frasest[[#This Row],[author_es]],autorest[author_es],autorest[nation_la])</f>
        <v>Sinae</v>
      </c>
      <c r="O1088" t="str">
        <f>_xlfn.XLOOKUP(frasest[[#This Row],[author_es]],autorest[author_es],autorest[age_es])</f>
        <v>Epoca Desconocida</v>
      </c>
      <c r="P1088" t="str">
        <f>_xlfn.XLOOKUP(frasest[[#This Row],[author_es]],autorest[author_es],autorest[age_la])</f>
        <v>Epocha Ignota</v>
      </c>
      <c r="Q1088" t="str">
        <f>_xlfn.XLOOKUP(frasest[[#This Row],[author_es]],autorest[author_es],autorest[image])</f>
        <v>https://i.ibb.co/qLfpZm6h/china.png</v>
      </c>
      <c r="R1088">
        <f>_xlfn.XLOOKUP(frasest[[#This Row],[author_es]],autorest[author_es],autorest[image_atr])</f>
        <v>0</v>
      </c>
    </row>
    <row r="1089" spans="1:18">
      <c r="A1089">
        <v>1088</v>
      </c>
      <c r="B1089" t="s">
        <v>3398</v>
      </c>
      <c r="C1089" t="s">
        <v>3399</v>
      </c>
      <c r="D1089" s="1" t="s">
        <v>3400</v>
      </c>
      <c r="E1089" t="s">
        <v>36</v>
      </c>
      <c r="G1089" t="str">
        <f>_xlfn.XLOOKUP(frasest[[#This Row],[author_es]],autorest[author_es],autorest[author_la])</f>
        <v>Proverbium Sinense</v>
      </c>
      <c r="H1089" t="str">
        <f>_xlfn.XLOOKUP(frasest[[#This Row],[author_es]],autorest[author_es],autorest[bio_es])</f>
        <v>Conjunto de proverbios tradicionales de la cultura china que transmiten sabiduría popular, valores morales y enseñanzas prácticas transmitidas oralmente durante siglos.</v>
      </c>
      <c r="I1089" t="str">
        <f>_xlfn.XLOOKUP(frasest[[#This Row],[author_es]],autorest[author_es],autorest[bio_la])</f>
        <v>Collectio sententiarum Sinensium, magnopere in cultura tradita.</v>
      </c>
      <c r="J1089" t="str">
        <f>_xlfn.XLOOKUP(frasest[[#This Row],[author_es]],autorest[author_es],autorest[iso3691])</f>
        <v>zh</v>
      </c>
      <c r="K1089" t="str">
        <f>_xlfn.XLOOKUP(frasest[[#This Row],[author_es]],autorest[author_es],autorest[language_es])</f>
        <v>Chino</v>
      </c>
      <c r="L1089" t="str">
        <f>_xlfn.XLOOKUP(frasest[[#This Row],[author_es]],autorest[author_es],autorest[language_la])</f>
        <v>Lingua Sinica</v>
      </c>
      <c r="M1089" t="str">
        <f>_xlfn.XLOOKUP(frasest[[#This Row],[author_es]],autorest[author_es],autorest[nation_es])</f>
        <v>China</v>
      </c>
      <c r="N1089" t="str">
        <f>_xlfn.XLOOKUP(frasest[[#This Row],[author_es]],autorest[author_es],autorest[nation_la])</f>
        <v>Sinae</v>
      </c>
      <c r="O1089" t="str">
        <f>_xlfn.XLOOKUP(frasest[[#This Row],[author_es]],autorest[author_es],autorest[age_es])</f>
        <v>Epoca Desconocida</v>
      </c>
      <c r="P1089" t="str">
        <f>_xlfn.XLOOKUP(frasest[[#This Row],[author_es]],autorest[author_es],autorest[age_la])</f>
        <v>Epocha Ignota</v>
      </c>
      <c r="Q1089" t="str">
        <f>_xlfn.XLOOKUP(frasest[[#This Row],[author_es]],autorest[author_es],autorest[image])</f>
        <v>https://i.ibb.co/qLfpZm6h/china.png</v>
      </c>
      <c r="R1089">
        <f>_xlfn.XLOOKUP(frasest[[#This Row],[author_es]],autorest[author_es],autorest[image_atr])</f>
        <v>0</v>
      </c>
    </row>
    <row r="1090" spans="1:18">
      <c r="A1090">
        <v>1089</v>
      </c>
      <c r="B1090" t="s">
        <v>3401</v>
      </c>
      <c r="C1090" t="s">
        <v>3402</v>
      </c>
      <c r="D1090" s="1" t="s">
        <v>3403</v>
      </c>
      <c r="E1090" t="s">
        <v>36</v>
      </c>
      <c r="G1090" t="str">
        <f>_xlfn.XLOOKUP(frasest[[#This Row],[author_es]],autorest[author_es],autorest[author_la])</f>
        <v>Proverbium Sinense</v>
      </c>
      <c r="H1090" t="str">
        <f>_xlfn.XLOOKUP(frasest[[#This Row],[author_es]],autorest[author_es],autorest[bio_es])</f>
        <v>Conjunto de proverbios tradicionales de la cultura china que transmiten sabiduría popular, valores morales y enseñanzas prácticas transmitidas oralmente durante siglos.</v>
      </c>
      <c r="I1090" t="str">
        <f>_xlfn.XLOOKUP(frasest[[#This Row],[author_es]],autorest[author_es],autorest[bio_la])</f>
        <v>Collectio sententiarum Sinensium, magnopere in cultura tradita.</v>
      </c>
      <c r="J1090" t="str">
        <f>_xlfn.XLOOKUP(frasest[[#This Row],[author_es]],autorest[author_es],autorest[iso3691])</f>
        <v>zh</v>
      </c>
      <c r="K1090" t="str">
        <f>_xlfn.XLOOKUP(frasest[[#This Row],[author_es]],autorest[author_es],autorest[language_es])</f>
        <v>Chino</v>
      </c>
      <c r="L1090" t="str">
        <f>_xlfn.XLOOKUP(frasest[[#This Row],[author_es]],autorest[author_es],autorest[language_la])</f>
        <v>Lingua Sinica</v>
      </c>
      <c r="M1090" t="str">
        <f>_xlfn.XLOOKUP(frasest[[#This Row],[author_es]],autorest[author_es],autorest[nation_es])</f>
        <v>China</v>
      </c>
      <c r="N1090" t="str">
        <f>_xlfn.XLOOKUP(frasest[[#This Row],[author_es]],autorest[author_es],autorest[nation_la])</f>
        <v>Sinae</v>
      </c>
      <c r="O1090" t="str">
        <f>_xlfn.XLOOKUP(frasest[[#This Row],[author_es]],autorest[author_es],autorest[age_es])</f>
        <v>Epoca Desconocida</v>
      </c>
      <c r="P1090" t="str">
        <f>_xlfn.XLOOKUP(frasest[[#This Row],[author_es]],autorest[author_es],autorest[age_la])</f>
        <v>Epocha Ignota</v>
      </c>
      <c r="Q1090" t="str">
        <f>_xlfn.XLOOKUP(frasest[[#This Row],[author_es]],autorest[author_es],autorest[image])</f>
        <v>https://i.ibb.co/qLfpZm6h/china.png</v>
      </c>
      <c r="R1090">
        <f>_xlfn.XLOOKUP(frasest[[#This Row],[author_es]],autorest[author_es],autorest[image_atr])</f>
        <v>0</v>
      </c>
    </row>
    <row r="1091" spans="1:18">
      <c r="A1091">
        <v>1090</v>
      </c>
      <c r="B1091" t="s">
        <v>3404</v>
      </c>
      <c r="C1091" t="s">
        <v>3405</v>
      </c>
      <c r="D1091" s="1" t="s">
        <v>3406</v>
      </c>
      <c r="E1091" t="s">
        <v>36</v>
      </c>
      <c r="G1091" t="str">
        <f>_xlfn.XLOOKUP(frasest[[#This Row],[author_es]],autorest[author_es],autorest[author_la])</f>
        <v>Proverbium Sinense</v>
      </c>
      <c r="H1091" t="str">
        <f>_xlfn.XLOOKUP(frasest[[#This Row],[author_es]],autorest[author_es],autorest[bio_es])</f>
        <v>Conjunto de proverbios tradicionales de la cultura china que transmiten sabiduría popular, valores morales y enseñanzas prácticas transmitidas oralmente durante siglos.</v>
      </c>
      <c r="I1091" t="str">
        <f>_xlfn.XLOOKUP(frasest[[#This Row],[author_es]],autorest[author_es],autorest[bio_la])</f>
        <v>Collectio sententiarum Sinensium, magnopere in cultura tradita.</v>
      </c>
      <c r="J1091" t="str">
        <f>_xlfn.XLOOKUP(frasest[[#This Row],[author_es]],autorest[author_es],autorest[iso3691])</f>
        <v>zh</v>
      </c>
      <c r="K1091" t="str">
        <f>_xlfn.XLOOKUP(frasest[[#This Row],[author_es]],autorest[author_es],autorest[language_es])</f>
        <v>Chino</v>
      </c>
      <c r="L1091" t="str">
        <f>_xlfn.XLOOKUP(frasest[[#This Row],[author_es]],autorest[author_es],autorest[language_la])</f>
        <v>Lingua Sinica</v>
      </c>
      <c r="M1091" t="str">
        <f>_xlfn.XLOOKUP(frasest[[#This Row],[author_es]],autorest[author_es],autorest[nation_es])</f>
        <v>China</v>
      </c>
      <c r="N1091" t="str">
        <f>_xlfn.XLOOKUP(frasest[[#This Row],[author_es]],autorest[author_es],autorest[nation_la])</f>
        <v>Sinae</v>
      </c>
      <c r="O1091" t="str">
        <f>_xlfn.XLOOKUP(frasest[[#This Row],[author_es]],autorest[author_es],autorest[age_es])</f>
        <v>Epoca Desconocida</v>
      </c>
      <c r="P1091" t="str">
        <f>_xlfn.XLOOKUP(frasest[[#This Row],[author_es]],autorest[author_es],autorest[age_la])</f>
        <v>Epocha Ignota</v>
      </c>
      <c r="Q1091" t="str">
        <f>_xlfn.XLOOKUP(frasest[[#This Row],[author_es]],autorest[author_es],autorest[image])</f>
        <v>https://i.ibb.co/qLfpZm6h/china.png</v>
      </c>
      <c r="R1091">
        <f>_xlfn.XLOOKUP(frasest[[#This Row],[author_es]],autorest[author_es],autorest[image_atr])</f>
        <v>0</v>
      </c>
    </row>
    <row r="1092" spans="1:18">
      <c r="A1092">
        <v>1091</v>
      </c>
      <c r="B1092" t="s">
        <v>3407</v>
      </c>
      <c r="C1092" t="s">
        <v>3408</v>
      </c>
      <c r="D1092" s="1" t="s">
        <v>3409</v>
      </c>
      <c r="E1092" t="s">
        <v>36</v>
      </c>
      <c r="G1092" t="str">
        <f>_xlfn.XLOOKUP(frasest[[#This Row],[author_es]],autorest[author_es],autorest[author_la])</f>
        <v>Proverbium Sinense</v>
      </c>
      <c r="H1092" t="str">
        <f>_xlfn.XLOOKUP(frasest[[#This Row],[author_es]],autorest[author_es],autorest[bio_es])</f>
        <v>Conjunto de proverbios tradicionales de la cultura china que transmiten sabiduría popular, valores morales y enseñanzas prácticas transmitidas oralmente durante siglos.</v>
      </c>
      <c r="I1092" t="str">
        <f>_xlfn.XLOOKUP(frasest[[#This Row],[author_es]],autorest[author_es],autorest[bio_la])</f>
        <v>Collectio sententiarum Sinensium, magnopere in cultura tradita.</v>
      </c>
      <c r="J1092" t="str">
        <f>_xlfn.XLOOKUP(frasest[[#This Row],[author_es]],autorest[author_es],autorest[iso3691])</f>
        <v>zh</v>
      </c>
      <c r="K1092" t="str">
        <f>_xlfn.XLOOKUP(frasest[[#This Row],[author_es]],autorest[author_es],autorest[language_es])</f>
        <v>Chino</v>
      </c>
      <c r="L1092" t="str">
        <f>_xlfn.XLOOKUP(frasest[[#This Row],[author_es]],autorest[author_es],autorest[language_la])</f>
        <v>Lingua Sinica</v>
      </c>
      <c r="M1092" t="str">
        <f>_xlfn.XLOOKUP(frasest[[#This Row],[author_es]],autorest[author_es],autorest[nation_es])</f>
        <v>China</v>
      </c>
      <c r="N1092" t="str">
        <f>_xlfn.XLOOKUP(frasest[[#This Row],[author_es]],autorest[author_es],autorest[nation_la])</f>
        <v>Sinae</v>
      </c>
      <c r="O1092" t="str">
        <f>_xlfn.XLOOKUP(frasest[[#This Row],[author_es]],autorest[author_es],autorest[age_es])</f>
        <v>Epoca Desconocida</v>
      </c>
      <c r="P1092" t="str">
        <f>_xlfn.XLOOKUP(frasest[[#This Row],[author_es]],autorest[author_es],autorest[age_la])</f>
        <v>Epocha Ignota</v>
      </c>
      <c r="Q1092" t="str">
        <f>_xlfn.XLOOKUP(frasest[[#This Row],[author_es]],autorest[author_es],autorest[image])</f>
        <v>https://i.ibb.co/qLfpZm6h/china.png</v>
      </c>
      <c r="R1092">
        <f>_xlfn.XLOOKUP(frasest[[#This Row],[author_es]],autorest[author_es],autorest[image_atr])</f>
        <v>0</v>
      </c>
    </row>
    <row r="1093" spans="1:18">
      <c r="A1093">
        <v>1092</v>
      </c>
      <c r="B1093" t="s">
        <v>3410</v>
      </c>
      <c r="C1093" t="s">
        <v>3411</v>
      </c>
      <c r="D1093" s="1" t="s">
        <v>3412</v>
      </c>
      <c r="E1093" t="s">
        <v>36</v>
      </c>
      <c r="G1093" t="str">
        <f>_xlfn.XLOOKUP(frasest[[#This Row],[author_es]],autorest[author_es],autorest[author_la])</f>
        <v>Proverbium Sinense</v>
      </c>
      <c r="H1093" t="str">
        <f>_xlfn.XLOOKUP(frasest[[#This Row],[author_es]],autorest[author_es],autorest[bio_es])</f>
        <v>Conjunto de proverbios tradicionales de la cultura china que transmiten sabiduría popular, valores morales y enseñanzas prácticas transmitidas oralmente durante siglos.</v>
      </c>
      <c r="I1093" t="str">
        <f>_xlfn.XLOOKUP(frasest[[#This Row],[author_es]],autorest[author_es],autorest[bio_la])</f>
        <v>Collectio sententiarum Sinensium, magnopere in cultura tradita.</v>
      </c>
      <c r="J1093" t="str">
        <f>_xlfn.XLOOKUP(frasest[[#This Row],[author_es]],autorest[author_es],autorest[iso3691])</f>
        <v>zh</v>
      </c>
      <c r="K1093" t="str">
        <f>_xlfn.XLOOKUP(frasest[[#This Row],[author_es]],autorest[author_es],autorest[language_es])</f>
        <v>Chino</v>
      </c>
      <c r="L1093" t="str">
        <f>_xlfn.XLOOKUP(frasest[[#This Row],[author_es]],autorest[author_es],autorest[language_la])</f>
        <v>Lingua Sinica</v>
      </c>
      <c r="M1093" t="str">
        <f>_xlfn.XLOOKUP(frasest[[#This Row],[author_es]],autorest[author_es],autorest[nation_es])</f>
        <v>China</v>
      </c>
      <c r="N1093" t="str">
        <f>_xlfn.XLOOKUP(frasest[[#This Row],[author_es]],autorest[author_es],autorest[nation_la])</f>
        <v>Sinae</v>
      </c>
      <c r="O1093" t="str">
        <f>_xlfn.XLOOKUP(frasest[[#This Row],[author_es]],autorest[author_es],autorest[age_es])</f>
        <v>Epoca Desconocida</v>
      </c>
      <c r="P1093" t="str">
        <f>_xlfn.XLOOKUP(frasest[[#This Row],[author_es]],autorest[author_es],autorest[age_la])</f>
        <v>Epocha Ignota</v>
      </c>
      <c r="Q1093" t="str">
        <f>_xlfn.XLOOKUP(frasest[[#This Row],[author_es]],autorest[author_es],autorest[image])</f>
        <v>https://i.ibb.co/qLfpZm6h/china.png</v>
      </c>
      <c r="R1093">
        <f>_xlfn.XLOOKUP(frasest[[#This Row],[author_es]],autorest[author_es],autorest[image_atr])</f>
        <v>0</v>
      </c>
    </row>
    <row r="1094" spans="1:18">
      <c r="A1094">
        <v>1093</v>
      </c>
      <c r="B1094" t="s">
        <v>3413</v>
      </c>
      <c r="C1094" t="s">
        <v>3414</v>
      </c>
      <c r="D1094" s="1" t="s">
        <v>3415</v>
      </c>
      <c r="E1094" t="s">
        <v>36</v>
      </c>
      <c r="G1094" t="str">
        <f>_xlfn.XLOOKUP(frasest[[#This Row],[author_es]],autorest[author_es],autorest[author_la])</f>
        <v>Proverbium Sinense</v>
      </c>
      <c r="H1094" t="str">
        <f>_xlfn.XLOOKUP(frasest[[#This Row],[author_es]],autorest[author_es],autorest[bio_es])</f>
        <v>Conjunto de proverbios tradicionales de la cultura china que transmiten sabiduría popular, valores morales y enseñanzas prácticas transmitidas oralmente durante siglos.</v>
      </c>
      <c r="I1094" t="str">
        <f>_xlfn.XLOOKUP(frasest[[#This Row],[author_es]],autorest[author_es],autorest[bio_la])</f>
        <v>Collectio sententiarum Sinensium, magnopere in cultura tradita.</v>
      </c>
      <c r="J1094" t="str">
        <f>_xlfn.XLOOKUP(frasest[[#This Row],[author_es]],autorest[author_es],autorest[iso3691])</f>
        <v>zh</v>
      </c>
      <c r="K1094" t="str">
        <f>_xlfn.XLOOKUP(frasest[[#This Row],[author_es]],autorest[author_es],autorest[language_es])</f>
        <v>Chino</v>
      </c>
      <c r="L1094" t="str">
        <f>_xlfn.XLOOKUP(frasest[[#This Row],[author_es]],autorest[author_es],autorest[language_la])</f>
        <v>Lingua Sinica</v>
      </c>
      <c r="M1094" t="str">
        <f>_xlfn.XLOOKUP(frasest[[#This Row],[author_es]],autorest[author_es],autorest[nation_es])</f>
        <v>China</v>
      </c>
      <c r="N1094" t="str">
        <f>_xlfn.XLOOKUP(frasest[[#This Row],[author_es]],autorest[author_es],autorest[nation_la])</f>
        <v>Sinae</v>
      </c>
      <c r="O1094" t="str">
        <f>_xlfn.XLOOKUP(frasest[[#This Row],[author_es]],autorest[author_es],autorest[age_es])</f>
        <v>Epoca Desconocida</v>
      </c>
      <c r="P1094" t="str">
        <f>_xlfn.XLOOKUP(frasest[[#This Row],[author_es]],autorest[author_es],autorest[age_la])</f>
        <v>Epocha Ignota</v>
      </c>
      <c r="Q1094" t="str">
        <f>_xlfn.XLOOKUP(frasest[[#This Row],[author_es]],autorest[author_es],autorest[image])</f>
        <v>https://i.ibb.co/qLfpZm6h/china.png</v>
      </c>
      <c r="R1094">
        <f>_xlfn.XLOOKUP(frasest[[#This Row],[author_es]],autorest[author_es],autorest[image_atr])</f>
        <v>0</v>
      </c>
    </row>
    <row r="1095" spans="1:18">
      <c r="A1095">
        <v>1094</v>
      </c>
      <c r="B1095" t="s">
        <v>3416</v>
      </c>
      <c r="C1095" t="s">
        <v>3417</v>
      </c>
      <c r="D1095" s="1" t="s">
        <v>3418</v>
      </c>
      <c r="E1095" t="s">
        <v>36</v>
      </c>
      <c r="G1095" t="str">
        <f>_xlfn.XLOOKUP(frasest[[#This Row],[author_es]],autorest[author_es],autorest[author_la])</f>
        <v>Proverbium Sinense</v>
      </c>
      <c r="H1095" t="str">
        <f>_xlfn.XLOOKUP(frasest[[#This Row],[author_es]],autorest[author_es],autorest[bio_es])</f>
        <v>Conjunto de proverbios tradicionales de la cultura china que transmiten sabiduría popular, valores morales y enseñanzas prácticas transmitidas oralmente durante siglos.</v>
      </c>
      <c r="I1095" t="str">
        <f>_xlfn.XLOOKUP(frasest[[#This Row],[author_es]],autorest[author_es],autorest[bio_la])</f>
        <v>Collectio sententiarum Sinensium, magnopere in cultura tradita.</v>
      </c>
      <c r="J1095" t="str">
        <f>_xlfn.XLOOKUP(frasest[[#This Row],[author_es]],autorest[author_es],autorest[iso3691])</f>
        <v>zh</v>
      </c>
      <c r="K1095" t="str">
        <f>_xlfn.XLOOKUP(frasest[[#This Row],[author_es]],autorest[author_es],autorest[language_es])</f>
        <v>Chino</v>
      </c>
      <c r="L1095" t="str">
        <f>_xlfn.XLOOKUP(frasest[[#This Row],[author_es]],autorest[author_es],autorest[language_la])</f>
        <v>Lingua Sinica</v>
      </c>
      <c r="M1095" t="str">
        <f>_xlfn.XLOOKUP(frasest[[#This Row],[author_es]],autorest[author_es],autorest[nation_es])</f>
        <v>China</v>
      </c>
      <c r="N1095" t="str">
        <f>_xlfn.XLOOKUP(frasest[[#This Row],[author_es]],autorest[author_es],autorest[nation_la])</f>
        <v>Sinae</v>
      </c>
      <c r="O1095" t="str">
        <f>_xlfn.XLOOKUP(frasest[[#This Row],[author_es]],autorest[author_es],autorest[age_es])</f>
        <v>Epoca Desconocida</v>
      </c>
      <c r="P1095" t="str">
        <f>_xlfn.XLOOKUP(frasest[[#This Row],[author_es]],autorest[author_es],autorest[age_la])</f>
        <v>Epocha Ignota</v>
      </c>
      <c r="Q1095" t="str">
        <f>_xlfn.XLOOKUP(frasest[[#This Row],[author_es]],autorest[author_es],autorest[image])</f>
        <v>https://i.ibb.co/qLfpZm6h/china.png</v>
      </c>
      <c r="R1095">
        <f>_xlfn.XLOOKUP(frasest[[#This Row],[author_es]],autorest[author_es],autorest[image_atr])</f>
        <v>0</v>
      </c>
    </row>
    <row r="1096" spans="1:18">
      <c r="A1096">
        <v>1095</v>
      </c>
      <c r="B1096" t="s">
        <v>3419</v>
      </c>
      <c r="C1096" t="s">
        <v>3420</v>
      </c>
      <c r="D1096" s="1" t="s">
        <v>3421</v>
      </c>
      <c r="E1096" t="s">
        <v>36</v>
      </c>
      <c r="G1096" t="str">
        <f>_xlfn.XLOOKUP(frasest[[#This Row],[author_es]],autorest[author_es],autorest[author_la])</f>
        <v>Proverbium Sinense</v>
      </c>
      <c r="H1096" t="str">
        <f>_xlfn.XLOOKUP(frasest[[#This Row],[author_es]],autorest[author_es],autorest[bio_es])</f>
        <v>Conjunto de proverbios tradicionales de la cultura china que transmiten sabiduría popular, valores morales y enseñanzas prácticas transmitidas oralmente durante siglos.</v>
      </c>
      <c r="I1096" t="str">
        <f>_xlfn.XLOOKUP(frasest[[#This Row],[author_es]],autorest[author_es],autorest[bio_la])</f>
        <v>Collectio sententiarum Sinensium, magnopere in cultura tradita.</v>
      </c>
      <c r="J1096" t="str">
        <f>_xlfn.XLOOKUP(frasest[[#This Row],[author_es]],autorest[author_es],autorest[iso3691])</f>
        <v>zh</v>
      </c>
      <c r="K1096" t="str">
        <f>_xlfn.XLOOKUP(frasest[[#This Row],[author_es]],autorest[author_es],autorest[language_es])</f>
        <v>Chino</v>
      </c>
      <c r="L1096" t="str">
        <f>_xlfn.XLOOKUP(frasest[[#This Row],[author_es]],autorest[author_es],autorest[language_la])</f>
        <v>Lingua Sinica</v>
      </c>
      <c r="M1096" t="str">
        <f>_xlfn.XLOOKUP(frasest[[#This Row],[author_es]],autorest[author_es],autorest[nation_es])</f>
        <v>China</v>
      </c>
      <c r="N1096" t="str">
        <f>_xlfn.XLOOKUP(frasest[[#This Row],[author_es]],autorest[author_es],autorest[nation_la])</f>
        <v>Sinae</v>
      </c>
      <c r="O1096" t="str">
        <f>_xlfn.XLOOKUP(frasest[[#This Row],[author_es]],autorest[author_es],autorest[age_es])</f>
        <v>Epoca Desconocida</v>
      </c>
      <c r="P1096" t="str">
        <f>_xlfn.XLOOKUP(frasest[[#This Row],[author_es]],autorest[author_es],autorest[age_la])</f>
        <v>Epocha Ignota</v>
      </c>
      <c r="Q1096" t="str">
        <f>_xlfn.XLOOKUP(frasest[[#This Row],[author_es]],autorest[author_es],autorest[image])</f>
        <v>https://i.ibb.co/qLfpZm6h/china.png</v>
      </c>
      <c r="R1096">
        <f>_xlfn.XLOOKUP(frasest[[#This Row],[author_es]],autorest[author_es],autorest[image_atr])</f>
        <v>0</v>
      </c>
    </row>
    <row r="1097" spans="1:18">
      <c r="A1097">
        <v>1096</v>
      </c>
      <c r="B1097" t="s">
        <v>3422</v>
      </c>
      <c r="C1097" t="s">
        <v>3423</v>
      </c>
      <c r="D1097" s="1" t="s">
        <v>3424</v>
      </c>
      <c r="E1097" t="s">
        <v>36</v>
      </c>
      <c r="G1097" t="str">
        <f>_xlfn.XLOOKUP(frasest[[#This Row],[author_es]],autorest[author_es],autorest[author_la])</f>
        <v>Proverbium Sinense</v>
      </c>
      <c r="H1097" t="str">
        <f>_xlfn.XLOOKUP(frasest[[#This Row],[author_es]],autorest[author_es],autorest[bio_es])</f>
        <v>Conjunto de proverbios tradicionales de la cultura china que transmiten sabiduría popular, valores morales y enseñanzas prácticas transmitidas oralmente durante siglos.</v>
      </c>
      <c r="I1097" t="str">
        <f>_xlfn.XLOOKUP(frasest[[#This Row],[author_es]],autorest[author_es],autorest[bio_la])</f>
        <v>Collectio sententiarum Sinensium, magnopere in cultura tradita.</v>
      </c>
      <c r="J1097" t="str">
        <f>_xlfn.XLOOKUP(frasest[[#This Row],[author_es]],autorest[author_es],autorest[iso3691])</f>
        <v>zh</v>
      </c>
      <c r="K1097" t="str">
        <f>_xlfn.XLOOKUP(frasest[[#This Row],[author_es]],autorest[author_es],autorest[language_es])</f>
        <v>Chino</v>
      </c>
      <c r="L1097" t="str">
        <f>_xlfn.XLOOKUP(frasest[[#This Row],[author_es]],autorest[author_es],autorest[language_la])</f>
        <v>Lingua Sinica</v>
      </c>
      <c r="M1097" t="str">
        <f>_xlfn.XLOOKUP(frasest[[#This Row],[author_es]],autorest[author_es],autorest[nation_es])</f>
        <v>China</v>
      </c>
      <c r="N1097" t="str">
        <f>_xlfn.XLOOKUP(frasest[[#This Row],[author_es]],autorest[author_es],autorest[nation_la])</f>
        <v>Sinae</v>
      </c>
      <c r="O1097" t="str">
        <f>_xlfn.XLOOKUP(frasest[[#This Row],[author_es]],autorest[author_es],autorest[age_es])</f>
        <v>Epoca Desconocida</v>
      </c>
      <c r="P1097" t="str">
        <f>_xlfn.XLOOKUP(frasest[[#This Row],[author_es]],autorest[author_es],autorest[age_la])</f>
        <v>Epocha Ignota</v>
      </c>
      <c r="Q1097" t="str">
        <f>_xlfn.XLOOKUP(frasest[[#This Row],[author_es]],autorest[author_es],autorest[image])</f>
        <v>https://i.ibb.co/qLfpZm6h/china.png</v>
      </c>
      <c r="R1097">
        <f>_xlfn.XLOOKUP(frasest[[#This Row],[author_es]],autorest[author_es],autorest[image_atr])</f>
        <v>0</v>
      </c>
    </row>
    <row r="1098" spans="1:18">
      <c r="A1098">
        <v>1097</v>
      </c>
      <c r="B1098" t="s">
        <v>3425</v>
      </c>
      <c r="C1098" t="s">
        <v>3426</v>
      </c>
      <c r="D1098" s="1" t="s">
        <v>3427</v>
      </c>
      <c r="E1098" t="s">
        <v>36</v>
      </c>
      <c r="G1098" t="str">
        <f>_xlfn.XLOOKUP(frasest[[#This Row],[author_es]],autorest[author_es],autorest[author_la])</f>
        <v>Proverbium Sinense</v>
      </c>
      <c r="H1098" t="str">
        <f>_xlfn.XLOOKUP(frasest[[#This Row],[author_es]],autorest[author_es],autorest[bio_es])</f>
        <v>Conjunto de proverbios tradicionales de la cultura china que transmiten sabiduría popular, valores morales y enseñanzas prácticas transmitidas oralmente durante siglos.</v>
      </c>
      <c r="I1098" t="str">
        <f>_xlfn.XLOOKUP(frasest[[#This Row],[author_es]],autorest[author_es],autorest[bio_la])</f>
        <v>Collectio sententiarum Sinensium, magnopere in cultura tradita.</v>
      </c>
      <c r="J1098" t="str">
        <f>_xlfn.XLOOKUP(frasest[[#This Row],[author_es]],autorest[author_es],autorest[iso3691])</f>
        <v>zh</v>
      </c>
      <c r="K1098" t="str">
        <f>_xlfn.XLOOKUP(frasest[[#This Row],[author_es]],autorest[author_es],autorest[language_es])</f>
        <v>Chino</v>
      </c>
      <c r="L1098" t="str">
        <f>_xlfn.XLOOKUP(frasest[[#This Row],[author_es]],autorest[author_es],autorest[language_la])</f>
        <v>Lingua Sinica</v>
      </c>
      <c r="M1098" t="str">
        <f>_xlfn.XLOOKUP(frasest[[#This Row],[author_es]],autorest[author_es],autorest[nation_es])</f>
        <v>China</v>
      </c>
      <c r="N1098" t="str">
        <f>_xlfn.XLOOKUP(frasest[[#This Row],[author_es]],autorest[author_es],autorest[nation_la])</f>
        <v>Sinae</v>
      </c>
      <c r="O1098" t="str">
        <f>_xlfn.XLOOKUP(frasest[[#This Row],[author_es]],autorest[author_es],autorest[age_es])</f>
        <v>Epoca Desconocida</v>
      </c>
      <c r="P1098" t="str">
        <f>_xlfn.XLOOKUP(frasest[[#This Row],[author_es]],autorest[author_es],autorest[age_la])</f>
        <v>Epocha Ignota</v>
      </c>
      <c r="Q1098" t="str">
        <f>_xlfn.XLOOKUP(frasest[[#This Row],[author_es]],autorest[author_es],autorest[image])</f>
        <v>https://i.ibb.co/qLfpZm6h/china.png</v>
      </c>
      <c r="R1098">
        <f>_xlfn.XLOOKUP(frasest[[#This Row],[author_es]],autorest[author_es],autorest[image_atr])</f>
        <v>0</v>
      </c>
    </row>
    <row r="1099" spans="1:18">
      <c r="A1099">
        <v>1098</v>
      </c>
      <c r="B1099" t="s">
        <v>3428</v>
      </c>
      <c r="C1099" t="s">
        <v>3429</v>
      </c>
      <c r="D1099" s="1" t="s">
        <v>3430</v>
      </c>
      <c r="E1099" t="s">
        <v>36</v>
      </c>
      <c r="G1099" t="str">
        <f>_xlfn.XLOOKUP(frasest[[#This Row],[author_es]],autorest[author_es],autorest[author_la])</f>
        <v>Proverbium Sinense</v>
      </c>
      <c r="H1099" t="str">
        <f>_xlfn.XLOOKUP(frasest[[#This Row],[author_es]],autorest[author_es],autorest[bio_es])</f>
        <v>Conjunto de proverbios tradicionales de la cultura china que transmiten sabiduría popular, valores morales y enseñanzas prácticas transmitidas oralmente durante siglos.</v>
      </c>
      <c r="I1099" t="str">
        <f>_xlfn.XLOOKUP(frasest[[#This Row],[author_es]],autorest[author_es],autorest[bio_la])</f>
        <v>Collectio sententiarum Sinensium, magnopere in cultura tradita.</v>
      </c>
      <c r="J1099" t="str">
        <f>_xlfn.XLOOKUP(frasest[[#This Row],[author_es]],autorest[author_es],autorest[iso3691])</f>
        <v>zh</v>
      </c>
      <c r="K1099" t="str">
        <f>_xlfn.XLOOKUP(frasest[[#This Row],[author_es]],autorest[author_es],autorest[language_es])</f>
        <v>Chino</v>
      </c>
      <c r="L1099" t="str">
        <f>_xlfn.XLOOKUP(frasest[[#This Row],[author_es]],autorest[author_es],autorest[language_la])</f>
        <v>Lingua Sinica</v>
      </c>
      <c r="M1099" t="str">
        <f>_xlfn.XLOOKUP(frasest[[#This Row],[author_es]],autorest[author_es],autorest[nation_es])</f>
        <v>China</v>
      </c>
      <c r="N1099" t="str">
        <f>_xlfn.XLOOKUP(frasest[[#This Row],[author_es]],autorest[author_es],autorest[nation_la])</f>
        <v>Sinae</v>
      </c>
      <c r="O1099" t="str">
        <f>_xlfn.XLOOKUP(frasest[[#This Row],[author_es]],autorest[author_es],autorest[age_es])</f>
        <v>Epoca Desconocida</v>
      </c>
      <c r="P1099" t="str">
        <f>_xlfn.XLOOKUP(frasest[[#This Row],[author_es]],autorest[author_es],autorest[age_la])</f>
        <v>Epocha Ignota</v>
      </c>
      <c r="Q1099" t="str">
        <f>_xlfn.XLOOKUP(frasest[[#This Row],[author_es]],autorest[author_es],autorest[image])</f>
        <v>https://i.ibb.co/qLfpZm6h/china.png</v>
      </c>
      <c r="R1099">
        <f>_xlfn.XLOOKUP(frasest[[#This Row],[author_es]],autorest[author_es],autorest[image_atr])</f>
        <v>0</v>
      </c>
    </row>
    <row r="1100" spans="1:18">
      <c r="A1100">
        <v>1099</v>
      </c>
      <c r="B1100" t="s">
        <v>3431</v>
      </c>
      <c r="C1100" t="s">
        <v>3432</v>
      </c>
      <c r="D1100" s="1" t="s">
        <v>3433</v>
      </c>
      <c r="E1100" t="s">
        <v>36</v>
      </c>
      <c r="G1100" t="str">
        <f>_xlfn.XLOOKUP(frasest[[#This Row],[author_es]],autorest[author_es],autorest[author_la])</f>
        <v>Proverbium Sinense</v>
      </c>
      <c r="H1100" t="str">
        <f>_xlfn.XLOOKUP(frasest[[#This Row],[author_es]],autorest[author_es],autorest[bio_es])</f>
        <v>Conjunto de proverbios tradicionales de la cultura china que transmiten sabiduría popular, valores morales y enseñanzas prácticas transmitidas oralmente durante siglos.</v>
      </c>
      <c r="I1100" t="str">
        <f>_xlfn.XLOOKUP(frasest[[#This Row],[author_es]],autorest[author_es],autorest[bio_la])</f>
        <v>Collectio sententiarum Sinensium, magnopere in cultura tradita.</v>
      </c>
      <c r="J1100" t="str">
        <f>_xlfn.XLOOKUP(frasest[[#This Row],[author_es]],autorest[author_es],autorest[iso3691])</f>
        <v>zh</v>
      </c>
      <c r="K1100" t="str">
        <f>_xlfn.XLOOKUP(frasest[[#This Row],[author_es]],autorest[author_es],autorest[language_es])</f>
        <v>Chino</v>
      </c>
      <c r="L1100" t="str">
        <f>_xlfn.XLOOKUP(frasest[[#This Row],[author_es]],autorest[author_es],autorest[language_la])</f>
        <v>Lingua Sinica</v>
      </c>
      <c r="M1100" t="str">
        <f>_xlfn.XLOOKUP(frasest[[#This Row],[author_es]],autorest[author_es],autorest[nation_es])</f>
        <v>China</v>
      </c>
      <c r="N1100" t="str">
        <f>_xlfn.XLOOKUP(frasest[[#This Row],[author_es]],autorest[author_es],autorest[nation_la])</f>
        <v>Sinae</v>
      </c>
      <c r="O1100" t="str">
        <f>_xlfn.XLOOKUP(frasest[[#This Row],[author_es]],autorest[author_es],autorest[age_es])</f>
        <v>Epoca Desconocida</v>
      </c>
      <c r="P1100" t="str">
        <f>_xlfn.XLOOKUP(frasest[[#This Row],[author_es]],autorest[author_es],autorest[age_la])</f>
        <v>Epocha Ignota</v>
      </c>
      <c r="Q1100" t="str">
        <f>_xlfn.XLOOKUP(frasest[[#This Row],[author_es]],autorest[author_es],autorest[image])</f>
        <v>https://i.ibb.co/qLfpZm6h/china.png</v>
      </c>
      <c r="R1100">
        <f>_xlfn.XLOOKUP(frasest[[#This Row],[author_es]],autorest[author_es],autorest[image_atr])</f>
        <v>0</v>
      </c>
    </row>
    <row r="1101" spans="1:18">
      <c r="A1101">
        <v>1100</v>
      </c>
      <c r="B1101" t="s">
        <v>3434</v>
      </c>
      <c r="C1101" t="s">
        <v>3435</v>
      </c>
      <c r="D1101" s="1" t="s">
        <v>3436</v>
      </c>
      <c r="E1101" t="s">
        <v>36</v>
      </c>
      <c r="G1101" t="str">
        <f>_xlfn.XLOOKUP(frasest[[#This Row],[author_es]],autorest[author_es],autorest[author_la])</f>
        <v>Proverbium Sinense</v>
      </c>
      <c r="H1101" t="str">
        <f>_xlfn.XLOOKUP(frasest[[#This Row],[author_es]],autorest[author_es],autorest[bio_es])</f>
        <v>Conjunto de proverbios tradicionales de la cultura china que transmiten sabiduría popular, valores morales y enseñanzas prácticas transmitidas oralmente durante siglos.</v>
      </c>
      <c r="I1101" t="str">
        <f>_xlfn.XLOOKUP(frasest[[#This Row],[author_es]],autorest[author_es],autorest[bio_la])</f>
        <v>Collectio sententiarum Sinensium, magnopere in cultura tradita.</v>
      </c>
      <c r="J1101" t="str">
        <f>_xlfn.XLOOKUP(frasest[[#This Row],[author_es]],autorest[author_es],autorest[iso3691])</f>
        <v>zh</v>
      </c>
      <c r="K1101" t="str">
        <f>_xlfn.XLOOKUP(frasest[[#This Row],[author_es]],autorest[author_es],autorest[language_es])</f>
        <v>Chino</v>
      </c>
      <c r="L1101" t="str">
        <f>_xlfn.XLOOKUP(frasest[[#This Row],[author_es]],autorest[author_es],autorest[language_la])</f>
        <v>Lingua Sinica</v>
      </c>
      <c r="M1101" t="str">
        <f>_xlfn.XLOOKUP(frasest[[#This Row],[author_es]],autorest[author_es],autorest[nation_es])</f>
        <v>China</v>
      </c>
      <c r="N1101" t="str">
        <f>_xlfn.XLOOKUP(frasest[[#This Row],[author_es]],autorest[author_es],autorest[nation_la])</f>
        <v>Sinae</v>
      </c>
      <c r="O1101" t="str">
        <f>_xlfn.XLOOKUP(frasest[[#This Row],[author_es]],autorest[author_es],autorest[age_es])</f>
        <v>Epoca Desconocida</v>
      </c>
      <c r="P1101" t="str">
        <f>_xlfn.XLOOKUP(frasest[[#This Row],[author_es]],autorest[author_es],autorest[age_la])</f>
        <v>Epocha Ignota</v>
      </c>
      <c r="Q1101" t="str">
        <f>_xlfn.XLOOKUP(frasest[[#This Row],[author_es]],autorest[author_es],autorest[image])</f>
        <v>https://i.ibb.co/qLfpZm6h/china.png</v>
      </c>
      <c r="R1101">
        <f>_xlfn.XLOOKUP(frasest[[#This Row],[author_es]],autorest[author_es],autorest[image_atr])</f>
        <v>0</v>
      </c>
    </row>
    <row r="1102" spans="1:18">
      <c r="A1102">
        <v>1101</v>
      </c>
      <c r="B1102" t="s">
        <v>3437</v>
      </c>
      <c r="C1102" t="s">
        <v>3438</v>
      </c>
      <c r="D1102" s="1" t="s">
        <v>3439</v>
      </c>
      <c r="E1102" t="s">
        <v>36</v>
      </c>
      <c r="G1102" t="str">
        <f>_xlfn.XLOOKUP(frasest[[#This Row],[author_es]],autorest[author_es],autorest[author_la])</f>
        <v>Proverbium Sinense</v>
      </c>
      <c r="H1102" t="str">
        <f>_xlfn.XLOOKUP(frasest[[#This Row],[author_es]],autorest[author_es],autorest[bio_es])</f>
        <v>Conjunto de proverbios tradicionales de la cultura china que transmiten sabiduría popular, valores morales y enseñanzas prácticas transmitidas oralmente durante siglos.</v>
      </c>
      <c r="I1102" t="str">
        <f>_xlfn.XLOOKUP(frasest[[#This Row],[author_es]],autorest[author_es],autorest[bio_la])</f>
        <v>Collectio sententiarum Sinensium, magnopere in cultura tradita.</v>
      </c>
      <c r="J1102" t="str">
        <f>_xlfn.XLOOKUP(frasest[[#This Row],[author_es]],autorest[author_es],autorest[iso3691])</f>
        <v>zh</v>
      </c>
      <c r="K1102" t="str">
        <f>_xlfn.XLOOKUP(frasest[[#This Row],[author_es]],autorest[author_es],autorest[language_es])</f>
        <v>Chino</v>
      </c>
      <c r="L1102" t="str">
        <f>_xlfn.XLOOKUP(frasest[[#This Row],[author_es]],autorest[author_es],autorest[language_la])</f>
        <v>Lingua Sinica</v>
      </c>
      <c r="M1102" t="str">
        <f>_xlfn.XLOOKUP(frasest[[#This Row],[author_es]],autorest[author_es],autorest[nation_es])</f>
        <v>China</v>
      </c>
      <c r="N1102" t="str">
        <f>_xlfn.XLOOKUP(frasest[[#This Row],[author_es]],autorest[author_es],autorest[nation_la])</f>
        <v>Sinae</v>
      </c>
      <c r="O1102" t="str">
        <f>_xlfn.XLOOKUP(frasest[[#This Row],[author_es]],autorest[author_es],autorest[age_es])</f>
        <v>Epoca Desconocida</v>
      </c>
      <c r="P1102" t="str">
        <f>_xlfn.XLOOKUP(frasest[[#This Row],[author_es]],autorest[author_es],autorest[age_la])</f>
        <v>Epocha Ignota</v>
      </c>
      <c r="Q1102" t="str">
        <f>_xlfn.XLOOKUP(frasest[[#This Row],[author_es]],autorest[author_es],autorest[image])</f>
        <v>https://i.ibb.co/qLfpZm6h/china.png</v>
      </c>
      <c r="R1102">
        <f>_xlfn.XLOOKUP(frasest[[#This Row],[author_es]],autorest[author_es],autorest[image_atr])</f>
        <v>0</v>
      </c>
    </row>
    <row r="1103" spans="1:18">
      <c r="A1103">
        <v>1102</v>
      </c>
      <c r="B1103" t="s">
        <v>3440</v>
      </c>
      <c r="C1103" t="s">
        <v>3441</v>
      </c>
      <c r="D1103" s="1" t="s">
        <v>3442</v>
      </c>
      <c r="E1103" t="s">
        <v>36</v>
      </c>
      <c r="G1103" t="str">
        <f>_xlfn.XLOOKUP(frasest[[#This Row],[author_es]],autorest[author_es],autorest[author_la])</f>
        <v>Proverbium Sinense</v>
      </c>
      <c r="H1103" t="str">
        <f>_xlfn.XLOOKUP(frasest[[#This Row],[author_es]],autorest[author_es],autorest[bio_es])</f>
        <v>Conjunto de proverbios tradicionales de la cultura china que transmiten sabiduría popular, valores morales y enseñanzas prácticas transmitidas oralmente durante siglos.</v>
      </c>
      <c r="I1103" t="str">
        <f>_xlfn.XLOOKUP(frasest[[#This Row],[author_es]],autorest[author_es],autorest[bio_la])</f>
        <v>Collectio sententiarum Sinensium, magnopere in cultura tradita.</v>
      </c>
      <c r="J1103" t="str">
        <f>_xlfn.XLOOKUP(frasest[[#This Row],[author_es]],autorest[author_es],autorest[iso3691])</f>
        <v>zh</v>
      </c>
      <c r="K1103" t="str">
        <f>_xlfn.XLOOKUP(frasest[[#This Row],[author_es]],autorest[author_es],autorest[language_es])</f>
        <v>Chino</v>
      </c>
      <c r="L1103" t="str">
        <f>_xlfn.XLOOKUP(frasest[[#This Row],[author_es]],autorest[author_es],autorest[language_la])</f>
        <v>Lingua Sinica</v>
      </c>
      <c r="M1103" t="str">
        <f>_xlfn.XLOOKUP(frasest[[#This Row],[author_es]],autorest[author_es],autorest[nation_es])</f>
        <v>China</v>
      </c>
      <c r="N1103" t="str">
        <f>_xlfn.XLOOKUP(frasest[[#This Row],[author_es]],autorest[author_es],autorest[nation_la])</f>
        <v>Sinae</v>
      </c>
      <c r="O1103" t="str">
        <f>_xlfn.XLOOKUP(frasest[[#This Row],[author_es]],autorest[author_es],autorest[age_es])</f>
        <v>Epoca Desconocida</v>
      </c>
      <c r="P1103" t="str">
        <f>_xlfn.XLOOKUP(frasest[[#This Row],[author_es]],autorest[author_es],autorest[age_la])</f>
        <v>Epocha Ignota</v>
      </c>
      <c r="Q1103" t="str">
        <f>_xlfn.XLOOKUP(frasest[[#This Row],[author_es]],autorest[author_es],autorest[image])</f>
        <v>https://i.ibb.co/qLfpZm6h/china.png</v>
      </c>
      <c r="R1103">
        <f>_xlfn.XLOOKUP(frasest[[#This Row],[author_es]],autorest[author_es],autorest[image_atr])</f>
        <v>0</v>
      </c>
    </row>
    <row r="1104" spans="1:18">
      <c r="A1104">
        <v>1103</v>
      </c>
      <c r="B1104" t="s">
        <v>3443</v>
      </c>
      <c r="C1104" t="s">
        <v>3444</v>
      </c>
      <c r="D1104" s="1" t="s">
        <v>3445</v>
      </c>
      <c r="E1104" t="s">
        <v>36</v>
      </c>
      <c r="G1104" t="str">
        <f>_xlfn.XLOOKUP(frasest[[#This Row],[author_es]],autorest[author_es],autorest[author_la])</f>
        <v>Proverbium Sinense</v>
      </c>
      <c r="H1104" t="str">
        <f>_xlfn.XLOOKUP(frasest[[#This Row],[author_es]],autorest[author_es],autorest[bio_es])</f>
        <v>Conjunto de proverbios tradicionales de la cultura china que transmiten sabiduría popular, valores morales y enseñanzas prácticas transmitidas oralmente durante siglos.</v>
      </c>
      <c r="I1104" t="str">
        <f>_xlfn.XLOOKUP(frasest[[#This Row],[author_es]],autorest[author_es],autorest[bio_la])</f>
        <v>Collectio sententiarum Sinensium, magnopere in cultura tradita.</v>
      </c>
      <c r="J1104" t="str">
        <f>_xlfn.XLOOKUP(frasest[[#This Row],[author_es]],autorest[author_es],autorest[iso3691])</f>
        <v>zh</v>
      </c>
      <c r="K1104" t="str">
        <f>_xlfn.XLOOKUP(frasest[[#This Row],[author_es]],autorest[author_es],autorest[language_es])</f>
        <v>Chino</v>
      </c>
      <c r="L1104" t="str">
        <f>_xlfn.XLOOKUP(frasest[[#This Row],[author_es]],autorest[author_es],autorest[language_la])</f>
        <v>Lingua Sinica</v>
      </c>
      <c r="M1104" t="str">
        <f>_xlfn.XLOOKUP(frasest[[#This Row],[author_es]],autorest[author_es],autorest[nation_es])</f>
        <v>China</v>
      </c>
      <c r="N1104" t="str">
        <f>_xlfn.XLOOKUP(frasest[[#This Row],[author_es]],autorest[author_es],autorest[nation_la])</f>
        <v>Sinae</v>
      </c>
      <c r="O1104" t="str">
        <f>_xlfn.XLOOKUP(frasest[[#This Row],[author_es]],autorest[author_es],autorest[age_es])</f>
        <v>Epoca Desconocida</v>
      </c>
      <c r="P1104" t="str">
        <f>_xlfn.XLOOKUP(frasest[[#This Row],[author_es]],autorest[author_es],autorest[age_la])</f>
        <v>Epocha Ignota</v>
      </c>
      <c r="Q1104" t="str">
        <f>_xlfn.XLOOKUP(frasest[[#This Row],[author_es]],autorest[author_es],autorest[image])</f>
        <v>https://i.ibb.co/qLfpZm6h/china.png</v>
      </c>
      <c r="R1104">
        <f>_xlfn.XLOOKUP(frasest[[#This Row],[author_es]],autorest[author_es],autorest[image_atr])</f>
        <v>0</v>
      </c>
    </row>
    <row r="1105" spans="1:18">
      <c r="A1105">
        <v>1104</v>
      </c>
      <c r="B1105" t="s">
        <v>3446</v>
      </c>
      <c r="C1105" t="s">
        <v>3447</v>
      </c>
      <c r="D1105" s="1" t="s">
        <v>3448</v>
      </c>
      <c r="E1105" t="s">
        <v>36</v>
      </c>
      <c r="G1105" t="str">
        <f>_xlfn.XLOOKUP(frasest[[#This Row],[author_es]],autorest[author_es],autorest[author_la])</f>
        <v>Proverbium Sinense</v>
      </c>
      <c r="H1105" t="str">
        <f>_xlfn.XLOOKUP(frasest[[#This Row],[author_es]],autorest[author_es],autorest[bio_es])</f>
        <v>Conjunto de proverbios tradicionales de la cultura china que transmiten sabiduría popular, valores morales y enseñanzas prácticas transmitidas oralmente durante siglos.</v>
      </c>
      <c r="I1105" t="str">
        <f>_xlfn.XLOOKUP(frasest[[#This Row],[author_es]],autorest[author_es],autorest[bio_la])</f>
        <v>Collectio sententiarum Sinensium, magnopere in cultura tradita.</v>
      </c>
      <c r="J1105" t="str">
        <f>_xlfn.XLOOKUP(frasest[[#This Row],[author_es]],autorest[author_es],autorest[iso3691])</f>
        <v>zh</v>
      </c>
      <c r="K1105" t="str">
        <f>_xlfn.XLOOKUP(frasest[[#This Row],[author_es]],autorest[author_es],autorest[language_es])</f>
        <v>Chino</v>
      </c>
      <c r="L1105" t="str">
        <f>_xlfn.XLOOKUP(frasest[[#This Row],[author_es]],autorest[author_es],autorest[language_la])</f>
        <v>Lingua Sinica</v>
      </c>
      <c r="M1105" t="str">
        <f>_xlfn.XLOOKUP(frasest[[#This Row],[author_es]],autorest[author_es],autorest[nation_es])</f>
        <v>China</v>
      </c>
      <c r="N1105" t="str">
        <f>_xlfn.XLOOKUP(frasest[[#This Row],[author_es]],autorest[author_es],autorest[nation_la])</f>
        <v>Sinae</v>
      </c>
      <c r="O1105" t="str">
        <f>_xlfn.XLOOKUP(frasest[[#This Row],[author_es]],autorest[author_es],autorest[age_es])</f>
        <v>Epoca Desconocida</v>
      </c>
      <c r="P1105" t="str">
        <f>_xlfn.XLOOKUP(frasest[[#This Row],[author_es]],autorest[author_es],autorest[age_la])</f>
        <v>Epocha Ignota</v>
      </c>
      <c r="Q1105" t="str">
        <f>_xlfn.XLOOKUP(frasest[[#This Row],[author_es]],autorest[author_es],autorest[image])</f>
        <v>https://i.ibb.co/qLfpZm6h/china.png</v>
      </c>
      <c r="R1105">
        <f>_xlfn.XLOOKUP(frasest[[#This Row],[author_es]],autorest[author_es],autorest[image_atr])</f>
        <v>0</v>
      </c>
    </row>
    <row r="1106" spans="1:18">
      <c r="A1106">
        <v>1105</v>
      </c>
      <c r="B1106" t="s">
        <v>3449</v>
      </c>
      <c r="C1106" t="s">
        <v>3450</v>
      </c>
      <c r="D1106" s="1" t="s">
        <v>3451</v>
      </c>
      <c r="E1106" t="s">
        <v>36</v>
      </c>
      <c r="G1106" t="str">
        <f>_xlfn.XLOOKUP(frasest[[#This Row],[author_es]],autorest[author_es],autorest[author_la])</f>
        <v>Proverbium Sinense</v>
      </c>
      <c r="H1106" t="str">
        <f>_xlfn.XLOOKUP(frasest[[#This Row],[author_es]],autorest[author_es],autorest[bio_es])</f>
        <v>Conjunto de proverbios tradicionales de la cultura china que transmiten sabiduría popular, valores morales y enseñanzas prácticas transmitidas oralmente durante siglos.</v>
      </c>
      <c r="I1106" t="str">
        <f>_xlfn.XLOOKUP(frasest[[#This Row],[author_es]],autorest[author_es],autorest[bio_la])</f>
        <v>Collectio sententiarum Sinensium, magnopere in cultura tradita.</v>
      </c>
      <c r="J1106" t="str">
        <f>_xlfn.XLOOKUP(frasest[[#This Row],[author_es]],autorest[author_es],autorest[iso3691])</f>
        <v>zh</v>
      </c>
      <c r="K1106" t="str">
        <f>_xlfn.XLOOKUP(frasest[[#This Row],[author_es]],autorest[author_es],autorest[language_es])</f>
        <v>Chino</v>
      </c>
      <c r="L1106" t="str">
        <f>_xlfn.XLOOKUP(frasest[[#This Row],[author_es]],autorest[author_es],autorest[language_la])</f>
        <v>Lingua Sinica</v>
      </c>
      <c r="M1106" t="str">
        <f>_xlfn.XLOOKUP(frasest[[#This Row],[author_es]],autorest[author_es],autorest[nation_es])</f>
        <v>China</v>
      </c>
      <c r="N1106" t="str">
        <f>_xlfn.XLOOKUP(frasest[[#This Row],[author_es]],autorest[author_es],autorest[nation_la])</f>
        <v>Sinae</v>
      </c>
      <c r="O1106" t="str">
        <f>_xlfn.XLOOKUP(frasest[[#This Row],[author_es]],autorest[author_es],autorest[age_es])</f>
        <v>Epoca Desconocida</v>
      </c>
      <c r="P1106" t="str">
        <f>_xlfn.XLOOKUP(frasest[[#This Row],[author_es]],autorest[author_es],autorest[age_la])</f>
        <v>Epocha Ignota</v>
      </c>
      <c r="Q1106" t="str">
        <f>_xlfn.XLOOKUP(frasest[[#This Row],[author_es]],autorest[author_es],autorest[image])</f>
        <v>https://i.ibb.co/qLfpZm6h/china.png</v>
      </c>
      <c r="R1106">
        <f>_xlfn.XLOOKUP(frasest[[#This Row],[author_es]],autorest[author_es],autorest[image_atr])</f>
        <v>0</v>
      </c>
    </row>
    <row r="1107" spans="1:18">
      <c r="A1107">
        <v>1106</v>
      </c>
      <c r="B1107" t="s">
        <v>3452</v>
      </c>
      <c r="C1107" t="s">
        <v>3453</v>
      </c>
      <c r="D1107" s="1" t="s">
        <v>3454</v>
      </c>
      <c r="E1107" t="s">
        <v>36</v>
      </c>
      <c r="G1107" t="str">
        <f>_xlfn.XLOOKUP(frasest[[#This Row],[author_es]],autorest[author_es],autorest[author_la])</f>
        <v>Proverbium Sinense</v>
      </c>
      <c r="H1107" t="str">
        <f>_xlfn.XLOOKUP(frasest[[#This Row],[author_es]],autorest[author_es],autorest[bio_es])</f>
        <v>Conjunto de proverbios tradicionales de la cultura china que transmiten sabiduría popular, valores morales y enseñanzas prácticas transmitidas oralmente durante siglos.</v>
      </c>
      <c r="I1107" t="str">
        <f>_xlfn.XLOOKUP(frasest[[#This Row],[author_es]],autorest[author_es],autorest[bio_la])</f>
        <v>Collectio sententiarum Sinensium, magnopere in cultura tradita.</v>
      </c>
      <c r="J1107" t="str">
        <f>_xlfn.XLOOKUP(frasest[[#This Row],[author_es]],autorest[author_es],autorest[iso3691])</f>
        <v>zh</v>
      </c>
      <c r="K1107" t="str">
        <f>_xlfn.XLOOKUP(frasest[[#This Row],[author_es]],autorest[author_es],autorest[language_es])</f>
        <v>Chino</v>
      </c>
      <c r="L1107" t="str">
        <f>_xlfn.XLOOKUP(frasest[[#This Row],[author_es]],autorest[author_es],autorest[language_la])</f>
        <v>Lingua Sinica</v>
      </c>
      <c r="M1107" t="str">
        <f>_xlfn.XLOOKUP(frasest[[#This Row],[author_es]],autorest[author_es],autorest[nation_es])</f>
        <v>China</v>
      </c>
      <c r="N1107" t="str">
        <f>_xlfn.XLOOKUP(frasest[[#This Row],[author_es]],autorest[author_es],autorest[nation_la])</f>
        <v>Sinae</v>
      </c>
      <c r="O1107" t="str">
        <f>_xlfn.XLOOKUP(frasest[[#This Row],[author_es]],autorest[author_es],autorest[age_es])</f>
        <v>Epoca Desconocida</v>
      </c>
      <c r="P1107" t="str">
        <f>_xlfn.XLOOKUP(frasest[[#This Row],[author_es]],autorest[author_es],autorest[age_la])</f>
        <v>Epocha Ignota</v>
      </c>
      <c r="Q1107" t="str">
        <f>_xlfn.XLOOKUP(frasest[[#This Row],[author_es]],autorest[author_es],autorest[image])</f>
        <v>https://i.ibb.co/qLfpZm6h/china.png</v>
      </c>
      <c r="R1107">
        <f>_xlfn.XLOOKUP(frasest[[#This Row],[author_es]],autorest[author_es],autorest[image_atr])</f>
        <v>0</v>
      </c>
    </row>
    <row r="1108" spans="1:18">
      <c r="A1108">
        <v>1107</v>
      </c>
      <c r="B1108" t="s">
        <v>3455</v>
      </c>
      <c r="C1108" t="s">
        <v>3456</v>
      </c>
      <c r="D1108" s="1" t="s">
        <v>3457</v>
      </c>
      <c r="E1108" t="s">
        <v>36</v>
      </c>
      <c r="G1108" t="str">
        <f>_xlfn.XLOOKUP(frasest[[#This Row],[author_es]],autorest[author_es],autorest[author_la])</f>
        <v>Proverbium Sinense</v>
      </c>
      <c r="H1108" t="str">
        <f>_xlfn.XLOOKUP(frasest[[#This Row],[author_es]],autorest[author_es],autorest[bio_es])</f>
        <v>Conjunto de proverbios tradicionales de la cultura china que transmiten sabiduría popular, valores morales y enseñanzas prácticas transmitidas oralmente durante siglos.</v>
      </c>
      <c r="I1108" t="str">
        <f>_xlfn.XLOOKUP(frasest[[#This Row],[author_es]],autorest[author_es],autorest[bio_la])</f>
        <v>Collectio sententiarum Sinensium, magnopere in cultura tradita.</v>
      </c>
      <c r="J1108" t="str">
        <f>_xlfn.XLOOKUP(frasest[[#This Row],[author_es]],autorest[author_es],autorest[iso3691])</f>
        <v>zh</v>
      </c>
      <c r="K1108" t="str">
        <f>_xlfn.XLOOKUP(frasest[[#This Row],[author_es]],autorest[author_es],autorest[language_es])</f>
        <v>Chino</v>
      </c>
      <c r="L1108" t="str">
        <f>_xlfn.XLOOKUP(frasest[[#This Row],[author_es]],autorest[author_es],autorest[language_la])</f>
        <v>Lingua Sinica</v>
      </c>
      <c r="M1108" t="str">
        <f>_xlfn.XLOOKUP(frasest[[#This Row],[author_es]],autorest[author_es],autorest[nation_es])</f>
        <v>China</v>
      </c>
      <c r="N1108" t="str">
        <f>_xlfn.XLOOKUP(frasest[[#This Row],[author_es]],autorest[author_es],autorest[nation_la])</f>
        <v>Sinae</v>
      </c>
      <c r="O1108" t="str">
        <f>_xlfn.XLOOKUP(frasest[[#This Row],[author_es]],autorest[author_es],autorest[age_es])</f>
        <v>Epoca Desconocida</v>
      </c>
      <c r="P1108" t="str">
        <f>_xlfn.XLOOKUP(frasest[[#This Row],[author_es]],autorest[author_es],autorest[age_la])</f>
        <v>Epocha Ignota</v>
      </c>
      <c r="Q1108" t="str">
        <f>_xlfn.XLOOKUP(frasest[[#This Row],[author_es]],autorest[author_es],autorest[image])</f>
        <v>https://i.ibb.co/qLfpZm6h/china.png</v>
      </c>
      <c r="R1108">
        <f>_xlfn.XLOOKUP(frasest[[#This Row],[author_es]],autorest[author_es],autorest[image_atr])</f>
        <v>0</v>
      </c>
    </row>
    <row r="1109" spans="1:18">
      <c r="A1109">
        <v>1108</v>
      </c>
      <c r="B1109" t="s">
        <v>3458</v>
      </c>
      <c r="C1109" t="s">
        <v>3459</v>
      </c>
      <c r="D1109" s="1" t="s">
        <v>3460</v>
      </c>
      <c r="E1109" t="s">
        <v>36</v>
      </c>
      <c r="G1109" t="str">
        <f>_xlfn.XLOOKUP(frasest[[#This Row],[author_es]],autorest[author_es],autorest[author_la])</f>
        <v>Proverbium Sinense</v>
      </c>
      <c r="H1109" t="str">
        <f>_xlfn.XLOOKUP(frasest[[#This Row],[author_es]],autorest[author_es],autorest[bio_es])</f>
        <v>Conjunto de proverbios tradicionales de la cultura china que transmiten sabiduría popular, valores morales y enseñanzas prácticas transmitidas oralmente durante siglos.</v>
      </c>
      <c r="I1109" t="str">
        <f>_xlfn.XLOOKUP(frasest[[#This Row],[author_es]],autorest[author_es],autorest[bio_la])</f>
        <v>Collectio sententiarum Sinensium, magnopere in cultura tradita.</v>
      </c>
      <c r="J1109" t="str">
        <f>_xlfn.XLOOKUP(frasest[[#This Row],[author_es]],autorest[author_es],autorest[iso3691])</f>
        <v>zh</v>
      </c>
      <c r="K1109" t="str">
        <f>_xlfn.XLOOKUP(frasest[[#This Row],[author_es]],autorest[author_es],autorest[language_es])</f>
        <v>Chino</v>
      </c>
      <c r="L1109" t="str">
        <f>_xlfn.XLOOKUP(frasest[[#This Row],[author_es]],autorest[author_es],autorest[language_la])</f>
        <v>Lingua Sinica</v>
      </c>
      <c r="M1109" t="str">
        <f>_xlfn.XLOOKUP(frasest[[#This Row],[author_es]],autorest[author_es],autorest[nation_es])</f>
        <v>China</v>
      </c>
      <c r="N1109" t="str">
        <f>_xlfn.XLOOKUP(frasest[[#This Row],[author_es]],autorest[author_es],autorest[nation_la])</f>
        <v>Sinae</v>
      </c>
      <c r="O1109" t="str">
        <f>_xlfn.XLOOKUP(frasest[[#This Row],[author_es]],autorest[author_es],autorest[age_es])</f>
        <v>Epoca Desconocida</v>
      </c>
      <c r="P1109" t="str">
        <f>_xlfn.XLOOKUP(frasest[[#This Row],[author_es]],autorest[author_es],autorest[age_la])</f>
        <v>Epocha Ignota</v>
      </c>
      <c r="Q1109" t="str">
        <f>_xlfn.XLOOKUP(frasest[[#This Row],[author_es]],autorest[author_es],autorest[image])</f>
        <v>https://i.ibb.co/qLfpZm6h/china.png</v>
      </c>
      <c r="R1109">
        <f>_xlfn.XLOOKUP(frasest[[#This Row],[author_es]],autorest[author_es],autorest[image_atr])</f>
        <v>0</v>
      </c>
    </row>
    <row r="1110" spans="1:18">
      <c r="A1110">
        <v>1109</v>
      </c>
      <c r="B1110" t="s">
        <v>3461</v>
      </c>
      <c r="C1110" t="s">
        <v>3462</v>
      </c>
      <c r="D1110" s="1" t="s">
        <v>3463</v>
      </c>
      <c r="E1110" t="s">
        <v>36</v>
      </c>
      <c r="G1110" t="str">
        <f>_xlfn.XLOOKUP(frasest[[#This Row],[author_es]],autorest[author_es],autorest[author_la])</f>
        <v>Proverbium Sinense</v>
      </c>
      <c r="H1110" t="str">
        <f>_xlfn.XLOOKUP(frasest[[#This Row],[author_es]],autorest[author_es],autorest[bio_es])</f>
        <v>Conjunto de proverbios tradicionales de la cultura china que transmiten sabiduría popular, valores morales y enseñanzas prácticas transmitidas oralmente durante siglos.</v>
      </c>
      <c r="I1110" t="str">
        <f>_xlfn.XLOOKUP(frasest[[#This Row],[author_es]],autorest[author_es],autorest[bio_la])</f>
        <v>Collectio sententiarum Sinensium, magnopere in cultura tradita.</v>
      </c>
      <c r="J1110" t="str">
        <f>_xlfn.XLOOKUP(frasest[[#This Row],[author_es]],autorest[author_es],autorest[iso3691])</f>
        <v>zh</v>
      </c>
      <c r="K1110" t="str">
        <f>_xlfn.XLOOKUP(frasest[[#This Row],[author_es]],autorest[author_es],autorest[language_es])</f>
        <v>Chino</v>
      </c>
      <c r="L1110" t="str">
        <f>_xlfn.XLOOKUP(frasest[[#This Row],[author_es]],autorest[author_es],autorest[language_la])</f>
        <v>Lingua Sinica</v>
      </c>
      <c r="M1110" t="str">
        <f>_xlfn.XLOOKUP(frasest[[#This Row],[author_es]],autorest[author_es],autorest[nation_es])</f>
        <v>China</v>
      </c>
      <c r="N1110" t="str">
        <f>_xlfn.XLOOKUP(frasest[[#This Row],[author_es]],autorest[author_es],autorest[nation_la])</f>
        <v>Sinae</v>
      </c>
      <c r="O1110" t="str">
        <f>_xlfn.XLOOKUP(frasest[[#This Row],[author_es]],autorest[author_es],autorest[age_es])</f>
        <v>Epoca Desconocida</v>
      </c>
      <c r="P1110" t="str">
        <f>_xlfn.XLOOKUP(frasest[[#This Row],[author_es]],autorest[author_es],autorest[age_la])</f>
        <v>Epocha Ignota</v>
      </c>
      <c r="Q1110" t="str">
        <f>_xlfn.XLOOKUP(frasest[[#This Row],[author_es]],autorest[author_es],autorest[image])</f>
        <v>https://i.ibb.co/qLfpZm6h/china.png</v>
      </c>
      <c r="R1110">
        <f>_xlfn.XLOOKUP(frasest[[#This Row],[author_es]],autorest[author_es],autorest[image_atr])</f>
        <v>0</v>
      </c>
    </row>
    <row r="1111" spans="1:18">
      <c r="A1111">
        <v>1110</v>
      </c>
      <c r="B1111" t="s">
        <v>3464</v>
      </c>
      <c r="C1111" t="s">
        <v>3465</v>
      </c>
      <c r="D1111" s="1" t="s">
        <v>3466</v>
      </c>
      <c r="E1111" t="s">
        <v>36</v>
      </c>
      <c r="G1111" t="str">
        <f>_xlfn.XLOOKUP(frasest[[#This Row],[author_es]],autorest[author_es],autorest[author_la])</f>
        <v>Proverbium Sinense</v>
      </c>
      <c r="H1111" t="str">
        <f>_xlfn.XLOOKUP(frasest[[#This Row],[author_es]],autorest[author_es],autorest[bio_es])</f>
        <v>Conjunto de proverbios tradicionales de la cultura china que transmiten sabiduría popular, valores morales y enseñanzas prácticas transmitidas oralmente durante siglos.</v>
      </c>
      <c r="I1111" t="str">
        <f>_xlfn.XLOOKUP(frasest[[#This Row],[author_es]],autorest[author_es],autorest[bio_la])</f>
        <v>Collectio sententiarum Sinensium, magnopere in cultura tradita.</v>
      </c>
      <c r="J1111" t="str">
        <f>_xlfn.XLOOKUP(frasest[[#This Row],[author_es]],autorest[author_es],autorest[iso3691])</f>
        <v>zh</v>
      </c>
      <c r="K1111" t="str">
        <f>_xlfn.XLOOKUP(frasest[[#This Row],[author_es]],autorest[author_es],autorest[language_es])</f>
        <v>Chino</v>
      </c>
      <c r="L1111" t="str">
        <f>_xlfn.XLOOKUP(frasest[[#This Row],[author_es]],autorest[author_es],autorest[language_la])</f>
        <v>Lingua Sinica</v>
      </c>
      <c r="M1111" t="str">
        <f>_xlfn.XLOOKUP(frasest[[#This Row],[author_es]],autorest[author_es],autorest[nation_es])</f>
        <v>China</v>
      </c>
      <c r="N1111" t="str">
        <f>_xlfn.XLOOKUP(frasest[[#This Row],[author_es]],autorest[author_es],autorest[nation_la])</f>
        <v>Sinae</v>
      </c>
      <c r="O1111" t="str">
        <f>_xlfn.XLOOKUP(frasest[[#This Row],[author_es]],autorest[author_es],autorest[age_es])</f>
        <v>Epoca Desconocida</v>
      </c>
      <c r="P1111" t="str">
        <f>_xlfn.XLOOKUP(frasest[[#This Row],[author_es]],autorest[author_es],autorest[age_la])</f>
        <v>Epocha Ignota</v>
      </c>
      <c r="Q1111" t="str">
        <f>_xlfn.XLOOKUP(frasest[[#This Row],[author_es]],autorest[author_es],autorest[image])</f>
        <v>https://i.ibb.co/qLfpZm6h/china.png</v>
      </c>
      <c r="R1111">
        <f>_xlfn.XLOOKUP(frasest[[#This Row],[author_es]],autorest[author_es],autorest[image_atr])</f>
        <v>0</v>
      </c>
    </row>
    <row r="1112" spans="1:18">
      <c r="A1112">
        <v>1111</v>
      </c>
      <c r="B1112" t="s">
        <v>3467</v>
      </c>
      <c r="C1112" t="s">
        <v>3468</v>
      </c>
      <c r="D1112" s="1" t="s">
        <v>3469</v>
      </c>
      <c r="E1112" t="s">
        <v>36</v>
      </c>
      <c r="G1112" t="str">
        <f>_xlfn.XLOOKUP(frasest[[#This Row],[author_es]],autorest[author_es],autorest[author_la])</f>
        <v>Proverbium Sinense</v>
      </c>
      <c r="H1112" t="str">
        <f>_xlfn.XLOOKUP(frasest[[#This Row],[author_es]],autorest[author_es],autorest[bio_es])</f>
        <v>Conjunto de proverbios tradicionales de la cultura china que transmiten sabiduría popular, valores morales y enseñanzas prácticas transmitidas oralmente durante siglos.</v>
      </c>
      <c r="I1112" t="str">
        <f>_xlfn.XLOOKUP(frasest[[#This Row],[author_es]],autorest[author_es],autorest[bio_la])</f>
        <v>Collectio sententiarum Sinensium, magnopere in cultura tradita.</v>
      </c>
      <c r="J1112" t="str">
        <f>_xlfn.XLOOKUP(frasest[[#This Row],[author_es]],autorest[author_es],autorest[iso3691])</f>
        <v>zh</v>
      </c>
      <c r="K1112" t="str">
        <f>_xlfn.XLOOKUP(frasest[[#This Row],[author_es]],autorest[author_es],autorest[language_es])</f>
        <v>Chino</v>
      </c>
      <c r="L1112" t="str">
        <f>_xlfn.XLOOKUP(frasest[[#This Row],[author_es]],autorest[author_es],autorest[language_la])</f>
        <v>Lingua Sinica</v>
      </c>
      <c r="M1112" t="str">
        <f>_xlfn.XLOOKUP(frasest[[#This Row],[author_es]],autorest[author_es],autorest[nation_es])</f>
        <v>China</v>
      </c>
      <c r="N1112" t="str">
        <f>_xlfn.XLOOKUP(frasest[[#This Row],[author_es]],autorest[author_es],autorest[nation_la])</f>
        <v>Sinae</v>
      </c>
      <c r="O1112" t="str">
        <f>_xlfn.XLOOKUP(frasest[[#This Row],[author_es]],autorest[author_es],autorest[age_es])</f>
        <v>Epoca Desconocida</v>
      </c>
      <c r="P1112" t="str">
        <f>_xlfn.XLOOKUP(frasest[[#This Row],[author_es]],autorest[author_es],autorest[age_la])</f>
        <v>Epocha Ignota</v>
      </c>
      <c r="Q1112" t="str">
        <f>_xlfn.XLOOKUP(frasest[[#This Row],[author_es]],autorest[author_es],autorest[image])</f>
        <v>https://i.ibb.co/qLfpZm6h/china.png</v>
      </c>
      <c r="R1112">
        <f>_xlfn.XLOOKUP(frasest[[#This Row],[author_es]],autorest[author_es],autorest[image_atr])</f>
        <v>0</v>
      </c>
    </row>
    <row r="1113" spans="1:18">
      <c r="A1113">
        <v>1112</v>
      </c>
      <c r="B1113" t="s">
        <v>3470</v>
      </c>
      <c r="C1113" t="s">
        <v>3471</v>
      </c>
      <c r="D1113" s="1" t="s">
        <v>3472</v>
      </c>
      <c r="E1113" t="s">
        <v>36</v>
      </c>
      <c r="G1113" t="str">
        <f>_xlfn.XLOOKUP(frasest[[#This Row],[author_es]],autorest[author_es],autorest[author_la])</f>
        <v>Proverbium Sinense</v>
      </c>
      <c r="H1113" t="str">
        <f>_xlfn.XLOOKUP(frasest[[#This Row],[author_es]],autorest[author_es],autorest[bio_es])</f>
        <v>Conjunto de proverbios tradicionales de la cultura china que transmiten sabiduría popular, valores morales y enseñanzas prácticas transmitidas oralmente durante siglos.</v>
      </c>
      <c r="I1113" t="str">
        <f>_xlfn.XLOOKUP(frasest[[#This Row],[author_es]],autorest[author_es],autorest[bio_la])</f>
        <v>Collectio sententiarum Sinensium, magnopere in cultura tradita.</v>
      </c>
      <c r="J1113" t="str">
        <f>_xlfn.XLOOKUP(frasest[[#This Row],[author_es]],autorest[author_es],autorest[iso3691])</f>
        <v>zh</v>
      </c>
      <c r="K1113" t="str">
        <f>_xlfn.XLOOKUP(frasest[[#This Row],[author_es]],autorest[author_es],autorest[language_es])</f>
        <v>Chino</v>
      </c>
      <c r="L1113" t="str">
        <f>_xlfn.XLOOKUP(frasest[[#This Row],[author_es]],autorest[author_es],autorest[language_la])</f>
        <v>Lingua Sinica</v>
      </c>
      <c r="M1113" t="str">
        <f>_xlfn.XLOOKUP(frasest[[#This Row],[author_es]],autorest[author_es],autorest[nation_es])</f>
        <v>China</v>
      </c>
      <c r="N1113" t="str">
        <f>_xlfn.XLOOKUP(frasest[[#This Row],[author_es]],autorest[author_es],autorest[nation_la])</f>
        <v>Sinae</v>
      </c>
      <c r="O1113" t="str">
        <f>_xlfn.XLOOKUP(frasest[[#This Row],[author_es]],autorest[author_es],autorest[age_es])</f>
        <v>Epoca Desconocida</v>
      </c>
      <c r="P1113" t="str">
        <f>_xlfn.XLOOKUP(frasest[[#This Row],[author_es]],autorest[author_es],autorest[age_la])</f>
        <v>Epocha Ignota</v>
      </c>
      <c r="Q1113" t="str">
        <f>_xlfn.XLOOKUP(frasest[[#This Row],[author_es]],autorest[author_es],autorest[image])</f>
        <v>https://i.ibb.co/qLfpZm6h/china.png</v>
      </c>
      <c r="R1113">
        <f>_xlfn.XLOOKUP(frasest[[#This Row],[author_es]],autorest[author_es],autorest[image_atr])</f>
        <v>0</v>
      </c>
    </row>
    <row r="1114" spans="1:18">
      <c r="A1114">
        <v>1113</v>
      </c>
      <c r="B1114" t="s">
        <v>3473</v>
      </c>
      <c r="C1114" t="s">
        <v>3474</v>
      </c>
      <c r="D1114" s="1" t="s">
        <v>3475</v>
      </c>
      <c r="E1114" t="s">
        <v>36</v>
      </c>
      <c r="G1114" t="str">
        <f>_xlfn.XLOOKUP(frasest[[#This Row],[author_es]],autorest[author_es],autorest[author_la])</f>
        <v>Proverbium Sinense</v>
      </c>
      <c r="H1114" t="str">
        <f>_xlfn.XLOOKUP(frasest[[#This Row],[author_es]],autorest[author_es],autorest[bio_es])</f>
        <v>Conjunto de proverbios tradicionales de la cultura china que transmiten sabiduría popular, valores morales y enseñanzas prácticas transmitidas oralmente durante siglos.</v>
      </c>
      <c r="I1114" t="str">
        <f>_xlfn.XLOOKUP(frasest[[#This Row],[author_es]],autorest[author_es],autorest[bio_la])</f>
        <v>Collectio sententiarum Sinensium, magnopere in cultura tradita.</v>
      </c>
      <c r="J1114" t="str">
        <f>_xlfn.XLOOKUP(frasest[[#This Row],[author_es]],autorest[author_es],autorest[iso3691])</f>
        <v>zh</v>
      </c>
      <c r="K1114" t="str">
        <f>_xlfn.XLOOKUP(frasest[[#This Row],[author_es]],autorest[author_es],autorest[language_es])</f>
        <v>Chino</v>
      </c>
      <c r="L1114" t="str">
        <f>_xlfn.XLOOKUP(frasest[[#This Row],[author_es]],autorest[author_es],autorest[language_la])</f>
        <v>Lingua Sinica</v>
      </c>
      <c r="M1114" t="str">
        <f>_xlfn.XLOOKUP(frasest[[#This Row],[author_es]],autorest[author_es],autorest[nation_es])</f>
        <v>China</v>
      </c>
      <c r="N1114" t="str">
        <f>_xlfn.XLOOKUP(frasest[[#This Row],[author_es]],autorest[author_es],autorest[nation_la])</f>
        <v>Sinae</v>
      </c>
      <c r="O1114" t="str">
        <f>_xlfn.XLOOKUP(frasest[[#This Row],[author_es]],autorest[author_es],autorest[age_es])</f>
        <v>Epoca Desconocida</v>
      </c>
      <c r="P1114" t="str">
        <f>_xlfn.XLOOKUP(frasest[[#This Row],[author_es]],autorest[author_es],autorest[age_la])</f>
        <v>Epocha Ignota</v>
      </c>
      <c r="Q1114" t="str">
        <f>_xlfn.XLOOKUP(frasest[[#This Row],[author_es]],autorest[author_es],autorest[image])</f>
        <v>https://i.ibb.co/qLfpZm6h/china.png</v>
      </c>
      <c r="R1114">
        <f>_xlfn.XLOOKUP(frasest[[#This Row],[author_es]],autorest[author_es],autorest[image_atr])</f>
        <v>0</v>
      </c>
    </row>
    <row r="1115" spans="1:18">
      <c r="A1115">
        <v>1114</v>
      </c>
      <c r="B1115" t="s">
        <v>3476</v>
      </c>
      <c r="C1115" t="s">
        <v>3477</v>
      </c>
      <c r="D1115" s="1" t="s">
        <v>3478</v>
      </c>
      <c r="E1115" t="s">
        <v>36</v>
      </c>
      <c r="G1115" t="str">
        <f>_xlfn.XLOOKUP(frasest[[#This Row],[author_es]],autorest[author_es],autorest[author_la])</f>
        <v>Proverbium Sinense</v>
      </c>
      <c r="H1115" t="str">
        <f>_xlfn.XLOOKUP(frasest[[#This Row],[author_es]],autorest[author_es],autorest[bio_es])</f>
        <v>Conjunto de proverbios tradicionales de la cultura china que transmiten sabiduría popular, valores morales y enseñanzas prácticas transmitidas oralmente durante siglos.</v>
      </c>
      <c r="I1115" t="str">
        <f>_xlfn.XLOOKUP(frasest[[#This Row],[author_es]],autorest[author_es],autorest[bio_la])</f>
        <v>Collectio sententiarum Sinensium, magnopere in cultura tradita.</v>
      </c>
      <c r="J1115" t="str">
        <f>_xlfn.XLOOKUP(frasest[[#This Row],[author_es]],autorest[author_es],autorest[iso3691])</f>
        <v>zh</v>
      </c>
      <c r="K1115" t="str">
        <f>_xlfn.XLOOKUP(frasest[[#This Row],[author_es]],autorest[author_es],autorest[language_es])</f>
        <v>Chino</v>
      </c>
      <c r="L1115" t="str">
        <f>_xlfn.XLOOKUP(frasest[[#This Row],[author_es]],autorest[author_es],autorest[language_la])</f>
        <v>Lingua Sinica</v>
      </c>
      <c r="M1115" t="str">
        <f>_xlfn.XLOOKUP(frasest[[#This Row],[author_es]],autorest[author_es],autorest[nation_es])</f>
        <v>China</v>
      </c>
      <c r="N1115" t="str">
        <f>_xlfn.XLOOKUP(frasest[[#This Row],[author_es]],autorest[author_es],autorest[nation_la])</f>
        <v>Sinae</v>
      </c>
      <c r="O1115" t="str">
        <f>_xlfn.XLOOKUP(frasest[[#This Row],[author_es]],autorest[author_es],autorest[age_es])</f>
        <v>Epoca Desconocida</v>
      </c>
      <c r="P1115" t="str">
        <f>_xlfn.XLOOKUP(frasest[[#This Row],[author_es]],autorest[author_es],autorest[age_la])</f>
        <v>Epocha Ignota</v>
      </c>
      <c r="Q1115" t="str">
        <f>_xlfn.XLOOKUP(frasest[[#This Row],[author_es]],autorest[author_es],autorest[image])</f>
        <v>https://i.ibb.co/qLfpZm6h/china.png</v>
      </c>
      <c r="R1115">
        <f>_xlfn.XLOOKUP(frasest[[#This Row],[author_es]],autorest[author_es],autorest[image_atr])</f>
        <v>0</v>
      </c>
    </row>
    <row r="1116" spans="1:18">
      <c r="A1116">
        <v>1115</v>
      </c>
      <c r="B1116" t="s">
        <v>3479</v>
      </c>
      <c r="C1116" t="s">
        <v>3480</v>
      </c>
      <c r="D1116" s="1" t="s">
        <v>3481</v>
      </c>
      <c r="E1116" t="s">
        <v>36</v>
      </c>
      <c r="G1116" t="str">
        <f>_xlfn.XLOOKUP(frasest[[#This Row],[author_es]],autorest[author_es],autorest[author_la])</f>
        <v>Proverbium Sinense</v>
      </c>
      <c r="H1116" t="str">
        <f>_xlfn.XLOOKUP(frasest[[#This Row],[author_es]],autorest[author_es],autorest[bio_es])</f>
        <v>Conjunto de proverbios tradicionales de la cultura china que transmiten sabiduría popular, valores morales y enseñanzas prácticas transmitidas oralmente durante siglos.</v>
      </c>
      <c r="I1116" t="str">
        <f>_xlfn.XLOOKUP(frasest[[#This Row],[author_es]],autorest[author_es],autorest[bio_la])</f>
        <v>Collectio sententiarum Sinensium, magnopere in cultura tradita.</v>
      </c>
      <c r="J1116" t="str">
        <f>_xlfn.XLOOKUP(frasest[[#This Row],[author_es]],autorest[author_es],autorest[iso3691])</f>
        <v>zh</v>
      </c>
      <c r="K1116" t="str">
        <f>_xlfn.XLOOKUP(frasest[[#This Row],[author_es]],autorest[author_es],autorest[language_es])</f>
        <v>Chino</v>
      </c>
      <c r="L1116" t="str">
        <f>_xlfn.XLOOKUP(frasest[[#This Row],[author_es]],autorest[author_es],autorest[language_la])</f>
        <v>Lingua Sinica</v>
      </c>
      <c r="M1116" t="str">
        <f>_xlfn.XLOOKUP(frasest[[#This Row],[author_es]],autorest[author_es],autorest[nation_es])</f>
        <v>China</v>
      </c>
      <c r="N1116" t="str">
        <f>_xlfn.XLOOKUP(frasest[[#This Row],[author_es]],autorest[author_es],autorest[nation_la])</f>
        <v>Sinae</v>
      </c>
      <c r="O1116" t="str">
        <f>_xlfn.XLOOKUP(frasest[[#This Row],[author_es]],autorest[author_es],autorest[age_es])</f>
        <v>Epoca Desconocida</v>
      </c>
      <c r="P1116" t="str">
        <f>_xlfn.XLOOKUP(frasest[[#This Row],[author_es]],autorest[author_es],autorest[age_la])</f>
        <v>Epocha Ignota</v>
      </c>
      <c r="Q1116" t="str">
        <f>_xlfn.XLOOKUP(frasest[[#This Row],[author_es]],autorest[author_es],autorest[image])</f>
        <v>https://i.ibb.co/qLfpZm6h/china.png</v>
      </c>
      <c r="R1116">
        <f>_xlfn.XLOOKUP(frasest[[#This Row],[author_es]],autorest[author_es],autorest[image_atr])</f>
        <v>0</v>
      </c>
    </row>
    <row r="1117" spans="1:18">
      <c r="A1117">
        <v>1116</v>
      </c>
      <c r="B1117" t="s">
        <v>3482</v>
      </c>
      <c r="C1117" t="s">
        <v>3483</v>
      </c>
      <c r="D1117" s="1" t="s">
        <v>3484</v>
      </c>
      <c r="E1117" t="s">
        <v>36</v>
      </c>
      <c r="G1117" t="str">
        <f>_xlfn.XLOOKUP(frasest[[#This Row],[author_es]],autorest[author_es],autorest[author_la])</f>
        <v>Proverbium Sinense</v>
      </c>
      <c r="H1117" t="str">
        <f>_xlfn.XLOOKUP(frasest[[#This Row],[author_es]],autorest[author_es],autorest[bio_es])</f>
        <v>Conjunto de proverbios tradicionales de la cultura china que transmiten sabiduría popular, valores morales y enseñanzas prácticas transmitidas oralmente durante siglos.</v>
      </c>
      <c r="I1117" t="str">
        <f>_xlfn.XLOOKUP(frasest[[#This Row],[author_es]],autorest[author_es],autorest[bio_la])</f>
        <v>Collectio sententiarum Sinensium, magnopere in cultura tradita.</v>
      </c>
      <c r="J1117" t="str">
        <f>_xlfn.XLOOKUP(frasest[[#This Row],[author_es]],autorest[author_es],autorest[iso3691])</f>
        <v>zh</v>
      </c>
      <c r="K1117" t="str">
        <f>_xlfn.XLOOKUP(frasest[[#This Row],[author_es]],autorest[author_es],autorest[language_es])</f>
        <v>Chino</v>
      </c>
      <c r="L1117" t="str">
        <f>_xlfn.XLOOKUP(frasest[[#This Row],[author_es]],autorest[author_es],autorest[language_la])</f>
        <v>Lingua Sinica</v>
      </c>
      <c r="M1117" t="str">
        <f>_xlfn.XLOOKUP(frasest[[#This Row],[author_es]],autorest[author_es],autorest[nation_es])</f>
        <v>China</v>
      </c>
      <c r="N1117" t="str">
        <f>_xlfn.XLOOKUP(frasest[[#This Row],[author_es]],autorest[author_es],autorest[nation_la])</f>
        <v>Sinae</v>
      </c>
      <c r="O1117" t="str">
        <f>_xlfn.XLOOKUP(frasest[[#This Row],[author_es]],autorest[author_es],autorest[age_es])</f>
        <v>Epoca Desconocida</v>
      </c>
      <c r="P1117" t="str">
        <f>_xlfn.XLOOKUP(frasest[[#This Row],[author_es]],autorest[author_es],autorest[age_la])</f>
        <v>Epocha Ignota</v>
      </c>
      <c r="Q1117" t="str">
        <f>_xlfn.XLOOKUP(frasest[[#This Row],[author_es]],autorest[author_es],autorest[image])</f>
        <v>https://i.ibb.co/qLfpZm6h/china.png</v>
      </c>
      <c r="R1117">
        <f>_xlfn.XLOOKUP(frasest[[#This Row],[author_es]],autorest[author_es],autorest[image_atr])</f>
        <v>0</v>
      </c>
    </row>
    <row r="1118" spans="1:18">
      <c r="A1118">
        <v>1117</v>
      </c>
      <c r="B1118" t="s">
        <v>3485</v>
      </c>
      <c r="C1118" t="s">
        <v>3486</v>
      </c>
      <c r="D1118" s="1" t="s">
        <v>3487</v>
      </c>
      <c r="E1118" t="s">
        <v>36</v>
      </c>
      <c r="G1118" t="str">
        <f>_xlfn.XLOOKUP(frasest[[#This Row],[author_es]],autorest[author_es],autorest[author_la])</f>
        <v>Proverbium Sinense</v>
      </c>
      <c r="H1118" t="str">
        <f>_xlfn.XLOOKUP(frasest[[#This Row],[author_es]],autorest[author_es],autorest[bio_es])</f>
        <v>Conjunto de proverbios tradicionales de la cultura china que transmiten sabiduría popular, valores morales y enseñanzas prácticas transmitidas oralmente durante siglos.</v>
      </c>
      <c r="I1118" t="str">
        <f>_xlfn.XLOOKUP(frasest[[#This Row],[author_es]],autorest[author_es],autorest[bio_la])</f>
        <v>Collectio sententiarum Sinensium, magnopere in cultura tradita.</v>
      </c>
      <c r="J1118" t="str">
        <f>_xlfn.XLOOKUP(frasest[[#This Row],[author_es]],autorest[author_es],autorest[iso3691])</f>
        <v>zh</v>
      </c>
      <c r="K1118" t="str">
        <f>_xlfn.XLOOKUP(frasest[[#This Row],[author_es]],autorest[author_es],autorest[language_es])</f>
        <v>Chino</v>
      </c>
      <c r="L1118" t="str">
        <f>_xlfn.XLOOKUP(frasest[[#This Row],[author_es]],autorest[author_es],autorest[language_la])</f>
        <v>Lingua Sinica</v>
      </c>
      <c r="M1118" t="str">
        <f>_xlfn.XLOOKUP(frasest[[#This Row],[author_es]],autorest[author_es],autorest[nation_es])</f>
        <v>China</v>
      </c>
      <c r="N1118" t="str">
        <f>_xlfn.XLOOKUP(frasest[[#This Row],[author_es]],autorest[author_es],autorest[nation_la])</f>
        <v>Sinae</v>
      </c>
      <c r="O1118" t="str">
        <f>_xlfn.XLOOKUP(frasest[[#This Row],[author_es]],autorest[author_es],autorest[age_es])</f>
        <v>Epoca Desconocida</v>
      </c>
      <c r="P1118" t="str">
        <f>_xlfn.XLOOKUP(frasest[[#This Row],[author_es]],autorest[author_es],autorest[age_la])</f>
        <v>Epocha Ignota</v>
      </c>
      <c r="Q1118" t="str">
        <f>_xlfn.XLOOKUP(frasest[[#This Row],[author_es]],autorest[author_es],autorest[image])</f>
        <v>https://i.ibb.co/qLfpZm6h/china.png</v>
      </c>
      <c r="R1118">
        <f>_xlfn.XLOOKUP(frasest[[#This Row],[author_es]],autorest[author_es],autorest[image_atr])</f>
        <v>0</v>
      </c>
    </row>
    <row r="1119" spans="1:18">
      <c r="A1119">
        <v>1118</v>
      </c>
      <c r="B1119" t="s">
        <v>3488</v>
      </c>
      <c r="C1119" t="s">
        <v>3489</v>
      </c>
      <c r="D1119" s="1" t="s">
        <v>3490</v>
      </c>
      <c r="E1119" t="s">
        <v>36</v>
      </c>
      <c r="G1119" t="str">
        <f>_xlfn.XLOOKUP(frasest[[#This Row],[author_es]],autorest[author_es],autorest[author_la])</f>
        <v>Proverbium Sinense</v>
      </c>
      <c r="H1119" t="str">
        <f>_xlfn.XLOOKUP(frasest[[#This Row],[author_es]],autorest[author_es],autorest[bio_es])</f>
        <v>Conjunto de proverbios tradicionales de la cultura china que transmiten sabiduría popular, valores morales y enseñanzas prácticas transmitidas oralmente durante siglos.</v>
      </c>
      <c r="I1119" t="str">
        <f>_xlfn.XLOOKUP(frasest[[#This Row],[author_es]],autorest[author_es],autorest[bio_la])</f>
        <v>Collectio sententiarum Sinensium, magnopere in cultura tradita.</v>
      </c>
      <c r="J1119" t="str">
        <f>_xlfn.XLOOKUP(frasest[[#This Row],[author_es]],autorest[author_es],autorest[iso3691])</f>
        <v>zh</v>
      </c>
      <c r="K1119" t="str">
        <f>_xlfn.XLOOKUP(frasest[[#This Row],[author_es]],autorest[author_es],autorest[language_es])</f>
        <v>Chino</v>
      </c>
      <c r="L1119" t="str">
        <f>_xlfn.XLOOKUP(frasest[[#This Row],[author_es]],autorest[author_es],autorest[language_la])</f>
        <v>Lingua Sinica</v>
      </c>
      <c r="M1119" t="str">
        <f>_xlfn.XLOOKUP(frasest[[#This Row],[author_es]],autorest[author_es],autorest[nation_es])</f>
        <v>China</v>
      </c>
      <c r="N1119" t="str">
        <f>_xlfn.XLOOKUP(frasest[[#This Row],[author_es]],autorest[author_es],autorest[nation_la])</f>
        <v>Sinae</v>
      </c>
      <c r="O1119" t="str">
        <f>_xlfn.XLOOKUP(frasest[[#This Row],[author_es]],autorest[author_es],autorest[age_es])</f>
        <v>Epoca Desconocida</v>
      </c>
      <c r="P1119" t="str">
        <f>_xlfn.XLOOKUP(frasest[[#This Row],[author_es]],autorest[author_es],autorest[age_la])</f>
        <v>Epocha Ignota</v>
      </c>
      <c r="Q1119" t="str">
        <f>_xlfn.XLOOKUP(frasest[[#This Row],[author_es]],autorest[author_es],autorest[image])</f>
        <v>https://i.ibb.co/qLfpZm6h/china.png</v>
      </c>
      <c r="R1119">
        <f>_xlfn.XLOOKUP(frasest[[#This Row],[author_es]],autorest[author_es],autorest[image_atr])</f>
        <v>0</v>
      </c>
    </row>
    <row r="1120" spans="1:18">
      <c r="A1120">
        <v>1119</v>
      </c>
      <c r="B1120" t="s">
        <v>3491</v>
      </c>
      <c r="C1120" t="s">
        <v>3492</v>
      </c>
      <c r="D1120" s="1" t="s">
        <v>3493</v>
      </c>
      <c r="E1120" t="s">
        <v>36</v>
      </c>
      <c r="G1120" t="str">
        <f>_xlfn.XLOOKUP(frasest[[#This Row],[author_es]],autorest[author_es],autorest[author_la])</f>
        <v>Proverbium Sinense</v>
      </c>
      <c r="H1120" t="str">
        <f>_xlfn.XLOOKUP(frasest[[#This Row],[author_es]],autorest[author_es],autorest[bio_es])</f>
        <v>Conjunto de proverbios tradicionales de la cultura china que transmiten sabiduría popular, valores morales y enseñanzas prácticas transmitidas oralmente durante siglos.</v>
      </c>
      <c r="I1120" t="str">
        <f>_xlfn.XLOOKUP(frasest[[#This Row],[author_es]],autorest[author_es],autorest[bio_la])</f>
        <v>Collectio sententiarum Sinensium, magnopere in cultura tradita.</v>
      </c>
      <c r="J1120" t="str">
        <f>_xlfn.XLOOKUP(frasest[[#This Row],[author_es]],autorest[author_es],autorest[iso3691])</f>
        <v>zh</v>
      </c>
      <c r="K1120" t="str">
        <f>_xlfn.XLOOKUP(frasest[[#This Row],[author_es]],autorest[author_es],autorest[language_es])</f>
        <v>Chino</v>
      </c>
      <c r="L1120" t="str">
        <f>_xlfn.XLOOKUP(frasest[[#This Row],[author_es]],autorest[author_es],autorest[language_la])</f>
        <v>Lingua Sinica</v>
      </c>
      <c r="M1120" t="str">
        <f>_xlfn.XLOOKUP(frasest[[#This Row],[author_es]],autorest[author_es],autorest[nation_es])</f>
        <v>China</v>
      </c>
      <c r="N1120" t="str">
        <f>_xlfn.XLOOKUP(frasest[[#This Row],[author_es]],autorest[author_es],autorest[nation_la])</f>
        <v>Sinae</v>
      </c>
      <c r="O1120" t="str">
        <f>_xlfn.XLOOKUP(frasest[[#This Row],[author_es]],autorest[author_es],autorest[age_es])</f>
        <v>Epoca Desconocida</v>
      </c>
      <c r="P1120" t="str">
        <f>_xlfn.XLOOKUP(frasest[[#This Row],[author_es]],autorest[author_es],autorest[age_la])</f>
        <v>Epocha Ignota</v>
      </c>
      <c r="Q1120" t="str">
        <f>_xlfn.XLOOKUP(frasest[[#This Row],[author_es]],autorest[author_es],autorest[image])</f>
        <v>https://i.ibb.co/qLfpZm6h/china.png</v>
      </c>
      <c r="R1120">
        <f>_xlfn.XLOOKUP(frasest[[#This Row],[author_es]],autorest[author_es],autorest[image_atr])</f>
        <v>0</v>
      </c>
    </row>
    <row r="1121" spans="1:18">
      <c r="A1121">
        <v>1120</v>
      </c>
      <c r="B1121" t="s">
        <v>3494</v>
      </c>
      <c r="C1121" t="s">
        <v>3495</v>
      </c>
      <c r="D1121" s="1" t="s">
        <v>3496</v>
      </c>
      <c r="E1121" t="s">
        <v>36</v>
      </c>
      <c r="G1121" t="str">
        <f>_xlfn.XLOOKUP(frasest[[#This Row],[author_es]],autorest[author_es],autorest[author_la])</f>
        <v>Proverbium Sinense</v>
      </c>
      <c r="H1121" t="str">
        <f>_xlfn.XLOOKUP(frasest[[#This Row],[author_es]],autorest[author_es],autorest[bio_es])</f>
        <v>Conjunto de proverbios tradicionales de la cultura china que transmiten sabiduría popular, valores morales y enseñanzas prácticas transmitidas oralmente durante siglos.</v>
      </c>
      <c r="I1121" t="str">
        <f>_xlfn.XLOOKUP(frasest[[#This Row],[author_es]],autorest[author_es],autorest[bio_la])</f>
        <v>Collectio sententiarum Sinensium, magnopere in cultura tradita.</v>
      </c>
      <c r="J1121" t="str">
        <f>_xlfn.XLOOKUP(frasest[[#This Row],[author_es]],autorest[author_es],autorest[iso3691])</f>
        <v>zh</v>
      </c>
      <c r="K1121" t="str">
        <f>_xlfn.XLOOKUP(frasest[[#This Row],[author_es]],autorest[author_es],autorest[language_es])</f>
        <v>Chino</v>
      </c>
      <c r="L1121" t="str">
        <f>_xlfn.XLOOKUP(frasest[[#This Row],[author_es]],autorest[author_es],autorest[language_la])</f>
        <v>Lingua Sinica</v>
      </c>
      <c r="M1121" t="str">
        <f>_xlfn.XLOOKUP(frasest[[#This Row],[author_es]],autorest[author_es],autorest[nation_es])</f>
        <v>China</v>
      </c>
      <c r="N1121" t="str">
        <f>_xlfn.XLOOKUP(frasest[[#This Row],[author_es]],autorest[author_es],autorest[nation_la])</f>
        <v>Sinae</v>
      </c>
      <c r="O1121" t="str">
        <f>_xlfn.XLOOKUP(frasest[[#This Row],[author_es]],autorest[author_es],autorest[age_es])</f>
        <v>Epoca Desconocida</v>
      </c>
      <c r="P1121" t="str">
        <f>_xlfn.XLOOKUP(frasest[[#This Row],[author_es]],autorest[author_es],autorest[age_la])</f>
        <v>Epocha Ignota</v>
      </c>
      <c r="Q1121" t="str">
        <f>_xlfn.XLOOKUP(frasest[[#This Row],[author_es]],autorest[author_es],autorest[image])</f>
        <v>https://i.ibb.co/qLfpZm6h/china.png</v>
      </c>
      <c r="R1121">
        <f>_xlfn.XLOOKUP(frasest[[#This Row],[author_es]],autorest[author_es],autorest[image_atr])</f>
        <v>0</v>
      </c>
    </row>
    <row r="1122" spans="1:18">
      <c r="A1122">
        <v>1121</v>
      </c>
      <c r="B1122" t="s">
        <v>3497</v>
      </c>
      <c r="C1122" t="s">
        <v>3498</v>
      </c>
      <c r="D1122" s="1" t="s">
        <v>3499</v>
      </c>
      <c r="E1122" t="s">
        <v>36</v>
      </c>
      <c r="G1122" t="str">
        <f>_xlfn.XLOOKUP(frasest[[#This Row],[author_es]],autorest[author_es],autorest[author_la])</f>
        <v>Proverbium Sinense</v>
      </c>
      <c r="H1122" t="str">
        <f>_xlfn.XLOOKUP(frasest[[#This Row],[author_es]],autorest[author_es],autorest[bio_es])</f>
        <v>Conjunto de proverbios tradicionales de la cultura china que transmiten sabiduría popular, valores morales y enseñanzas prácticas transmitidas oralmente durante siglos.</v>
      </c>
      <c r="I1122" t="str">
        <f>_xlfn.XLOOKUP(frasest[[#This Row],[author_es]],autorest[author_es],autorest[bio_la])</f>
        <v>Collectio sententiarum Sinensium, magnopere in cultura tradita.</v>
      </c>
      <c r="J1122" t="str">
        <f>_xlfn.XLOOKUP(frasest[[#This Row],[author_es]],autorest[author_es],autorest[iso3691])</f>
        <v>zh</v>
      </c>
      <c r="K1122" t="str">
        <f>_xlfn.XLOOKUP(frasest[[#This Row],[author_es]],autorest[author_es],autorest[language_es])</f>
        <v>Chino</v>
      </c>
      <c r="L1122" t="str">
        <f>_xlfn.XLOOKUP(frasest[[#This Row],[author_es]],autorest[author_es],autorest[language_la])</f>
        <v>Lingua Sinica</v>
      </c>
      <c r="M1122" t="str">
        <f>_xlfn.XLOOKUP(frasest[[#This Row],[author_es]],autorest[author_es],autorest[nation_es])</f>
        <v>China</v>
      </c>
      <c r="N1122" t="str">
        <f>_xlfn.XLOOKUP(frasest[[#This Row],[author_es]],autorest[author_es],autorest[nation_la])</f>
        <v>Sinae</v>
      </c>
      <c r="O1122" t="str">
        <f>_xlfn.XLOOKUP(frasest[[#This Row],[author_es]],autorest[author_es],autorest[age_es])</f>
        <v>Epoca Desconocida</v>
      </c>
      <c r="P1122" t="str">
        <f>_xlfn.XLOOKUP(frasest[[#This Row],[author_es]],autorest[author_es],autorest[age_la])</f>
        <v>Epocha Ignota</v>
      </c>
      <c r="Q1122" t="str">
        <f>_xlfn.XLOOKUP(frasest[[#This Row],[author_es]],autorest[author_es],autorest[image])</f>
        <v>https://i.ibb.co/qLfpZm6h/china.png</v>
      </c>
      <c r="R1122">
        <f>_xlfn.XLOOKUP(frasest[[#This Row],[author_es]],autorest[author_es],autorest[image_atr])</f>
        <v>0</v>
      </c>
    </row>
    <row r="1123" spans="1:18">
      <c r="A1123">
        <v>1122</v>
      </c>
      <c r="B1123" t="s">
        <v>3500</v>
      </c>
      <c r="C1123" t="s">
        <v>3501</v>
      </c>
      <c r="D1123" s="1" t="s">
        <v>3502</v>
      </c>
      <c r="E1123" t="s">
        <v>36</v>
      </c>
      <c r="G1123" t="str">
        <f>_xlfn.XLOOKUP(frasest[[#This Row],[author_es]],autorest[author_es],autorest[author_la])</f>
        <v>Proverbium Sinense</v>
      </c>
      <c r="H1123" t="str">
        <f>_xlfn.XLOOKUP(frasest[[#This Row],[author_es]],autorest[author_es],autorest[bio_es])</f>
        <v>Conjunto de proverbios tradicionales de la cultura china que transmiten sabiduría popular, valores morales y enseñanzas prácticas transmitidas oralmente durante siglos.</v>
      </c>
      <c r="I1123" t="str">
        <f>_xlfn.XLOOKUP(frasest[[#This Row],[author_es]],autorest[author_es],autorest[bio_la])</f>
        <v>Collectio sententiarum Sinensium, magnopere in cultura tradita.</v>
      </c>
      <c r="J1123" t="str">
        <f>_xlfn.XLOOKUP(frasest[[#This Row],[author_es]],autorest[author_es],autorest[iso3691])</f>
        <v>zh</v>
      </c>
      <c r="K1123" t="str">
        <f>_xlfn.XLOOKUP(frasest[[#This Row],[author_es]],autorest[author_es],autorest[language_es])</f>
        <v>Chino</v>
      </c>
      <c r="L1123" t="str">
        <f>_xlfn.XLOOKUP(frasest[[#This Row],[author_es]],autorest[author_es],autorest[language_la])</f>
        <v>Lingua Sinica</v>
      </c>
      <c r="M1123" t="str">
        <f>_xlfn.XLOOKUP(frasest[[#This Row],[author_es]],autorest[author_es],autorest[nation_es])</f>
        <v>China</v>
      </c>
      <c r="N1123" t="str">
        <f>_xlfn.XLOOKUP(frasest[[#This Row],[author_es]],autorest[author_es],autorest[nation_la])</f>
        <v>Sinae</v>
      </c>
      <c r="O1123" t="str">
        <f>_xlfn.XLOOKUP(frasest[[#This Row],[author_es]],autorest[author_es],autorest[age_es])</f>
        <v>Epoca Desconocida</v>
      </c>
      <c r="P1123" t="str">
        <f>_xlfn.XLOOKUP(frasest[[#This Row],[author_es]],autorest[author_es],autorest[age_la])</f>
        <v>Epocha Ignota</v>
      </c>
      <c r="Q1123" t="str">
        <f>_xlfn.XLOOKUP(frasest[[#This Row],[author_es]],autorest[author_es],autorest[image])</f>
        <v>https://i.ibb.co/qLfpZm6h/china.png</v>
      </c>
      <c r="R1123">
        <f>_xlfn.XLOOKUP(frasest[[#This Row],[author_es]],autorest[author_es],autorest[image_atr])</f>
        <v>0</v>
      </c>
    </row>
    <row r="1124" spans="1:18">
      <c r="A1124">
        <v>1123</v>
      </c>
      <c r="B1124" t="s">
        <v>3503</v>
      </c>
      <c r="C1124" t="s">
        <v>3504</v>
      </c>
      <c r="D1124" s="1" t="s">
        <v>3505</v>
      </c>
      <c r="E1124" t="s">
        <v>36</v>
      </c>
      <c r="G1124" t="str">
        <f>_xlfn.XLOOKUP(frasest[[#This Row],[author_es]],autorest[author_es],autorest[author_la])</f>
        <v>Proverbium Sinense</v>
      </c>
      <c r="H1124" t="str">
        <f>_xlfn.XLOOKUP(frasest[[#This Row],[author_es]],autorest[author_es],autorest[bio_es])</f>
        <v>Conjunto de proverbios tradicionales de la cultura china que transmiten sabiduría popular, valores morales y enseñanzas prácticas transmitidas oralmente durante siglos.</v>
      </c>
      <c r="I1124" t="str">
        <f>_xlfn.XLOOKUP(frasest[[#This Row],[author_es]],autorest[author_es],autorest[bio_la])</f>
        <v>Collectio sententiarum Sinensium, magnopere in cultura tradita.</v>
      </c>
      <c r="J1124" t="str">
        <f>_xlfn.XLOOKUP(frasest[[#This Row],[author_es]],autorest[author_es],autorest[iso3691])</f>
        <v>zh</v>
      </c>
      <c r="K1124" t="str">
        <f>_xlfn.XLOOKUP(frasest[[#This Row],[author_es]],autorest[author_es],autorest[language_es])</f>
        <v>Chino</v>
      </c>
      <c r="L1124" t="str">
        <f>_xlfn.XLOOKUP(frasest[[#This Row],[author_es]],autorest[author_es],autorest[language_la])</f>
        <v>Lingua Sinica</v>
      </c>
      <c r="M1124" t="str">
        <f>_xlfn.XLOOKUP(frasest[[#This Row],[author_es]],autorest[author_es],autorest[nation_es])</f>
        <v>China</v>
      </c>
      <c r="N1124" t="str">
        <f>_xlfn.XLOOKUP(frasest[[#This Row],[author_es]],autorest[author_es],autorest[nation_la])</f>
        <v>Sinae</v>
      </c>
      <c r="O1124" t="str">
        <f>_xlfn.XLOOKUP(frasest[[#This Row],[author_es]],autorest[author_es],autorest[age_es])</f>
        <v>Epoca Desconocida</v>
      </c>
      <c r="P1124" t="str">
        <f>_xlfn.XLOOKUP(frasest[[#This Row],[author_es]],autorest[author_es],autorest[age_la])</f>
        <v>Epocha Ignota</v>
      </c>
      <c r="Q1124" t="str">
        <f>_xlfn.XLOOKUP(frasest[[#This Row],[author_es]],autorest[author_es],autorest[image])</f>
        <v>https://i.ibb.co/qLfpZm6h/china.png</v>
      </c>
      <c r="R1124">
        <f>_xlfn.XLOOKUP(frasest[[#This Row],[author_es]],autorest[author_es],autorest[image_atr])</f>
        <v>0</v>
      </c>
    </row>
    <row r="1125" spans="1:18">
      <c r="A1125">
        <v>1124</v>
      </c>
      <c r="B1125" t="s">
        <v>3506</v>
      </c>
      <c r="C1125" t="s">
        <v>3507</v>
      </c>
      <c r="D1125" s="1" t="s">
        <v>3508</v>
      </c>
      <c r="E1125" t="s">
        <v>36</v>
      </c>
      <c r="G1125" t="str">
        <f>_xlfn.XLOOKUP(frasest[[#This Row],[author_es]],autorest[author_es],autorest[author_la])</f>
        <v>Proverbium Sinense</v>
      </c>
      <c r="H1125" t="str">
        <f>_xlfn.XLOOKUP(frasest[[#This Row],[author_es]],autorest[author_es],autorest[bio_es])</f>
        <v>Conjunto de proverbios tradicionales de la cultura china que transmiten sabiduría popular, valores morales y enseñanzas prácticas transmitidas oralmente durante siglos.</v>
      </c>
      <c r="I1125" t="str">
        <f>_xlfn.XLOOKUP(frasest[[#This Row],[author_es]],autorest[author_es],autorest[bio_la])</f>
        <v>Collectio sententiarum Sinensium, magnopere in cultura tradita.</v>
      </c>
      <c r="J1125" t="str">
        <f>_xlfn.XLOOKUP(frasest[[#This Row],[author_es]],autorest[author_es],autorest[iso3691])</f>
        <v>zh</v>
      </c>
      <c r="K1125" t="str">
        <f>_xlfn.XLOOKUP(frasest[[#This Row],[author_es]],autorest[author_es],autorest[language_es])</f>
        <v>Chino</v>
      </c>
      <c r="L1125" t="str">
        <f>_xlfn.XLOOKUP(frasest[[#This Row],[author_es]],autorest[author_es],autorest[language_la])</f>
        <v>Lingua Sinica</v>
      </c>
      <c r="M1125" t="str">
        <f>_xlfn.XLOOKUP(frasest[[#This Row],[author_es]],autorest[author_es],autorest[nation_es])</f>
        <v>China</v>
      </c>
      <c r="N1125" t="str">
        <f>_xlfn.XLOOKUP(frasest[[#This Row],[author_es]],autorest[author_es],autorest[nation_la])</f>
        <v>Sinae</v>
      </c>
      <c r="O1125" t="str">
        <f>_xlfn.XLOOKUP(frasest[[#This Row],[author_es]],autorest[author_es],autorest[age_es])</f>
        <v>Epoca Desconocida</v>
      </c>
      <c r="P1125" t="str">
        <f>_xlfn.XLOOKUP(frasest[[#This Row],[author_es]],autorest[author_es],autorest[age_la])</f>
        <v>Epocha Ignota</v>
      </c>
      <c r="Q1125" t="str">
        <f>_xlfn.XLOOKUP(frasest[[#This Row],[author_es]],autorest[author_es],autorest[image])</f>
        <v>https://i.ibb.co/qLfpZm6h/china.png</v>
      </c>
      <c r="R1125">
        <f>_xlfn.XLOOKUP(frasest[[#This Row],[author_es]],autorest[author_es],autorest[image_atr])</f>
        <v>0</v>
      </c>
    </row>
    <row r="1126" spans="1:18">
      <c r="A1126">
        <v>1125</v>
      </c>
      <c r="B1126" t="s">
        <v>3509</v>
      </c>
      <c r="C1126" t="s">
        <v>3510</v>
      </c>
      <c r="D1126" s="1" t="s">
        <v>3511</v>
      </c>
      <c r="E1126" t="s">
        <v>36</v>
      </c>
      <c r="G1126" t="str">
        <f>_xlfn.XLOOKUP(frasest[[#This Row],[author_es]],autorest[author_es],autorest[author_la])</f>
        <v>Proverbium Sinense</v>
      </c>
      <c r="H1126" t="str">
        <f>_xlfn.XLOOKUP(frasest[[#This Row],[author_es]],autorest[author_es],autorest[bio_es])</f>
        <v>Conjunto de proverbios tradicionales de la cultura china que transmiten sabiduría popular, valores morales y enseñanzas prácticas transmitidas oralmente durante siglos.</v>
      </c>
      <c r="I1126" t="str">
        <f>_xlfn.XLOOKUP(frasest[[#This Row],[author_es]],autorest[author_es],autorest[bio_la])</f>
        <v>Collectio sententiarum Sinensium, magnopere in cultura tradita.</v>
      </c>
      <c r="J1126" t="str">
        <f>_xlfn.XLOOKUP(frasest[[#This Row],[author_es]],autorest[author_es],autorest[iso3691])</f>
        <v>zh</v>
      </c>
      <c r="K1126" t="str">
        <f>_xlfn.XLOOKUP(frasest[[#This Row],[author_es]],autorest[author_es],autorest[language_es])</f>
        <v>Chino</v>
      </c>
      <c r="L1126" t="str">
        <f>_xlfn.XLOOKUP(frasest[[#This Row],[author_es]],autorest[author_es],autorest[language_la])</f>
        <v>Lingua Sinica</v>
      </c>
      <c r="M1126" t="str">
        <f>_xlfn.XLOOKUP(frasest[[#This Row],[author_es]],autorest[author_es],autorest[nation_es])</f>
        <v>China</v>
      </c>
      <c r="N1126" t="str">
        <f>_xlfn.XLOOKUP(frasest[[#This Row],[author_es]],autorest[author_es],autorest[nation_la])</f>
        <v>Sinae</v>
      </c>
      <c r="O1126" t="str">
        <f>_xlfn.XLOOKUP(frasest[[#This Row],[author_es]],autorest[author_es],autorest[age_es])</f>
        <v>Epoca Desconocida</v>
      </c>
      <c r="P1126" t="str">
        <f>_xlfn.XLOOKUP(frasest[[#This Row],[author_es]],autorest[author_es],autorest[age_la])</f>
        <v>Epocha Ignota</v>
      </c>
      <c r="Q1126" t="str">
        <f>_xlfn.XLOOKUP(frasest[[#This Row],[author_es]],autorest[author_es],autorest[image])</f>
        <v>https://i.ibb.co/qLfpZm6h/china.png</v>
      </c>
      <c r="R1126">
        <f>_xlfn.XLOOKUP(frasest[[#This Row],[author_es]],autorest[author_es],autorest[image_atr])</f>
        <v>0</v>
      </c>
    </row>
    <row r="1127" spans="1:18">
      <c r="A1127">
        <v>1126</v>
      </c>
      <c r="B1127" t="s">
        <v>3512</v>
      </c>
      <c r="C1127" t="s">
        <v>3513</v>
      </c>
      <c r="D1127" s="1" t="s">
        <v>3514</v>
      </c>
      <c r="E1127" t="s">
        <v>36</v>
      </c>
      <c r="G1127" t="str">
        <f>_xlfn.XLOOKUP(frasest[[#This Row],[author_es]],autorest[author_es],autorest[author_la])</f>
        <v>Proverbium Sinense</v>
      </c>
      <c r="H1127" t="str">
        <f>_xlfn.XLOOKUP(frasest[[#This Row],[author_es]],autorest[author_es],autorest[bio_es])</f>
        <v>Conjunto de proverbios tradicionales de la cultura china que transmiten sabiduría popular, valores morales y enseñanzas prácticas transmitidas oralmente durante siglos.</v>
      </c>
      <c r="I1127" t="str">
        <f>_xlfn.XLOOKUP(frasest[[#This Row],[author_es]],autorest[author_es],autorest[bio_la])</f>
        <v>Collectio sententiarum Sinensium, magnopere in cultura tradita.</v>
      </c>
      <c r="J1127" t="str">
        <f>_xlfn.XLOOKUP(frasest[[#This Row],[author_es]],autorest[author_es],autorest[iso3691])</f>
        <v>zh</v>
      </c>
      <c r="K1127" t="str">
        <f>_xlfn.XLOOKUP(frasest[[#This Row],[author_es]],autorest[author_es],autorest[language_es])</f>
        <v>Chino</v>
      </c>
      <c r="L1127" t="str">
        <f>_xlfn.XLOOKUP(frasest[[#This Row],[author_es]],autorest[author_es],autorest[language_la])</f>
        <v>Lingua Sinica</v>
      </c>
      <c r="M1127" t="str">
        <f>_xlfn.XLOOKUP(frasest[[#This Row],[author_es]],autorest[author_es],autorest[nation_es])</f>
        <v>China</v>
      </c>
      <c r="N1127" t="str">
        <f>_xlfn.XLOOKUP(frasest[[#This Row],[author_es]],autorest[author_es],autorest[nation_la])</f>
        <v>Sinae</v>
      </c>
      <c r="O1127" t="str">
        <f>_xlfn.XLOOKUP(frasest[[#This Row],[author_es]],autorest[author_es],autorest[age_es])</f>
        <v>Epoca Desconocida</v>
      </c>
      <c r="P1127" t="str">
        <f>_xlfn.XLOOKUP(frasest[[#This Row],[author_es]],autorest[author_es],autorest[age_la])</f>
        <v>Epocha Ignota</v>
      </c>
      <c r="Q1127" t="str">
        <f>_xlfn.XLOOKUP(frasest[[#This Row],[author_es]],autorest[author_es],autorest[image])</f>
        <v>https://i.ibb.co/qLfpZm6h/china.png</v>
      </c>
      <c r="R1127">
        <f>_xlfn.XLOOKUP(frasest[[#This Row],[author_es]],autorest[author_es],autorest[image_atr])</f>
        <v>0</v>
      </c>
    </row>
    <row r="1128" spans="1:18">
      <c r="A1128">
        <v>1127</v>
      </c>
      <c r="B1128" t="s">
        <v>3515</v>
      </c>
      <c r="C1128" t="s">
        <v>3516</v>
      </c>
      <c r="D1128" s="1" t="s">
        <v>3517</v>
      </c>
      <c r="E1128" t="s">
        <v>36</v>
      </c>
      <c r="G1128" t="str">
        <f>_xlfn.XLOOKUP(frasest[[#This Row],[author_es]],autorest[author_es],autorest[author_la])</f>
        <v>Proverbium Sinense</v>
      </c>
      <c r="H1128" t="str">
        <f>_xlfn.XLOOKUP(frasest[[#This Row],[author_es]],autorest[author_es],autorest[bio_es])</f>
        <v>Conjunto de proverbios tradicionales de la cultura china que transmiten sabiduría popular, valores morales y enseñanzas prácticas transmitidas oralmente durante siglos.</v>
      </c>
      <c r="I1128" t="str">
        <f>_xlfn.XLOOKUP(frasest[[#This Row],[author_es]],autorest[author_es],autorest[bio_la])</f>
        <v>Collectio sententiarum Sinensium, magnopere in cultura tradita.</v>
      </c>
      <c r="J1128" t="str">
        <f>_xlfn.XLOOKUP(frasest[[#This Row],[author_es]],autorest[author_es],autorest[iso3691])</f>
        <v>zh</v>
      </c>
      <c r="K1128" t="str">
        <f>_xlfn.XLOOKUP(frasest[[#This Row],[author_es]],autorest[author_es],autorest[language_es])</f>
        <v>Chino</v>
      </c>
      <c r="L1128" t="str">
        <f>_xlfn.XLOOKUP(frasest[[#This Row],[author_es]],autorest[author_es],autorest[language_la])</f>
        <v>Lingua Sinica</v>
      </c>
      <c r="M1128" t="str">
        <f>_xlfn.XLOOKUP(frasest[[#This Row],[author_es]],autorest[author_es],autorest[nation_es])</f>
        <v>China</v>
      </c>
      <c r="N1128" t="str">
        <f>_xlfn.XLOOKUP(frasest[[#This Row],[author_es]],autorest[author_es],autorest[nation_la])</f>
        <v>Sinae</v>
      </c>
      <c r="O1128" t="str">
        <f>_xlfn.XLOOKUP(frasest[[#This Row],[author_es]],autorest[author_es],autorest[age_es])</f>
        <v>Epoca Desconocida</v>
      </c>
      <c r="P1128" t="str">
        <f>_xlfn.XLOOKUP(frasest[[#This Row],[author_es]],autorest[author_es],autorest[age_la])</f>
        <v>Epocha Ignota</v>
      </c>
      <c r="Q1128" t="str">
        <f>_xlfn.XLOOKUP(frasest[[#This Row],[author_es]],autorest[author_es],autorest[image])</f>
        <v>https://i.ibb.co/qLfpZm6h/china.png</v>
      </c>
      <c r="R1128">
        <f>_xlfn.XLOOKUP(frasest[[#This Row],[author_es]],autorest[author_es],autorest[image_atr])</f>
        <v>0</v>
      </c>
    </row>
    <row r="1129" spans="1:18">
      <c r="A1129">
        <v>1128</v>
      </c>
      <c r="B1129" t="s">
        <v>3518</v>
      </c>
      <c r="C1129" t="s">
        <v>3519</v>
      </c>
      <c r="D1129" s="1" t="s">
        <v>3520</v>
      </c>
      <c r="E1129" t="s">
        <v>36</v>
      </c>
      <c r="G1129" t="str">
        <f>_xlfn.XLOOKUP(frasest[[#This Row],[author_es]],autorest[author_es],autorest[author_la])</f>
        <v>Proverbium Sinense</v>
      </c>
      <c r="H1129" t="str">
        <f>_xlfn.XLOOKUP(frasest[[#This Row],[author_es]],autorest[author_es],autorest[bio_es])</f>
        <v>Conjunto de proverbios tradicionales de la cultura china que transmiten sabiduría popular, valores morales y enseñanzas prácticas transmitidas oralmente durante siglos.</v>
      </c>
      <c r="I1129" t="str">
        <f>_xlfn.XLOOKUP(frasest[[#This Row],[author_es]],autorest[author_es],autorest[bio_la])</f>
        <v>Collectio sententiarum Sinensium, magnopere in cultura tradita.</v>
      </c>
      <c r="J1129" t="str">
        <f>_xlfn.XLOOKUP(frasest[[#This Row],[author_es]],autorest[author_es],autorest[iso3691])</f>
        <v>zh</v>
      </c>
      <c r="K1129" t="str">
        <f>_xlfn.XLOOKUP(frasest[[#This Row],[author_es]],autorest[author_es],autorest[language_es])</f>
        <v>Chino</v>
      </c>
      <c r="L1129" t="str">
        <f>_xlfn.XLOOKUP(frasest[[#This Row],[author_es]],autorest[author_es],autorest[language_la])</f>
        <v>Lingua Sinica</v>
      </c>
      <c r="M1129" t="str">
        <f>_xlfn.XLOOKUP(frasest[[#This Row],[author_es]],autorest[author_es],autorest[nation_es])</f>
        <v>China</v>
      </c>
      <c r="N1129" t="str">
        <f>_xlfn.XLOOKUP(frasest[[#This Row],[author_es]],autorest[author_es],autorest[nation_la])</f>
        <v>Sinae</v>
      </c>
      <c r="O1129" t="str">
        <f>_xlfn.XLOOKUP(frasest[[#This Row],[author_es]],autorest[author_es],autorest[age_es])</f>
        <v>Epoca Desconocida</v>
      </c>
      <c r="P1129" t="str">
        <f>_xlfn.XLOOKUP(frasest[[#This Row],[author_es]],autorest[author_es],autorest[age_la])</f>
        <v>Epocha Ignota</v>
      </c>
      <c r="Q1129" t="str">
        <f>_xlfn.XLOOKUP(frasest[[#This Row],[author_es]],autorest[author_es],autorest[image])</f>
        <v>https://i.ibb.co/qLfpZm6h/china.png</v>
      </c>
      <c r="R1129">
        <f>_xlfn.XLOOKUP(frasest[[#This Row],[author_es]],autorest[author_es],autorest[image_atr])</f>
        <v>0</v>
      </c>
    </row>
    <row r="1130" spans="1:18">
      <c r="A1130">
        <v>1129</v>
      </c>
      <c r="B1130" t="s">
        <v>3521</v>
      </c>
      <c r="C1130" t="s">
        <v>3522</v>
      </c>
      <c r="D1130" s="1" t="s">
        <v>3523</v>
      </c>
      <c r="E1130" t="s">
        <v>36</v>
      </c>
      <c r="G1130" t="str">
        <f>_xlfn.XLOOKUP(frasest[[#This Row],[author_es]],autorest[author_es],autorest[author_la])</f>
        <v>Proverbium Sinense</v>
      </c>
      <c r="H1130" t="str">
        <f>_xlfn.XLOOKUP(frasest[[#This Row],[author_es]],autorest[author_es],autorest[bio_es])</f>
        <v>Conjunto de proverbios tradicionales de la cultura china que transmiten sabiduría popular, valores morales y enseñanzas prácticas transmitidas oralmente durante siglos.</v>
      </c>
      <c r="I1130" t="str">
        <f>_xlfn.XLOOKUP(frasest[[#This Row],[author_es]],autorest[author_es],autorest[bio_la])</f>
        <v>Collectio sententiarum Sinensium, magnopere in cultura tradita.</v>
      </c>
      <c r="J1130" t="str">
        <f>_xlfn.XLOOKUP(frasest[[#This Row],[author_es]],autorest[author_es],autorest[iso3691])</f>
        <v>zh</v>
      </c>
      <c r="K1130" t="str">
        <f>_xlfn.XLOOKUP(frasest[[#This Row],[author_es]],autorest[author_es],autorest[language_es])</f>
        <v>Chino</v>
      </c>
      <c r="L1130" t="str">
        <f>_xlfn.XLOOKUP(frasest[[#This Row],[author_es]],autorest[author_es],autorest[language_la])</f>
        <v>Lingua Sinica</v>
      </c>
      <c r="M1130" t="str">
        <f>_xlfn.XLOOKUP(frasest[[#This Row],[author_es]],autorest[author_es],autorest[nation_es])</f>
        <v>China</v>
      </c>
      <c r="N1130" t="str">
        <f>_xlfn.XLOOKUP(frasest[[#This Row],[author_es]],autorest[author_es],autorest[nation_la])</f>
        <v>Sinae</v>
      </c>
      <c r="O1130" t="str">
        <f>_xlfn.XLOOKUP(frasest[[#This Row],[author_es]],autorest[author_es],autorest[age_es])</f>
        <v>Epoca Desconocida</v>
      </c>
      <c r="P1130" t="str">
        <f>_xlfn.XLOOKUP(frasest[[#This Row],[author_es]],autorest[author_es],autorest[age_la])</f>
        <v>Epocha Ignota</v>
      </c>
      <c r="Q1130" t="str">
        <f>_xlfn.XLOOKUP(frasest[[#This Row],[author_es]],autorest[author_es],autorest[image])</f>
        <v>https://i.ibb.co/qLfpZm6h/china.png</v>
      </c>
      <c r="R1130">
        <f>_xlfn.XLOOKUP(frasest[[#This Row],[author_es]],autorest[author_es],autorest[image_atr])</f>
        <v>0</v>
      </c>
    </row>
    <row r="1131" spans="1:18">
      <c r="A1131">
        <v>1130</v>
      </c>
      <c r="B1131" t="s">
        <v>3524</v>
      </c>
      <c r="C1131" t="s">
        <v>3525</v>
      </c>
      <c r="D1131" s="1" t="s">
        <v>3526</v>
      </c>
      <c r="E1131" t="s">
        <v>36</v>
      </c>
      <c r="G1131" t="str">
        <f>_xlfn.XLOOKUP(frasest[[#This Row],[author_es]],autorest[author_es],autorest[author_la])</f>
        <v>Proverbium Sinense</v>
      </c>
      <c r="H1131" t="str">
        <f>_xlfn.XLOOKUP(frasest[[#This Row],[author_es]],autorest[author_es],autorest[bio_es])</f>
        <v>Conjunto de proverbios tradicionales de la cultura china que transmiten sabiduría popular, valores morales y enseñanzas prácticas transmitidas oralmente durante siglos.</v>
      </c>
      <c r="I1131" t="str">
        <f>_xlfn.XLOOKUP(frasest[[#This Row],[author_es]],autorest[author_es],autorest[bio_la])</f>
        <v>Collectio sententiarum Sinensium, magnopere in cultura tradita.</v>
      </c>
      <c r="J1131" t="str">
        <f>_xlfn.XLOOKUP(frasest[[#This Row],[author_es]],autorest[author_es],autorest[iso3691])</f>
        <v>zh</v>
      </c>
      <c r="K1131" t="str">
        <f>_xlfn.XLOOKUP(frasest[[#This Row],[author_es]],autorest[author_es],autorest[language_es])</f>
        <v>Chino</v>
      </c>
      <c r="L1131" t="str">
        <f>_xlfn.XLOOKUP(frasest[[#This Row],[author_es]],autorest[author_es],autorest[language_la])</f>
        <v>Lingua Sinica</v>
      </c>
      <c r="M1131" t="str">
        <f>_xlfn.XLOOKUP(frasest[[#This Row],[author_es]],autorest[author_es],autorest[nation_es])</f>
        <v>China</v>
      </c>
      <c r="N1131" t="str">
        <f>_xlfn.XLOOKUP(frasest[[#This Row],[author_es]],autorest[author_es],autorest[nation_la])</f>
        <v>Sinae</v>
      </c>
      <c r="O1131" t="str">
        <f>_xlfn.XLOOKUP(frasest[[#This Row],[author_es]],autorest[author_es],autorest[age_es])</f>
        <v>Epoca Desconocida</v>
      </c>
      <c r="P1131" t="str">
        <f>_xlfn.XLOOKUP(frasest[[#This Row],[author_es]],autorest[author_es],autorest[age_la])</f>
        <v>Epocha Ignota</v>
      </c>
      <c r="Q1131" t="str">
        <f>_xlfn.XLOOKUP(frasest[[#This Row],[author_es]],autorest[author_es],autorest[image])</f>
        <v>https://i.ibb.co/qLfpZm6h/china.png</v>
      </c>
      <c r="R1131">
        <f>_xlfn.XLOOKUP(frasest[[#This Row],[author_es]],autorest[author_es],autorest[image_atr])</f>
        <v>0</v>
      </c>
    </row>
    <row r="1132" spans="1:18">
      <c r="A1132">
        <v>1131</v>
      </c>
      <c r="B1132" t="s">
        <v>3527</v>
      </c>
      <c r="C1132" t="s">
        <v>3528</v>
      </c>
      <c r="D1132" s="1" t="s">
        <v>3529</v>
      </c>
      <c r="E1132" t="s">
        <v>36</v>
      </c>
      <c r="G1132" t="str">
        <f>_xlfn.XLOOKUP(frasest[[#This Row],[author_es]],autorest[author_es],autorest[author_la])</f>
        <v>Proverbium Sinense</v>
      </c>
      <c r="H1132" t="str">
        <f>_xlfn.XLOOKUP(frasest[[#This Row],[author_es]],autorest[author_es],autorest[bio_es])</f>
        <v>Conjunto de proverbios tradicionales de la cultura china que transmiten sabiduría popular, valores morales y enseñanzas prácticas transmitidas oralmente durante siglos.</v>
      </c>
      <c r="I1132" t="str">
        <f>_xlfn.XLOOKUP(frasest[[#This Row],[author_es]],autorest[author_es],autorest[bio_la])</f>
        <v>Collectio sententiarum Sinensium, magnopere in cultura tradita.</v>
      </c>
      <c r="J1132" t="str">
        <f>_xlfn.XLOOKUP(frasest[[#This Row],[author_es]],autorest[author_es],autorest[iso3691])</f>
        <v>zh</v>
      </c>
      <c r="K1132" t="str">
        <f>_xlfn.XLOOKUP(frasest[[#This Row],[author_es]],autorest[author_es],autorest[language_es])</f>
        <v>Chino</v>
      </c>
      <c r="L1132" t="str">
        <f>_xlfn.XLOOKUP(frasest[[#This Row],[author_es]],autorest[author_es],autorest[language_la])</f>
        <v>Lingua Sinica</v>
      </c>
      <c r="M1132" t="str">
        <f>_xlfn.XLOOKUP(frasest[[#This Row],[author_es]],autorest[author_es],autorest[nation_es])</f>
        <v>China</v>
      </c>
      <c r="N1132" t="str">
        <f>_xlfn.XLOOKUP(frasest[[#This Row],[author_es]],autorest[author_es],autorest[nation_la])</f>
        <v>Sinae</v>
      </c>
      <c r="O1132" t="str">
        <f>_xlfn.XLOOKUP(frasest[[#This Row],[author_es]],autorest[author_es],autorest[age_es])</f>
        <v>Epoca Desconocida</v>
      </c>
      <c r="P1132" t="str">
        <f>_xlfn.XLOOKUP(frasest[[#This Row],[author_es]],autorest[author_es],autorest[age_la])</f>
        <v>Epocha Ignota</v>
      </c>
      <c r="Q1132" t="str">
        <f>_xlfn.XLOOKUP(frasest[[#This Row],[author_es]],autorest[author_es],autorest[image])</f>
        <v>https://i.ibb.co/qLfpZm6h/china.png</v>
      </c>
      <c r="R1132">
        <f>_xlfn.XLOOKUP(frasest[[#This Row],[author_es]],autorest[author_es],autorest[image_atr])</f>
        <v>0</v>
      </c>
    </row>
    <row r="1133" spans="1:18">
      <c r="A1133">
        <v>1132</v>
      </c>
      <c r="B1133" t="s">
        <v>3530</v>
      </c>
      <c r="C1133" t="s">
        <v>3531</v>
      </c>
      <c r="D1133" s="1" t="s">
        <v>3532</v>
      </c>
      <c r="E1133" t="s">
        <v>36</v>
      </c>
      <c r="G1133" t="str">
        <f>_xlfn.XLOOKUP(frasest[[#This Row],[author_es]],autorest[author_es],autorest[author_la])</f>
        <v>Proverbium Sinense</v>
      </c>
      <c r="H1133" t="str">
        <f>_xlfn.XLOOKUP(frasest[[#This Row],[author_es]],autorest[author_es],autorest[bio_es])</f>
        <v>Conjunto de proverbios tradicionales de la cultura china que transmiten sabiduría popular, valores morales y enseñanzas prácticas transmitidas oralmente durante siglos.</v>
      </c>
      <c r="I1133" t="str">
        <f>_xlfn.XLOOKUP(frasest[[#This Row],[author_es]],autorest[author_es],autorest[bio_la])</f>
        <v>Collectio sententiarum Sinensium, magnopere in cultura tradita.</v>
      </c>
      <c r="J1133" t="str">
        <f>_xlfn.XLOOKUP(frasest[[#This Row],[author_es]],autorest[author_es],autorest[iso3691])</f>
        <v>zh</v>
      </c>
      <c r="K1133" t="str">
        <f>_xlfn.XLOOKUP(frasest[[#This Row],[author_es]],autorest[author_es],autorest[language_es])</f>
        <v>Chino</v>
      </c>
      <c r="L1133" t="str">
        <f>_xlfn.XLOOKUP(frasest[[#This Row],[author_es]],autorest[author_es],autorest[language_la])</f>
        <v>Lingua Sinica</v>
      </c>
      <c r="M1133" t="str">
        <f>_xlfn.XLOOKUP(frasest[[#This Row],[author_es]],autorest[author_es],autorest[nation_es])</f>
        <v>China</v>
      </c>
      <c r="N1133" t="str">
        <f>_xlfn.XLOOKUP(frasest[[#This Row],[author_es]],autorest[author_es],autorest[nation_la])</f>
        <v>Sinae</v>
      </c>
      <c r="O1133" t="str">
        <f>_xlfn.XLOOKUP(frasest[[#This Row],[author_es]],autorest[author_es],autorest[age_es])</f>
        <v>Epoca Desconocida</v>
      </c>
      <c r="P1133" t="str">
        <f>_xlfn.XLOOKUP(frasest[[#This Row],[author_es]],autorest[author_es],autorest[age_la])</f>
        <v>Epocha Ignota</v>
      </c>
      <c r="Q1133" t="str">
        <f>_xlfn.XLOOKUP(frasest[[#This Row],[author_es]],autorest[author_es],autorest[image])</f>
        <v>https://i.ibb.co/qLfpZm6h/china.png</v>
      </c>
      <c r="R1133">
        <f>_xlfn.XLOOKUP(frasest[[#This Row],[author_es]],autorest[author_es],autorest[image_atr])</f>
        <v>0</v>
      </c>
    </row>
    <row r="1134" spans="1:18">
      <c r="A1134">
        <v>1133</v>
      </c>
      <c r="B1134" t="s">
        <v>3533</v>
      </c>
      <c r="C1134" t="s">
        <v>3534</v>
      </c>
      <c r="D1134" s="1" t="s">
        <v>3535</v>
      </c>
      <c r="E1134" t="s">
        <v>36</v>
      </c>
      <c r="G1134" t="str">
        <f>_xlfn.XLOOKUP(frasest[[#This Row],[author_es]],autorest[author_es],autorest[author_la])</f>
        <v>Proverbium Sinense</v>
      </c>
      <c r="H1134" t="str">
        <f>_xlfn.XLOOKUP(frasest[[#This Row],[author_es]],autorest[author_es],autorest[bio_es])</f>
        <v>Conjunto de proverbios tradicionales de la cultura china que transmiten sabiduría popular, valores morales y enseñanzas prácticas transmitidas oralmente durante siglos.</v>
      </c>
      <c r="I1134" t="str">
        <f>_xlfn.XLOOKUP(frasest[[#This Row],[author_es]],autorest[author_es],autorest[bio_la])</f>
        <v>Collectio sententiarum Sinensium, magnopere in cultura tradita.</v>
      </c>
      <c r="J1134" t="str">
        <f>_xlfn.XLOOKUP(frasest[[#This Row],[author_es]],autorest[author_es],autorest[iso3691])</f>
        <v>zh</v>
      </c>
      <c r="K1134" t="str">
        <f>_xlfn.XLOOKUP(frasest[[#This Row],[author_es]],autorest[author_es],autorest[language_es])</f>
        <v>Chino</v>
      </c>
      <c r="L1134" t="str">
        <f>_xlfn.XLOOKUP(frasest[[#This Row],[author_es]],autorest[author_es],autorest[language_la])</f>
        <v>Lingua Sinica</v>
      </c>
      <c r="M1134" t="str">
        <f>_xlfn.XLOOKUP(frasest[[#This Row],[author_es]],autorest[author_es],autorest[nation_es])</f>
        <v>China</v>
      </c>
      <c r="N1134" t="str">
        <f>_xlfn.XLOOKUP(frasest[[#This Row],[author_es]],autorest[author_es],autorest[nation_la])</f>
        <v>Sinae</v>
      </c>
      <c r="O1134" t="str">
        <f>_xlfn.XLOOKUP(frasest[[#This Row],[author_es]],autorest[author_es],autorest[age_es])</f>
        <v>Epoca Desconocida</v>
      </c>
      <c r="P1134" t="str">
        <f>_xlfn.XLOOKUP(frasest[[#This Row],[author_es]],autorest[author_es],autorest[age_la])</f>
        <v>Epocha Ignota</v>
      </c>
      <c r="Q1134" t="str">
        <f>_xlfn.XLOOKUP(frasest[[#This Row],[author_es]],autorest[author_es],autorest[image])</f>
        <v>https://i.ibb.co/qLfpZm6h/china.png</v>
      </c>
      <c r="R1134">
        <f>_xlfn.XLOOKUP(frasest[[#This Row],[author_es]],autorest[author_es],autorest[image_atr])</f>
        <v>0</v>
      </c>
    </row>
    <row r="1135" spans="1:18">
      <c r="A1135">
        <v>1134</v>
      </c>
      <c r="B1135" t="s">
        <v>3536</v>
      </c>
      <c r="C1135" t="s">
        <v>3537</v>
      </c>
      <c r="D1135" s="1" t="s">
        <v>3538</v>
      </c>
      <c r="E1135" t="s">
        <v>36</v>
      </c>
      <c r="G1135" t="str">
        <f>_xlfn.XLOOKUP(frasest[[#This Row],[author_es]],autorest[author_es],autorest[author_la])</f>
        <v>Proverbium Sinense</v>
      </c>
      <c r="H1135" t="str">
        <f>_xlfn.XLOOKUP(frasest[[#This Row],[author_es]],autorest[author_es],autorest[bio_es])</f>
        <v>Conjunto de proverbios tradicionales de la cultura china que transmiten sabiduría popular, valores morales y enseñanzas prácticas transmitidas oralmente durante siglos.</v>
      </c>
      <c r="I1135" t="str">
        <f>_xlfn.XLOOKUP(frasest[[#This Row],[author_es]],autorest[author_es],autorest[bio_la])</f>
        <v>Collectio sententiarum Sinensium, magnopere in cultura tradita.</v>
      </c>
      <c r="J1135" t="str">
        <f>_xlfn.XLOOKUP(frasest[[#This Row],[author_es]],autorest[author_es],autorest[iso3691])</f>
        <v>zh</v>
      </c>
      <c r="K1135" t="str">
        <f>_xlfn.XLOOKUP(frasest[[#This Row],[author_es]],autorest[author_es],autorest[language_es])</f>
        <v>Chino</v>
      </c>
      <c r="L1135" t="str">
        <f>_xlfn.XLOOKUP(frasest[[#This Row],[author_es]],autorest[author_es],autorest[language_la])</f>
        <v>Lingua Sinica</v>
      </c>
      <c r="M1135" t="str">
        <f>_xlfn.XLOOKUP(frasest[[#This Row],[author_es]],autorest[author_es],autorest[nation_es])</f>
        <v>China</v>
      </c>
      <c r="N1135" t="str">
        <f>_xlfn.XLOOKUP(frasest[[#This Row],[author_es]],autorest[author_es],autorest[nation_la])</f>
        <v>Sinae</v>
      </c>
      <c r="O1135" t="str">
        <f>_xlfn.XLOOKUP(frasest[[#This Row],[author_es]],autorest[author_es],autorest[age_es])</f>
        <v>Epoca Desconocida</v>
      </c>
      <c r="P1135" t="str">
        <f>_xlfn.XLOOKUP(frasest[[#This Row],[author_es]],autorest[author_es],autorest[age_la])</f>
        <v>Epocha Ignota</v>
      </c>
      <c r="Q1135" t="str">
        <f>_xlfn.XLOOKUP(frasest[[#This Row],[author_es]],autorest[author_es],autorest[image])</f>
        <v>https://i.ibb.co/qLfpZm6h/china.png</v>
      </c>
      <c r="R1135">
        <f>_xlfn.XLOOKUP(frasest[[#This Row],[author_es]],autorest[author_es],autorest[image_atr])</f>
        <v>0</v>
      </c>
    </row>
    <row r="1136" spans="1:18">
      <c r="A1136">
        <v>1135</v>
      </c>
      <c r="B1136" t="s">
        <v>3539</v>
      </c>
      <c r="C1136" t="s">
        <v>3540</v>
      </c>
      <c r="D1136" s="1" t="s">
        <v>3541</v>
      </c>
      <c r="E1136" t="s">
        <v>36</v>
      </c>
      <c r="G1136" t="str">
        <f>_xlfn.XLOOKUP(frasest[[#This Row],[author_es]],autorest[author_es],autorest[author_la])</f>
        <v>Proverbium Sinense</v>
      </c>
      <c r="H1136" t="str">
        <f>_xlfn.XLOOKUP(frasest[[#This Row],[author_es]],autorest[author_es],autorest[bio_es])</f>
        <v>Conjunto de proverbios tradicionales de la cultura china que transmiten sabiduría popular, valores morales y enseñanzas prácticas transmitidas oralmente durante siglos.</v>
      </c>
      <c r="I1136" t="str">
        <f>_xlfn.XLOOKUP(frasest[[#This Row],[author_es]],autorest[author_es],autorest[bio_la])</f>
        <v>Collectio sententiarum Sinensium, magnopere in cultura tradita.</v>
      </c>
      <c r="J1136" t="str">
        <f>_xlfn.XLOOKUP(frasest[[#This Row],[author_es]],autorest[author_es],autorest[iso3691])</f>
        <v>zh</v>
      </c>
      <c r="K1136" t="str">
        <f>_xlfn.XLOOKUP(frasest[[#This Row],[author_es]],autorest[author_es],autorest[language_es])</f>
        <v>Chino</v>
      </c>
      <c r="L1136" t="str">
        <f>_xlfn.XLOOKUP(frasest[[#This Row],[author_es]],autorest[author_es],autorest[language_la])</f>
        <v>Lingua Sinica</v>
      </c>
      <c r="M1136" t="str">
        <f>_xlfn.XLOOKUP(frasest[[#This Row],[author_es]],autorest[author_es],autorest[nation_es])</f>
        <v>China</v>
      </c>
      <c r="N1136" t="str">
        <f>_xlfn.XLOOKUP(frasest[[#This Row],[author_es]],autorest[author_es],autorest[nation_la])</f>
        <v>Sinae</v>
      </c>
      <c r="O1136" t="str">
        <f>_xlfn.XLOOKUP(frasest[[#This Row],[author_es]],autorest[author_es],autorest[age_es])</f>
        <v>Epoca Desconocida</v>
      </c>
      <c r="P1136" t="str">
        <f>_xlfn.XLOOKUP(frasest[[#This Row],[author_es]],autorest[author_es],autorest[age_la])</f>
        <v>Epocha Ignota</v>
      </c>
      <c r="Q1136" t="str">
        <f>_xlfn.XLOOKUP(frasest[[#This Row],[author_es]],autorest[author_es],autorest[image])</f>
        <v>https://i.ibb.co/qLfpZm6h/china.png</v>
      </c>
      <c r="R1136">
        <f>_xlfn.XLOOKUP(frasest[[#This Row],[author_es]],autorest[author_es],autorest[image_atr])</f>
        <v>0</v>
      </c>
    </row>
    <row r="1137" spans="1:18">
      <c r="A1137">
        <v>1136</v>
      </c>
      <c r="B1137" t="s">
        <v>3542</v>
      </c>
      <c r="C1137" t="s">
        <v>3543</v>
      </c>
      <c r="D1137" s="1" t="s">
        <v>3544</v>
      </c>
      <c r="E1137" t="s">
        <v>36</v>
      </c>
      <c r="G1137" t="str">
        <f>_xlfn.XLOOKUP(frasest[[#This Row],[author_es]],autorest[author_es],autorest[author_la])</f>
        <v>Proverbium Sinense</v>
      </c>
      <c r="H1137" t="str">
        <f>_xlfn.XLOOKUP(frasest[[#This Row],[author_es]],autorest[author_es],autorest[bio_es])</f>
        <v>Conjunto de proverbios tradicionales de la cultura china que transmiten sabiduría popular, valores morales y enseñanzas prácticas transmitidas oralmente durante siglos.</v>
      </c>
      <c r="I1137" t="str">
        <f>_xlfn.XLOOKUP(frasest[[#This Row],[author_es]],autorest[author_es],autorest[bio_la])</f>
        <v>Collectio sententiarum Sinensium, magnopere in cultura tradita.</v>
      </c>
      <c r="J1137" t="str">
        <f>_xlfn.XLOOKUP(frasest[[#This Row],[author_es]],autorest[author_es],autorest[iso3691])</f>
        <v>zh</v>
      </c>
      <c r="K1137" t="str">
        <f>_xlfn.XLOOKUP(frasest[[#This Row],[author_es]],autorest[author_es],autorest[language_es])</f>
        <v>Chino</v>
      </c>
      <c r="L1137" t="str">
        <f>_xlfn.XLOOKUP(frasest[[#This Row],[author_es]],autorest[author_es],autorest[language_la])</f>
        <v>Lingua Sinica</v>
      </c>
      <c r="M1137" t="str">
        <f>_xlfn.XLOOKUP(frasest[[#This Row],[author_es]],autorest[author_es],autorest[nation_es])</f>
        <v>China</v>
      </c>
      <c r="N1137" t="str">
        <f>_xlfn.XLOOKUP(frasest[[#This Row],[author_es]],autorest[author_es],autorest[nation_la])</f>
        <v>Sinae</v>
      </c>
      <c r="O1137" t="str">
        <f>_xlfn.XLOOKUP(frasest[[#This Row],[author_es]],autorest[author_es],autorest[age_es])</f>
        <v>Epoca Desconocida</v>
      </c>
      <c r="P1137" t="str">
        <f>_xlfn.XLOOKUP(frasest[[#This Row],[author_es]],autorest[author_es],autorest[age_la])</f>
        <v>Epocha Ignota</v>
      </c>
      <c r="Q1137" t="str">
        <f>_xlfn.XLOOKUP(frasest[[#This Row],[author_es]],autorest[author_es],autorest[image])</f>
        <v>https://i.ibb.co/qLfpZm6h/china.png</v>
      </c>
      <c r="R1137">
        <f>_xlfn.XLOOKUP(frasest[[#This Row],[author_es]],autorest[author_es],autorest[image_atr])</f>
        <v>0</v>
      </c>
    </row>
    <row r="1138" spans="1:18">
      <c r="A1138">
        <v>1137</v>
      </c>
      <c r="B1138" t="s">
        <v>3545</v>
      </c>
      <c r="C1138" t="s">
        <v>3546</v>
      </c>
      <c r="D1138" s="1" t="s">
        <v>3547</v>
      </c>
      <c r="E1138" t="s">
        <v>36</v>
      </c>
      <c r="G1138" t="str">
        <f>_xlfn.XLOOKUP(frasest[[#This Row],[author_es]],autorest[author_es],autorest[author_la])</f>
        <v>Proverbium Sinense</v>
      </c>
      <c r="H1138" t="str">
        <f>_xlfn.XLOOKUP(frasest[[#This Row],[author_es]],autorest[author_es],autorest[bio_es])</f>
        <v>Conjunto de proverbios tradicionales de la cultura china que transmiten sabiduría popular, valores morales y enseñanzas prácticas transmitidas oralmente durante siglos.</v>
      </c>
      <c r="I1138" t="str">
        <f>_xlfn.XLOOKUP(frasest[[#This Row],[author_es]],autorest[author_es],autorest[bio_la])</f>
        <v>Collectio sententiarum Sinensium, magnopere in cultura tradita.</v>
      </c>
      <c r="J1138" t="str">
        <f>_xlfn.XLOOKUP(frasest[[#This Row],[author_es]],autorest[author_es],autorest[iso3691])</f>
        <v>zh</v>
      </c>
      <c r="K1138" t="str">
        <f>_xlfn.XLOOKUP(frasest[[#This Row],[author_es]],autorest[author_es],autorest[language_es])</f>
        <v>Chino</v>
      </c>
      <c r="L1138" t="str">
        <f>_xlfn.XLOOKUP(frasest[[#This Row],[author_es]],autorest[author_es],autorest[language_la])</f>
        <v>Lingua Sinica</v>
      </c>
      <c r="M1138" t="str">
        <f>_xlfn.XLOOKUP(frasest[[#This Row],[author_es]],autorest[author_es],autorest[nation_es])</f>
        <v>China</v>
      </c>
      <c r="N1138" t="str">
        <f>_xlfn.XLOOKUP(frasest[[#This Row],[author_es]],autorest[author_es],autorest[nation_la])</f>
        <v>Sinae</v>
      </c>
      <c r="O1138" t="str">
        <f>_xlfn.XLOOKUP(frasest[[#This Row],[author_es]],autorest[author_es],autorest[age_es])</f>
        <v>Epoca Desconocida</v>
      </c>
      <c r="P1138" t="str">
        <f>_xlfn.XLOOKUP(frasest[[#This Row],[author_es]],autorest[author_es],autorest[age_la])</f>
        <v>Epocha Ignota</v>
      </c>
      <c r="Q1138" t="str">
        <f>_xlfn.XLOOKUP(frasest[[#This Row],[author_es]],autorest[author_es],autorest[image])</f>
        <v>https://i.ibb.co/qLfpZm6h/china.png</v>
      </c>
      <c r="R1138">
        <f>_xlfn.XLOOKUP(frasest[[#This Row],[author_es]],autorest[author_es],autorest[image_atr])</f>
        <v>0</v>
      </c>
    </row>
    <row r="1139" spans="1:18">
      <c r="A1139">
        <v>1138</v>
      </c>
      <c r="B1139" t="s">
        <v>3548</v>
      </c>
      <c r="C1139" t="s">
        <v>3549</v>
      </c>
      <c r="D1139" s="1" t="s">
        <v>3550</v>
      </c>
      <c r="E1139" t="s">
        <v>36</v>
      </c>
      <c r="G1139" t="str">
        <f>_xlfn.XLOOKUP(frasest[[#This Row],[author_es]],autorest[author_es],autorest[author_la])</f>
        <v>Proverbium Sinense</v>
      </c>
      <c r="H1139" t="str">
        <f>_xlfn.XLOOKUP(frasest[[#This Row],[author_es]],autorest[author_es],autorest[bio_es])</f>
        <v>Conjunto de proverbios tradicionales de la cultura china que transmiten sabiduría popular, valores morales y enseñanzas prácticas transmitidas oralmente durante siglos.</v>
      </c>
      <c r="I1139" t="str">
        <f>_xlfn.XLOOKUP(frasest[[#This Row],[author_es]],autorest[author_es],autorest[bio_la])</f>
        <v>Collectio sententiarum Sinensium, magnopere in cultura tradita.</v>
      </c>
      <c r="J1139" t="str">
        <f>_xlfn.XLOOKUP(frasest[[#This Row],[author_es]],autorest[author_es],autorest[iso3691])</f>
        <v>zh</v>
      </c>
      <c r="K1139" t="str">
        <f>_xlfn.XLOOKUP(frasest[[#This Row],[author_es]],autorest[author_es],autorest[language_es])</f>
        <v>Chino</v>
      </c>
      <c r="L1139" t="str">
        <f>_xlfn.XLOOKUP(frasest[[#This Row],[author_es]],autorest[author_es],autorest[language_la])</f>
        <v>Lingua Sinica</v>
      </c>
      <c r="M1139" t="str">
        <f>_xlfn.XLOOKUP(frasest[[#This Row],[author_es]],autorest[author_es],autorest[nation_es])</f>
        <v>China</v>
      </c>
      <c r="N1139" t="str">
        <f>_xlfn.XLOOKUP(frasest[[#This Row],[author_es]],autorest[author_es],autorest[nation_la])</f>
        <v>Sinae</v>
      </c>
      <c r="O1139" t="str">
        <f>_xlfn.XLOOKUP(frasest[[#This Row],[author_es]],autorest[author_es],autorest[age_es])</f>
        <v>Epoca Desconocida</v>
      </c>
      <c r="P1139" t="str">
        <f>_xlfn.XLOOKUP(frasest[[#This Row],[author_es]],autorest[author_es],autorest[age_la])</f>
        <v>Epocha Ignota</v>
      </c>
      <c r="Q1139" t="str">
        <f>_xlfn.XLOOKUP(frasest[[#This Row],[author_es]],autorest[author_es],autorest[image])</f>
        <v>https://i.ibb.co/qLfpZm6h/china.png</v>
      </c>
      <c r="R1139">
        <f>_xlfn.XLOOKUP(frasest[[#This Row],[author_es]],autorest[author_es],autorest[image_atr])</f>
        <v>0</v>
      </c>
    </row>
    <row r="1140" spans="1:18">
      <c r="A1140">
        <v>1139</v>
      </c>
      <c r="B1140" t="s">
        <v>3551</v>
      </c>
      <c r="C1140" t="s">
        <v>3552</v>
      </c>
      <c r="D1140" s="1" t="s">
        <v>3285</v>
      </c>
      <c r="E1140" t="s">
        <v>36</v>
      </c>
      <c r="G1140" t="str">
        <f>_xlfn.XLOOKUP(frasest[[#This Row],[author_es]],autorest[author_es],autorest[author_la])</f>
        <v>Proverbium Sinense</v>
      </c>
      <c r="H1140" t="str">
        <f>_xlfn.XLOOKUP(frasest[[#This Row],[author_es]],autorest[author_es],autorest[bio_es])</f>
        <v>Conjunto de proverbios tradicionales de la cultura china que transmiten sabiduría popular, valores morales y enseñanzas prácticas transmitidas oralmente durante siglos.</v>
      </c>
      <c r="I1140" t="str">
        <f>_xlfn.XLOOKUP(frasest[[#This Row],[author_es]],autorest[author_es],autorest[bio_la])</f>
        <v>Collectio sententiarum Sinensium, magnopere in cultura tradita.</v>
      </c>
      <c r="J1140" t="str">
        <f>_xlfn.XLOOKUP(frasest[[#This Row],[author_es]],autorest[author_es],autorest[iso3691])</f>
        <v>zh</v>
      </c>
      <c r="K1140" t="str">
        <f>_xlfn.XLOOKUP(frasest[[#This Row],[author_es]],autorest[author_es],autorest[language_es])</f>
        <v>Chino</v>
      </c>
      <c r="L1140" t="str">
        <f>_xlfn.XLOOKUP(frasest[[#This Row],[author_es]],autorest[author_es],autorest[language_la])</f>
        <v>Lingua Sinica</v>
      </c>
      <c r="M1140" t="str">
        <f>_xlfn.XLOOKUP(frasest[[#This Row],[author_es]],autorest[author_es],autorest[nation_es])</f>
        <v>China</v>
      </c>
      <c r="N1140" t="str">
        <f>_xlfn.XLOOKUP(frasest[[#This Row],[author_es]],autorest[author_es],autorest[nation_la])</f>
        <v>Sinae</v>
      </c>
      <c r="O1140" t="str">
        <f>_xlfn.XLOOKUP(frasest[[#This Row],[author_es]],autorest[author_es],autorest[age_es])</f>
        <v>Epoca Desconocida</v>
      </c>
      <c r="P1140" t="str">
        <f>_xlfn.XLOOKUP(frasest[[#This Row],[author_es]],autorest[author_es],autorest[age_la])</f>
        <v>Epocha Ignota</v>
      </c>
      <c r="Q1140" t="str">
        <f>_xlfn.XLOOKUP(frasest[[#This Row],[author_es]],autorest[author_es],autorest[image])</f>
        <v>https://i.ibb.co/qLfpZm6h/china.png</v>
      </c>
      <c r="R1140">
        <f>_xlfn.XLOOKUP(frasest[[#This Row],[author_es]],autorest[author_es],autorest[image_atr])</f>
        <v>0</v>
      </c>
    </row>
    <row r="1141" spans="1:18">
      <c r="A1141">
        <v>1140</v>
      </c>
      <c r="B1141" t="s">
        <v>3553</v>
      </c>
      <c r="C1141" t="s">
        <v>3554</v>
      </c>
      <c r="D1141" s="1" t="s">
        <v>3555</v>
      </c>
      <c r="E1141" t="s">
        <v>36</v>
      </c>
      <c r="G1141" t="str">
        <f>_xlfn.XLOOKUP(frasest[[#This Row],[author_es]],autorest[author_es],autorest[author_la])</f>
        <v>Proverbium Sinense</v>
      </c>
      <c r="H1141" t="str">
        <f>_xlfn.XLOOKUP(frasest[[#This Row],[author_es]],autorest[author_es],autorest[bio_es])</f>
        <v>Conjunto de proverbios tradicionales de la cultura china que transmiten sabiduría popular, valores morales y enseñanzas prácticas transmitidas oralmente durante siglos.</v>
      </c>
      <c r="I1141" t="str">
        <f>_xlfn.XLOOKUP(frasest[[#This Row],[author_es]],autorest[author_es],autorest[bio_la])</f>
        <v>Collectio sententiarum Sinensium, magnopere in cultura tradita.</v>
      </c>
      <c r="J1141" t="str">
        <f>_xlfn.XLOOKUP(frasest[[#This Row],[author_es]],autorest[author_es],autorest[iso3691])</f>
        <v>zh</v>
      </c>
      <c r="K1141" t="str">
        <f>_xlfn.XLOOKUP(frasest[[#This Row],[author_es]],autorest[author_es],autorest[language_es])</f>
        <v>Chino</v>
      </c>
      <c r="L1141" t="str">
        <f>_xlfn.XLOOKUP(frasest[[#This Row],[author_es]],autorest[author_es],autorest[language_la])</f>
        <v>Lingua Sinica</v>
      </c>
      <c r="M1141" t="str">
        <f>_xlfn.XLOOKUP(frasest[[#This Row],[author_es]],autorest[author_es],autorest[nation_es])</f>
        <v>China</v>
      </c>
      <c r="N1141" t="str">
        <f>_xlfn.XLOOKUP(frasest[[#This Row],[author_es]],autorest[author_es],autorest[nation_la])</f>
        <v>Sinae</v>
      </c>
      <c r="O1141" t="str">
        <f>_xlfn.XLOOKUP(frasest[[#This Row],[author_es]],autorest[author_es],autorest[age_es])</f>
        <v>Epoca Desconocida</v>
      </c>
      <c r="P1141" t="str">
        <f>_xlfn.XLOOKUP(frasest[[#This Row],[author_es]],autorest[author_es],autorest[age_la])</f>
        <v>Epocha Ignota</v>
      </c>
      <c r="Q1141" t="str">
        <f>_xlfn.XLOOKUP(frasest[[#This Row],[author_es]],autorest[author_es],autorest[image])</f>
        <v>https://i.ibb.co/qLfpZm6h/china.png</v>
      </c>
      <c r="R1141">
        <f>_xlfn.XLOOKUP(frasest[[#This Row],[author_es]],autorest[author_es],autorest[image_atr])</f>
        <v>0</v>
      </c>
    </row>
    <row r="1142" spans="1:18">
      <c r="A1142">
        <v>1141</v>
      </c>
      <c r="B1142" t="s">
        <v>3556</v>
      </c>
      <c r="C1142" t="s">
        <v>3557</v>
      </c>
      <c r="D1142" s="1" t="s">
        <v>3558</v>
      </c>
      <c r="E1142" t="s">
        <v>36</v>
      </c>
      <c r="G1142" t="str">
        <f>_xlfn.XLOOKUP(frasest[[#This Row],[author_es]],autorest[author_es],autorest[author_la])</f>
        <v>Proverbium Sinense</v>
      </c>
      <c r="H1142" t="str">
        <f>_xlfn.XLOOKUP(frasest[[#This Row],[author_es]],autorest[author_es],autorest[bio_es])</f>
        <v>Conjunto de proverbios tradicionales de la cultura china que transmiten sabiduría popular, valores morales y enseñanzas prácticas transmitidas oralmente durante siglos.</v>
      </c>
      <c r="I1142" t="str">
        <f>_xlfn.XLOOKUP(frasest[[#This Row],[author_es]],autorest[author_es],autorest[bio_la])</f>
        <v>Collectio sententiarum Sinensium, magnopere in cultura tradita.</v>
      </c>
      <c r="J1142" t="str">
        <f>_xlfn.XLOOKUP(frasest[[#This Row],[author_es]],autorest[author_es],autorest[iso3691])</f>
        <v>zh</v>
      </c>
      <c r="K1142" t="str">
        <f>_xlfn.XLOOKUP(frasest[[#This Row],[author_es]],autorest[author_es],autorest[language_es])</f>
        <v>Chino</v>
      </c>
      <c r="L1142" t="str">
        <f>_xlfn.XLOOKUP(frasest[[#This Row],[author_es]],autorest[author_es],autorest[language_la])</f>
        <v>Lingua Sinica</v>
      </c>
      <c r="M1142" t="str">
        <f>_xlfn.XLOOKUP(frasest[[#This Row],[author_es]],autorest[author_es],autorest[nation_es])</f>
        <v>China</v>
      </c>
      <c r="N1142" t="str">
        <f>_xlfn.XLOOKUP(frasest[[#This Row],[author_es]],autorest[author_es],autorest[nation_la])</f>
        <v>Sinae</v>
      </c>
      <c r="O1142" t="str">
        <f>_xlfn.XLOOKUP(frasest[[#This Row],[author_es]],autorest[author_es],autorest[age_es])</f>
        <v>Epoca Desconocida</v>
      </c>
      <c r="P1142" t="str">
        <f>_xlfn.XLOOKUP(frasest[[#This Row],[author_es]],autorest[author_es],autorest[age_la])</f>
        <v>Epocha Ignota</v>
      </c>
      <c r="Q1142" t="str">
        <f>_xlfn.XLOOKUP(frasest[[#This Row],[author_es]],autorest[author_es],autorest[image])</f>
        <v>https://i.ibb.co/qLfpZm6h/china.png</v>
      </c>
      <c r="R1142">
        <f>_xlfn.XLOOKUP(frasest[[#This Row],[author_es]],autorest[author_es],autorest[image_atr])</f>
        <v>0</v>
      </c>
    </row>
    <row r="1143" spans="1:18">
      <c r="A1143">
        <v>1142</v>
      </c>
      <c r="B1143" t="s">
        <v>3559</v>
      </c>
      <c r="C1143" t="s">
        <v>3560</v>
      </c>
      <c r="D1143" s="1" t="s">
        <v>3561</v>
      </c>
      <c r="E1143" t="s">
        <v>36</v>
      </c>
      <c r="G1143" t="str">
        <f>_xlfn.XLOOKUP(frasest[[#This Row],[author_es]],autorest[author_es],autorest[author_la])</f>
        <v>Proverbium Sinense</v>
      </c>
      <c r="H1143" t="str">
        <f>_xlfn.XLOOKUP(frasest[[#This Row],[author_es]],autorest[author_es],autorest[bio_es])</f>
        <v>Conjunto de proverbios tradicionales de la cultura china que transmiten sabiduría popular, valores morales y enseñanzas prácticas transmitidas oralmente durante siglos.</v>
      </c>
      <c r="I1143" t="str">
        <f>_xlfn.XLOOKUP(frasest[[#This Row],[author_es]],autorest[author_es],autorest[bio_la])</f>
        <v>Collectio sententiarum Sinensium, magnopere in cultura tradita.</v>
      </c>
      <c r="J1143" t="str">
        <f>_xlfn.XLOOKUP(frasest[[#This Row],[author_es]],autorest[author_es],autorest[iso3691])</f>
        <v>zh</v>
      </c>
      <c r="K1143" t="str">
        <f>_xlfn.XLOOKUP(frasest[[#This Row],[author_es]],autorest[author_es],autorest[language_es])</f>
        <v>Chino</v>
      </c>
      <c r="L1143" t="str">
        <f>_xlfn.XLOOKUP(frasest[[#This Row],[author_es]],autorest[author_es],autorest[language_la])</f>
        <v>Lingua Sinica</v>
      </c>
      <c r="M1143" t="str">
        <f>_xlfn.XLOOKUP(frasest[[#This Row],[author_es]],autorest[author_es],autorest[nation_es])</f>
        <v>China</v>
      </c>
      <c r="N1143" t="str">
        <f>_xlfn.XLOOKUP(frasest[[#This Row],[author_es]],autorest[author_es],autorest[nation_la])</f>
        <v>Sinae</v>
      </c>
      <c r="O1143" t="str">
        <f>_xlfn.XLOOKUP(frasest[[#This Row],[author_es]],autorest[author_es],autorest[age_es])</f>
        <v>Epoca Desconocida</v>
      </c>
      <c r="P1143" t="str">
        <f>_xlfn.XLOOKUP(frasest[[#This Row],[author_es]],autorest[author_es],autorest[age_la])</f>
        <v>Epocha Ignota</v>
      </c>
      <c r="Q1143" t="str">
        <f>_xlfn.XLOOKUP(frasest[[#This Row],[author_es]],autorest[author_es],autorest[image])</f>
        <v>https://i.ibb.co/qLfpZm6h/china.png</v>
      </c>
      <c r="R1143">
        <f>_xlfn.XLOOKUP(frasest[[#This Row],[author_es]],autorest[author_es],autorest[image_atr])</f>
        <v>0</v>
      </c>
    </row>
    <row r="1144" spans="1:18">
      <c r="A1144">
        <v>1143</v>
      </c>
      <c r="B1144" t="s">
        <v>3562</v>
      </c>
      <c r="C1144" t="s">
        <v>3563</v>
      </c>
      <c r="D1144" s="1" t="s">
        <v>3564</v>
      </c>
      <c r="E1144" t="s">
        <v>36</v>
      </c>
      <c r="G1144" t="str">
        <f>_xlfn.XLOOKUP(frasest[[#This Row],[author_es]],autorest[author_es],autorest[author_la])</f>
        <v>Proverbium Sinense</v>
      </c>
      <c r="H1144" t="str">
        <f>_xlfn.XLOOKUP(frasest[[#This Row],[author_es]],autorest[author_es],autorest[bio_es])</f>
        <v>Conjunto de proverbios tradicionales de la cultura china que transmiten sabiduría popular, valores morales y enseñanzas prácticas transmitidas oralmente durante siglos.</v>
      </c>
      <c r="I1144" t="str">
        <f>_xlfn.XLOOKUP(frasest[[#This Row],[author_es]],autorest[author_es],autorest[bio_la])</f>
        <v>Collectio sententiarum Sinensium, magnopere in cultura tradita.</v>
      </c>
      <c r="J1144" t="str">
        <f>_xlfn.XLOOKUP(frasest[[#This Row],[author_es]],autorest[author_es],autorest[iso3691])</f>
        <v>zh</v>
      </c>
      <c r="K1144" t="str">
        <f>_xlfn.XLOOKUP(frasest[[#This Row],[author_es]],autorest[author_es],autorest[language_es])</f>
        <v>Chino</v>
      </c>
      <c r="L1144" t="str">
        <f>_xlfn.XLOOKUP(frasest[[#This Row],[author_es]],autorest[author_es],autorest[language_la])</f>
        <v>Lingua Sinica</v>
      </c>
      <c r="M1144" t="str">
        <f>_xlfn.XLOOKUP(frasest[[#This Row],[author_es]],autorest[author_es],autorest[nation_es])</f>
        <v>China</v>
      </c>
      <c r="N1144" t="str">
        <f>_xlfn.XLOOKUP(frasest[[#This Row],[author_es]],autorest[author_es],autorest[nation_la])</f>
        <v>Sinae</v>
      </c>
      <c r="O1144" t="str">
        <f>_xlfn.XLOOKUP(frasest[[#This Row],[author_es]],autorest[author_es],autorest[age_es])</f>
        <v>Epoca Desconocida</v>
      </c>
      <c r="P1144" t="str">
        <f>_xlfn.XLOOKUP(frasest[[#This Row],[author_es]],autorest[author_es],autorest[age_la])</f>
        <v>Epocha Ignota</v>
      </c>
      <c r="Q1144" t="str">
        <f>_xlfn.XLOOKUP(frasest[[#This Row],[author_es]],autorest[author_es],autorest[image])</f>
        <v>https://i.ibb.co/qLfpZm6h/china.png</v>
      </c>
      <c r="R1144">
        <f>_xlfn.XLOOKUP(frasest[[#This Row],[author_es]],autorest[author_es],autorest[image_atr])</f>
        <v>0</v>
      </c>
    </row>
    <row r="1145" spans="1:18">
      <c r="A1145">
        <v>1144</v>
      </c>
      <c r="B1145" t="s">
        <v>3565</v>
      </c>
      <c r="C1145" t="s">
        <v>3566</v>
      </c>
      <c r="D1145" s="1" t="s">
        <v>3567</v>
      </c>
      <c r="E1145" t="s">
        <v>36</v>
      </c>
      <c r="G1145" t="str">
        <f>_xlfn.XLOOKUP(frasest[[#This Row],[author_es]],autorest[author_es],autorest[author_la])</f>
        <v>Proverbium Sinense</v>
      </c>
      <c r="H1145" t="str">
        <f>_xlfn.XLOOKUP(frasest[[#This Row],[author_es]],autorest[author_es],autorest[bio_es])</f>
        <v>Conjunto de proverbios tradicionales de la cultura china que transmiten sabiduría popular, valores morales y enseñanzas prácticas transmitidas oralmente durante siglos.</v>
      </c>
      <c r="I1145" t="str">
        <f>_xlfn.XLOOKUP(frasest[[#This Row],[author_es]],autorest[author_es],autorest[bio_la])</f>
        <v>Collectio sententiarum Sinensium, magnopere in cultura tradita.</v>
      </c>
      <c r="J1145" t="str">
        <f>_xlfn.XLOOKUP(frasest[[#This Row],[author_es]],autorest[author_es],autorest[iso3691])</f>
        <v>zh</v>
      </c>
      <c r="K1145" t="str">
        <f>_xlfn.XLOOKUP(frasest[[#This Row],[author_es]],autorest[author_es],autorest[language_es])</f>
        <v>Chino</v>
      </c>
      <c r="L1145" t="str">
        <f>_xlfn.XLOOKUP(frasest[[#This Row],[author_es]],autorest[author_es],autorest[language_la])</f>
        <v>Lingua Sinica</v>
      </c>
      <c r="M1145" t="str">
        <f>_xlfn.XLOOKUP(frasest[[#This Row],[author_es]],autorest[author_es],autorest[nation_es])</f>
        <v>China</v>
      </c>
      <c r="N1145" t="str">
        <f>_xlfn.XLOOKUP(frasest[[#This Row],[author_es]],autorest[author_es],autorest[nation_la])</f>
        <v>Sinae</v>
      </c>
      <c r="O1145" t="str">
        <f>_xlfn.XLOOKUP(frasest[[#This Row],[author_es]],autorest[author_es],autorest[age_es])</f>
        <v>Epoca Desconocida</v>
      </c>
      <c r="P1145" t="str">
        <f>_xlfn.XLOOKUP(frasest[[#This Row],[author_es]],autorest[author_es],autorest[age_la])</f>
        <v>Epocha Ignota</v>
      </c>
      <c r="Q1145" t="str">
        <f>_xlfn.XLOOKUP(frasest[[#This Row],[author_es]],autorest[author_es],autorest[image])</f>
        <v>https://i.ibb.co/qLfpZm6h/china.png</v>
      </c>
      <c r="R1145">
        <f>_xlfn.XLOOKUP(frasest[[#This Row],[author_es]],autorest[author_es],autorest[image_atr])</f>
        <v>0</v>
      </c>
    </row>
    <row r="1146" spans="1:18">
      <c r="A1146">
        <v>1145</v>
      </c>
      <c r="B1146" t="s">
        <v>3568</v>
      </c>
      <c r="C1146" t="s">
        <v>3569</v>
      </c>
      <c r="D1146" s="1" t="s">
        <v>3570</v>
      </c>
      <c r="E1146" t="s">
        <v>36</v>
      </c>
      <c r="G1146" t="str">
        <f>_xlfn.XLOOKUP(frasest[[#This Row],[author_es]],autorest[author_es],autorest[author_la])</f>
        <v>Proverbium Sinense</v>
      </c>
      <c r="H1146" t="str">
        <f>_xlfn.XLOOKUP(frasest[[#This Row],[author_es]],autorest[author_es],autorest[bio_es])</f>
        <v>Conjunto de proverbios tradicionales de la cultura china que transmiten sabiduría popular, valores morales y enseñanzas prácticas transmitidas oralmente durante siglos.</v>
      </c>
      <c r="I1146" t="str">
        <f>_xlfn.XLOOKUP(frasest[[#This Row],[author_es]],autorest[author_es],autorest[bio_la])</f>
        <v>Collectio sententiarum Sinensium, magnopere in cultura tradita.</v>
      </c>
      <c r="J1146" t="str">
        <f>_xlfn.XLOOKUP(frasest[[#This Row],[author_es]],autorest[author_es],autorest[iso3691])</f>
        <v>zh</v>
      </c>
      <c r="K1146" t="str">
        <f>_xlfn.XLOOKUP(frasest[[#This Row],[author_es]],autorest[author_es],autorest[language_es])</f>
        <v>Chino</v>
      </c>
      <c r="L1146" t="str">
        <f>_xlfn.XLOOKUP(frasest[[#This Row],[author_es]],autorest[author_es],autorest[language_la])</f>
        <v>Lingua Sinica</v>
      </c>
      <c r="M1146" t="str">
        <f>_xlfn.XLOOKUP(frasest[[#This Row],[author_es]],autorest[author_es],autorest[nation_es])</f>
        <v>China</v>
      </c>
      <c r="N1146" t="str">
        <f>_xlfn.XLOOKUP(frasest[[#This Row],[author_es]],autorest[author_es],autorest[nation_la])</f>
        <v>Sinae</v>
      </c>
      <c r="O1146" t="str">
        <f>_xlfn.XLOOKUP(frasest[[#This Row],[author_es]],autorest[author_es],autorest[age_es])</f>
        <v>Epoca Desconocida</v>
      </c>
      <c r="P1146" t="str">
        <f>_xlfn.XLOOKUP(frasest[[#This Row],[author_es]],autorest[author_es],autorest[age_la])</f>
        <v>Epocha Ignota</v>
      </c>
      <c r="Q1146" t="str">
        <f>_xlfn.XLOOKUP(frasest[[#This Row],[author_es]],autorest[author_es],autorest[image])</f>
        <v>https://i.ibb.co/qLfpZm6h/china.png</v>
      </c>
      <c r="R1146">
        <f>_xlfn.XLOOKUP(frasest[[#This Row],[author_es]],autorest[author_es],autorest[image_atr])</f>
        <v>0</v>
      </c>
    </row>
    <row r="1147" spans="1:18">
      <c r="A1147">
        <v>1146</v>
      </c>
      <c r="B1147" t="s">
        <v>3571</v>
      </c>
      <c r="C1147" t="s">
        <v>3572</v>
      </c>
      <c r="D1147" s="1" t="s">
        <v>3573</v>
      </c>
      <c r="E1147" t="s">
        <v>36</v>
      </c>
      <c r="G1147" t="str">
        <f>_xlfn.XLOOKUP(frasest[[#This Row],[author_es]],autorest[author_es],autorest[author_la])</f>
        <v>Proverbium Sinense</v>
      </c>
      <c r="H1147" t="str">
        <f>_xlfn.XLOOKUP(frasest[[#This Row],[author_es]],autorest[author_es],autorest[bio_es])</f>
        <v>Conjunto de proverbios tradicionales de la cultura china que transmiten sabiduría popular, valores morales y enseñanzas prácticas transmitidas oralmente durante siglos.</v>
      </c>
      <c r="I1147" t="str">
        <f>_xlfn.XLOOKUP(frasest[[#This Row],[author_es]],autorest[author_es],autorest[bio_la])</f>
        <v>Collectio sententiarum Sinensium, magnopere in cultura tradita.</v>
      </c>
      <c r="J1147" t="str">
        <f>_xlfn.XLOOKUP(frasest[[#This Row],[author_es]],autorest[author_es],autorest[iso3691])</f>
        <v>zh</v>
      </c>
      <c r="K1147" t="str">
        <f>_xlfn.XLOOKUP(frasest[[#This Row],[author_es]],autorest[author_es],autorest[language_es])</f>
        <v>Chino</v>
      </c>
      <c r="L1147" t="str">
        <f>_xlfn.XLOOKUP(frasest[[#This Row],[author_es]],autorest[author_es],autorest[language_la])</f>
        <v>Lingua Sinica</v>
      </c>
      <c r="M1147" t="str">
        <f>_xlfn.XLOOKUP(frasest[[#This Row],[author_es]],autorest[author_es],autorest[nation_es])</f>
        <v>China</v>
      </c>
      <c r="N1147" t="str">
        <f>_xlfn.XLOOKUP(frasest[[#This Row],[author_es]],autorest[author_es],autorest[nation_la])</f>
        <v>Sinae</v>
      </c>
      <c r="O1147" t="str">
        <f>_xlfn.XLOOKUP(frasest[[#This Row],[author_es]],autorest[author_es],autorest[age_es])</f>
        <v>Epoca Desconocida</v>
      </c>
      <c r="P1147" t="str">
        <f>_xlfn.XLOOKUP(frasest[[#This Row],[author_es]],autorest[author_es],autorest[age_la])</f>
        <v>Epocha Ignota</v>
      </c>
      <c r="Q1147" t="str">
        <f>_xlfn.XLOOKUP(frasest[[#This Row],[author_es]],autorest[author_es],autorest[image])</f>
        <v>https://i.ibb.co/qLfpZm6h/china.png</v>
      </c>
      <c r="R1147">
        <f>_xlfn.XLOOKUP(frasest[[#This Row],[author_es]],autorest[author_es],autorest[image_atr])</f>
        <v>0</v>
      </c>
    </row>
    <row r="1148" spans="1:18">
      <c r="A1148">
        <v>1147</v>
      </c>
      <c r="B1148" t="s">
        <v>3574</v>
      </c>
      <c r="C1148" t="s">
        <v>3575</v>
      </c>
      <c r="D1148" s="1" t="s">
        <v>3576</v>
      </c>
      <c r="E1148" t="s">
        <v>36</v>
      </c>
      <c r="G1148" t="str">
        <f>_xlfn.XLOOKUP(frasest[[#This Row],[author_es]],autorest[author_es],autorest[author_la])</f>
        <v>Proverbium Sinense</v>
      </c>
      <c r="H1148" t="str">
        <f>_xlfn.XLOOKUP(frasest[[#This Row],[author_es]],autorest[author_es],autorest[bio_es])</f>
        <v>Conjunto de proverbios tradicionales de la cultura china que transmiten sabiduría popular, valores morales y enseñanzas prácticas transmitidas oralmente durante siglos.</v>
      </c>
      <c r="I1148" t="str">
        <f>_xlfn.XLOOKUP(frasest[[#This Row],[author_es]],autorest[author_es],autorest[bio_la])</f>
        <v>Collectio sententiarum Sinensium, magnopere in cultura tradita.</v>
      </c>
      <c r="J1148" t="str">
        <f>_xlfn.XLOOKUP(frasest[[#This Row],[author_es]],autorest[author_es],autorest[iso3691])</f>
        <v>zh</v>
      </c>
      <c r="K1148" t="str">
        <f>_xlfn.XLOOKUP(frasest[[#This Row],[author_es]],autorest[author_es],autorest[language_es])</f>
        <v>Chino</v>
      </c>
      <c r="L1148" t="str">
        <f>_xlfn.XLOOKUP(frasest[[#This Row],[author_es]],autorest[author_es],autorest[language_la])</f>
        <v>Lingua Sinica</v>
      </c>
      <c r="M1148" t="str">
        <f>_xlfn.XLOOKUP(frasest[[#This Row],[author_es]],autorest[author_es],autorest[nation_es])</f>
        <v>China</v>
      </c>
      <c r="N1148" t="str">
        <f>_xlfn.XLOOKUP(frasest[[#This Row],[author_es]],autorest[author_es],autorest[nation_la])</f>
        <v>Sinae</v>
      </c>
      <c r="O1148" t="str">
        <f>_xlfn.XLOOKUP(frasest[[#This Row],[author_es]],autorest[author_es],autorest[age_es])</f>
        <v>Epoca Desconocida</v>
      </c>
      <c r="P1148" t="str">
        <f>_xlfn.XLOOKUP(frasest[[#This Row],[author_es]],autorest[author_es],autorest[age_la])</f>
        <v>Epocha Ignota</v>
      </c>
      <c r="Q1148" t="str">
        <f>_xlfn.XLOOKUP(frasest[[#This Row],[author_es]],autorest[author_es],autorest[image])</f>
        <v>https://i.ibb.co/qLfpZm6h/china.png</v>
      </c>
      <c r="R1148">
        <f>_xlfn.XLOOKUP(frasest[[#This Row],[author_es]],autorest[author_es],autorest[image_atr])</f>
        <v>0</v>
      </c>
    </row>
    <row r="1149" spans="1:18">
      <c r="A1149">
        <v>1148</v>
      </c>
      <c r="B1149" t="s">
        <v>3577</v>
      </c>
      <c r="C1149" t="s">
        <v>3578</v>
      </c>
      <c r="D1149" s="1" t="s">
        <v>3579</v>
      </c>
      <c r="E1149" t="s">
        <v>36</v>
      </c>
      <c r="G1149" t="str">
        <f>_xlfn.XLOOKUP(frasest[[#This Row],[author_es]],autorest[author_es],autorest[author_la])</f>
        <v>Proverbium Sinense</v>
      </c>
      <c r="H1149" t="str">
        <f>_xlfn.XLOOKUP(frasest[[#This Row],[author_es]],autorest[author_es],autorest[bio_es])</f>
        <v>Conjunto de proverbios tradicionales de la cultura china que transmiten sabiduría popular, valores morales y enseñanzas prácticas transmitidas oralmente durante siglos.</v>
      </c>
      <c r="I1149" t="str">
        <f>_xlfn.XLOOKUP(frasest[[#This Row],[author_es]],autorest[author_es],autorest[bio_la])</f>
        <v>Collectio sententiarum Sinensium, magnopere in cultura tradita.</v>
      </c>
      <c r="J1149" t="str">
        <f>_xlfn.XLOOKUP(frasest[[#This Row],[author_es]],autorest[author_es],autorest[iso3691])</f>
        <v>zh</v>
      </c>
      <c r="K1149" t="str">
        <f>_xlfn.XLOOKUP(frasest[[#This Row],[author_es]],autorest[author_es],autorest[language_es])</f>
        <v>Chino</v>
      </c>
      <c r="L1149" t="str">
        <f>_xlfn.XLOOKUP(frasest[[#This Row],[author_es]],autorest[author_es],autorest[language_la])</f>
        <v>Lingua Sinica</v>
      </c>
      <c r="M1149" t="str">
        <f>_xlfn.XLOOKUP(frasest[[#This Row],[author_es]],autorest[author_es],autorest[nation_es])</f>
        <v>China</v>
      </c>
      <c r="N1149" t="str">
        <f>_xlfn.XLOOKUP(frasest[[#This Row],[author_es]],autorest[author_es],autorest[nation_la])</f>
        <v>Sinae</v>
      </c>
      <c r="O1149" t="str">
        <f>_xlfn.XLOOKUP(frasest[[#This Row],[author_es]],autorest[author_es],autorest[age_es])</f>
        <v>Epoca Desconocida</v>
      </c>
      <c r="P1149" t="str">
        <f>_xlfn.XLOOKUP(frasest[[#This Row],[author_es]],autorest[author_es],autorest[age_la])</f>
        <v>Epocha Ignota</v>
      </c>
      <c r="Q1149" t="str">
        <f>_xlfn.XLOOKUP(frasest[[#This Row],[author_es]],autorest[author_es],autorest[image])</f>
        <v>https://i.ibb.co/qLfpZm6h/china.png</v>
      </c>
      <c r="R1149">
        <f>_xlfn.XLOOKUP(frasest[[#This Row],[author_es]],autorest[author_es],autorest[image_atr])</f>
        <v>0</v>
      </c>
    </row>
    <row r="1150" spans="1:18">
      <c r="A1150">
        <v>1149</v>
      </c>
      <c r="B1150" t="s">
        <v>3580</v>
      </c>
      <c r="C1150" t="s">
        <v>3581</v>
      </c>
      <c r="D1150" s="1" t="s">
        <v>3582</v>
      </c>
      <c r="E1150" t="s">
        <v>36</v>
      </c>
      <c r="G1150" t="str">
        <f>_xlfn.XLOOKUP(frasest[[#This Row],[author_es]],autorest[author_es],autorest[author_la])</f>
        <v>Proverbium Sinense</v>
      </c>
      <c r="H1150" t="str">
        <f>_xlfn.XLOOKUP(frasest[[#This Row],[author_es]],autorest[author_es],autorest[bio_es])</f>
        <v>Conjunto de proverbios tradicionales de la cultura china que transmiten sabiduría popular, valores morales y enseñanzas prácticas transmitidas oralmente durante siglos.</v>
      </c>
      <c r="I1150" t="str">
        <f>_xlfn.XLOOKUP(frasest[[#This Row],[author_es]],autorest[author_es],autorest[bio_la])</f>
        <v>Collectio sententiarum Sinensium, magnopere in cultura tradita.</v>
      </c>
      <c r="J1150" t="str">
        <f>_xlfn.XLOOKUP(frasest[[#This Row],[author_es]],autorest[author_es],autorest[iso3691])</f>
        <v>zh</v>
      </c>
      <c r="K1150" t="str">
        <f>_xlfn.XLOOKUP(frasest[[#This Row],[author_es]],autorest[author_es],autorest[language_es])</f>
        <v>Chino</v>
      </c>
      <c r="L1150" t="str">
        <f>_xlfn.XLOOKUP(frasest[[#This Row],[author_es]],autorest[author_es],autorest[language_la])</f>
        <v>Lingua Sinica</v>
      </c>
      <c r="M1150" t="str">
        <f>_xlfn.XLOOKUP(frasest[[#This Row],[author_es]],autorest[author_es],autorest[nation_es])</f>
        <v>China</v>
      </c>
      <c r="N1150" t="str">
        <f>_xlfn.XLOOKUP(frasest[[#This Row],[author_es]],autorest[author_es],autorest[nation_la])</f>
        <v>Sinae</v>
      </c>
      <c r="O1150" t="str">
        <f>_xlfn.XLOOKUP(frasest[[#This Row],[author_es]],autorest[author_es],autorest[age_es])</f>
        <v>Epoca Desconocida</v>
      </c>
      <c r="P1150" t="str">
        <f>_xlfn.XLOOKUP(frasest[[#This Row],[author_es]],autorest[author_es],autorest[age_la])</f>
        <v>Epocha Ignota</v>
      </c>
      <c r="Q1150" t="str">
        <f>_xlfn.XLOOKUP(frasest[[#This Row],[author_es]],autorest[author_es],autorest[image])</f>
        <v>https://i.ibb.co/qLfpZm6h/china.png</v>
      </c>
      <c r="R1150">
        <f>_xlfn.XLOOKUP(frasest[[#This Row],[author_es]],autorest[author_es],autorest[image_atr])</f>
        <v>0</v>
      </c>
    </row>
    <row r="1151" spans="1:18">
      <c r="A1151">
        <v>1150</v>
      </c>
      <c r="B1151" t="s">
        <v>3583</v>
      </c>
      <c r="C1151" t="s">
        <v>3584</v>
      </c>
      <c r="D1151" s="1" t="s">
        <v>3585</v>
      </c>
      <c r="E1151" t="s">
        <v>36</v>
      </c>
      <c r="G1151" t="str">
        <f>_xlfn.XLOOKUP(frasest[[#This Row],[author_es]],autorest[author_es],autorest[author_la])</f>
        <v>Proverbium Sinense</v>
      </c>
      <c r="H1151" t="str">
        <f>_xlfn.XLOOKUP(frasest[[#This Row],[author_es]],autorest[author_es],autorest[bio_es])</f>
        <v>Conjunto de proverbios tradicionales de la cultura china que transmiten sabiduría popular, valores morales y enseñanzas prácticas transmitidas oralmente durante siglos.</v>
      </c>
      <c r="I1151" t="str">
        <f>_xlfn.XLOOKUP(frasest[[#This Row],[author_es]],autorest[author_es],autorest[bio_la])</f>
        <v>Collectio sententiarum Sinensium, magnopere in cultura tradita.</v>
      </c>
      <c r="J1151" t="str">
        <f>_xlfn.XLOOKUP(frasest[[#This Row],[author_es]],autorest[author_es],autorest[iso3691])</f>
        <v>zh</v>
      </c>
      <c r="K1151" t="str">
        <f>_xlfn.XLOOKUP(frasest[[#This Row],[author_es]],autorest[author_es],autorest[language_es])</f>
        <v>Chino</v>
      </c>
      <c r="L1151" t="str">
        <f>_xlfn.XLOOKUP(frasest[[#This Row],[author_es]],autorest[author_es],autorest[language_la])</f>
        <v>Lingua Sinica</v>
      </c>
      <c r="M1151" t="str">
        <f>_xlfn.XLOOKUP(frasest[[#This Row],[author_es]],autorest[author_es],autorest[nation_es])</f>
        <v>China</v>
      </c>
      <c r="N1151" t="str">
        <f>_xlfn.XLOOKUP(frasest[[#This Row],[author_es]],autorest[author_es],autorest[nation_la])</f>
        <v>Sinae</v>
      </c>
      <c r="O1151" t="str">
        <f>_xlfn.XLOOKUP(frasest[[#This Row],[author_es]],autorest[author_es],autorest[age_es])</f>
        <v>Epoca Desconocida</v>
      </c>
      <c r="P1151" t="str">
        <f>_xlfn.XLOOKUP(frasest[[#This Row],[author_es]],autorest[author_es],autorest[age_la])</f>
        <v>Epocha Ignota</v>
      </c>
      <c r="Q1151" t="str">
        <f>_xlfn.XLOOKUP(frasest[[#This Row],[author_es]],autorest[author_es],autorest[image])</f>
        <v>https://i.ibb.co/qLfpZm6h/china.png</v>
      </c>
      <c r="R1151">
        <f>_xlfn.XLOOKUP(frasest[[#This Row],[author_es]],autorest[author_es],autorest[image_atr])</f>
        <v>0</v>
      </c>
    </row>
    <row r="1152" spans="1:18">
      <c r="A1152">
        <v>1151</v>
      </c>
      <c r="B1152" t="s">
        <v>3586</v>
      </c>
      <c r="C1152" t="s">
        <v>3587</v>
      </c>
      <c r="D1152" s="1" t="s">
        <v>3588</v>
      </c>
      <c r="E1152" t="s">
        <v>36</v>
      </c>
      <c r="G1152" t="str">
        <f>_xlfn.XLOOKUP(frasest[[#This Row],[author_es]],autorest[author_es],autorest[author_la])</f>
        <v>Proverbium Sinense</v>
      </c>
      <c r="H1152" t="str">
        <f>_xlfn.XLOOKUP(frasest[[#This Row],[author_es]],autorest[author_es],autorest[bio_es])</f>
        <v>Conjunto de proverbios tradicionales de la cultura china que transmiten sabiduría popular, valores morales y enseñanzas prácticas transmitidas oralmente durante siglos.</v>
      </c>
      <c r="I1152" t="str">
        <f>_xlfn.XLOOKUP(frasest[[#This Row],[author_es]],autorest[author_es],autorest[bio_la])</f>
        <v>Collectio sententiarum Sinensium, magnopere in cultura tradita.</v>
      </c>
      <c r="J1152" t="str">
        <f>_xlfn.XLOOKUP(frasest[[#This Row],[author_es]],autorest[author_es],autorest[iso3691])</f>
        <v>zh</v>
      </c>
      <c r="K1152" t="str">
        <f>_xlfn.XLOOKUP(frasest[[#This Row],[author_es]],autorest[author_es],autorest[language_es])</f>
        <v>Chino</v>
      </c>
      <c r="L1152" t="str">
        <f>_xlfn.XLOOKUP(frasest[[#This Row],[author_es]],autorest[author_es],autorest[language_la])</f>
        <v>Lingua Sinica</v>
      </c>
      <c r="M1152" t="str">
        <f>_xlfn.XLOOKUP(frasest[[#This Row],[author_es]],autorest[author_es],autorest[nation_es])</f>
        <v>China</v>
      </c>
      <c r="N1152" t="str">
        <f>_xlfn.XLOOKUP(frasest[[#This Row],[author_es]],autorest[author_es],autorest[nation_la])</f>
        <v>Sinae</v>
      </c>
      <c r="O1152" t="str">
        <f>_xlfn.XLOOKUP(frasest[[#This Row],[author_es]],autorest[author_es],autorest[age_es])</f>
        <v>Epoca Desconocida</v>
      </c>
      <c r="P1152" t="str">
        <f>_xlfn.XLOOKUP(frasest[[#This Row],[author_es]],autorest[author_es],autorest[age_la])</f>
        <v>Epocha Ignota</v>
      </c>
      <c r="Q1152" t="str">
        <f>_xlfn.XLOOKUP(frasest[[#This Row],[author_es]],autorest[author_es],autorest[image])</f>
        <v>https://i.ibb.co/qLfpZm6h/china.png</v>
      </c>
      <c r="R1152">
        <f>_xlfn.XLOOKUP(frasest[[#This Row],[author_es]],autorest[author_es],autorest[image_atr])</f>
        <v>0</v>
      </c>
    </row>
    <row r="1153" spans="1:18">
      <c r="A1153">
        <v>1152</v>
      </c>
      <c r="B1153" t="s">
        <v>3589</v>
      </c>
      <c r="C1153" t="s">
        <v>3590</v>
      </c>
      <c r="D1153" s="1" t="s">
        <v>3276</v>
      </c>
      <c r="E1153" t="s">
        <v>36</v>
      </c>
      <c r="G1153" t="str">
        <f>_xlfn.XLOOKUP(frasest[[#This Row],[author_es]],autorest[author_es],autorest[author_la])</f>
        <v>Proverbium Sinense</v>
      </c>
      <c r="H1153" t="str">
        <f>_xlfn.XLOOKUP(frasest[[#This Row],[author_es]],autorest[author_es],autorest[bio_es])</f>
        <v>Conjunto de proverbios tradicionales de la cultura china que transmiten sabiduría popular, valores morales y enseñanzas prácticas transmitidas oralmente durante siglos.</v>
      </c>
      <c r="I1153" t="str">
        <f>_xlfn.XLOOKUP(frasest[[#This Row],[author_es]],autorest[author_es],autorest[bio_la])</f>
        <v>Collectio sententiarum Sinensium, magnopere in cultura tradita.</v>
      </c>
      <c r="J1153" t="str">
        <f>_xlfn.XLOOKUP(frasest[[#This Row],[author_es]],autorest[author_es],autorest[iso3691])</f>
        <v>zh</v>
      </c>
      <c r="K1153" t="str">
        <f>_xlfn.XLOOKUP(frasest[[#This Row],[author_es]],autorest[author_es],autorest[language_es])</f>
        <v>Chino</v>
      </c>
      <c r="L1153" t="str">
        <f>_xlfn.XLOOKUP(frasest[[#This Row],[author_es]],autorest[author_es],autorest[language_la])</f>
        <v>Lingua Sinica</v>
      </c>
      <c r="M1153" t="str">
        <f>_xlfn.XLOOKUP(frasest[[#This Row],[author_es]],autorest[author_es],autorest[nation_es])</f>
        <v>China</v>
      </c>
      <c r="N1153" t="str">
        <f>_xlfn.XLOOKUP(frasest[[#This Row],[author_es]],autorest[author_es],autorest[nation_la])</f>
        <v>Sinae</v>
      </c>
      <c r="O1153" t="str">
        <f>_xlfn.XLOOKUP(frasest[[#This Row],[author_es]],autorest[author_es],autorest[age_es])</f>
        <v>Epoca Desconocida</v>
      </c>
      <c r="P1153" t="str">
        <f>_xlfn.XLOOKUP(frasest[[#This Row],[author_es]],autorest[author_es],autorest[age_la])</f>
        <v>Epocha Ignota</v>
      </c>
      <c r="Q1153" t="str">
        <f>_xlfn.XLOOKUP(frasest[[#This Row],[author_es]],autorest[author_es],autorest[image])</f>
        <v>https://i.ibb.co/qLfpZm6h/china.png</v>
      </c>
      <c r="R1153">
        <f>_xlfn.XLOOKUP(frasest[[#This Row],[author_es]],autorest[author_es],autorest[image_atr])</f>
        <v>0</v>
      </c>
    </row>
    <row r="1154" spans="1:18">
      <c r="A1154">
        <v>1153</v>
      </c>
      <c r="B1154" t="s">
        <v>3591</v>
      </c>
      <c r="C1154" t="s">
        <v>3592</v>
      </c>
      <c r="D1154" s="1" t="s">
        <v>3593</v>
      </c>
      <c r="E1154" t="s">
        <v>36</v>
      </c>
      <c r="G1154" t="str">
        <f>_xlfn.XLOOKUP(frasest[[#This Row],[author_es]],autorest[author_es],autorest[author_la])</f>
        <v>Proverbium Sinense</v>
      </c>
      <c r="H1154" t="str">
        <f>_xlfn.XLOOKUP(frasest[[#This Row],[author_es]],autorest[author_es],autorest[bio_es])</f>
        <v>Conjunto de proverbios tradicionales de la cultura china que transmiten sabiduría popular, valores morales y enseñanzas prácticas transmitidas oralmente durante siglos.</v>
      </c>
      <c r="I1154" t="str">
        <f>_xlfn.XLOOKUP(frasest[[#This Row],[author_es]],autorest[author_es],autorest[bio_la])</f>
        <v>Collectio sententiarum Sinensium, magnopere in cultura tradita.</v>
      </c>
      <c r="J1154" t="str">
        <f>_xlfn.XLOOKUP(frasest[[#This Row],[author_es]],autorest[author_es],autorest[iso3691])</f>
        <v>zh</v>
      </c>
      <c r="K1154" t="str">
        <f>_xlfn.XLOOKUP(frasest[[#This Row],[author_es]],autorest[author_es],autorest[language_es])</f>
        <v>Chino</v>
      </c>
      <c r="L1154" t="str">
        <f>_xlfn.XLOOKUP(frasest[[#This Row],[author_es]],autorest[author_es],autorest[language_la])</f>
        <v>Lingua Sinica</v>
      </c>
      <c r="M1154" t="str">
        <f>_xlfn.XLOOKUP(frasest[[#This Row],[author_es]],autorest[author_es],autorest[nation_es])</f>
        <v>China</v>
      </c>
      <c r="N1154" t="str">
        <f>_xlfn.XLOOKUP(frasest[[#This Row],[author_es]],autorest[author_es],autorest[nation_la])</f>
        <v>Sinae</v>
      </c>
      <c r="O1154" t="str">
        <f>_xlfn.XLOOKUP(frasest[[#This Row],[author_es]],autorest[author_es],autorest[age_es])</f>
        <v>Epoca Desconocida</v>
      </c>
      <c r="P1154" t="str">
        <f>_xlfn.XLOOKUP(frasest[[#This Row],[author_es]],autorest[author_es],autorest[age_la])</f>
        <v>Epocha Ignota</v>
      </c>
      <c r="Q1154" t="str">
        <f>_xlfn.XLOOKUP(frasest[[#This Row],[author_es]],autorest[author_es],autorest[image])</f>
        <v>https://i.ibb.co/qLfpZm6h/china.png</v>
      </c>
      <c r="R1154">
        <f>_xlfn.XLOOKUP(frasest[[#This Row],[author_es]],autorest[author_es],autorest[image_atr])</f>
        <v>0</v>
      </c>
    </row>
    <row r="1155" spans="1:18">
      <c r="A1155">
        <v>1154</v>
      </c>
      <c r="B1155" t="s">
        <v>3594</v>
      </c>
      <c r="C1155" t="s">
        <v>3595</v>
      </c>
      <c r="D1155" s="1" t="s">
        <v>3596</v>
      </c>
      <c r="E1155" t="s">
        <v>36</v>
      </c>
      <c r="G1155" t="str">
        <f>_xlfn.XLOOKUP(frasest[[#This Row],[author_es]],autorest[author_es],autorest[author_la])</f>
        <v>Proverbium Sinense</v>
      </c>
      <c r="H1155" t="str">
        <f>_xlfn.XLOOKUP(frasest[[#This Row],[author_es]],autorest[author_es],autorest[bio_es])</f>
        <v>Conjunto de proverbios tradicionales de la cultura china que transmiten sabiduría popular, valores morales y enseñanzas prácticas transmitidas oralmente durante siglos.</v>
      </c>
      <c r="I1155" t="str">
        <f>_xlfn.XLOOKUP(frasest[[#This Row],[author_es]],autorest[author_es],autorest[bio_la])</f>
        <v>Collectio sententiarum Sinensium, magnopere in cultura tradita.</v>
      </c>
      <c r="J1155" t="str">
        <f>_xlfn.XLOOKUP(frasest[[#This Row],[author_es]],autorest[author_es],autorest[iso3691])</f>
        <v>zh</v>
      </c>
      <c r="K1155" t="str">
        <f>_xlfn.XLOOKUP(frasest[[#This Row],[author_es]],autorest[author_es],autorest[language_es])</f>
        <v>Chino</v>
      </c>
      <c r="L1155" t="str">
        <f>_xlfn.XLOOKUP(frasest[[#This Row],[author_es]],autorest[author_es],autorest[language_la])</f>
        <v>Lingua Sinica</v>
      </c>
      <c r="M1155" t="str">
        <f>_xlfn.XLOOKUP(frasest[[#This Row],[author_es]],autorest[author_es],autorest[nation_es])</f>
        <v>China</v>
      </c>
      <c r="N1155" t="str">
        <f>_xlfn.XLOOKUP(frasest[[#This Row],[author_es]],autorest[author_es],autorest[nation_la])</f>
        <v>Sinae</v>
      </c>
      <c r="O1155" t="str">
        <f>_xlfn.XLOOKUP(frasest[[#This Row],[author_es]],autorest[author_es],autorest[age_es])</f>
        <v>Epoca Desconocida</v>
      </c>
      <c r="P1155" t="str">
        <f>_xlfn.XLOOKUP(frasest[[#This Row],[author_es]],autorest[author_es],autorest[age_la])</f>
        <v>Epocha Ignota</v>
      </c>
      <c r="Q1155" t="str">
        <f>_xlfn.XLOOKUP(frasest[[#This Row],[author_es]],autorest[author_es],autorest[image])</f>
        <v>https://i.ibb.co/qLfpZm6h/china.png</v>
      </c>
      <c r="R1155">
        <f>_xlfn.XLOOKUP(frasest[[#This Row],[author_es]],autorest[author_es],autorest[image_atr])</f>
        <v>0</v>
      </c>
    </row>
    <row r="1156" spans="1:18">
      <c r="A1156">
        <v>1155</v>
      </c>
      <c r="B1156" t="s">
        <v>3597</v>
      </c>
      <c r="C1156" t="s">
        <v>3598</v>
      </c>
      <c r="D1156" s="1" t="s">
        <v>3599</v>
      </c>
      <c r="E1156" t="s">
        <v>36</v>
      </c>
      <c r="G1156" t="str">
        <f>_xlfn.XLOOKUP(frasest[[#This Row],[author_es]],autorest[author_es],autorest[author_la])</f>
        <v>Proverbium Sinense</v>
      </c>
      <c r="H1156" t="str">
        <f>_xlfn.XLOOKUP(frasest[[#This Row],[author_es]],autorest[author_es],autorest[bio_es])</f>
        <v>Conjunto de proverbios tradicionales de la cultura china que transmiten sabiduría popular, valores morales y enseñanzas prácticas transmitidas oralmente durante siglos.</v>
      </c>
      <c r="I1156" t="str">
        <f>_xlfn.XLOOKUP(frasest[[#This Row],[author_es]],autorest[author_es],autorest[bio_la])</f>
        <v>Collectio sententiarum Sinensium, magnopere in cultura tradita.</v>
      </c>
      <c r="J1156" t="str">
        <f>_xlfn.XLOOKUP(frasest[[#This Row],[author_es]],autorest[author_es],autorest[iso3691])</f>
        <v>zh</v>
      </c>
      <c r="K1156" t="str">
        <f>_xlfn.XLOOKUP(frasest[[#This Row],[author_es]],autorest[author_es],autorest[language_es])</f>
        <v>Chino</v>
      </c>
      <c r="L1156" t="str">
        <f>_xlfn.XLOOKUP(frasest[[#This Row],[author_es]],autorest[author_es],autorest[language_la])</f>
        <v>Lingua Sinica</v>
      </c>
      <c r="M1156" t="str">
        <f>_xlfn.XLOOKUP(frasest[[#This Row],[author_es]],autorest[author_es],autorest[nation_es])</f>
        <v>China</v>
      </c>
      <c r="N1156" t="str">
        <f>_xlfn.XLOOKUP(frasest[[#This Row],[author_es]],autorest[author_es],autorest[nation_la])</f>
        <v>Sinae</v>
      </c>
      <c r="O1156" t="str">
        <f>_xlfn.XLOOKUP(frasest[[#This Row],[author_es]],autorest[author_es],autorest[age_es])</f>
        <v>Epoca Desconocida</v>
      </c>
      <c r="P1156" t="str">
        <f>_xlfn.XLOOKUP(frasest[[#This Row],[author_es]],autorest[author_es],autorest[age_la])</f>
        <v>Epocha Ignota</v>
      </c>
      <c r="Q1156" t="str">
        <f>_xlfn.XLOOKUP(frasest[[#This Row],[author_es]],autorest[author_es],autorest[image])</f>
        <v>https://i.ibb.co/qLfpZm6h/china.png</v>
      </c>
      <c r="R1156">
        <f>_xlfn.XLOOKUP(frasest[[#This Row],[author_es]],autorest[author_es],autorest[image_atr])</f>
        <v>0</v>
      </c>
    </row>
    <row r="1157" spans="1:18">
      <c r="A1157">
        <v>1156</v>
      </c>
      <c r="B1157" t="s">
        <v>3600</v>
      </c>
      <c r="C1157" t="s">
        <v>3601</v>
      </c>
      <c r="D1157" s="1" t="s">
        <v>3602</v>
      </c>
      <c r="E1157" t="s">
        <v>36</v>
      </c>
      <c r="G1157" t="str">
        <f>_xlfn.XLOOKUP(frasest[[#This Row],[author_es]],autorest[author_es],autorest[author_la])</f>
        <v>Proverbium Sinense</v>
      </c>
      <c r="H1157" t="str">
        <f>_xlfn.XLOOKUP(frasest[[#This Row],[author_es]],autorest[author_es],autorest[bio_es])</f>
        <v>Conjunto de proverbios tradicionales de la cultura china que transmiten sabiduría popular, valores morales y enseñanzas prácticas transmitidas oralmente durante siglos.</v>
      </c>
      <c r="I1157" t="str">
        <f>_xlfn.XLOOKUP(frasest[[#This Row],[author_es]],autorest[author_es],autorest[bio_la])</f>
        <v>Collectio sententiarum Sinensium, magnopere in cultura tradita.</v>
      </c>
      <c r="J1157" t="str">
        <f>_xlfn.XLOOKUP(frasest[[#This Row],[author_es]],autorest[author_es],autorest[iso3691])</f>
        <v>zh</v>
      </c>
      <c r="K1157" t="str">
        <f>_xlfn.XLOOKUP(frasest[[#This Row],[author_es]],autorest[author_es],autorest[language_es])</f>
        <v>Chino</v>
      </c>
      <c r="L1157" t="str">
        <f>_xlfn.XLOOKUP(frasest[[#This Row],[author_es]],autorest[author_es],autorest[language_la])</f>
        <v>Lingua Sinica</v>
      </c>
      <c r="M1157" t="str">
        <f>_xlfn.XLOOKUP(frasest[[#This Row],[author_es]],autorest[author_es],autorest[nation_es])</f>
        <v>China</v>
      </c>
      <c r="N1157" t="str">
        <f>_xlfn.XLOOKUP(frasest[[#This Row],[author_es]],autorest[author_es],autorest[nation_la])</f>
        <v>Sinae</v>
      </c>
      <c r="O1157" t="str">
        <f>_xlfn.XLOOKUP(frasest[[#This Row],[author_es]],autorest[author_es],autorest[age_es])</f>
        <v>Epoca Desconocida</v>
      </c>
      <c r="P1157" t="str">
        <f>_xlfn.XLOOKUP(frasest[[#This Row],[author_es]],autorest[author_es],autorest[age_la])</f>
        <v>Epocha Ignota</v>
      </c>
      <c r="Q1157" t="str">
        <f>_xlfn.XLOOKUP(frasest[[#This Row],[author_es]],autorest[author_es],autorest[image])</f>
        <v>https://i.ibb.co/qLfpZm6h/china.png</v>
      </c>
      <c r="R1157">
        <f>_xlfn.XLOOKUP(frasest[[#This Row],[author_es]],autorest[author_es],autorest[image_atr])</f>
        <v>0</v>
      </c>
    </row>
    <row r="1158" spans="1:18">
      <c r="A1158">
        <v>1157</v>
      </c>
      <c r="B1158" t="s">
        <v>3603</v>
      </c>
      <c r="C1158" t="s">
        <v>3604</v>
      </c>
      <c r="D1158" s="1" t="s">
        <v>3605</v>
      </c>
      <c r="E1158" t="s">
        <v>36</v>
      </c>
      <c r="G1158" t="str">
        <f>_xlfn.XLOOKUP(frasest[[#This Row],[author_es]],autorest[author_es],autorest[author_la])</f>
        <v>Proverbium Sinense</v>
      </c>
      <c r="H1158" t="str">
        <f>_xlfn.XLOOKUP(frasest[[#This Row],[author_es]],autorest[author_es],autorest[bio_es])</f>
        <v>Conjunto de proverbios tradicionales de la cultura china que transmiten sabiduría popular, valores morales y enseñanzas prácticas transmitidas oralmente durante siglos.</v>
      </c>
      <c r="I1158" t="str">
        <f>_xlfn.XLOOKUP(frasest[[#This Row],[author_es]],autorest[author_es],autorest[bio_la])</f>
        <v>Collectio sententiarum Sinensium, magnopere in cultura tradita.</v>
      </c>
      <c r="J1158" t="str">
        <f>_xlfn.XLOOKUP(frasest[[#This Row],[author_es]],autorest[author_es],autorest[iso3691])</f>
        <v>zh</v>
      </c>
      <c r="K1158" t="str">
        <f>_xlfn.XLOOKUP(frasest[[#This Row],[author_es]],autorest[author_es],autorest[language_es])</f>
        <v>Chino</v>
      </c>
      <c r="L1158" t="str">
        <f>_xlfn.XLOOKUP(frasest[[#This Row],[author_es]],autorest[author_es],autorest[language_la])</f>
        <v>Lingua Sinica</v>
      </c>
      <c r="M1158" t="str">
        <f>_xlfn.XLOOKUP(frasest[[#This Row],[author_es]],autorest[author_es],autorest[nation_es])</f>
        <v>China</v>
      </c>
      <c r="N1158" t="str">
        <f>_xlfn.XLOOKUP(frasest[[#This Row],[author_es]],autorest[author_es],autorest[nation_la])</f>
        <v>Sinae</v>
      </c>
      <c r="O1158" t="str">
        <f>_xlfn.XLOOKUP(frasest[[#This Row],[author_es]],autorest[author_es],autorest[age_es])</f>
        <v>Epoca Desconocida</v>
      </c>
      <c r="P1158" t="str">
        <f>_xlfn.XLOOKUP(frasest[[#This Row],[author_es]],autorest[author_es],autorest[age_la])</f>
        <v>Epocha Ignota</v>
      </c>
      <c r="Q1158" t="str">
        <f>_xlfn.XLOOKUP(frasest[[#This Row],[author_es]],autorest[author_es],autorest[image])</f>
        <v>https://i.ibb.co/qLfpZm6h/china.png</v>
      </c>
      <c r="R1158">
        <f>_xlfn.XLOOKUP(frasest[[#This Row],[author_es]],autorest[author_es],autorest[image_atr])</f>
        <v>0</v>
      </c>
    </row>
    <row r="1159" spans="1:18">
      <c r="A1159">
        <v>1158</v>
      </c>
      <c r="B1159" t="s">
        <v>3606</v>
      </c>
      <c r="C1159" t="s">
        <v>3607</v>
      </c>
      <c r="D1159" s="1" t="s">
        <v>3608</v>
      </c>
      <c r="E1159" t="s">
        <v>36</v>
      </c>
      <c r="G1159" t="str">
        <f>_xlfn.XLOOKUP(frasest[[#This Row],[author_es]],autorest[author_es],autorest[author_la])</f>
        <v>Proverbium Sinense</v>
      </c>
      <c r="H1159" t="str">
        <f>_xlfn.XLOOKUP(frasest[[#This Row],[author_es]],autorest[author_es],autorest[bio_es])</f>
        <v>Conjunto de proverbios tradicionales de la cultura china que transmiten sabiduría popular, valores morales y enseñanzas prácticas transmitidas oralmente durante siglos.</v>
      </c>
      <c r="I1159" t="str">
        <f>_xlfn.XLOOKUP(frasest[[#This Row],[author_es]],autorest[author_es],autorest[bio_la])</f>
        <v>Collectio sententiarum Sinensium, magnopere in cultura tradita.</v>
      </c>
      <c r="J1159" t="str">
        <f>_xlfn.XLOOKUP(frasest[[#This Row],[author_es]],autorest[author_es],autorest[iso3691])</f>
        <v>zh</v>
      </c>
      <c r="K1159" t="str">
        <f>_xlfn.XLOOKUP(frasest[[#This Row],[author_es]],autorest[author_es],autorest[language_es])</f>
        <v>Chino</v>
      </c>
      <c r="L1159" t="str">
        <f>_xlfn.XLOOKUP(frasest[[#This Row],[author_es]],autorest[author_es],autorest[language_la])</f>
        <v>Lingua Sinica</v>
      </c>
      <c r="M1159" t="str">
        <f>_xlfn.XLOOKUP(frasest[[#This Row],[author_es]],autorest[author_es],autorest[nation_es])</f>
        <v>China</v>
      </c>
      <c r="N1159" t="str">
        <f>_xlfn.XLOOKUP(frasest[[#This Row],[author_es]],autorest[author_es],autorest[nation_la])</f>
        <v>Sinae</v>
      </c>
      <c r="O1159" t="str">
        <f>_xlfn.XLOOKUP(frasest[[#This Row],[author_es]],autorest[author_es],autorest[age_es])</f>
        <v>Epoca Desconocida</v>
      </c>
      <c r="P1159" t="str">
        <f>_xlfn.XLOOKUP(frasest[[#This Row],[author_es]],autorest[author_es],autorest[age_la])</f>
        <v>Epocha Ignota</v>
      </c>
      <c r="Q1159" t="str">
        <f>_xlfn.XLOOKUP(frasest[[#This Row],[author_es]],autorest[author_es],autorest[image])</f>
        <v>https://i.ibb.co/qLfpZm6h/china.png</v>
      </c>
      <c r="R1159">
        <f>_xlfn.XLOOKUP(frasest[[#This Row],[author_es]],autorest[author_es],autorest[image_atr])</f>
        <v>0</v>
      </c>
    </row>
    <row r="1160" spans="1:18">
      <c r="A1160">
        <v>1159</v>
      </c>
      <c r="B1160" t="s">
        <v>3609</v>
      </c>
      <c r="C1160" t="s">
        <v>3610</v>
      </c>
      <c r="D1160" s="1" t="s">
        <v>3611</v>
      </c>
      <c r="E1160" t="s">
        <v>36</v>
      </c>
      <c r="G1160" t="str">
        <f>_xlfn.XLOOKUP(frasest[[#This Row],[author_es]],autorest[author_es],autorest[author_la])</f>
        <v>Proverbium Sinense</v>
      </c>
      <c r="H1160" t="str">
        <f>_xlfn.XLOOKUP(frasest[[#This Row],[author_es]],autorest[author_es],autorest[bio_es])</f>
        <v>Conjunto de proverbios tradicionales de la cultura china que transmiten sabiduría popular, valores morales y enseñanzas prácticas transmitidas oralmente durante siglos.</v>
      </c>
      <c r="I1160" t="str">
        <f>_xlfn.XLOOKUP(frasest[[#This Row],[author_es]],autorest[author_es],autorest[bio_la])</f>
        <v>Collectio sententiarum Sinensium, magnopere in cultura tradita.</v>
      </c>
      <c r="J1160" t="str">
        <f>_xlfn.XLOOKUP(frasest[[#This Row],[author_es]],autorest[author_es],autorest[iso3691])</f>
        <v>zh</v>
      </c>
      <c r="K1160" t="str">
        <f>_xlfn.XLOOKUP(frasest[[#This Row],[author_es]],autorest[author_es],autorest[language_es])</f>
        <v>Chino</v>
      </c>
      <c r="L1160" t="str">
        <f>_xlfn.XLOOKUP(frasest[[#This Row],[author_es]],autorest[author_es],autorest[language_la])</f>
        <v>Lingua Sinica</v>
      </c>
      <c r="M1160" t="str">
        <f>_xlfn.XLOOKUP(frasest[[#This Row],[author_es]],autorest[author_es],autorest[nation_es])</f>
        <v>China</v>
      </c>
      <c r="N1160" t="str">
        <f>_xlfn.XLOOKUP(frasest[[#This Row],[author_es]],autorest[author_es],autorest[nation_la])</f>
        <v>Sinae</v>
      </c>
      <c r="O1160" t="str">
        <f>_xlfn.XLOOKUP(frasest[[#This Row],[author_es]],autorest[author_es],autorest[age_es])</f>
        <v>Epoca Desconocida</v>
      </c>
      <c r="P1160" t="str">
        <f>_xlfn.XLOOKUP(frasest[[#This Row],[author_es]],autorest[author_es],autorest[age_la])</f>
        <v>Epocha Ignota</v>
      </c>
      <c r="Q1160" t="str">
        <f>_xlfn.XLOOKUP(frasest[[#This Row],[author_es]],autorest[author_es],autorest[image])</f>
        <v>https://i.ibb.co/qLfpZm6h/china.png</v>
      </c>
      <c r="R1160">
        <f>_xlfn.XLOOKUP(frasest[[#This Row],[author_es]],autorest[author_es],autorest[image_atr])</f>
        <v>0</v>
      </c>
    </row>
    <row r="1161" spans="1:18">
      <c r="A1161">
        <v>1160</v>
      </c>
      <c r="B1161" t="s">
        <v>3612</v>
      </c>
      <c r="C1161" t="s">
        <v>3613</v>
      </c>
      <c r="D1161" s="1" t="s">
        <v>3614</v>
      </c>
      <c r="E1161" t="s">
        <v>36</v>
      </c>
      <c r="G1161" t="str">
        <f>_xlfn.XLOOKUP(frasest[[#This Row],[author_es]],autorest[author_es],autorest[author_la])</f>
        <v>Proverbium Sinense</v>
      </c>
      <c r="H1161" t="str">
        <f>_xlfn.XLOOKUP(frasest[[#This Row],[author_es]],autorest[author_es],autorest[bio_es])</f>
        <v>Conjunto de proverbios tradicionales de la cultura china que transmiten sabiduría popular, valores morales y enseñanzas prácticas transmitidas oralmente durante siglos.</v>
      </c>
      <c r="I1161" t="str">
        <f>_xlfn.XLOOKUP(frasest[[#This Row],[author_es]],autorest[author_es],autorest[bio_la])</f>
        <v>Collectio sententiarum Sinensium, magnopere in cultura tradita.</v>
      </c>
      <c r="J1161" t="str">
        <f>_xlfn.XLOOKUP(frasest[[#This Row],[author_es]],autorest[author_es],autorest[iso3691])</f>
        <v>zh</v>
      </c>
      <c r="K1161" t="str">
        <f>_xlfn.XLOOKUP(frasest[[#This Row],[author_es]],autorest[author_es],autorest[language_es])</f>
        <v>Chino</v>
      </c>
      <c r="L1161" t="str">
        <f>_xlfn.XLOOKUP(frasest[[#This Row],[author_es]],autorest[author_es],autorest[language_la])</f>
        <v>Lingua Sinica</v>
      </c>
      <c r="M1161" t="str">
        <f>_xlfn.XLOOKUP(frasest[[#This Row],[author_es]],autorest[author_es],autorest[nation_es])</f>
        <v>China</v>
      </c>
      <c r="N1161" t="str">
        <f>_xlfn.XLOOKUP(frasest[[#This Row],[author_es]],autorest[author_es],autorest[nation_la])</f>
        <v>Sinae</v>
      </c>
      <c r="O1161" t="str">
        <f>_xlfn.XLOOKUP(frasest[[#This Row],[author_es]],autorest[author_es],autorest[age_es])</f>
        <v>Epoca Desconocida</v>
      </c>
      <c r="P1161" t="str">
        <f>_xlfn.XLOOKUP(frasest[[#This Row],[author_es]],autorest[author_es],autorest[age_la])</f>
        <v>Epocha Ignota</v>
      </c>
      <c r="Q1161" t="str">
        <f>_xlfn.XLOOKUP(frasest[[#This Row],[author_es]],autorest[author_es],autorest[image])</f>
        <v>https://i.ibb.co/qLfpZm6h/china.png</v>
      </c>
      <c r="R1161">
        <f>_xlfn.XLOOKUP(frasest[[#This Row],[author_es]],autorest[author_es],autorest[image_atr])</f>
        <v>0</v>
      </c>
    </row>
    <row r="1162" spans="1:18">
      <c r="A1162">
        <v>1161</v>
      </c>
      <c r="B1162" t="s">
        <v>3615</v>
      </c>
      <c r="C1162" t="s">
        <v>3616</v>
      </c>
      <c r="D1162" s="1" t="s">
        <v>3617</v>
      </c>
      <c r="E1162" t="s">
        <v>36</v>
      </c>
      <c r="G1162" t="str">
        <f>_xlfn.XLOOKUP(frasest[[#This Row],[author_es]],autorest[author_es],autorest[author_la])</f>
        <v>Proverbium Sinense</v>
      </c>
      <c r="H1162" t="str">
        <f>_xlfn.XLOOKUP(frasest[[#This Row],[author_es]],autorest[author_es],autorest[bio_es])</f>
        <v>Conjunto de proverbios tradicionales de la cultura china que transmiten sabiduría popular, valores morales y enseñanzas prácticas transmitidas oralmente durante siglos.</v>
      </c>
      <c r="I1162" t="str">
        <f>_xlfn.XLOOKUP(frasest[[#This Row],[author_es]],autorest[author_es],autorest[bio_la])</f>
        <v>Collectio sententiarum Sinensium, magnopere in cultura tradita.</v>
      </c>
      <c r="J1162" t="str">
        <f>_xlfn.XLOOKUP(frasest[[#This Row],[author_es]],autorest[author_es],autorest[iso3691])</f>
        <v>zh</v>
      </c>
      <c r="K1162" t="str">
        <f>_xlfn.XLOOKUP(frasest[[#This Row],[author_es]],autorest[author_es],autorest[language_es])</f>
        <v>Chino</v>
      </c>
      <c r="L1162" t="str">
        <f>_xlfn.XLOOKUP(frasest[[#This Row],[author_es]],autorest[author_es],autorest[language_la])</f>
        <v>Lingua Sinica</v>
      </c>
      <c r="M1162" t="str">
        <f>_xlfn.XLOOKUP(frasest[[#This Row],[author_es]],autorest[author_es],autorest[nation_es])</f>
        <v>China</v>
      </c>
      <c r="N1162" t="str">
        <f>_xlfn.XLOOKUP(frasest[[#This Row],[author_es]],autorest[author_es],autorest[nation_la])</f>
        <v>Sinae</v>
      </c>
      <c r="O1162" t="str">
        <f>_xlfn.XLOOKUP(frasest[[#This Row],[author_es]],autorest[author_es],autorest[age_es])</f>
        <v>Epoca Desconocida</v>
      </c>
      <c r="P1162" t="str">
        <f>_xlfn.XLOOKUP(frasest[[#This Row],[author_es]],autorest[author_es],autorest[age_la])</f>
        <v>Epocha Ignota</v>
      </c>
      <c r="Q1162" t="str">
        <f>_xlfn.XLOOKUP(frasest[[#This Row],[author_es]],autorest[author_es],autorest[image])</f>
        <v>https://i.ibb.co/qLfpZm6h/china.png</v>
      </c>
      <c r="R1162">
        <f>_xlfn.XLOOKUP(frasest[[#This Row],[author_es]],autorest[author_es],autorest[image_atr])</f>
        <v>0</v>
      </c>
    </row>
    <row r="1163" spans="1:18">
      <c r="A1163">
        <v>1162</v>
      </c>
      <c r="B1163" t="s">
        <v>3618</v>
      </c>
      <c r="C1163" t="s">
        <v>3619</v>
      </c>
      <c r="D1163" s="1" t="s">
        <v>3620</v>
      </c>
      <c r="E1163" t="s">
        <v>36</v>
      </c>
      <c r="G1163" t="str">
        <f>_xlfn.XLOOKUP(frasest[[#This Row],[author_es]],autorest[author_es],autorest[author_la])</f>
        <v>Proverbium Sinense</v>
      </c>
      <c r="H1163" t="str">
        <f>_xlfn.XLOOKUP(frasest[[#This Row],[author_es]],autorest[author_es],autorest[bio_es])</f>
        <v>Conjunto de proverbios tradicionales de la cultura china que transmiten sabiduría popular, valores morales y enseñanzas prácticas transmitidas oralmente durante siglos.</v>
      </c>
      <c r="I1163" t="str">
        <f>_xlfn.XLOOKUP(frasest[[#This Row],[author_es]],autorest[author_es],autorest[bio_la])</f>
        <v>Collectio sententiarum Sinensium, magnopere in cultura tradita.</v>
      </c>
      <c r="J1163" t="str">
        <f>_xlfn.XLOOKUP(frasest[[#This Row],[author_es]],autorest[author_es],autorest[iso3691])</f>
        <v>zh</v>
      </c>
      <c r="K1163" t="str">
        <f>_xlfn.XLOOKUP(frasest[[#This Row],[author_es]],autorest[author_es],autorest[language_es])</f>
        <v>Chino</v>
      </c>
      <c r="L1163" t="str">
        <f>_xlfn.XLOOKUP(frasest[[#This Row],[author_es]],autorest[author_es],autorest[language_la])</f>
        <v>Lingua Sinica</v>
      </c>
      <c r="M1163" t="str">
        <f>_xlfn.XLOOKUP(frasest[[#This Row],[author_es]],autorest[author_es],autorest[nation_es])</f>
        <v>China</v>
      </c>
      <c r="N1163" t="str">
        <f>_xlfn.XLOOKUP(frasest[[#This Row],[author_es]],autorest[author_es],autorest[nation_la])</f>
        <v>Sinae</v>
      </c>
      <c r="O1163" t="str">
        <f>_xlfn.XLOOKUP(frasest[[#This Row],[author_es]],autorest[author_es],autorest[age_es])</f>
        <v>Epoca Desconocida</v>
      </c>
      <c r="P1163" t="str">
        <f>_xlfn.XLOOKUP(frasest[[#This Row],[author_es]],autorest[author_es],autorest[age_la])</f>
        <v>Epocha Ignota</v>
      </c>
      <c r="Q1163" t="str">
        <f>_xlfn.XLOOKUP(frasest[[#This Row],[author_es]],autorest[author_es],autorest[image])</f>
        <v>https://i.ibb.co/qLfpZm6h/china.png</v>
      </c>
      <c r="R1163">
        <f>_xlfn.XLOOKUP(frasest[[#This Row],[author_es]],autorest[author_es],autorest[image_atr])</f>
        <v>0</v>
      </c>
    </row>
    <row r="1164" spans="1:18">
      <c r="A1164">
        <v>1163</v>
      </c>
      <c r="B1164" t="s">
        <v>3621</v>
      </c>
      <c r="C1164" t="s">
        <v>3622</v>
      </c>
      <c r="D1164" s="1" t="s">
        <v>3623</v>
      </c>
      <c r="E1164" t="s">
        <v>36</v>
      </c>
      <c r="G1164" t="str">
        <f>_xlfn.XLOOKUP(frasest[[#This Row],[author_es]],autorest[author_es],autorest[author_la])</f>
        <v>Proverbium Sinense</v>
      </c>
      <c r="H1164" t="str">
        <f>_xlfn.XLOOKUP(frasest[[#This Row],[author_es]],autorest[author_es],autorest[bio_es])</f>
        <v>Conjunto de proverbios tradicionales de la cultura china que transmiten sabiduría popular, valores morales y enseñanzas prácticas transmitidas oralmente durante siglos.</v>
      </c>
      <c r="I1164" t="str">
        <f>_xlfn.XLOOKUP(frasest[[#This Row],[author_es]],autorest[author_es],autorest[bio_la])</f>
        <v>Collectio sententiarum Sinensium, magnopere in cultura tradita.</v>
      </c>
      <c r="J1164" t="str">
        <f>_xlfn.XLOOKUP(frasest[[#This Row],[author_es]],autorest[author_es],autorest[iso3691])</f>
        <v>zh</v>
      </c>
      <c r="K1164" t="str">
        <f>_xlfn.XLOOKUP(frasest[[#This Row],[author_es]],autorest[author_es],autorest[language_es])</f>
        <v>Chino</v>
      </c>
      <c r="L1164" t="str">
        <f>_xlfn.XLOOKUP(frasest[[#This Row],[author_es]],autorest[author_es],autorest[language_la])</f>
        <v>Lingua Sinica</v>
      </c>
      <c r="M1164" t="str">
        <f>_xlfn.XLOOKUP(frasest[[#This Row],[author_es]],autorest[author_es],autorest[nation_es])</f>
        <v>China</v>
      </c>
      <c r="N1164" t="str">
        <f>_xlfn.XLOOKUP(frasest[[#This Row],[author_es]],autorest[author_es],autorest[nation_la])</f>
        <v>Sinae</v>
      </c>
      <c r="O1164" t="str">
        <f>_xlfn.XLOOKUP(frasest[[#This Row],[author_es]],autorest[author_es],autorest[age_es])</f>
        <v>Epoca Desconocida</v>
      </c>
      <c r="P1164" t="str">
        <f>_xlfn.XLOOKUP(frasest[[#This Row],[author_es]],autorest[author_es],autorest[age_la])</f>
        <v>Epocha Ignota</v>
      </c>
      <c r="Q1164" t="str">
        <f>_xlfn.XLOOKUP(frasest[[#This Row],[author_es]],autorest[author_es],autorest[image])</f>
        <v>https://i.ibb.co/qLfpZm6h/china.png</v>
      </c>
      <c r="R1164">
        <f>_xlfn.XLOOKUP(frasest[[#This Row],[author_es]],autorest[author_es],autorest[image_atr])</f>
        <v>0</v>
      </c>
    </row>
    <row r="1165" spans="1:18">
      <c r="A1165">
        <v>1164</v>
      </c>
      <c r="B1165" t="s">
        <v>3624</v>
      </c>
      <c r="C1165" t="s">
        <v>3625</v>
      </c>
      <c r="D1165" s="1" t="s">
        <v>3626</v>
      </c>
      <c r="E1165" t="s">
        <v>36</v>
      </c>
      <c r="G1165" t="str">
        <f>_xlfn.XLOOKUP(frasest[[#This Row],[author_es]],autorest[author_es],autorest[author_la])</f>
        <v>Proverbium Sinense</v>
      </c>
      <c r="H1165" t="str">
        <f>_xlfn.XLOOKUP(frasest[[#This Row],[author_es]],autorest[author_es],autorest[bio_es])</f>
        <v>Conjunto de proverbios tradicionales de la cultura china que transmiten sabiduría popular, valores morales y enseñanzas prácticas transmitidas oralmente durante siglos.</v>
      </c>
      <c r="I1165" t="str">
        <f>_xlfn.XLOOKUP(frasest[[#This Row],[author_es]],autorest[author_es],autorest[bio_la])</f>
        <v>Collectio sententiarum Sinensium, magnopere in cultura tradita.</v>
      </c>
      <c r="J1165" t="str">
        <f>_xlfn.XLOOKUP(frasest[[#This Row],[author_es]],autorest[author_es],autorest[iso3691])</f>
        <v>zh</v>
      </c>
      <c r="K1165" t="str">
        <f>_xlfn.XLOOKUP(frasest[[#This Row],[author_es]],autorest[author_es],autorest[language_es])</f>
        <v>Chino</v>
      </c>
      <c r="L1165" t="str">
        <f>_xlfn.XLOOKUP(frasest[[#This Row],[author_es]],autorest[author_es],autorest[language_la])</f>
        <v>Lingua Sinica</v>
      </c>
      <c r="M1165" t="str">
        <f>_xlfn.XLOOKUP(frasest[[#This Row],[author_es]],autorest[author_es],autorest[nation_es])</f>
        <v>China</v>
      </c>
      <c r="N1165" t="str">
        <f>_xlfn.XLOOKUP(frasest[[#This Row],[author_es]],autorest[author_es],autorest[nation_la])</f>
        <v>Sinae</v>
      </c>
      <c r="O1165" t="str">
        <f>_xlfn.XLOOKUP(frasest[[#This Row],[author_es]],autorest[author_es],autorest[age_es])</f>
        <v>Epoca Desconocida</v>
      </c>
      <c r="P1165" t="str">
        <f>_xlfn.XLOOKUP(frasest[[#This Row],[author_es]],autorest[author_es],autorest[age_la])</f>
        <v>Epocha Ignota</v>
      </c>
      <c r="Q1165" t="str">
        <f>_xlfn.XLOOKUP(frasest[[#This Row],[author_es]],autorest[author_es],autorest[image])</f>
        <v>https://i.ibb.co/qLfpZm6h/china.png</v>
      </c>
      <c r="R1165">
        <f>_xlfn.XLOOKUP(frasest[[#This Row],[author_es]],autorest[author_es],autorest[image_atr])</f>
        <v>0</v>
      </c>
    </row>
    <row r="1166" spans="1:18">
      <c r="A1166">
        <v>1165</v>
      </c>
      <c r="B1166" t="s">
        <v>3627</v>
      </c>
      <c r="C1166" t="s">
        <v>3628</v>
      </c>
      <c r="D1166" s="1" t="s">
        <v>3629</v>
      </c>
      <c r="E1166" t="s">
        <v>36</v>
      </c>
      <c r="G1166" t="str">
        <f>_xlfn.XLOOKUP(frasest[[#This Row],[author_es]],autorest[author_es],autorest[author_la])</f>
        <v>Proverbium Sinense</v>
      </c>
      <c r="H1166" t="str">
        <f>_xlfn.XLOOKUP(frasest[[#This Row],[author_es]],autorest[author_es],autorest[bio_es])</f>
        <v>Conjunto de proverbios tradicionales de la cultura china que transmiten sabiduría popular, valores morales y enseñanzas prácticas transmitidas oralmente durante siglos.</v>
      </c>
      <c r="I1166" t="str">
        <f>_xlfn.XLOOKUP(frasest[[#This Row],[author_es]],autorest[author_es],autorest[bio_la])</f>
        <v>Collectio sententiarum Sinensium, magnopere in cultura tradita.</v>
      </c>
      <c r="J1166" t="str">
        <f>_xlfn.XLOOKUP(frasest[[#This Row],[author_es]],autorest[author_es],autorest[iso3691])</f>
        <v>zh</v>
      </c>
      <c r="K1166" t="str">
        <f>_xlfn.XLOOKUP(frasest[[#This Row],[author_es]],autorest[author_es],autorest[language_es])</f>
        <v>Chino</v>
      </c>
      <c r="L1166" t="str">
        <f>_xlfn.XLOOKUP(frasest[[#This Row],[author_es]],autorest[author_es],autorest[language_la])</f>
        <v>Lingua Sinica</v>
      </c>
      <c r="M1166" t="str">
        <f>_xlfn.XLOOKUP(frasest[[#This Row],[author_es]],autorest[author_es],autorest[nation_es])</f>
        <v>China</v>
      </c>
      <c r="N1166" t="str">
        <f>_xlfn.XLOOKUP(frasest[[#This Row],[author_es]],autorest[author_es],autorest[nation_la])</f>
        <v>Sinae</v>
      </c>
      <c r="O1166" t="str">
        <f>_xlfn.XLOOKUP(frasest[[#This Row],[author_es]],autorest[author_es],autorest[age_es])</f>
        <v>Epoca Desconocida</v>
      </c>
      <c r="P1166" t="str">
        <f>_xlfn.XLOOKUP(frasest[[#This Row],[author_es]],autorest[author_es],autorest[age_la])</f>
        <v>Epocha Ignota</v>
      </c>
      <c r="Q1166" t="str">
        <f>_xlfn.XLOOKUP(frasest[[#This Row],[author_es]],autorest[author_es],autorest[image])</f>
        <v>https://i.ibb.co/qLfpZm6h/china.png</v>
      </c>
      <c r="R1166">
        <f>_xlfn.XLOOKUP(frasest[[#This Row],[author_es]],autorest[author_es],autorest[image_atr])</f>
        <v>0</v>
      </c>
    </row>
    <row r="1167" spans="1:18">
      <c r="A1167">
        <v>1166</v>
      </c>
      <c r="B1167" t="s">
        <v>3630</v>
      </c>
      <c r="C1167" t="s">
        <v>3631</v>
      </c>
      <c r="D1167" s="1" t="s">
        <v>3632</v>
      </c>
      <c r="E1167" t="s">
        <v>36</v>
      </c>
      <c r="G1167" t="str">
        <f>_xlfn.XLOOKUP(frasest[[#This Row],[author_es]],autorest[author_es],autorest[author_la])</f>
        <v>Proverbium Sinense</v>
      </c>
      <c r="H1167" t="str">
        <f>_xlfn.XLOOKUP(frasest[[#This Row],[author_es]],autorest[author_es],autorest[bio_es])</f>
        <v>Conjunto de proverbios tradicionales de la cultura china que transmiten sabiduría popular, valores morales y enseñanzas prácticas transmitidas oralmente durante siglos.</v>
      </c>
      <c r="I1167" t="str">
        <f>_xlfn.XLOOKUP(frasest[[#This Row],[author_es]],autorest[author_es],autorest[bio_la])</f>
        <v>Collectio sententiarum Sinensium, magnopere in cultura tradita.</v>
      </c>
      <c r="J1167" t="str">
        <f>_xlfn.XLOOKUP(frasest[[#This Row],[author_es]],autorest[author_es],autorest[iso3691])</f>
        <v>zh</v>
      </c>
      <c r="K1167" t="str">
        <f>_xlfn.XLOOKUP(frasest[[#This Row],[author_es]],autorest[author_es],autorest[language_es])</f>
        <v>Chino</v>
      </c>
      <c r="L1167" t="str">
        <f>_xlfn.XLOOKUP(frasest[[#This Row],[author_es]],autorest[author_es],autorest[language_la])</f>
        <v>Lingua Sinica</v>
      </c>
      <c r="M1167" t="str">
        <f>_xlfn.XLOOKUP(frasest[[#This Row],[author_es]],autorest[author_es],autorest[nation_es])</f>
        <v>China</v>
      </c>
      <c r="N1167" t="str">
        <f>_xlfn.XLOOKUP(frasest[[#This Row],[author_es]],autorest[author_es],autorest[nation_la])</f>
        <v>Sinae</v>
      </c>
      <c r="O1167" t="str">
        <f>_xlfn.XLOOKUP(frasest[[#This Row],[author_es]],autorest[author_es],autorest[age_es])</f>
        <v>Epoca Desconocida</v>
      </c>
      <c r="P1167" t="str">
        <f>_xlfn.XLOOKUP(frasest[[#This Row],[author_es]],autorest[author_es],autorest[age_la])</f>
        <v>Epocha Ignota</v>
      </c>
      <c r="Q1167" t="str">
        <f>_xlfn.XLOOKUP(frasest[[#This Row],[author_es]],autorest[author_es],autorest[image])</f>
        <v>https://i.ibb.co/qLfpZm6h/china.png</v>
      </c>
      <c r="R1167">
        <f>_xlfn.XLOOKUP(frasest[[#This Row],[author_es]],autorest[author_es],autorest[image_atr])</f>
        <v>0</v>
      </c>
    </row>
    <row r="1168" spans="1:18">
      <c r="A1168">
        <v>1167</v>
      </c>
      <c r="B1168" t="s">
        <v>3633</v>
      </c>
      <c r="C1168" t="s">
        <v>3634</v>
      </c>
      <c r="D1168" s="1" t="s">
        <v>3635</v>
      </c>
      <c r="E1168" t="s">
        <v>36</v>
      </c>
      <c r="G1168" t="str">
        <f>_xlfn.XLOOKUP(frasest[[#This Row],[author_es]],autorest[author_es],autorest[author_la])</f>
        <v>Proverbium Sinense</v>
      </c>
      <c r="H1168" t="str">
        <f>_xlfn.XLOOKUP(frasest[[#This Row],[author_es]],autorest[author_es],autorest[bio_es])</f>
        <v>Conjunto de proverbios tradicionales de la cultura china que transmiten sabiduría popular, valores morales y enseñanzas prácticas transmitidas oralmente durante siglos.</v>
      </c>
      <c r="I1168" t="str">
        <f>_xlfn.XLOOKUP(frasest[[#This Row],[author_es]],autorest[author_es],autorest[bio_la])</f>
        <v>Collectio sententiarum Sinensium, magnopere in cultura tradita.</v>
      </c>
      <c r="J1168" t="str">
        <f>_xlfn.XLOOKUP(frasest[[#This Row],[author_es]],autorest[author_es],autorest[iso3691])</f>
        <v>zh</v>
      </c>
      <c r="K1168" t="str">
        <f>_xlfn.XLOOKUP(frasest[[#This Row],[author_es]],autorest[author_es],autorest[language_es])</f>
        <v>Chino</v>
      </c>
      <c r="L1168" t="str">
        <f>_xlfn.XLOOKUP(frasest[[#This Row],[author_es]],autorest[author_es],autorest[language_la])</f>
        <v>Lingua Sinica</v>
      </c>
      <c r="M1168" t="str">
        <f>_xlfn.XLOOKUP(frasest[[#This Row],[author_es]],autorest[author_es],autorest[nation_es])</f>
        <v>China</v>
      </c>
      <c r="N1168" t="str">
        <f>_xlfn.XLOOKUP(frasest[[#This Row],[author_es]],autorest[author_es],autorest[nation_la])</f>
        <v>Sinae</v>
      </c>
      <c r="O1168" t="str">
        <f>_xlfn.XLOOKUP(frasest[[#This Row],[author_es]],autorest[author_es],autorest[age_es])</f>
        <v>Epoca Desconocida</v>
      </c>
      <c r="P1168" t="str">
        <f>_xlfn.XLOOKUP(frasest[[#This Row],[author_es]],autorest[author_es],autorest[age_la])</f>
        <v>Epocha Ignota</v>
      </c>
      <c r="Q1168" t="str">
        <f>_xlfn.XLOOKUP(frasest[[#This Row],[author_es]],autorest[author_es],autorest[image])</f>
        <v>https://i.ibb.co/qLfpZm6h/china.png</v>
      </c>
      <c r="R1168">
        <f>_xlfn.XLOOKUP(frasest[[#This Row],[author_es]],autorest[author_es],autorest[image_atr])</f>
        <v>0</v>
      </c>
    </row>
    <row r="1169" spans="1:18">
      <c r="A1169">
        <v>1168</v>
      </c>
      <c r="B1169" t="s">
        <v>3636</v>
      </c>
      <c r="C1169" t="s">
        <v>3637</v>
      </c>
      <c r="D1169" s="1" t="s">
        <v>3638</v>
      </c>
      <c r="E1169" t="s">
        <v>36</v>
      </c>
      <c r="G1169" t="str">
        <f>_xlfn.XLOOKUP(frasest[[#This Row],[author_es]],autorest[author_es],autorest[author_la])</f>
        <v>Proverbium Sinense</v>
      </c>
      <c r="H1169" t="str">
        <f>_xlfn.XLOOKUP(frasest[[#This Row],[author_es]],autorest[author_es],autorest[bio_es])</f>
        <v>Conjunto de proverbios tradicionales de la cultura china que transmiten sabiduría popular, valores morales y enseñanzas prácticas transmitidas oralmente durante siglos.</v>
      </c>
      <c r="I1169" t="str">
        <f>_xlfn.XLOOKUP(frasest[[#This Row],[author_es]],autorest[author_es],autorest[bio_la])</f>
        <v>Collectio sententiarum Sinensium, magnopere in cultura tradita.</v>
      </c>
      <c r="J1169" t="str">
        <f>_xlfn.XLOOKUP(frasest[[#This Row],[author_es]],autorest[author_es],autorest[iso3691])</f>
        <v>zh</v>
      </c>
      <c r="K1169" t="str">
        <f>_xlfn.XLOOKUP(frasest[[#This Row],[author_es]],autorest[author_es],autorest[language_es])</f>
        <v>Chino</v>
      </c>
      <c r="L1169" t="str">
        <f>_xlfn.XLOOKUP(frasest[[#This Row],[author_es]],autorest[author_es],autorest[language_la])</f>
        <v>Lingua Sinica</v>
      </c>
      <c r="M1169" t="str">
        <f>_xlfn.XLOOKUP(frasest[[#This Row],[author_es]],autorest[author_es],autorest[nation_es])</f>
        <v>China</v>
      </c>
      <c r="N1169" t="str">
        <f>_xlfn.XLOOKUP(frasest[[#This Row],[author_es]],autorest[author_es],autorest[nation_la])</f>
        <v>Sinae</v>
      </c>
      <c r="O1169" t="str">
        <f>_xlfn.XLOOKUP(frasest[[#This Row],[author_es]],autorest[author_es],autorest[age_es])</f>
        <v>Epoca Desconocida</v>
      </c>
      <c r="P1169" t="str">
        <f>_xlfn.XLOOKUP(frasest[[#This Row],[author_es]],autorest[author_es],autorest[age_la])</f>
        <v>Epocha Ignota</v>
      </c>
      <c r="Q1169" t="str">
        <f>_xlfn.XLOOKUP(frasest[[#This Row],[author_es]],autorest[author_es],autorest[image])</f>
        <v>https://i.ibb.co/qLfpZm6h/china.png</v>
      </c>
      <c r="R1169">
        <f>_xlfn.XLOOKUP(frasest[[#This Row],[author_es]],autorest[author_es],autorest[image_atr])</f>
        <v>0</v>
      </c>
    </row>
    <row r="1170" spans="1:18">
      <c r="A1170">
        <v>1169</v>
      </c>
      <c r="B1170" t="s">
        <v>3639</v>
      </c>
      <c r="C1170" t="s">
        <v>3640</v>
      </c>
      <c r="D1170" s="1" t="s">
        <v>3641</v>
      </c>
      <c r="E1170" t="s">
        <v>36</v>
      </c>
      <c r="G1170" t="str">
        <f>_xlfn.XLOOKUP(frasest[[#This Row],[author_es]],autorest[author_es],autorest[author_la])</f>
        <v>Proverbium Sinense</v>
      </c>
      <c r="H1170" t="str">
        <f>_xlfn.XLOOKUP(frasest[[#This Row],[author_es]],autorest[author_es],autorest[bio_es])</f>
        <v>Conjunto de proverbios tradicionales de la cultura china que transmiten sabiduría popular, valores morales y enseñanzas prácticas transmitidas oralmente durante siglos.</v>
      </c>
      <c r="I1170" t="str">
        <f>_xlfn.XLOOKUP(frasest[[#This Row],[author_es]],autorest[author_es],autorest[bio_la])</f>
        <v>Collectio sententiarum Sinensium, magnopere in cultura tradita.</v>
      </c>
      <c r="J1170" t="str">
        <f>_xlfn.XLOOKUP(frasest[[#This Row],[author_es]],autorest[author_es],autorest[iso3691])</f>
        <v>zh</v>
      </c>
      <c r="K1170" t="str">
        <f>_xlfn.XLOOKUP(frasest[[#This Row],[author_es]],autorest[author_es],autorest[language_es])</f>
        <v>Chino</v>
      </c>
      <c r="L1170" t="str">
        <f>_xlfn.XLOOKUP(frasest[[#This Row],[author_es]],autorest[author_es],autorest[language_la])</f>
        <v>Lingua Sinica</v>
      </c>
      <c r="M1170" t="str">
        <f>_xlfn.XLOOKUP(frasest[[#This Row],[author_es]],autorest[author_es],autorest[nation_es])</f>
        <v>China</v>
      </c>
      <c r="N1170" t="str">
        <f>_xlfn.XLOOKUP(frasest[[#This Row],[author_es]],autorest[author_es],autorest[nation_la])</f>
        <v>Sinae</v>
      </c>
      <c r="O1170" t="str">
        <f>_xlfn.XLOOKUP(frasest[[#This Row],[author_es]],autorest[author_es],autorest[age_es])</f>
        <v>Epoca Desconocida</v>
      </c>
      <c r="P1170" t="str">
        <f>_xlfn.XLOOKUP(frasest[[#This Row],[author_es]],autorest[author_es],autorest[age_la])</f>
        <v>Epocha Ignota</v>
      </c>
      <c r="Q1170" t="str">
        <f>_xlfn.XLOOKUP(frasest[[#This Row],[author_es]],autorest[author_es],autorest[image])</f>
        <v>https://i.ibb.co/qLfpZm6h/china.png</v>
      </c>
      <c r="R1170">
        <f>_xlfn.XLOOKUP(frasest[[#This Row],[author_es]],autorest[author_es],autorest[image_atr])</f>
        <v>0</v>
      </c>
    </row>
    <row r="1171" spans="1:18">
      <c r="A1171">
        <v>1170</v>
      </c>
      <c r="B1171" t="s">
        <v>3642</v>
      </c>
      <c r="C1171" t="s">
        <v>3643</v>
      </c>
      <c r="D1171" s="1" t="s">
        <v>3644</v>
      </c>
      <c r="E1171" t="s">
        <v>36</v>
      </c>
      <c r="G1171" t="str">
        <f>_xlfn.XLOOKUP(frasest[[#This Row],[author_es]],autorest[author_es],autorest[author_la])</f>
        <v>Proverbium Sinense</v>
      </c>
      <c r="H1171" t="str">
        <f>_xlfn.XLOOKUP(frasest[[#This Row],[author_es]],autorest[author_es],autorest[bio_es])</f>
        <v>Conjunto de proverbios tradicionales de la cultura china que transmiten sabiduría popular, valores morales y enseñanzas prácticas transmitidas oralmente durante siglos.</v>
      </c>
      <c r="I1171" t="str">
        <f>_xlfn.XLOOKUP(frasest[[#This Row],[author_es]],autorest[author_es],autorest[bio_la])</f>
        <v>Collectio sententiarum Sinensium, magnopere in cultura tradita.</v>
      </c>
      <c r="J1171" t="str">
        <f>_xlfn.XLOOKUP(frasest[[#This Row],[author_es]],autorest[author_es],autorest[iso3691])</f>
        <v>zh</v>
      </c>
      <c r="K1171" t="str">
        <f>_xlfn.XLOOKUP(frasest[[#This Row],[author_es]],autorest[author_es],autorest[language_es])</f>
        <v>Chino</v>
      </c>
      <c r="L1171" t="str">
        <f>_xlfn.XLOOKUP(frasest[[#This Row],[author_es]],autorest[author_es],autorest[language_la])</f>
        <v>Lingua Sinica</v>
      </c>
      <c r="M1171" t="str">
        <f>_xlfn.XLOOKUP(frasest[[#This Row],[author_es]],autorest[author_es],autorest[nation_es])</f>
        <v>China</v>
      </c>
      <c r="N1171" t="str">
        <f>_xlfn.XLOOKUP(frasest[[#This Row],[author_es]],autorest[author_es],autorest[nation_la])</f>
        <v>Sinae</v>
      </c>
      <c r="O1171" t="str">
        <f>_xlfn.XLOOKUP(frasest[[#This Row],[author_es]],autorest[author_es],autorest[age_es])</f>
        <v>Epoca Desconocida</v>
      </c>
      <c r="P1171" t="str">
        <f>_xlfn.XLOOKUP(frasest[[#This Row],[author_es]],autorest[author_es],autorest[age_la])</f>
        <v>Epocha Ignota</v>
      </c>
      <c r="Q1171" t="str">
        <f>_xlfn.XLOOKUP(frasest[[#This Row],[author_es]],autorest[author_es],autorest[image])</f>
        <v>https://i.ibb.co/qLfpZm6h/china.png</v>
      </c>
      <c r="R1171">
        <f>_xlfn.XLOOKUP(frasest[[#This Row],[author_es]],autorest[author_es],autorest[image_atr])</f>
        <v>0</v>
      </c>
    </row>
    <row r="1172" spans="1:18">
      <c r="A1172">
        <v>1171</v>
      </c>
      <c r="B1172" t="s">
        <v>3645</v>
      </c>
      <c r="C1172" t="s">
        <v>3646</v>
      </c>
      <c r="D1172" s="1" t="s">
        <v>3647</v>
      </c>
      <c r="E1172" t="s">
        <v>36</v>
      </c>
      <c r="G1172" t="str">
        <f>_xlfn.XLOOKUP(frasest[[#This Row],[author_es]],autorest[author_es],autorest[author_la])</f>
        <v>Proverbium Sinense</v>
      </c>
      <c r="H1172" t="str">
        <f>_xlfn.XLOOKUP(frasest[[#This Row],[author_es]],autorest[author_es],autorest[bio_es])</f>
        <v>Conjunto de proverbios tradicionales de la cultura china que transmiten sabiduría popular, valores morales y enseñanzas prácticas transmitidas oralmente durante siglos.</v>
      </c>
      <c r="I1172" t="str">
        <f>_xlfn.XLOOKUP(frasest[[#This Row],[author_es]],autorest[author_es],autorest[bio_la])</f>
        <v>Collectio sententiarum Sinensium, magnopere in cultura tradita.</v>
      </c>
      <c r="J1172" t="str">
        <f>_xlfn.XLOOKUP(frasest[[#This Row],[author_es]],autorest[author_es],autorest[iso3691])</f>
        <v>zh</v>
      </c>
      <c r="K1172" t="str">
        <f>_xlfn.XLOOKUP(frasest[[#This Row],[author_es]],autorest[author_es],autorest[language_es])</f>
        <v>Chino</v>
      </c>
      <c r="L1172" t="str">
        <f>_xlfn.XLOOKUP(frasest[[#This Row],[author_es]],autorest[author_es],autorest[language_la])</f>
        <v>Lingua Sinica</v>
      </c>
      <c r="M1172" t="str">
        <f>_xlfn.XLOOKUP(frasest[[#This Row],[author_es]],autorest[author_es],autorest[nation_es])</f>
        <v>China</v>
      </c>
      <c r="N1172" t="str">
        <f>_xlfn.XLOOKUP(frasest[[#This Row],[author_es]],autorest[author_es],autorest[nation_la])</f>
        <v>Sinae</v>
      </c>
      <c r="O1172" t="str">
        <f>_xlfn.XLOOKUP(frasest[[#This Row],[author_es]],autorest[author_es],autorest[age_es])</f>
        <v>Epoca Desconocida</v>
      </c>
      <c r="P1172" t="str">
        <f>_xlfn.XLOOKUP(frasest[[#This Row],[author_es]],autorest[author_es],autorest[age_la])</f>
        <v>Epocha Ignota</v>
      </c>
      <c r="Q1172" t="str">
        <f>_xlfn.XLOOKUP(frasest[[#This Row],[author_es]],autorest[author_es],autorest[image])</f>
        <v>https://i.ibb.co/qLfpZm6h/china.png</v>
      </c>
      <c r="R1172">
        <f>_xlfn.XLOOKUP(frasest[[#This Row],[author_es]],autorest[author_es],autorest[image_atr])</f>
        <v>0</v>
      </c>
    </row>
    <row r="1173" spans="1:18">
      <c r="A1173">
        <v>1172</v>
      </c>
      <c r="B1173" t="s">
        <v>3648</v>
      </c>
      <c r="C1173" t="s">
        <v>3649</v>
      </c>
      <c r="D1173" s="1" t="s">
        <v>3650</v>
      </c>
      <c r="E1173" t="s">
        <v>36</v>
      </c>
      <c r="G1173" t="str">
        <f>_xlfn.XLOOKUP(frasest[[#This Row],[author_es]],autorest[author_es],autorest[author_la])</f>
        <v>Proverbium Sinense</v>
      </c>
      <c r="H1173" t="str">
        <f>_xlfn.XLOOKUP(frasest[[#This Row],[author_es]],autorest[author_es],autorest[bio_es])</f>
        <v>Conjunto de proverbios tradicionales de la cultura china que transmiten sabiduría popular, valores morales y enseñanzas prácticas transmitidas oralmente durante siglos.</v>
      </c>
      <c r="I1173" t="str">
        <f>_xlfn.XLOOKUP(frasest[[#This Row],[author_es]],autorest[author_es],autorest[bio_la])</f>
        <v>Collectio sententiarum Sinensium, magnopere in cultura tradita.</v>
      </c>
      <c r="J1173" t="str">
        <f>_xlfn.XLOOKUP(frasest[[#This Row],[author_es]],autorest[author_es],autorest[iso3691])</f>
        <v>zh</v>
      </c>
      <c r="K1173" t="str">
        <f>_xlfn.XLOOKUP(frasest[[#This Row],[author_es]],autorest[author_es],autorest[language_es])</f>
        <v>Chino</v>
      </c>
      <c r="L1173" t="str">
        <f>_xlfn.XLOOKUP(frasest[[#This Row],[author_es]],autorest[author_es],autorest[language_la])</f>
        <v>Lingua Sinica</v>
      </c>
      <c r="M1173" t="str">
        <f>_xlfn.XLOOKUP(frasest[[#This Row],[author_es]],autorest[author_es],autorest[nation_es])</f>
        <v>China</v>
      </c>
      <c r="N1173" t="str">
        <f>_xlfn.XLOOKUP(frasest[[#This Row],[author_es]],autorest[author_es],autorest[nation_la])</f>
        <v>Sinae</v>
      </c>
      <c r="O1173" t="str">
        <f>_xlfn.XLOOKUP(frasest[[#This Row],[author_es]],autorest[author_es],autorest[age_es])</f>
        <v>Epoca Desconocida</v>
      </c>
      <c r="P1173" t="str">
        <f>_xlfn.XLOOKUP(frasest[[#This Row],[author_es]],autorest[author_es],autorest[age_la])</f>
        <v>Epocha Ignota</v>
      </c>
      <c r="Q1173" t="str">
        <f>_xlfn.XLOOKUP(frasest[[#This Row],[author_es]],autorest[author_es],autorest[image])</f>
        <v>https://i.ibb.co/qLfpZm6h/china.png</v>
      </c>
      <c r="R1173">
        <f>_xlfn.XLOOKUP(frasest[[#This Row],[author_es]],autorest[author_es],autorest[image_atr])</f>
        <v>0</v>
      </c>
    </row>
    <row r="1174" spans="1:18">
      <c r="A1174">
        <v>1173</v>
      </c>
      <c r="B1174" t="s">
        <v>1320</v>
      </c>
      <c r="C1174" t="s">
        <v>1321</v>
      </c>
      <c r="D1174" s="1" t="s">
        <v>3651</v>
      </c>
      <c r="E1174" t="s">
        <v>36</v>
      </c>
      <c r="G1174" t="str">
        <f>_xlfn.XLOOKUP(frasest[[#This Row],[author_es]],autorest[author_es],autorest[author_la])</f>
        <v>Proverbium Sinense</v>
      </c>
      <c r="H1174" t="str">
        <f>_xlfn.XLOOKUP(frasest[[#This Row],[author_es]],autorest[author_es],autorest[bio_es])</f>
        <v>Conjunto de proverbios tradicionales de la cultura china que transmiten sabiduría popular, valores morales y enseñanzas prácticas transmitidas oralmente durante siglos.</v>
      </c>
      <c r="I1174" t="str">
        <f>_xlfn.XLOOKUP(frasest[[#This Row],[author_es]],autorest[author_es],autorest[bio_la])</f>
        <v>Collectio sententiarum Sinensium, magnopere in cultura tradita.</v>
      </c>
      <c r="J1174" t="str">
        <f>_xlfn.XLOOKUP(frasest[[#This Row],[author_es]],autorest[author_es],autorest[iso3691])</f>
        <v>zh</v>
      </c>
      <c r="K1174" t="str">
        <f>_xlfn.XLOOKUP(frasest[[#This Row],[author_es]],autorest[author_es],autorest[language_es])</f>
        <v>Chino</v>
      </c>
      <c r="L1174" t="str">
        <f>_xlfn.XLOOKUP(frasest[[#This Row],[author_es]],autorest[author_es],autorest[language_la])</f>
        <v>Lingua Sinica</v>
      </c>
      <c r="M1174" t="str">
        <f>_xlfn.XLOOKUP(frasest[[#This Row],[author_es]],autorest[author_es],autorest[nation_es])</f>
        <v>China</v>
      </c>
      <c r="N1174" t="str">
        <f>_xlfn.XLOOKUP(frasest[[#This Row],[author_es]],autorest[author_es],autorest[nation_la])</f>
        <v>Sinae</v>
      </c>
      <c r="O1174" t="str">
        <f>_xlfn.XLOOKUP(frasest[[#This Row],[author_es]],autorest[author_es],autorest[age_es])</f>
        <v>Epoca Desconocida</v>
      </c>
      <c r="P1174" t="str">
        <f>_xlfn.XLOOKUP(frasest[[#This Row],[author_es]],autorest[author_es],autorest[age_la])</f>
        <v>Epocha Ignota</v>
      </c>
      <c r="Q1174" t="str">
        <f>_xlfn.XLOOKUP(frasest[[#This Row],[author_es]],autorest[author_es],autorest[image])</f>
        <v>https://i.ibb.co/qLfpZm6h/china.png</v>
      </c>
      <c r="R1174">
        <f>_xlfn.XLOOKUP(frasest[[#This Row],[author_es]],autorest[author_es],autorest[image_atr])</f>
        <v>0</v>
      </c>
    </row>
    <row r="1175" spans="1:18">
      <c r="A1175">
        <v>1174</v>
      </c>
      <c r="B1175" t="s">
        <v>3652</v>
      </c>
      <c r="C1175" t="s">
        <v>3653</v>
      </c>
      <c r="D1175" s="1" t="s">
        <v>3654</v>
      </c>
      <c r="E1175" t="s">
        <v>36</v>
      </c>
      <c r="G1175" t="str">
        <f>_xlfn.XLOOKUP(frasest[[#This Row],[author_es]],autorest[author_es],autorest[author_la])</f>
        <v>Proverbium Sinense</v>
      </c>
      <c r="H1175" t="str">
        <f>_xlfn.XLOOKUP(frasest[[#This Row],[author_es]],autorest[author_es],autorest[bio_es])</f>
        <v>Conjunto de proverbios tradicionales de la cultura china que transmiten sabiduría popular, valores morales y enseñanzas prácticas transmitidas oralmente durante siglos.</v>
      </c>
      <c r="I1175" t="str">
        <f>_xlfn.XLOOKUP(frasest[[#This Row],[author_es]],autorest[author_es],autorest[bio_la])</f>
        <v>Collectio sententiarum Sinensium, magnopere in cultura tradita.</v>
      </c>
      <c r="J1175" t="str">
        <f>_xlfn.XLOOKUP(frasest[[#This Row],[author_es]],autorest[author_es],autorest[iso3691])</f>
        <v>zh</v>
      </c>
      <c r="K1175" t="str">
        <f>_xlfn.XLOOKUP(frasest[[#This Row],[author_es]],autorest[author_es],autorest[language_es])</f>
        <v>Chino</v>
      </c>
      <c r="L1175" t="str">
        <f>_xlfn.XLOOKUP(frasest[[#This Row],[author_es]],autorest[author_es],autorest[language_la])</f>
        <v>Lingua Sinica</v>
      </c>
      <c r="M1175" t="str">
        <f>_xlfn.XLOOKUP(frasest[[#This Row],[author_es]],autorest[author_es],autorest[nation_es])</f>
        <v>China</v>
      </c>
      <c r="N1175" t="str">
        <f>_xlfn.XLOOKUP(frasest[[#This Row],[author_es]],autorest[author_es],autorest[nation_la])</f>
        <v>Sinae</v>
      </c>
      <c r="O1175" t="str">
        <f>_xlfn.XLOOKUP(frasest[[#This Row],[author_es]],autorest[author_es],autorest[age_es])</f>
        <v>Epoca Desconocida</v>
      </c>
      <c r="P1175" t="str">
        <f>_xlfn.XLOOKUP(frasest[[#This Row],[author_es]],autorest[author_es],autorest[age_la])</f>
        <v>Epocha Ignota</v>
      </c>
      <c r="Q1175" t="str">
        <f>_xlfn.XLOOKUP(frasest[[#This Row],[author_es]],autorest[author_es],autorest[image])</f>
        <v>https://i.ibb.co/qLfpZm6h/china.png</v>
      </c>
      <c r="R1175">
        <f>_xlfn.XLOOKUP(frasest[[#This Row],[author_es]],autorest[author_es],autorest[image_atr])</f>
        <v>0</v>
      </c>
    </row>
    <row r="1176" spans="1:18">
      <c r="A1176">
        <v>1175</v>
      </c>
      <c r="B1176" t="s">
        <v>3655</v>
      </c>
      <c r="C1176" t="s">
        <v>3656</v>
      </c>
      <c r="D1176" s="1" t="s">
        <v>129</v>
      </c>
      <c r="E1176" t="s">
        <v>36</v>
      </c>
      <c r="G1176" t="str">
        <f>_xlfn.XLOOKUP(frasest[[#This Row],[author_es]],autorest[author_es],autorest[author_la])</f>
        <v>Proverbium Sinense</v>
      </c>
      <c r="H1176" t="str">
        <f>_xlfn.XLOOKUP(frasest[[#This Row],[author_es]],autorest[author_es],autorest[bio_es])</f>
        <v>Conjunto de proverbios tradicionales de la cultura china que transmiten sabiduría popular, valores morales y enseñanzas prácticas transmitidas oralmente durante siglos.</v>
      </c>
      <c r="I1176" t="str">
        <f>_xlfn.XLOOKUP(frasest[[#This Row],[author_es]],autorest[author_es],autorest[bio_la])</f>
        <v>Collectio sententiarum Sinensium, magnopere in cultura tradita.</v>
      </c>
      <c r="J1176" t="str">
        <f>_xlfn.XLOOKUP(frasest[[#This Row],[author_es]],autorest[author_es],autorest[iso3691])</f>
        <v>zh</v>
      </c>
      <c r="K1176" t="str">
        <f>_xlfn.XLOOKUP(frasest[[#This Row],[author_es]],autorest[author_es],autorest[language_es])</f>
        <v>Chino</v>
      </c>
      <c r="L1176" t="str">
        <f>_xlfn.XLOOKUP(frasest[[#This Row],[author_es]],autorest[author_es],autorest[language_la])</f>
        <v>Lingua Sinica</v>
      </c>
      <c r="M1176" t="str">
        <f>_xlfn.XLOOKUP(frasest[[#This Row],[author_es]],autorest[author_es],autorest[nation_es])</f>
        <v>China</v>
      </c>
      <c r="N1176" t="str">
        <f>_xlfn.XLOOKUP(frasest[[#This Row],[author_es]],autorest[author_es],autorest[nation_la])</f>
        <v>Sinae</v>
      </c>
      <c r="O1176" t="str">
        <f>_xlfn.XLOOKUP(frasest[[#This Row],[author_es]],autorest[author_es],autorest[age_es])</f>
        <v>Epoca Desconocida</v>
      </c>
      <c r="P1176" t="str">
        <f>_xlfn.XLOOKUP(frasest[[#This Row],[author_es]],autorest[author_es],autorest[age_la])</f>
        <v>Epocha Ignota</v>
      </c>
      <c r="Q1176" t="str">
        <f>_xlfn.XLOOKUP(frasest[[#This Row],[author_es]],autorest[author_es],autorest[image])</f>
        <v>https://i.ibb.co/qLfpZm6h/china.png</v>
      </c>
      <c r="R1176">
        <f>_xlfn.XLOOKUP(frasest[[#This Row],[author_es]],autorest[author_es],autorest[image_atr])</f>
        <v>0</v>
      </c>
    </row>
    <row r="1177" spans="1:18">
      <c r="A1177">
        <v>1176</v>
      </c>
      <c r="B1177" t="s">
        <v>3657</v>
      </c>
      <c r="C1177" t="s">
        <v>3658</v>
      </c>
      <c r="D1177" s="1" t="s">
        <v>3659</v>
      </c>
      <c r="E1177" t="s">
        <v>36</v>
      </c>
      <c r="G1177" t="str">
        <f>_xlfn.XLOOKUP(frasest[[#This Row],[author_es]],autorest[author_es],autorest[author_la])</f>
        <v>Proverbium Sinense</v>
      </c>
      <c r="H1177" t="str">
        <f>_xlfn.XLOOKUP(frasest[[#This Row],[author_es]],autorest[author_es],autorest[bio_es])</f>
        <v>Conjunto de proverbios tradicionales de la cultura china que transmiten sabiduría popular, valores morales y enseñanzas prácticas transmitidas oralmente durante siglos.</v>
      </c>
      <c r="I1177" t="str">
        <f>_xlfn.XLOOKUP(frasest[[#This Row],[author_es]],autorest[author_es],autorest[bio_la])</f>
        <v>Collectio sententiarum Sinensium, magnopere in cultura tradita.</v>
      </c>
      <c r="J1177" t="str">
        <f>_xlfn.XLOOKUP(frasest[[#This Row],[author_es]],autorest[author_es],autorest[iso3691])</f>
        <v>zh</v>
      </c>
      <c r="K1177" t="str">
        <f>_xlfn.XLOOKUP(frasest[[#This Row],[author_es]],autorest[author_es],autorest[language_es])</f>
        <v>Chino</v>
      </c>
      <c r="L1177" t="str">
        <f>_xlfn.XLOOKUP(frasest[[#This Row],[author_es]],autorest[author_es],autorest[language_la])</f>
        <v>Lingua Sinica</v>
      </c>
      <c r="M1177" t="str">
        <f>_xlfn.XLOOKUP(frasest[[#This Row],[author_es]],autorest[author_es],autorest[nation_es])</f>
        <v>China</v>
      </c>
      <c r="N1177" t="str">
        <f>_xlfn.XLOOKUP(frasest[[#This Row],[author_es]],autorest[author_es],autorest[nation_la])</f>
        <v>Sinae</v>
      </c>
      <c r="O1177" t="str">
        <f>_xlfn.XLOOKUP(frasest[[#This Row],[author_es]],autorest[author_es],autorest[age_es])</f>
        <v>Epoca Desconocida</v>
      </c>
      <c r="P1177" t="str">
        <f>_xlfn.XLOOKUP(frasest[[#This Row],[author_es]],autorest[author_es],autorest[age_la])</f>
        <v>Epocha Ignota</v>
      </c>
      <c r="Q1177" t="str">
        <f>_xlfn.XLOOKUP(frasest[[#This Row],[author_es]],autorest[author_es],autorest[image])</f>
        <v>https://i.ibb.co/qLfpZm6h/china.png</v>
      </c>
      <c r="R1177">
        <f>_xlfn.XLOOKUP(frasest[[#This Row],[author_es]],autorest[author_es],autorest[image_atr])</f>
        <v>0</v>
      </c>
    </row>
    <row r="1178" spans="1:18">
      <c r="A1178">
        <v>1177</v>
      </c>
      <c r="B1178" t="s">
        <v>3660</v>
      </c>
      <c r="C1178" t="s">
        <v>3661</v>
      </c>
      <c r="D1178" s="1" t="s">
        <v>3662</v>
      </c>
      <c r="E1178" t="s">
        <v>36</v>
      </c>
      <c r="G1178" t="str">
        <f>_xlfn.XLOOKUP(frasest[[#This Row],[author_es]],autorest[author_es],autorest[author_la])</f>
        <v>Proverbium Sinense</v>
      </c>
      <c r="H1178" t="str">
        <f>_xlfn.XLOOKUP(frasest[[#This Row],[author_es]],autorest[author_es],autorest[bio_es])</f>
        <v>Conjunto de proverbios tradicionales de la cultura china que transmiten sabiduría popular, valores morales y enseñanzas prácticas transmitidas oralmente durante siglos.</v>
      </c>
      <c r="I1178" t="str">
        <f>_xlfn.XLOOKUP(frasest[[#This Row],[author_es]],autorest[author_es],autorest[bio_la])</f>
        <v>Collectio sententiarum Sinensium, magnopere in cultura tradita.</v>
      </c>
      <c r="J1178" t="str">
        <f>_xlfn.XLOOKUP(frasest[[#This Row],[author_es]],autorest[author_es],autorest[iso3691])</f>
        <v>zh</v>
      </c>
      <c r="K1178" t="str">
        <f>_xlfn.XLOOKUP(frasest[[#This Row],[author_es]],autorest[author_es],autorest[language_es])</f>
        <v>Chino</v>
      </c>
      <c r="L1178" t="str">
        <f>_xlfn.XLOOKUP(frasest[[#This Row],[author_es]],autorest[author_es],autorest[language_la])</f>
        <v>Lingua Sinica</v>
      </c>
      <c r="M1178" t="str">
        <f>_xlfn.XLOOKUP(frasest[[#This Row],[author_es]],autorest[author_es],autorest[nation_es])</f>
        <v>China</v>
      </c>
      <c r="N1178" t="str">
        <f>_xlfn.XLOOKUP(frasest[[#This Row],[author_es]],autorest[author_es],autorest[nation_la])</f>
        <v>Sinae</v>
      </c>
      <c r="O1178" t="str">
        <f>_xlfn.XLOOKUP(frasest[[#This Row],[author_es]],autorest[author_es],autorest[age_es])</f>
        <v>Epoca Desconocida</v>
      </c>
      <c r="P1178" t="str">
        <f>_xlfn.XLOOKUP(frasest[[#This Row],[author_es]],autorest[author_es],autorest[age_la])</f>
        <v>Epocha Ignota</v>
      </c>
      <c r="Q1178" t="str">
        <f>_xlfn.XLOOKUP(frasest[[#This Row],[author_es]],autorest[author_es],autorest[image])</f>
        <v>https://i.ibb.co/qLfpZm6h/china.png</v>
      </c>
      <c r="R1178">
        <f>_xlfn.XLOOKUP(frasest[[#This Row],[author_es]],autorest[author_es],autorest[image_atr])</f>
        <v>0</v>
      </c>
    </row>
    <row r="1179" spans="1:18">
      <c r="A1179">
        <v>1178</v>
      </c>
      <c r="B1179" t="s">
        <v>3663</v>
      </c>
      <c r="C1179" t="s">
        <v>3664</v>
      </c>
      <c r="D1179" s="1" t="s">
        <v>3665</v>
      </c>
      <c r="E1179" t="s">
        <v>36</v>
      </c>
      <c r="G1179" t="str">
        <f>_xlfn.XLOOKUP(frasest[[#This Row],[author_es]],autorest[author_es],autorest[author_la])</f>
        <v>Proverbium Sinense</v>
      </c>
      <c r="H1179" t="str">
        <f>_xlfn.XLOOKUP(frasest[[#This Row],[author_es]],autorest[author_es],autorest[bio_es])</f>
        <v>Conjunto de proverbios tradicionales de la cultura china que transmiten sabiduría popular, valores morales y enseñanzas prácticas transmitidas oralmente durante siglos.</v>
      </c>
      <c r="I1179" t="str">
        <f>_xlfn.XLOOKUP(frasest[[#This Row],[author_es]],autorest[author_es],autorest[bio_la])</f>
        <v>Collectio sententiarum Sinensium, magnopere in cultura tradita.</v>
      </c>
      <c r="J1179" t="str">
        <f>_xlfn.XLOOKUP(frasest[[#This Row],[author_es]],autorest[author_es],autorest[iso3691])</f>
        <v>zh</v>
      </c>
      <c r="K1179" t="str">
        <f>_xlfn.XLOOKUP(frasest[[#This Row],[author_es]],autorest[author_es],autorest[language_es])</f>
        <v>Chino</v>
      </c>
      <c r="L1179" t="str">
        <f>_xlfn.XLOOKUP(frasest[[#This Row],[author_es]],autorest[author_es],autorest[language_la])</f>
        <v>Lingua Sinica</v>
      </c>
      <c r="M1179" t="str">
        <f>_xlfn.XLOOKUP(frasest[[#This Row],[author_es]],autorest[author_es],autorest[nation_es])</f>
        <v>China</v>
      </c>
      <c r="N1179" t="str">
        <f>_xlfn.XLOOKUP(frasest[[#This Row],[author_es]],autorest[author_es],autorest[nation_la])</f>
        <v>Sinae</v>
      </c>
      <c r="O1179" t="str">
        <f>_xlfn.XLOOKUP(frasest[[#This Row],[author_es]],autorest[author_es],autorest[age_es])</f>
        <v>Epoca Desconocida</v>
      </c>
      <c r="P1179" t="str">
        <f>_xlfn.XLOOKUP(frasest[[#This Row],[author_es]],autorest[author_es],autorest[age_la])</f>
        <v>Epocha Ignota</v>
      </c>
      <c r="Q1179" t="str">
        <f>_xlfn.XLOOKUP(frasest[[#This Row],[author_es]],autorest[author_es],autorest[image])</f>
        <v>https://i.ibb.co/qLfpZm6h/china.png</v>
      </c>
      <c r="R1179">
        <f>_xlfn.XLOOKUP(frasest[[#This Row],[author_es]],autorest[author_es],autorest[image_atr])</f>
        <v>0</v>
      </c>
    </row>
    <row r="1180" spans="1:18">
      <c r="A1180">
        <v>1179</v>
      </c>
      <c r="B1180" t="s">
        <v>3666</v>
      </c>
      <c r="C1180" t="s">
        <v>3667</v>
      </c>
      <c r="D1180" s="1" t="s">
        <v>3668</v>
      </c>
      <c r="E1180" t="s">
        <v>36</v>
      </c>
      <c r="G1180" t="str">
        <f>_xlfn.XLOOKUP(frasest[[#This Row],[author_es]],autorest[author_es],autorest[author_la])</f>
        <v>Proverbium Sinense</v>
      </c>
      <c r="H1180" t="str">
        <f>_xlfn.XLOOKUP(frasest[[#This Row],[author_es]],autorest[author_es],autorest[bio_es])</f>
        <v>Conjunto de proverbios tradicionales de la cultura china que transmiten sabiduría popular, valores morales y enseñanzas prácticas transmitidas oralmente durante siglos.</v>
      </c>
      <c r="I1180" t="str">
        <f>_xlfn.XLOOKUP(frasest[[#This Row],[author_es]],autorest[author_es],autorest[bio_la])</f>
        <v>Collectio sententiarum Sinensium, magnopere in cultura tradita.</v>
      </c>
      <c r="J1180" t="str">
        <f>_xlfn.XLOOKUP(frasest[[#This Row],[author_es]],autorest[author_es],autorest[iso3691])</f>
        <v>zh</v>
      </c>
      <c r="K1180" t="str">
        <f>_xlfn.XLOOKUP(frasest[[#This Row],[author_es]],autorest[author_es],autorest[language_es])</f>
        <v>Chino</v>
      </c>
      <c r="L1180" t="str">
        <f>_xlfn.XLOOKUP(frasest[[#This Row],[author_es]],autorest[author_es],autorest[language_la])</f>
        <v>Lingua Sinica</v>
      </c>
      <c r="M1180" t="str">
        <f>_xlfn.XLOOKUP(frasest[[#This Row],[author_es]],autorest[author_es],autorest[nation_es])</f>
        <v>China</v>
      </c>
      <c r="N1180" t="str">
        <f>_xlfn.XLOOKUP(frasest[[#This Row],[author_es]],autorest[author_es],autorest[nation_la])</f>
        <v>Sinae</v>
      </c>
      <c r="O1180" t="str">
        <f>_xlfn.XLOOKUP(frasest[[#This Row],[author_es]],autorest[author_es],autorest[age_es])</f>
        <v>Epoca Desconocida</v>
      </c>
      <c r="P1180" t="str">
        <f>_xlfn.XLOOKUP(frasest[[#This Row],[author_es]],autorest[author_es],autorest[age_la])</f>
        <v>Epocha Ignota</v>
      </c>
      <c r="Q1180" t="str">
        <f>_xlfn.XLOOKUP(frasest[[#This Row],[author_es]],autorest[author_es],autorest[image])</f>
        <v>https://i.ibb.co/qLfpZm6h/china.png</v>
      </c>
      <c r="R1180">
        <f>_xlfn.XLOOKUP(frasest[[#This Row],[author_es]],autorest[author_es],autorest[image_atr])</f>
        <v>0</v>
      </c>
    </row>
    <row r="1181" spans="1:18">
      <c r="A1181">
        <v>1180</v>
      </c>
      <c r="B1181" t="s">
        <v>3669</v>
      </c>
      <c r="C1181" t="s">
        <v>3670</v>
      </c>
      <c r="D1181" s="1" t="s">
        <v>3671</v>
      </c>
      <c r="E1181" t="s">
        <v>36</v>
      </c>
      <c r="G1181" t="str">
        <f>_xlfn.XLOOKUP(frasest[[#This Row],[author_es]],autorest[author_es],autorest[author_la])</f>
        <v>Proverbium Sinense</v>
      </c>
      <c r="H1181" t="str">
        <f>_xlfn.XLOOKUP(frasest[[#This Row],[author_es]],autorest[author_es],autorest[bio_es])</f>
        <v>Conjunto de proverbios tradicionales de la cultura china que transmiten sabiduría popular, valores morales y enseñanzas prácticas transmitidas oralmente durante siglos.</v>
      </c>
      <c r="I1181" t="str">
        <f>_xlfn.XLOOKUP(frasest[[#This Row],[author_es]],autorest[author_es],autorest[bio_la])</f>
        <v>Collectio sententiarum Sinensium, magnopere in cultura tradita.</v>
      </c>
      <c r="J1181" t="str">
        <f>_xlfn.XLOOKUP(frasest[[#This Row],[author_es]],autorest[author_es],autorest[iso3691])</f>
        <v>zh</v>
      </c>
      <c r="K1181" t="str">
        <f>_xlfn.XLOOKUP(frasest[[#This Row],[author_es]],autorest[author_es],autorest[language_es])</f>
        <v>Chino</v>
      </c>
      <c r="L1181" t="str">
        <f>_xlfn.XLOOKUP(frasest[[#This Row],[author_es]],autorest[author_es],autorest[language_la])</f>
        <v>Lingua Sinica</v>
      </c>
      <c r="M1181" t="str">
        <f>_xlfn.XLOOKUP(frasest[[#This Row],[author_es]],autorest[author_es],autorest[nation_es])</f>
        <v>China</v>
      </c>
      <c r="N1181" t="str">
        <f>_xlfn.XLOOKUP(frasest[[#This Row],[author_es]],autorest[author_es],autorest[nation_la])</f>
        <v>Sinae</v>
      </c>
      <c r="O1181" t="str">
        <f>_xlfn.XLOOKUP(frasest[[#This Row],[author_es]],autorest[author_es],autorest[age_es])</f>
        <v>Epoca Desconocida</v>
      </c>
      <c r="P1181" t="str">
        <f>_xlfn.XLOOKUP(frasest[[#This Row],[author_es]],autorest[author_es],autorest[age_la])</f>
        <v>Epocha Ignota</v>
      </c>
      <c r="Q1181" t="str">
        <f>_xlfn.XLOOKUP(frasest[[#This Row],[author_es]],autorest[author_es],autorest[image])</f>
        <v>https://i.ibb.co/qLfpZm6h/china.png</v>
      </c>
      <c r="R1181">
        <f>_xlfn.XLOOKUP(frasest[[#This Row],[author_es]],autorest[author_es],autorest[image_atr])</f>
        <v>0</v>
      </c>
    </row>
    <row r="1182" spans="1:18">
      <c r="A1182">
        <v>1181</v>
      </c>
      <c r="B1182" t="s">
        <v>3672</v>
      </c>
      <c r="C1182" t="s">
        <v>3673</v>
      </c>
      <c r="D1182" s="1" t="s">
        <v>3674</v>
      </c>
      <c r="E1182" t="s">
        <v>36</v>
      </c>
      <c r="G1182" t="str">
        <f>_xlfn.XLOOKUP(frasest[[#This Row],[author_es]],autorest[author_es],autorest[author_la])</f>
        <v>Proverbium Sinense</v>
      </c>
      <c r="H1182" t="str">
        <f>_xlfn.XLOOKUP(frasest[[#This Row],[author_es]],autorest[author_es],autorest[bio_es])</f>
        <v>Conjunto de proverbios tradicionales de la cultura china que transmiten sabiduría popular, valores morales y enseñanzas prácticas transmitidas oralmente durante siglos.</v>
      </c>
      <c r="I1182" t="str">
        <f>_xlfn.XLOOKUP(frasest[[#This Row],[author_es]],autorest[author_es],autorest[bio_la])</f>
        <v>Collectio sententiarum Sinensium, magnopere in cultura tradita.</v>
      </c>
      <c r="J1182" t="str">
        <f>_xlfn.XLOOKUP(frasest[[#This Row],[author_es]],autorest[author_es],autorest[iso3691])</f>
        <v>zh</v>
      </c>
      <c r="K1182" t="str">
        <f>_xlfn.XLOOKUP(frasest[[#This Row],[author_es]],autorest[author_es],autorest[language_es])</f>
        <v>Chino</v>
      </c>
      <c r="L1182" t="str">
        <f>_xlfn.XLOOKUP(frasest[[#This Row],[author_es]],autorest[author_es],autorest[language_la])</f>
        <v>Lingua Sinica</v>
      </c>
      <c r="M1182" t="str">
        <f>_xlfn.XLOOKUP(frasest[[#This Row],[author_es]],autorest[author_es],autorest[nation_es])</f>
        <v>China</v>
      </c>
      <c r="N1182" t="str">
        <f>_xlfn.XLOOKUP(frasest[[#This Row],[author_es]],autorest[author_es],autorest[nation_la])</f>
        <v>Sinae</v>
      </c>
      <c r="O1182" t="str">
        <f>_xlfn.XLOOKUP(frasest[[#This Row],[author_es]],autorest[author_es],autorest[age_es])</f>
        <v>Epoca Desconocida</v>
      </c>
      <c r="P1182" t="str">
        <f>_xlfn.XLOOKUP(frasest[[#This Row],[author_es]],autorest[author_es],autorest[age_la])</f>
        <v>Epocha Ignota</v>
      </c>
      <c r="Q1182" t="str">
        <f>_xlfn.XLOOKUP(frasest[[#This Row],[author_es]],autorest[author_es],autorest[image])</f>
        <v>https://i.ibb.co/qLfpZm6h/china.png</v>
      </c>
      <c r="R1182">
        <f>_xlfn.XLOOKUP(frasest[[#This Row],[author_es]],autorest[author_es],autorest[image_atr])</f>
        <v>0</v>
      </c>
    </row>
    <row r="1183" spans="1:18">
      <c r="A1183">
        <v>1182</v>
      </c>
      <c r="B1183" t="s">
        <v>3675</v>
      </c>
      <c r="C1183" t="s">
        <v>3676</v>
      </c>
      <c r="D1183" s="1" t="s">
        <v>3677</v>
      </c>
      <c r="E1183" t="s">
        <v>36</v>
      </c>
      <c r="G1183" t="str">
        <f>_xlfn.XLOOKUP(frasest[[#This Row],[author_es]],autorest[author_es],autorest[author_la])</f>
        <v>Proverbium Sinense</v>
      </c>
      <c r="H1183" t="str">
        <f>_xlfn.XLOOKUP(frasest[[#This Row],[author_es]],autorest[author_es],autorest[bio_es])</f>
        <v>Conjunto de proverbios tradicionales de la cultura china que transmiten sabiduría popular, valores morales y enseñanzas prácticas transmitidas oralmente durante siglos.</v>
      </c>
      <c r="I1183" t="str">
        <f>_xlfn.XLOOKUP(frasest[[#This Row],[author_es]],autorest[author_es],autorest[bio_la])</f>
        <v>Collectio sententiarum Sinensium, magnopere in cultura tradita.</v>
      </c>
      <c r="J1183" t="str">
        <f>_xlfn.XLOOKUP(frasest[[#This Row],[author_es]],autorest[author_es],autorest[iso3691])</f>
        <v>zh</v>
      </c>
      <c r="K1183" t="str">
        <f>_xlfn.XLOOKUP(frasest[[#This Row],[author_es]],autorest[author_es],autorest[language_es])</f>
        <v>Chino</v>
      </c>
      <c r="L1183" t="str">
        <f>_xlfn.XLOOKUP(frasest[[#This Row],[author_es]],autorest[author_es],autorest[language_la])</f>
        <v>Lingua Sinica</v>
      </c>
      <c r="M1183" t="str">
        <f>_xlfn.XLOOKUP(frasest[[#This Row],[author_es]],autorest[author_es],autorest[nation_es])</f>
        <v>China</v>
      </c>
      <c r="N1183" t="str">
        <f>_xlfn.XLOOKUP(frasest[[#This Row],[author_es]],autorest[author_es],autorest[nation_la])</f>
        <v>Sinae</v>
      </c>
      <c r="O1183" t="str">
        <f>_xlfn.XLOOKUP(frasest[[#This Row],[author_es]],autorest[author_es],autorest[age_es])</f>
        <v>Epoca Desconocida</v>
      </c>
      <c r="P1183" t="str">
        <f>_xlfn.XLOOKUP(frasest[[#This Row],[author_es]],autorest[author_es],autorest[age_la])</f>
        <v>Epocha Ignota</v>
      </c>
      <c r="Q1183" t="str">
        <f>_xlfn.XLOOKUP(frasest[[#This Row],[author_es]],autorest[author_es],autorest[image])</f>
        <v>https://i.ibb.co/qLfpZm6h/china.png</v>
      </c>
      <c r="R1183">
        <f>_xlfn.XLOOKUP(frasest[[#This Row],[author_es]],autorest[author_es],autorest[image_atr])</f>
        <v>0</v>
      </c>
    </row>
    <row r="1184" spans="1:18">
      <c r="A1184">
        <v>1183</v>
      </c>
      <c r="B1184" t="s">
        <v>3678</v>
      </c>
      <c r="C1184" t="s">
        <v>3679</v>
      </c>
      <c r="D1184" s="1" t="s">
        <v>3680</v>
      </c>
      <c r="E1184" t="s">
        <v>36</v>
      </c>
      <c r="G1184" t="str">
        <f>_xlfn.XLOOKUP(frasest[[#This Row],[author_es]],autorest[author_es],autorest[author_la])</f>
        <v>Proverbium Sinense</v>
      </c>
      <c r="H1184" t="str">
        <f>_xlfn.XLOOKUP(frasest[[#This Row],[author_es]],autorest[author_es],autorest[bio_es])</f>
        <v>Conjunto de proverbios tradicionales de la cultura china que transmiten sabiduría popular, valores morales y enseñanzas prácticas transmitidas oralmente durante siglos.</v>
      </c>
      <c r="I1184" t="str">
        <f>_xlfn.XLOOKUP(frasest[[#This Row],[author_es]],autorest[author_es],autorest[bio_la])</f>
        <v>Collectio sententiarum Sinensium, magnopere in cultura tradita.</v>
      </c>
      <c r="J1184" t="str">
        <f>_xlfn.XLOOKUP(frasest[[#This Row],[author_es]],autorest[author_es],autorest[iso3691])</f>
        <v>zh</v>
      </c>
      <c r="K1184" t="str">
        <f>_xlfn.XLOOKUP(frasest[[#This Row],[author_es]],autorest[author_es],autorest[language_es])</f>
        <v>Chino</v>
      </c>
      <c r="L1184" t="str">
        <f>_xlfn.XLOOKUP(frasest[[#This Row],[author_es]],autorest[author_es],autorest[language_la])</f>
        <v>Lingua Sinica</v>
      </c>
      <c r="M1184" t="str">
        <f>_xlfn.XLOOKUP(frasest[[#This Row],[author_es]],autorest[author_es],autorest[nation_es])</f>
        <v>China</v>
      </c>
      <c r="N1184" t="str">
        <f>_xlfn.XLOOKUP(frasest[[#This Row],[author_es]],autorest[author_es],autorest[nation_la])</f>
        <v>Sinae</v>
      </c>
      <c r="O1184" t="str">
        <f>_xlfn.XLOOKUP(frasest[[#This Row],[author_es]],autorest[author_es],autorest[age_es])</f>
        <v>Epoca Desconocida</v>
      </c>
      <c r="P1184" t="str">
        <f>_xlfn.XLOOKUP(frasest[[#This Row],[author_es]],autorest[author_es],autorest[age_la])</f>
        <v>Epocha Ignota</v>
      </c>
      <c r="Q1184" t="str">
        <f>_xlfn.XLOOKUP(frasest[[#This Row],[author_es]],autorest[author_es],autorest[image])</f>
        <v>https://i.ibb.co/qLfpZm6h/china.png</v>
      </c>
      <c r="R1184">
        <f>_xlfn.XLOOKUP(frasest[[#This Row],[author_es]],autorest[author_es],autorest[image_atr])</f>
        <v>0</v>
      </c>
    </row>
    <row r="1185" spans="1:18">
      <c r="A1185">
        <v>1184</v>
      </c>
      <c r="B1185" t="s">
        <v>3681</v>
      </c>
      <c r="C1185" t="s">
        <v>3682</v>
      </c>
      <c r="D1185" s="1" t="s">
        <v>3683</v>
      </c>
      <c r="E1185" t="s">
        <v>36</v>
      </c>
      <c r="G1185" t="str">
        <f>_xlfn.XLOOKUP(frasest[[#This Row],[author_es]],autorest[author_es],autorest[author_la])</f>
        <v>Proverbium Sinense</v>
      </c>
      <c r="H1185" t="str">
        <f>_xlfn.XLOOKUP(frasest[[#This Row],[author_es]],autorest[author_es],autorest[bio_es])</f>
        <v>Conjunto de proverbios tradicionales de la cultura china que transmiten sabiduría popular, valores morales y enseñanzas prácticas transmitidas oralmente durante siglos.</v>
      </c>
      <c r="I1185" t="str">
        <f>_xlfn.XLOOKUP(frasest[[#This Row],[author_es]],autorest[author_es],autorest[bio_la])</f>
        <v>Collectio sententiarum Sinensium, magnopere in cultura tradita.</v>
      </c>
      <c r="J1185" t="str">
        <f>_xlfn.XLOOKUP(frasest[[#This Row],[author_es]],autorest[author_es],autorest[iso3691])</f>
        <v>zh</v>
      </c>
      <c r="K1185" t="str">
        <f>_xlfn.XLOOKUP(frasest[[#This Row],[author_es]],autorest[author_es],autorest[language_es])</f>
        <v>Chino</v>
      </c>
      <c r="L1185" t="str">
        <f>_xlfn.XLOOKUP(frasest[[#This Row],[author_es]],autorest[author_es],autorest[language_la])</f>
        <v>Lingua Sinica</v>
      </c>
      <c r="M1185" t="str">
        <f>_xlfn.XLOOKUP(frasest[[#This Row],[author_es]],autorest[author_es],autorest[nation_es])</f>
        <v>China</v>
      </c>
      <c r="N1185" t="str">
        <f>_xlfn.XLOOKUP(frasest[[#This Row],[author_es]],autorest[author_es],autorest[nation_la])</f>
        <v>Sinae</v>
      </c>
      <c r="O1185" t="str">
        <f>_xlfn.XLOOKUP(frasest[[#This Row],[author_es]],autorest[author_es],autorest[age_es])</f>
        <v>Epoca Desconocida</v>
      </c>
      <c r="P1185" t="str">
        <f>_xlfn.XLOOKUP(frasest[[#This Row],[author_es]],autorest[author_es],autorest[age_la])</f>
        <v>Epocha Ignota</v>
      </c>
      <c r="Q1185" t="str">
        <f>_xlfn.XLOOKUP(frasest[[#This Row],[author_es]],autorest[author_es],autorest[image])</f>
        <v>https://i.ibb.co/qLfpZm6h/china.png</v>
      </c>
      <c r="R1185">
        <f>_xlfn.XLOOKUP(frasest[[#This Row],[author_es]],autorest[author_es],autorest[image_atr])</f>
        <v>0</v>
      </c>
    </row>
    <row r="1186" spans="1:18">
      <c r="A1186">
        <v>1185</v>
      </c>
      <c r="B1186" t="s">
        <v>3684</v>
      </c>
      <c r="C1186" t="s">
        <v>2372</v>
      </c>
      <c r="D1186" s="1" t="s">
        <v>3685</v>
      </c>
      <c r="E1186" t="s">
        <v>36</v>
      </c>
      <c r="G1186" t="str">
        <f>_xlfn.XLOOKUP(frasest[[#This Row],[author_es]],autorest[author_es],autorest[author_la])</f>
        <v>Proverbium Sinense</v>
      </c>
      <c r="H1186" t="str">
        <f>_xlfn.XLOOKUP(frasest[[#This Row],[author_es]],autorest[author_es],autorest[bio_es])</f>
        <v>Conjunto de proverbios tradicionales de la cultura china que transmiten sabiduría popular, valores morales y enseñanzas prácticas transmitidas oralmente durante siglos.</v>
      </c>
      <c r="I1186" t="str">
        <f>_xlfn.XLOOKUP(frasest[[#This Row],[author_es]],autorest[author_es],autorest[bio_la])</f>
        <v>Collectio sententiarum Sinensium, magnopere in cultura tradita.</v>
      </c>
      <c r="J1186" t="str">
        <f>_xlfn.XLOOKUP(frasest[[#This Row],[author_es]],autorest[author_es],autorest[iso3691])</f>
        <v>zh</v>
      </c>
      <c r="K1186" t="str">
        <f>_xlfn.XLOOKUP(frasest[[#This Row],[author_es]],autorest[author_es],autorest[language_es])</f>
        <v>Chino</v>
      </c>
      <c r="L1186" t="str">
        <f>_xlfn.XLOOKUP(frasest[[#This Row],[author_es]],autorest[author_es],autorest[language_la])</f>
        <v>Lingua Sinica</v>
      </c>
      <c r="M1186" t="str">
        <f>_xlfn.XLOOKUP(frasest[[#This Row],[author_es]],autorest[author_es],autorest[nation_es])</f>
        <v>China</v>
      </c>
      <c r="N1186" t="str">
        <f>_xlfn.XLOOKUP(frasest[[#This Row],[author_es]],autorest[author_es],autorest[nation_la])</f>
        <v>Sinae</v>
      </c>
      <c r="O1186" t="str">
        <f>_xlfn.XLOOKUP(frasest[[#This Row],[author_es]],autorest[author_es],autorest[age_es])</f>
        <v>Epoca Desconocida</v>
      </c>
      <c r="P1186" t="str">
        <f>_xlfn.XLOOKUP(frasest[[#This Row],[author_es]],autorest[author_es],autorest[age_la])</f>
        <v>Epocha Ignota</v>
      </c>
      <c r="Q1186" t="str">
        <f>_xlfn.XLOOKUP(frasest[[#This Row],[author_es]],autorest[author_es],autorest[image])</f>
        <v>https://i.ibb.co/qLfpZm6h/china.png</v>
      </c>
      <c r="R1186">
        <f>_xlfn.XLOOKUP(frasest[[#This Row],[author_es]],autorest[author_es],autorest[image_atr])</f>
        <v>0</v>
      </c>
    </row>
    <row r="1187" spans="1:18">
      <c r="A1187">
        <v>1186</v>
      </c>
      <c r="B1187" t="s">
        <v>3686</v>
      </c>
      <c r="C1187" t="s">
        <v>3687</v>
      </c>
      <c r="D1187" s="1" t="s">
        <v>3688</v>
      </c>
      <c r="E1187" t="s">
        <v>36</v>
      </c>
      <c r="G1187" t="str">
        <f>_xlfn.XLOOKUP(frasest[[#This Row],[author_es]],autorest[author_es],autorest[author_la])</f>
        <v>Proverbium Sinense</v>
      </c>
      <c r="H1187" t="str">
        <f>_xlfn.XLOOKUP(frasest[[#This Row],[author_es]],autorest[author_es],autorest[bio_es])</f>
        <v>Conjunto de proverbios tradicionales de la cultura china que transmiten sabiduría popular, valores morales y enseñanzas prácticas transmitidas oralmente durante siglos.</v>
      </c>
      <c r="I1187" t="str">
        <f>_xlfn.XLOOKUP(frasest[[#This Row],[author_es]],autorest[author_es],autorest[bio_la])</f>
        <v>Collectio sententiarum Sinensium, magnopere in cultura tradita.</v>
      </c>
      <c r="J1187" t="str">
        <f>_xlfn.XLOOKUP(frasest[[#This Row],[author_es]],autorest[author_es],autorest[iso3691])</f>
        <v>zh</v>
      </c>
      <c r="K1187" t="str">
        <f>_xlfn.XLOOKUP(frasest[[#This Row],[author_es]],autorest[author_es],autorest[language_es])</f>
        <v>Chino</v>
      </c>
      <c r="L1187" t="str">
        <f>_xlfn.XLOOKUP(frasest[[#This Row],[author_es]],autorest[author_es],autorest[language_la])</f>
        <v>Lingua Sinica</v>
      </c>
      <c r="M1187" t="str">
        <f>_xlfn.XLOOKUP(frasest[[#This Row],[author_es]],autorest[author_es],autorest[nation_es])</f>
        <v>China</v>
      </c>
      <c r="N1187" t="str">
        <f>_xlfn.XLOOKUP(frasest[[#This Row],[author_es]],autorest[author_es],autorest[nation_la])</f>
        <v>Sinae</v>
      </c>
      <c r="O1187" t="str">
        <f>_xlfn.XLOOKUP(frasest[[#This Row],[author_es]],autorest[author_es],autorest[age_es])</f>
        <v>Epoca Desconocida</v>
      </c>
      <c r="P1187" t="str">
        <f>_xlfn.XLOOKUP(frasest[[#This Row],[author_es]],autorest[author_es],autorest[age_la])</f>
        <v>Epocha Ignota</v>
      </c>
      <c r="Q1187" t="str">
        <f>_xlfn.XLOOKUP(frasest[[#This Row],[author_es]],autorest[author_es],autorest[image])</f>
        <v>https://i.ibb.co/qLfpZm6h/china.png</v>
      </c>
      <c r="R1187">
        <f>_xlfn.XLOOKUP(frasest[[#This Row],[author_es]],autorest[author_es],autorest[image_atr])</f>
        <v>0</v>
      </c>
    </row>
    <row r="1188" spans="1:18">
      <c r="A1188">
        <v>1187</v>
      </c>
      <c r="B1188" t="s">
        <v>3689</v>
      </c>
      <c r="C1188" t="s">
        <v>3690</v>
      </c>
      <c r="D1188" s="1" t="s">
        <v>3691</v>
      </c>
      <c r="E1188" t="s">
        <v>36</v>
      </c>
      <c r="G1188" t="str">
        <f>_xlfn.XLOOKUP(frasest[[#This Row],[author_es]],autorest[author_es],autorest[author_la])</f>
        <v>Proverbium Sinense</v>
      </c>
      <c r="H1188" t="str">
        <f>_xlfn.XLOOKUP(frasest[[#This Row],[author_es]],autorest[author_es],autorest[bio_es])</f>
        <v>Conjunto de proverbios tradicionales de la cultura china que transmiten sabiduría popular, valores morales y enseñanzas prácticas transmitidas oralmente durante siglos.</v>
      </c>
      <c r="I1188" t="str">
        <f>_xlfn.XLOOKUP(frasest[[#This Row],[author_es]],autorest[author_es],autorest[bio_la])</f>
        <v>Collectio sententiarum Sinensium, magnopere in cultura tradita.</v>
      </c>
      <c r="J1188" t="str">
        <f>_xlfn.XLOOKUP(frasest[[#This Row],[author_es]],autorest[author_es],autorest[iso3691])</f>
        <v>zh</v>
      </c>
      <c r="K1188" t="str">
        <f>_xlfn.XLOOKUP(frasest[[#This Row],[author_es]],autorest[author_es],autorest[language_es])</f>
        <v>Chino</v>
      </c>
      <c r="L1188" t="str">
        <f>_xlfn.XLOOKUP(frasest[[#This Row],[author_es]],autorest[author_es],autorest[language_la])</f>
        <v>Lingua Sinica</v>
      </c>
      <c r="M1188" t="str">
        <f>_xlfn.XLOOKUP(frasest[[#This Row],[author_es]],autorest[author_es],autorest[nation_es])</f>
        <v>China</v>
      </c>
      <c r="N1188" t="str">
        <f>_xlfn.XLOOKUP(frasest[[#This Row],[author_es]],autorest[author_es],autorest[nation_la])</f>
        <v>Sinae</v>
      </c>
      <c r="O1188" t="str">
        <f>_xlfn.XLOOKUP(frasest[[#This Row],[author_es]],autorest[author_es],autorest[age_es])</f>
        <v>Epoca Desconocida</v>
      </c>
      <c r="P1188" t="str">
        <f>_xlfn.XLOOKUP(frasest[[#This Row],[author_es]],autorest[author_es],autorest[age_la])</f>
        <v>Epocha Ignota</v>
      </c>
      <c r="Q1188" t="str">
        <f>_xlfn.XLOOKUP(frasest[[#This Row],[author_es]],autorest[author_es],autorest[image])</f>
        <v>https://i.ibb.co/qLfpZm6h/china.png</v>
      </c>
      <c r="R1188">
        <f>_xlfn.XLOOKUP(frasest[[#This Row],[author_es]],autorest[author_es],autorest[image_atr])</f>
        <v>0</v>
      </c>
    </row>
    <row r="1189" spans="1:18">
      <c r="A1189">
        <v>1188</v>
      </c>
      <c r="B1189" t="s">
        <v>3692</v>
      </c>
      <c r="C1189" t="s">
        <v>3693</v>
      </c>
      <c r="D1189" s="1" t="s">
        <v>3694</v>
      </c>
      <c r="E1189" t="s">
        <v>36</v>
      </c>
      <c r="G1189" t="str">
        <f>_xlfn.XLOOKUP(frasest[[#This Row],[author_es]],autorest[author_es],autorest[author_la])</f>
        <v>Proverbium Sinense</v>
      </c>
      <c r="H1189" t="str">
        <f>_xlfn.XLOOKUP(frasest[[#This Row],[author_es]],autorest[author_es],autorest[bio_es])</f>
        <v>Conjunto de proverbios tradicionales de la cultura china que transmiten sabiduría popular, valores morales y enseñanzas prácticas transmitidas oralmente durante siglos.</v>
      </c>
      <c r="I1189" t="str">
        <f>_xlfn.XLOOKUP(frasest[[#This Row],[author_es]],autorest[author_es],autorest[bio_la])</f>
        <v>Collectio sententiarum Sinensium, magnopere in cultura tradita.</v>
      </c>
      <c r="J1189" t="str">
        <f>_xlfn.XLOOKUP(frasest[[#This Row],[author_es]],autorest[author_es],autorest[iso3691])</f>
        <v>zh</v>
      </c>
      <c r="K1189" t="str">
        <f>_xlfn.XLOOKUP(frasest[[#This Row],[author_es]],autorest[author_es],autorest[language_es])</f>
        <v>Chino</v>
      </c>
      <c r="L1189" t="str">
        <f>_xlfn.XLOOKUP(frasest[[#This Row],[author_es]],autorest[author_es],autorest[language_la])</f>
        <v>Lingua Sinica</v>
      </c>
      <c r="M1189" t="str">
        <f>_xlfn.XLOOKUP(frasest[[#This Row],[author_es]],autorest[author_es],autorest[nation_es])</f>
        <v>China</v>
      </c>
      <c r="N1189" t="str">
        <f>_xlfn.XLOOKUP(frasest[[#This Row],[author_es]],autorest[author_es],autorest[nation_la])</f>
        <v>Sinae</v>
      </c>
      <c r="O1189" t="str">
        <f>_xlfn.XLOOKUP(frasest[[#This Row],[author_es]],autorest[author_es],autorest[age_es])</f>
        <v>Epoca Desconocida</v>
      </c>
      <c r="P1189" t="str">
        <f>_xlfn.XLOOKUP(frasest[[#This Row],[author_es]],autorest[author_es],autorest[age_la])</f>
        <v>Epocha Ignota</v>
      </c>
      <c r="Q1189" t="str">
        <f>_xlfn.XLOOKUP(frasest[[#This Row],[author_es]],autorest[author_es],autorest[image])</f>
        <v>https://i.ibb.co/qLfpZm6h/china.png</v>
      </c>
      <c r="R1189">
        <f>_xlfn.XLOOKUP(frasest[[#This Row],[author_es]],autorest[author_es],autorest[image_atr])</f>
        <v>0</v>
      </c>
    </row>
    <row r="1190" spans="1:18">
      <c r="A1190">
        <v>1189</v>
      </c>
      <c r="B1190" t="s">
        <v>3695</v>
      </c>
      <c r="C1190" t="s">
        <v>3011</v>
      </c>
      <c r="D1190" s="1" t="s">
        <v>3614</v>
      </c>
      <c r="E1190" t="s">
        <v>36</v>
      </c>
      <c r="G1190" t="str">
        <f>_xlfn.XLOOKUP(frasest[[#This Row],[author_es]],autorest[author_es],autorest[author_la])</f>
        <v>Proverbium Sinense</v>
      </c>
      <c r="H1190" t="str">
        <f>_xlfn.XLOOKUP(frasest[[#This Row],[author_es]],autorest[author_es],autorest[bio_es])</f>
        <v>Conjunto de proverbios tradicionales de la cultura china que transmiten sabiduría popular, valores morales y enseñanzas prácticas transmitidas oralmente durante siglos.</v>
      </c>
      <c r="I1190" t="str">
        <f>_xlfn.XLOOKUP(frasest[[#This Row],[author_es]],autorest[author_es],autorest[bio_la])</f>
        <v>Collectio sententiarum Sinensium, magnopere in cultura tradita.</v>
      </c>
      <c r="J1190" t="str">
        <f>_xlfn.XLOOKUP(frasest[[#This Row],[author_es]],autorest[author_es],autorest[iso3691])</f>
        <v>zh</v>
      </c>
      <c r="K1190" t="str">
        <f>_xlfn.XLOOKUP(frasest[[#This Row],[author_es]],autorest[author_es],autorest[language_es])</f>
        <v>Chino</v>
      </c>
      <c r="L1190" t="str">
        <f>_xlfn.XLOOKUP(frasest[[#This Row],[author_es]],autorest[author_es],autorest[language_la])</f>
        <v>Lingua Sinica</v>
      </c>
      <c r="M1190" t="str">
        <f>_xlfn.XLOOKUP(frasest[[#This Row],[author_es]],autorest[author_es],autorest[nation_es])</f>
        <v>China</v>
      </c>
      <c r="N1190" t="str">
        <f>_xlfn.XLOOKUP(frasest[[#This Row],[author_es]],autorest[author_es],autorest[nation_la])</f>
        <v>Sinae</v>
      </c>
      <c r="O1190" t="str">
        <f>_xlfn.XLOOKUP(frasest[[#This Row],[author_es]],autorest[author_es],autorest[age_es])</f>
        <v>Epoca Desconocida</v>
      </c>
      <c r="P1190" t="str">
        <f>_xlfn.XLOOKUP(frasest[[#This Row],[author_es]],autorest[author_es],autorest[age_la])</f>
        <v>Epocha Ignota</v>
      </c>
      <c r="Q1190" t="str">
        <f>_xlfn.XLOOKUP(frasest[[#This Row],[author_es]],autorest[author_es],autorest[image])</f>
        <v>https://i.ibb.co/qLfpZm6h/china.png</v>
      </c>
      <c r="R1190">
        <f>_xlfn.XLOOKUP(frasest[[#This Row],[author_es]],autorest[author_es],autorest[image_atr])</f>
        <v>0</v>
      </c>
    </row>
    <row r="1191" spans="1:18">
      <c r="A1191">
        <v>1190</v>
      </c>
      <c r="B1191" t="s">
        <v>3696</v>
      </c>
      <c r="C1191" t="s">
        <v>3697</v>
      </c>
      <c r="D1191" s="1" t="s">
        <v>3698</v>
      </c>
      <c r="E1191" t="s">
        <v>36</v>
      </c>
      <c r="G1191" t="str">
        <f>_xlfn.XLOOKUP(frasest[[#This Row],[author_es]],autorest[author_es],autorest[author_la])</f>
        <v>Proverbium Sinense</v>
      </c>
      <c r="H1191" t="str">
        <f>_xlfn.XLOOKUP(frasest[[#This Row],[author_es]],autorest[author_es],autorest[bio_es])</f>
        <v>Conjunto de proverbios tradicionales de la cultura china que transmiten sabiduría popular, valores morales y enseñanzas prácticas transmitidas oralmente durante siglos.</v>
      </c>
      <c r="I1191" t="str">
        <f>_xlfn.XLOOKUP(frasest[[#This Row],[author_es]],autorest[author_es],autorest[bio_la])</f>
        <v>Collectio sententiarum Sinensium, magnopere in cultura tradita.</v>
      </c>
      <c r="J1191" t="str">
        <f>_xlfn.XLOOKUP(frasest[[#This Row],[author_es]],autorest[author_es],autorest[iso3691])</f>
        <v>zh</v>
      </c>
      <c r="K1191" t="str">
        <f>_xlfn.XLOOKUP(frasest[[#This Row],[author_es]],autorest[author_es],autorest[language_es])</f>
        <v>Chino</v>
      </c>
      <c r="L1191" t="str">
        <f>_xlfn.XLOOKUP(frasest[[#This Row],[author_es]],autorest[author_es],autorest[language_la])</f>
        <v>Lingua Sinica</v>
      </c>
      <c r="M1191" t="str">
        <f>_xlfn.XLOOKUP(frasest[[#This Row],[author_es]],autorest[author_es],autorest[nation_es])</f>
        <v>China</v>
      </c>
      <c r="N1191" t="str">
        <f>_xlfn.XLOOKUP(frasest[[#This Row],[author_es]],autorest[author_es],autorest[nation_la])</f>
        <v>Sinae</v>
      </c>
      <c r="O1191" t="str">
        <f>_xlfn.XLOOKUP(frasest[[#This Row],[author_es]],autorest[author_es],autorest[age_es])</f>
        <v>Epoca Desconocida</v>
      </c>
      <c r="P1191" t="str">
        <f>_xlfn.XLOOKUP(frasest[[#This Row],[author_es]],autorest[author_es],autorest[age_la])</f>
        <v>Epocha Ignota</v>
      </c>
      <c r="Q1191" t="str">
        <f>_xlfn.XLOOKUP(frasest[[#This Row],[author_es]],autorest[author_es],autorest[image])</f>
        <v>https://i.ibb.co/qLfpZm6h/china.png</v>
      </c>
      <c r="R1191">
        <f>_xlfn.XLOOKUP(frasest[[#This Row],[author_es]],autorest[author_es],autorest[image_atr])</f>
        <v>0</v>
      </c>
    </row>
    <row r="1192" spans="1:18">
      <c r="A1192">
        <v>1191</v>
      </c>
      <c r="B1192" t="s">
        <v>3699</v>
      </c>
      <c r="C1192" t="s">
        <v>3700</v>
      </c>
      <c r="D1192" s="1" t="s">
        <v>3701</v>
      </c>
      <c r="E1192" t="s">
        <v>36</v>
      </c>
      <c r="G1192" t="str">
        <f>_xlfn.XLOOKUP(frasest[[#This Row],[author_es]],autorest[author_es],autorest[author_la])</f>
        <v>Proverbium Sinense</v>
      </c>
      <c r="H1192" t="str">
        <f>_xlfn.XLOOKUP(frasest[[#This Row],[author_es]],autorest[author_es],autorest[bio_es])</f>
        <v>Conjunto de proverbios tradicionales de la cultura china que transmiten sabiduría popular, valores morales y enseñanzas prácticas transmitidas oralmente durante siglos.</v>
      </c>
      <c r="I1192" t="str">
        <f>_xlfn.XLOOKUP(frasest[[#This Row],[author_es]],autorest[author_es],autorest[bio_la])</f>
        <v>Collectio sententiarum Sinensium, magnopere in cultura tradita.</v>
      </c>
      <c r="J1192" t="str">
        <f>_xlfn.XLOOKUP(frasest[[#This Row],[author_es]],autorest[author_es],autorest[iso3691])</f>
        <v>zh</v>
      </c>
      <c r="K1192" t="str">
        <f>_xlfn.XLOOKUP(frasest[[#This Row],[author_es]],autorest[author_es],autorest[language_es])</f>
        <v>Chino</v>
      </c>
      <c r="L1192" t="str">
        <f>_xlfn.XLOOKUP(frasest[[#This Row],[author_es]],autorest[author_es],autorest[language_la])</f>
        <v>Lingua Sinica</v>
      </c>
      <c r="M1192" t="str">
        <f>_xlfn.XLOOKUP(frasest[[#This Row],[author_es]],autorest[author_es],autorest[nation_es])</f>
        <v>China</v>
      </c>
      <c r="N1192" t="str">
        <f>_xlfn.XLOOKUP(frasest[[#This Row],[author_es]],autorest[author_es],autorest[nation_la])</f>
        <v>Sinae</v>
      </c>
      <c r="O1192" t="str">
        <f>_xlfn.XLOOKUP(frasest[[#This Row],[author_es]],autorest[author_es],autorest[age_es])</f>
        <v>Epoca Desconocida</v>
      </c>
      <c r="P1192" t="str">
        <f>_xlfn.XLOOKUP(frasest[[#This Row],[author_es]],autorest[author_es],autorest[age_la])</f>
        <v>Epocha Ignota</v>
      </c>
      <c r="Q1192" t="str">
        <f>_xlfn.XLOOKUP(frasest[[#This Row],[author_es]],autorest[author_es],autorest[image])</f>
        <v>https://i.ibb.co/qLfpZm6h/china.png</v>
      </c>
      <c r="R1192">
        <f>_xlfn.XLOOKUP(frasest[[#This Row],[author_es]],autorest[author_es],autorest[image_atr])</f>
        <v>0</v>
      </c>
    </row>
    <row r="1193" spans="1:18">
      <c r="A1193">
        <v>1192</v>
      </c>
      <c r="B1193" t="s">
        <v>3702</v>
      </c>
      <c r="C1193" t="s">
        <v>3703</v>
      </c>
      <c r="D1193" s="1" t="s">
        <v>3704</v>
      </c>
      <c r="E1193" t="s">
        <v>36</v>
      </c>
      <c r="G1193" t="str">
        <f>_xlfn.XLOOKUP(frasest[[#This Row],[author_es]],autorest[author_es],autorest[author_la])</f>
        <v>Proverbium Sinense</v>
      </c>
      <c r="H1193" t="str">
        <f>_xlfn.XLOOKUP(frasest[[#This Row],[author_es]],autorest[author_es],autorest[bio_es])</f>
        <v>Conjunto de proverbios tradicionales de la cultura china que transmiten sabiduría popular, valores morales y enseñanzas prácticas transmitidas oralmente durante siglos.</v>
      </c>
      <c r="I1193" t="str">
        <f>_xlfn.XLOOKUP(frasest[[#This Row],[author_es]],autorest[author_es],autorest[bio_la])</f>
        <v>Collectio sententiarum Sinensium, magnopere in cultura tradita.</v>
      </c>
      <c r="J1193" t="str">
        <f>_xlfn.XLOOKUP(frasest[[#This Row],[author_es]],autorest[author_es],autorest[iso3691])</f>
        <v>zh</v>
      </c>
      <c r="K1193" t="str">
        <f>_xlfn.XLOOKUP(frasest[[#This Row],[author_es]],autorest[author_es],autorest[language_es])</f>
        <v>Chino</v>
      </c>
      <c r="L1193" t="str">
        <f>_xlfn.XLOOKUP(frasest[[#This Row],[author_es]],autorest[author_es],autorest[language_la])</f>
        <v>Lingua Sinica</v>
      </c>
      <c r="M1193" t="str">
        <f>_xlfn.XLOOKUP(frasest[[#This Row],[author_es]],autorest[author_es],autorest[nation_es])</f>
        <v>China</v>
      </c>
      <c r="N1193" t="str">
        <f>_xlfn.XLOOKUP(frasest[[#This Row],[author_es]],autorest[author_es],autorest[nation_la])</f>
        <v>Sinae</v>
      </c>
      <c r="O1193" t="str">
        <f>_xlfn.XLOOKUP(frasest[[#This Row],[author_es]],autorest[author_es],autorest[age_es])</f>
        <v>Epoca Desconocida</v>
      </c>
      <c r="P1193" t="str">
        <f>_xlfn.XLOOKUP(frasest[[#This Row],[author_es]],autorest[author_es],autorest[age_la])</f>
        <v>Epocha Ignota</v>
      </c>
      <c r="Q1193" t="str">
        <f>_xlfn.XLOOKUP(frasest[[#This Row],[author_es]],autorest[author_es],autorest[image])</f>
        <v>https://i.ibb.co/qLfpZm6h/china.png</v>
      </c>
      <c r="R1193">
        <f>_xlfn.XLOOKUP(frasest[[#This Row],[author_es]],autorest[author_es],autorest[image_atr])</f>
        <v>0</v>
      </c>
    </row>
    <row r="1194" spans="1:18">
      <c r="A1194">
        <v>1193</v>
      </c>
      <c r="B1194" t="s">
        <v>3705</v>
      </c>
      <c r="C1194" t="s">
        <v>3706</v>
      </c>
      <c r="D1194" s="1" t="s">
        <v>3707</v>
      </c>
      <c r="E1194" t="s">
        <v>36</v>
      </c>
      <c r="G1194" t="str">
        <f>_xlfn.XLOOKUP(frasest[[#This Row],[author_es]],autorest[author_es],autorest[author_la])</f>
        <v>Proverbium Sinense</v>
      </c>
      <c r="H1194" t="str">
        <f>_xlfn.XLOOKUP(frasest[[#This Row],[author_es]],autorest[author_es],autorest[bio_es])</f>
        <v>Conjunto de proverbios tradicionales de la cultura china que transmiten sabiduría popular, valores morales y enseñanzas prácticas transmitidas oralmente durante siglos.</v>
      </c>
      <c r="I1194" t="str">
        <f>_xlfn.XLOOKUP(frasest[[#This Row],[author_es]],autorest[author_es],autorest[bio_la])</f>
        <v>Collectio sententiarum Sinensium, magnopere in cultura tradita.</v>
      </c>
      <c r="J1194" t="str">
        <f>_xlfn.XLOOKUP(frasest[[#This Row],[author_es]],autorest[author_es],autorest[iso3691])</f>
        <v>zh</v>
      </c>
      <c r="K1194" t="str">
        <f>_xlfn.XLOOKUP(frasest[[#This Row],[author_es]],autorest[author_es],autorest[language_es])</f>
        <v>Chino</v>
      </c>
      <c r="L1194" t="str">
        <f>_xlfn.XLOOKUP(frasest[[#This Row],[author_es]],autorest[author_es],autorest[language_la])</f>
        <v>Lingua Sinica</v>
      </c>
      <c r="M1194" t="str">
        <f>_xlfn.XLOOKUP(frasest[[#This Row],[author_es]],autorest[author_es],autorest[nation_es])</f>
        <v>China</v>
      </c>
      <c r="N1194" t="str">
        <f>_xlfn.XLOOKUP(frasest[[#This Row],[author_es]],autorest[author_es],autorest[nation_la])</f>
        <v>Sinae</v>
      </c>
      <c r="O1194" t="str">
        <f>_xlfn.XLOOKUP(frasest[[#This Row],[author_es]],autorest[author_es],autorest[age_es])</f>
        <v>Epoca Desconocida</v>
      </c>
      <c r="P1194" t="str">
        <f>_xlfn.XLOOKUP(frasest[[#This Row],[author_es]],autorest[author_es],autorest[age_la])</f>
        <v>Epocha Ignota</v>
      </c>
      <c r="Q1194" t="str">
        <f>_xlfn.XLOOKUP(frasest[[#This Row],[author_es]],autorest[author_es],autorest[image])</f>
        <v>https://i.ibb.co/qLfpZm6h/china.png</v>
      </c>
      <c r="R1194">
        <f>_xlfn.XLOOKUP(frasest[[#This Row],[author_es]],autorest[author_es],autorest[image_atr])</f>
        <v>0</v>
      </c>
    </row>
    <row r="1195" spans="1:18">
      <c r="A1195">
        <v>1194</v>
      </c>
      <c r="B1195" t="s">
        <v>3708</v>
      </c>
      <c r="C1195" t="s">
        <v>3709</v>
      </c>
      <c r="D1195" s="1" t="s">
        <v>3258</v>
      </c>
      <c r="E1195" t="s">
        <v>36</v>
      </c>
      <c r="G1195" t="str">
        <f>_xlfn.XLOOKUP(frasest[[#This Row],[author_es]],autorest[author_es],autorest[author_la])</f>
        <v>Proverbium Sinense</v>
      </c>
      <c r="H1195" t="str">
        <f>_xlfn.XLOOKUP(frasest[[#This Row],[author_es]],autorest[author_es],autorest[bio_es])</f>
        <v>Conjunto de proverbios tradicionales de la cultura china que transmiten sabiduría popular, valores morales y enseñanzas prácticas transmitidas oralmente durante siglos.</v>
      </c>
      <c r="I1195" t="str">
        <f>_xlfn.XLOOKUP(frasest[[#This Row],[author_es]],autorest[author_es],autorest[bio_la])</f>
        <v>Collectio sententiarum Sinensium, magnopere in cultura tradita.</v>
      </c>
      <c r="J1195" t="str">
        <f>_xlfn.XLOOKUP(frasest[[#This Row],[author_es]],autorest[author_es],autorest[iso3691])</f>
        <v>zh</v>
      </c>
      <c r="K1195" t="str">
        <f>_xlfn.XLOOKUP(frasest[[#This Row],[author_es]],autorest[author_es],autorest[language_es])</f>
        <v>Chino</v>
      </c>
      <c r="L1195" t="str">
        <f>_xlfn.XLOOKUP(frasest[[#This Row],[author_es]],autorest[author_es],autorest[language_la])</f>
        <v>Lingua Sinica</v>
      </c>
      <c r="M1195" t="str">
        <f>_xlfn.XLOOKUP(frasest[[#This Row],[author_es]],autorest[author_es],autorest[nation_es])</f>
        <v>China</v>
      </c>
      <c r="N1195" t="str">
        <f>_xlfn.XLOOKUP(frasest[[#This Row],[author_es]],autorest[author_es],autorest[nation_la])</f>
        <v>Sinae</v>
      </c>
      <c r="O1195" t="str">
        <f>_xlfn.XLOOKUP(frasest[[#This Row],[author_es]],autorest[author_es],autorest[age_es])</f>
        <v>Epoca Desconocida</v>
      </c>
      <c r="P1195" t="str">
        <f>_xlfn.XLOOKUP(frasest[[#This Row],[author_es]],autorest[author_es],autorest[age_la])</f>
        <v>Epocha Ignota</v>
      </c>
      <c r="Q1195" t="str">
        <f>_xlfn.XLOOKUP(frasest[[#This Row],[author_es]],autorest[author_es],autorest[image])</f>
        <v>https://i.ibb.co/qLfpZm6h/china.png</v>
      </c>
      <c r="R1195">
        <f>_xlfn.XLOOKUP(frasest[[#This Row],[author_es]],autorest[author_es],autorest[image_atr])</f>
        <v>0</v>
      </c>
    </row>
    <row r="1196" spans="1:18">
      <c r="A1196">
        <v>1195</v>
      </c>
      <c r="B1196" t="s">
        <v>3710</v>
      </c>
      <c r="C1196" t="s">
        <v>2997</v>
      </c>
      <c r="D1196" s="1" t="s">
        <v>3711</v>
      </c>
      <c r="E1196" t="s">
        <v>36</v>
      </c>
      <c r="G1196" t="str">
        <f>_xlfn.XLOOKUP(frasest[[#This Row],[author_es]],autorest[author_es],autorest[author_la])</f>
        <v>Proverbium Sinense</v>
      </c>
      <c r="H1196" t="str">
        <f>_xlfn.XLOOKUP(frasest[[#This Row],[author_es]],autorest[author_es],autorest[bio_es])</f>
        <v>Conjunto de proverbios tradicionales de la cultura china que transmiten sabiduría popular, valores morales y enseñanzas prácticas transmitidas oralmente durante siglos.</v>
      </c>
      <c r="I1196" t="str">
        <f>_xlfn.XLOOKUP(frasest[[#This Row],[author_es]],autorest[author_es],autorest[bio_la])</f>
        <v>Collectio sententiarum Sinensium, magnopere in cultura tradita.</v>
      </c>
      <c r="J1196" t="str">
        <f>_xlfn.XLOOKUP(frasest[[#This Row],[author_es]],autorest[author_es],autorest[iso3691])</f>
        <v>zh</v>
      </c>
      <c r="K1196" t="str">
        <f>_xlfn.XLOOKUP(frasest[[#This Row],[author_es]],autorest[author_es],autorest[language_es])</f>
        <v>Chino</v>
      </c>
      <c r="L1196" t="str">
        <f>_xlfn.XLOOKUP(frasest[[#This Row],[author_es]],autorest[author_es],autorest[language_la])</f>
        <v>Lingua Sinica</v>
      </c>
      <c r="M1196" t="str">
        <f>_xlfn.XLOOKUP(frasest[[#This Row],[author_es]],autorest[author_es],autorest[nation_es])</f>
        <v>China</v>
      </c>
      <c r="N1196" t="str">
        <f>_xlfn.XLOOKUP(frasest[[#This Row],[author_es]],autorest[author_es],autorest[nation_la])</f>
        <v>Sinae</v>
      </c>
      <c r="O1196" t="str">
        <f>_xlfn.XLOOKUP(frasest[[#This Row],[author_es]],autorest[author_es],autorest[age_es])</f>
        <v>Epoca Desconocida</v>
      </c>
      <c r="P1196" t="str">
        <f>_xlfn.XLOOKUP(frasest[[#This Row],[author_es]],autorest[author_es],autorest[age_la])</f>
        <v>Epocha Ignota</v>
      </c>
      <c r="Q1196" t="str">
        <f>_xlfn.XLOOKUP(frasest[[#This Row],[author_es]],autorest[author_es],autorest[image])</f>
        <v>https://i.ibb.co/qLfpZm6h/china.png</v>
      </c>
      <c r="R1196">
        <f>_xlfn.XLOOKUP(frasest[[#This Row],[author_es]],autorest[author_es],autorest[image_atr])</f>
        <v>0</v>
      </c>
    </row>
    <row r="1197" spans="1:18">
      <c r="A1197">
        <v>1196</v>
      </c>
      <c r="B1197" t="s">
        <v>2986</v>
      </c>
      <c r="C1197" t="s">
        <v>2987</v>
      </c>
      <c r="D1197" s="1" t="s">
        <v>3712</v>
      </c>
      <c r="E1197" t="s">
        <v>36</v>
      </c>
      <c r="G1197" t="str">
        <f>_xlfn.XLOOKUP(frasest[[#This Row],[author_es]],autorest[author_es],autorest[author_la])</f>
        <v>Proverbium Sinense</v>
      </c>
      <c r="H1197" t="str">
        <f>_xlfn.XLOOKUP(frasest[[#This Row],[author_es]],autorest[author_es],autorest[bio_es])</f>
        <v>Conjunto de proverbios tradicionales de la cultura china que transmiten sabiduría popular, valores morales y enseñanzas prácticas transmitidas oralmente durante siglos.</v>
      </c>
      <c r="I1197" t="str">
        <f>_xlfn.XLOOKUP(frasest[[#This Row],[author_es]],autorest[author_es],autorest[bio_la])</f>
        <v>Collectio sententiarum Sinensium, magnopere in cultura tradita.</v>
      </c>
      <c r="J1197" t="str">
        <f>_xlfn.XLOOKUP(frasest[[#This Row],[author_es]],autorest[author_es],autorest[iso3691])</f>
        <v>zh</v>
      </c>
      <c r="K1197" t="str">
        <f>_xlfn.XLOOKUP(frasest[[#This Row],[author_es]],autorest[author_es],autorest[language_es])</f>
        <v>Chino</v>
      </c>
      <c r="L1197" t="str">
        <f>_xlfn.XLOOKUP(frasest[[#This Row],[author_es]],autorest[author_es],autorest[language_la])</f>
        <v>Lingua Sinica</v>
      </c>
      <c r="M1197" t="str">
        <f>_xlfn.XLOOKUP(frasest[[#This Row],[author_es]],autorest[author_es],autorest[nation_es])</f>
        <v>China</v>
      </c>
      <c r="N1197" t="str">
        <f>_xlfn.XLOOKUP(frasest[[#This Row],[author_es]],autorest[author_es],autorest[nation_la])</f>
        <v>Sinae</v>
      </c>
      <c r="O1197" t="str">
        <f>_xlfn.XLOOKUP(frasest[[#This Row],[author_es]],autorest[author_es],autorest[age_es])</f>
        <v>Epoca Desconocida</v>
      </c>
      <c r="P1197" t="str">
        <f>_xlfn.XLOOKUP(frasest[[#This Row],[author_es]],autorest[author_es],autorest[age_la])</f>
        <v>Epocha Ignota</v>
      </c>
      <c r="Q1197" t="str">
        <f>_xlfn.XLOOKUP(frasest[[#This Row],[author_es]],autorest[author_es],autorest[image])</f>
        <v>https://i.ibb.co/qLfpZm6h/china.png</v>
      </c>
      <c r="R1197">
        <f>_xlfn.XLOOKUP(frasest[[#This Row],[author_es]],autorest[author_es],autorest[image_atr])</f>
        <v>0</v>
      </c>
    </row>
    <row r="1198" spans="1:18">
      <c r="A1198">
        <v>1197</v>
      </c>
      <c r="B1198" t="s">
        <v>3713</v>
      </c>
      <c r="C1198" t="s">
        <v>3714</v>
      </c>
      <c r="D1198" s="1" t="s">
        <v>3715</v>
      </c>
      <c r="E1198" t="s">
        <v>36</v>
      </c>
      <c r="G1198" t="str">
        <f>_xlfn.XLOOKUP(frasest[[#This Row],[author_es]],autorest[author_es],autorest[author_la])</f>
        <v>Proverbium Sinense</v>
      </c>
      <c r="H1198" t="str">
        <f>_xlfn.XLOOKUP(frasest[[#This Row],[author_es]],autorest[author_es],autorest[bio_es])</f>
        <v>Conjunto de proverbios tradicionales de la cultura china que transmiten sabiduría popular, valores morales y enseñanzas prácticas transmitidas oralmente durante siglos.</v>
      </c>
      <c r="I1198" t="str">
        <f>_xlfn.XLOOKUP(frasest[[#This Row],[author_es]],autorest[author_es],autorest[bio_la])</f>
        <v>Collectio sententiarum Sinensium, magnopere in cultura tradita.</v>
      </c>
      <c r="J1198" t="str">
        <f>_xlfn.XLOOKUP(frasest[[#This Row],[author_es]],autorest[author_es],autorest[iso3691])</f>
        <v>zh</v>
      </c>
      <c r="K1198" t="str">
        <f>_xlfn.XLOOKUP(frasest[[#This Row],[author_es]],autorest[author_es],autorest[language_es])</f>
        <v>Chino</v>
      </c>
      <c r="L1198" t="str">
        <f>_xlfn.XLOOKUP(frasest[[#This Row],[author_es]],autorest[author_es],autorest[language_la])</f>
        <v>Lingua Sinica</v>
      </c>
      <c r="M1198" t="str">
        <f>_xlfn.XLOOKUP(frasest[[#This Row],[author_es]],autorest[author_es],autorest[nation_es])</f>
        <v>China</v>
      </c>
      <c r="N1198" t="str">
        <f>_xlfn.XLOOKUP(frasest[[#This Row],[author_es]],autorest[author_es],autorest[nation_la])</f>
        <v>Sinae</v>
      </c>
      <c r="O1198" t="str">
        <f>_xlfn.XLOOKUP(frasest[[#This Row],[author_es]],autorest[author_es],autorest[age_es])</f>
        <v>Epoca Desconocida</v>
      </c>
      <c r="P1198" t="str">
        <f>_xlfn.XLOOKUP(frasest[[#This Row],[author_es]],autorest[author_es],autorest[age_la])</f>
        <v>Epocha Ignota</v>
      </c>
      <c r="Q1198" t="str">
        <f>_xlfn.XLOOKUP(frasest[[#This Row],[author_es]],autorest[author_es],autorest[image])</f>
        <v>https://i.ibb.co/qLfpZm6h/china.png</v>
      </c>
      <c r="R1198">
        <f>_xlfn.XLOOKUP(frasest[[#This Row],[author_es]],autorest[author_es],autorest[image_atr])</f>
        <v>0</v>
      </c>
    </row>
    <row r="1199" spans="1:18">
      <c r="A1199">
        <v>1198</v>
      </c>
      <c r="B1199" t="s">
        <v>3716</v>
      </c>
      <c r="C1199" t="s">
        <v>3717</v>
      </c>
      <c r="D1199" s="1" t="s">
        <v>3541</v>
      </c>
      <c r="E1199" t="s">
        <v>36</v>
      </c>
      <c r="G1199" t="str">
        <f>_xlfn.XLOOKUP(frasest[[#This Row],[author_es]],autorest[author_es],autorest[author_la])</f>
        <v>Proverbium Sinense</v>
      </c>
      <c r="H1199" t="str">
        <f>_xlfn.XLOOKUP(frasest[[#This Row],[author_es]],autorest[author_es],autorest[bio_es])</f>
        <v>Conjunto de proverbios tradicionales de la cultura china que transmiten sabiduría popular, valores morales y enseñanzas prácticas transmitidas oralmente durante siglos.</v>
      </c>
      <c r="I1199" t="str">
        <f>_xlfn.XLOOKUP(frasest[[#This Row],[author_es]],autorest[author_es],autorest[bio_la])</f>
        <v>Collectio sententiarum Sinensium, magnopere in cultura tradita.</v>
      </c>
      <c r="J1199" t="str">
        <f>_xlfn.XLOOKUP(frasest[[#This Row],[author_es]],autorest[author_es],autorest[iso3691])</f>
        <v>zh</v>
      </c>
      <c r="K1199" t="str">
        <f>_xlfn.XLOOKUP(frasest[[#This Row],[author_es]],autorest[author_es],autorest[language_es])</f>
        <v>Chino</v>
      </c>
      <c r="L1199" t="str">
        <f>_xlfn.XLOOKUP(frasest[[#This Row],[author_es]],autorest[author_es],autorest[language_la])</f>
        <v>Lingua Sinica</v>
      </c>
      <c r="M1199" t="str">
        <f>_xlfn.XLOOKUP(frasest[[#This Row],[author_es]],autorest[author_es],autorest[nation_es])</f>
        <v>China</v>
      </c>
      <c r="N1199" t="str">
        <f>_xlfn.XLOOKUP(frasest[[#This Row],[author_es]],autorest[author_es],autorest[nation_la])</f>
        <v>Sinae</v>
      </c>
      <c r="O1199" t="str">
        <f>_xlfn.XLOOKUP(frasest[[#This Row],[author_es]],autorest[author_es],autorest[age_es])</f>
        <v>Epoca Desconocida</v>
      </c>
      <c r="P1199" t="str">
        <f>_xlfn.XLOOKUP(frasest[[#This Row],[author_es]],autorest[author_es],autorest[age_la])</f>
        <v>Epocha Ignota</v>
      </c>
      <c r="Q1199" t="str">
        <f>_xlfn.XLOOKUP(frasest[[#This Row],[author_es]],autorest[author_es],autorest[image])</f>
        <v>https://i.ibb.co/qLfpZm6h/china.png</v>
      </c>
      <c r="R1199">
        <f>_xlfn.XLOOKUP(frasest[[#This Row],[author_es]],autorest[author_es],autorest[image_atr])</f>
        <v>0</v>
      </c>
    </row>
    <row r="1200" spans="1:18">
      <c r="A1200">
        <v>1199</v>
      </c>
      <c r="B1200" t="s">
        <v>3718</v>
      </c>
      <c r="C1200" t="s">
        <v>3719</v>
      </c>
      <c r="D1200" s="1" t="s">
        <v>3720</v>
      </c>
      <c r="E1200" t="s">
        <v>36</v>
      </c>
      <c r="G1200" t="str">
        <f>_xlfn.XLOOKUP(frasest[[#This Row],[author_es]],autorest[author_es],autorest[author_la])</f>
        <v>Proverbium Sinense</v>
      </c>
      <c r="H1200" t="str">
        <f>_xlfn.XLOOKUP(frasest[[#This Row],[author_es]],autorest[author_es],autorest[bio_es])</f>
        <v>Conjunto de proverbios tradicionales de la cultura china que transmiten sabiduría popular, valores morales y enseñanzas prácticas transmitidas oralmente durante siglos.</v>
      </c>
      <c r="I1200" t="str">
        <f>_xlfn.XLOOKUP(frasest[[#This Row],[author_es]],autorest[author_es],autorest[bio_la])</f>
        <v>Collectio sententiarum Sinensium, magnopere in cultura tradita.</v>
      </c>
      <c r="J1200" t="str">
        <f>_xlfn.XLOOKUP(frasest[[#This Row],[author_es]],autorest[author_es],autorest[iso3691])</f>
        <v>zh</v>
      </c>
      <c r="K1200" t="str">
        <f>_xlfn.XLOOKUP(frasest[[#This Row],[author_es]],autorest[author_es],autorest[language_es])</f>
        <v>Chino</v>
      </c>
      <c r="L1200" t="str">
        <f>_xlfn.XLOOKUP(frasest[[#This Row],[author_es]],autorest[author_es],autorest[language_la])</f>
        <v>Lingua Sinica</v>
      </c>
      <c r="M1200" t="str">
        <f>_xlfn.XLOOKUP(frasest[[#This Row],[author_es]],autorest[author_es],autorest[nation_es])</f>
        <v>China</v>
      </c>
      <c r="N1200" t="str">
        <f>_xlfn.XLOOKUP(frasest[[#This Row],[author_es]],autorest[author_es],autorest[nation_la])</f>
        <v>Sinae</v>
      </c>
      <c r="O1200" t="str">
        <f>_xlfn.XLOOKUP(frasest[[#This Row],[author_es]],autorest[author_es],autorest[age_es])</f>
        <v>Epoca Desconocida</v>
      </c>
      <c r="P1200" t="str">
        <f>_xlfn.XLOOKUP(frasest[[#This Row],[author_es]],autorest[author_es],autorest[age_la])</f>
        <v>Epocha Ignota</v>
      </c>
      <c r="Q1200" t="str">
        <f>_xlfn.XLOOKUP(frasest[[#This Row],[author_es]],autorest[author_es],autorest[image])</f>
        <v>https://i.ibb.co/qLfpZm6h/china.png</v>
      </c>
      <c r="R1200">
        <f>_xlfn.XLOOKUP(frasest[[#This Row],[author_es]],autorest[author_es],autorest[image_atr])</f>
        <v>0</v>
      </c>
    </row>
    <row r="1201" spans="1:18">
      <c r="A1201">
        <v>1200</v>
      </c>
      <c r="B1201" t="s">
        <v>3721</v>
      </c>
      <c r="C1201" t="s">
        <v>3722</v>
      </c>
      <c r="D1201" s="1" t="s">
        <v>3723</v>
      </c>
      <c r="E1201" t="s">
        <v>36</v>
      </c>
      <c r="G1201" t="str">
        <f>_xlfn.XLOOKUP(frasest[[#This Row],[author_es]],autorest[author_es],autorest[author_la])</f>
        <v>Proverbium Sinense</v>
      </c>
      <c r="H1201" t="str">
        <f>_xlfn.XLOOKUP(frasest[[#This Row],[author_es]],autorest[author_es],autorest[bio_es])</f>
        <v>Conjunto de proverbios tradicionales de la cultura china que transmiten sabiduría popular, valores morales y enseñanzas prácticas transmitidas oralmente durante siglos.</v>
      </c>
      <c r="I1201" t="str">
        <f>_xlfn.XLOOKUP(frasest[[#This Row],[author_es]],autorest[author_es],autorest[bio_la])</f>
        <v>Collectio sententiarum Sinensium, magnopere in cultura tradita.</v>
      </c>
      <c r="J1201" t="str">
        <f>_xlfn.XLOOKUP(frasest[[#This Row],[author_es]],autorest[author_es],autorest[iso3691])</f>
        <v>zh</v>
      </c>
      <c r="K1201" t="str">
        <f>_xlfn.XLOOKUP(frasest[[#This Row],[author_es]],autorest[author_es],autorest[language_es])</f>
        <v>Chino</v>
      </c>
      <c r="L1201" t="str">
        <f>_xlfn.XLOOKUP(frasest[[#This Row],[author_es]],autorest[author_es],autorest[language_la])</f>
        <v>Lingua Sinica</v>
      </c>
      <c r="M1201" t="str">
        <f>_xlfn.XLOOKUP(frasest[[#This Row],[author_es]],autorest[author_es],autorest[nation_es])</f>
        <v>China</v>
      </c>
      <c r="N1201" t="str">
        <f>_xlfn.XLOOKUP(frasest[[#This Row],[author_es]],autorest[author_es],autorest[nation_la])</f>
        <v>Sinae</v>
      </c>
      <c r="O1201" t="str">
        <f>_xlfn.XLOOKUP(frasest[[#This Row],[author_es]],autorest[author_es],autorest[age_es])</f>
        <v>Epoca Desconocida</v>
      </c>
      <c r="P1201" t="str">
        <f>_xlfn.XLOOKUP(frasest[[#This Row],[author_es]],autorest[author_es],autorest[age_la])</f>
        <v>Epocha Ignota</v>
      </c>
      <c r="Q1201" t="str">
        <f>_xlfn.XLOOKUP(frasest[[#This Row],[author_es]],autorest[author_es],autorest[image])</f>
        <v>https://i.ibb.co/qLfpZm6h/china.png</v>
      </c>
      <c r="R1201">
        <f>_xlfn.XLOOKUP(frasest[[#This Row],[author_es]],autorest[author_es],autorest[image_atr])</f>
        <v>0</v>
      </c>
    </row>
    <row r="1202" spans="1:18">
      <c r="A1202">
        <v>1201</v>
      </c>
      <c r="B1202" t="s">
        <v>3724</v>
      </c>
      <c r="C1202" t="s">
        <v>3725</v>
      </c>
      <c r="D1202" s="1" t="s">
        <v>3555</v>
      </c>
      <c r="E1202" t="s">
        <v>36</v>
      </c>
      <c r="G1202" t="str">
        <f>_xlfn.XLOOKUP(frasest[[#This Row],[author_es]],autorest[author_es],autorest[author_la])</f>
        <v>Proverbium Sinense</v>
      </c>
      <c r="H1202" t="str">
        <f>_xlfn.XLOOKUP(frasest[[#This Row],[author_es]],autorest[author_es],autorest[bio_es])</f>
        <v>Conjunto de proverbios tradicionales de la cultura china que transmiten sabiduría popular, valores morales y enseñanzas prácticas transmitidas oralmente durante siglos.</v>
      </c>
      <c r="I1202" t="str">
        <f>_xlfn.XLOOKUP(frasest[[#This Row],[author_es]],autorest[author_es],autorest[bio_la])</f>
        <v>Collectio sententiarum Sinensium, magnopere in cultura tradita.</v>
      </c>
      <c r="J1202" t="str">
        <f>_xlfn.XLOOKUP(frasest[[#This Row],[author_es]],autorest[author_es],autorest[iso3691])</f>
        <v>zh</v>
      </c>
      <c r="K1202" t="str">
        <f>_xlfn.XLOOKUP(frasest[[#This Row],[author_es]],autorest[author_es],autorest[language_es])</f>
        <v>Chino</v>
      </c>
      <c r="L1202" t="str">
        <f>_xlfn.XLOOKUP(frasest[[#This Row],[author_es]],autorest[author_es],autorest[language_la])</f>
        <v>Lingua Sinica</v>
      </c>
      <c r="M1202" t="str">
        <f>_xlfn.XLOOKUP(frasest[[#This Row],[author_es]],autorest[author_es],autorest[nation_es])</f>
        <v>China</v>
      </c>
      <c r="N1202" t="str">
        <f>_xlfn.XLOOKUP(frasest[[#This Row],[author_es]],autorest[author_es],autorest[nation_la])</f>
        <v>Sinae</v>
      </c>
      <c r="O1202" t="str">
        <f>_xlfn.XLOOKUP(frasest[[#This Row],[author_es]],autorest[author_es],autorest[age_es])</f>
        <v>Epoca Desconocida</v>
      </c>
      <c r="P1202" t="str">
        <f>_xlfn.XLOOKUP(frasest[[#This Row],[author_es]],autorest[author_es],autorest[age_la])</f>
        <v>Epocha Ignota</v>
      </c>
      <c r="Q1202" t="str">
        <f>_xlfn.XLOOKUP(frasest[[#This Row],[author_es]],autorest[author_es],autorest[image])</f>
        <v>https://i.ibb.co/qLfpZm6h/china.png</v>
      </c>
      <c r="R1202">
        <f>_xlfn.XLOOKUP(frasest[[#This Row],[author_es]],autorest[author_es],autorest[image_atr])</f>
        <v>0</v>
      </c>
    </row>
    <row r="1203" spans="1:18">
      <c r="A1203">
        <v>1202</v>
      </c>
      <c r="B1203" t="s">
        <v>3726</v>
      </c>
      <c r="C1203" t="s">
        <v>3727</v>
      </c>
      <c r="D1203" s="1" t="s">
        <v>3728</v>
      </c>
      <c r="E1203" t="s">
        <v>36</v>
      </c>
      <c r="G1203" t="str">
        <f>_xlfn.XLOOKUP(frasest[[#This Row],[author_es]],autorest[author_es],autorest[author_la])</f>
        <v>Proverbium Sinense</v>
      </c>
      <c r="H1203" t="str">
        <f>_xlfn.XLOOKUP(frasest[[#This Row],[author_es]],autorest[author_es],autorest[bio_es])</f>
        <v>Conjunto de proverbios tradicionales de la cultura china que transmiten sabiduría popular, valores morales y enseñanzas prácticas transmitidas oralmente durante siglos.</v>
      </c>
      <c r="I1203" t="str">
        <f>_xlfn.XLOOKUP(frasest[[#This Row],[author_es]],autorest[author_es],autorest[bio_la])</f>
        <v>Collectio sententiarum Sinensium, magnopere in cultura tradita.</v>
      </c>
      <c r="J1203" t="str">
        <f>_xlfn.XLOOKUP(frasest[[#This Row],[author_es]],autorest[author_es],autorest[iso3691])</f>
        <v>zh</v>
      </c>
      <c r="K1203" t="str">
        <f>_xlfn.XLOOKUP(frasest[[#This Row],[author_es]],autorest[author_es],autorest[language_es])</f>
        <v>Chino</v>
      </c>
      <c r="L1203" t="str">
        <f>_xlfn.XLOOKUP(frasest[[#This Row],[author_es]],autorest[author_es],autorest[language_la])</f>
        <v>Lingua Sinica</v>
      </c>
      <c r="M1203" t="str">
        <f>_xlfn.XLOOKUP(frasest[[#This Row],[author_es]],autorest[author_es],autorest[nation_es])</f>
        <v>China</v>
      </c>
      <c r="N1203" t="str">
        <f>_xlfn.XLOOKUP(frasest[[#This Row],[author_es]],autorest[author_es],autorest[nation_la])</f>
        <v>Sinae</v>
      </c>
      <c r="O1203" t="str">
        <f>_xlfn.XLOOKUP(frasest[[#This Row],[author_es]],autorest[author_es],autorest[age_es])</f>
        <v>Epoca Desconocida</v>
      </c>
      <c r="P1203" t="str">
        <f>_xlfn.XLOOKUP(frasest[[#This Row],[author_es]],autorest[author_es],autorest[age_la])</f>
        <v>Epocha Ignota</v>
      </c>
      <c r="Q1203" t="str">
        <f>_xlfn.XLOOKUP(frasest[[#This Row],[author_es]],autorest[author_es],autorest[image])</f>
        <v>https://i.ibb.co/qLfpZm6h/china.png</v>
      </c>
      <c r="R1203">
        <f>_xlfn.XLOOKUP(frasest[[#This Row],[author_es]],autorest[author_es],autorest[image_atr])</f>
        <v>0</v>
      </c>
    </row>
    <row r="1204" spans="1:18">
      <c r="A1204">
        <v>1203</v>
      </c>
      <c r="B1204" t="s">
        <v>3729</v>
      </c>
      <c r="C1204" t="s">
        <v>3730</v>
      </c>
      <c r="D1204" s="1" t="s">
        <v>3731</v>
      </c>
      <c r="E1204" t="s">
        <v>36</v>
      </c>
      <c r="G1204" t="str">
        <f>_xlfn.XLOOKUP(frasest[[#This Row],[author_es]],autorest[author_es],autorest[author_la])</f>
        <v>Proverbium Sinense</v>
      </c>
      <c r="H1204" t="str">
        <f>_xlfn.XLOOKUP(frasest[[#This Row],[author_es]],autorest[author_es],autorest[bio_es])</f>
        <v>Conjunto de proverbios tradicionales de la cultura china que transmiten sabiduría popular, valores morales y enseñanzas prácticas transmitidas oralmente durante siglos.</v>
      </c>
      <c r="I1204" t="str">
        <f>_xlfn.XLOOKUP(frasest[[#This Row],[author_es]],autorest[author_es],autorest[bio_la])</f>
        <v>Collectio sententiarum Sinensium, magnopere in cultura tradita.</v>
      </c>
      <c r="J1204" t="str">
        <f>_xlfn.XLOOKUP(frasest[[#This Row],[author_es]],autorest[author_es],autorest[iso3691])</f>
        <v>zh</v>
      </c>
      <c r="K1204" t="str">
        <f>_xlfn.XLOOKUP(frasest[[#This Row],[author_es]],autorest[author_es],autorest[language_es])</f>
        <v>Chino</v>
      </c>
      <c r="L1204" t="str">
        <f>_xlfn.XLOOKUP(frasest[[#This Row],[author_es]],autorest[author_es],autorest[language_la])</f>
        <v>Lingua Sinica</v>
      </c>
      <c r="M1204" t="str">
        <f>_xlfn.XLOOKUP(frasest[[#This Row],[author_es]],autorest[author_es],autorest[nation_es])</f>
        <v>China</v>
      </c>
      <c r="N1204" t="str">
        <f>_xlfn.XLOOKUP(frasest[[#This Row],[author_es]],autorest[author_es],autorest[nation_la])</f>
        <v>Sinae</v>
      </c>
      <c r="O1204" t="str">
        <f>_xlfn.XLOOKUP(frasest[[#This Row],[author_es]],autorest[author_es],autorest[age_es])</f>
        <v>Epoca Desconocida</v>
      </c>
      <c r="P1204" t="str">
        <f>_xlfn.XLOOKUP(frasest[[#This Row],[author_es]],autorest[author_es],autorest[age_la])</f>
        <v>Epocha Ignota</v>
      </c>
      <c r="Q1204" t="str">
        <f>_xlfn.XLOOKUP(frasest[[#This Row],[author_es]],autorest[author_es],autorest[image])</f>
        <v>https://i.ibb.co/qLfpZm6h/china.png</v>
      </c>
      <c r="R1204">
        <f>_xlfn.XLOOKUP(frasest[[#This Row],[author_es]],autorest[author_es],autorest[image_atr])</f>
        <v>0</v>
      </c>
    </row>
    <row r="1205" spans="1:18">
      <c r="A1205">
        <v>1204</v>
      </c>
      <c r="B1205" t="s">
        <v>3732</v>
      </c>
      <c r="C1205" t="s">
        <v>3733</v>
      </c>
      <c r="D1205" s="1" t="s">
        <v>3734</v>
      </c>
      <c r="E1205" t="s">
        <v>36</v>
      </c>
      <c r="G1205" t="str">
        <f>_xlfn.XLOOKUP(frasest[[#This Row],[author_es]],autorest[author_es],autorest[author_la])</f>
        <v>Proverbium Sinense</v>
      </c>
      <c r="H1205" t="str">
        <f>_xlfn.XLOOKUP(frasest[[#This Row],[author_es]],autorest[author_es],autorest[bio_es])</f>
        <v>Conjunto de proverbios tradicionales de la cultura china que transmiten sabiduría popular, valores morales y enseñanzas prácticas transmitidas oralmente durante siglos.</v>
      </c>
      <c r="I1205" t="str">
        <f>_xlfn.XLOOKUP(frasest[[#This Row],[author_es]],autorest[author_es],autorest[bio_la])</f>
        <v>Collectio sententiarum Sinensium, magnopere in cultura tradita.</v>
      </c>
      <c r="J1205" t="str">
        <f>_xlfn.XLOOKUP(frasest[[#This Row],[author_es]],autorest[author_es],autorest[iso3691])</f>
        <v>zh</v>
      </c>
      <c r="K1205" t="str">
        <f>_xlfn.XLOOKUP(frasest[[#This Row],[author_es]],autorest[author_es],autorest[language_es])</f>
        <v>Chino</v>
      </c>
      <c r="L1205" t="str">
        <f>_xlfn.XLOOKUP(frasest[[#This Row],[author_es]],autorest[author_es],autorest[language_la])</f>
        <v>Lingua Sinica</v>
      </c>
      <c r="M1205" t="str">
        <f>_xlfn.XLOOKUP(frasest[[#This Row],[author_es]],autorest[author_es],autorest[nation_es])</f>
        <v>China</v>
      </c>
      <c r="N1205" t="str">
        <f>_xlfn.XLOOKUP(frasest[[#This Row],[author_es]],autorest[author_es],autorest[nation_la])</f>
        <v>Sinae</v>
      </c>
      <c r="O1205" t="str">
        <f>_xlfn.XLOOKUP(frasest[[#This Row],[author_es]],autorest[author_es],autorest[age_es])</f>
        <v>Epoca Desconocida</v>
      </c>
      <c r="P1205" t="str">
        <f>_xlfn.XLOOKUP(frasest[[#This Row],[author_es]],autorest[author_es],autorest[age_la])</f>
        <v>Epocha Ignota</v>
      </c>
      <c r="Q1205" t="str">
        <f>_xlfn.XLOOKUP(frasest[[#This Row],[author_es]],autorest[author_es],autorest[image])</f>
        <v>https://i.ibb.co/qLfpZm6h/china.png</v>
      </c>
      <c r="R1205">
        <f>_xlfn.XLOOKUP(frasest[[#This Row],[author_es]],autorest[author_es],autorest[image_atr])</f>
        <v>0</v>
      </c>
    </row>
    <row r="1206" spans="1:18">
      <c r="A1206">
        <v>1205</v>
      </c>
      <c r="B1206" t="s">
        <v>3735</v>
      </c>
      <c r="C1206" t="s">
        <v>3736</v>
      </c>
      <c r="D1206" s="1" t="s">
        <v>3737</v>
      </c>
      <c r="E1206" t="s">
        <v>36</v>
      </c>
      <c r="G1206" t="str">
        <f>_xlfn.XLOOKUP(frasest[[#This Row],[author_es]],autorest[author_es],autorest[author_la])</f>
        <v>Proverbium Sinense</v>
      </c>
      <c r="H1206" t="str">
        <f>_xlfn.XLOOKUP(frasest[[#This Row],[author_es]],autorest[author_es],autorest[bio_es])</f>
        <v>Conjunto de proverbios tradicionales de la cultura china que transmiten sabiduría popular, valores morales y enseñanzas prácticas transmitidas oralmente durante siglos.</v>
      </c>
      <c r="I1206" t="str">
        <f>_xlfn.XLOOKUP(frasest[[#This Row],[author_es]],autorest[author_es],autorest[bio_la])</f>
        <v>Collectio sententiarum Sinensium, magnopere in cultura tradita.</v>
      </c>
      <c r="J1206" t="str">
        <f>_xlfn.XLOOKUP(frasest[[#This Row],[author_es]],autorest[author_es],autorest[iso3691])</f>
        <v>zh</v>
      </c>
      <c r="K1206" t="str">
        <f>_xlfn.XLOOKUP(frasest[[#This Row],[author_es]],autorest[author_es],autorest[language_es])</f>
        <v>Chino</v>
      </c>
      <c r="L1206" t="str">
        <f>_xlfn.XLOOKUP(frasest[[#This Row],[author_es]],autorest[author_es],autorest[language_la])</f>
        <v>Lingua Sinica</v>
      </c>
      <c r="M1206" t="str">
        <f>_xlfn.XLOOKUP(frasest[[#This Row],[author_es]],autorest[author_es],autorest[nation_es])</f>
        <v>China</v>
      </c>
      <c r="N1206" t="str">
        <f>_xlfn.XLOOKUP(frasest[[#This Row],[author_es]],autorest[author_es],autorest[nation_la])</f>
        <v>Sinae</v>
      </c>
      <c r="O1206" t="str">
        <f>_xlfn.XLOOKUP(frasest[[#This Row],[author_es]],autorest[author_es],autorest[age_es])</f>
        <v>Epoca Desconocida</v>
      </c>
      <c r="P1206" t="str">
        <f>_xlfn.XLOOKUP(frasest[[#This Row],[author_es]],autorest[author_es],autorest[age_la])</f>
        <v>Epocha Ignota</v>
      </c>
      <c r="Q1206" t="str">
        <f>_xlfn.XLOOKUP(frasest[[#This Row],[author_es]],autorest[author_es],autorest[image])</f>
        <v>https://i.ibb.co/qLfpZm6h/china.png</v>
      </c>
      <c r="R1206">
        <f>_xlfn.XLOOKUP(frasest[[#This Row],[author_es]],autorest[author_es],autorest[image_atr])</f>
        <v>0</v>
      </c>
    </row>
    <row r="1207" spans="1:18">
      <c r="A1207">
        <v>1206</v>
      </c>
      <c r="B1207" t="s">
        <v>3738</v>
      </c>
      <c r="C1207" t="s">
        <v>3739</v>
      </c>
      <c r="D1207" s="1" t="s">
        <v>3740</v>
      </c>
      <c r="E1207" t="s">
        <v>36</v>
      </c>
      <c r="G1207" t="str">
        <f>_xlfn.XLOOKUP(frasest[[#This Row],[author_es]],autorest[author_es],autorest[author_la])</f>
        <v>Proverbium Sinense</v>
      </c>
      <c r="H1207" t="str">
        <f>_xlfn.XLOOKUP(frasest[[#This Row],[author_es]],autorest[author_es],autorest[bio_es])</f>
        <v>Conjunto de proverbios tradicionales de la cultura china que transmiten sabiduría popular, valores morales y enseñanzas prácticas transmitidas oralmente durante siglos.</v>
      </c>
      <c r="I1207" t="str">
        <f>_xlfn.XLOOKUP(frasest[[#This Row],[author_es]],autorest[author_es],autorest[bio_la])</f>
        <v>Collectio sententiarum Sinensium, magnopere in cultura tradita.</v>
      </c>
      <c r="J1207" t="str">
        <f>_xlfn.XLOOKUP(frasest[[#This Row],[author_es]],autorest[author_es],autorest[iso3691])</f>
        <v>zh</v>
      </c>
      <c r="K1207" t="str">
        <f>_xlfn.XLOOKUP(frasest[[#This Row],[author_es]],autorest[author_es],autorest[language_es])</f>
        <v>Chino</v>
      </c>
      <c r="L1207" t="str">
        <f>_xlfn.XLOOKUP(frasest[[#This Row],[author_es]],autorest[author_es],autorest[language_la])</f>
        <v>Lingua Sinica</v>
      </c>
      <c r="M1207" t="str">
        <f>_xlfn.XLOOKUP(frasest[[#This Row],[author_es]],autorest[author_es],autorest[nation_es])</f>
        <v>China</v>
      </c>
      <c r="N1207" t="str">
        <f>_xlfn.XLOOKUP(frasest[[#This Row],[author_es]],autorest[author_es],autorest[nation_la])</f>
        <v>Sinae</v>
      </c>
      <c r="O1207" t="str">
        <f>_xlfn.XLOOKUP(frasest[[#This Row],[author_es]],autorest[author_es],autorest[age_es])</f>
        <v>Epoca Desconocida</v>
      </c>
      <c r="P1207" t="str">
        <f>_xlfn.XLOOKUP(frasest[[#This Row],[author_es]],autorest[author_es],autorest[age_la])</f>
        <v>Epocha Ignota</v>
      </c>
      <c r="Q1207" t="str">
        <f>_xlfn.XLOOKUP(frasest[[#This Row],[author_es]],autorest[author_es],autorest[image])</f>
        <v>https://i.ibb.co/qLfpZm6h/china.png</v>
      </c>
      <c r="R1207">
        <f>_xlfn.XLOOKUP(frasest[[#This Row],[author_es]],autorest[author_es],autorest[image_atr])</f>
        <v>0</v>
      </c>
    </row>
    <row r="1208" spans="1:18">
      <c r="A1208">
        <v>1207</v>
      </c>
      <c r="B1208" t="s">
        <v>3741</v>
      </c>
      <c r="C1208" t="s">
        <v>3742</v>
      </c>
      <c r="D1208" s="1" t="s">
        <v>3743</v>
      </c>
      <c r="E1208" t="s">
        <v>36</v>
      </c>
      <c r="G1208" t="str">
        <f>_xlfn.XLOOKUP(frasest[[#This Row],[author_es]],autorest[author_es],autorest[author_la])</f>
        <v>Proverbium Sinense</v>
      </c>
      <c r="H1208" t="str">
        <f>_xlfn.XLOOKUP(frasest[[#This Row],[author_es]],autorest[author_es],autorest[bio_es])</f>
        <v>Conjunto de proverbios tradicionales de la cultura china que transmiten sabiduría popular, valores morales y enseñanzas prácticas transmitidas oralmente durante siglos.</v>
      </c>
      <c r="I1208" t="str">
        <f>_xlfn.XLOOKUP(frasest[[#This Row],[author_es]],autorest[author_es],autorest[bio_la])</f>
        <v>Collectio sententiarum Sinensium, magnopere in cultura tradita.</v>
      </c>
      <c r="J1208" t="str">
        <f>_xlfn.XLOOKUP(frasest[[#This Row],[author_es]],autorest[author_es],autorest[iso3691])</f>
        <v>zh</v>
      </c>
      <c r="K1208" t="str">
        <f>_xlfn.XLOOKUP(frasest[[#This Row],[author_es]],autorest[author_es],autorest[language_es])</f>
        <v>Chino</v>
      </c>
      <c r="L1208" t="str">
        <f>_xlfn.XLOOKUP(frasest[[#This Row],[author_es]],autorest[author_es],autorest[language_la])</f>
        <v>Lingua Sinica</v>
      </c>
      <c r="M1208" t="str">
        <f>_xlfn.XLOOKUP(frasest[[#This Row],[author_es]],autorest[author_es],autorest[nation_es])</f>
        <v>China</v>
      </c>
      <c r="N1208" t="str">
        <f>_xlfn.XLOOKUP(frasest[[#This Row],[author_es]],autorest[author_es],autorest[nation_la])</f>
        <v>Sinae</v>
      </c>
      <c r="O1208" t="str">
        <f>_xlfn.XLOOKUP(frasest[[#This Row],[author_es]],autorest[author_es],autorest[age_es])</f>
        <v>Epoca Desconocida</v>
      </c>
      <c r="P1208" t="str">
        <f>_xlfn.XLOOKUP(frasest[[#This Row],[author_es]],autorest[author_es],autorest[age_la])</f>
        <v>Epocha Ignota</v>
      </c>
      <c r="Q1208" t="str">
        <f>_xlfn.XLOOKUP(frasest[[#This Row],[author_es]],autorest[author_es],autorest[image])</f>
        <v>https://i.ibb.co/qLfpZm6h/china.png</v>
      </c>
      <c r="R1208">
        <f>_xlfn.XLOOKUP(frasest[[#This Row],[author_es]],autorest[author_es],autorest[image_atr])</f>
        <v>0</v>
      </c>
    </row>
    <row r="1209" spans="1:18">
      <c r="A1209">
        <v>1208</v>
      </c>
      <c r="B1209" t="s">
        <v>3744</v>
      </c>
      <c r="C1209" t="s">
        <v>3745</v>
      </c>
      <c r="D1209" s="1" t="s">
        <v>3746</v>
      </c>
      <c r="E1209" t="s">
        <v>36</v>
      </c>
      <c r="G1209" t="str">
        <f>_xlfn.XLOOKUP(frasest[[#This Row],[author_es]],autorest[author_es],autorest[author_la])</f>
        <v>Proverbium Sinense</v>
      </c>
      <c r="H1209" t="str">
        <f>_xlfn.XLOOKUP(frasest[[#This Row],[author_es]],autorest[author_es],autorest[bio_es])</f>
        <v>Conjunto de proverbios tradicionales de la cultura china que transmiten sabiduría popular, valores morales y enseñanzas prácticas transmitidas oralmente durante siglos.</v>
      </c>
      <c r="I1209" t="str">
        <f>_xlfn.XLOOKUP(frasest[[#This Row],[author_es]],autorest[author_es],autorest[bio_la])</f>
        <v>Collectio sententiarum Sinensium, magnopere in cultura tradita.</v>
      </c>
      <c r="J1209" t="str">
        <f>_xlfn.XLOOKUP(frasest[[#This Row],[author_es]],autorest[author_es],autorest[iso3691])</f>
        <v>zh</v>
      </c>
      <c r="K1209" t="str">
        <f>_xlfn.XLOOKUP(frasest[[#This Row],[author_es]],autorest[author_es],autorest[language_es])</f>
        <v>Chino</v>
      </c>
      <c r="L1209" t="str">
        <f>_xlfn.XLOOKUP(frasest[[#This Row],[author_es]],autorest[author_es],autorest[language_la])</f>
        <v>Lingua Sinica</v>
      </c>
      <c r="M1209" t="str">
        <f>_xlfn.XLOOKUP(frasest[[#This Row],[author_es]],autorest[author_es],autorest[nation_es])</f>
        <v>China</v>
      </c>
      <c r="N1209" t="str">
        <f>_xlfn.XLOOKUP(frasest[[#This Row],[author_es]],autorest[author_es],autorest[nation_la])</f>
        <v>Sinae</v>
      </c>
      <c r="O1209" t="str">
        <f>_xlfn.XLOOKUP(frasest[[#This Row],[author_es]],autorest[author_es],autorest[age_es])</f>
        <v>Epoca Desconocida</v>
      </c>
      <c r="P1209" t="str">
        <f>_xlfn.XLOOKUP(frasest[[#This Row],[author_es]],autorest[author_es],autorest[age_la])</f>
        <v>Epocha Ignota</v>
      </c>
      <c r="Q1209" t="str">
        <f>_xlfn.XLOOKUP(frasest[[#This Row],[author_es]],autorest[author_es],autorest[image])</f>
        <v>https://i.ibb.co/qLfpZm6h/china.png</v>
      </c>
      <c r="R1209">
        <f>_xlfn.XLOOKUP(frasest[[#This Row],[author_es]],autorest[author_es],autorest[image_atr])</f>
        <v>0</v>
      </c>
    </row>
    <row r="1210" spans="1:18">
      <c r="A1210">
        <v>1209</v>
      </c>
      <c r="B1210" t="s">
        <v>3747</v>
      </c>
      <c r="C1210" t="s">
        <v>3748</v>
      </c>
      <c r="D1210" s="1" t="s">
        <v>3749</v>
      </c>
      <c r="E1210" t="s">
        <v>36</v>
      </c>
      <c r="G1210" t="str">
        <f>_xlfn.XLOOKUP(frasest[[#This Row],[author_es]],autorest[author_es],autorest[author_la])</f>
        <v>Proverbium Sinense</v>
      </c>
      <c r="H1210" t="str">
        <f>_xlfn.XLOOKUP(frasest[[#This Row],[author_es]],autorest[author_es],autorest[bio_es])</f>
        <v>Conjunto de proverbios tradicionales de la cultura china que transmiten sabiduría popular, valores morales y enseñanzas prácticas transmitidas oralmente durante siglos.</v>
      </c>
      <c r="I1210" t="str">
        <f>_xlfn.XLOOKUP(frasest[[#This Row],[author_es]],autorest[author_es],autorest[bio_la])</f>
        <v>Collectio sententiarum Sinensium, magnopere in cultura tradita.</v>
      </c>
      <c r="J1210" t="str">
        <f>_xlfn.XLOOKUP(frasest[[#This Row],[author_es]],autorest[author_es],autorest[iso3691])</f>
        <v>zh</v>
      </c>
      <c r="K1210" t="str">
        <f>_xlfn.XLOOKUP(frasest[[#This Row],[author_es]],autorest[author_es],autorest[language_es])</f>
        <v>Chino</v>
      </c>
      <c r="L1210" t="str">
        <f>_xlfn.XLOOKUP(frasest[[#This Row],[author_es]],autorest[author_es],autorest[language_la])</f>
        <v>Lingua Sinica</v>
      </c>
      <c r="M1210" t="str">
        <f>_xlfn.XLOOKUP(frasest[[#This Row],[author_es]],autorest[author_es],autorest[nation_es])</f>
        <v>China</v>
      </c>
      <c r="N1210" t="str">
        <f>_xlfn.XLOOKUP(frasest[[#This Row],[author_es]],autorest[author_es],autorest[nation_la])</f>
        <v>Sinae</v>
      </c>
      <c r="O1210" t="str">
        <f>_xlfn.XLOOKUP(frasest[[#This Row],[author_es]],autorest[author_es],autorest[age_es])</f>
        <v>Epoca Desconocida</v>
      </c>
      <c r="P1210" t="str">
        <f>_xlfn.XLOOKUP(frasest[[#This Row],[author_es]],autorest[author_es],autorest[age_la])</f>
        <v>Epocha Ignota</v>
      </c>
      <c r="Q1210" t="str">
        <f>_xlfn.XLOOKUP(frasest[[#This Row],[author_es]],autorest[author_es],autorest[image])</f>
        <v>https://i.ibb.co/qLfpZm6h/china.png</v>
      </c>
      <c r="R1210">
        <f>_xlfn.XLOOKUP(frasest[[#This Row],[author_es]],autorest[author_es],autorest[image_atr])</f>
        <v>0</v>
      </c>
    </row>
    <row r="1211" spans="1:18">
      <c r="A1211">
        <v>1210</v>
      </c>
      <c r="B1211" t="s">
        <v>3750</v>
      </c>
      <c r="C1211" t="s">
        <v>3751</v>
      </c>
      <c r="D1211" s="1" t="s">
        <v>3752</v>
      </c>
      <c r="E1211" t="s">
        <v>36</v>
      </c>
      <c r="G1211" t="str">
        <f>_xlfn.XLOOKUP(frasest[[#This Row],[author_es]],autorest[author_es],autorest[author_la])</f>
        <v>Proverbium Sinense</v>
      </c>
      <c r="H1211" t="str">
        <f>_xlfn.XLOOKUP(frasest[[#This Row],[author_es]],autorest[author_es],autorest[bio_es])</f>
        <v>Conjunto de proverbios tradicionales de la cultura china que transmiten sabiduría popular, valores morales y enseñanzas prácticas transmitidas oralmente durante siglos.</v>
      </c>
      <c r="I1211" t="str">
        <f>_xlfn.XLOOKUP(frasest[[#This Row],[author_es]],autorest[author_es],autorest[bio_la])</f>
        <v>Collectio sententiarum Sinensium, magnopere in cultura tradita.</v>
      </c>
      <c r="J1211" t="str">
        <f>_xlfn.XLOOKUP(frasest[[#This Row],[author_es]],autorest[author_es],autorest[iso3691])</f>
        <v>zh</v>
      </c>
      <c r="K1211" t="str">
        <f>_xlfn.XLOOKUP(frasest[[#This Row],[author_es]],autorest[author_es],autorest[language_es])</f>
        <v>Chino</v>
      </c>
      <c r="L1211" t="str">
        <f>_xlfn.XLOOKUP(frasest[[#This Row],[author_es]],autorest[author_es],autorest[language_la])</f>
        <v>Lingua Sinica</v>
      </c>
      <c r="M1211" t="str">
        <f>_xlfn.XLOOKUP(frasest[[#This Row],[author_es]],autorest[author_es],autorest[nation_es])</f>
        <v>China</v>
      </c>
      <c r="N1211" t="str">
        <f>_xlfn.XLOOKUP(frasest[[#This Row],[author_es]],autorest[author_es],autorest[nation_la])</f>
        <v>Sinae</v>
      </c>
      <c r="O1211" t="str">
        <f>_xlfn.XLOOKUP(frasest[[#This Row],[author_es]],autorest[author_es],autorest[age_es])</f>
        <v>Epoca Desconocida</v>
      </c>
      <c r="P1211" t="str">
        <f>_xlfn.XLOOKUP(frasest[[#This Row],[author_es]],autorest[author_es],autorest[age_la])</f>
        <v>Epocha Ignota</v>
      </c>
      <c r="Q1211" t="str">
        <f>_xlfn.XLOOKUP(frasest[[#This Row],[author_es]],autorest[author_es],autorest[image])</f>
        <v>https://i.ibb.co/qLfpZm6h/china.png</v>
      </c>
      <c r="R1211">
        <f>_xlfn.XLOOKUP(frasest[[#This Row],[author_es]],autorest[author_es],autorest[image_atr])</f>
        <v>0</v>
      </c>
    </row>
    <row r="1212" spans="1:18">
      <c r="A1212">
        <v>1211</v>
      </c>
      <c r="B1212" t="s">
        <v>3753</v>
      </c>
      <c r="C1212" t="s">
        <v>3754</v>
      </c>
      <c r="D1212" s="1" t="s">
        <v>3755</v>
      </c>
      <c r="E1212" t="s">
        <v>36</v>
      </c>
      <c r="G1212" t="str">
        <f>_xlfn.XLOOKUP(frasest[[#This Row],[author_es]],autorest[author_es],autorest[author_la])</f>
        <v>Proverbium Sinense</v>
      </c>
      <c r="H1212" t="str">
        <f>_xlfn.XLOOKUP(frasest[[#This Row],[author_es]],autorest[author_es],autorest[bio_es])</f>
        <v>Conjunto de proverbios tradicionales de la cultura china que transmiten sabiduría popular, valores morales y enseñanzas prácticas transmitidas oralmente durante siglos.</v>
      </c>
      <c r="I1212" t="str">
        <f>_xlfn.XLOOKUP(frasest[[#This Row],[author_es]],autorest[author_es],autorest[bio_la])</f>
        <v>Collectio sententiarum Sinensium, magnopere in cultura tradita.</v>
      </c>
      <c r="J1212" t="str">
        <f>_xlfn.XLOOKUP(frasest[[#This Row],[author_es]],autorest[author_es],autorest[iso3691])</f>
        <v>zh</v>
      </c>
      <c r="K1212" t="str">
        <f>_xlfn.XLOOKUP(frasest[[#This Row],[author_es]],autorest[author_es],autorest[language_es])</f>
        <v>Chino</v>
      </c>
      <c r="L1212" t="str">
        <f>_xlfn.XLOOKUP(frasest[[#This Row],[author_es]],autorest[author_es],autorest[language_la])</f>
        <v>Lingua Sinica</v>
      </c>
      <c r="M1212" t="str">
        <f>_xlfn.XLOOKUP(frasest[[#This Row],[author_es]],autorest[author_es],autorest[nation_es])</f>
        <v>China</v>
      </c>
      <c r="N1212" t="str">
        <f>_xlfn.XLOOKUP(frasest[[#This Row],[author_es]],autorest[author_es],autorest[nation_la])</f>
        <v>Sinae</v>
      </c>
      <c r="O1212" t="str">
        <f>_xlfn.XLOOKUP(frasest[[#This Row],[author_es]],autorest[author_es],autorest[age_es])</f>
        <v>Epoca Desconocida</v>
      </c>
      <c r="P1212" t="str">
        <f>_xlfn.XLOOKUP(frasest[[#This Row],[author_es]],autorest[author_es],autorest[age_la])</f>
        <v>Epocha Ignota</v>
      </c>
      <c r="Q1212" t="str">
        <f>_xlfn.XLOOKUP(frasest[[#This Row],[author_es]],autorest[author_es],autorest[image])</f>
        <v>https://i.ibb.co/qLfpZm6h/china.png</v>
      </c>
      <c r="R1212">
        <f>_xlfn.XLOOKUP(frasest[[#This Row],[author_es]],autorest[author_es],autorest[image_atr])</f>
        <v>0</v>
      </c>
    </row>
    <row r="1213" spans="1:18">
      <c r="A1213">
        <v>1212</v>
      </c>
      <c r="B1213" t="s">
        <v>3756</v>
      </c>
      <c r="C1213" t="s">
        <v>3757</v>
      </c>
      <c r="D1213" s="1" t="s">
        <v>3758</v>
      </c>
      <c r="E1213" t="s">
        <v>36</v>
      </c>
      <c r="G1213" t="str">
        <f>_xlfn.XLOOKUP(frasest[[#This Row],[author_es]],autorest[author_es],autorest[author_la])</f>
        <v>Proverbium Sinense</v>
      </c>
      <c r="H1213" t="str">
        <f>_xlfn.XLOOKUP(frasest[[#This Row],[author_es]],autorest[author_es],autorest[bio_es])</f>
        <v>Conjunto de proverbios tradicionales de la cultura china que transmiten sabiduría popular, valores morales y enseñanzas prácticas transmitidas oralmente durante siglos.</v>
      </c>
      <c r="I1213" t="str">
        <f>_xlfn.XLOOKUP(frasest[[#This Row],[author_es]],autorest[author_es],autorest[bio_la])</f>
        <v>Collectio sententiarum Sinensium, magnopere in cultura tradita.</v>
      </c>
      <c r="J1213" t="str">
        <f>_xlfn.XLOOKUP(frasest[[#This Row],[author_es]],autorest[author_es],autorest[iso3691])</f>
        <v>zh</v>
      </c>
      <c r="K1213" t="str">
        <f>_xlfn.XLOOKUP(frasest[[#This Row],[author_es]],autorest[author_es],autorest[language_es])</f>
        <v>Chino</v>
      </c>
      <c r="L1213" t="str">
        <f>_xlfn.XLOOKUP(frasest[[#This Row],[author_es]],autorest[author_es],autorest[language_la])</f>
        <v>Lingua Sinica</v>
      </c>
      <c r="M1213" t="str">
        <f>_xlfn.XLOOKUP(frasest[[#This Row],[author_es]],autorest[author_es],autorest[nation_es])</f>
        <v>China</v>
      </c>
      <c r="N1213" t="str">
        <f>_xlfn.XLOOKUP(frasest[[#This Row],[author_es]],autorest[author_es],autorest[nation_la])</f>
        <v>Sinae</v>
      </c>
      <c r="O1213" t="str">
        <f>_xlfn.XLOOKUP(frasest[[#This Row],[author_es]],autorest[author_es],autorest[age_es])</f>
        <v>Epoca Desconocida</v>
      </c>
      <c r="P1213" t="str">
        <f>_xlfn.XLOOKUP(frasest[[#This Row],[author_es]],autorest[author_es],autorest[age_la])</f>
        <v>Epocha Ignota</v>
      </c>
      <c r="Q1213" t="str">
        <f>_xlfn.XLOOKUP(frasest[[#This Row],[author_es]],autorest[author_es],autorest[image])</f>
        <v>https://i.ibb.co/qLfpZm6h/china.png</v>
      </c>
      <c r="R1213">
        <f>_xlfn.XLOOKUP(frasest[[#This Row],[author_es]],autorest[author_es],autorest[image_atr])</f>
        <v>0</v>
      </c>
    </row>
    <row r="1214" spans="1:18">
      <c r="A1214">
        <v>1213</v>
      </c>
      <c r="B1214" t="s">
        <v>3759</v>
      </c>
      <c r="C1214" t="s">
        <v>3760</v>
      </c>
      <c r="D1214" s="1" t="s">
        <v>3761</v>
      </c>
      <c r="E1214" t="s">
        <v>36</v>
      </c>
      <c r="G1214" t="str">
        <f>_xlfn.XLOOKUP(frasest[[#This Row],[author_es]],autorest[author_es],autorest[author_la])</f>
        <v>Proverbium Sinense</v>
      </c>
      <c r="H1214" t="str">
        <f>_xlfn.XLOOKUP(frasest[[#This Row],[author_es]],autorest[author_es],autorest[bio_es])</f>
        <v>Conjunto de proverbios tradicionales de la cultura china que transmiten sabiduría popular, valores morales y enseñanzas prácticas transmitidas oralmente durante siglos.</v>
      </c>
      <c r="I1214" t="str">
        <f>_xlfn.XLOOKUP(frasest[[#This Row],[author_es]],autorest[author_es],autorest[bio_la])</f>
        <v>Collectio sententiarum Sinensium, magnopere in cultura tradita.</v>
      </c>
      <c r="J1214" t="str">
        <f>_xlfn.XLOOKUP(frasest[[#This Row],[author_es]],autorest[author_es],autorest[iso3691])</f>
        <v>zh</v>
      </c>
      <c r="K1214" t="str">
        <f>_xlfn.XLOOKUP(frasest[[#This Row],[author_es]],autorest[author_es],autorest[language_es])</f>
        <v>Chino</v>
      </c>
      <c r="L1214" t="str">
        <f>_xlfn.XLOOKUP(frasest[[#This Row],[author_es]],autorest[author_es],autorest[language_la])</f>
        <v>Lingua Sinica</v>
      </c>
      <c r="M1214" t="str">
        <f>_xlfn.XLOOKUP(frasest[[#This Row],[author_es]],autorest[author_es],autorest[nation_es])</f>
        <v>China</v>
      </c>
      <c r="N1214" t="str">
        <f>_xlfn.XLOOKUP(frasest[[#This Row],[author_es]],autorest[author_es],autorest[nation_la])</f>
        <v>Sinae</v>
      </c>
      <c r="O1214" t="str">
        <f>_xlfn.XLOOKUP(frasest[[#This Row],[author_es]],autorest[author_es],autorest[age_es])</f>
        <v>Epoca Desconocida</v>
      </c>
      <c r="P1214" t="str">
        <f>_xlfn.XLOOKUP(frasest[[#This Row],[author_es]],autorest[author_es],autorest[age_la])</f>
        <v>Epocha Ignota</v>
      </c>
      <c r="Q1214" t="str">
        <f>_xlfn.XLOOKUP(frasest[[#This Row],[author_es]],autorest[author_es],autorest[image])</f>
        <v>https://i.ibb.co/qLfpZm6h/china.png</v>
      </c>
      <c r="R1214">
        <f>_xlfn.XLOOKUP(frasest[[#This Row],[author_es]],autorest[author_es],autorest[image_atr])</f>
        <v>0</v>
      </c>
    </row>
    <row r="1215" spans="1:18">
      <c r="A1215">
        <v>1214</v>
      </c>
      <c r="B1215" t="s">
        <v>3762</v>
      </c>
      <c r="C1215" t="s">
        <v>3763</v>
      </c>
      <c r="D1215" s="1" t="s">
        <v>3764</v>
      </c>
      <c r="E1215" t="s">
        <v>36</v>
      </c>
      <c r="G1215" t="str">
        <f>_xlfn.XLOOKUP(frasest[[#This Row],[author_es]],autorest[author_es],autorest[author_la])</f>
        <v>Proverbium Sinense</v>
      </c>
      <c r="H1215" t="str">
        <f>_xlfn.XLOOKUP(frasest[[#This Row],[author_es]],autorest[author_es],autorest[bio_es])</f>
        <v>Conjunto de proverbios tradicionales de la cultura china que transmiten sabiduría popular, valores morales y enseñanzas prácticas transmitidas oralmente durante siglos.</v>
      </c>
      <c r="I1215" t="str">
        <f>_xlfn.XLOOKUP(frasest[[#This Row],[author_es]],autorest[author_es],autorest[bio_la])</f>
        <v>Collectio sententiarum Sinensium, magnopere in cultura tradita.</v>
      </c>
      <c r="J1215" t="str">
        <f>_xlfn.XLOOKUP(frasest[[#This Row],[author_es]],autorest[author_es],autorest[iso3691])</f>
        <v>zh</v>
      </c>
      <c r="K1215" t="str">
        <f>_xlfn.XLOOKUP(frasest[[#This Row],[author_es]],autorest[author_es],autorest[language_es])</f>
        <v>Chino</v>
      </c>
      <c r="L1215" t="str">
        <f>_xlfn.XLOOKUP(frasest[[#This Row],[author_es]],autorest[author_es],autorest[language_la])</f>
        <v>Lingua Sinica</v>
      </c>
      <c r="M1215" t="str">
        <f>_xlfn.XLOOKUP(frasest[[#This Row],[author_es]],autorest[author_es],autorest[nation_es])</f>
        <v>China</v>
      </c>
      <c r="N1215" t="str">
        <f>_xlfn.XLOOKUP(frasest[[#This Row],[author_es]],autorest[author_es],autorest[nation_la])</f>
        <v>Sinae</v>
      </c>
      <c r="O1215" t="str">
        <f>_xlfn.XLOOKUP(frasest[[#This Row],[author_es]],autorest[author_es],autorest[age_es])</f>
        <v>Epoca Desconocida</v>
      </c>
      <c r="P1215" t="str">
        <f>_xlfn.XLOOKUP(frasest[[#This Row],[author_es]],autorest[author_es],autorest[age_la])</f>
        <v>Epocha Ignota</v>
      </c>
      <c r="Q1215" t="str">
        <f>_xlfn.XLOOKUP(frasest[[#This Row],[author_es]],autorest[author_es],autorest[image])</f>
        <v>https://i.ibb.co/qLfpZm6h/china.png</v>
      </c>
      <c r="R1215">
        <f>_xlfn.XLOOKUP(frasest[[#This Row],[author_es]],autorest[author_es],autorest[image_atr])</f>
        <v>0</v>
      </c>
    </row>
    <row r="1216" spans="1:18">
      <c r="A1216">
        <v>1215</v>
      </c>
      <c r="B1216" t="s">
        <v>3765</v>
      </c>
      <c r="C1216" t="s">
        <v>3766</v>
      </c>
      <c r="D1216" s="1" t="s">
        <v>3694</v>
      </c>
      <c r="E1216" t="s">
        <v>36</v>
      </c>
      <c r="G1216" t="str">
        <f>_xlfn.XLOOKUP(frasest[[#This Row],[author_es]],autorest[author_es],autorest[author_la])</f>
        <v>Proverbium Sinense</v>
      </c>
      <c r="H1216" t="str">
        <f>_xlfn.XLOOKUP(frasest[[#This Row],[author_es]],autorest[author_es],autorest[bio_es])</f>
        <v>Conjunto de proverbios tradicionales de la cultura china que transmiten sabiduría popular, valores morales y enseñanzas prácticas transmitidas oralmente durante siglos.</v>
      </c>
      <c r="I1216" t="str">
        <f>_xlfn.XLOOKUP(frasest[[#This Row],[author_es]],autorest[author_es],autorest[bio_la])</f>
        <v>Collectio sententiarum Sinensium, magnopere in cultura tradita.</v>
      </c>
      <c r="J1216" t="str">
        <f>_xlfn.XLOOKUP(frasest[[#This Row],[author_es]],autorest[author_es],autorest[iso3691])</f>
        <v>zh</v>
      </c>
      <c r="K1216" t="str">
        <f>_xlfn.XLOOKUP(frasest[[#This Row],[author_es]],autorest[author_es],autorest[language_es])</f>
        <v>Chino</v>
      </c>
      <c r="L1216" t="str">
        <f>_xlfn.XLOOKUP(frasest[[#This Row],[author_es]],autorest[author_es],autorest[language_la])</f>
        <v>Lingua Sinica</v>
      </c>
      <c r="M1216" t="str">
        <f>_xlfn.XLOOKUP(frasest[[#This Row],[author_es]],autorest[author_es],autorest[nation_es])</f>
        <v>China</v>
      </c>
      <c r="N1216" t="str">
        <f>_xlfn.XLOOKUP(frasest[[#This Row],[author_es]],autorest[author_es],autorest[nation_la])</f>
        <v>Sinae</v>
      </c>
      <c r="O1216" t="str">
        <f>_xlfn.XLOOKUP(frasest[[#This Row],[author_es]],autorest[author_es],autorest[age_es])</f>
        <v>Epoca Desconocida</v>
      </c>
      <c r="P1216" t="str">
        <f>_xlfn.XLOOKUP(frasest[[#This Row],[author_es]],autorest[author_es],autorest[age_la])</f>
        <v>Epocha Ignota</v>
      </c>
      <c r="Q1216" t="str">
        <f>_xlfn.XLOOKUP(frasest[[#This Row],[author_es]],autorest[author_es],autorest[image])</f>
        <v>https://i.ibb.co/qLfpZm6h/china.png</v>
      </c>
      <c r="R1216">
        <f>_xlfn.XLOOKUP(frasest[[#This Row],[author_es]],autorest[author_es],autorest[image_atr])</f>
        <v>0</v>
      </c>
    </row>
    <row r="1217" spans="1:18">
      <c r="A1217">
        <v>1216</v>
      </c>
      <c r="B1217" t="s">
        <v>3767</v>
      </c>
      <c r="C1217" t="s">
        <v>3768</v>
      </c>
      <c r="D1217" s="1" t="s">
        <v>3769</v>
      </c>
      <c r="E1217" t="s">
        <v>36</v>
      </c>
      <c r="G1217" t="str">
        <f>_xlfn.XLOOKUP(frasest[[#This Row],[author_es]],autorest[author_es],autorest[author_la])</f>
        <v>Proverbium Sinense</v>
      </c>
      <c r="H1217" t="str">
        <f>_xlfn.XLOOKUP(frasest[[#This Row],[author_es]],autorest[author_es],autorest[bio_es])</f>
        <v>Conjunto de proverbios tradicionales de la cultura china que transmiten sabiduría popular, valores morales y enseñanzas prácticas transmitidas oralmente durante siglos.</v>
      </c>
      <c r="I1217" t="str">
        <f>_xlfn.XLOOKUP(frasest[[#This Row],[author_es]],autorest[author_es],autorest[bio_la])</f>
        <v>Collectio sententiarum Sinensium, magnopere in cultura tradita.</v>
      </c>
      <c r="J1217" t="str">
        <f>_xlfn.XLOOKUP(frasest[[#This Row],[author_es]],autorest[author_es],autorest[iso3691])</f>
        <v>zh</v>
      </c>
      <c r="K1217" t="str">
        <f>_xlfn.XLOOKUP(frasest[[#This Row],[author_es]],autorest[author_es],autorest[language_es])</f>
        <v>Chino</v>
      </c>
      <c r="L1217" t="str">
        <f>_xlfn.XLOOKUP(frasest[[#This Row],[author_es]],autorest[author_es],autorest[language_la])</f>
        <v>Lingua Sinica</v>
      </c>
      <c r="M1217" t="str">
        <f>_xlfn.XLOOKUP(frasest[[#This Row],[author_es]],autorest[author_es],autorest[nation_es])</f>
        <v>China</v>
      </c>
      <c r="N1217" t="str">
        <f>_xlfn.XLOOKUP(frasest[[#This Row],[author_es]],autorest[author_es],autorest[nation_la])</f>
        <v>Sinae</v>
      </c>
      <c r="O1217" t="str">
        <f>_xlfn.XLOOKUP(frasest[[#This Row],[author_es]],autorest[author_es],autorest[age_es])</f>
        <v>Epoca Desconocida</v>
      </c>
      <c r="P1217" t="str">
        <f>_xlfn.XLOOKUP(frasest[[#This Row],[author_es]],autorest[author_es],autorest[age_la])</f>
        <v>Epocha Ignota</v>
      </c>
      <c r="Q1217" t="str">
        <f>_xlfn.XLOOKUP(frasest[[#This Row],[author_es]],autorest[author_es],autorest[image])</f>
        <v>https://i.ibb.co/qLfpZm6h/china.png</v>
      </c>
      <c r="R1217">
        <f>_xlfn.XLOOKUP(frasest[[#This Row],[author_es]],autorest[author_es],autorest[image_atr])</f>
        <v>0</v>
      </c>
    </row>
    <row r="1218" spans="1:18">
      <c r="A1218">
        <v>1217</v>
      </c>
      <c r="B1218" t="s">
        <v>3770</v>
      </c>
      <c r="C1218" t="s">
        <v>3771</v>
      </c>
      <c r="D1218" s="1" t="s">
        <v>3772</v>
      </c>
      <c r="E1218" t="s">
        <v>36</v>
      </c>
      <c r="G1218" t="str">
        <f>_xlfn.XLOOKUP(frasest[[#This Row],[author_es]],autorest[author_es],autorest[author_la])</f>
        <v>Proverbium Sinense</v>
      </c>
      <c r="H1218" t="str">
        <f>_xlfn.XLOOKUP(frasest[[#This Row],[author_es]],autorest[author_es],autorest[bio_es])</f>
        <v>Conjunto de proverbios tradicionales de la cultura china que transmiten sabiduría popular, valores morales y enseñanzas prácticas transmitidas oralmente durante siglos.</v>
      </c>
      <c r="I1218" t="str">
        <f>_xlfn.XLOOKUP(frasest[[#This Row],[author_es]],autorest[author_es],autorest[bio_la])</f>
        <v>Collectio sententiarum Sinensium, magnopere in cultura tradita.</v>
      </c>
      <c r="J1218" t="str">
        <f>_xlfn.XLOOKUP(frasest[[#This Row],[author_es]],autorest[author_es],autorest[iso3691])</f>
        <v>zh</v>
      </c>
      <c r="K1218" t="str">
        <f>_xlfn.XLOOKUP(frasest[[#This Row],[author_es]],autorest[author_es],autorest[language_es])</f>
        <v>Chino</v>
      </c>
      <c r="L1218" t="str">
        <f>_xlfn.XLOOKUP(frasest[[#This Row],[author_es]],autorest[author_es],autorest[language_la])</f>
        <v>Lingua Sinica</v>
      </c>
      <c r="M1218" t="str">
        <f>_xlfn.XLOOKUP(frasest[[#This Row],[author_es]],autorest[author_es],autorest[nation_es])</f>
        <v>China</v>
      </c>
      <c r="N1218" t="str">
        <f>_xlfn.XLOOKUP(frasest[[#This Row],[author_es]],autorest[author_es],autorest[nation_la])</f>
        <v>Sinae</v>
      </c>
      <c r="O1218" t="str">
        <f>_xlfn.XLOOKUP(frasest[[#This Row],[author_es]],autorest[author_es],autorest[age_es])</f>
        <v>Epoca Desconocida</v>
      </c>
      <c r="P1218" t="str">
        <f>_xlfn.XLOOKUP(frasest[[#This Row],[author_es]],autorest[author_es],autorest[age_la])</f>
        <v>Epocha Ignota</v>
      </c>
      <c r="Q1218" t="str">
        <f>_xlfn.XLOOKUP(frasest[[#This Row],[author_es]],autorest[author_es],autorest[image])</f>
        <v>https://i.ibb.co/qLfpZm6h/china.png</v>
      </c>
      <c r="R1218">
        <f>_xlfn.XLOOKUP(frasest[[#This Row],[author_es]],autorest[author_es],autorest[image_atr])</f>
        <v>0</v>
      </c>
    </row>
    <row r="1219" spans="1:18">
      <c r="A1219">
        <v>1218</v>
      </c>
      <c r="B1219" t="s">
        <v>3773</v>
      </c>
      <c r="C1219" t="s">
        <v>3774</v>
      </c>
      <c r="D1219" s="1" t="s">
        <v>3775</v>
      </c>
      <c r="E1219" t="s">
        <v>36</v>
      </c>
      <c r="G1219" t="str">
        <f>_xlfn.XLOOKUP(frasest[[#This Row],[author_es]],autorest[author_es],autorest[author_la])</f>
        <v>Proverbium Sinense</v>
      </c>
      <c r="H1219" t="str">
        <f>_xlfn.XLOOKUP(frasest[[#This Row],[author_es]],autorest[author_es],autorest[bio_es])</f>
        <v>Conjunto de proverbios tradicionales de la cultura china que transmiten sabiduría popular, valores morales y enseñanzas prácticas transmitidas oralmente durante siglos.</v>
      </c>
      <c r="I1219" t="str">
        <f>_xlfn.XLOOKUP(frasest[[#This Row],[author_es]],autorest[author_es],autorest[bio_la])</f>
        <v>Collectio sententiarum Sinensium, magnopere in cultura tradita.</v>
      </c>
      <c r="J1219" t="str">
        <f>_xlfn.XLOOKUP(frasest[[#This Row],[author_es]],autorest[author_es],autorest[iso3691])</f>
        <v>zh</v>
      </c>
      <c r="K1219" t="str">
        <f>_xlfn.XLOOKUP(frasest[[#This Row],[author_es]],autorest[author_es],autorest[language_es])</f>
        <v>Chino</v>
      </c>
      <c r="L1219" t="str">
        <f>_xlfn.XLOOKUP(frasest[[#This Row],[author_es]],autorest[author_es],autorest[language_la])</f>
        <v>Lingua Sinica</v>
      </c>
      <c r="M1219" t="str">
        <f>_xlfn.XLOOKUP(frasest[[#This Row],[author_es]],autorest[author_es],autorest[nation_es])</f>
        <v>China</v>
      </c>
      <c r="N1219" t="str">
        <f>_xlfn.XLOOKUP(frasest[[#This Row],[author_es]],autorest[author_es],autorest[nation_la])</f>
        <v>Sinae</v>
      </c>
      <c r="O1219" t="str">
        <f>_xlfn.XLOOKUP(frasest[[#This Row],[author_es]],autorest[author_es],autorest[age_es])</f>
        <v>Epoca Desconocida</v>
      </c>
      <c r="P1219" t="str">
        <f>_xlfn.XLOOKUP(frasest[[#This Row],[author_es]],autorest[author_es],autorest[age_la])</f>
        <v>Epocha Ignota</v>
      </c>
      <c r="Q1219" t="str">
        <f>_xlfn.XLOOKUP(frasest[[#This Row],[author_es]],autorest[author_es],autorest[image])</f>
        <v>https://i.ibb.co/qLfpZm6h/china.png</v>
      </c>
      <c r="R1219">
        <f>_xlfn.XLOOKUP(frasest[[#This Row],[author_es]],autorest[author_es],autorest[image_atr])</f>
        <v>0</v>
      </c>
    </row>
    <row r="1220" spans="1:18">
      <c r="A1220">
        <v>1219</v>
      </c>
      <c r="B1220" t="s">
        <v>3776</v>
      </c>
      <c r="C1220" t="s">
        <v>3777</v>
      </c>
      <c r="D1220" s="1" t="s">
        <v>3778</v>
      </c>
      <c r="E1220" t="s">
        <v>36</v>
      </c>
      <c r="G1220" t="str">
        <f>_xlfn.XLOOKUP(frasest[[#This Row],[author_es]],autorest[author_es],autorest[author_la])</f>
        <v>Proverbium Sinense</v>
      </c>
      <c r="H1220" t="str">
        <f>_xlfn.XLOOKUP(frasest[[#This Row],[author_es]],autorest[author_es],autorest[bio_es])</f>
        <v>Conjunto de proverbios tradicionales de la cultura china que transmiten sabiduría popular, valores morales y enseñanzas prácticas transmitidas oralmente durante siglos.</v>
      </c>
      <c r="I1220" t="str">
        <f>_xlfn.XLOOKUP(frasest[[#This Row],[author_es]],autorest[author_es],autorest[bio_la])</f>
        <v>Collectio sententiarum Sinensium, magnopere in cultura tradita.</v>
      </c>
      <c r="J1220" t="str">
        <f>_xlfn.XLOOKUP(frasest[[#This Row],[author_es]],autorest[author_es],autorest[iso3691])</f>
        <v>zh</v>
      </c>
      <c r="K1220" t="str">
        <f>_xlfn.XLOOKUP(frasest[[#This Row],[author_es]],autorest[author_es],autorest[language_es])</f>
        <v>Chino</v>
      </c>
      <c r="L1220" t="str">
        <f>_xlfn.XLOOKUP(frasest[[#This Row],[author_es]],autorest[author_es],autorest[language_la])</f>
        <v>Lingua Sinica</v>
      </c>
      <c r="M1220" t="str">
        <f>_xlfn.XLOOKUP(frasest[[#This Row],[author_es]],autorest[author_es],autorest[nation_es])</f>
        <v>China</v>
      </c>
      <c r="N1220" t="str">
        <f>_xlfn.XLOOKUP(frasest[[#This Row],[author_es]],autorest[author_es],autorest[nation_la])</f>
        <v>Sinae</v>
      </c>
      <c r="O1220" t="str">
        <f>_xlfn.XLOOKUP(frasest[[#This Row],[author_es]],autorest[author_es],autorest[age_es])</f>
        <v>Epoca Desconocida</v>
      </c>
      <c r="P1220" t="str">
        <f>_xlfn.XLOOKUP(frasest[[#This Row],[author_es]],autorest[author_es],autorest[age_la])</f>
        <v>Epocha Ignota</v>
      </c>
      <c r="Q1220" t="str">
        <f>_xlfn.XLOOKUP(frasest[[#This Row],[author_es]],autorest[author_es],autorest[image])</f>
        <v>https://i.ibb.co/qLfpZm6h/china.png</v>
      </c>
      <c r="R1220">
        <f>_xlfn.XLOOKUP(frasest[[#This Row],[author_es]],autorest[author_es],autorest[image_atr])</f>
        <v>0</v>
      </c>
    </row>
    <row r="1221" spans="1:18">
      <c r="A1221">
        <v>1220</v>
      </c>
      <c r="B1221" t="s">
        <v>3779</v>
      </c>
      <c r="C1221" t="s">
        <v>3780</v>
      </c>
      <c r="D1221" s="1" t="s">
        <v>3781</v>
      </c>
      <c r="E1221" t="s">
        <v>36</v>
      </c>
      <c r="G1221" t="str">
        <f>_xlfn.XLOOKUP(frasest[[#This Row],[author_es]],autorest[author_es],autorest[author_la])</f>
        <v>Proverbium Sinense</v>
      </c>
      <c r="H1221" t="str">
        <f>_xlfn.XLOOKUP(frasest[[#This Row],[author_es]],autorest[author_es],autorest[bio_es])</f>
        <v>Conjunto de proverbios tradicionales de la cultura china que transmiten sabiduría popular, valores morales y enseñanzas prácticas transmitidas oralmente durante siglos.</v>
      </c>
      <c r="I1221" t="str">
        <f>_xlfn.XLOOKUP(frasest[[#This Row],[author_es]],autorest[author_es],autorest[bio_la])</f>
        <v>Collectio sententiarum Sinensium, magnopere in cultura tradita.</v>
      </c>
      <c r="J1221" t="str">
        <f>_xlfn.XLOOKUP(frasest[[#This Row],[author_es]],autorest[author_es],autorest[iso3691])</f>
        <v>zh</v>
      </c>
      <c r="K1221" t="str">
        <f>_xlfn.XLOOKUP(frasest[[#This Row],[author_es]],autorest[author_es],autorest[language_es])</f>
        <v>Chino</v>
      </c>
      <c r="L1221" t="str">
        <f>_xlfn.XLOOKUP(frasest[[#This Row],[author_es]],autorest[author_es],autorest[language_la])</f>
        <v>Lingua Sinica</v>
      </c>
      <c r="M1221" t="str">
        <f>_xlfn.XLOOKUP(frasest[[#This Row],[author_es]],autorest[author_es],autorest[nation_es])</f>
        <v>China</v>
      </c>
      <c r="N1221" t="str">
        <f>_xlfn.XLOOKUP(frasest[[#This Row],[author_es]],autorest[author_es],autorest[nation_la])</f>
        <v>Sinae</v>
      </c>
      <c r="O1221" t="str">
        <f>_xlfn.XLOOKUP(frasest[[#This Row],[author_es]],autorest[author_es],autorest[age_es])</f>
        <v>Epoca Desconocida</v>
      </c>
      <c r="P1221" t="str">
        <f>_xlfn.XLOOKUP(frasest[[#This Row],[author_es]],autorest[author_es],autorest[age_la])</f>
        <v>Epocha Ignota</v>
      </c>
      <c r="Q1221" t="str">
        <f>_xlfn.XLOOKUP(frasest[[#This Row],[author_es]],autorest[author_es],autorest[image])</f>
        <v>https://i.ibb.co/qLfpZm6h/china.png</v>
      </c>
      <c r="R1221">
        <f>_xlfn.XLOOKUP(frasest[[#This Row],[author_es]],autorest[author_es],autorest[image_atr])</f>
        <v>0</v>
      </c>
    </row>
    <row r="1222" spans="1:18">
      <c r="A1222">
        <v>1221</v>
      </c>
      <c r="B1222" t="s">
        <v>3782</v>
      </c>
      <c r="C1222" t="s">
        <v>3783</v>
      </c>
      <c r="D1222" s="1" t="s">
        <v>3784</v>
      </c>
      <c r="E1222" t="s">
        <v>36</v>
      </c>
      <c r="G1222" t="str">
        <f>_xlfn.XLOOKUP(frasest[[#This Row],[author_es]],autorest[author_es],autorest[author_la])</f>
        <v>Proverbium Sinense</v>
      </c>
      <c r="H1222" t="str">
        <f>_xlfn.XLOOKUP(frasest[[#This Row],[author_es]],autorest[author_es],autorest[bio_es])</f>
        <v>Conjunto de proverbios tradicionales de la cultura china que transmiten sabiduría popular, valores morales y enseñanzas prácticas transmitidas oralmente durante siglos.</v>
      </c>
      <c r="I1222" t="str">
        <f>_xlfn.XLOOKUP(frasest[[#This Row],[author_es]],autorest[author_es],autorest[bio_la])</f>
        <v>Collectio sententiarum Sinensium, magnopere in cultura tradita.</v>
      </c>
      <c r="J1222" t="str">
        <f>_xlfn.XLOOKUP(frasest[[#This Row],[author_es]],autorest[author_es],autorest[iso3691])</f>
        <v>zh</v>
      </c>
      <c r="K1222" t="str">
        <f>_xlfn.XLOOKUP(frasest[[#This Row],[author_es]],autorest[author_es],autorest[language_es])</f>
        <v>Chino</v>
      </c>
      <c r="L1222" t="str">
        <f>_xlfn.XLOOKUP(frasest[[#This Row],[author_es]],autorest[author_es],autorest[language_la])</f>
        <v>Lingua Sinica</v>
      </c>
      <c r="M1222" t="str">
        <f>_xlfn.XLOOKUP(frasest[[#This Row],[author_es]],autorest[author_es],autorest[nation_es])</f>
        <v>China</v>
      </c>
      <c r="N1222" t="str">
        <f>_xlfn.XLOOKUP(frasest[[#This Row],[author_es]],autorest[author_es],autorest[nation_la])</f>
        <v>Sinae</v>
      </c>
      <c r="O1222" t="str">
        <f>_xlfn.XLOOKUP(frasest[[#This Row],[author_es]],autorest[author_es],autorest[age_es])</f>
        <v>Epoca Desconocida</v>
      </c>
      <c r="P1222" t="str">
        <f>_xlfn.XLOOKUP(frasest[[#This Row],[author_es]],autorest[author_es],autorest[age_la])</f>
        <v>Epocha Ignota</v>
      </c>
      <c r="Q1222" t="str">
        <f>_xlfn.XLOOKUP(frasest[[#This Row],[author_es]],autorest[author_es],autorest[image])</f>
        <v>https://i.ibb.co/qLfpZm6h/china.png</v>
      </c>
      <c r="R1222">
        <f>_xlfn.XLOOKUP(frasest[[#This Row],[author_es]],autorest[author_es],autorest[image_atr])</f>
        <v>0</v>
      </c>
    </row>
    <row r="1223" spans="1:18">
      <c r="A1223">
        <v>1222</v>
      </c>
      <c r="B1223" t="s">
        <v>3785</v>
      </c>
      <c r="C1223" t="s">
        <v>3786</v>
      </c>
      <c r="D1223" s="1" t="s">
        <v>3787</v>
      </c>
      <c r="E1223" t="s">
        <v>36</v>
      </c>
      <c r="G1223" t="str">
        <f>_xlfn.XLOOKUP(frasest[[#This Row],[author_es]],autorest[author_es],autorest[author_la])</f>
        <v>Proverbium Sinense</v>
      </c>
      <c r="H1223" t="str">
        <f>_xlfn.XLOOKUP(frasest[[#This Row],[author_es]],autorest[author_es],autorest[bio_es])</f>
        <v>Conjunto de proverbios tradicionales de la cultura china que transmiten sabiduría popular, valores morales y enseñanzas prácticas transmitidas oralmente durante siglos.</v>
      </c>
      <c r="I1223" t="str">
        <f>_xlfn.XLOOKUP(frasest[[#This Row],[author_es]],autorest[author_es],autorest[bio_la])</f>
        <v>Collectio sententiarum Sinensium, magnopere in cultura tradita.</v>
      </c>
      <c r="J1223" t="str">
        <f>_xlfn.XLOOKUP(frasest[[#This Row],[author_es]],autorest[author_es],autorest[iso3691])</f>
        <v>zh</v>
      </c>
      <c r="K1223" t="str">
        <f>_xlfn.XLOOKUP(frasest[[#This Row],[author_es]],autorest[author_es],autorest[language_es])</f>
        <v>Chino</v>
      </c>
      <c r="L1223" t="str">
        <f>_xlfn.XLOOKUP(frasest[[#This Row],[author_es]],autorest[author_es],autorest[language_la])</f>
        <v>Lingua Sinica</v>
      </c>
      <c r="M1223" t="str">
        <f>_xlfn.XLOOKUP(frasest[[#This Row],[author_es]],autorest[author_es],autorest[nation_es])</f>
        <v>China</v>
      </c>
      <c r="N1223" t="str">
        <f>_xlfn.XLOOKUP(frasest[[#This Row],[author_es]],autorest[author_es],autorest[nation_la])</f>
        <v>Sinae</v>
      </c>
      <c r="O1223" t="str">
        <f>_xlfn.XLOOKUP(frasest[[#This Row],[author_es]],autorest[author_es],autorest[age_es])</f>
        <v>Epoca Desconocida</v>
      </c>
      <c r="P1223" t="str">
        <f>_xlfn.XLOOKUP(frasest[[#This Row],[author_es]],autorest[author_es],autorest[age_la])</f>
        <v>Epocha Ignota</v>
      </c>
      <c r="Q1223" t="str">
        <f>_xlfn.XLOOKUP(frasest[[#This Row],[author_es]],autorest[author_es],autorest[image])</f>
        <v>https://i.ibb.co/qLfpZm6h/china.png</v>
      </c>
      <c r="R1223">
        <f>_xlfn.XLOOKUP(frasest[[#This Row],[author_es]],autorest[author_es],autorest[image_atr])</f>
        <v>0</v>
      </c>
    </row>
    <row r="1224" spans="1:18">
      <c r="A1224">
        <v>1223</v>
      </c>
      <c r="B1224" t="s">
        <v>3788</v>
      </c>
      <c r="C1224" t="s">
        <v>3789</v>
      </c>
      <c r="D1224" s="1" t="s">
        <v>3790</v>
      </c>
      <c r="E1224" t="s">
        <v>36</v>
      </c>
      <c r="G1224" t="str">
        <f>_xlfn.XLOOKUP(frasest[[#This Row],[author_es]],autorest[author_es],autorest[author_la])</f>
        <v>Proverbium Sinense</v>
      </c>
      <c r="H1224" t="str">
        <f>_xlfn.XLOOKUP(frasest[[#This Row],[author_es]],autorest[author_es],autorest[bio_es])</f>
        <v>Conjunto de proverbios tradicionales de la cultura china que transmiten sabiduría popular, valores morales y enseñanzas prácticas transmitidas oralmente durante siglos.</v>
      </c>
      <c r="I1224" t="str">
        <f>_xlfn.XLOOKUP(frasest[[#This Row],[author_es]],autorest[author_es],autorest[bio_la])</f>
        <v>Collectio sententiarum Sinensium, magnopere in cultura tradita.</v>
      </c>
      <c r="J1224" t="str">
        <f>_xlfn.XLOOKUP(frasest[[#This Row],[author_es]],autorest[author_es],autorest[iso3691])</f>
        <v>zh</v>
      </c>
      <c r="K1224" t="str">
        <f>_xlfn.XLOOKUP(frasest[[#This Row],[author_es]],autorest[author_es],autorest[language_es])</f>
        <v>Chino</v>
      </c>
      <c r="L1224" t="str">
        <f>_xlfn.XLOOKUP(frasest[[#This Row],[author_es]],autorest[author_es],autorest[language_la])</f>
        <v>Lingua Sinica</v>
      </c>
      <c r="M1224" t="str">
        <f>_xlfn.XLOOKUP(frasest[[#This Row],[author_es]],autorest[author_es],autorest[nation_es])</f>
        <v>China</v>
      </c>
      <c r="N1224" t="str">
        <f>_xlfn.XLOOKUP(frasest[[#This Row],[author_es]],autorest[author_es],autorest[nation_la])</f>
        <v>Sinae</v>
      </c>
      <c r="O1224" t="str">
        <f>_xlfn.XLOOKUP(frasest[[#This Row],[author_es]],autorest[author_es],autorest[age_es])</f>
        <v>Epoca Desconocida</v>
      </c>
      <c r="P1224" t="str">
        <f>_xlfn.XLOOKUP(frasest[[#This Row],[author_es]],autorest[author_es],autorest[age_la])</f>
        <v>Epocha Ignota</v>
      </c>
      <c r="Q1224" t="str">
        <f>_xlfn.XLOOKUP(frasest[[#This Row],[author_es]],autorest[author_es],autorest[image])</f>
        <v>https://i.ibb.co/qLfpZm6h/china.png</v>
      </c>
      <c r="R1224">
        <f>_xlfn.XLOOKUP(frasest[[#This Row],[author_es]],autorest[author_es],autorest[image_atr])</f>
        <v>0</v>
      </c>
    </row>
    <row r="1225" spans="1:18">
      <c r="A1225">
        <v>1224</v>
      </c>
      <c r="B1225" t="s">
        <v>3791</v>
      </c>
      <c r="C1225" t="s">
        <v>3792</v>
      </c>
      <c r="D1225" s="1" t="s">
        <v>3793</v>
      </c>
      <c r="E1225" t="s">
        <v>36</v>
      </c>
      <c r="G1225" t="str">
        <f>_xlfn.XLOOKUP(frasest[[#This Row],[author_es]],autorest[author_es],autorest[author_la])</f>
        <v>Proverbium Sinense</v>
      </c>
      <c r="H1225" t="str">
        <f>_xlfn.XLOOKUP(frasest[[#This Row],[author_es]],autorest[author_es],autorest[bio_es])</f>
        <v>Conjunto de proverbios tradicionales de la cultura china que transmiten sabiduría popular, valores morales y enseñanzas prácticas transmitidas oralmente durante siglos.</v>
      </c>
      <c r="I1225" t="str">
        <f>_xlfn.XLOOKUP(frasest[[#This Row],[author_es]],autorest[author_es],autorest[bio_la])</f>
        <v>Collectio sententiarum Sinensium, magnopere in cultura tradita.</v>
      </c>
      <c r="J1225" t="str">
        <f>_xlfn.XLOOKUP(frasest[[#This Row],[author_es]],autorest[author_es],autorest[iso3691])</f>
        <v>zh</v>
      </c>
      <c r="K1225" t="str">
        <f>_xlfn.XLOOKUP(frasest[[#This Row],[author_es]],autorest[author_es],autorest[language_es])</f>
        <v>Chino</v>
      </c>
      <c r="L1225" t="str">
        <f>_xlfn.XLOOKUP(frasest[[#This Row],[author_es]],autorest[author_es],autorest[language_la])</f>
        <v>Lingua Sinica</v>
      </c>
      <c r="M1225" t="str">
        <f>_xlfn.XLOOKUP(frasest[[#This Row],[author_es]],autorest[author_es],autorest[nation_es])</f>
        <v>China</v>
      </c>
      <c r="N1225" t="str">
        <f>_xlfn.XLOOKUP(frasest[[#This Row],[author_es]],autorest[author_es],autorest[nation_la])</f>
        <v>Sinae</v>
      </c>
      <c r="O1225" t="str">
        <f>_xlfn.XLOOKUP(frasest[[#This Row],[author_es]],autorest[author_es],autorest[age_es])</f>
        <v>Epoca Desconocida</v>
      </c>
      <c r="P1225" t="str">
        <f>_xlfn.XLOOKUP(frasest[[#This Row],[author_es]],autorest[author_es],autorest[age_la])</f>
        <v>Epocha Ignota</v>
      </c>
      <c r="Q1225" t="str">
        <f>_xlfn.XLOOKUP(frasest[[#This Row],[author_es]],autorest[author_es],autorest[image])</f>
        <v>https://i.ibb.co/qLfpZm6h/china.png</v>
      </c>
      <c r="R1225">
        <f>_xlfn.XLOOKUP(frasest[[#This Row],[author_es]],autorest[author_es],autorest[image_atr])</f>
        <v>0</v>
      </c>
    </row>
    <row r="1226" spans="1:18">
      <c r="A1226">
        <v>1225</v>
      </c>
      <c r="B1226" t="s">
        <v>3794</v>
      </c>
      <c r="C1226" t="s">
        <v>3795</v>
      </c>
      <c r="D1226" s="1" t="s">
        <v>3796</v>
      </c>
      <c r="E1226" t="s">
        <v>36</v>
      </c>
      <c r="G1226" t="str">
        <f>_xlfn.XLOOKUP(frasest[[#This Row],[author_es]],autorest[author_es],autorest[author_la])</f>
        <v>Proverbium Sinense</v>
      </c>
      <c r="H1226" t="str">
        <f>_xlfn.XLOOKUP(frasest[[#This Row],[author_es]],autorest[author_es],autorest[bio_es])</f>
        <v>Conjunto de proverbios tradicionales de la cultura china que transmiten sabiduría popular, valores morales y enseñanzas prácticas transmitidas oralmente durante siglos.</v>
      </c>
      <c r="I1226" t="str">
        <f>_xlfn.XLOOKUP(frasest[[#This Row],[author_es]],autorest[author_es],autorest[bio_la])</f>
        <v>Collectio sententiarum Sinensium, magnopere in cultura tradita.</v>
      </c>
      <c r="J1226" t="str">
        <f>_xlfn.XLOOKUP(frasest[[#This Row],[author_es]],autorest[author_es],autorest[iso3691])</f>
        <v>zh</v>
      </c>
      <c r="K1226" t="str">
        <f>_xlfn.XLOOKUP(frasest[[#This Row],[author_es]],autorest[author_es],autorest[language_es])</f>
        <v>Chino</v>
      </c>
      <c r="L1226" t="str">
        <f>_xlfn.XLOOKUP(frasest[[#This Row],[author_es]],autorest[author_es],autorest[language_la])</f>
        <v>Lingua Sinica</v>
      </c>
      <c r="M1226" t="str">
        <f>_xlfn.XLOOKUP(frasest[[#This Row],[author_es]],autorest[author_es],autorest[nation_es])</f>
        <v>China</v>
      </c>
      <c r="N1226" t="str">
        <f>_xlfn.XLOOKUP(frasest[[#This Row],[author_es]],autorest[author_es],autorest[nation_la])</f>
        <v>Sinae</v>
      </c>
      <c r="O1226" t="str">
        <f>_xlfn.XLOOKUP(frasest[[#This Row],[author_es]],autorest[author_es],autorest[age_es])</f>
        <v>Epoca Desconocida</v>
      </c>
      <c r="P1226" t="str">
        <f>_xlfn.XLOOKUP(frasest[[#This Row],[author_es]],autorest[author_es],autorest[age_la])</f>
        <v>Epocha Ignota</v>
      </c>
      <c r="Q1226" t="str">
        <f>_xlfn.XLOOKUP(frasest[[#This Row],[author_es]],autorest[author_es],autorest[image])</f>
        <v>https://i.ibb.co/qLfpZm6h/china.png</v>
      </c>
      <c r="R1226">
        <f>_xlfn.XLOOKUP(frasest[[#This Row],[author_es]],autorest[author_es],autorest[image_atr])</f>
        <v>0</v>
      </c>
    </row>
    <row r="1227" spans="1:18">
      <c r="A1227">
        <v>1226</v>
      </c>
      <c r="B1227" t="s">
        <v>3797</v>
      </c>
      <c r="C1227" t="s">
        <v>3798</v>
      </c>
      <c r="D1227" s="1" t="s">
        <v>3799</v>
      </c>
      <c r="E1227" t="s">
        <v>36</v>
      </c>
      <c r="G1227" t="str">
        <f>_xlfn.XLOOKUP(frasest[[#This Row],[author_es]],autorest[author_es],autorest[author_la])</f>
        <v>Proverbium Sinense</v>
      </c>
      <c r="H1227" t="str">
        <f>_xlfn.XLOOKUP(frasest[[#This Row],[author_es]],autorest[author_es],autorest[bio_es])</f>
        <v>Conjunto de proverbios tradicionales de la cultura china que transmiten sabiduría popular, valores morales y enseñanzas prácticas transmitidas oralmente durante siglos.</v>
      </c>
      <c r="I1227" t="str">
        <f>_xlfn.XLOOKUP(frasest[[#This Row],[author_es]],autorest[author_es],autorest[bio_la])</f>
        <v>Collectio sententiarum Sinensium, magnopere in cultura tradita.</v>
      </c>
      <c r="J1227" t="str">
        <f>_xlfn.XLOOKUP(frasest[[#This Row],[author_es]],autorest[author_es],autorest[iso3691])</f>
        <v>zh</v>
      </c>
      <c r="K1227" t="str">
        <f>_xlfn.XLOOKUP(frasest[[#This Row],[author_es]],autorest[author_es],autorest[language_es])</f>
        <v>Chino</v>
      </c>
      <c r="L1227" t="str">
        <f>_xlfn.XLOOKUP(frasest[[#This Row],[author_es]],autorest[author_es],autorest[language_la])</f>
        <v>Lingua Sinica</v>
      </c>
      <c r="M1227" t="str">
        <f>_xlfn.XLOOKUP(frasest[[#This Row],[author_es]],autorest[author_es],autorest[nation_es])</f>
        <v>China</v>
      </c>
      <c r="N1227" t="str">
        <f>_xlfn.XLOOKUP(frasest[[#This Row],[author_es]],autorest[author_es],autorest[nation_la])</f>
        <v>Sinae</v>
      </c>
      <c r="O1227" t="str">
        <f>_xlfn.XLOOKUP(frasest[[#This Row],[author_es]],autorest[author_es],autorest[age_es])</f>
        <v>Epoca Desconocida</v>
      </c>
      <c r="P1227" t="str">
        <f>_xlfn.XLOOKUP(frasest[[#This Row],[author_es]],autorest[author_es],autorest[age_la])</f>
        <v>Epocha Ignota</v>
      </c>
      <c r="Q1227" t="str">
        <f>_xlfn.XLOOKUP(frasest[[#This Row],[author_es]],autorest[author_es],autorest[image])</f>
        <v>https://i.ibb.co/qLfpZm6h/china.png</v>
      </c>
      <c r="R1227">
        <f>_xlfn.XLOOKUP(frasest[[#This Row],[author_es]],autorest[author_es],autorest[image_atr])</f>
        <v>0</v>
      </c>
    </row>
    <row r="1228" spans="1:18">
      <c r="A1228">
        <v>1227</v>
      </c>
      <c r="B1228" t="s">
        <v>3800</v>
      </c>
      <c r="C1228" t="s">
        <v>3801</v>
      </c>
      <c r="D1228" s="1" t="s">
        <v>1289</v>
      </c>
      <c r="E1228" t="s">
        <v>36</v>
      </c>
      <c r="G1228" t="str">
        <f>_xlfn.XLOOKUP(frasest[[#This Row],[author_es]],autorest[author_es],autorest[author_la])</f>
        <v>Proverbium Sinense</v>
      </c>
      <c r="H1228" t="str">
        <f>_xlfn.XLOOKUP(frasest[[#This Row],[author_es]],autorest[author_es],autorest[bio_es])</f>
        <v>Conjunto de proverbios tradicionales de la cultura china que transmiten sabiduría popular, valores morales y enseñanzas prácticas transmitidas oralmente durante siglos.</v>
      </c>
      <c r="I1228" t="str">
        <f>_xlfn.XLOOKUP(frasest[[#This Row],[author_es]],autorest[author_es],autorest[bio_la])</f>
        <v>Collectio sententiarum Sinensium, magnopere in cultura tradita.</v>
      </c>
      <c r="J1228" t="str">
        <f>_xlfn.XLOOKUP(frasest[[#This Row],[author_es]],autorest[author_es],autorest[iso3691])</f>
        <v>zh</v>
      </c>
      <c r="K1228" t="str">
        <f>_xlfn.XLOOKUP(frasest[[#This Row],[author_es]],autorest[author_es],autorest[language_es])</f>
        <v>Chino</v>
      </c>
      <c r="L1228" t="str">
        <f>_xlfn.XLOOKUP(frasest[[#This Row],[author_es]],autorest[author_es],autorest[language_la])</f>
        <v>Lingua Sinica</v>
      </c>
      <c r="M1228" t="str">
        <f>_xlfn.XLOOKUP(frasest[[#This Row],[author_es]],autorest[author_es],autorest[nation_es])</f>
        <v>China</v>
      </c>
      <c r="N1228" t="str">
        <f>_xlfn.XLOOKUP(frasest[[#This Row],[author_es]],autorest[author_es],autorest[nation_la])</f>
        <v>Sinae</v>
      </c>
      <c r="O1228" t="str">
        <f>_xlfn.XLOOKUP(frasest[[#This Row],[author_es]],autorest[author_es],autorest[age_es])</f>
        <v>Epoca Desconocida</v>
      </c>
      <c r="P1228" t="str">
        <f>_xlfn.XLOOKUP(frasest[[#This Row],[author_es]],autorest[author_es],autorest[age_la])</f>
        <v>Epocha Ignota</v>
      </c>
      <c r="Q1228" t="str">
        <f>_xlfn.XLOOKUP(frasest[[#This Row],[author_es]],autorest[author_es],autorest[image])</f>
        <v>https://i.ibb.co/qLfpZm6h/china.png</v>
      </c>
      <c r="R1228">
        <f>_xlfn.XLOOKUP(frasest[[#This Row],[author_es]],autorest[author_es],autorest[image_atr])</f>
        <v>0</v>
      </c>
    </row>
    <row r="1229" spans="1:18">
      <c r="A1229">
        <v>1228</v>
      </c>
      <c r="B1229" t="s">
        <v>3802</v>
      </c>
      <c r="C1229" t="s">
        <v>3803</v>
      </c>
      <c r="D1229" s="1" t="s">
        <v>3804</v>
      </c>
      <c r="E1229" t="s">
        <v>36</v>
      </c>
      <c r="G1229" t="str">
        <f>_xlfn.XLOOKUP(frasest[[#This Row],[author_es]],autorest[author_es],autorest[author_la])</f>
        <v>Proverbium Sinense</v>
      </c>
      <c r="H1229" t="str">
        <f>_xlfn.XLOOKUP(frasest[[#This Row],[author_es]],autorest[author_es],autorest[bio_es])</f>
        <v>Conjunto de proverbios tradicionales de la cultura china que transmiten sabiduría popular, valores morales y enseñanzas prácticas transmitidas oralmente durante siglos.</v>
      </c>
      <c r="I1229" t="str">
        <f>_xlfn.XLOOKUP(frasest[[#This Row],[author_es]],autorest[author_es],autorest[bio_la])</f>
        <v>Collectio sententiarum Sinensium, magnopere in cultura tradita.</v>
      </c>
      <c r="J1229" t="str">
        <f>_xlfn.XLOOKUP(frasest[[#This Row],[author_es]],autorest[author_es],autorest[iso3691])</f>
        <v>zh</v>
      </c>
      <c r="K1229" t="str">
        <f>_xlfn.XLOOKUP(frasest[[#This Row],[author_es]],autorest[author_es],autorest[language_es])</f>
        <v>Chino</v>
      </c>
      <c r="L1229" t="str">
        <f>_xlfn.XLOOKUP(frasest[[#This Row],[author_es]],autorest[author_es],autorest[language_la])</f>
        <v>Lingua Sinica</v>
      </c>
      <c r="M1229" t="str">
        <f>_xlfn.XLOOKUP(frasest[[#This Row],[author_es]],autorest[author_es],autorest[nation_es])</f>
        <v>China</v>
      </c>
      <c r="N1229" t="str">
        <f>_xlfn.XLOOKUP(frasest[[#This Row],[author_es]],autorest[author_es],autorest[nation_la])</f>
        <v>Sinae</v>
      </c>
      <c r="O1229" t="str">
        <f>_xlfn.XLOOKUP(frasest[[#This Row],[author_es]],autorest[author_es],autorest[age_es])</f>
        <v>Epoca Desconocida</v>
      </c>
      <c r="P1229" t="str">
        <f>_xlfn.XLOOKUP(frasest[[#This Row],[author_es]],autorest[author_es],autorest[age_la])</f>
        <v>Epocha Ignota</v>
      </c>
      <c r="Q1229" t="str">
        <f>_xlfn.XLOOKUP(frasest[[#This Row],[author_es]],autorest[author_es],autorest[image])</f>
        <v>https://i.ibb.co/qLfpZm6h/china.png</v>
      </c>
      <c r="R1229">
        <f>_xlfn.XLOOKUP(frasest[[#This Row],[author_es]],autorest[author_es],autorest[image_atr])</f>
        <v>0</v>
      </c>
    </row>
    <row r="1230" spans="1:18">
      <c r="A1230">
        <v>1229</v>
      </c>
      <c r="B1230" t="s">
        <v>3805</v>
      </c>
      <c r="C1230" t="s">
        <v>3806</v>
      </c>
      <c r="D1230" s="1" t="s">
        <v>3807</v>
      </c>
      <c r="E1230" t="s">
        <v>36</v>
      </c>
      <c r="G1230" t="str">
        <f>_xlfn.XLOOKUP(frasest[[#This Row],[author_es]],autorest[author_es],autorest[author_la])</f>
        <v>Proverbium Sinense</v>
      </c>
      <c r="H1230" t="str">
        <f>_xlfn.XLOOKUP(frasest[[#This Row],[author_es]],autorest[author_es],autorest[bio_es])</f>
        <v>Conjunto de proverbios tradicionales de la cultura china que transmiten sabiduría popular, valores morales y enseñanzas prácticas transmitidas oralmente durante siglos.</v>
      </c>
      <c r="I1230" t="str">
        <f>_xlfn.XLOOKUP(frasest[[#This Row],[author_es]],autorest[author_es],autorest[bio_la])</f>
        <v>Collectio sententiarum Sinensium, magnopere in cultura tradita.</v>
      </c>
      <c r="J1230" t="str">
        <f>_xlfn.XLOOKUP(frasest[[#This Row],[author_es]],autorest[author_es],autorest[iso3691])</f>
        <v>zh</v>
      </c>
      <c r="K1230" t="str">
        <f>_xlfn.XLOOKUP(frasest[[#This Row],[author_es]],autorest[author_es],autorest[language_es])</f>
        <v>Chino</v>
      </c>
      <c r="L1230" t="str">
        <f>_xlfn.XLOOKUP(frasest[[#This Row],[author_es]],autorest[author_es],autorest[language_la])</f>
        <v>Lingua Sinica</v>
      </c>
      <c r="M1230" t="str">
        <f>_xlfn.XLOOKUP(frasest[[#This Row],[author_es]],autorest[author_es],autorest[nation_es])</f>
        <v>China</v>
      </c>
      <c r="N1230" t="str">
        <f>_xlfn.XLOOKUP(frasest[[#This Row],[author_es]],autorest[author_es],autorest[nation_la])</f>
        <v>Sinae</v>
      </c>
      <c r="O1230" t="str">
        <f>_xlfn.XLOOKUP(frasest[[#This Row],[author_es]],autorest[author_es],autorest[age_es])</f>
        <v>Epoca Desconocida</v>
      </c>
      <c r="P1230" t="str">
        <f>_xlfn.XLOOKUP(frasest[[#This Row],[author_es]],autorest[author_es],autorest[age_la])</f>
        <v>Epocha Ignota</v>
      </c>
      <c r="Q1230" t="str">
        <f>_xlfn.XLOOKUP(frasest[[#This Row],[author_es]],autorest[author_es],autorest[image])</f>
        <v>https://i.ibb.co/qLfpZm6h/china.png</v>
      </c>
      <c r="R1230">
        <f>_xlfn.XLOOKUP(frasest[[#This Row],[author_es]],autorest[author_es],autorest[image_atr])</f>
        <v>0</v>
      </c>
    </row>
    <row r="1231" spans="1:18">
      <c r="A1231">
        <v>1230</v>
      </c>
      <c r="B1231" t="s">
        <v>3808</v>
      </c>
      <c r="C1231" t="s">
        <v>3809</v>
      </c>
      <c r="D1231" s="1" t="s">
        <v>3810</v>
      </c>
      <c r="E1231" t="s">
        <v>36</v>
      </c>
      <c r="G1231" t="str">
        <f>_xlfn.XLOOKUP(frasest[[#This Row],[author_es]],autorest[author_es],autorest[author_la])</f>
        <v>Proverbium Sinense</v>
      </c>
      <c r="H1231" t="str">
        <f>_xlfn.XLOOKUP(frasest[[#This Row],[author_es]],autorest[author_es],autorest[bio_es])</f>
        <v>Conjunto de proverbios tradicionales de la cultura china que transmiten sabiduría popular, valores morales y enseñanzas prácticas transmitidas oralmente durante siglos.</v>
      </c>
      <c r="I1231" t="str">
        <f>_xlfn.XLOOKUP(frasest[[#This Row],[author_es]],autorest[author_es],autorest[bio_la])</f>
        <v>Collectio sententiarum Sinensium, magnopere in cultura tradita.</v>
      </c>
      <c r="J1231" t="str">
        <f>_xlfn.XLOOKUP(frasest[[#This Row],[author_es]],autorest[author_es],autorest[iso3691])</f>
        <v>zh</v>
      </c>
      <c r="K1231" t="str">
        <f>_xlfn.XLOOKUP(frasest[[#This Row],[author_es]],autorest[author_es],autorest[language_es])</f>
        <v>Chino</v>
      </c>
      <c r="L1231" t="str">
        <f>_xlfn.XLOOKUP(frasest[[#This Row],[author_es]],autorest[author_es],autorest[language_la])</f>
        <v>Lingua Sinica</v>
      </c>
      <c r="M1231" t="str">
        <f>_xlfn.XLOOKUP(frasest[[#This Row],[author_es]],autorest[author_es],autorest[nation_es])</f>
        <v>China</v>
      </c>
      <c r="N1231" t="str">
        <f>_xlfn.XLOOKUP(frasest[[#This Row],[author_es]],autorest[author_es],autorest[nation_la])</f>
        <v>Sinae</v>
      </c>
      <c r="O1231" t="str">
        <f>_xlfn.XLOOKUP(frasest[[#This Row],[author_es]],autorest[author_es],autorest[age_es])</f>
        <v>Epoca Desconocida</v>
      </c>
      <c r="P1231" t="str">
        <f>_xlfn.XLOOKUP(frasest[[#This Row],[author_es]],autorest[author_es],autorest[age_la])</f>
        <v>Epocha Ignota</v>
      </c>
      <c r="Q1231" t="str">
        <f>_xlfn.XLOOKUP(frasest[[#This Row],[author_es]],autorest[author_es],autorest[image])</f>
        <v>https://i.ibb.co/qLfpZm6h/china.png</v>
      </c>
      <c r="R1231">
        <f>_xlfn.XLOOKUP(frasest[[#This Row],[author_es]],autorest[author_es],autorest[image_atr])</f>
        <v>0</v>
      </c>
    </row>
    <row r="1232" spans="1:18">
      <c r="A1232">
        <v>1231</v>
      </c>
      <c r="B1232" t="s">
        <v>3811</v>
      </c>
      <c r="C1232" t="s">
        <v>3812</v>
      </c>
      <c r="D1232" s="1" t="s">
        <v>3813</v>
      </c>
      <c r="E1232" t="s">
        <v>36</v>
      </c>
      <c r="G1232" t="str">
        <f>_xlfn.XLOOKUP(frasest[[#This Row],[author_es]],autorest[author_es],autorest[author_la])</f>
        <v>Proverbium Sinense</v>
      </c>
      <c r="H1232" t="str">
        <f>_xlfn.XLOOKUP(frasest[[#This Row],[author_es]],autorest[author_es],autorest[bio_es])</f>
        <v>Conjunto de proverbios tradicionales de la cultura china que transmiten sabiduría popular, valores morales y enseñanzas prácticas transmitidas oralmente durante siglos.</v>
      </c>
      <c r="I1232" t="str">
        <f>_xlfn.XLOOKUP(frasest[[#This Row],[author_es]],autorest[author_es],autorest[bio_la])</f>
        <v>Collectio sententiarum Sinensium, magnopere in cultura tradita.</v>
      </c>
      <c r="J1232" t="str">
        <f>_xlfn.XLOOKUP(frasest[[#This Row],[author_es]],autorest[author_es],autorest[iso3691])</f>
        <v>zh</v>
      </c>
      <c r="K1232" t="str">
        <f>_xlfn.XLOOKUP(frasest[[#This Row],[author_es]],autorest[author_es],autorest[language_es])</f>
        <v>Chino</v>
      </c>
      <c r="L1232" t="str">
        <f>_xlfn.XLOOKUP(frasest[[#This Row],[author_es]],autorest[author_es],autorest[language_la])</f>
        <v>Lingua Sinica</v>
      </c>
      <c r="M1232" t="str">
        <f>_xlfn.XLOOKUP(frasest[[#This Row],[author_es]],autorest[author_es],autorest[nation_es])</f>
        <v>China</v>
      </c>
      <c r="N1232" t="str">
        <f>_xlfn.XLOOKUP(frasest[[#This Row],[author_es]],autorest[author_es],autorest[nation_la])</f>
        <v>Sinae</v>
      </c>
      <c r="O1232" t="str">
        <f>_xlfn.XLOOKUP(frasest[[#This Row],[author_es]],autorest[author_es],autorest[age_es])</f>
        <v>Epoca Desconocida</v>
      </c>
      <c r="P1232" t="str">
        <f>_xlfn.XLOOKUP(frasest[[#This Row],[author_es]],autorest[author_es],autorest[age_la])</f>
        <v>Epocha Ignota</v>
      </c>
      <c r="Q1232" t="str">
        <f>_xlfn.XLOOKUP(frasest[[#This Row],[author_es]],autorest[author_es],autorest[image])</f>
        <v>https://i.ibb.co/qLfpZm6h/china.png</v>
      </c>
      <c r="R1232">
        <f>_xlfn.XLOOKUP(frasest[[#This Row],[author_es]],autorest[author_es],autorest[image_atr])</f>
        <v>0</v>
      </c>
    </row>
    <row r="1233" spans="1:18">
      <c r="A1233">
        <v>1232</v>
      </c>
      <c r="B1233" t="s">
        <v>3814</v>
      </c>
      <c r="C1233" t="s">
        <v>3815</v>
      </c>
      <c r="D1233" s="1" t="s">
        <v>3816</v>
      </c>
      <c r="E1233" t="s">
        <v>36</v>
      </c>
      <c r="G1233" t="str">
        <f>_xlfn.XLOOKUP(frasest[[#This Row],[author_es]],autorest[author_es],autorest[author_la])</f>
        <v>Proverbium Sinense</v>
      </c>
      <c r="H1233" t="str">
        <f>_xlfn.XLOOKUP(frasest[[#This Row],[author_es]],autorest[author_es],autorest[bio_es])</f>
        <v>Conjunto de proverbios tradicionales de la cultura china que transmiten sabiduría popular, valores morales y enseñanzas prácticas transmitidas oralmente durante siglos.</v>
      </c>
      <c r="I1233" t="str">
        <f>_xlfn.XLOOKUP(frasest[[#This Row],[author_es]],autorest[author_es],autorest[bio_la])</f>
        <v>Collectio sententiarum Sinensium, magnopere in cultura tradita.</v>
      </c>
      <c r="J1233" t="str">
        <f>_xlfn.XLOOKUP(frasest[[#This Row],[author_es]],autorest[author_es],autorest[iso3691])</f>
        <v>zh</v>
      </c>
      <c r="K1233" t="str">
        <f>_xlfn.XLOOKUP(frasest[[#This Row],[author_es]],autorest[author_es],autorest[language_es])</f>
        <v>Chino</v>
      </c>
      <c r="L1233" t="str">
        <f>_xlfn.XLOOKUP(frasest[[#This Row],[author_es]],autorest[author_es],autorest[language_la])</f>
        <v>Lingua Sinica</v>
      </c>
      <c r="M1233" t="str">
        <f>_xlfn.XLOOKUP(frasest[[#This Row],[author_es]],autorest[author_es],autorest[nation_es])</f>
        <v>China</v>
      </c>
      <c r="N1233" t="str">
        <f>_xlfn.XLOOKUP(frasest[[#This Row],[author_es]],autorest[author_es],autorest[nation_la])</f>
        <v>Sinae</v>
      </c>
      <c r="O1233" t="str">
        <f>_xlfn.XLOOKUP(frasest[[#This Row],[author_es]],autorest[author_es],autorest[age_es])</f>
        <v>Epoca Desconocida</v>
      </c>
      <c r="P1233" t="str">
        <f>_xlfn.XLOOKUP(frasest[[#This Row],[author_es]],autorest[author_es],autorest[age_la])</f>
        <v>Epocha Ignota</v>
      </c>
      <c r="Q1233" t="str">
        <f>_xlfn.XLOOKUP(frasest[[#This Row],[author_es]],autorest[author_es],autorest[image])</f>
        <v>https://i.ibb.co/qLfpZm6h/china.png</v>
      </c>
      <c r="R1233">
        <f>_xlfn.XLOOKUP(frasest[[#This Row],[author_es]],autorest[author_es],autorest[image_atr])</f>
        <v>0</v>
      </c>
    </row>
    <row r="1234" spans="1:18">
      <c r="A1234">
        <v>1233</v>
      </c>
      <c r="B1234" t="s">
        <v>3817</v>
      </c>
      <c r="C1234" t="s">
        <v>3818</v>
      </c>
      <c r="D1234" s="1" t="s">
        <v>3819</v>
      </c>
      <c r="E1234" t="s">
        <v>36</v>
      </c>
      <c r="G1234" t="str">
        <f>_xlfn.XLOOKUP(frasest[[#This Row],[author_es]],autorest[author_es],autorest[author_la])</f>
        <v>Proverbium Sinense</v>
      </c>
      <c r="H1234" t="str">
        <f>_xlfn.XLOOKUP(frasest[[#This Row],[author_es]],autorest[author_es],autorest[bio_es])</f>
        <v>Conjunto de proverbios tradicionales de la cultura china que transmiten sabiduría popular, valores morales y enseñanzas prácticas transmitidas oralmente durante siglos.</v>
      </c>
      <c r="I1234" t="str">
        <f>_xlfn.XLOOKUP(frasest[[#This Row],[author_es]],autorest[author_es],autorest[bio_la])</f>
        <v>Collectio sententiarum Sinensium, magnopere in cultura tradita.</v>
      </c>
      <c r="J1234" t="str">
        <f>_xlfn.XLOOKUP(frasest[[#This Row],[author_es]],autorest[author_es],autorest[iso3691])</f>
        <v>zh</v>
      </c>
      <c r="K1234" t="str">
        <f>_xlfn.XLOOKUP(frasest[[#This Row],[author_es]],autorest[author_es],autorest[language_es])</f>
        <v>Chino</v>
      </c>
      <c r="L1234" t="str">
        <f>_xlfn.XLOOKUP(frasest[[#This Row],[author_es]],autorest[author_es],autorest[language_la])</f>
        <v>Lingua Sinica</v>
      </c>
      <c r="M1234" t="str">
        <f>_xlfn.XLOOKUP(frasest[[#This Row],[author_es]],autorest[author_es],autorest[nation_es])</f>
        <v>China</v>
      </c>
      <c r="N1234" t="str">
        <f>_xlfn.XLOOKUP(frasest[[#This Row],[author_es]],autorest[author_es],autorest[nation_la])</f>
        <v>Sinae</v>
      </c>
      <c r="O1234" t="str">
        <f>_xlfn.XLOOKUP(frasest[[#This Row],[author_es]],autorest[author_es],autorest[age_es])</f>
        <v>Epoca Desconocida</v>
      </c>
      <c r="P1234" t="str">
        <f>_xlfn.XLOOKUP(frasest[[#This Row],[author_es]],autorest[author_es],autorest[age_la])</f>
        <v>Epocha Ignota</v>
      </c>
      <c r="Q1234" t="str">
        <f>_xlfn.XLOOKUP(frasest[[#This Row],[author_es]],autorest[author_es],autorest[image])</f>
        <v>https://i.ibb.co/qLfpZm6h/china.png</v>
      </c>
      <c r="R1234">
        <f>_xlfn.XLOOKUP(frasest[[#This Row],[author_es]],autorest[author_es],autorest[image_atr])</f>
        <v>0</v>
      </c>
    </row>
    <row r="1235" spans="1:18">
      <c r="A1235">
        <v>1234</v>
      </c>
      <c r="B1235" t="s">
        <v>3820</v>
      </c>
      <c r="C1235" t="s">
        <v>3821</v>
      </c>
      <c r="D1235" s="1" t="s">
        <v>3822</v>
      </c>
      <c r="E1235" t="s">
        <v>36</v>
      </c>
      <c r="G1235" t="str">
        <f>_xlfn.XLOOKUP(frasest[[#This Row],[author_es]],autorest[author_es],autorest[author_la])</f>
        <v>Proverbium Sinense</v>
      </c>
      <c r="H1235" t="str">
        <f>_xlfn.XLOOKUP(frasest[[#This Row],[author_es]],autorest[author_es],autorest[bio_es])</f>
        <v>Conjunto de proverbios tradicionales de la cultura china que transmiten sabiduría popular, valores morales y enseñanzas prácticas transmitidas oralmente durante siglos.</v>
      </c>
      <c r="I1235" t="str">
        <f>_xlfn.XLOOKUP(frasest[[#This Row],[author_es]],autorest[author_es],autorest[bio_la])</f>
        <v>Collectio sententiarum Sinensium, magnopere in cultura tradita.</v>
      </c>
      <c r="J1235" t="str">
        <f>_xlfn.XLOOKUP(frasest[[#This Row],[author_es]],autorest[author_es],autorest[iso3691])</f>
        <v>zh</v>
      </c>
      <c r="K1235" t="str">
        <f>_xlfn.XLOOKUP(frasest[[#This Row],[author_es]],autorest[author_es],autorest[language_es])</f>
        <v>Chino</v>
      </c>
      <c r="L1235" t="str">
        <f>_xlfn.XLOOKUP(frasest[[#This Row],[author_es]],autorest[author_es],autorest[language_la])</f>
        <v>Lingua Sinica</v>
      </c>
      <c r="M1235" t="str">
        <f>_xlfn.XLOOKUP(frasest[[#This Row],[author_es]],autorest[author_es],autorest[nation_es])</f>
        <v>China</v>
      </c>
      <c r="N1235" t="str">
        <f>_xlfn.XLOOKUP(frasest[[#This Row],[author_es]],autorest[author_es],autorest[nation_la])</f>
        <v>Sinae</v>
      </c>
      <c r="O1235" t="str">
        <f>_xlfn.XLOOKUP(frasest[[#This Row],[author_es]],autorest[author_es],autorest[age_es])</f>
        <v>Epoca Desconocida</v>
      </c>
      <c r="P1235" t="str">
        <f>_xlfn.XLOOKUP(frasest[[#This Row],[author_es]],autorest[author_es],autorest[age_la])</f>
        <v>Epocha Ignota</v>
      </c>
      <c r="Q1235" t="str">
        <f>_xlfn.XLOOKUP(frasest[[#This Row],[author_es]],autorest[author_es],autorest[image])</f>
        <v>https://i.ibb.co/qLfpZm6h/china.png</v>
      </c>
      <c r="R1235">
        <f>_xlfn.XLOOKUP(frasest[[#This Row],[author_es]],autorest[author_es],autorest[image_atr])</f>
        <v>0</v>
      </c>
    </row>
    <row r="1236" spans="1:18">
      <c r="A1236">
        <v>1235</v>
      </c>
      <c r="B1236" t="s">
        <v>3823</v>
      </c>
      <c r="C1236" t="s">
        <v>3824</v>
      </c>
      <c r="D1236" s="1" t="s">
        <v>3825</v>
      </c>
      <c r="E1236" t="s">
        <v>36</v>
      </c>
      <c r="G1236" t="str">
        <f>_xlfn.XLOOKUP(frasest[[#This Row],[author_es]],autorest[author_es],autorest[author_la])</f>
        <v>Proverbium Sinense</v>
      </c>
      <c r="H1236" t="str">
        <f>_xlfn.XLOOKUP(frasest[[#This Row],[author_es]],autorest[author_es],autorest[bio_es])</f>
        <v>Conjunto de proverbios tradicionales de la cultura china que transmiten sabiduría popular, valores morales y enseñanzas prácticas transmitidas oralmente durante siglos.</v>
      </c>
      <c r="I1236" t="str">
        <f>_xlfn.XLOOKUP(frasest[[#This Row],[author_es]],autorest[author_es],autorest[bio_la])</f>
        <v>Collectio sententiarum Sinensium, magnopere in cultura tradita.</v>
      </c>
      <c r="J1236" t="str">
        <f>_xlfn.XLOOKUP(frasest[[#This Row],[author_es]],autorest[author_es],autorest[iso3691])</f>
        <v>zh</v>
      </c>
      <c r="K1236" t="str">
        <f>_xlfn.XLOOKUP(frasest[[#This Row],[author_es]],autorest[author_es],autorest[language_es])</f>
        <v>Chino</v>
      </c>
      <c r="L1236" t="str">
        <f>_xlfn.XLOOKUP(frasest[[#This Row],[author_es]],autorest[author_es],autorest[language_la])</f>
        <v>Lingua Sinica</v>
      </c>
      <c r="M1236" t="str">
        <f>_xlfn.XLOOKUP(frasest[[#This Row],[author_es]],autorest[author_es],autorest[nation_es])</f>
        <v>China</v>
      </c>
      <c r="N1236" t="str">
        <f>_xlfn.XLOOKUP(frasest[[#This Row],[author_es]],autorest[author_es],autorest[nation_la])</f>
        <v>Sinae</v>
      </c>
      <c r="O1236" t="str">
        <f>_xlfn.XLOOKUP(frasest[[#This Row],[author_es]],autorest[author_es],autorest[age_es])</f>
        <v>Epoca Desconocida</v>
      </c>
      <c r="P1236" t="str">
        <f>_xlfn.XLOOKUP(frasest[[#This Row],[author_es]],autorest[author_es],autorest[age_la])</f>
        <v>Epocha Ignota</v>
      </c>
      <c r="Q1236" t="str">
        <f>_xlfn.XLOOKUP(frasest[[#This Row],[author_es]],autorest[author_es],autorest[image])</f>
        <v>https://i.ibb.co/qLfpZm6h/china.png</v>
      </c>
      <c r="R1236">
        <f>_xlfn.XLOOKUP(frasest[[#This Row],[author_es]],autorest[author_es],autorest[image_atr])</f>
        <v>0</v>
      </c>
    </row>
    <row r="1237" spans="1:18">
      <c r="A1237">
        <v>1236</v>
      </c>
      <c r="B1237" t="s">
        <v>3826</v>
      </c>
      <c r="C1237" t="s">
        <v>3827</v>
      </c>
      <c r="D1237" s="1" t="s">
        <v>3828</v>
      </c>
      <c r="E1237" t="s">
        <v>36</v>
      </c>
      <c r="G1237" t="str">
        <f>_xlfn.XLOOKUP(frasest[[#This Row],[author_es]],autorest[author_es],autorest[author_la])</f>
        <v>Proverbium Sinense</v>
      </c>
      <c r="H1237" t="str">
        <f>_xlfn.XLOOKUP(frasest[[#This Row],[author_es]],autorest[author_es],autorest[bio_es])</f>
        <v>Conjunto de proverbios tradicionales de la cultura china que transmiten sabiduría popular, valores morales y enseñanzas prácticas transmitidas oralmente durante siglos.</v>
      </c>
      <c r="I1237" t="str">
        <f>_xlfn.XLOOKUP(frasest[[#This Row],[author_es]],autorest[author_es],autorest[bio_la])</f>
        <v>Collectio sententiarum Sinensium, magnopere in cultura tradita.</v>
      </c>
      <c r="J1237" t="str">
        <f>_xlfn.XLOOKUP(frasest[[#This Row],[author_es]],autorest[author_es],autorest[iso3691])</f>
        <v>zh</v>
      </c>
      <c r="K1237" t="str">
        <f>_xlfn.XLOOKUP(frasest[[#This Row],[author_es]],autorest[author_es],autorest[language_es])</f>
        <v>Chino</v>
      </c>
      <c r="L1237" t="str">
        <f>_xlfn.XLOOKUP(frasest[[#This Row],[author_es]],autorest[author_es],autorest[language_la])</f>
        <v>Lingua Sinica</v>
      </c>
      <c r="M1237" t="str">
        <f>_xlfn.XLOOKUP(frasest[[#This Row],[author_es]],autorest[author_es],autorest[nation_es])</f>
        <v>China</v>
      </c>
      <c r="N1237" t="str">
        <f>_xlfn.XLOOKUP(frasest[[#This Row],[author_es]],autorest[author_es],autorest[nation_la])</f>
        <v>Sinae</v>
      </c>
      <c r="O1237" t="str">
        <f>_xlfn.XLOOKUP(frasest[[#This Row],[author_es]],autorest[author_es],autorest[age_es])</f>
        <v>Epoca Desconocida</v>
      </c>
      <c r="P1237" t="str">
        <f>_xlfn.XLOOKUP(frasest[[#This Row],[author_es]],autorest[author_es],autorest[age_la])</f>
        <v>Epocha Ignota</v>
      </c>
      <c r="Q1237" t="str">
        <f>_xlfn.XLOOKUP(frasest[[#This Row],[author_es]],autorest[author_es],autorest[image])</f>
        <v>https://i.ibb.co/qLfpZm6h/china.png</v>
      </c>
      <c r="R1237">
        <f>_xlfn.XLOOKUP(frasest[[#This Row],[author_es]],autorest[author_es],autorest[image_atr])</f>
        <v>0</v>
      </c>
    </row>
    <row r="1238" spans="1:18">
      <c r="A1238">
        <v>1237</v>
      </c>
      <c r="B1238" t="s">
        <v>3829</v>
      </c>
      <c r="C1238" t="s">
        <v>3830</v>
      </c>
      <c r="D1238" s="1" t="s">
        <v>3831</v>
      </c>
      <c r="E1238" t="s">
        <v>36</v>
      </c>
      <c r="G1238" t="str">
        <f>_xlfn.XLOOKUP(frasest[[#This Row],[author_es]],autorest[author_es],autorest[author_la])</f>
        <v>Proverbium Sinense</v>
      </c>
      <c r="H1238" t="str">
        <f>_xlfn.XLOOKUP(frasest[[#This Row],[author_es]],autorest[author_es],autorest[bio_es])</f>
        <v>Conjunto de proverbios tradicionales de la cultura china que transmiten sabiduría popular, valores morales y enseñanzas prácticas transmitidas oralmente durante siglos.</v>
      </c>
      <c r="I1238" t="str">
        <f>_xlfn.XLOOKUP(frasest[[#This Row],[author_es]],autorest[author_es],autorest[bio_la])</f>
        <v>Collectio sententiarum Sinensium, magnopere in cultura tradita.</v>
      </c>
      <c r="J1238" t="str">
        <f>_xlfn.XLOOKUP(frasest[[#This Row],[author_es]],autorest[author_es],autorest[iso3691])</f>
        <v>zh</v>
      </c>
      <c r="K1238" t="str">
        <f>_xlfn.XLOOKUP(frasest[[#This Row],[author_es]],autorest[author_es],autorest[language_es])</f>
        <v>Chino</v>
      </c>
      <c r="L1238" t="str">
        <f>_xlfn.XLOOKUP(frasest[[#This Row],[author_es]],autorest[author_es],autorest[language_la])</f>
        <v>Lingua Sinica</v>
      </c>
      <c r="M1238" t="str">
        <f>_xlfn.XLOOKUP(frasest[[#This Row],[author_es]],autorest[author_es],autorest[nation_es])</f>
        <v>China</v>
      </c>
      <c r="N1238" t="str">
        <f>_xlfn.XLOOKUP(frasest[[#This Row],[author_es]],autorest[author_es],autorest[nation_la])</f>
        <v>Sinae</v>
      </c>
      <c r="O1238" t="str">
        <f>_xlfn.XLOOKUP(frasest[[#This Row],[author_es]],autorest[author_es],autorest[age_es])</f>
        <v>Epoca Desconocida</v>
      </c>
      <c r="P1238" t="str">
        <f>_xlfn.XLOOKUP(frasest[[#This Row],[author_es]],autorest[author_es],autorest[age_la])</f>
        <v>Epocha Ignota</v>
      </c>
      <c r="Q1238" t="str">
        <f>_xlfn.XLOOKUP(frasest[[#This Row],[author_es]],autorest[author_es],autorest[image])</f>
        <v>https://i.ibb.co/qLfpZm6h/china.png</v>
      </c>
      <c r="R1238">
        <f>_xlfn.XLOOKUP(frasest[[#This Row],[author_es]],autorest[author_es],autorest[image_atr])</f>
        <v>0</v>
      </c>
    </row>
    <row r="1239" spans="1:18">
      <c r="A1239">
        <v>1238</v>
      </c>
      <c r="B1239" t="s">
        <v>3832</v>
      </c>
      <c r="C1239" t="s">
        <v>3833</v>
      </c>
      <c r="D1239" s="1" t="s">
        <v>3834</v>
      </c>
      <c r="E1239" t="s">
        <v>36</v>
      </c>
      <c r="G1239" t="str">
        <f>_xlfn.XLOOKUP(frasest[[#This Row],[author_es]],autorest[author_es],autorest[author_la])</f>
        <v>Proverbium Sinense</v>
      </c>
      <c r="H1239" t="str">
        <f>_xlfn.XLOOKUP(frasest[[#This Row],[author_es]],autorest[author_es],autorest[bio_es])</f>
        <v>Conjunto de proverbios tradicionales de la cultura china que transmiten sabiduría popular, valores morales y enseñanzas prácticas transmitidas oralmente durante siglos.</v>
      </c>
      <c r="I1239" t="str">
        <f>_xlfn.XLOOKUP(frasest[[#This Row],[author_es]],autorest[author_es],autorest[bio_la])</f>
        <v>Collectio sententiarum Sinensium, magnopere in cultura tradita.</v>
      </c>
      <c r="J1239" t="str">
        <f>_xlfn.XLOOKUP(frasest[[#This Row],[author_es]],autorest[author_es],autorest[iso3691])</f>
        <v>zh</v>
      </c>
      <c r="K1239" t="str">
        <f>_xlfn.XLOOKUP(frasest[[#This Row],[author_es]],autorest[author_es],autorest[language_es])</f>
        <v>Chino</v>
      </c>
      <c r="L1239" t="str">
        <f>_xlfn.XLOOKUP(frasest[[#This Row],[author_es]],autorest[author_es],autorest[language_la])</f>
        <v>Lingua Sinica</v>
      </c>
      <c r="M1239" t="str">
        <f>_xlfn.XLOOKUP(frasest[[#This Row],[author_es]],autorest[author_es],autorest[nation_es])</f>
        <v>China</v>
      </c>
      <c r="N1239" t="str">
        <f>_xlfn.XLOOKUP(frasest[[#This Row],[author_es]],autorest[author_es],autorest[nation_la])</f>
        <v>Sinae</v>
      </c>
      <c r="O1239" t="str">
        <f>_xlfn.XLOOKUP(frasest[[#This Row],[author_es]],autorest[author_es],autorest[age_es])</f>
        <v>Epoca Desconocida</v>
      </c>
      <c r="P1239" t="str">
        <f>_xlfn.XLOOKUP(frasest[[#This Row],[author_es]],autorest[author_es],autorest[age_la])</f>
        <v>Epocha Ignota</v>
      </c>
      <c r="Q1239" t="str">
        <f>_xlfn.XLOOKUP(frasest[[#This Row],[author_es]],autorest[author_es],autorest[image])</f>
        <v>https://i.ibb.co/qLfpZm6h/china.png</v>
      </c>
      <c r="R1239">
        <f>_xlfn.XLOOKUP(frasest[[#This Row],[author_es]],autorest[author_es],autorest[image_atr])</f>
        <v>0</v>
      </c>
    </row>
    <row r="1240" spans="1:18">
      <c r="A1240">
        <v>1239</v>
      </c>
      <c r="B1240" t="s">
        <v>3835</v>
      </c>
      <c r="C1240" t="s">
        <v>3836</v>
      </c>
      <c r="D1240" s="1" t="s">
        <v>3837</v>
      </c>
      <c r="E1240" t="s">
        <v>36</v>
      </c>
      <c r="G1240" t="str">
        <f>_xlfn.XLOOKUP(frasest[[#This Row],[author_es]],autorest[author_es],autorest[author_la])</f>
        <v>Proverbium Sinense</v>
      </c>
      <c r="H1240" t="str">
        <f>_xlfn.XLOOKUP(frasest[[#This Row],[author_es]],autorest[author_es],autorest[bio_es])</f>
        <v>Conjunto de proverbios tradicionales de la cultura china que transmiten sabiduría popular, valores morales y enseñanzas prácticas transmitidas oralmente durante siglos.</v>
      </c>
      <c r="I1240" t="str">
        <f>_xlfn.XLOOKUP(frasest[[#This Row],[author_es]],autorest[author_es],autorest[bio_la])</f>
        <v>Collectio sententiarum Sinensium, magnopere in cultura tradita.</v>
      </c>
      <c r="J1240" t="str">
        <f>_xlfn.XLOOKUP(frasest[[#This Row],[author_es]],autorest[author_es],autorest[iso3691])</f>
        <v>zh</v>
      </c>
      <c r="K1240" t="str">
        <f>_xlfn.XLOOKUP(frasest[[#This Row],[author_es]],autorest[author_es],autorest[language_es])</f>
        <v>Chino</v>
      </c>
      <c r="L1240" t="str">
        <f>_xlfn.XLOOKUP(frasest[[#This Row],[author_es]],autorest[author_es],autorest[language_la])</f>
        <v>Lingua Sinica</v>
      </c>
      <c r="M1240" t="str">
        <f>_xlfn.XLOOKUP(frasest[[#This Row],[author_es]],autorest[author_es],autorest[nation_es])</f>
        <v>China</v>
      </c>
      <c r="N1240" t="str">
        <f>_xlfn.XLOOKUP(frasest[[#This Row],[author_es]],autorest[author_es],autorest[nation_la])</f>
        <v>Sinae</v>
      </c>
      <c r="O1240" t="str">
        <f>_xlfn.XLOOKUP(frasest[[#This Row],[author_es]],autorest[author_es],autorest[age_es])</f>
        <v>Epoca Desconocida</v>
      </c>
      <c r="P1240" t="str">
        <f>_xlfn.XLOOKUP(frasest[[#This Row],[author_es]],autorest[author_es],autorest[age_la])</f>
        <v>Epocha Ignota</v>
      </c>
      <c r="Q1240" t="str">
        <f>_xlfn.XLOOKUP(frasest[[#This Row],[author_es]],autorest[author_es],autorest[image])</f>
        <v>https://i.ibb.co/qLfpZm6h/china.png</v>
      </c>
      <c r="R1240">
        <f>_xlfn.XLOOKUP(frasest[[#This Row],[author_es]],autorest[author_es],autorest[image_atr])</f>
        <v>0</v>
      </c>
    </row>
    <row r="1241" spans="1:18">
      <c r="A1241">
        <v>1240</v>
      </c>
      <c r="B1241" t="s">
        <v>3838</v>
      </c>
      <c r="C1241" t="s">
        <v>3839</v>
      </c>
      <c r="D1241" s="1" t="s">
        <v>3840</v>
      </c>
      <c r="E1241" t="s">
        <v>36</v>
      </c>
      <c r="G1241" t="str">
        <f>_xlfn.XLOOKUP(frasest[[#This Row],[author_es]],autorest[author_es],autorest[author_la])</f>
        <v>Proverbium Sinense</v>
      </c>
      <c r="H1241" t="str">
        <f>_xlfn.XLOOKUP(frasest[[#This Row],[author_es]],autorest[author_es],autorest[bio_es])</f>
        <v>Conjunto de proverbios tradicionales de la cultura china que transmiten sabiduría popular, valores morales y enseñanzas prácticas transmitidas oralmente durante siglos.</v>
      </c>
      <c r="I1241" t="str">
        <f>_xlfn.XLOOKUP(frasest[[#This Row],[author_es]],autorest[author_es],autorest[bio_la])</f>
        <v>Collectio sententiarum Sinensium, magnopere in cultura tradita.</v>
      </c>
      <c r="J1241" t="str">
        <f>_xlfn.XLOOKUP(frasest[[#This Row],[author_es]],autorest[author_es],autorest[iso3691])</f>
        <v>zh</v>
      </c>
      <c r="K1241" t="str">
        <f>_xlfn.XLOOKUP(frasest[[#This Row],[author_es]],autorest[author_es],autorest[language_es])</f>
        <v>Chino</v>
      </c>
      <c r="L1241" t="str">
        <f>_xlfn.XLOOKUP(frasest[[#This Row],[author_es]],autorest[author_es],autorest[language_la])</f>
        <v>Lingua Sinica</v>
      </c>
      <c r="M1241" t="str">
        <f>_xlfn.XLOOKUP(frasest[[#This Row],[author_es]],autorest[author_es],autorest[nation_es])</f>
        <v>China</v>
      </c>
      <c r="N1241" t="str">
        <f>_xlfn.XLOOKUP(frasest[[#This Row],[author_es]],autorest[author_es],autorest[nation_la])</f>
        <v>Sinae</v>
      </c>
      <c r="O1241" t="str">
        <f>_xlfn.XLOOKUP(frasest[[#This Row],[author_es]],autorest[author_es],autorest[age_es])</f>
        <v>Epoca Desconocida</v>
      </c>
      <c r="P1241" t="str">
        <f>_xlfn.XLOOKUP(frasest[[#This Row],[author_es]],autorest[author_es],autorest[age_la])</f>
        <v>Epocha Ignota</v>
      </c>
      <c r="Q1241" t="str">
        <f>_xlfn.XLOOKUP(frasest[[#This Row],[author_es]],autorest[author_es],autorest[image])</f>
        <v>https://i.ibb.co/qLfpZm6h/china.png</v>
      </c>
      <c r="R1241">
        <f>_xlfn.XLOOKUP(frasest[[#This Row],[author_es]],autorest[author_es],autorest[image_atr])</f>
        <v>0</v>
      </c>
    </row>
    <row r="1242" spans="1:18">
      <c r="A1242">
        <v>1241</v>
      </c>
      <c r="B1242" t="s">
        <v>3841</v>
      </c>
      <c r="C1242" t="s">
        <v>3842</v>
      </c>
      <c r="D1242" s="1" t="s">
        <v>3843</v>
      </c>
      <c r="E1242" t="s">
        <v>36</v>
      </c>
      <c r="G1242" t="str">
        <f>_xlfn.XLOOKUP(frasest[[#This Row],[author_es]],autorest[author_es],autorest[author_la])</f>
        <v>Proverbium Sinense</v>
      </c>
      <c r="H1242" t="str">
        <f>_xlfn.XLOOKUP(frasest[[#This Row],[author_es]],autorest[author_es],autorest[bio_es])</f>
        <v>Conjunto de proverbios tradicionales de la cultura china que transmiten sabiduría popular, valores morales y enseñanzas prácticas transmitidas oralmente durante siglos.</v>
      </c>
      <c r="I1242" t="str">
        <f>_xlfn.XLOOKUP(frasest[[#This Row],[author_es]],autorest[author_es],autorest[bio_la])</f>
        <v>Collectio sententiarum Sinensium, magnopere in cultura tradita.</v>
      </c>
      <c r="J1242" t="str">
        <f>_xlfn.XLOOKUP(frasest[[#This Row],[author_es]],autorest[author_es],autorest[iso3691])</f>
        <v>zh</v>
      </c>
      <c r="K1242" t="str">
        <f>_xlfn.XLOOKUP(frasest[[#This Row],[author_es]],autorest[author_es],autorest[language_es])</f>
        <v>Chino</v>
      </c>
      <c r="L1242" t="str">
        <f>_xlfn.XLOOKUP(frasest[[#This Row],[author_es]],autorest[author_es],autorest[language_la])</f>
        <v>Lingua Sinica</v>
      </c>
      <c r="M1242" t="str">
        <f>_xlfn.XLOOKUP(frasest[[#This Row],[author_es]],autorest[author_es],autorest[nation_es])</f>
        <v>China</v>
      </c>
      <c r="N1242" t="str">
        <f>_xlfn.XLOOKUP(frasest[[#This Row],[author_es]],autorest[author_es],autorest[nation_la])</f>
        <v>Sinae</v>
      </c>
      <c r="O1242" t="str">
        <f>_xlfn.XLOOKUP(frasest[[#This Row],[author_es]],autorest[author_es],autorest[age_es])</f>
        <v>Epoca Desconocida</v>
      </c>
      <c r="P1242" t="str">
        <f>_xlfn.XLOOKUP(frasest[[#This Row],[author_es]],autorest[author_es],autorest[age_la])</f>
        <v>Epocha Ignota</v>
      </c>
      <c r="Q1242" t="str">
        <f>_xlfn.XLOOKUP(frasest[[#This Row],[author_es]],autorest[author_es],autorest[image])</f>
        <v>https://i.ibb.co/qLfpZm6h/china.png</v>
      </c>
      <c r="R1242">
        <f>_xlfn.XLOOKUP(frasest[[#This Row],[author_es]],autorest[author_es],autorest[image_atr])</f>
        <v>0</v>
      </c>
    </row>
    <row r="1243" spans="1:18">
      <c r="A1243">
        <v>1242</v>
      </c>
      <c r="B1243" t="s">
        <v>3844</v>
      </c>
      <c r="C1243" t="s">
        <v>3845</v>
      </c>
      <c r="D1243" s="1" t="s">
        <v>3846</v>
      </c>
      <c r="E1243" t="s">
        <v>36</v>
      </c>
      <c r="G1243" t="str">
        <f>_xlfn.XLOOKUP(frasest[[#This Row],[author_es]],autorest[author_es],autorest[author_la])</f>
        <v>Proverbium Sinense</v>
      </c>
      <c r="H1243" t="str">
        <f>_xlfn.XLOOKUP(frasest[[#This Row],[author_es]],autorest[author_es],autorest[bio_es])</f>
        <v>Conjunto de proverbios tradicionales de la cultura china que transmiten sabiduría popular, valores morales y enseñanzas prácticas transmitidas oralmente durante siglos.</v>
      </c>
      <c r="I1243" t="str">
        <f>_xlfn.XLOOKUP(frasest[[#This Row],[author_es]],autorest[author_es],autorest[bio_la])</f>
        <v>Collectio sententiarum Sinensium, magnopere in cultura tradita.</v>
      </c>
      <c r="J1243" t="str">
        <f>_xlfn.XLOOKUP(frasest[[#This Row],[author_es]],autorest[author_es],autorest[iso3691])</f>
        <v>zh</v>
      </c>
      <c r="K1243" t="str">
        <f>_xlfn.XLOOKUP(frasest[[#This Row],[author_es]],autorest[author_es],autorest[language_es])</f>
        <v>Chino</v>
      </c>
      <c r="L1243" t="str">
        <f>_xlfn.XLOOKUP(frasest[[#This Row],[author_es]],autorest[author_es],autorest[language_la])</f>
        <v>Lingua Sinica</v>
      </c>
      <c r="M1243" t="str">
        <f>_xlfn.XLOOKUP(frasest[[#This Row],[author_es]],autorest[author_es],autorest[nation_es])</f>
        <v>China</v>
      </c>
      <c r="N1243" t="str">
        <f>_xlfn.XLOOKUP(frasest[[#This Row],[author_es]],autorest[author_es],autorest[nation_la])</f>
        <v>Sinae</v>
      </c>
      <c r="O1243" t="str">
        <f>_xlfn.XLOOKUP(frasest[[#This Row],[author_es]],autorest[author_es],autorest[age_es])</f>
        <v>Epoca Desconocida</v>
      </c>
      <c r="P1243" t="str">
        <f>_xlfn.XLOOKUP(frasest[[#This Row],[author_es]],autorest[author_es],autorest[age_la])</f>
        <v>Epocha Ignota</v>
      </c>
      <c r="Q1243" t="str">
        <f>_xlfn.XLOOKUP(frasest[[#This Row],[author_es]],autorest[author_es],autorest[image])</f>
        <v>https://i.ibb.co/qLfpZm6h/china.png</v>
      </c>
      <c r="R1243">
        <f>_xlfn.XLOOKUP(frasest[[#This Row],[author_es]],autorest[author_es],autorest[image_atr])</f>
        <v>0</v>
      </c>
    </row>
    <row r="1244" spans="1:18">
      <c r="A1244">
        <v>1243</v>
      </c>
      <c r="B1244" t="s">
        <v>3847</v>
      </c>
      <c r="C1244" t="s">
        <v>3848</v>
      </c>
      <c r="D1244" s="1" t="s">
        <v>3849</v>
      </c>
      <c r="E1244" t="s">
        <v>36</v>
      </c>
      <c r="G1244" t="str">
        <f>_xlfn.XLOOKUP(frasest[[#This Row],[author_es]],autorest[author_es],autorest[author_la])</f>
        <v>Proverbium Sinense</v>
      </c>
      <c r="H1244" t="str">
        <f>_xlfn.XLOOKUP(frasest[[#This Row],[author_es]],autorest[author_es],autorest[bio_es])</f>
        <v>Conjunto de proverbios tradicionales de la cultura china que transmiten sabiduría popular, valores morales y enseñanzas prácticas transmitidas oralmente durante siglos.</v>
      </c>
      <c r="I1244" t="str">
        <f>_xlfn.XLOOKUP(frasest[[#This Row],[author_es]],autorest[author_es],autorest[bio_la])</f>
        <v>Collectio sententiarum Sinensium, magnopere in cultura tradita.</v>
      </c>
      <c r="J1244" t="str">
        <f>_xlfn.XLOOKUP(frasest[[#This Row],[author_es]],autorest[author_es],autorest[iso3691])</f>
        <v>zh</v>
      </c>
      <c r="K1244" t="str">
        <f>_xlfn.XLOOKUP(frasest[[#This Row],[author_es]],autorest[author_es],autorest[language_es])</f>
        <v>Chino</v>
      </c>
      <c r="L1244" t="str">
        <f>_xlfn.XLOOKUP(frasest[[#This Row],[author_es]],autorest[author_es],autorest[language_la])</f>
        <v>Lingua Sinica</v>
      </c>
      <c r="M1244" t="str">
        <f>_xlfn.XLOOKUP(frasest[[#This Row],[author_es]],autorest[author_es],autorest[nation_es])</f>
        <v>China</v>
      </c>
      <c r="N1244" t="str">
        <f>_xlfn.XLOOKUP(frasest[[#This Row],[author_es]],autorest[author_es],autorest[nation_la])</f>
        <v>Sinae</v>
      </c>
      <c r="O1244" t="str">
        <f>_xlfn.XLOOKUP(frasest[[#This Row],[author_es]],autorest[author_es],autorest[age_es])</f>
        <v>Epoca Desconocida</v>
      </c>
      <c r="P1244" t="str">
        <f>_xlfn.XLOOKUP(frasest[[#This Row],[author_es]],autorest[author_es],autorest[age_la])</f>
        <v>Epocha Ignota</v>
      </c>
      <c r="Q1244" t="str">
        <f>_xlfn.XLOOKUP(frasest[[#This Row],[author_es]],autorest[author_es],autorest[image])</f>
        <v>https://i.ibb.co/qLfpZm6h/china.png</v>
      </c>
      <c r="R1244">
        <f>_xlfn.XLOOKUP(frasest[[#This Row],[author_es]],autorest[author_es],autorest[image_atr])</f>
        <v>0</v>
      </c>
    </row>
    <row r="1245" spans="1:18">
      <c r="A1245">
        <v>1244</v>
      </c>
      <c r="B1245" t="s">
        <v>3850</v>
      </c>
      <c r="C1245" t="s">
        <v>3851</v>
      </c>
      <c r="D1245" s="1" t="s">
        <v>3852</v>
      </c>
      <c r="E1245" t="s">
        <v>36</v>
      </c>
      <c r="G1245" t="str">
        <f>_xlfn.XLOOKUP(frasest[[#This Row],[author_es]],autorest[author_es],autorest[author_la])</f>
        <v>Proverbium Sinense</v>
      </c>
      <c r="H1245" t="str">
        <f>_xlfn.XLOOKUP(frasest[[#This Row],[author_es]],autorest[author_es],autorest[bio_es])</f>
        <v>Conjunto de proverbios tradicionales de la cultura china que transmiten sabiduría popular, valores morales y enseñanzas prácticas transmitidas oralmente durante siglos.</v>
      </c>
      <c r="I1245" t="str">
        <f>_xlfn.XLOOKUP(frasest[[#This Row],[author_es]],autorest[author_es],autorest[bio_la])</f>
        <v>Collectio sententiarum Sinensium, magnopere in cultura tradita.</v>
      </c>
      <c r="J1245" t="str">
        <f>_xlfn.XLOOKUP(frasest[[#This Row],[author_es]],autorest[author_es],autorest[iso3691])</f>
        <v>zh</v>
      </c>
      <c r="K1245" t="str">
        <f>_xlfn.XLOOKUP(frasest[[#This Row],[author_es]],autorest[author_es],autorest[language_es])</f>
        <v>Chino</v>
      </c>
      <c r="L1245" t="str">
        <f>_xlfn.XLOOKUP(frasest[[#This Row],[author_es]],autorest[author_es],autorest[language_la])</f>
        <v>Lingua Sinica</v>
      </c>
      <c r="M1245" t="str">
        <f>_xlfn.XLOOKUP(frasest[[#This Row],[author_es]],autorest[author_es],autorest[nation_es])</f>
        <v>China</v>
      </c>
      <c r="N1245" t="str">
        <f>_xlfn.XLOOKUP(frasest[[#This Row],[author_es]],autorest[author_es],autorest[nation_la])</f>
        <v>Sinae</v>
      </c>
      <c r="O1245" t="str">
        <f>_xlfn.XLOOKUP(frasest[[#This Row],[author_es]],autorest[author_es],autorest[age_es])</f>
        <v>Epoca Desconocida</v>
      </c>
      <c r="P1245" t="str">
        <f>_xlfn.XLOOKUP(frasest[[#This Row],[author_es]],autorest[author_es],autorest[age_la])</f>
        <v>Epocha Ignota</v>
      </c>
      <c r="Q1245" t="str">
        <f>_xlfn.XLOOKUP(frasest[[#This Row],[author_es]],autorest[author_es],autorest[image])</f>
        <v>https://i.ibb.co/qLfpZm6h/china.png</v>
      </c>
      <c r="R1245">
        <f>_xlfn.XLOOKUP(frasest[[#This Row],[author_es]],autorest[author_es],autorest[image_atr])</f>
        <v>0</v>
      </c>
    </row>
    <row r="1246" spans="1:18">
      <c r="A1246">
        <v>1245</v>
      </c>
      <c r="B1246" t="s">
        <v>3853</v>
      </c>
      <c r="C1246" t="s">
        <v>3854</v>
      </c>
      <c r="D1246" s="1" t="s">
        <v>3855</v>
      </c>
      <c r="E1246" t="s">
        <v>36</v>
      </c>
      <c r="G1246" t="str">
        <f>_xlfn.XLOOKUP(frasest[[#This Row],[author_es]],autorest[author_es],autorest[author_la])</f>
        <v>Proverbium Sinense</v>
      </c>
      <c r="H1246" t="str">
        <f>_xlfn.XLOOKUP(frasest[[#This Row],[author_es]],autorest[author_es],autorest[bio_es])</f>
        <v>Conjunto de proverbios tradicionales de la cultura china que transmiten sabiduría popular, valores morales y enseñanzas prácticas transmitidas oralmente durante siglos.</v>
      </c>
      <c r="I1246" t="str">
        <f>_xlfn.XLOOKUP(frasest[[#This Row],[author_es]],autorest[author_es],autorest[bio_la])</f>
        <v>Collectio sententiarum Sinensium, magnopere in cultura tradita.</v>
      </c>
      <c r="J1246" t="str">
        <f>_xlfn.XLOOKUP(frasest[[#This Row],[author_es]],autorest[author_es],autorest[iso3691])</f>
        <v>zh</v>
      </c>
      <c r="K1246" t="str">
        <f>_xlfn.XLOOKUP(frasest[[#This Row],[author_es]],autorest[author_es],autorest[language_es])</f>
        <v>Chino</v>
      </c>
      <c r="L1246" t="str">
        <f>_xlfn.XLOOKUP(frasest[[#This Row],[author_es]],autorest[author_es],autorest[language_la])</f>
        <v>Lingua Sinica</v>
      </c>
      <c r="M1246" t="str">
        <f>_xlfn.XLOOKUP(frasest[[#This Row],[author_es]],autorest[author_es],autorest[nation_es])</f>
        <v>China</v>
      </c>
      <c r="N1246" t="str">
        <f>_xlfn.XLOOKUP(frasest[[#This Row],[author_es]],autorest[author_es],autorest[nation_la])</f>
        <v>Sinae</v>
      </c>
      <c r="O1246" t="str">
        <f>_xlfn.XLOOKUP(frasest[[#This Row],[author_es]],autorest[author_es],autorest[age_es])</f>
        <v>Epoca Desconocida</v>
      </c>
      <c r="P1246" t="str">
        <f>_xlfn.XLOOKUP(frasest[[#This Row],[author_es]],autorest[author_es],autorest[age_la])</f>
        <v>Epocha Ignota</v>
      </c>
      <c r="Q1246" t="str">
        <f>_xlfn.XLOOKUP(frasest[[#This Row],[author_es]],autorest[author_es],autorest[image])</f>
        <v>https://i.ibb.co/qLfpZm6h/china.png</v>
      </c>
      <c r="R1246">
        <f>_xlfn.XLOOKUP(frasest[[#This Row],[author_es]],autorest[author_es],autorest[image_atr])</f>
        <v>0</v>
      </c>
    </row>
    <row r="1247" spans="1:18">
      <c r="A1247">
        <v>1246</v>
      </c>
      <c r="B1247" t="s">
        <v>3856</v>
      </c>
      <c r="C1247" t="s">
        <v>3857</v>
      </c>
      <c r="D1247" s="1" t="s">
        <v>3858</v>
      </c>
      <c r="E1247" t="s">
        <v>36</v>
      </c>
      <c r="G1247" t="str">
        <f>_xlfn.XLOOKUP(frasest[[#This Row],[author_es]],autorest[author_es],autorest[author_la])</f>
        <v>Proverbium Sinense</v>
      </c>
      <c r="H1247" t="str">
        <f>_xlfn.XLOOKUP(frasest[[#This Row],[author_es]],autorest[author_es],autorest[bio_es])</f>
        <v>Conjunto de proverbios tradicionales de la cultura china que transmiten sabiduría popular, valores morales y enseñanzas prácticas transmitidas oralmente durante siglos.</v>
      </c>
      <c r="I1247" t="str">
        <f>_xlfn.XLOOKUP(frasest[[#This Row],[author_es]],autorest[author_es],autorest[bio_la])</f>
        <v>Collectio sententiarum Sinensium, magnopere in cultura tradita.</v>
      </c>
      <c r="J1247" t="str">
        <f>_xlfn.XLOOKUP(frasest[[#This Row],[author_es]],autorest[author_es],autorest[iso3691])</f>
        <v>zh</v>
      </c>
      <c r="K1247" t="str">
        <f>_xlfn.XLOOKUP(frasest[[#This Row],[author_es]],autorest[author_es],autorest[language_es])</f>
        <v>Chino</v>
      </c>
      <c r="L1247" t="str">
        <f>_xlfn.XLOOKUP(frasest[[#This Row],[author_es]],autorest[author_es],autorest[language_la])</f>
        <v>Lingua Sinica</v>
      </c>
      <c r="M1247" t="str">
        <f>_xlfn.XLOOKUP(frasest[[#This Row],[author_es]],autorest[author_es],autorest[nation_es])</f>
        <v>China</v>
      </c>
      <c r="N1247" t="str">
        <f>_xlfn.XLOOKUP(frasest[[#This Row],[author_es]],autorest[author_es],autorest[nation_la])</f>
        <v>Sinae</v>
      </c>
      <c r="O1247" t="str">
        <f>_xlfn.XLOOKUP(frasest[[#This Row],[author_es]],autorest[author_es],autorest[age_es])</f>
        <v>Epoca Desconocida</v>
      </c>
      <c r="P1247" t="str">
        <f>_xlfn.XLOOKUP(frasest[[#This Row],[author_es]],autorest[author_es],autorest[age_la])</f>
        <v>Epocha Ignota</v>
      </c>
      <c r="Q1247" t="str">
        <f>_xlfn.XLOOKUP(frasest[[#This Row],[author_es]],autorest[author_es],autorest[image])</f>
        <v>https://i.ibb.co/qLfpZm6h/china.png</v>
      </c>
      <c r="R1247">
        <f>_xlfn.XLOOKUP(frasest[[#This Row],[author_es]],autorest[author_es],autorest[image_atr])</f>
        <v>0</v>
      </c>
    </row>
    <row r="1248" spans="1:18">
      <c r="A1248">
        <v>1247</v>
      </c>
      <c r="B1248" t="s">
        <v>3859</v>
      </c>
      <c r="C1248" t="s">
        <v>3860</v>
      </c>
      <c r="D1248" s="1" t="s">
        <v>3861</v>
      </c>
      <c r="E1248" t="s">
        <v>36</v>
      </c>
      <c r="G1248" t="str">
        <f>_xlfn.XLOOKUP(frasest[[#This Row],[author_es]],autorest[author_es],autorest[author_la])</f>
        <v>Proverbium Sinense</v>
      </c>
      <c r="H1248" t="str">
        <f>_xlfn.XLOOKUP(frasest[[#This Row],[author_es]],autorest[author_es],autorest[bio_es])</f>
        <v>Conjunto de proverbios tradicionales de la cultura china que transmiten sabiduría popular, valores morales y enseñanzas prácticas transmitidas oralmente durante siglos.</v>
      </c>
      <c r="I1248" t="str">
        <f>_xlfn.XLOOKUP(frasest[[#This Row],[author_es]],autorest[author_es],autorest[bio_la])</f>
        <v>Collectio sententiarum Sinensium, magnopere in cultura tradita.</v>
      </c>
      <c r="J1248" t="str">
        <f>_xlfn.XLOOKUP(frasest[[#This Row],[author_es]],autorest[author_es],autorest[iso3691])</f>
        <v>zh</v>
      </c>
      <c r="K1248" t="str">
        <f>_xlfn.XLOOKUP(frasest[[#This Row],[author_es]],autorest[author_es],autorest[language_es])</f>
        <v>Chino</v>
      </c>
      <c r="L1248" t="str">
        <f>_xlfn.XLOOKUP(frasest[[#This Row],[author_es]],autorest[author_es],autorest[language_la])</f>
        <v>Lingua Sinica</v>
      </c>
      <c r="M1248" t="str">
        <f>_xlfn.XLOOKUP(frasest[[#This Row],[author_es]],autorest[author_es],autorest[nation_es])</f>
        <v>China</v>
      </c>
      <c r="N1248" t="str">
        <f>_xlfn.XLOOKUP(frasest[[#This Row],[author_es]],autorest[author_es],autorest[nation_la])</f>
        <v>Sinae</v>
      </c>
      <c r="O1248" t="str">
        <f>_xlfn.XLOOKUP(frasest[[#This Row],[author_es]],autorest[author_es],autorest[age_es])</f>
        <v>Epoca Desconocida</v>
      </c>
      <c r="P1248" t="str">
        <f>_xlfn.XLOOKUP(frasest[[#This Row],[author_es]],autorest[author_es],autorest[age_la])</f>
        <v>Epocha Ignota</v>
      </c>
      <c r="Q1248" t="str">
        <f>_xlfn.XLOOKUP(frasest[[#This Row],[author_es]],autorest[author_es],autorest[image])</f>
        <v>https://i.ibb.co/qLfpZm6h/china.png</v>
      </c>
      <c r="R1248">
        <f>_xlfn.XLOOKUP(frasest[[#This Row],[author_es]],autorest[author_es],autorest[image_atr])</f>
        <v>0</v>
      </c>
    </row>
    <row r="1249" spans="1:18">
      <c r="A1249">
        <v>1248</v>
      </c>
      <c r="B1249" t="s">
        <v>3862</v>
      </c>
      <c r="C1249" t="s">
        <v>3863</v>
      </c>
      <c r="D1249" s="1" t="s">
        <v>3864</v>
      </c>
      <c r="E1249" t="s">
        <v>36</v>
      </c>
      <c r="G1249" t="str">
        <f>_xlfn.XLOOKUP(frasest[[#This Row],[author_es]],autorest[author_es],autorest[author_la])</f>
        <v>Proverbium Sinense</v>
      </c>
      <c r="H1249" t="str">
        <f>_xlfn.XLOOKUP(frasest[[#This Row],[author_es]],autorest[author_es],autorest[bio_es])</f>
        <v>Conjunto de proverbios tradicionales de la cultura china que transmiten sabiduría popular, valores morales y enseñanzas prácticas transmitidas oralmente durante siglos.</v>
      </c>
      <c r="I1249" t="str">
        <f>_xlfn.XLOOKUP(frasest[[#This Row],[author_es]],autorest[author_es],autorest[bio_la])</f>
        <v>Collectio sententiarum Sinensium, magnopere in cultura tradita.</v>
      </c>
      <c r="J1249" t="str">
        <f>_xlfn.XLOOKUP(frasest[[#This Row],[author_es]],autorest[author_es],autorest[iso3691])</f>
        <v>zh</v>
      </c>
      <c r="K1249" t="str">
        <f>_xlfn.XLOOKUP(frasest[[#This Row],[author_es]],autorest[author_es],autorest[language_es])</f>
        <v>Chino</v>
      </c>
      <c r="L1249" t="str">
        <f>_xlfn.XLOOKUP(frasest[[#This Row],[author_es]],autorest[author_es],autorest[language_la])</f>
        <v>Lingua Sinica</v>
      </c>
      <c r="M1249" t="str">
        <f>_xlfn.XLOOKUP(frasest[[#This Row],[author_es]],autorest[author_es],autorest[nation_es])</f>
        <v>China</v>
      </c>
      <c r="N1249" t="str">
        <f>_xlfn.XLOOKUP(frasest[[#This Row],[author_es]],autorest[author_es],autorest[nation_la])</f>
        <v>Sinae</v>
      </c>
      <c r="O1249" t="str">
        <f>_xlfn.XLOOKUP(frasest[[#This Row],[author_es]],autorest[author_es],autorest[age_es])</f>
        <v>Epoca Desconocida</v>
      </c>
      <c r="P1249" t="str">
        <f>_xlfn.XLOOKUP(frasest[[#This Row],[author_es]],autorest[author_es],autorest[age_la])</f>
        <v>Epocha Ignota</v>
      </c>
      <c r="Q1249" t="str">
        <f>_xlfn.XLOOKUP(frasest[[#This Row],[author_es]],autorest[author_es],autorest[image])</f>
        <v>https://i.ibb.co/qLfpZm6h/china.png</v>
      </c>
      <c r="R1249">
        <f>_xlfn.XLOOKUP(frasest[[#This Row],[author_es]],autorest[author_es],autorest[image_atr])</f>
        <v>0</v>
      </c>
    </row>
    <row r="1250" spans="1:18">
      <c r="A1250">
        <v>1249</v>
      </c>
      <c r="B1250" t="s">
        <v>3865</v>
      </c>
      <c r="C1250" t="s">
        <v>3866</v>
      </c>
      <c r="D1250" s="1" t="s">
        <v>3867</v>
      </c>
      <c r="E1250" t="s">
        <v>36</v>
      </c>
      <c r="G1250" t="str">
        <f>_xlfn.XLOOKUP(frasest[[#This Row],[author_es]],autorest[author_es],autorest[author_la])</f>
        <v>Proverbium Sinense</v>
      </c>
      <c r="H1250" t="str">
        <f>_xlfn.XLOOKUP(frasest[[#This Row],[author_es]],autorest[author_es],autorest[bio_es])</f>
        <v>Conjunto de proverbios tradicionales de la cultura china que transmiten sabiduría popular, valores morales y enseñanzas prácticas transmitidas oralmente durante siglos.</v>
      </c>
      <c r="I1250" t="str">
        <f>_xlfn.XLOOKUP(frasest[[#This Row],[author_es]],autorest[author_es],autorest[bio_la])</f>
        <v>Collectio sententiarum Sinensium, magnopere in cultura tradita.</v>
      </c>
      <c r="J1250" t="str">
        <f>_xlfn.XLOOKUP(frasest[[#This Row],[author_es]],autorest[author_es],autorest[iso3691])</f>
        <v>zh</v>
      </c>
      <c r="K1250" t="str">
        <f>_xlfn.XLOOKUP(frasest[[#This Row],[author_es]],autorest[author_es],autorest[language_es])</f>
        <v>Chino</v>
      </c>
      <c r="L1250" t="str">
        <f>_xlfn.XLOOKUP(frasest[[#This Row],[author_es]],autorest[author_es],autorest[language_la])</f>
        <v>Lingua Sinica</v>
      </c>
      <c r="M1250" t="str">
        <f>_xlfn.XLOOKUP(frasest[[#This Row],[author_es]],autorest[author_es],autorest[nation_es])</f>
        <v>China</v>
      </c>
      <c r="N1250" t="str">
        <f>_xlfn.XLOOKUP(frasest[[#This Row],[author_es]],autorest[author_es],autorest[nation_la])</f>
        <v>Sinae</v>
      </c>
      <c r="O1250" t="str">
        <f>_xlfn.XLOOKUP(frasest[[#This Row],[author_es]],autorest[author_es],autorest[age_es])</f>
        <v>Epoca Desconocida</v>
      </c>
      <c r="P1250" t="str">
        <f>_xlfn.XLOOKUP(frasest[[#This Row],[author_es]],autorest[author_es],autorest[age_la])</f>
        <v>Epocha Ignota</v>
      </c>
      <c r="Q1250" t="str">
        <f>_xlfn.XLOOKUP(frasest[[#This Row],[author_es]],autorest[author_es],autorest[image])</f>
        <v>https://i.ibb.co/qLfpZm6h/china.png</v>
      </c>
      <c r="R1250">
        <f>_xlfn.XLOOKUP(frasest[[#This Row],[author_es]],autorest[author_es],autorest[image_atr])</f>
        <v>0</v>
      </c>
    </row>
    <row r="1251" spans="1:18">
      <c r="A1251">
        <v>1250</v>
      </c>
      <c r="B1251" t="s">
        <v>3868</v>
      </c>
      <c r="C1251" t="s">
        <v>3869</v>
      </c>
      <c r="D1251" s="1" t="s">
        <v>3870</v>
      </c>
      <c r="E1251" t="s">
        <v>36</v>
      </c>
      <c r="G1251" t="str">
        <f>_xlfn.XLOOKUP(frasest[[#This Row],[author_es]],autorest[author_es],autorest[author_la])</f>
        <v>Proverbium Sinense</v>
      </c>
      <c r="H1251" t="str">
        <f>_xlfn.XLOOKUP(frasest[[#This Row],[author_es]],autorest[author_es],autorest[bio_es])</f>
        <v>Conjunto de proverbios tradicionales de la cultura china que transmiten sabiduría popular, valores morales y enseñanzas prácticas transmitidas oralmente durante siglos.</v>
      </c>
      <c r="I1251" t="str">
        <f>_xlfn.XLOOKUP(frasest[[#This Row],[author_es]],autorest[author_es],autorest[bio_la])</f>
        <v>Collectio sententiarum Sinensium, magnopere in cultura tradita.</v>
      </c>
      <c r="J1251" t="str">
        <f>_xlfn.XLOOKUP(frasest[[#This Row],[author_es]],autorest[author_es],autorest[iso3691])</f>
        <v>zh</v>
      </c>
      <c r="K1251" t="str">
        <f>_xlfn.XLOOKUP(frasest[[#This Row],[author_es]],autorest[author_es],autorest[language_es])</f>
        <v>Chino</v>
      </c>
      <c r="L1251" t="str">
        <f>_xlfn.XLOOKUP(frasest[[#This Row],[author_es]],autorest[author_es],autorest[language_la])</f>
        <v>Lingua Sinica</v>
      </c>
      <c r="M1251" t="str">
        <f>_xlfn.XLOOKUP(frasest[[#This Row],[author_es]],autorest[author_es],autorest[nation_es])</f>
        <v>China</v>
      </c>
      <c r="N1251" t="str">
        <f>_xlfn.XLOOKUP(frasest[[#This Row],[author_es]],autorest[author_es],autorest[nation_la])</f>
        <v>Sinae</v>
      </c>
      <c r="O1251" t="str">
        <f>_xlfn.XLOOKUP(frasest[[#This Row],[author_es]],autorest[author_es],autorest[age_es])</f>
        <v>Epoca Desconocida</v>
      </c>
      <c r="P1251" t="str">
        <f>_xlfn.XLOOKUP(frasest[[#This Row],[author_es]],autorest[author_es],autorest[age_la])</f>
        <v>Epocha Ignota</v>
      </c>
      <c r="Q1251" t="str">
        <f>_xlfn.XLOOKUP(frasest[[#This Row],[author_es]],autorest[author_es],autorest[image])</f>
        <v>https://i.ibb.co/qLfpZm6h/china.png</v>
      </c>
      <c r="R1251">
        <f>_xlfn.XLOOKUP(frasest[[#This Row],[author_es]],autorest[author_es],autorest[image_atr])</f>
        <v>0</v>
      </c>
    </row>
    <row r="1252" spans="1:18">
      <c r="A1252">
        <v>1251</v>
      </c>
      <c r="B1252" t="s">
        <v>3871</v>
      </c>
      <c r="C1252" t="s">
        <v>3872</v>
      </c>
      <c r="D1252" s="1" t="s">
        <v>3285</v>
      </c>
      <c r="E1252" t="s">
        <v>36</v>
      </c>
      <c r="G1252" t="str">
        <f>_xlfn.XLOOKUP(frasest[[#This Row],[author_es]],autorest[author_es],autorest[author_la])</f>
        <v>Proverbium Sinense</v>
      </c>
      <c r="H1252" t="str">
        <f>_xlfn.XLOOKUP(frasest[[#This Row],[author_es]],autorest[author_es],autorest[bio_es])</f>
        <v>Conjunto de proverbios tradicionales de la cultura china que transmiten sabiduría popular, valores morales y enseñanzas prácticas transmitidas oralmente durante siglos.</v>
      </c>
      <c r="I1252" t="str">
        <f>_xlfn.XLOOKUP(frasest[[#This Row],[author_es]],autorest[author_es],autorest[bio_la])</f>
        <v>Collectio sententiarum Sinensium, magnopere in cultura tradita.</v>
      </c>
      <c r="J1252" t="str">
        <f>_xlfn.XLOOKUP(frasest[[#This Row],[author_es]],autorest[author_es],autorest[iso3691])</f>
        <v>zh</v>
      </c>
      <c r="K1252" t="str">
        <f>_xlfn.XLOOKUP(frasest[[#This Row],[author_es]],autorest[author_es],autorest[language_es])</f>
        <v>Chino</v>
      </c>
      <c r="L1252" t="str">
        <f>_xlfn.XLOOKUP(frasest[[#This Row],[author_es]],autorest[author_es],autorest[language_la])</f>
        <v>Lingua Sinica</v>
      </c>
      <c r="M1252" t="str">
        <f>_xlfn.XLOOKUP(frasest[[#This Row],[author_es]],autorest[author_es],autorest[nation_es])</f>
        <v>China</v>
      </c>
      <c r="N1252" t="str">
        <f>_xlfn.XLOOKUP(frasest[[#This Row],[author_es]],autorest[author_es],autorest[nation_la])</f>
        <v>Sinae</v>
      </c>
      <c r="O1252" t="str">
        <f>_xlfn.XLOOKUP(frasest[[#This Row],[author_es]],autorest[author_es],autorest[age_es])</f>
        <v>Epoca Desconocida</v>
      </c>
      <c r="P1252" t="str">
        <f>_xlfn.XLOOKUP(frasest[[#This Row],[author_es]],autorest[author_es],autorest[age_la])</f>
        <v>Epocha Ignota</v>
      </c>
      <c r="Q1252" t="str">
        <f>_xlfn.XLOOKUP(frasest[[#This Row],[author_es]],autorest[author_es],autorest[image])</f>
        <v>https://i.ibb.co/qLfpZm6h/china.png</v>
      </c>
      <c r="R1252">
        <f>_xlfn.XLOOKUP(frasest[[#This Row],[author_es]],autorest[author_es],autorest[image_atr])</f>
        <v>0</v>
      </c>
    </row>
    <row r="1253" spans="1:18">
      <c r="A1253">
        <v>1252</v>
      </c>
      <c r="B1253" t="s">
        <v>3873</v>
      </c>
      <c r="C1253" t="s">
        <v>3874</v>
      </c>
      <c r="D1253" s="1" t="s">
        <v>3875</v>
      </c>
      <c r="E1253" t="s">
        <v>36</v>
      </c>
      <c r="G1253" t="str">
        <f>_xlfn.XLOOKUP(frasest[[#This Row],[author_es]],autorest[author_es],autorest[author_la])</f>
        <v>Proverbium Sinense</v>
      </c>
      <c r="H1253" t="str">
        <f>_xlfn.XLOOKUP(frasest[[#This Row],[author_es]],autorest[author_es],autorest[bio_es])</f>
        <v>Conjunto de proverbios tradicionales de la cultura china que transmiten sabiduría popular, valores morales y enseñanzas prácticas transmitidas oralmente durante siglos.</v>
      </c>
      <c r="I1253" t="str">
        <f>_xlfn.XLOOKUP(frasest[[#This Row],[author_es]],autorest[author_es],autorest[bio_la])</f>
        <v>Collectio sententiarum Sinensium, magnopere in cultura tradita.</v>
      </c>
      <c r="J1253" t="str">
        <f>_xlfn.XLOOKUP(frasest[[#This Row],[author_es]],autorest[author_es],autorest[iso3691])</f>
        <v>zh</v>
      </c>
      <c r="K1253" t="str">
        <f>_xlfn.XLOOKUP(frasest[[#This Row],[author_es]],autorest[author_es],autorest[language_es])</f>
        <v>Chino</v>
      </c>
      <c r="L1253" t="str">
        <f>_xlfn.XLOOKUP(frasest[[#This Row],[author_es]],autorest[author_es],autorest[language_la])</f>
        <v>Lingua Sinica</v>
      </c>
      <c r="M1253" t="str">
        <f>_xlfn.XLOOKUP(frasest[[#This Row],[author_es]],autorest[author_es],autorest[nation_es])</f>
        <v>China</v>
      </c>
      <c r="N1253" t="str">
        <f>_xlfn.XLOOKUP(frasest[[#This Row],[author_es]],autorest[author_es],autorest[nation_la])</f>
        <v>Sinae</v>
      </c>
      <c r="O1253" t="str">
        <f>_xlfn.XLOOKUP(frasest[[#This Row],[author_es]],autorest[author_es],autorest[age_es])</f>
        <v>Epoca Desconocida</v>
      </c>
      <c r="P1253" t="str">
        <f>_xlfn.XLOOKUP(frasest[[#This Row],[author_es]],autorest[author_es],autorest[age_la])</f>
        <v>Epocha Ignota</v>
      </c>
      <c r="Q1253" t="str">
        <f>_xlfn.XLOOKUP(frasest[[#This Row],[author_es]],autorest[author_es],autorest[image])</f>
        <v>https://i.ibb.co/qLfpZm6h/china.png</v>
      </c>
      <c r="R1253">
        <f>_xlfn.XLOOKUP(frasest[[#This Row],[author_es]],autorest[author_es],autorest[image_atr])</f>
        <v>0</v>
      </c>
    </row>
    <row r="1254" spans="1:18">
      <c r="A1254">
        <v>1253</v>
      </c>
      <c r="B1254" t="s">
        <v>3876</v>
      </c>
      <c r="C1254" t="s">
        <v>3877</v>
      </c>
      <c r="D1254" s="1" t="s">
        <v>3878</v>
      </c>
      <c r="E1254" t="s">
        <v>36</v>
      </c>
      <c r="G1254" t="str">
        <f>_xlfn.XLOOKUP(frasest[[#This Row],[author_es]],autorest[author_es],autorest[author_la])</f>
        <v>Proverbium Sinense</v>
      </c>
      <c r="H1254" t="str">
        <f>_xlfn.XLOOKUP(frasest[[#This Row],[author_es]],autorest[author_es],autorest[bio_es])</f>
        <v>Conjunto de proverbios tradicionales de la cultura china que transmiten sabiduría popular, valores morales y enseñanzas prácticas transmitidas oralmente durante siglos.</v>
      </c>
      <c r="I1254" t="str">
        <f>_xlfn.XLOOKUP(frasest[[#This Row],[author_es]],autorest[author_es],autorest[bio_la])</f>
        <v>Collectio sententiarum Sinensium, magnopere in cultura tradita.</v>
      </c>
      <c r="J1254" t="str">
        <f>_xlfn.XLOOKUP(frasest[[#This Row],[author_es]],autorest[author_es],autorest[iso3691])</f>
        <v>zh</v>
      </c>
      <c r="K1254" t="str">
        <f>_xlfn.XLOOKUP(frasest[[#This Row],[author_es]],autorest[author_es],autorest[language_es])</f>
        <v>Chino</v>
      </c>
      <c r="L1254" t="str">
        <f>_xlfn.XLOOKUP(frasest[[#This Row],[author_es]],autorest[author_es],autorest[language_la])</f>
        <v>Lingua Sinica</v>
      </c>
      <c r="M1254" t="str">
        <f>_xlfn.XLOOKUP(frasest[[#This Row],[author_es]],autorest[author_es],autorest[nation_es])</f>
        <v>China</v>
      </c>
      <c r="N1254" t="str">
        <f>_xlfn.XLOOKUP(frasest[[#This Row],[author_es]],autorest[author_es],autorest[nation_la])</f>
        <v>Sinae</v>
      </c>
      <c r="O1254" t="str">
        <f>_xlfn.XLOOKUP(frasest[[#This Row],[author_es]],autorest[author_es],autorest[age_es])</f>
        <v>Epoca Desconocida</v>
      </c>
      <c r="P1254" t="str">
        <f>_xlfn.XLOOKUP(frasest[[#This Row],[author_es]],autorest[author_es],autorest[age_la])</f>
        <v>Epocha Ignota</v>
      </c>
      <c r="Q1254" t="str">
        <f>_xlfn.XLOOKUP(frasest[[#This Row],[author_es]],autorest[author_es],autorest[image])</f>
        <v>https://i.ibb.co/qLfpZm6h/china.png</v>
      </c>
      <c r="R1254">
        <f>_xlfn.XLOOKUP(frasest[[#This Row],[author_es]],autorest[author_es],autorest[image_atr])</f>
        <v>0</v>
      </c>
    </row>
    <row r="1255" spans="1:18">
      <c r="A1255">
        <v>1254</v>
      </c>
      <c r="B1255" t="s">
        <v>3879</v>
      </c>
      <c r="C1255" t="s">
        <v>3880</v>
      </c>
      <c r="D1255" s="1" t="s">
        <v>3881</v>
      </c>
      <c r="E1255" t="s">
        <v>36</v>
      </c>
      <c r="G1255" t="str">
        <f>_xlfn.XLOOKUP(frasest[[#This Row],[author_es]],autorest[author_es],autorest[author_la])</f>
        <v>Proverbium Sinense</v>
      </c>
      <c r="H1255" t="str">
        <f>_xlfn.XLOOKUP(frasest[[#This Row],[author_es]],autorest[author_es],autorest[bio_es])</f>
        <v>Conjunto de proverbios tradicionales de la cultura china que transmiten sabiduría popular, valores morales y enseñanzas prácticas transmitidas oralmente durante siglos.</v>
      </c>
      <c r="I1255" t="str">
        <f>_xlfn.XLOOKUP(frasest[[#This Row],[author_es]],autorest[author_es],autorest[bio_la])</f>
        <v>Collectio sententiarum Sinensium, magnopere in cultura tradita.</v>
      </c>
      <c r="J1255" t="str">
        <f>_xlfn.XLOOKUP(frasest[[#This Row],[author_es]],autorest[author_es],autorest[iso3691])</f>
        <v>zh</v>
      </c>
      <c r="K1255" t="str">
        <f>_xlfn.XLOOKUP(frasest[[#This Row],[author_es]],autorest[author_es],autorest[language_es])</f>
        <v>Chino</v>
      </c>
      <c r="L1255" t="str">
        <f>_xlfn.XLOOKUP(frasest[[#This Row],[author_es]],autorest[author_es],autorest[language_la])</f>
        <v>Lingua Sinica</v>
      </c>
      <c r="M1255" t="str">
        <f>_xlfn.XLOOKUP(frasest[[#This Row],[author_es]],autorest[author_es],autorest[nation_es])</f>
        <v>China</v>
      </c>
      <c r="N1255" t="str">
        <f>_xlfn.XLOOKUP(frasest[[#This Row],[author_es]],autorest[author_es],autorest[nation_la])</f>
        <v>Sinae</v>
      </c>
      <c r="O1255" t="str">
        <f>_xlfn.XLOOKUP(frasest[[#This Row],[author_es]],autorest[author_es],autorest[age_es])</f>
        <v>Epoca Desconocida</v>
      </c>
      <c r="P1255" t="str">
        <f>_xlfn.XLOOKUP(frasest[[#This Row],[author_es]],autorest[author_es],autorest[age_la])</f>
        <v>Epocha Ignota</v>
      </c>
      <c r="Q1255" t="str">
        <f>_xlfn.XLOOKUP(frasest[[#This Row],[author_es]],autorest[author_es],autorest[image])</f>
        <v>https://i.ibb.co/qLfpZm6h/china.png</v>
      </c>
      <c r="R1255">
        <f>_xlfn.XLOOKUP(frasest[[#This Row],[author_es]],autorest[author_es],autorest[image_atr])</f>
        <v>0</v>
      </c>
    </row>
    <row r="1256" spans="1:18">
      <c r="A1256">
        <v>1255</v>
      </c>
      <c r="B1256" t="s">
        <v>3882</v>
      </c>
      <c r="C1256" t="s">
        <v>3883</v>
      </c>
      <c r="D1256" s="1" t="s">
        <v>3884</v>
      </c>
      <c r="E1256" t="s">
        <v>36</v>
      </c>
      <c r="G1256" t="str">
        <f>_xlfn.XLOOKUP(frasest[[#This Row],[author_es]],autorest[author_es],autorest[author_la])</f>
        <v>Proverbium Sinense</v>
      </c>
      <c r="H1256" t="str">
        <f>_xlfn.XLOOKUP(frasest[[#This Row],[author_es]],autorest[author_es],autorest[bio_es])</f>
        <v>Conjunto de proverbios tradicionales de la cultura china que transmiten sabiduría popular, valores morales y enseñanzas prácticas transmitidas oralmente durante siglos.</v>
      </c>
      <c r="I1256" t="str">
        <f>_xlfn.XLOOKUP(frasest[[#This Row],[author_es]],autorest[author_es],autorest[bio_la])</f>
        <v>Collectio sententiarum Sinensium, magnopere in cultura tradita.</v>
      </c>
      <c r="J1256" t="str">
        <f>_xlfn.XLOOKUP(frasest[[#This Row],[author_es]],autorest[author_es],autorest[iso3691])</f>
        <v>zh</v>
      </c>
      <c r="K1256" t="str">
        <f>_xlfn.XLOOKUP(frasest[[#This Row],[author_es]],autorest[author_es],autorest[language_es])</f>
        <v>Chino</v>
      </c>
      <c r="L1256" t="str">
        <f>_xlfn.XLOOKUP(frasest[[#This Row],[author_es]],autorest[author_es],autorest[language_la])</f>
        <v>Lingua Sinica</v>
      </c>
      <c r="M1256" t="str">
        <f>_xlfn.XLOOKUP(frasest[[#This Row],[author_es]],autorest[author_es],autorest[nation_es])</f>
        <v>China</v>
      </c>
      <c r="N1256" t="str">
        <f>_xlfn.XLOOKUP(frasest[[#This Row],[author_es]],autorest[author_es],autorest[nation_la])</f>
        <v>Sinae</v>
      </c>
      <c r="O1256" t="str">
        <f>_xlfn.XLOOKUP(frasest[[#This Row],[author_es]],autorest[author_es],autorest[age_es])</f>
        <v>Epoca Desconocida</v>
      </c>
      <c r="P1256" t="str">
        <f>_xlfn.XLOOKUP(frasest[[#This Row],[author_es]],autorest[author_es],autorest[age_la])</f>
        <v>Epocha Ignota</v>
      </c>
      <c r="Q1256" t="str">
        <f>_xlfn.XLOOKUP(frasest[[#This Row],[author_es]],autorest[author_es],autorest[image])</f>
        <v>https://i.ibb.co/qLfpZm6h/china.png</v>
      </c>
      <c r="R1256">
        <f>_xlfn.XLOOKUP(frasest[[#This Row],[author_es]],autorest[author_es],autorest[image_atr])</f>
        <v>0</v>
      </c>
    </row>
    <row r="1257" spans="1:18">
      <c r="A1257">
        <v>1256</v>
      </c>
      <c r="B1257" t="s">
        <v>3885</v>
      </c>
      <c r="C1257" t="s">
        <v>3886</v>
      </c>
      <c r="D1257" s="1" t="s">
        <v>3887</v>
      </c>
      <c r="E1257" t="s">
        <v>36</v>
      </c>
      <c r="G1257" t="str">
        <f>_xlfn.XLOOKUP(frasest[[#This Row],[author_es]],autorest[author_es],autorest[author_la])</f>
        <v>Proverbium Sinense</v>
      </c>
      <c r="H1257" t="str">
        <f>_xlfn.XLOOKUP(frasest[[#This Row],[author_es]],autorest[author_es],autorest[bio_es])</f>
        <v>Conjunto de proverbios tradicionales de la cultura china que transmiten sabiduría popular, valores morales y enseñanzas prácticas transmitidas oralmente durante siglos.</v>
      </c>
      <c r="I1257" t="str">
        <f>_xlfn.XLOOKUP(frasest[[#This Row],[author_es]],autorest[author_es],autorest[bio_la])</f>
        <v>Collectio sententiarum Sinensium, magnopere in cultura tradita.</v>
      </c>
      <c r="J1257" t="str">
        <f>_xlfn.XLOOKUP(frasest[[#This Row],[author_es]],autorest[author_es],autorest[iso3691])</f>
        <v>zh</v>
      </c>
      <c r="K1257" t="str">
        <f>_xlfn.XLOOKUP(frasest[[#This Row],[author_es]],autorest[author_es],autorest[language_es])</f>
        <v>Chino</v>
      </c>
      <c r="L1257" t="str">
        <f>_xlfn.XLOOKUP(frasest[[#This Row],[author_es]],autorest[author_es],autorest[language_la])</f>
        <v>Lingua Sinica</v>
      </c>
      <c r="M1257" t="str">
        <f>_xlfn.XLOOKUP(frasest[[#This Row],[author_es]],autorest[author_es],autorest[nation_es])</f>
        <v>China</v>
      </c>
      <c r="N1257" t="str">
        <f>_xlfn.XLOOKUP(frasest[[#This Row],[author_es]],autorest[author_es],autorest[nation_la])</f>
        <v>Sinae</v>
      </c>
      <c r="O1257" t="str">
        <f>_xlfn.XLOOKUP(frasest[[#This Row],[author_es]],autorest[author_es],autorest[age_es])</f>
        <v>Epoca Desconocida</v>
      </c>
      <c r="P1257" t="str">
        <f>_xlfn.XLOOKUP(frasest[[#This Row],[author_es]],autorest[author_es],autorest[age_la])</f>
        <v>Epocha Ignota</v>
      </c>
      <c r="Q1257" t="str">
        <f>_xlfn.XLOOKUP(frasest[[#This Row],[author_es]],autorest[author_es],autorest[image])</f>
        <v>https://i.ibb.co/qLfpZm6h/china.png</v>
      </c>
      <c r="R1257">
        <f>_xlfn.XLOOKUP(frasest[[#This Row],[author_es]],autorest[author_es],autorest[image_atr])</f>
        <v>0</v>
      </c>
    </row>
    <row r="1258" spans="1:18">
      <c r="A1258">
        <v>1257</v>
      </c>
      <c r="B1258" t="s">
        <v>3888</v>
      </c>
      <c r="C1258" t="s">
        <v>3889</v>
      </c>
      <c r="D1258" s="1" t="s">
        <v>3890</v>
      </c>
      <c r="E1258" t="s">
        <v>36</v>
      </c>
      <c r="G1258" t="str">
        <f>_xlfn.XLOOKUP(frasest[[#This Row],[author_es]],autorest[author_es],autorest[author_la])</f>
        <v>Proverbium Sinense</v>
      </c>
      <c r="H1258" t="str">
        <f>_xlfn.XLOOKUP(frasest[[#This Row],[author_es]],autorest[author_es],autorest[bio_es])</f>
        <v>Conjunto de proverbios tradicionales de la cultura china que transmiten sabiduría popular, valores morales y enseñanzas prácticas transmitidas oralmente durante siglos.</v>
      </c>
      <c r="I1258" t="str">
        <f>_xlfn.XLOOKUP(frasest[[#This Row],[author_es]],autorest[author_es],autorest[bio_la])</f>
        <v>Collectio sententiarum Sinensium, magnopere in cultura tradita.</v>
      </c>
      <c r="J1258" t="str">
        <f>_xlfn.XLOOKUP(frasest[[#This Row],[author_es]],autorest[author_es],autorest[iso3691])</f>
        <v>zh</v>
      </c>
      <c r="K1258" t="str">
        <f>_xlfn.XLOOKUP(frasest[[#This Row],[author_es]],autorest[author_es],autorest[language_es])</f>
        <v>Chino</v>
      </c>
      <c r="L1258" t="str">
        <f>_xlfn.XLOOKUP(frasest[[#This Row],[author_es]],autorest[author_es],autorest[language_la])</f>
        <v>Lingua Sinica</v>
      </c>
      <c r="M1258" t="str">
        <f>_xlfn.XLOOKUP(frasest[[#This Row],[author_es]],autorest[author_es],autorest[nation_es])</f>
        <v>China</v>
      </c>
      <c r="N1258" t="str">
        <f>_xlfn.XLOOKUP(frasest[[#This Row],[author_es]],autorest[author_es],autorest[nation_la])</f>
        <v>Sinae</v>
      </c>
      <c r="O1258" t="str">
        <f>_xlfn.XLOOKUP(frasest[[#This Row],[author_es]],autorest[author_es],autorest[age_es])</f>
        <v>Epoca Desconocida</v>
      </c>
      <c r="P1258" t="str">
        <f>_xlfn.XLOOKUP(frasest[[#This Row],[author_es]],autorest[author_es],autorest[age_la])</f>
        <v>Epocha Ignota</v>
      </c>
      <c r="Q1258" t="str">
        <f>_xlfn.XLOOKUP(frasest[[#This Row],[author_es]],autorest[author_es],autorest[image])</f>
        <v>https://i.ibb.co/qLfpZm6h/china.png</v>
      </c>
      <c r="R1258">
        <f>_xlfn.XLOOKUP(frasest[[#This Row],[author_es]],autorest[author_es],autorest[image_atr])</f>
        <v>0</v>
      </c>
    </row>
    <row r="1259" spans="1:18">
      <c r="A1259">
        <v>1258</v>
      </c>
      <c r="B1259" t="s">
        <v>3891</v>
      </c>
      <c r="C1259" t="s">
        <v>3892</v>
      </c>
      <c r="D1259" s="1" t="s">
        <v>3893</v>
      </c>
      <c r="E1259" t="s">
        <v>36</v>
      </c>
      <c r="G1259" t="str">
        <f>_xlfn.XLOOKUP(frasest[[#This Row],[author_es]],autorest[author_es],autorest[author_la])</f>
        <v>Proverbium Sinense</v>
      </c>
      <c r="H1259" t="str">
        <f>_xlfn.XLOOKUP(frasest[[#This Row],[author_es]],autorest[author_es],autorest[bio_es])</f>
        <v>Conjunto de proverbios tradicionales de la cultura china que transmiten sabiduría popular, valores morales y enseñanzas prácticas transmitidas oralmente durante siglos.</v>
      </c>
      <c r="I1259" t="str">
        <f>_xlfn.XLOOKUP(frasest[[#This Row],[author_es]],autorest[author_es],autorest[bio_la])</f>
        <v>Collectio sententiarum Sinensium, magnopere in cultura tradita.</v>
      </c>
      <c r="J1259" t="str">
        <f>_xlfn.XLOOKUP(frasest[[#This Row],[author_es]],autorest[author_es],autorest[iso3691])</f>
        <v>zh</v>
      </c>
      <c r="K1259" t="str">
        <f>_xlfn.XLOOKUP(frasest[[#This Row],[author_es]],autorest[author_es],autorest[language_es])</f>
        <v>Chino</v>
      </c>
      <c r="L1259" t="str">
        <f>_xlfn.XLOOKUP(frasest[[#This Row],[author_es]],autorest[author_es],autorest[language_la])</f>
        <v>Lingua Sinica</v>
      </c>
      <c r="M1259" t="str">
        <f>_xlfn.XLOOKUP(frasest[[#This Row],[author_es]],autorest[author_es],autorest[nation_es])</f>
        <v>China</v>
      </c>
      <c r="N1259" t="str">
        <f>_xlfn.XLOOKUP(frasest[[#This Row],[author_es]],autorest[author_es],autorest[nation_la])</f>
        <v>Sinae</v>
      </c>
      <c r="O1259" t="str">
        <f>_xlfn.XLOOKUP(frasest[[#This Row],[author_es]],autorest[author_es],autorest[age_es])</f>
        <v>Epoca Desconocida</v>
      </c>
      <c r="P1259" t="str">
        <f>_xlfn.XLOOKUP(frasest[[#This Row],[author_es]],autorest[author_es],autorest[age_la])</f>
        <v>Epocha Ignota</v>
      </c>
      <c r="Q1259" t="str">
        <f>_xlfn.XLOOKUP(frasest[[#This Row],[author_es]],autorest[author_es],autorest[image])</f>
        <v>https://i.ibb.co/qLfpZm6h/china.png</v>
      </c>
      <c r="R1259">
        <f>_xlfn.XLOOKUP(frasest[[#This Row],[author_es]],autorest[author_es],autorest[image_atr])</f>
        <v>0</v>
      </c>
    </row>
    <row r="1260" spans="1:18">
      <c r="A1260">
        <v>1259</v>
      </c>
      <c r="B1260" t="s">
        <v>3894</v>
      </c>
      <c r="C1260" t="s">
        <v>3895</v>
      </c>
      <c r="D1260" s="1" t="s">
        <v>3896</v>
      </c>
      <c r="E1260" t="s">
        <v>36</v>
      </c>
      <c r="G1260" t="str">
        <f>_xlfn.XLOOKUP(frasest[[#This Row],[author_es]],autorest[author_es],autorest[author_la])</f>
        <v>Proverbium Sinense</v>
      </c>
      <c r="H1260" t="str">
        <f>_xlfn.XLOOKUP(frasest[[#This Row],[author_es]],autorest[author_es],autorest[bio_es])</f>
        <v>Conjunto de proverbios tradicionales de la cultura china que transmiten sabiduría popular, valores morales y enseñanzas prácticas transmitidas oralmente durante siglos.</v>
      </c>
      <c r="I1260" t="str">
        <f>_xlfn.XLOOKUP(frasest[[#This Row],[author_es]],autorest[author_es],autorest[bio_la])</f>
        <v>Collectio sententiarum Sinensium, magnopere in cultura tradita.</v>
      </c>
      <c r="J1260" t="str">
        <f>_xlfn.XLOOKUP(frasest[[#This Row],[author_es]],autorest[author_es],autorest[iso3691])</f>
        <v>zh</v>
      </c>
      <c r="K1260" t="str">
        <f>_xlfn.XLOOKUP(frasest[[#This Row],[author_es]],autorest[author_es],autorest[language_es])</f>
        <v>Chino</v>
      </c>
      <c r="L1260" t="str">
        <f>_xlfn.XLOOKUP(frasest[[#This Row],[author_es]],autorest[author_es],autorest[language_la])</f>
        <v>Lingua Sinica</v>
      </c>
      <c r="M1260" t="str">
        <f>_xlfn.XLOOKUP(frasest[[#This Row],[author_es]],autorest[author_es],autorest[nation_es])</f>
        <v>China</v>
      </c>
      <c r="N1260" t="str">
        <f>_xlfn.XLOOKUP(frasest[[#This Row],[author_es]],autorest[author_es],autorest[nation_la])</f>
        <v>Sinae</v>
      </c>
      <c r="O1260" t="str">
        <f>_xlfn.XLOOKUP(frasest[[#This Row],[author_es]],autorest[author_es],autorest[age_es])</f>
        <v>Epoca Desconocida</v>
      </c>
      <c r="P1260" t="str">
        <f>_xlfn.XLOOKUP(frasest[[#This Row],[author_es]],autorest[author_es],autorest[age_la])</f>
        <v>Epocha Ignota</v>
      </c>
      <c r="Q1260" t="str">
        <f>_xlfn.XLOOKUP(frasest[[#This Row],[author_es]],autorest[author_es],autorest[image])</f>
        <v>https://i.ibb.co/qLfpZm6h/china.png</v>
      </c>
      <c r="R1260">
        <f>_xlfn.XLOOKUP(frasest[[#This Row],[author_es]],autorest[author_es],autorest[image_atr])</f>
        <v>0</v>
      </c>
    </row>
    <row r="1261" spans="1:18">
      <c r="A1261">
        <v>1260</v>
      </c>
      <c r="B1261" t="s">
        <v>3897</v>
      </c>
      <c r="C1261" t="s">
        <v>3898</v>
      </c>
      <c r="D1261" s="1" t="s">
        <v>3899</v>
      </c>
      <c r="E1261" t="s">
        <v>36</v>
      </c>
      <c r="G1261" t="str">
        <f>_xlfn.XLOOKUP(frasest[[#This Row],[author_es]],autorest[author_es],autorest[author_la])</f>
        <v>Proverbium Sinense</v>
      </c>
      <c r="H1261" t="str">
        <f>_xlfn.XLOOKUP(frasest[[#This Row],[author_es]],autorest[author_es],autorest[bio_es])</f>
        <v>Conjunto de proverbios tradicionales de la cultura china que transmiten sabiduría popular, valores morales y enseñanzas prácticas transmitidas oralmente durante siglos.</v>
      </c>
      <c r="I1261" t="str">
        <f>_xlfn.XLOOKUP(frasest[[#This Row],[author_es]],autorest[author_es],autorest[bio_la])</f>
        <v>Collectio sententiarum Sinensium, magnopere in cultura tradita.</v>
      </c>
      <c r="J1261" t="str">
        <f>_xlfn.XLOOKUP(frasest[[#This Row],[author_es]],autorest[author_es],autorest[iso3691])</f>
        <v>zh</v>
      </c>
      <c r="K1261" t="str">
        <f>_xlfn.XLOOKUP(frasest[[#This Row],[author_es]],autorest[author_es],autorest[language_es])</f>
        <v>Chino</v>
      </c>
      <c r="L1261" t="str">
        <f>_xlfn.XLOOKUP(frasest[[#This Row],[author_es]],autorest[author_es],autorest[language_la])</f>
        <v>Lingua Sinica</v>
      </c>
      <c r="M1261" t="str">
        <f>_xlfn.XLOOKUP(frasest[[#This Row],[author_es]],autorest[author_es],autorest[nation_es])</f>
        <v>China</v>
      </c>
      <c r="N1261" t="str">
        <f>_xlfn.XLOOKUP(frasest[[#This Row],[author_es]],autorest[author_es],autorest[nation_la])</f>
        <v>Sinae</v>
      </c>
      <c r="O1261" t="str">
        <f>_xlfn.XLOOKUP(frasest[[#This Row],[author_es]],autorest[author_es],autorest[age_es])</f>
        <v>Epoca Desconocida</v>
      </c>
      <c r="P1261" t="str">
        <f>_xlfn.XLOOKUP(frasest[[#This Row],[author_es]],autorest[author_es],autorest[age_la])</f>
        <v>Epocha Ignota</v>
      </c>
      <c r="Q1261" t="str">
        <f>_xlfn.XLOOKUP(frasest[[#This Row],[author_es]],autorest[author_es],autorest[image])</f>
        <v>https://i.ibb.co/qLfpZm6h/china.png</v>
      </c>
      <c r="R1261">
        <f>_xlfn.XLOOKUP(frasest[[#This Row],[author_es]],autorest[author_es],autorest[image_atr])</f>
        <v>0</v>
      </c>
    </row>
    <row r="1262" spans="1:18">
      <c r="A1262">
        <v>1261</v>
      </c>
      <c r="B1262" t="s">
        <v>3900</v>
      </c>
      <c r="C1262" t="s">
        <v>3901</v>
      </c>
      <c r="D1262" s="1" t="s">
        <v>3902</v>
      </c>
      <c r="E1262" t="s">
        <v>36</v>
      </c>
      <c r="G1262" t="str">
        <f>_xlfn.XLOOKUP(frasest[[#This Row],[author_es]],autorest[author_es],autorest[author_la])</f>
        <v>Proverbium Sinense</v>
      </c>
      <c r="H1262" t="str">
        <f>_xlfn.XLOOKUP(frasest[[#This Row],[author_es]],autorest[author_es],autorest[bio_es])</f>
        <v>Conjunto de proverbios tradicionales de la cultura china que transmiten sabiduría popular, valores morales y enseñanzas prácticas transmitidas oralmente durante siglos.</v>
      </c>
      <c r="I1262" t="str">
        <f>_xlfn.XLOOKUP(frasest[[#This Row],[author_es]],autorest[author_es],autorest[bio_la])</f>
        <v>Collectio sententiarum Sinensium, magnopere in cultura tradita.</v>
      </c>
      <c r="J1262" t="str">
        <f>_xlfn.XLOOKUP(frasest[[#This Row],[author_es]],autorest[author_es],autorest[iso3691])</f>
        <v>zh</v>
      </c>
      <c r="K1262" t="str">
        <f>_xlfn.XLOOKUP(frasest[[#This Row],[author_es]],autorest[author_es],autorest[language_es])</f>
        <v>Chino</v>
      </c>
      <c r="L1262" t="str">
        <f>_xlfn.XLOOKUP(frasest[[#This Row],[author_es]],autorest[author_es],autorest[language_la])</f>
        <v>Lingua Sinica</v>
      </c>
      <c r="M1262" t="str">
        <f>_xlfn.XLOOKUP(frasest[[#This Row],[author_es]],autorest[author_es],autorest[nation_es])</f>
        <v>China</v>
      </c>
      <c r="N1262" t="str">
        <f>_xlfn.XLOOKUP(frasest[[#This Row],[author_es]],autorest[author_es],autorest[nation_la])</f>
        <v>Sinae</v>
      </c>
      <c r="O1262" t="str">
        <f>_xlfn.XLOOKUP(frasest[[#This Row],[author_es]],autorest[author_es],autorest[age_es])</f>
        <v>Epoca Desconocida</v>
      </c>
      <c r="P1262" t="str">
        <f>_xlfn.XLOOKUP(frasest[[#This Row],[author_es]],autorest[author_es],autorest[age_la])</f>
        <v>Epocha Ignota</v>
      </c>
      <c r="Q1262" t="str">
        <f>_xlfn.XLOOKUP(frasest[[#This Row],[author_es]],autorest[author_es],autorest[image])</f>
        <v>https://i.ibb.co/qLfpZm6h/china.png</v>
      </c>
      <c r="R1262">
        <f>_xlfn.XLOOKUP(frasest[[#This Row],[author_es]],autorest[author_es],autorest[image_atr])</f>
        <v>0</v>
      </c>
    </row>
    <row r="1263" spans="1:18">
      <c r="A1263">
        <v>1262</v>
      </c>
      <c r="B1263" t="s">
        <v>3903</v>
      </c>
      <c r="C1263" t="s">
        <v>3904</v>
      </c>
      <c r="D1263" s="1" t="s">
        <v>3905</v>
      </c>
      <c r="E1263" t="s">
        <v>36</v>
      </c>
      <c r="G1263" t="str">
        <f>_xlfn.XLOOKUP(frasest[[#This Row],[author_es]],autorest[author_es],autorest[author_la])</f>
        <v>Proverbium Sinense</v>
      </c>
      <c r="H1263" t="str">
        <f>_xlfn.XLOOKUP(frasest[[#This Row],[author_es]],autorest[author_es],autorest[bio_es])</f>
        <v>Conjunto de proverbios tradicionales de la cultura china que transmiten sabiduría popular, valores morales y enseñanzas prácticas transmitidas oralmente durante siglos.</v>
      </c>
      <c r="I1263" t="str">
        <f>_xlfn.XLOOKUP(frasest[[#This Row],[author_es]],autorest[author_es],autorest[bio_la])</f>
        <v>Collectio sententiarum Sinensium, magnopere in cultura tradita.</v>
      </c>
      <c r="J1263" t="str">
        <f>_xlfn.XLOOKUP(frasest[[#This Row],[author_es]],autorest[author_es],autorest[iso3691])</f>
        <v>zh</v>
      </c>
      <c r="K1263" t="str">
        <f>_xlfn.XLOOKUP(frasest[[#This Row],[author_es]],autorest[author_es],autorest[language_es])</f>
        <v>Chino</v>
      </c>
      <c r="L1263" t="str">
        <f>_xlfn.XLOOKUP(frasest[[#This Row],[author_es]],autorest[author_es],autorest[language_la])</f>
        <v>Lingua Sinica</v>
      </c>
      <c r="M1263" t="str">
        <f>_xlfn.XLOOKUP(frasest[[#This Row],[author_es]],autorest[author_es],autorest[nation_es])</f>
        <v>China</v>
      </c>
      <c r="N1263" t="str">
        <f>_xlfn.XLOOKUP(frasest[[#This Row],[author_es]],autorest[author_es],autorest[nation_la])</f>
        <v>Sinae</v>
      </c>
      <c r="O1263" t="str">
        <f>_xlfn.XLOOKUP(frasest[[#This Row],[author_es]],autorest[author_es],autorest[age_es])</f>
        <v>Epoca Desconocida</v>
      </c>
      <c r="P1263" t="str">
        <f>_xlfn.XLOOKUP(frasest[[#This Row],[author_es]],autorest[author_es],autorest[age_la])</f>
        <v>Epocha Ignota</v>
      </c>
      <c r="Q1263" t="str">
        <f>_xlfn.XLOOKUP(frasest[[#This Row],[author_es]],autorest[author_es],autorest[image])</f>
        <v>https://i.ibb.co/qLfpZm6h/china.png</v>
      </c>
      <c r="R1263">
        <f>_xlfn.XLOOKUP(frasest[[#This Row],[author_es]],autorest[author_es],autorest[image_atr])</f>
        <v>0</v>
      </c>
    </row>
    <row r="1264" spans="1:18">
      <c r="A1264">
        <v>1263</v>
      </c>
      <c r="B1264" t="s">
        <v>3906</v>
      </c>
      <c r="C1264" t="s">
        <v>3907</v>
      </c>
      <c r="D1264" s="1" t="s">
        <v>3908</v>
      </c>
      <c r="E1264" t="s">
        <v>36</v>
      </c>
      <c r="G1264" t="str">
        <f>_xlfn.XLOOKUP(frasest[[#This Row],[author_es]],autorest[author_es],autorest[author_la])</f>
        <v>Proverbium Sinense</v>
      </c>
      <c r="H1264" t="str">
        <f>_xlfn.XLOOKUP(frasest[[#This Row],[author_es]],autorest[author_es],autorest[bio_es])</f>
        <v>Conjunto de proverbios tradicionales de la cultura china que transmiten sabiduría popular, valores morales y enseñanzas prácticas transmitidas oralmente durante siglos.</v>
      </c>
      <c r="I1264" t="str">
        <f>_xlfn.XLOOKUP(frasest[[#This Row],[author_es]],autorest[author_es],autorest[bio_la])</f>
        <v>Collectio sententiarum Sinensium, magnopere in cultura tradita.</v>
      </c>
      <c r="J1264" t="str">
        <f>_xlfn.XLOOKUP(frasest[[#This Row],[author_es]],autorest[author_es],autorest[iso3691])</f>
        <v>zh</v>
      </c>
      <c r="K1264" t="str">
        <f>_xlfn.XLOOKUP(frasest[[#This Row],[author_es]],autorest[author_es],autorest[language_es])</f>
        <v>Chino</v>
      </c>
      <c r="L1264" t="str">
        <f>_xlfn.XLOOKUP(frasest[[#This Row],[author_es]],autorest[author_es],autorest[language_la])</f>
        <v>Lingua Sinica</v>
      </c>
      <c r="M1264" t="str">
        <f>_xlfn.XLOOKUP(frasest[[#This Row],[author_es]],autorest[author_es],autorest[nation_es])</f>
        <v>China</v>
      </c>
      <c r="N1264" t="str">
        <f>_xlfn.XLOOKUP(frasest[[#This Row],[author_es]],autorest[author_es],autorest[nation_la])</f>
        <v>Sinae</v>
      </c>
      <c r="O1264" t="str">
        <f>_xlfn.XLOOKUP(frasest[[#This Row],[author_es]],autorest[author_es],autorest[age_es])</f>
        <v>Epoca Desconocida</v>
      </c>
      <c r="P1264" t="str">
        <f>_xlfn.XLOOKUP(frasest[[#This Row],[author_es]],autorest[author_es],autorest[age_la])</f>
        <v>Epocha Ignota</v>
      </c>
      <c r="Q1264" t="str">
        <f>_xlfn.XLOOKUP(frasest[[#This Row],[author_es]],autorest[author_es],autorest[image])</f>
        <v>https://i.ibb.co/qLfpZm6h/china.png</v>
      </c>
      <c r="R1264">
        <f>_xlfn.XLOOKUP(frasest[[#This Row],[author_es]],autorest[author_es],autorest[image_atr])</f>
        <v>0</v>
      </c>
    </row>
    <row r="1265" spans="1:18">
      <c r="A1265">
        <v>1264</v>
      </c>
      <c r="B1265" t="s">
        <v>3909</v>
      </c>
      <c r="C1265" t="s">
        <v>3910</v>
      </c>
      <c r="D1265" s="1" t="s">
        <v>3911</v>
      </c>
      <c r="E1265" t="s">
        <v>36</v>
      </c>
      <c r="G1265" t="str">
        <f>_xlfn.XLOOKUP(frasest[[#This Row],[author_es]],autorest[author_es],autorest[author_la])</f>
        <v>Proverbium Sinense</v>
      </c>
      <c r="H1265" t="str">
        <f>_xlfn.XLOOKUP(frasest[[#This Row],[author_es]],autorest[author_es],autorest[bio_es])</f>
        <v>Conjunto de proverbios tradicionales de la cultura china que transmiten sabiduría popular, valores morales y enseñanzas prácticas transmitidas oralmente durante siglos.</v>
      </c>
      <c r="I1265" t="str">
        <f>_xlfn.XLOOKUP(frasest[[#This Row],[author_es]],autorest[author_es],autorest[bio_la])</f>
        <v>Collectio sententiarum Sinensium, magnopere in cultura tradita.</v>
      </c>
      <c r="J1265" t="str">
        <f>_xlfn.XLOOKUP(frasest[[#This Row],[author_es]],autorest[author_es],autorest[iso3691])</f>
        <v>zh</v>
      </c>
      <c r="K1265" t="str">
        <f>_xlfn.XLOOKUP(frasest[[#This Row],[author_es]],autorest[author_es],autorest[language_es])</f>
        <v>Chino</v>
      </c>
      <c r="L1265" t="str">
        <f>_xlfn.XLOOKUP(frasest[[#This Row],[author_es]],autorest[author_es],autorest[language_la])</f>
        <v>Lingua Sinica</v>
      </c>
      <c r="M1265" t="str">
        <f>_xlfn.XLOOKUP(frasest[[#This Row],[author_es]],autorest[author_es],autorest[nation_es])</f>
        <v>China</v>
      </c>
      <c r="N1265" t="str">
        <f>_xlfn.XLOOKUP(frasest[[#This Row],[author_es]],autorest[author_es],autorest[nation_la])</f>
        <v>Sinae</v>
      </c>
      <c r="O1265" t="str">
        <f>_xlfn.XLOOKUP(frasest[[#This Row],[author_es]],autorest[author_es],autorest[age_es])</f>
        <v>Epoca Desconocida</v>
      </c>
      <c r="P1265" t="str">
        <f>_xlfn.XLOOKUP(frasest[[#This Row],[author_es]],autorest[author_es],autorest[age_la])</f>
        <v>Epocha Ignota</v>
      </c>
      <c r="Q1265" t="str">
        <f>_xlfn.XLOOKUP(frasest[[#This Row],[author_es]],autorest[author_es],autorest[image])</f>
        <v>https://i.ibb.co/qLfpZm6h/china.png</v>
      </c>
      <c r="R1265">
        <f>_xlfn.XLOOKUP(frasest[[#This Row],[author_es]],autorest[author_es],autorest[image_atr])</f>
        <v>0</v>
      </c>
    </row>
    <row r="1266" spans="1:18">
      <c r="A1266">
        <v>1265</v>
      </c>
      <c r="B1266" t="s">
        <v>3912</v>
      </c>
      <c r="C1266" t="s">
        <v>3913</v>
      </c>
      <c r="D1266" s="1" t="s">
        <v>3914</v>
      </c>
      <c r="E1266" t="s">
        <v>36</v>
      </c>
      <c r="G1266" t="str">
        <f>_xlfn.XLOOKUP(frasest[[#This Row],[author_es]],autorest[author_es],autorest[author_la])</f>
        <v>Proverbium Sinense</v>
      </c>
      <c r="H1266" t="str">
        <f>_xlfn.XLOOKUP(frasest[[#This Row],[author_es]],autorest[author_es],autorest[bio_es])</f>
        <v>Conjunto de proverbios tradicionales de la cultura china que transmiten sabiduría popular, valores morales y enseñanzas prácticas transmitidas oralmente durante siglos.</v>
      </c>
      <c r="I1266" t="str">
        <f>_xlfn.XLOOKUP(frasest[[#This Row],[author_es]],autorest[author_es],autorest[bio_la])</f>
        <v>Collectio sententiarum Sinensium, magnopere in cultura tradita.</v>
      </c>
      <c r="J1266" t="str">
        <f>_xlfn.XLOOKUP(frasest[[#This Row],[author_es]],autorest[author_es],autorest[iso3691])</f>
        <v>zh</v>
      </c>
      <c r="K1266" t="str">
        <f>_xlfn.XLOOKUP(frasest[[#This Row],[author_es]],autorest[author_es],autorest[language_es])</f>
        <v>Chino</v>
      </c>
      <c r="L1266" t="str">
        <f>_xlfn.XLOOKUP(frasest[[#This Row],[author_es]],autorest[author_es],autorest[language_la])</f>
        <v>Lingua Sinica</v>
      </c>
      <c r="M1266" t="str">
        <f>_xlfn.XLOOKUP(frasest[[#This Row],[author_es]],autorest[author_es],autorest[nation_es])</f>
        <v>China</v>
      </c>
      <c r="N1266" t="str">
        <f>_xlfn.XLOOKUP(frasest[[#This Row],[author_es]],autorest[author_es],autorest[nation_la])</f>
        <v>Sinae</v>
      </c>
      <c r="O1266" t="str">
        <f>_xlfn.XLOOKUP(frasest[[#This Row],[author_es]],autorest[author_es],autorest[age_es])</f>
        <v>Epoca Desconocida</v>
      </c>
      <c r="P1266" t="str">
        <f>_xlfn.XLOOKUP(frasest[[#This Row],[author_es]],autorest[author_es],autorest[age_la])</f>
        <v>Epocha Ignota</v>
      </c>
      <c r="Q1266" t="str">
        <f>_xlfn.XLOOKUP(frasest[[#This Row],[author_es]],autorest[author_es],autorest[image])</f>
        <v>https://i.ibb.co/qLfpZm6h/china.png</v>
      </c>
      <c r="R1266">
        <f>_xlfn.XLOOKUP(frasest[[#This Row],[author_es]],autorest[author_es],autorest[image_atr])</f>
        <v>0</v>
      </c>
    </row>
    <row r="1267" spans="1:18">
      <c r="A1267">
        <v>1266</v>
      </c>
      <c r="B1267" t="s">
        <v>3915</v>
      </c>
      <c r="C1267" t="s">
        <v>3916</v>
      </c>
      <c r="D1267" s="1" t="s">
        <v>3917</v>
      </c>
      <c r="E1267" t="s">
        <v>36</v>
      </c>
      <c r="G1267" t="str">
        <f>_xlfn.XLOOKUP(frasest[[#This Row],[author_es]],autorest[author_es],autorest[author_la])</f>
        <v>Proverbium Sinense</v>
      </c>
      <c r="H1267" t="str">
        <f>_xlfn.XLOOKUP(frasest[[#This Row],[author_es]],autorest[author_es],autorest[bio_es])</f>
        <v>Conjunto de proverbios tradicionales de la cultura china que transmiten sabiduría popular, valores morales y enseñanzas prácticas transmitidas oralmente durante siglos.</v>
      </c>
      <c r="I1267" t="str">
        <f>_xlfn.XLOOKUP(frasest[[#This Row],[author_es]],autorest[author_es],autorest[bio_la])</f>
        <v>Collectio sententiarum Sinensium, magnopere in cultura tradita.</v>
      </c>
      <c r="J1267" t="str">
        <f>_xlfn.XLOOKUP(frasest[[#This Row],[author_es]],autorest[author_es],autorest[iso3691])</f>
        <v>zh</v>
      </c>
      <c r="K1267" t="str">
        <f>_xlfn.XLOOKUP(frasest[[#This Row],[author_es]],autorest[author_es],autorest[language_es])</f>
        <v>Chino</v>
      </c>
      <c r="L1267" t="str">
        <f>_xlfn.XLOOKUP(frasest[[#This Row],[author_es]],autorest[author_es],autorest[language_la])</f>
        <v>Lingua Sinica</v>
      </c>
      <c r="M1267" t="str">
        <f>_xlfn.XLOOKUP(frasest[[#This Row],[author_es]],autorest[author_es],autorest[nation_es])</f>
        <v>China</v>
      </c>
      <c r="N1267" t="str">
        <f>_xlfn.XLOOKUP(frasest[[#This Row],[author_es]],autorest[author_es],autorest[nation_la])</f>
        <v>Sinae</v>
      </c>
      <c r="O1267" t="str">
        <f>_xlfn.XLOOKUP(frasest[[#This Row],[author_es]],autorest[author_es],autorest[age_es])</f>
        <v>Epoca Desconocida</v>
      </c>
      <c r="P1267" t="str">
        <f>_xlfn.XLOOKUP(frasest[[#This Row],[author_es]],autorest[author_es],autorest[age_la])</f>
        <v>Epocha Ignota</v>
      </c>
      <c r="Q1267" t="str">
        <f>_xlfn.XLOOKUP(frasest[[#This Row],[author_es]],autorest[author_es],autorest[image])</f>
        <v>https://i.ibb.co/qLfpZm6h/china.png</v>
      </c>
      <c r="R1267">
        <f>_xlfn.XLOOKUP(frasest[[#This Row],[author_es]],autorest[author_es],autorest[image_atr])</f>
        <v>0</v>
      </c>
    </row>
    <row r="1268" spans="1:18">
      <c r="A1268">
        <v>1267</v>
      </c>
      <c r="B1268" t="s">
        <v>3918</v>
      </c>
      <c r="C1268" t="s">
        <v>3919</v>
      </c>
      <c r="D1268" s="1" t="s">
        <v>3920</v>
      </c>
      <c r="E1268" t="s">
        <v>36</v>
      </c>
      <c r="G1268" t="str">
        <f>_xlfn.XLOOKUP(frasest[[#This Row],[author_es]],autorest[author_es],autorest[author_la])</f>
        <v>Proverbium Sinense</v>
      </c>
      <c r="H1268" t="str">
        <f>_xlfn.XLOOKUP(frasest[[#This Row],[author_es]],autorest[author_es],autorest[bio_es])</f>
        <v>Conjunto de proverbios tradicionales de la cultura china que transmiten sabiduría popular, valores morales y enseñanzas prácticas transmitidas oralmente durante siglos.</v>
      </c>
      <c r="I1268" t="str">
        <f>_xlfn.XLOOKUP(frasest[[#This Row],[author_es]],autorest[author_es],autorest[bio_la])</f>
        <v>Collectio sententiarum Sinensium, magnopere in cultura tradita.</v>
      </c>
      <c r="J1268" t="str">
        <f>_xlfn.XLOOKUP(frasest[[#This Row],[author_es]],autorest[author_es],autorest[iso3691])</f>
        <v>zh</v>
      </c>
      <c r="K1268" t="str">
        <f>_xlfn.XLOOKUP(frasest[[#This Row],[author_es]],autorest[author_es],autorest[language_es])</f>
        <v>Chino</v>
      </c>
      <c r="L1268" t="str">
        <f>_xlfn.XLOOKUP(frasest[[#This Row],[author_es]],autorest[author_es],autorest[language_la])</f>
        <v>Lingua Sinica</v>
      </c>
      <c r="M1268" t="str">
        <f>_xlfn.XLOOKUP(frasest[[#This Row],[author_es]],autorest[author_es],autorest[nation_es])</f>
        <v>China</v>
      </c>
      <c r="N1268" t="str">
        <f>_xlfn.XLOOKUP(frasest[[#This Row],[author_es]],autorest[author_es],autorest[nation_la])</f>
        <v>Sinae</v>
      </c>
      <c r="O1268" t="str">
        <f>_xlfn.XLOOKUP(frasest[[#This Row],[author_es]],autorest[author_es],autorest[age_es])</f>
        <v>Epoca Desconocida</v>
      </c>
      <c r="P1268" t="str">
        <f>_xlfn.XLOOKUP(frasest[[#This Row],[author_es]],autorest[author_es],autorest[age_la])</f>
        <v>Epocha Ignota</v>
      </c>
      <c r="Q1268" t="str">
        <f>_xlfn.XLOOKUP(frasest[[#This Row],[author_es]],autorest[author_es],autorest[image])</f>
        <v>https://i.ibb.co/qLfpZm6h/china.png</v>
      </c>
      <c r="R1268">
        <f>_xlfn.XLOOKUP(frasest[[#This Row],[author_es]],autorest[author_es],autorest[image_atr])</f>
        <v>0</v>
      </c>
    </row>
    <row r="1269" spans="1:18">
      <c r="A1269">
        <v>1268</v>
      </c>
      <c r="B1269" t="s">
        <v>3921</v>
      </c>
      <c r="C1269" t="s">
        <v>3922</v>
      </c>
      <c r="D1269" s="1" t="s">
        <v>3923</v>
      </c>
      <c r="E1269" t="s">
        <v>36</v>
      </c>
      <c r="G1269" t="str">
        <f>_xlfn.XLOOKUP(frasest[[#This Row],[author_es]],autorest[author_es],autorest[author_la])</f>
        <v>Proverbium Sinense</v>
      </c>
      <c r="H1269" t="str">
        <f>_xlfn.XLOOKUP(frasest[[#This Row],[author_es]],autorest[author_es],autorest[bio_es])</f>
        <v>Conjunto de proverbios tradicionales de la cultura china que transmiten sabiduría popular, valores morales y enseñanzas prácticas transmitidas oralmente durante siglos.</v>
      </c>
      <c r="I1269" t="str">
        <f>_xlfn.XLOOKUP(frasest[[#This Row],[author_es]],autorest[author_es],autorest[bio_la])</f>
        <v>Collectio sententiarum Sinensium, magnopere in cultura tradita.</v>
      </c>
      <c r="J1269" t="str">
        <f>_xlfn.XLOOKUP(frasest[[#This Row],[author_es]],autorest[author_es],autorest[iso3691])</f>
        <v>zh</v>
      </c>
      <c r="K1269" t="str">
        <f>_xlfn.XLOOKUP(frasest[[#This Row],[author_es]],autorest[author_es],autorest[language_es])</f>
        <v>Chino</v>
      </c>
      <c r="L1269" t="str">
        <f>_xlfn.XLOOKUP(frasest[[#This Row],[author_es]],autorest[author_es],autorest[language_la])</f>
        <v>Lingua Sinica</v>
      </c>
      <c r="M1269" t="str">
        <f>_xlfn.XLOOKUP(frasest[[#This Row],[author_es]],autorest[author_es],autorest[nation_es])</f>
        <v>China</v>
      </c>
      <c r="N1269" t="str">
        <f>_xlfn.XLOOKUP(frasest[[#This Row],[author_es]],autorest[author_es],autorest[nation_la])</f>
        <v>Sinae</v>
      </c>
      <c r="O1269" t="str">
        <f>_xlfn.XLOOKUP(frasest[[#This Row],[author_es]],autorest[author_es],autorest[age_es])</f>
        <v>Epoca Desconocida</v>
      </c>
      <c r="P1269" t="str">
        <f>_xlfn.XLOOKUP(frasest[[#This Row],[author_es]],autorest[author_es],autorest[age_la])</f>
        <v>Epocha Ignota</v>
      </c>
      <c r="Q1269" t="str">
        <f>_xlfn.XLOOKUP(frasest[[#This Row],[author_es]],autorest[author_es],autorest[image])</f>
        <v>https://i.ibb.co/qLfpZm6h/china.png</v>
      </c>
      <c r="R1269">
        <f>_xlfn.XLOOKUP(frasest[[#This Row],[author_es]],autorest[author_es],autorest[image_atr])</f>
        <v>0</v>
      </c>
    </row>
    <row r="1270" spans="1:18">
      <c r="A1270">
        <v>1269</v>
      </c>
      <c r="B1270" t="s">
        <v>3924</v>
      </c>
      <c r="C1270" t="s">
        <v>3925</v>
      </c>
      <c r="D1270" s="1" t="s">
        <v>3926</v>
      </c>
      <c r="E1270" t="s">
        <v>36</v>
      </c>
      <c r="G1270" t="str">
        <f>_xlfn.XLOOKUP(frasest[[#This Row],[author_es]],autorest[author_es],autorest[author_la])</f>
        <v>Proverbium Sinense</v>
      </c>
      <c r="H1270" t="str">
        <f>_xlfn.XLOOKUP(frasest[[#This Row],[author_es]],autorest[author_es],autorest[bio_es])</f>
        <v>Conjunto de proverbios tradicionales de la cultura china que transmiten sabiduría popular, valores morales y enseñanzas prácticas transmitidas oralmente durante siglos.</v>
      </c>
      <c r="I1270" t="str">
        <f>_xlfn.XLOOKUP(frasest[[#This Row],[author_es]],autorest[author_es],autorest[bio_la])</f>
        <v>Collectio sententiarum Sinensium, magnopere in cultura tradita.</v>
      </c>
      <c r="J1270" t="str">
        <f>_xlfn.XLOOKUP(frasest[[#This Row],[author_es]],autorest[author_es],autorest[iso3691])</f>
        <v>zh</v>
      </c>
      <c r="K1270" t="str">
        <f>_xlfn.XLOOKUP(frasest[[#This Row],[author_es]],autorest[author_es],autorest[language_es])</f>
        <v>Chino</v>
      </c>
      <c r="L1270" t="str">
        <f>_xlfn.XLOOKUP(frasest[[#This Row],[author_es]],autorest[author_es],autorest[language_la])</f>
        <v>Lingua Sinica</v>
      </c>
      <c r="M1270" t="str">
        <f>_xlfn.XLOOKUP(frasest[[#This Row],[author_es]],autorest[author_es],autorest[nation_es])</f>
        <v>China</v>
      </c>
      <c r="N1270" t="str">
        <f>_xlfn.XLOOKUP(frasest[[#This Row],[author_es]],autorest[author_es],autorest[nation_la])</f>
        <v>Sinae</v>
      </c>
      <c r="O1270" t="str">
        <f>_xlfn.XLOOKUP(frasest[[#This Row],[author_es]],autorest[author_es],autorest[age_es])</f>
        <v>Epoca Desconocida</v>
      </c>
      <c r="P1270" t="str">
        <f>_xlfn.XLOOKUP(frasest[[#This Row],[author_es]],autorest[author_es],autorest[age_la])</f>
        <v>Epocha Ignota</v>
      </c>
      <c r="Q1270" t="str">
        <f>_xlfn.XLOOKUP(frasest[[#This Row],[author_es]],autorest[author_es],autorest[image])</f>
        <v>https://i.ibb.co/qLfpZm6h/china.png</v>
      </c>
      <c r="R1270">
        <f>_xlfn.XLOOKUP(frasest[[#This Row],[author_es]],autorest[author_es],autorest[image_atr])</f>
        <v>0</v>
      </c>
    </row>
    <row r="1271" spans="1:18">
      <c r="A1271">
        <v>1270</v>
      </c>
      <c r="B1271" t="s">
        <v>3927</v>
      </c>
      <c r="C1271" t="s">
        <v>3928</v>
      </c>
      <c r="D1271" s="1" t="s">
        <v>3929</v>
      </c>
      <c r="E1271" t="s">
        <v>36</v>
      </c>
      <c r="G1271" t="str">
        <f>_xlfn.XLOOKUP(frasest[[#This Row],[author_es]],autorest[author_es],autorest[author_la])</f>
        <v>Proverbium Sinense</v>
      </c>
      <c r="H1271" t="str">
        <f>_xlfn.XLOOKUP(frasest[[#This Row],[author_es]],autorest[author_es],autorest[bio_es])</f>
        <v>Conjunto de proverbios tradicionales de la cultura china que transmiten sabiduría popular, valores morales y enseñanzas prácticas transmitidas oralmente durante siglos.</v>
      </c>
      <c r="I1271" t="str">
        <f>_xlfn.XLOOKUP(frasest[[#This Row],[author_es]],autorest[author_es],autorest[bio_la])</f>
        <v>Collectio sententiarum Sinensium, magnopere in cultura tradita.</v>
      </c>
      <c r="J1271" t="str">
        <f>_xlfn.XLOOKUP(frasest[[#This Row],[author_es]],autorest[author_es],autorest[iso3691])</f>
        <v>zh</v>
      </c>
      <c r="K1271" t="str">
        <f>_xlfn.XLOOKUP(frasest[[#This Row],[author_es]],autorest[author_es],autorest[language_es])</f>
        <v>Chino</v>
      </c>
      <c r="L1271" t="str">
        <f>_xlfn.XLOOKUP(frasest[[#This Row],[author_es]],autorest[author_es],autorest[language_la])</f>
        <v>Lingua Sinica</v>
      </c>
      <c r="M1271" t="str">
        <f>_xlfn.XLOOKUP(frasest[[#This Row],[author_es]],autorest[author_es],autorest[nation_es])</f>
        <v>China</v>
      </c>
      <c r="N1271" t="str">
        <f>_xlfn.XLOOKUP(frasest[[#This Row],[author_es]],autorest[author_es],autorest[nation_la])</f>
        <v>Sinae</v>
      </c>
      <c r="O1271" t="str">
        <f>_xlfn.XLOOKUP(frasest[[#This Row],[author_es]],autorest[author_es],autorest[age_es])</f>
        <v>Epoca Desconocida</v>
      </c>
      <c r="P1271" t="str">
        <f>_xlfn.XLOOKUP(frasest[[#This Row],[author_es]],autorest[author_es],autorest[age_la])</f>
        <v>Epocha Ignota</v>
      </c>
      <c r="Q1271" t="str">
        <f>_xlfn.XLOOKUP(frasest[[#This Row],[author_es]],autorest[author_es],autorest[image])</f>
        <v>https://i.ibb.co/qLfpZm6h/china.png</v>
      </c>
      <c r="R1271">
        <f>_xlfn.XLOOKUP(frasest[[#This Row],[author_es]],autorest[author_es],autorest[image_atr])</f>
        <v>0</v>
      </c>
    </row>
    <row r="1272" spans="1:18">
      <c r="A1272">
        <v>1271</v>
      </c>
      <c r="B1272" t="s">
        <v>3930</v>
      </c>
      <c r="C1272" t="s">
        <v>3931</v>
      </c>
      <c r="D1272" s="1" t="s">
        <v>3490</v>
      </c>
      <c r="E1272" t="s">
        <v>36</v>
      </c>
      <c r="G1272" t="str">
        <f>_xlfn.XLOOKUP(frasest[[#This Row],[author_es]],autorest[author_es],autorest[author_la])</f>
        <v>Proverbium Sinense</v>
      </c>
      <c r="H1272" t="str">
        <f>_xlfn.XLOOKUP(frasest[[#This Row],[author_es]],autorest[author_es],autorest[bio_es])</f>
        <v>Conjunto de proverbios tradicionales de la cultura china que transmiten sabiduría popular, valores morales y enseñanzas prácticas transmitidas oralmente durante siglos.</v>
      </c>
      <c r="I1272" t="str">
        <f>_xlfn.XLOOKUP(frasest[[#This Row],[author_es]],autorest[author_es],autorest[bio_la])</f>
        <v>Collectio sententiarum Sinensium, magnopere in cultura tradita.</v>
      </c>
      <c r="J1272" t="str">
        <f>_xlfn.XLOOKUP(frasest[[#This Row],[author_es]],autorest[author_es],autorest[iso3691])</f>
        <v>zh</v>
      </c>
      <c r="K1272" t="str">
        <f>_xlfn.XLOOKUP(frasest[[#This Row],[author_es]],autorest[author_es],autorest[language_es])</f>
        <v>Chino</v>
      </c>
      <c r="L1272" t="str">
        <f>_xlfn.XLOOKUP(frasest[[#This Row],[author_es]],autorest[author_es],autorest[language_la])</f>
        <v>Lingua Sinica</v>
      </c>
      <c r="M1272" t="str">
        <f>_xlfn.XLOOKUP(frasest[[#This Row],[author_es]],autorest[author_es],autorest[nation_es])</f>
        <v>China</v>
      </c>
      <c r="N1272" t="str">
        <f>_xlfn.XLOOKUP(frasest[[#This Row],[author_es]],autorest[author_es],autorest[nation_la])</f>
        <v>Sinae</v>
      </c>
      <c r="O1272" t="str">
        <f>_xlfn.XLOOKUP(frasest[[#This Row],[author_es]],autorest[author_es],autorest[age_es])</f>
        <v>Epoca Desconocida</v>
      </c>
      <c r="P1272" t="str">
        <f>_xlfn.XLOOKUP(frasest[[#This Row],[author_es]],autorest[author_es],autorest[age_la])</f>
        <v>Epocha Ignota</v>
      </c>
      <c r="Q1272" t="str">
        <f>_xlfn.XLOOKUP(frasest[[#This Row],[author_es]],autorest[author_es],autorest[image])</f>
        <v>https://i.ibb.co/qLfpZm6h/china.png</v>
      </c>
      <c r="R1272">
        <f>_xlfn.XLOOKUP(frasest[[#This Row],[author_es]],autorest[author_es],autorest[image_atr])</f>
        <v>0</v>
      </c>
    </row>
    <row r="1273" spans="1:18">
      <c r="A1273">
        <v>1272</v>
      </c>
      <c r="B1273" t="s">
        <v>3932</v>
      </c>
      <c r="C1273" t="s">
        <v>3933</v>
      </c>
      <c r="D1273" s="1" t="s">
        <v>3934</v>
      </c>
      <c r="E1273" t="s">
        <v>36</v>
      </c>
      <c r="G1273" t="str">
        <f>_xlfn.XLOOKUP(frasest[[#This Row],[author_es]],autorest[author_es],autorest[author_la])</f>
        <v>Proverbium Sinense</v>
      </c>
      <c r="H1273" t="str">
        <f>_xlfn.XLOOKUP(frasest[[#This Row],[author_es]],autorest[author_es],autorest[bio_es])</f>
        <v>Conjunto de proverbios tradicionales de la cultura china que transmiten sabiduría popular, valores morales y enseñanzas prácticas transmitidas oralmente durante siglos.</v>
      </c>
      <c r="I1273" t="str">
        <f>_xlfn.XLOOKUP(frasest[[#This Row],[author_es]],autorest[author_es],autorest[bio_la])</f>
        <v>Collectio sententiarum Sinensium, magnopere in cultura tradita.</v>
      </c>
      <c r="J1273" t="str">
        <f>_xlfn.XLOOKUP(frasest[[#This Row],[author_es]],autorest[author_es],autorest[iso3691])</f>
        <v>zh</v>
      </c>
      <c r="K1273" t="str">
        <f>_xlfn.XLOOKUP(frasest[[#This Row],[author_es]],autorest[author_es],autorest[language_es])</f>
        <v>Chino</v>
      </c>
      <c r="L1273" t="str">
        <f>_xlfn.XLOOKUP(frasest[[#This Row],[author_es]],autorest[author_es],autorest[language_la])</f>
        <v>Lingua Sinica</v>
      </c>
      <c r="M1273" t="str">
        <f>_xlfn.XLOOKUP(frasest[[#This Row],[author_es]],autorest[author_es],autorest[nation_es])</f>
        <v>China</v>
      </c>
      <c r="N1273" t="str">
        <f>_xlfn.XLOOKUP(frasest[[#This Row],[author_es]],autorest[author_es],autorest[nation_la])</f>
        <v>Sinae</v>
      </c>
      <c r="O1273" t="str">
        <f>_xlfn.XLOOKUP(frasest[[#This Row],[author_es]],autorest[author_es],autorest[age_es])</f>
        <v>Epoca Desconocida</v>
      </c>
      <c r="P1273" t="str">
        <f>_xlfn.XLOOKUP(frasest[[#This Row],[author_es]],autorest[author_es],autorest[age_la])</f>
        <v>Epocha Ignota</v>
      </c>
      <c r="Q1273" t="str">
        <f>_xlfn.XLOOKUP(frasest[[#This Row],[author_es]],autorest[author_es],autorest[image])</f>
        <v>https://i.ibb.co/qLfpZm6h/china.png</v>
      </c>
      <c r="R1273">
        <f>_xlfn.XLOOKUP(frasest[[#This Row],[author_es]],autorest[author_es],autorest[image_atr])</f>
        <v>0</v>
      </c>
    </row>
    <row r="1274" spans="1:18">
      <c r="A1274">
        <v>1273</v>
      </c>
      <c r="B1274" t="s">
        <v>3935</v>
      </c>
      <c r="C1274" t="s">
        <v>3936</v>
      </c>
      <c r="D1274" s="1" t="s">
        <v>3937</v>
      </c>
      <c r="E1274" t="s">
        <v>36</v>
      </c>
      <c r="G1274" t="str">
        <f>_xlfn.XLOOKUP(frasest[[#This Row],[author_es]],autorest[author_es],autorest[author_la])</f>
        <v>Proverbium Sinense</v>
      </c>
      <c r="H1274" t="str">
        <f>_xlfn.XLOOKUP(frasest[[#This Row],[author_es]],autorest[author_es],autorest[bio_es])</f>
        <v>Conjunto de proverbios tradicionales de la cultura china que transmiten sabiduría popular, valores morales y enseñanzas prácticas transmitidas oralmente durante siglos.</v>
      </c>
      <c r="I1274" t="str">
        <f>_xlfn.XLOOKUP(frasest[[#This Row],[author_es]],autorest[author_es],autorest[bio_la])</f>
        <v>Collectio sententiarum Sinensium, magnopere in cultura tradita.</v>
      </c>
      <c r="J1274" t="str">
        <f>_xlfn.XLOOKUP(frasest[[#This Row],[author_es]],autorest[author_es],autorest[iso3691])</f>
        <v>zh</v>
      </c>
      <c r="K1274" t="str">
        <f>_xlfn.XLOOKUP(frasest[[#This Row],[author_es]],autorest[author_es],autorest[language_es])</f>
        <v>Chino</v>
      </c>
      <c r="L1274" t="str">
        <f>_xlfn.XLOOKUP(frasest[[#This Row],[author_es]],autorest[author_es],autorest[language_la])</f>
        <v>Lingua Sinica</v>
      </c>
      <c r="M1274" t="str">
        <f>_xlfn.XLOOKUP(frasest[[#This Row],[author_es]],autorest[author_es],autorest[nation_es])</f>
        <v>China</v>
      </c>
      <c r="N1274" t="str">
        <f>_xlfn.XLOOKUP(frasest[[#This Row],[author_es]],autorest[author_es],autorest[nation_la])</f>
        <v>Sinae</v>
      </c>
      <c r="O1274" t="str">
        <f>_xlfn.XLOOKUP(frasest[[#This Row],[author_es]],autorest[author_es],autorest[age_es])</f>
        <v>Epoca Desconocida</v>
      </c>
      <c r="P1274" t="str">
        <f>_xlfn.XLOOKUP(frasest[[#This Row],[author_es]],autorest[author_es],autorest[age_la])</f>
        <v>Epocha Ignota</v>
      </c>
      <c r="Q1274" t="str">
        <f>_xlfn.XLOOKUP(frasest[[#This Row],[author_es]],autorest[author_es],autorest[image])</f>
        <v>https://i.ibb.co/qLfpZm6h/china.png</v>
      </c>
      <c r="R1274">
        <f>_xlfn.XLOOKUP(frasest[[#This Row],[author_es]],autorest[author_es],autorest[image_atr])</f>
        <v>0</v>
      </c>
    </row>
    <row r="1275" spans="1:18">
      <c r="A1275">
        <v>1274</v>
      </c>
      <c r="B1275" t="s">
        <v>3938</v>
      </c>
      <c r="C1275" t="s">
        <v>3939</v>
      </c>
      <c r="D1275" s="1" t="s">
        <v>3940</v>
      </c>
      <c r="E1275" t="s">
        <v>36</v>
      </c>
      <c r="G1275" t="str">
        <f>_xlfn.XLOOKUP(frasest[[#This Row],[author_es]],autorest[author_es],autorest[author_la])</f>
        <v>Proverbium Sinense</v>
      </c>
      <c r="H1275" t="str">
        <f>_xlfn.XLOOKUP(frasest[[#This Row],[author_es]],autorest[author_es],autorest[bio_es])</f>
        <v>Conjunto de proverbios tradicionales de la cultura china que transmiten sabiduría popular, valores morales y enseñanzas prácticas transmitidas oralmente durante siglos.</v>
      </c>
      <c r="I1275" t="str">
        <f>_xlfn.XLOOKUP(frasest[[#This Row],[author_es]],autorest[author_es],autorest[bio_la])</f>
        <v>Collectio sententiarum Sinensium, magnopere in cultura tradita.</v>
      </c>
      <c r="J1275" t="str">
        <f>_xlfn.XLOOKUP(frasest[[#This Row],[author_es]],autorest[author_es],autorest[iso3691])</f>
        <v>zh</v>
      </c>
      <c r="K1275" t="str">
        <f>_xlfn.XLOOKUP(frasest[[#This Row],[author_es]],autorest[author_es],autorest[language_es])</f>
        <v>Chino</v>
      </c>
      <c r="L1275" t="str">
        <f>_xlfn.XLOOKUP(frasest[[#This Row],[author_es]],autorest[author_es],autorest[language_la])</f>
        <v>Lingua Sinica</v>
      </c>
      <c r="M1275" t="str">
        <f>_xlfn.XLOOKUP(frasest[[#This Row],[author_es]],autorest[author_es],autorest[nation_es])</f>
        <v>China</v>
      </c>
      <c r="N1275" t="str">
        <f>_xlfn.XLOOKUP(frasest[[#This Row],[author_es]],autorest[author_es],autorest[nation_la])</f>
        <v>Sinae</v>
      </c>
      <c r="O1275" t="str">
        <f>_xlfn.XLOOKUP(frasest[[#This Row],[author_es]],autorest[author_es],autorest[age_es])</f>
        <v>Epoca Desconocida</v>
      </c>
      <c r="P1275" t="str">
        <f>_xlfn.XLOOKUP(frasest[[#This Row],[author_es]],autorest[author_es],autorest[age_la])</f>
        <v>Epocha Ignota</v>
      </c>
      <c r="Q1275" t="str">
        <f>_xlfn.XLOOKUP(frasest[[#This Row],[author_es]],autorest[author_es],autorest[image])</f>
        <v>https://i.ibb.co/qLfpZm6h/china.png</v>
      </c>
      <c r="R1275">
        <f>_xlfn.XLOOKUP(frasest[[#This Row],[author_es]],autorest[author_es],autorest[image_atr])</f>
        <v>0</v>
      </c>
    </row>
    <row r="1276" spans="1:18">
      <c r="A1276">
        <v>1275</v>
      </c>
      <c r="B1276" t="s">
        <v>3941</v>
      </c>
      <c r="C1276" t="s">
        <v>3942</v>
      </c>
      <c r="D1276" s="1" t="s">
        <v>3943</v>
      </c>
      <c r="E1276" t="s">
        <v>36</v>
      </c>
      <c r="G1276" t="str">
        <f>_xlfn.XLOOKUP(frasest[[#This Row],[author_es]],autorest[author_es],autorest[author_la])</f>
        <v>Proverbium Sinense</v>
      </c>
      <c r="H1276" t="str">
        <f>_xlfn.XLOOKUP(frasest[[#This Row],[author_es]],autorest[author_es],autorest[bio_es])</f>
        <v>Conjunto de proverbios tradicionales de la cultura china que transmiten sabiduría popular, valores morales y enseñanzas prácticas transmitidas oralmente durante siglos.</v>
      </c>
      <c r="I1276" t="str">
        <f>_xlfn.XLOOKUP(frasest[[#This Row],[author_es]],autorest[author_es],autorest[bio_la])</f>
        <v>Collectio sententiarum Sinensium, magnopere in cultura tradita.</v>
      </c>
      <c r="J1276" t="str">
        <f>_xlfn.XLOOKUP(frasest[[#This Row],[author_es]],autorest[author_es],autorest[iso3691])</f>
        <v>zh</v>
      </c>
      <c r="K1276" t="str">
        <f>_xlfn.XLOOKUP(frasest[[#This Row],[author_es]],autorest[author_es],autorest[language_es])</f>
        <v>Chino</v>
      </c>
      <c r="L1276" t="str">
        <f>_xlfn.XLOOKUP(frasest[[#This Row],[author_es]],autorest[author_es],autorest[language_la])</f>
        <v>Lingua Sinica</v>
      </c>
      <c r="M1276" t="str">
        <f>_xlfn.XLOOKUP(frasest[[#This Row],[author_es]],autorest[author_es],autorest[nation_es])</f>
        <v>China</v>
      </c>
      <c r="N1276" t="str">
        <f>_xlfn.XLOOKUP(frasest[[#This Row],[author_es]],autorest[author_es],autorest[nation_la])</f>
        <v>Sinae</v>
      </c>
      <c r="O1276" t="str">
        <f>_xlfn.XLOOKUP(frasest[[#This Row],[author_es]],autorest[author_es],autorest[age_es])</f>
        <v>Epoca Desconocida</v>
      </c>
      <c r="P1276" t="str">
        <f>_xlfn.XLOOKUP(frasest[[#This Row],[author_es]],autorest[author_es],autorest[age_la])</f>
        <v>Epocha Ignota</v>
      </c>
      <c r="Q1276" t="str">
        <f>_xlfn.XLOOKUP(frasest[[#This Row],[author_es]],autorest[author_es],autorest[image])</f>
        <v>https://i.ibb.co/qLfpZm6h/china.png</v>
      </c>
      <c r="R1276">
        <f>_xlfn.XLOOKUP(frasest[[#This Row],[author_es]],autorest[author_es],autorest[image_atr])</f>
        <v>0</v>
      </c>
    </row>
    <row r="1277" spans="1:18">
      <c r="A1277">
        <v>1276</v>
      </c>
      <c r="B1277" t="s">
        <v>3944</v>
      </c>
      <c r="C1277" t="s">
        <v>3945</v>
      </c>
      <c r="D1277" s="1" t="s">
        <v>3946</v>
      </c>
      <c r="E1277" t="s">
        <v>36</v>
      </c>
      <c r="G1277" t="str">
        <f>_xlfn.XLOOKUP(frasest[[#This Row],[author_es]],autorest[author_es],autorest[author_la])</f>
        <v>Proverbium Sinense</v>
      </c>
      <c r="H1277" t="str">
        <f>_xlfn.XLOOKUP(frasest[[#This Row],[author_es]],autorest[author_es],autorest[bio_es])</f>
        <v>Conjunto de proverbios tradicionales de la cultura china que transmiten sabiduría popular, valores morales y enseñanzas prácticas transmitidas oralmente durante siglos.</v>
      </c>
      <c r="I1277" t="str">
        <f>_xlfn.XLOOKUP(frasest[[#This Row],[author_es]],autorest[author_es],autorest[bio_la])</f>
        <v>Collectio sententiarum Sinensium, magnopere in cultura tradita.</v>
      </c>
      <c r="J1277" t="str">
        <f>_xlfn.XLOOKUP(frasest[[#This Row],[author_es]],autorest[author_es],autorest[iso3691])</f>
        <v>zh</v>
      </c>
      <c r="K1277" t="str">
        <f>_xlfn.XLOOKUP(frasest[[#This Row],[author_es]],autorest[author_es],autorest[language_es])</f>
        <v>Chino</v>
      </c>
      <c r="L1277" t="str">
        <f>_xlfn.XLOOKUP(frasest[[#This Row],[author_es]],autorest[author_es],autorest[language_la])</f>
        <v>Lingua Sinica</v>
      </c>
      <c r="M1277" t="str">
        <f>_xlfn.XLOOKUP(frasest[[#This Row],[author_es]],autorest[author_es],autorest[nation_es])</f>
        <v>China</v>
      </c>
      <c r="N1277" t="str">
        <f>_xlfn.XLOOKUP(frasest[[#This Row],[author_es]],autorest[author_es],autorest[nation_la])</f>
        <v>Sinae</v>
      </c>
      <c r="O1277" t="str">
        <f>_xlfn.XLOOKUP(frasest[[#This Row],[author_es]],autorest[author_es],autorest[age_es])</f>
        <v>Epoca Desconocida</v>
      </c>
      <c r="P1277" t="str">
        <f>_xlfn.XLOOKUP(frasest[[#This Row],[author_es]],autorest[author_es],autorest[age_la])</f>
        <v>Epocha Ignota</v>
      </c>
      <c r="Q1277" t="str">
        <f>_xlfn.XLOOKUP(frasest[[#This Row],[author_es]],autorest[author_es],autorest[image])</f>
        <v>https://i.ibb.co/qLfpZm6h/china.png</v>
      </c>
      <c r="R1277">
        <f>_xlfn.XLOOKUP(frasest[[#This Row],[author_es]],autorest[author_es],autorest[image_atr])</f>
        <v>0</v>
      </c>
    </row>
    <row r="1278" spans="1:18">
      <c r="A1278">
        <v>1277</v>
      </c>
      <c r="B1278" t="s">
        <v>3947</v>
      </c>
      <c r="C1278" t="s">
        <v>3948</v>
      </c>
      <c r="D1278" s="1" t="s">
        <v>3949</v>
      </c>
      <c r="E1278" t="s">
        <v>36</v>
      </c>
      <c r="G1278" t="str">
        <f>_xlfn.XLOOKUP(frasest[[#This Row],[author_es]],autorest[author_es],autorest[author_la])</f>
        <v>Proverbium Sinense</v>
      </c>
      <c r="H1278" t="str">
        <f>_xlfn.XLOOKUP(frasest[[#This Row],[author_es]],autorest[author_es],autorest[bio_es])</f>
        <v>Conjunto de proverbios tradicionales de la cultura china que transmiten sabiduría popular, valores morales y enseñanzas prácticas transmitidas oralmente durante siglos.</v>
      </c>
      <c r="I1278" t="str">
        <f>_xlfn.XLOOKUP(frasest[[#This Row],[author_es]],autorest[author_es],autorest[bio_la])</f>
        <v>Collectio sententiarum Sinensium, magnopere in cultura tradita.</v>
      </c>
      <c r="J1278" t="str">
        <f>_xlfn.XLOOKUP(frasest[[#This Row],[author_es]],autorest[author_es],autorest[iso3691])</f>
        <v>zh</v>
      </c>
      <c r="K1278" t="str">
        <f>_xlfn.XLOOKUP(frasest[[#This Row],[author_es]],autorest[author_es],autorest[language_es])</f>
        <v>Chino</v>
      </c>
      <c r="L1278" t="str">
        <f>_xlfn.XLOOKUP(frasest[[#This Row],[author_es]],autorest[author_es],autorest[language_la])</f>
        <v>Lingua Sinica</v>
      </c>
      <c r="M1278" t="str">
        <f>_xlfn.XLOOKUP(frasest[[#This Row],[author_es]],autorest[author_es],autorest[nation_es])</f>
        <v>China</v>
      </c>
      <c r="N1278" t="str">
        <f>_xlfn.XLOOKUP(frasest[[#This Row],[author_es]],autorest[author_es],autorest[nation_la])</f>
        <v>Sinae</v>
      </c>
      <c r="O1278" t="str">
        <f>_xlfn.XLOOKUP(frasest[[#This Row],[author_es]],autorest[author_es],autorest[age_es])</f>
        <v>Epoca Desconocida</v>
      </c>
      <c r="P1278" t="str">
        <f>_xlfn.XLOOKUP(frasest[[#This Row],[author_es]],autorest[author_es],autorest[age_la])</f>
        <v>Epocha Ignota</v>
      </c>
      <c r="Q1278" t="str">
        <f>_xlfn.XLOOKUP(frasest[[#This Row],[author_es]],autorest[author_es],autorest[image])</f>
        <v>https://i.ibb.co/qLfpZm6h/china.png</v>
      </c>
      <c r="R1278">
        <f>_xlfn.XLOOKUP(frasest[[#This Row],[author_es]],autorest[author_es],autorest[image_atr])</f>
        <v>0</v>
      </c>
    </row>
    <row r="1279" spans="1:18">
      <c r="A1279">
        <v>1278</v>
      </c>
      <c r="B1279" t="s">
        <v>3950</v>
      </c>
      <c r="C1279" t="s">
        <v>3951</v>
      </c>
      <c r="D1279" s="1" t="s">
        <v>3952</v>
      </c>
      <c r="E1279" t="s">
        <v>36</v>
      </c>
      <c r="G1279" t="str">
        <f>_xlfn.XLOOKUP(frasest[[#This Row],[author_es]],autorest[author_es],autorest[author_la])</f>
        <v>Proverbium Sinense</v>
      </c>
      <c r="H1279" t="str">
        <f>_xlfn.XLOOKUP(frasest[[#This Row],[author_es]],autorest[author_es],autorest[bio_es])</f>
        <v>Conjunto de proverbios tradicionales de la cultura china que transmiten sabiduría popular, valores morales y enseñanzas prácticas transmitidas oralmente durante siglos.</v>
      </c>
      <c r="I1279" t="str">
        <f>_xlfn.XLOOKUP(frasest[[#This Row],[author_es]],autorest[author_es],autorest[bio_la])</f>
        <v>Collectio sententiarum Sinensium, magnopere in cultura tradita.</v>
      </c>
      <c r="J1279" t="str">
        <f>_xlfn.XLOOKUP(frasest[[#This Row],[author_es]],autorest[author_es],autorest[iso3691])</f>
        <v>zh</v>
      </c>
      <c r="K1279" t="str">
        <f>_xlfn.XLOOKUP(frasest[[#This Row],[author_es]],autorest[author_es],autorest[language_es])</f>
        <v>Chino</v>
      </c>
      <c r="L1279" t="str">
        <f>_xlfn.XLOOKUP(frasest[[#This Row],[author_es]],autorest[author_es],autorest[language_la])</f>
        <v>Lingua Sinica</v>
      </c>
      <c r="M1279" t="str">
        <f>_xlfn.XLOOKUP(frasest[[#This Row],[author_es]],autorest[author_es],autorest[nation_es])</f>
        <v>China</v>
      </c>
      <c r="N1279" t="str">
        <f>_xlfn.XLOOKUP(frasest[[#This Row],[author_es]],autorest[author_es],autorest[nation_la])</f>
        <v>Sinae</v>
      </c>
      <c r="O1279" t="str">
        <f>_xlfn.XLOOKUP(frasest[[#This Row],[author_es]],autorest[author_es],autorest[age_es])</f>
        <v>Epoca Desconocida</v>
      </c>
      <c r="P1279" t="str">
        <f>_xlfn.XLOOKUP(frasest[[#This Row],[author_es]],autorest[author_es],autorest[age_la])</f>
        <v>Epocha Ignota</v>
      </c>
      <c r="Q1279" t="str">
        <f>_xlfn.XLOOKUP(frasest[[#This Row],[author_es]],autorest[author_es],autorest[image])</f>
        <v>https://i.ibb.co/qLfpZm6h/china.png</v>
      </c>
      <c r="R1279">
        <f>_xlfn.XLOOKUP(frasest[[#This Row],[author_es]],autorest[author_es],autorest[image_atr])</f>
        <v>0</v>
      </c>
    </row>
    <row r="1280" spans="1:18">
      <c r="A1280">
        <v>1279</v>
      </c>
      <c r="B1280" t="s">
        <v>3953</v>
      </c>
      <c r="C1280" t="s">
        <v>3954</v>
      </c>
      <c r="D1280" s="1" t="s">
        <v>3955</v>
      </c>
      <c r="E1280" t="s">
        <v>36</v>
      </c>
      <c r="G1280" t="str">
        <f>_xlfn.XLOOKUP(frasest[[#This Row],[author_es]],autorest[author_es],autorest[author_la])</f>
        <v>Proverbium Sinense</v>
      </c>
      <c r="H1280" t="str">
        <f>_xlfn.XLOOKUP(frasest[[#This Row],[author_es]],autorest[author_es],autorest[bio_es])</f>
        <v>Conjunto de proverbios tradicionales de la cultura china que transmiten sabiduría popular, valores morales y enseñanzas prácticas transmitidas oralmente durante siglos.</v>
      </c>
      <c r="I1280" t="str">
        <f>_xlfn.XLOOKUP(frasest[[#This Row],[author_es]],autorest[author_es],autorest[bio_la])</f>
        <v>Collectio sententiarum Sinensium, magnopere in cultura tradita.</v>
      </c>
      <c r="J1280" t="str">
        <f>_xlfn.XLOOKUP(frasest[[#This Row],[author_es]],autorest[author_es],autorest[iso3691])</f>
        <v>zh</v>
      </c>
      <c r="K1280" t="str">
        <f>_xlfn.XLOOKUP(frasest[[#This Row],[author_es]],autorest[author_es],autorest[language_es])</f>
        <v>Chino</v>
      </c>
      <c r="L1280" t="str">
        <f>_xlfn.XLOOKUP(frasest[[#This Row],[author_es]],autorest[author_es],autorest[language_la])</f>
        <v>Lingua Sinica</v>
      </c>
      <c r="M1280" t="str">
        <f>_xlfn.XLOOKUP(frasest[[#This Row],[author_es]],autorest[author_es],autorest[nation_es])</f>
        <v>China</v>
      </c>
      <c r="N1280" t="str">
        <f>_xlfn.XLOOKUP(frasest[[#This Row],[author_es]],autorest[author_es],autorest[nation_la])</f>
        <v>Sinae</v>
      </c>
      <c r="O1280" t="str">
        <f>_xlfn.XLOOKUP(frasest[[#This Row],[author_es]],autorest[author_es],autorest[age_es])</f>
        <v>Epoca Desconocida</v>
      </c>
      <c r="P1280" t="str">
        <f>_xlfn.XLOOKUP(frasest[[#This Row],[author_es]],autorest[author_es],autorest[age_la])</f>
        <v>Epocha Ignota</v>
      </c>
      <c r="Q1280" t="str">
        <f>_xlfn.XLOOKUP(frasest[[#This Row],[author_es]],autorest[author_es],autorest[image])</f>
        <v>https://i.ibb.co/qLfpZm6h/china.png</v>
      </c>
      <c r="R1280">
        <f>_xlfn.XLOOKUP(frasest[[#This Row],[author_es]],autorest[author_es],autorest[image_atr])</f>
        <v>0</v>
      </c>
    </row>
    <row r="1281" spans="1:18">
      <c r="A1281">
        <v>1280</v>
      </c>
      <c r="B1281" t="s">
        <v>3956</v>
      </c>
      <c r="C1281" t="s">
        <v>3957</v>
      </c>
      <c r="D1281" s="1" t="s">
        <v>3958</v>
      </c>
      <c r="E1281" t="s">
        <v>36</v>
      </c>
      <c r="G1281" t="str">
        <f>_xlfn.XLOOKUP(frasest[[#This Row],[author_es]],autorest[author_es],autorest[author_la])</f>
        <v>Proverbium Sinense</v>
      </c>
      <c r="H1281" t="str">
        <f>_xlfn.XLOOKUP(frasest[[#This Row],[author_es]],autorest[author_es],autorest[bio_es])</f>
        <v>Conjunto de proverbios tradicionales de la cultura china que transmiten sabiduría popular, valores morales y enseñanzas prácticas transmitidas oralmente durante siglos.</v>
      </c>
      <c r="I1281" t="str">
        <f>_xlfn.XLOOKUP(frasest[[#This Row],[author_es]],autorest[author_es],autorest[bio_la])</f>
        <v>Collectio sententiarum Sinensium, magnopere in cultura tradita.</v>
      </c>
      <c r="J1281" t="str">
        <f>_xlfn.XLOOKUP(frasest[[#This Row],[author_es]],autorest[author_es],autorest[iso3691])</f>
        <v>zh</v>
      </c>
      <c r="K1281" t="str">
        <f>_xlfn.XLOOKUP(frasest[[#This Row],[author_es]],autorest[author_es],autorest[language_es])</f>
        <v>Chino</v>
      </c>
      <c r="L1281" t="str">
        <f>_xlfn.XLOOKUP(frasest[[#This Row],[author_es]],autorest[author_es],autorest[language_la])</f>
        <v>Lingua Sinica</v>
      </c>
      <c r="M1281" t="str">
        <f>_xlfn.XLOOKUP(frasest[[#This Row],[author_es]],autorest[author_es],autorest[nation_es])</f>
        <v>China</v>
      </c>
      <c r="N1281" t="str">
        <f>_xlfn.XLOOKUP(frasest[[#This Row],[author_es]],autorest[author_es],autorest[nation_la])</f>
        <v>Sinae</v>
      </c>
      <c r="O1281" t="str">
        <f>_xlfn.XLOOKUP(frasest[[#This Row],[author_es]],autorest[author_es],autorest[age_es])</f>
        <v>Epoca Desconocida</v>
      </c>
      <c r="P1281" t="str">
        <f>_xlfn.XLOOKUP(frasest[[#This Row],[author_es]],autorest[author_es],autorest[age_la])</f>
        <v>Epocha Ignota</v>
      </c>
      <c r="Q1281" t="str">
        <f>_xlfn.XLOOKUP(frasest[[#This Row],[author_es]],autorest[author_es],autorest[image])</f>
        <v>https://i.ibb.co/qLfpZm6h/china.png</v>
      </c>
      <c r="R1281">
        <f>_xlfn.XLOOKUP(frasest[[#This Row],[author_es]],autorest[author_es],autorest[image_atr])</f>
        <v>0</v>
      </c>
    </row>
    <row r="1282" spans="1:18">
      <c r="A1282">
        <v>1281</v>
      </c>
      <c r="B1282" t="s">
        <v>3959</v>
      </c>
      <c r="C1282" t="s">
        <v>3960</v>
      </c>
      <c r="D1282" s="1" t="s">
        <v>3961</v>
      </c>
      <c r="E1282" t="s">
        <v>36</v>
      </c>
      <c r="G1282" t="str">
        <f>_xlfn.XLOOKUP(frasest[[#This Row],[author_es]],autorest[author_es],autorest[author_la])</f>
        <v>Proverbium Sinense</v>
      </c>
      <c r="H1282" t="str">
        <f>_xlfn.XLOOKUP(frasest[[#This Row],[author_es]],autorest[author_es],autorest[bio_es])</f>
        <v>Conjunto de proverbios tradicionales de la cultura china que transmiten sabiduría popular, valores morales y enseñanzas prácticas transmitidas oralmente durante siglos.</v>
      </c>
      <c r="I1282" t="str">
        <f>_xlfn.XLOOKUP(frasest[[#This Row],[author_es]],autorest[author_es],autorest[bio_la])</f>
        <v>Collectio sententiarum Sinensium, magnopere in cultura tradita.</v>
      </c>
      <c r="J1282" t="str">
        <f>_xlfn.XLOOKUP(frasest[[#This Row],[author_es]],autorest[author_es],autorest[iso3691])</f>
        <v>zh</v>
      </c>
      <c r="K1282" t="str">
        <f>_xlfn.XLOOKUP(frasest[[#This Row],[author_es]],autorest[author_es],autorest[language_es])</f>
        <v>Chino</v>
      </c>
      <c r="L1282" t="str">
        <f>_xlfn.XLOOKUP(frasest[[#This Row],[author_es]],autorest[author_es],autorest[language_la])</f>
        <v>Lingua Sinica</v>
      </c>
      <c r="M1282" t="str">
        <f>_xlfn.XLOOKUP(frasest[[#This Row],[author_es]],autorest[author_es],autorest[nation_es])</f>
        <v>China</v>
      </c>
      <c r="N1282" t="str">
        <f>_xlfn.XLOOKUP(frasest[[#This Row],[author_es]],autorest[author_es],autorest[nation_la])</f>
        <v>Sinae</v>
      </c>
      <c r="O1282" t="str">
        <f>_xlfn.XLOOKUP(frasest[[#This Row],[author_es]],autorest[author_es],autorest[age_es])</f>
        <v>Epoca Desconocida</v>
      </c>
      <c r="P1282" t="str">
        <f>_xlfn.XLOOKUP(frasest[[#This Row],[author_es]],autorest[author_es],autorest[age_la])</f>
        <v>Epocha Ignota</v>
      </c>
      <c r="Q1282" t="str">
        <f>_xlfn.XLOOKUP(frasest[[#This Row],[author_es]],autorest[author_es],autorest[image])</f>
        <v>https://i.ibb.co/qLfpZm6h/china.png</v>
      </c>
      <c r="R1282">
        <f>_xlfn.XLOOKUP(frasest[[#This Row],[author_es]],autorest[author_es],autorest[image_atr])</f>
        <v>0</v>
      </c>
    </row>
    <row r="1283" spans="1:18">
      <c r="A1283">
        <v>1282</v>
      </c>
      <c r="B1283" t="s">
        <v>3962</v>
      </c>
      <c r="C1283" t="s">
        <v>3963</v>
      </c>
      <c r="D1283" s="1" t="s">
        <v>3964</v>
      </c>
      <c r="E1283" t="s">
        <v>36</v>
      </c>
      <c r="G1283" t="str">
        <f>_xlfn.XLOOKUP(frasest[[#This Row],[author_es]],autorest[author_es],autorest[author_la])</f>
        <v>Proverbium Sinense</v>
      </c>
      <c r="H1283" t="str">
        <f>_xlfn.XLOOKUP(frasest[[#This Row],[author_es]],autorest[author_es],autorest[bio_es])</f>
        <v>Conjunto de proverbios tradicionales de la cultura china que transmiten sabiduría popular, valores morales y enseñanzas prácticas transmitidas oralmente durante siglos.</v>
      </c>
      <c r="I1283" t="str">
        <f>_xlfn.XLOOKUP(frasest[[#This Row],[author_es]],autorest[author_es],autorest[bio_la])</f>
        <v>Collectio sententiarum Sinensium, magnopere in cultura tradita.</v>
      </c>
      <c r="J1283" t="str">
        <f>_xlfn.XLOOKUP(frasest[[#This Row],[author_es]],autorest[author_es],autorest[iso3691])</f>
        <v>zh</v>
      </c>
      <c r="K1283" t="str">
        <f>_xlfn.XLOOKUP(frasest[[#This Row],[author_es]],autorest[author_es],autorest[language_es])</f>
        <v>Chino</v>
      </c>
      <c r="L1283" t="str">
        <f>_xlfn.XLOOKUP(frasest[[#This Row],[author_es]],autorest[author_es],autorest[language_la])</f>
        <v>Lingua Sinica</v>
      </c>
      <c r="M1283" t="str">
        <f>_xlfn.XLOOKUP(frasest[[#This Row],[author_es]],autorest[author_es],autorest[nation_es])</f>
        <v>China</v>
      </c>
      <c r="N1283" t="str">
        <f>_xlfn.XLOOKUP(frasest[[#This Row],[author_es]],autorest[author_es],autorest[nation_la])</f>
        <v>Sinae</v>
      </c>
      <c r="O1283" t="str">
        <f>_xlfn.XLOOKUP(frasest[[#This Row],[author_es]],autorest[author_es],autorest[age_es])</f>
        <v>Epoca Desconocida</v>
      </c>
      <c r="P1283" t="str">
        <f>_xlfn.XLOOKUP(frasest[[#This Row],[author_es]],autorest[author_es],autorest[age_la])</f>
        <v>Epocha Ignota</v>
      </c>
      <c r="Q1283" t="str">
        <f>_xlfn.XLOOKUP(frasest[[#This Row],[author_es]],autorest[author_es],autorest[image])</f>
        <v>https://i.ibb.co/qLfpZm6h/china.png</v>
      </c>
      <c r="R1283">
        <f>_xlfn.XLOOKUP(frasest[[#This Row],[author_es]],autorest[author_es],autorest[image_atr])</f>
        <v>0</v>
      </c>
    </row>
    <row r="1284" spans="1:18">
      <c r="A1284">
        <v>1283</v>
      </c>
      <c r="B1284" t="s">
        <v>3965</v>
      </c>
      <c r="C1284" t="s">
        <v>3966</v>
      </c>
      <c r="D1284" s="1" t="s">
        <v>3967</v>
      </c>
      <c r="E1284" t="s">
        <v>36</v>
      </c>
      <c r="G1284" t="str">
        <f>_xlfn.XLOOKUP(frasest[[#This Row],[author_es]],autorest[author_es],autorest[author_la])</f>
        <v>Proverbium Sinense</v>
      </c>
      <c r="H1284" t="str">
        <f>_xlfn.XLOOKUP(frasest[[#This Row],[author_es]],autorest[author_es],autorest[bio_es])</f>
        <v>Conjunto de proverbios tradicionales de la cultura china que transmiten sabiduría popular, valores morales y enseñanzas prácticas transmitidas oralmente durante siglos.</v>
      </c>
      <c r="I1284" t="str">
        <f>_xlfn.XLOOKUP(frasest[[#This Row],[author_es]],autorest[author_es],autorest[bio_la])</f>
        <v>Collectio sententiarum Sinensium, magnopere in cultura tradita.</v>
      </c>
      <c r="J1284" t="str">
        <f>_xlfn.XLOOKUP(frasest[[#This Row],[author_es]],autorest[author_es],autorest[iso3691])</f>
        <v>zh</v>
      </c>
      <c r="K1284" t="str">
        <f>_xlfn.XLOOKUP(frasest[[#This Row],[author_es]],autorest[author_es],autorest[language_es])</f>
        <v>Chino</v>
      </c>
      <c r="L1284" t="str">
        <f>_xlfn.XLOOKUP(frasest[[#This Row],[author_es]],autorest[author_es],autorest[language_la])</f>
        <v>Lingua Sinica</v>
      </c>
      <c r="M1284" t="str">
        <f>_xlfn.XLOOKUP(frasest[[#This Row],[author_es]],autorest[author_es],autorest[nation_es])</f>
        <v>China</v>
      </c>
      <c r="N1284" t="str">
        <f>_xlfn.XLOOKUP(frasest[[#This Row],[author_es]],autorest[author_es],autorest[nation_la])</f>
        <v>Sinae</v>
      </c>
      <c r="O1284" t="str">
        <f>_xlfn.XLOOKUP(frasest[[#This Row],[author_es]],autorest[author_es],autorest[age_es])</f>
        <v>Epoca Desconocida</v>
      </c>
      <c r="P1284" t="str">
        <f>_xlfn.XLOOKUP(frasest[[#This Row],[author_es]],autorest[author_es],autorest[age_la])</f>
        <v>Epocha Ignota</v>
      </c>
      <c r="Q1284" t="str">
        <f>_xlfn.XLOOKUP(frasest[[#This Row],[author_es]],autorest[author_es],autorest[image])</f>
        <v>https://i.ibb.co/qLfpZm6h/china.png</v>
      </c>
      <c r="R1284">
        <f>_xlfn.XLOOKUP(frasest[[#This Row],[author_es]],autorest[author_es],autorest[image_atr])</f>
        <v>0</v>
      </c>
    </row>
    <row r="1285" spans="1:18">
      <c r="A1285">
        <v>1284</v>
      </c>
      <c r="B1285" t="s">
        <v>3968</v>
      </c>
      <c r="C1285" t="s">
        <v>3969</v>
      </c>
      <c r="D1285" s="1" t="s">
        <v>3970</v>
      </c>
      <c r="E1285" t="s">
        <v>36</v>
      </c>
      <c r="G1285" t="str">
        <f>_xlfn.XLOOKUP(frasest[[#This Row],[author_es]],autorest[author_es],autorest[author_la])</f>
        <v>Proverbium Sinense</v>
      </c>
      <c r="H1285" t="str">
        <f>_xlfn.XLOOKUP(frasest[[#This Row],[author_es]],autorest[author_es],autorest[bio_es])</f>
        <v>Conjunto de proverbios tradicionales de la cultura china que transmiten sabiduría popular, valores morales y enseñanzas prácticas transmitidas oralmente durante siglos.</v>
      </c>
      <c r="I1285" t="str">
        <f>_xlfn.XLOOKUP(frasest[[#This Row],[author_es]],autorest[author_es],autorest[bio_la])</f>
        <v>Collectio sententiarum Sinensium, magnopere in cultura tradita.</v>
      </c>
      <c r="J1285" t="str">
        <f>_xlfn.XLOOKUP(frasest[[#This Row],[author_es]],autorest[author_es],autorest[iso3691])</f>
        <v>zh</v>
      </c>
      <c r="K1285" t="str">
        <f>_xlfn.XLOOKUP(frasest[[#This Row],[author_es]],autorest[author_es],autorest[language_es])</f>
        <v>Chino</v>
      </c>
      <c r="L1285" t="str">
        <f>_xlfn.XLOOKUP(frasest[[#This Row],[author_es]],autorest[author_es],autorest[language_la])</f>
        <v>Lingua Sinica</v>
      </c>
      <c r="M1285" t="str">
        <f>_xlfn.XLOOKUP(frasest[[#This Row],[author_es]],autorest[author_es],autorest[nation_es])</f>
        <v>China</v>
      </c>
      <c r="N1285" t="str">
        <f>_xlfn.XLOOKUP(frasest[[#This Row],[author_es]],autorest[author_es],autorest[nation_la])</f>
        <v>Sinae</v>
      </c>
      <c r="O1285" t="str">
        <f>_xlfn.XLOOKUP(frasest[[#This Row],[author_es]],autorest[author_es],autorest[age_es])</f>
        <v>Epoca Desconocida</v>
      </c>
      <c r="P1285" t="str">
        <f>_xlfn.XLOOKUP(frasest[[#This Row],[author_es]],autorest[author_es],autorest[age_la])</f>
        <v>Epocha Ignota</v>
      </c>
      <c r="Q1285" t="str">
        <f>_xlfn.XLOOKUP(frasest[[#This Row],[author_es]],autorest[author_es],autorest[image])</f>
        <v>https://i.ibb.co/qLfpZm6h/china.png</v>
      </c>
      <c r="R1285">
        <f>_xlfn.XLOOKUP(frasest[[#This Row],[author_es]],autorest[author_es],autorest[image_atr])</f>
        <v>0</v>
      </c>
    </row>
    <row r="1286" spans="1:18">
      <c r="A1286">
        <v>1285</v>
      </c>
      <c r="B1286" t="s">
        <v>3971</v>
      </c>
      <c r="C1286" t="s">
        <v>3972</v>
      </c>
      <c r="D1286" s="1" t="s">
        <v>3391</v>
      </c>
      <c r="E1286" t="s">
        <v>36</v>
      </c>
      <c r="G1286" t="str">
        <f>_xlfn.XLOOKUP(frasest[[#This Row],[author_es]],autorest[author_es],autorest[author_la])</f>
        <v>Proverbium Sinense</v>
      </c>
      <c r="H1286" t="str">
        <f>_xlfn.XLOOKUP(frasest[[#This Row],[author_es]],autorest[author_es],autorest[bio_es])</f>
        <v>Conjunto de proverbios tradicionales de la cultura china que transmiten sabiduría popular, valores morales y enseñanzas prácticas transmitidas oralmente durante siglos.</v>
      </c>
      <c r="I1286" t="str">
        <f>_xlfn.XLOOKUP(frasest[[#This Row],[author_es]],autorest[author_es],autorest[bio_la])</f>
        <v>Collectio sententiarum Sinensium, magnopere in cultura tradita.</v>
      </c>
      <c r="J1286" t="str">
        <f>_xlfn.XLOOKUP(frasest[[#This Row],[author_es]],autorest[author_es],autorest[iso3691])</f>
        <v>zh</v>
      </c>
      <c r="K1286" t="str">
        <f>_xlfn.XLOOKUP(frasest[[#This Row],[author_es]],autorest[author_es],autorest[language_es])</f>
        <v>Chino</v>
      </c>
      <c r="L1286" t="str">
        <f>_xlfn.XLOOKUP(frasest[[#This Row],[author_es]],autorest[author_es],autorest[language_la])</f>
        <v>Lingua Sinica</v>
      </c>
      <c r="M1286" t="str">
        <f>_xlfn.XLOOKUP(frasest[[#This Row],[author_es]],autorest[author_es],autorest[nation_es])</f>
        <v>China</v>
      </c>
      <c r="N1286" t="str">
        <f>_xlfn.XLOOKUP(frasest[[#This Row],[author_es]],autorest[author_es],autorest[nation_la])</f>
        <v>Sinae</v>
      </c>
      <c r="O1286" t="str">
        <f>_xlfn.XLOOKUP(frasest[[#This Row],[author_es]],autorest[author_es],autorest[age_es])</f>
        <v>Epoca Desconocida</v>
      </c>
      <c r="P1286" t="str">
        <f>_xlfn.XLOOKUP(frasest[[#This Row],[author_es]],autorest[author_es],autorest[age_la])</f>
        <v>Epocha Ignota</v>
      </c>
      <c r="Q1286" t="str">
        <f>_xlfn.XLOOKUP(frasest[[#This Row],[author_es]],autorest[author_es],autorest[image])</f>
        <v>https://i.ibb.co/qLfpZm6h/china.png</v>
      </c>
      <c r="R1286">
        <f>_xlfn.XLOOKUP(frasest[[#This Row],[author_es]],autorest[author_es],autorest[image_atr])</f>
        <v>0</v>
      </c>
    </row>
    <row r="1287" spans="1:18">
      <c r="A1287">
        <v>1286</v>
      </c>
      <c r="B1287" t="s">
        <v>3973</v>
      </c>
      <c r="C1287" t="s">
        <v>3974</v>
      </c>
      <c r="D1287" s="1" t="s">
        <v>3975</v>
      </c>
      <c r="E1287" t="s">
        <v>36</v>
      </c>
      <c r="G1287" t="str">
        <f>_xlfn.XLOOKUP(frasest[[#This Row],[author_es]],autorest[author_es],autorest[author_la])</f>
        <v>Proverbium Sinense</v>
      </c>
      <c r="H1287" t="str">
        <f>_xlfn.XLOOKUP(frasest[[#This Row],[author_es]],autorest[author_es],autorest[bio_es])</f>
        <v>Conjunto de proverbios tradicionales de la cultura china que transmiten sabiduría popular, valores morales y enseñanzas prácticas transmitidas oralmente durante siglos.</v>
      </c>
      <c r="I1287" t="str">
        <f>_xlfn.XLOOKUP(frasest[[#This Row],[author_es]],autorest[author_es],autorest[bio_la])</f>
        <v>Collectio sententiarum Sinensium, magnopere in cultura tradita.</v>
      </c>
      <c r="J1287" t="str">
        <f>_xlfn.XLOOKUP(frasest[[#This Row],[author_es]],autorest[author_es],autorest[iso3691])</f>
        <v>zh</v>
      </c>
      <c r="K1287" t="str">
        <f>_xlfn.XLOOKUP(frasest[[#This Row],[author_es]],autorest[author_es],autorest[language_es])</f>
        <v>Chino</v>
      </c>
      <c r="L1287" t="str">
        <f>_xlfn.XLOOKUP(frasest[[#This Row],[author_es]],autorest[author_es],autorest[language_la])</f>
        <v>Lingua Sinica</v>
      </c>
      <c r="M1287" t="str">
        <f>_xlfn.XLOOKUP(frasest[[#This Row],[author_es]],autorest[author_es],autorest[nation_es])</f>
        <v>China</v>
      </c>
      <c r="N1287" t="str">
        <f>_xlfn.XLOOKUP(frasest[[#This Row],[author_es]],autorest[author_es],autorest[nation_la])</f>
        <v>Sinae</v>
      </c>
      <c r="O1287" t="str">
        <f>_xlfn.XLOOKUP(frasest[[#This Row],[author_es]],autorest[author_es],autorest[age_es])</f>
        <v>Epoca Desconocida</v>
      </c>
      <c r="P1287" t="str">
        <f>_xlfn.XLOOKUP(frasest[[#This Row],[author_es]],autorest[author_es],autorest[age_la])</f>
        <v>Epocha Ignota</v>
      </c>
      <c r="Q1287" t="str">
        <f>_xlfn.XLOOKUP(frasest[[#This Row],[author_es]],autorest[author_es],autorest[image])</f>
        <v>https://i.ibb.co/qLfpZm6h/china.png</v>
      </c>
      <c r="R1287">
        <f>_xlfn.XLOOKUP(frasest[[#This Row],[author_es]],autorest[author_es],autorest[image_atr])</f>
        <v>0</v>
      </c>
    </row>
    <row r="1288" spans="1:18">
      <c r="A1288">
        <v>1287</v>
      </c>
      <c r="B1288" t="s">
        <v>3976</v>
      </c>
      <c r="C1288" t="s">
        <v>3977</v>
      </c>
      <c r="D1288" s="1" t="s">
        <v>3978</v>
      </c>
      <c r="E1288" t="s">
        <v>36</v>
      </c>
      <c r="G1288" t="str">
        <f>_xlfn.XLOOKUP(frasest[[#This Row],[author_es]],autorest[author_es],autorest[author_la])</f>
        <v>Proverbium Sinense</v>
      </c>
      <c r="H1288" t="str">
        <f>_xlfn.XLOOKUP(frasest[[#This Row],[author_es]],autorest[author_es],autorest[bio_es])</f>
        <v>Conjunto de proverbios tradicionales de la cultura china que transmiten sabiduría popular, valores morales y enseñanzas prácticas transmitidas oralmente durante siglos.</v>
      </c>
      <c r="I1288" t="str">
        <f>_xlfn.XLOOKUP(frasest[[#This Row],[author_es]],autorest[author_es],autorest[bio_la])</f>
        <v>Collectio sententiarum Sinensium, magnopere in cultura tradita.</v>
      </c>
      <c r="J1288" t="str">
        <f>_xlfn.XLOOKUP(frasest[[#This Row],[author_es]],autorest[author_es],autorest[iso3691])</f>
        <v>zh</v>
      </c>
      <c r="K1288" t="str">
        <f>_xlfn.XLOOKUP(frasest[[#This Row],[author_es]],autorest[author_es],autorest[language_es])</f>
        <v>Chino</v>
      </c>
      <c r="L1288" t="str">
        <f>_xlfn.XLOOKUP(frasest[[#This Row],[author_es]],autorest[author_es],autorest[language_la])</f>
        <v>Lingua Sinica</v>
      </c>
      <c r="M1288" t="str">
        <f>_xlfn.XLOOKUP(frasest[[#This Row],[author_es]],autorest[author_es],autorest[nation_es])</f>
        <v>China</v>
      </c>
      <c r="N1288" t="str">
        <f>_xlfn.XLOOKUP(frasest[[#This Row],[author_es]],autorest[author_es],autorest[nation_la])</f>
        <v>Sinae</v>
      </c>
      <c r="O1288" t="str">
        <f>_xlfn.XLOOKUP(frasest[[#This Row],[author_es]],autorest[author_es],autorest[age_es])</f>
        <v>Epoca Desconocida</v>
      </c>
      <c r="P1288" t="str">
        <f>_xlfn.XLOOKUP(frasest[[#This Row],[author_es]],autorest[author_es],autorest[age_la])</f>
        <v>Epocha Ignota</v>
      </c>
      <c r="Q1288" t="str">
        <f>_xlfn.XLOOKUP(frasest[[#This Row],[author_es]],autorest[author_es],autorest[image])</f>
        <v>https://i.ibb.co/qLfpZm6h/china.png</v>
      </c>
      <c r="R1288">
        <f>_xlfn.XLOOKUP(frasest[[#This Row],[author_es]],autorest[author_es],autorest[image_atr])</f>
        <v>0</v>
      </c>
    </row>
    <row r="1289" spans="1:18">
      <c r="A1289">
        <v>1288</v>
      </c>
      <c r="B1289" t="s">
        <v>3979</v>
      </c>
      <c r="C1289" t="s">
        <v>3980</v>
      </c>
      <c r="D1289" s="1" t="s">
        <v>3367</v>
      </c>
      <c r="E1289" t="s">
        <v>36</v>
      </c>
      <c r="G1289" t="str">
        <f>_xlfn.XLOOKUP(frasest[[#This Row],[author_es]],autorest[author_es],autorest[author_la])</f>
        <v>Proverbium Sinense</v>
      </c>
      <c r="H1289" t="str">
        <f>_xlfn.XLOOKUP(frasest[[#This Row],[author_es]],autorest[author_es],autorest[bio_es])</f>
        <v>Conjunto de proverbios tradicionales de la cultura china que transmiten sabiduría popular, valores morales y enseñanzas prácticas transmitidas oralmente durante siglos.</v>
      </c>
      <c r="I1289" t="str">
        <f>_xlfn.XLOOKUP(frasest[[#This Row],[author_es]],autorest[author_es],autorest[bio_la])</f>
        <v>Collectio sententiarum Sinensium, magnopere in cultura tradita.</v>
      </c>
      <c r="J1289" t="str">
        <f>_xlfn.XLOOKUP(frasest[[#This Row],[author_es]],autorest[author_es],autorest[iso3691])</f>
        <v>zh</v>
      </c>
      <c r="K1289" t="str">
        <f>_xlfn.XLOOKUP(frasest[[#This Row],[author_es]],autorest[author_es],autorest[language_es])</f>
        <v>Chino</v>
      </c>
      <c r="L1289" t="str">
        <f>_xlfn.XLOOKUP(frasest[[#This Row],[author_es]],autorest[author_es],autorest[language_la])</f>
        <v>Lingua Sinica</v>
      </c>
      <c r="M1289" t="str">
        <f>_xlfn.XLOOKUP(frasest[[#This Row],[author_es]],autorest[author_es],autorest[nation_es])</f>
        <v>China</v>
      </c>
      <c r="N1289" t="str">
        <f>_xlfn.XLOOKUP(frasest[[#This Row],[author_es]],autorest[author_es],autorest[nation_la])</f>
        <v>Sinae</v>
      </c>
      <c r="O1289" t="str">
        <f>_xlfn.XLOOKUP(frasest[[#This Row],[author_es]],autorest[author_es],autorest[age_es])</f>
        <v>Epoca Desconocida</v>
      </c>
      <c r="P1289" t="str">
        <f>_xlfn.XLOOKUP(frasest[[#This Row],[author_es]],autorest[author_es],autorest[age_la])</f>
        <v>Epocha Ignota</v>
      </c>
      <c r="Q1289" t="str">
        <f>_xlfn.XLOOKUP(frasest[[#This Row],[author_es]],autorest[author_es],autorest[image])</f>
        <v>https://i.ibb.co/qLfpZm6h/china.png</v>
      </c>
      <c r="R1289">
        <f>_xlfn.XLOOKUP(frasest[[#This Row],[author_es]],autorest[author_es],autorest[image_atr])</f>
        <v>0</v>
      </c>
    </row>
    <row r="1290" spans="1:18">
      <c r="A1290">
        <v>1289</v>
      </c>
      <c r="B1290" t="s">
        <v>3981</v>
      </c>
      <c r="C1290" t="s">
        <v>3982</v>
      </c>
      <c r="D1290" s="1" t="s">
        <v>3983</v>
      </c>
      <c r="E1290" t="s">
        <v>36</v>
      </c>
      <c r="G1290" t="str">
        <f>_xlfn.XLOOKUP(frasest[[#This Row],[author_es]],autorest[author_es],autorest[author_la])</f>
        <v>Proverbium Sinense</v>
      </c>
      <c r="H1290" t="str">
        <f>_xlfn.XLOOKUP(frasest[[#This Row],[author_es]],autorest[author_es],autorest[bio_es])</f>
        <v>Conjunto de proverbios tradicionales de la cultura china que transmiten sabiduría popular, valores morales y enseñanzas prácticas transmitidas oralmente durante siglos.</v>
      </c>
      <c r="I1290" t="str">
        <f>_xlfn.XLOOKUP(frasest[[#This Row],[author_es]],autorest[author_es],autorest[bio_la])</f>
        <v>Collectio sententiarum Sinensium, magnopere in cultura tradita.</v>
      </c>
      <c r="J1290" t="str">
        <f>_xlfn.XLOOKUP(frasest[[#This Row],[author_es]],autorest[author_es],autorest[iso3691])</f>
        <v>zh</v>
      </c>
      <c r="K1290" t="str">
        <f>_xlfn.XLOOKUP(frasest[[#This Row],[author_es]],autorest[author_es],autorest[language_es])</f>
        <v>Chino</v>
      </c>
      <c r="L1290" t="str">
        <f>_xlfn.XLOOKUP(frasest[[#This Row],[author_es]],autorest[author_es],autorest[language_la])</f>
        <v>Lingua Sinica</v>
      </c>
      <c r="M1290" t="str">
        <f>_xlfn.XLOOKUP(frasest[[#This Row],[author_es]],autorest[author_es],autorest[nation_es])</f>
        <v>China</v>
      </c>
      <c r="N1290" t="str">
        <f>_xlfn.XLOOKUP(frasest[[#This Row],[author_es]],autorest[author_es],autorest[nation_la])</f>
        <v>Sinae</v>
      </c>
      <c r="O1290" t="str">
        <f>_xlfn.XLOOKUP(frasest[[#This Row],[author_es]],autorest[author_es],autorest[age_es])</f>
        <v>Epoca Desconocida</v>
      </c>
      <c r="P1290" t="str">
        <f>_xlfn.XLOOKUP(frasest[[#This Row],[author_es]],autorest[author_es],autorest[age_la])</f>
        <v>Epocha Ignota</v>
      </c>
      <c r="Q1290" t="str">
        <f>_xlfn.XLOOKUP(frasest[[#This Row],[author_es]],autorest[author_es],autorest[image])</f>
        <v>https://i.ibb.co/qLfpZm6h/china.png</v>
      </c>
      <c r="R1290">
        <f>_xlfn.XLOOKUP(frasest[[#This Row],[author_es]],autorest[author_es],autorest[image_atr])</f>
        <v>0</v>
      </c>
    </row>
    <row r="1291" spans="1:18">
      <c r="A1291">
        <v>1290</v>
      </c>
      <c r="B1291" t="s">
        <v>3984</v>
      </c>
      <c r="C1291" t="s">
        <v>3985</v>
      </c>
      <c r="D1291" s="1" t="s">
        <v>3986</v>
      </c>
      <c r="E1291" t="s">
        <v>36</v>
      </c>
      <c r="G1291" t="str">
        <f>_xlfn.XLOOKUP(frasest[[#This Row],[author_es]],autorest[author_es],autorest[author_la])</f>
        <v>Proverbium Sinense</v>
      </c>
      <c r="H1291" t="str">
        <f>_xlfn.XLOOKUP(frasest[[#This Row],[author_es]],autorest[author_es],autorest[bio_es])</f>
        <v>Conjunto de proverbios tradicionales de la cultura china que transmiten sabiduría popular, valores morales y enseñanzas prácticas transmitidas oralmente durante siglos.</v>
      </c>
      <c r="I1291" t="str">
        <f>_xlfn.XLOOKUP(frasest[[#This Row],[author_es]],autorest[author_es],autorest[bio_la])</f>
        <v>Collectio sententiarum Sinensium, magnopere in cultura tradita.</v>
      </c>
      <c r="J1291" t="str">
        <f>_xlfn.XLOOKUP(frasest[[#This Row],[author_es]],autorest[author_es],autorest[iso3691])</f>
        <v>zh</v>
      </c>
      <c r="K1291" t="str">
        <f>_xlfn.XLOOKUP(frasest[[#This Row],[author_es]],autorest[author_es],autorest[language_es])</f>
        <v>Chino</v>
      </c>
      <c r="L1291" t="str">
        <f>_xlfn.XLOOKUP(frasest[[#This Row],[author_es]],autorest[author_es],autorest[language_la])</f>
        <v>Lingua Sinica</v>
      </c>
      <c r="M1291" t="str">
        <f>_xlfn.XLOOKUP(frasest[[#This Row],[author_es]],autorest[author_es],autorest[nation_es])</f>
        <v>China</v>
      </c>
      <c r="N1291" t="str">
        <f>_xlfn.XLOOKUP(frasest[[#This Row],[author_es]],autorest[author_es],autorest[nation_la])</f>
        <v>Sinae</v>
      </c>
      <c r="O1291" t="str">
        <f>_xlfn.XLOOKUP(frasest[[#This Row],[author_es]],autorest[author_es],autorest[age_es])</f>
        <v>Epoca Desconocida</v>
      </c>
      <c r="P1291" t="str">
        <f>_xlfn.XLOOKUP(frasest[[#This Row],[author_es]],autorest[author_es],autorest[age_la])</f>
        <v>Epocha Ignota</v>
      </c>
      <c r="Q1291" t="str">
        <f>_xlfn.XLOOKUP(frasest[[#This Row],[author_es]],autorest[author_es],autorest[image])</f>
        <v>https://i.ibb.co/qLfpZm6h/china.png</v>
      </c>
      <c r="R1291">
        <f>_xlfn.XLOOKUP(frasest[[#This Row],[author_es]],autorest[author_es],autorest[image_atr])</f>
        <v>0</v>
      </c>
    </row>
    <row r="1292" spans="1:18">
      <c r="A1292">
        <v>1291</v>
      </c>
      <c r="B1292" t="s">
        <v>3987</v>
      </c>
      <c r="C1292" t="s">
        <v>3988</v>
      </c>
      <c r="D1292" s="1" t="s">
        <v>3989</v>
      </c>
      <c r="E1292" t="s">
        <v>36</v>
      </c>
      <c r="G1292" t="str">
        <f>_xlfn.XLOOKUP(frasest[[#This Row],[author_es]],autorest[author_es],autorest[author_la])</f>
        <v>Proverbium Sinense</v>
      </c>
      <c r="H1292" t="str">
        <f>_xlfn.XLOOKUP(frasest[[#This Row],[author_es]],autorest[author_es],autorest[bio_es])</f>
        <v>Conjunto de proverbios tradicionales de la cultura china que transmiten sabiduría popular, valores morales y enseñanzas prácticas transmitidas oralmente durante siglos.</v>
      </c>
      <c r="I1292" t="str">
        <f>_xlfn.XLOOKUP(frasest[[#This Row],[author_es]],autorest[author_es],autorest[bio_la])</f>
        <v>Collectio sententiarum Sinensium, magnopere in cultura tradita.</v>
      </c>
      <c r="J1292" t="str">
        <f>_xlfn.XLOOKUP(frasest[[#This Row],[author_es]],autorest[author_es],autorest[iso3691])</f>
        <v>zh</v>
      </c>
      <c r="K1292" t="str">
        <f>_xlfn.XLOOKUP(frasest[[#This Row],[author_es]],autorest[author_es],autorest[language_es])</f>
        <v>Chino</v>
      </c>
      <c r="L1292" t="str">
        <f>_xlfn.XLOOKUP(frasest[[#This Row],[author_es]],autorest[author_es],autorest[language_la])</f>
        <v>Lingua Sinica</v>
      </c>
      <c r="M1292" t="str">
        <f>_xlfn.XLOOKUP(frasest[[#This Row],[author_es]],autorest[author_es],autorest[nation_es])</f>
        <v>China</v>
      </c>
      <c r="N1292" t="str">
        <f>_xlfn.XLOOKUP(frasest[[#This Row],[author_es]],autorest[author_es],autorest[nation_la])</f>
        <v>Sinae</v>
      </c>
      <c r="O1292" t="str">
        <f>_xlfn.XLOOKUP(frasest[[#This Row],[author_es]],autorest[author_es],autorest[age_es])</f>
        <v>Epoca Desconocida</v>
      </c>
      <c r="P1292" t="str">
        <f>_xlfn.XLOOKUP(frasest[[#This Row],[author_es]],autorest[author_es],autorest[age_la])</f>
        <v>Epocha Ignota</v>
      </c>
      <c r="Q1292" t="str">
        <f>_xlfn.XLOOKUP(frasest[[#This Row],[author_es]],autorest[author_es],autorest[image])</f>
        <v>https://i.ibb.co/qLfpZm6h/china.png</v>
      </c>
      <c r="R1292">
        <f>_xlfn.XLOOKUP(frasest[[#This Row],[author_es]],autorest[author_es],autorest[image_atr])</f>
        <v>0</v>
      </c>
    </row>
    <row r="1293" spans="1:18">
      <c r="A1293">
        <v>1292</v>
      </c>
      <c r="B1293" t="s">
        <v>3990</v>
      </c>
      <c r="C1293" t="s">
        <v>3991</v>
      </c>
      <c r="D1293" s="1" t="s">
        <v>3992</v>
      </c>
      <c r="E1293" t="s">
        <v>36</v>
      </c>
      <c r="G1293" t="str">
        <f>_xlfn.XLOOKUP(frasest[[#This Row],[author_es]],autorest[author_es],autorest[author_la])</f>
        <v>Proverbium Sinense</v>
      </c>
      <c r="H1293" t="str">
        <f>_xlfn.XLOOKUP(frasest[[#This Row],[author_es]],autorest[author_es],autorest[bio_es])</f>
        <v>Conjunto de proverbios tradicionales de la cultura china que transmiten sabiduría popular, valores morales y enseñanzas prácticas transmitidas oralmente durante siglos.</v>
      </c>
      <c r="I1293" t="str">
        <f>_xlfn.XLOOKUP(frasest[[#This Row],[author_es]],autorest[author_es],autorest[bio_la])</f>
        <v>Collectio sententiarum Sinensium, magnopere in cultura tradita.</v>
      </c>
      <c r="J1293" t="str">
        <f>_xlfn.XLOOKUP(frasest[[#This Row],[author_es]],autorest[author_es],autorest[iso3691])</f>
        <v>zh</v>
      </c>
      <c r="K1293" t="str">
        <f>_xlfn.XLOOKUP(frasest[[#This Row],[author_es]],autorest[author_es],autorest[language_es])</f>
        <v>Chino</v>
      </c>
      <c r="L1293" t="str">
        <f>_xlfn.XLOOKUP(frasest[[#This Row],[author_es]],autorest[author_es],autorest[language_la])</f>
        <v>Lingua Sinica</v>
      </c>
      <c r="M1293" t="str">
        <f>_xlfn.XLOOKUP(frasest[[#This Row],[author_es]],autorest[author_es],autorest[nation_es])</f>
        <v>China</v>
      </c>
      <c r="N1293" t="str">
        <f>_xlfn.XLOOKUP(frasest[[#This Row],[author_es]],autorest[author_es],autorest[nation_la])</f>
        <v>Sinae</v>
      </c>
      <c r="O1293" t="str">
        <f>_xlfn.XLOOKUP(frasest[[#This Row],[author_es]],autorest[author_es],autorest[age_es])</f>
        <v>Epoca Desconocida</v>
      </c>
      <c r="P1293" t="str">
        <f>_xlfn.XLOOKUP(frasest[[#This Row],[author_es]],autorest[author_es],autorest[age_la])</f>
        <v>Epocha Ignota</v>
      </c>
      <c r="Q1293" t="str">
        <f>_xlfn.XLOOKUP(frasest[[#This Row],[author_es]],autorest[author_es],autorest[image])</f>
        <v>https://i.ibb.co/qLfpZm6h/china.png</v>
      </c>
      <c r="R1293">
        <f>_xlfn.XLOOKUP(frasest[[#This Row],[author_es]],autorest[author_es],autorest[image_atr])</f>
        <v>0</v>
      </c>
    </row>
    <row r="1294" spans="1:18">
      <c r="A1294">
        <v>1293</v>
      </c>
      <c r="B1294" t="s">
        <v>3993</v>
      </c>
      <c r="C1294" t="s">
        <v>3994</v>
      </c>
      <c r="D1294" s="1" t="s">
        <v>3995</v>
      </c>
      <c r="E1294" t="s">
        <v>36</v>
      </c>
      <c r="G1294" t="str">
        <f>_xlfn.XLOOKUP(frasest[[#This Row],[author_es]],autorest[author_es],autorest[author_la])</f>
        <v>Proverbium Sinense</v>
      </c>
      <c r="H1294" t="str">
        <f>_xlfn.XLOOKUP(frasest[[#This Row],[author_es]],autorest[author_es],autorest[bio_es])</f>
        <v>Conjunto de proverbios tradicionales de la cultura china que transmiten sabiduría popular, valores morales y enseñanzas prácticas transmitidas oralmente durante siglos.</v>
      </c>
      <c r="I1294" t="str">
        <f>_xlfn.XLOOKUP(frasest[[#This Row],[author_es]],autorest[author_es],autorest[bio_la])</f>
        <v>Collectio sententiarum Sinensium, magnopere in cultura tradita.</v>
      </c>
      <c r="J1294" t="str">
        <f>_xlfn.XLOOKUP(frasest[[#This Row],[author_es]],autorest[author_es],autorest[iso3691])</f>
        <v>zh</v>
      </c>
      <c r="K1294" t="str">
        <f>_xlfn.XLOOKUP(frasest[[#This Row],[author_es]],autorest[author_es],autorest[language_es])</f>
        <v>Chino</v>
      </c>
      <c r="L1294" t="str">
        <f>_xlfn.XLOOKUP(frasest[[#This Row],[author_es]],autorest[author_es],autorest[language_la])</f>
        <v>Lingua Sinica</v>
      </c>
      <c r="M1294" t="str">
        <f>_xlfn.XLOOKUP(frasest[[#This Row],[author_es]],autorest[author_es],autorest[nation_es])</f>
        <v>China</v>
      </c>
      <c r="N1294" t="str">
        <f>_xlfn.XLOOKUP(frasest[[#This Row],[author_es]],autorest[author_es],autorest[nation_la])</f>
        <v>Sinae</v>
      </c>
      <c r="O1294" t="str">
        <f>_xlfn.XLOOKUP(frasest[[#This Row],[author_es]],autorest[author_es],autorest[age_es])</f>
        <v>Epoca Desconocida</v>
      </c>
      <c r="P1294" t="str">
        <f>_xlfn.XLOOKUP(frasest[[#This Row],[author_es]],autorest[author_es],autorest[age_la])</f>
        <v>Epocha Ignota</v>
      </c>
      <c r="Q1294" t="str">
        <f>_xlfn.XLOOKUP(frasest[[#This Row],[author_es]],autorest[author_es],autorest[image])</f>
        <v>https://i.ibb.co/qLfpZm6h/china.png</v>
      </c>
      <c r="R1294">
        <f>_xlfn.XLOOKUP(frasest[[#This Row],[author_es]],autorest[author_es],autorest[image_atr])</f>
        <v>0</v>
      </c>
    </row>
    <row r="1295" spans="1:18">
      <c r="A1295">
        <v>1294</v>
      </c>
      <c r="B1295" t="s">
        <v>3996</v>
      </c>
      <c r="C1295" t="s">
        <v>3997</v>
      </c>
      <c r="D1295" s="1" t="s">
        <v>3998</v>
      </c>
      <c r="E1295" t="s">
        <v>36</v>
      </c>
      <c r="G1295" t="str">
        <f>_xlfn.XLOOKUP(frasest[[#This Row],[author_es]],autorest[author_es],autorest[author_la])</f>
        <v>Proverbium Sinense</v>
      </c>
      <c r="H1295" t="str">
        <f>_xlfn.XLOOKUP(frasest[[#This Row],[author_es]],autorest[author_es],autorest[bio_es])</f>
        <v>Conjunto de proverbios tradicionales de la cultura china que transmiten sabiduría popular, valores morales y enseñanzas prácticas transmitidas oralmente durante siglos.</v>
      </c>
      <c r="I1295" t="str">
        <f>_xlfn.XLOOKUP(frasest[[#This Row],[author_es]],autorest[author_es],autorest[bio_la])</f>
        <v>Collectio sententiarum Sinensium, magnopere in cultura tradita.</v>
      </c>
      <c r="J1295" t="str">
        <f>_xlfn.XLOOKUP(frasest[[#This Row],[author_es]],autorest[author_es],autorest[iso3691])</f>
        <v>zh</v>
      </c>
      <c r="K1295" t="str">
        <f>_xlfn.XLOOKUP(frasest[[#This Row],[author_es]],autorest[author_es],autorest[language_es])</f>
        <v>Chino</v>
      </c>
      <c r="L1295" t="str">
        <f>_xlfn.XLOOKUP(frasest[[#This Row],[author_es]],autorest[author_es],autorest[language_la])</f>
        <v>Lingua Sinica</v>
      </c>
      <c r="M1295" t="str">
        <f>_xlfn.XLOOKUP(frasest[[#This Row],[author_es]],autorest[author_es],autorest[nation_es])</f>
        <v>China</v>
      </c>
      <c r="N1295" t="str">
        <f>_xlfn.XLOOKUP(frasest[[#This Row],[author_es]],autorest[author_es],autorest[nation_la])</f>
        <v>Sinae</v>
      </c>
      <c r="O1295" t="str">
        <f>_xlfn.XLOOKUP(frasest[[#This Row],[author_es]],autorest[author_es],autorest[age_es])</f>
        <v>Epoca Desconocida</v>
      </c>
      <c r="P1295" t="str">
        <f>_xlfn.XLOOKUP(frasest[[#This Row],[author_es]],autorest[author_es],autorest[age_la])</f>
        <v>Epocha Ignota</v>
      </c>
      <c r="Q1295" t="str">
        <f>_xlfn.XLOOKUP(frasest[[#This Row],[author_es]],autorest[author_es],autorest[image])</f>
        <v>https://i.ibb.co/qLfpZm6h/china.png</v>
      </c>
      <c r="R1295">
        <f>_xlfn.XLOOKUP(frasest[[#This Row],[author_es]],autorest[author_es],autorest[image_atr])</f>
        <v>0</v>
      </c>
    </row>
    <row r="1296" spans="1:18">
      <c r="A1296">
        <v>1295</v>
      </c>
      <c r="B1296" t="s">
        <v>3999</v>
      </c>
      <c r="C1296" t="s">
        <v>4000</v>
      </c>
      <c r="D1296" s="1" t="s">
        <v>4001</v>
      </c>
      <c r="E1296" t="s">
        <v>36</v>
      </c>
      <c r="G1296" t="str">
        <f>_xlfn.XLOOKUP(frasest[[#This Row],[author_es]],autorest[author_es],autorest[author_la])</f>
        <v>Proverbium Sinense</v>
      </c>
      <c r="H1296" t="str">
        <f>_xlfn.XLOOKUP(frasest[[#This Row],[author_es]],autorest[author_es],autorest[bio_es])</f>
        <v>Conjunto de proverbios tradicionales de la cultura china que transmiten sabiduría popular, valores morales y enseñanzas prácticas transmitidas oralmente durante siglos.</v>
      </c>
      <c r="I1296" t="str">
        <f>_xlfn.XLOOKUP(frasest[[#This Row],[author_es]],autorest[author_es],autorest[bio_la])</f>
        <v>Collectio sententiarum Sinensium, magnopere in cultura tradita.</v>
      </c>
      <c r="J1296" t="str">
        <f>_xlfn.XLOOKUP(frasest[[#This Row],[author_es]],autorest[author_es],autorest[iso3691])</f>
        <v>zh</v>
      </c>
      <c r="K1296" t="str">
        <f>_xlfn.XLOOKUP(frasest[[#This Row],[author_es]],autorest[author_es],autorest[language_es])</f>
        <v>Chino</v>
      </c>
      <c r="L1296" t="str">
        <f>_xlfn.XLOOKUP(frasest[[#This Row],[author_es]],autorest[author_es],autorest[language_la])</f>
        <v>Lingua Sinica</v>
      </c>
      <c r="M1296" t="str">
        <f>_xlfn.XLOOKUP(frasest[[#This Row],[author_es]],autorest[author_es],autorest[nation_es])</f>
        <v>China</v>
      </c>
      <c r="N1296" t="str">
        <f>_xlfn.XLOOKUP(frasest[[#This Row],[author_es]],autorest[author_es],autorest[nation_la])</f>
        <v>Sinae</v>
      </c>
      <c r="O1296" t="str">
        <f>_xlfn.XLOOKUP(frasest[[#This Row],[author_es]],autorest[author_es],autorest[age_es])</f>
        <v>Epoca Desconocida</v>
      </c>
      <c r="P1296" t="str">
        <f>_xlfn.XLOOKUP(frasest[[#This Row],[author_es]],autorest[author_es],autorest[age_la])</f>
        <v>Epocha Ignota</v>
      </c>
      <c r="Q1296" t="str">
        <f>_xlfn.XLOOKUP(frasest[[#This Row],[author_es]],autorest[author_es],autorest[image])</f>
        <v>https://i.ibb.co/qLfpZm6h/china.png</v>
      </c>
      <c r="R1296">
        <f>_xlfn.XLOOKUP(frasest[[#This Row],[author_es]],autorest[author_es],autorest[image_atr])</f>
        <v>0</v>
      </c>
    </row>
    <row r="1297" spans="1:18">
      <c r="A1297">
        <v>1296</v>
      </c>
      <c r="B1297" t="s">
        <v>4002</v>
      </c>
      <c r="C1297" t="s">
        <v>4003</v>
      </c>
      <c r="D1297" s="1" t="s">
        <v>4004</v>
      </c>
      <c r="E1297" t="s">
        <v>36</v>
      </c>
      <c r="G1297" t="str">
        <f>_xlfn.XLOOKUP(frasest[[#This Row],[author_es]],autorest[author_es],autorest[author_la])</f>
        <v>Proverbium Sinense</v>
      </c>
      <c r="H1297" t="str">
        <f>_xlfn.XLOOKUP(frasest[[#This Row],[author_es]],autorest[author_es],autorest[bio_es])</f>
        <v>Conjunto de proverbios tradicionales de la cultura china que transmiten sabiduría popular, valores morales y enseñanzas prácticas transmitidas oralmente durante siglos.</v>
      </c>
      <c r="I1297" t="str">
        <f>_xlfn.XLOOKUP(frasest[[#This Row],[author_es]],autorest[author_es],autorest[bio_la])</f>
        <v>Collectio sententiarum Sinensium, magnopere in cultura tradita.</v>
      </c>
      <c r="J1297" t="str">
        <f>_xlfn.XLOOKUP(frasest[[#This Row],[author_es]],autorest[author_es],autorest[iso3691])</f>
        <v>zh</v>
      </c>
      <c r="K1297" t="str">
        <f>_xlfn.XLOOKUP(frasest[[#This Row],[author_es]],autorest[author_es],autorest[language_es])</f>
        <v>Chino</v>
      </c>
      <c r="L1297" t="str">
        <f>_xlfn.XLOOKUP(frasest[[#This Row],[author_es]],autorest[author_es],autorest[language_la])</f>
        <v>Lingua Sinica</v>
      </c>
      <c r="M1297" t="str">
        <f>_xlfn.XLOOKUP(frasest[[#This Row],[author_es]],autorest[author_es],autorest[nation_es])</f>
        <v>China</v>
      </c>
      <c r="N1297" t="str">
        <f>_xlfn.XLOOKUP(frasest[[#This Row],[author_es]],autorest[author_es],autorest[nation_la])</f>
        <v>Sinae</v>
      </c>
      <c r="O1297" t="str">
        <f>_xlfn.XLOOKUP(frasest[[#This Row],[author_es]],autorest[author_es],autorest[age_es])</f>
        <v>Epoca Desconocida</v>
      </c>
      <c r="P1297" t="str">
        <f>_xlfn.XLOOKUP(frasest[[#This Row],[author_es]],autorest[author_es],autorest[age_la])</f>
        <v>Epocha Ignota</v>
      </c>
      <c r="Q1297" t="str">
        <f>_xlfn.XLOOKUP(frasest[[#This Row],[author_es]],autorest[author_es],autorest[image])</f>
        <v>https://i.ibb.co/qLfpZm6h/china.png</v>
      </c>
      <c r="R1297">
        <f>_xlfn.XLOOKUP(frasest[[#This Row],[author_es]],autorest[author_es],autorest[image_atr])</f>
        <v>0</v>
      </c>
    </row>
    <row r="1298" spans="1:18">
      <c r="A1298">
        <v>1297</v>
      </c>
      <c r="B1298" t="s">
        <v>4005</v>
      </c>
      <c r="C1298" t="s">
        <v>4006</v>
      </c>
      <c r="D1298" s="1" t="s">
        <v>4007</v>
      </c>
      <c r="E1298" t="s">
        <v>36</v>
      </c>
      <c r="G1298" t="str">
        <f>_xlfn.XLOOKUP(frasest[[#This Row],[author_es]],autorest[author_es],autorest[author_la])</f>
        <v>Proverbium Sinense</v>
      </c>
      <c r="H1298" t="str">
        <f>_xlfn.XLOOKUP(frasest[[#This Row],[author_es]],autorest[author_es],autorest[bio_es])</f>
        <v>Conjunto de proverbios tradicionales de la cultura china que transmiten sabiduría popular, valores morales y enseñanzas prácticas transmitidas oralmente durante siglos.</v>
      </c>
      <c r="I1298" t="str">
        <f>_xlfn.XLOOKUP(frasest[[#This Row],[author_es]],autorest[author_es],autorest[bio_la])</f>
        <v>Collectio sententiarum Sinensium, magnopere in cultura tradita.</v>
      </c>
      <c r="J1298" t="str">
        <f>_xlfn.XLOOKUP(frasest[[#This Row],[author_es]],autorest[author_es],autorest[iso3691])</f>
        <v>zh</v>
      </c>
      <c r="K1298" t="str">
        <f>_xlfn.XLOOKUP(frasest[[#This Row],[author_es]],autorest[author_es],autorest[language_es])</f>
        <v>Chino</v>
      </c>
      <c r="L1298" t="str">
        <f>_xlfn.XLOOKUP(frasest[[#This Row],[author_es]],autorest[author_es],autorest[language_la])</f>
        <v>Lingua Sinica</v>
      </c>
      <c r="M1298" t="str">
        <f>_xlfn.XLOOKUP(frasest[[#This Row],[author_es]],autorest[author_es],autorest[nation_es])</f>
        <v>China</v>
      </c>
      <c r="N1298" t="str">
        <f>_xlfn.XLOOKUP(frasest[[#This Row],[author_es]],autorest[author_es],autorest[nation_la])</f>
        <v>Sinae</v>
      </c>
      <c r="O1298" t="str">
        <f>_xlfn.XLOOKUP(frasest[[#This Row],[author_es]],autorest[author_es],autorest[age_es])</f>
        <v>Epoca Desconocida</v>
      </c>
      <c r="P1298" t="str">
        <f>_xlfn.XLOOKUP(frasest[[#This Row],[author_es]],autorest[author_es],autorest[age_la])</f>
        <v>Epocha Ignota</v>
      </c>
      <c r="Q1298" t="str">
        <f>_xlfn.XLOOKUP(frasest[[#This Row],[author_es]],autorest[author_es],autorest[image])</f>
        <v>https://i.ibb.co/qLfpZm6h/china.png</v>
      </c>
      <c r="R1298">
        <f>_xlfn.XLOOKUP(frasest[[#This Row],[author_es]],autorest[author_es],autorest[image_atr])</f>
        <v>0</v>
      </c>
    </row>
    <row r="1299" spans="1:18">
      <c r="A1299">
        <v>1298</v>
      </c>
      <c r="B1299" t="s">
        <v>4008</v>
      </c>
      <c r="C1299" t="s">
        <v>4009</v>
      </c>
      <c r="D1299" s="1" t="s">
        <v>4010</v>
      </c>
      <c r="E1299" t="s">
        <v>36</v>
      </c>
      <c r="G1299" t="str">
        <f>_xlfn.XLOOKUP(frasest[[#This Row],[author_es]],autorest[author_es],autorest[author_la])</f>
        <v>Proverbium Sinense</v>
      </c>
      <c r="H1299" t="str">
        <f>_xlfn.XLOOKUP(frasest[[#This Row],[author_es]],autorest[author_es],autorest[bio_es])</f>
        <v>Conjunto de proverbios tradicionales de la cultura china que transmiten sabiduría popular, valores morales y enseñanzas prácticas transmitidas oralmente durante siglos.</v>
      </c>
      <c r="I1299" t="str">
        <f>_xlfn.XLOOKUP(frasest[[#This Row],[author_es]],autorest[author_es],autorest[bio_la])</f>
        <v>Collectio sententiarum Sinensium, magnopere in cultura tradita.</v>
      </c>
      <c r="J1299" t="str">
        <f>_xlfn.XLOOKUP(frasest[[#This Row],[author_es]],autorest[author_es],autorest[iso3691])</f>
        <v>zh</v>
      </c>
      <c r="K1299" t="str">
        <f>_xlfn.XLOOKUP(frasest[[#This Row],[author_es]],autorest[author_es],autorest[language_es])</f>
        <v>Chino</v>
      </c>
      <c r="L1299" t="str">
        <f>_xlfn.XLOOKUP(frasest[[#This Row],[author_es]],autorest[author_es],autorest[language_la])</f>
        <v>Lingua Sinica</v>
      </c>
      <c r="M1299" t="str">
        <f>_xlfn.XLOOKUP(frasest[[#This Row],[author_es]],autorest[author_es],autorest[nation_es])</f>
        <v>China</v>
      </c>
      <c r="N1299" t="str">
        <f>_xlfn.XLOOKUP(frasest[[#This Row],[author_es]],autorest[author_es],autorest[nation_la])</f>
        <v>Sinae</v>
      </c>
      <c r="O1299" t="str">
        <f>_xlfn.XLOOKUP(frasest[[#This Row],[author_es]],autorest[author_es],autorest[age_es])</f>
        <v>Epoca Desconocida</v>
      </c>
      <c r="P1299" t="str">
        <f>_xlfn.XLOOKUP(frasest[[#This Row],[author_es]],autorest[author_es],autorest[age_la])</f>
        <v>Epocha Ignota</v>
      </c>
      <c r="Q1299" t="str">
        <f>_xlfn.XLOOKUP(frasest[[#This Row],[author_es]],autorest[author_es],autorest[image])</f>
        <v>https://i.ibb.co/qLfpZm6h/china.png</v>
      </c>
      <c r="R1299">
        <f>_xlfn.XLOOKUP(frasest[[#This Row],[author_es]],autorest[author_es],autorest[image_atr])</f>
        <v>0</v>
      </c>
    </row>
    <row r="1300" spans="1:18">
      <c r="A1300">
        <v>1299</v>
      </c>
      <c r="B1300" t="s">
        <v>4011</v>
      </c>
      <c r="C1300" t="s">
        <v>4012</v>
      </c>
      <c r="D1300" s="1" t="s">
        <v>4013</v>
      </c>
      <c r="E1300" t="s">
        <v>36</v>
      </c>
      <c r="G1300" t="str">
        <f>_xlfn.XLOOKUP(frasest[[#This Row],[author_es]],autorest[author_es],autorest[author_la])</f>
        <v>Proverbium Sinense</v>
      </c>
      <c r="H1300" t="str">
        <f>_xlfn.XLOOKUP(frasest[[#This Row],[author_es]],autorest[author_es],autorest[bio_es])</f>
        <v>Conjunto de proverbios tradicionales de la cultura china que transmiten sabiduría popular, valores morales y enseñanzas prácticas transmitidas oralmente durante siglos.</v>
      </c>
      <c r="I1300" t="str">
        <f>_xlfn.XLOOKUP(frasest[[#This Row],[author_es]],autorest[author_es],autorest[bio_la])</f>
        <v>Collectio sententiarum Sinensium, magnopere in cultura tradita.</v>
      </c>
      <c r="J1300" t="str">
        <f>_xlfn.XLOOKUP(frasest[[#This Row],[author_es]],autorest[author_es],autorest[iso3691])</f>
        <v>zh</v>
      </c>
      <c r="K1300" t="str">
        <f>_xlfn.XLOOKUP(frasest[[#This Row],[author_es]],autorest[author_es],autorest[language_es])</f>
        <v>Chino</v>
      </c>
      <c r="L1300" t="str">
        <f>_xlfn.XLOOKUP(frasest[[#This Row],[author_es]],autorest[author_es],autorest[language_la])</f>
        <v>Lingua Sinica</v>
      </c>
      <c r="M1300" t="str">
        <f>_xlfn.XLOOKUP(frasest[[#This Row],[author_es]],autorest[author_es],autorest[nation_es])</f>
        <v>China</v>
      </c>
      <c r="N1300" t="str">
        <f>_xlfn.XLOOKUP(frasest[[#This Row],[author_es]],autorest[author_es],autorest[nation_la])</f>
        <v>Sinae</v>
      </c>
      <c r="O1300" t="str">
        <f>_xlfn.XLOOKUP(frasest[[#This Row],[author_es]],autorest[author_es],autorest[age_es])</f>
        <v>Epoca Desconocida</v>
      </c>
      <c r="P1300" t="str">
        <f>_xlfn.XLOOKUP(frasest[[#This Row],[author_es]],autorest[author_es],autorest[age_la])</f>
        <v>Epocha Ignota</v>
      </c>
      <c r="Q1300" t="str">
        <f>_xlfn.XLOOKUP(frasest[[#This Row],[author_es]],autorest[author_es],autorest[image])</f>
        <v>https://i.ibb.co/qLfpZm6h/china.png</v>
      </c>
      <c r="R1300">
        <f>_xlfn.XLOOKUP(frasest[[#This Row],[author_es]],autorest[author_es],autorest[image_atr])</f>
        <v>0</v>
      </c>
    </row>
    <row r="1301" spans="1:18">
      <c r="A1301">
        <v>1300</v>
      </c>
      <c r="B1301" t="s">
        <v>4014</v>
      </c>
      <c r="C1301" t="s">
        <v>4015</v>
      </c>
      <c r="D1301" s="1" t="s">
        <v>4016</v>
      </c>
      <c r="E1301" t="s">
        <v>36</v>
      </c>
      <c r="G1301" t="str">
        <f>_xlfn.XLOOKUP(frasest[[#This Row],[author_es]],autorest[author_es],autorest[author_la])</f>
        <v>Proverbium Sinense</v>
      </c>
      <c r="H1301" t="str">
        <f>_xlfn.XLOOKUP(frasest[[#This Row],[author_es]],autorest[author_es],autorest[bio_es])</f>
        <v>Conjunto de proverbios tradicionales de la cultura china que transmiten sabiduría popular, valores morales y enseñanzas prácticas transmitidas oralmente durante siglos.</v>
      </c>
      <c r="I1301" t="str">
        <f>_xlfn.XLOOKUP(frasest[[#This Row],[author_es]],autorest[author_es],autorest[bio_la])</f>
        <v>Collectio sententiarum Sinensium, magnopere in cultura tradita.</v>
      </c>
      <c r="J1301" t="str">
        <f>_xlfn.XLOOKUP(frasest[[#This Row],[author_es]],autorest[author_es],autorest[iso3691])</f>
        <v>zh</v>
      </c>
      <c r="K1301" t="str">
        <f>_xlfn.XLOOKUP(frasest[[#This Row],[author_es]],autorest[author_es],autorest[language_es])</f>
        <v>Chino</v>
      </c>
      <c r="L1301" t="str">
        <f>_xlfn.XLOOKUP(frasest[[#This Row],[author_es]],autorest[author_es],autorest[language_la])</f>
        <v>Lingua Sinica</v>
      </c>
      <c r="M1301" t="str">
        <f>_xlfn.XLOOKUP(frasest[[#This Row],[author_es]],autorest[author_es],autorest[nation_es])</f>
        <v>China</v>
      </c>
      <c r="N1301" t="str">
        <f>_xlfn.XLOOKUP(frasest[[#This Row],[author_es]],autorest[author_es],autorest[nation_la])</f>
        <v>Sinae</v>
      </c>
      <c r="O1301" t="str">
        <f>_xlfn.XLOOKUP(frasest[[#This Row],[author_es]],autorest[author_es],autorest[age_es])</f>
        <v>Epoca Desconocida</v>
      </c>
      <c r="P1301" t="str">
        <f>_xlfn.XLOOKUP(frasest[[#This Row],[author_es]],autorest[author_es],autorest[age_la])</f>
        <v>Epocha Ignota</v>
      </c>
      <c r="Q1301" t="str">
        <f>_xlfn.XLOOKUP(frasest[[#This Row],[author_es]],autorest[author_es],autorest[image])</f>
        <v>https://i.ibb.co/qLfpZm6h/china.png</v>
      </c>
      <c r="R1301">
        <f>_xlfn.XLOOKUP(frasest[[#This Row],[author_es]],autorest[author_es],autorest[image_atr])</f>
        <v>0</v>
      </c>
    </row>
    <row r="1302" spans="1:18">
      <c r="A1302">
        <v>1301</v>
      </c>
      <c r="B1302" t="s">
        <v>4017</v>
      </c>
      <c r="C1302" t="s">
        <v>4018</v>
      </c>
      <c r="D1302" s="1" t="s">
        <v>4019</v>
      </c>
      <c r="E1302" t="s">
        <v>36</v>
      </c>
      <c r="G1302" t="str">
        <f>_xlfn.XLOOKUP(frasest[[#This Row],[author_es]],autorest[author_es],autorest[author_la])</f>
        <v>Proverbium Sinense</v>
      </c>
      <c r="H1302" t="str">
        <f>_xlfn.XLOOKUP(frasest[[#This Row],[author_es]],autorest[author_es],autorest[bio_es])</f>
        <v>Conjunto de proverbios tradicionales de la cultura china que transmiten sabiduría popular, valores morales y enseñanzas prácticas transmitidas oralmente durante siglos.</v>
      </c>
      <c r="I1302" t="str">
        <f>_xlfn.XLOOKUP(frasest[[#This Row],[author_es]],autorest[author_es],autorest[bio_la])</f>
        <v>Collectio sententiarum Sinensium, magnopere in cultura tradita.</v>
      </c>
      <c r="J1302" t="str">
        <f>_xlfn.XLOOKUP(frasest[[#This Row],[author_es]],autorest[author_es],autorest[iso3691])</f>
        <v>zh</v>
      </c>
      <c r="K1302" t="str">
        <f>_xlfn.XLOOKUP(frasest[[#This Row],[author_es]],autorest[author_es],autorest[language_es])</f>
        <v>Chino</v>
      </c>
      <c r="L1302" t="str">
        <f>_xlfn.XLOOKUP(frasest[[#This Row],[author_es]],autorest[author_es],autorest[language_la])</f>
        <v>Lingua Sinica</v>
      </c>
      <c r="M1302" t="str">
        <f>_xlfn.XLOOKUP(frasest[[#This Row],[author_es]],autorest[author_es],autorest[nation_es])</f>
        <v>China</v>
      </c>
      <c r="N1302" t="str">
        <f>_xlfn.XLOOKUP(frasest[[#This Row],[author_es]],autorest[author_es],autorest[nation_la])</f>
        <v>Sinae</v>
      </c>
      <c r="O1302" t="str">
        <f>_xlfn.XLOOKUP(frasest[[#This Row],[author_es]],autorest[author_es],autorest[age_es])</f>
        <v>Epoca Desconocida</v>
      </c>
      <c r="P1302" t="str">
        <f>_xlfn.XLOOKUP(frasest[[#This Row],[author_es]],autorest[author_es],autorest[age_la])</f>
        <v>Epocha Ignota</v>
      </c>
      <c r="Q1302" t="str">
        <f>_xlfn.XLOOKUP(frasest[[#This Row],[author_es]],autorest[author_es],autorest[image])</f>
        <v>https://i.ibb.co/qLfpZm6h/china.png</v>
      </c>
      <c r="R1302">
        <f>_xlfn.XLOOKUP(frasest[[#This Row],[author_es]],autorest[author_es],autorest[image_atr])</f>
        <v>0</v>
      </c>
    </row>
    <row r="1303" spans="1:18">
      <c r="A1303">
        <v>1302</v>
      </c>
      <c r="B1303" t="s">
        <v>4020</v>
      </c>
      <c r="C1303" t="s">
        <v>4021</v>
      </c>
      <c r="D1303" s="1" t="s">
        <v>4022</v>
      </c>
      <c r="E1303" t="s">
        <v>36</v>
      </c>
      <c r="G1303" t="str">
        <f>_xlfn.XLOOKUP(frasest[[#This Row],[author_es]],autorest[author_es],autorest[author_la])</f>
        <v>Proverbium Sinense</v>
      </c>
      <c r="H1303" t="str">
        <f>_xlfn.XLOOKUP(frasest[[#This Row],[author_es]],autorest[author_es],autorest[bio_es])</f>
        <v>Conjunto de proverbios tradicionales de la cultura china que transmiten sabiduría popular, valores morales y enseñanzas prácticas transmitidas oralmente durante siglos.</v>
      </c>
      <c r="I1303" t="str">
        <f>_xlfn.XLOOKUP(frasest[[#This Row],[author_es]],autorest[author_es],autorest[bio_la])</f>
        <v>Collectio sententiarum Sinensium, magnopere in cultura tradita.</v>
      </c>
      <c r="J1303" t="str">
        <f>_xlfn.XLOOKUP(frasest[[#This Row],[author_es]],autorest[author_es],autorest[iso3691])</f>
        <v>zh</v>
      </c>
      <c r="K1303" t="str">
        <f>_xlfn.XLOOKUP(frasest[[#This Row],[author_es]],autorest[author_es],autorest[language_es])</f>
        <v>Chino</v>
      </c>
      <c r="L1303" t="str">
        <f>_xlfn.XLOOKUP(frasest[[#This Row],[author_es]],autorest[author_es],autorest[language_la])</f>
        <v>Lingua Sinica</v>
      </c>
      <c r="M1303" t="str">
        <f>_xlfn.XLOOKUP(frasest[[#This Row],[author_es]],autorest[author_es],autorest[nation_es])</f>
        <v>China</v>
      </c>
      <c r="N1303" t="str">
        <f>_xlfn.XLOOKUP(frasest[[#This Row],[author_es]],autorest[author_es],autorest[nation_la])</f>
        <v>Sinae</v>
      </c>
      <c r="O1303" t="str">
        <f>_xlfn.XLOOKUP(frasest[[#This Row],[author_es]],autorest[author_es],autorest[age_es])</f>
        <v>Epoca Desconocida</v>
      </c>
      <c r="P1303" t="str">
        <f>_xlfn.XLOOKUP(frasest[[#This Row],[author_es]],autorest[author_es],autorest[age_la])</f>
        <v>Epocha Ignota</v>
      </c>
      <c r="Q1303" t="str">
        <f>_xlfn.XLOOKUP(frasest[[#This Row],[author_es]],autorest[author_es],autorest[image])</f>
        <v>https://i.ibb.co/qLfpZm6h/china.png</v>
      </c>
      <c r="R1303">
        <f>_xlfn.XLOOKUP(frasest[[#This Row],[author_es]],autorest[author_es],autorest[image_atr])</f>
        <v>0</v>
      </c>
    </row>
    <row r="1304" spans="1:18">
      <c r="A1304">
        <v>1303</v>
      </c>
      <c r="B1304" t="s">
        <v>4023</v>
      </c>
      <c r="C1304" t="s">
        <v>4024</v>
      </c>
      <c r="D1304" s="1" t="s">
        <v>4025</v>
      </c>
      <c r="E1304" t="s">
        <v>36</v>
      </c>
      <c r="G1304" t="str">
        <f>_xlfn.XLOOKUP(frasest[[#This Row],[author_es]],autorest[author_es],autorest[author_la])</f>
        <v>Proverbium Sinense</v>
      </c>
      <c r="H1304" t="str">
        <f>_xlfn.XLOOKUP(frasest[[#This Row],[author_es]],autorest[author_es],autorest[bio_es])</f>
        <v>Conjunto de proverbios tradicionales de la cultura china que transmiten sabiduría popular, valores morales y enseñanzas prácticas transmitidas oralmente durante siglos.</v>
      </c>
      <c r="I1304" t="str">
        <f>_xlfn.XLOOKUP(frasest[[#This Row],[author_es]],autorest[author_es],autorest[bio_la])</f>
        <v>Collectio sententiarum Sinensium, magnopere in cultura tradita.</v>
      </c>
      <c r="J1304" t="str">
        <f>_xlfn.XLOOKUP(frasest[[#This Row],[author_es]],autorest[author_es],autorest[iso3691])</f>
        <v>zh</v>
      </c>
      <c r="K1304" t="str">
        <f>_xlfn.XLOOKUP(frasest[[#This Row],[author_es]],autorest[author_es],autorest[language_es])</f>
        <v>Chino</v>
      </c>
      <c r="L1304" t="str">
        <f>_xlfn.XLOOKUP(frasest[[#This Row],[author_es]],autorest[author_es],autorest[language_la])</f>
        <v>Lingua Sinica</v>
      </c>
      <c r="M1304" t="str">
        <f>_xlfn.XLOOKUP(frasest[[#This Row],[author_es]],autorest[author_es],autorest[nation_es])</f>
        <v>China</v>
      </c>
      <c r="N1304" t="str">
        <f>_xlfn.XLOOKUP(frasest[[#This Row],[author_es]],autorest[author_es],autorest[nation_la])</f>
        <v>Sinae</v>
      </c>
      <c r="O1304" t="str">
        <f>_xlfn.XLOOKUP(frasest[[#This Row],[author_es]],autorest[author_es],autorest[age_es])</f>
        <v>Epoca Desconocida</v>
      </c>
      <c r="P1304" t="str">
        <f>_xlfn.XLOOKUP(frasest[[#This Row],[author_es]],autorest[author_es],autorest[age_la])</f>
        <v>Epocha Ignota</v>
      </c>
      <c r="Q1304" t="str">
        <f>_xlfn.XLOOKUP(frasest[[#This Row],[author_es]],autorest[author_es],autorest[image])</f>
        <v>https://i.ibb.co/qLfpZm6h/china.png</v>
      </c>
      <c r="R1304">
        <f>_xlfn.XLOOKUP(frasest[[#This Row],[author_es]],autorest[author_es],autorest[image_atr])</f>
        <v>0</v>
      </c>
    </row>
    <row r="1305" spans="1:18">
      <c r="A1305">
        <v>1304</v>
      </c>
      <c r="B1305" t="s">
        <v>4026</v>
      </c>
      <c r="C1305" t="s">
        <v>4027</v>
      </c>
      <c r="D1305" s="1" t="s">
        <v>3555</v>
      </c>
      <c r="E1305" t="s">
        <v>36</v>
      </c>
      <c r="G1305" t="str">
        <f>_xlfn.XLOOKUP(frasest[[#This Row],[author_es]],autorest[author_es],autorest[author_la])</f>
        <v>Proverbium Sinense</v>
      </c>
      <c r="H1305" t="str">
        <f>_xlfn.XLOOKUP(frasest[[#This Row],[author_es]],autorest[author_es],autorest[bio_es])</f>
        <v>Conjunto de proverbios tradicionales de la cultura china que transmiten sabiduría popular, valores morales y enseñanzas prácticas transmitidas oralmente durante siglos.</v>
      </c>
      <c r="I1305" t="str">
        <f>_xlfn.XLOOKUP(frasest[[#This Row],[author_es]],autorest[author_es],autorest[bio_la])</f>
        <v>Collectio sententiarum Sinensium, magnopere in cultura tradita.</v>
      </c>
      <c r="J1305" t="str">
        <f>_xlfn.XLOOKUP(frasest[[#This Row],[author_es]],autorest[author_es],autorest[iso3691])</f>
        <v>zh</v>
      </c>
      <c r="K1305" t="str">
        <f>_xlfn.XLOOKUP(frasest[[#This Row],[author_es]],autorest[author_es],autorest[language_es])</f>
        <v>Chino</v>
      </c>
      <c r="L1305" t="str">
        <f>_xlfn.XLOOKUP(frasest[[#This Row],[author_es]],autorest[author_es],autorest[language_la])</f>
        <v>Lingua Sinica</v>
      </c>
      <c r="M1305" t="str">
        <f>_xlfn.XLOOKUP(frasest[[#This Row],[author_es]],autorest[author_es],autorest[nation_es])</f>
        <v>China</v>
      </c>
      <c r="N1305" t="str">
        <f>_xlfn.XLOOKUP(frasest[[#This Row],[author_es]],autorest[author_es],autorest[nation_la])</f>
        <v>Sinae</v>
      </c>
      <c r="O1305" t="str">
        <f>_xlfn.XLOOKUP(frasest[[#This Row],[author_es]],autorest[author_es],autorest[age_es])</f>
        <v>Epoca Desconocida</v>
      </c>
      <c r="P1305" t="str">
        <f>_xlfn.XLOOKUP(frasest[[#This Row],[author_es]],autorest[author_es],autorest[age_la])</f>
        <v>Epocha Ignota</v>
      </c>
      <c r="Q1305" t="str">
        <f>_xlfn.XLOOKUP(frasest[[#This Row],[author_es]],autorest[author_es],autorest[image])</f>
        <v>https://i.ibb.co/qLfpZm6h/china.png</v>
      </c>
      <c r="R1305">
        <f>_xlfn.XLOOKUP(frasest[[#This Row],[author_es]],autorest[author_es],autorest[image_atr])</f>
        <v>0</v>
      </c>
    </row>
    <row r="1306" spans="1:18">
      <c r="A1306">
        <v>1305</v>
      </c>
      <c r="B1306" t="s">
        <v>4028</v>
      </c>
      <c r="C1306" t="s">
        <v>4029</v>
      </c>
      <c r="D1306" s="1" t="s">
        <v>4030</v>
      </c>
      <c r="E1306" t="s">
        <v>36</v>
      </c>
      <c r="G1306" t="str">
        <f>_xlfn.XLOOKUP(frasest[[#This Row],[author_es]],autorest[author_es],autorest[author_la])</f>
        <v>Proverbium Sinense</v>
      </c>
      <c r="H1306" t="str">
        <f>_xlfn.XLOOKUP(frasest[[#This Row],[author_es]],autorest[author_es],autorest[bio_es])</f>
        <v>Conjunto de proverbios tradicionales de la cultura china que transmiten sabiduría popular, valores morales y enseñanzas prácticas transmitidas oralmente durante siglos.</v>
      </c>
      <c r="I1306" t="str">
        <f>_xlfn.XLOOKUP(frasest[[#This Row],[author_es]],autorest[author_es],autorest[bio_la])</f>
        <v>Collectio sententiarum Sinensium, magnopere in cultura tradita.</v>
      </c>
      <c r="J1306" t="str">
        <f>_xlfn.XLOOKUP(frasest[[#This Row],[author_es]],autorest[author_es],autorest[iso3691])</f>
        <v>zh</v>
      </c>
      <c r="K1306" t="str">
        <f>_xlfn.XLOOKUP(frasest[[#This Row],[author_es]],autorest[author_es],autorest[language_es])</f>
        <v>Chino</v>
      </c>
      <c r="L1306" t="str">
        <f>_xlfn.XLOOKUP(frasest[[#This Row],[author_es]],autorest[author_es],autorest[language_la])</f>
        <v>Lingua Sinica</v>
      </c>
      <c r="M1306" t="str">
        <f>_xlfn.XLOOKUP(frasest[[#This Row],[author_es]],autorest[author_es],autorest[nation_es])</f>
        <v>China</v>
      </c>
      <c r="N1306" t="str">
        <f>_xlfn.XLOOKUP(frasest[[#This Row],[author_es]],autorest[author_es],autorest[nation_la])</f>
        <v>Sinae</v>
      </c>
      <c r="O1306" t="str">
        <f>_xlfn.XLOOKUP(frasest[[#This Row],[author_es]],autorest[author_es],autorest[age_es])</f>
        <v>Epoca Desconocida</v>
      </c>
      <c r="P1306" t="str">
        <f>_xlfn.XLOOKUP(frasest[[#This Row],[author_es]],autorest[author_es],autorest[age_la])</f>
        <v>Epocha Ignota</v>
      </c>
      <c r="Q1306" t="str">
        <f>_xlfn.XLOOKUP(frasest[[#This Row],[author_es]],autorest[author_es],autorest[image])</f>
        <v>https://i.ibb.co/qLfpZm6h/china.png</v>
      </c>
      <c r="R1306">
        <f>_xlfn.XLOOKUP(frasest[[#This Row],[author_es]],autorest[author_es],autorest[image_atr])</f>
        <v>0</v>
      </c>
    </row>
    <row r="1307" spans="1:18">
      <c r="A1307">
        <v>1306</v>
      </c>
      <c r="B1307" t="s">
        <v>4031</v>
      </c>
      <c r="C1307" t="s">
        <v>4032</v>
      </c>
      <c r="D1307" s="1" t="s">
        <v>4033</v>
      </c>
      <c r="E1307" t="s">
        <v>36</v>
      </c>
      <c r="G1307" t="str">
        <f>_xlfn.XLOOKUP(frasest[[#This Row],[author_es]],autorest[author_es],autorest[author_la])</f>
        <v>Proverbium Sinense</v>
      </c>
      <c r="H1307" t="str">
        <f>_xlfn.XLOOKUP(frasest[[#This Row],[author_es]],autorest[author_es],autorest[bio_es])</f>
        <v>Conjunto de proverbios tradicionales de la cultura china que transmiten sabiduría popular, valores morales y enseñanzas prácticas transmitidas oralmente durante siglos.</v>
      </c>
      <c r="I1307" t="str">
        <f>_xlfn.XLOOKUP(frasest[[#This Row],[author_es]],autorest[author_es],autorest[bio_la])</f>
        <v>Collectio sententiarum Sinensium, magnopere in cultura tradita.</v>
      </c>
      <c r="J1307" t="str">
        <f>_xlfn.XLOOKUP(frasest[[#This Row],[author_es]],autorest[author_es],autorest[iso3691])</f>
        <v>zh</v>
      </c>
      <c r="K1307" t="str">
        <f>_xlfn.XLOOKUP(frasest[[#This Row],[author_es]],autorest[author_es],autorest[language_es])</f>
        <v>Chino</v>
      </c>
      <c r="L1307" t="str">
        <f>_xlfn.XLOOKUP(frasest[[#This Row],[author_es]],autorest[author_es],autorest[language_la])</f>
        <v>Lingua Sinica</v>
      </c>
      <c r="M1307" t="str">
        <f>_xlfn.XLOOKUP(frasest[[#This Row],[author_es]],autorest[author_es],autorest[nation_es])</f>
        <v>China</v>
      </c>
      <c r="N1307" t="str">
        <f>_xlfn.XLOOKUP(frasest[[#This Row],[author_es]],autorest[author_es],autorest[nation_la])</f>
        <v>Sinae</v>
      </c>
      <c r="O1307" t="str">
        <f>_xlfn.XLOOKUP(frasest[[#This Row],[author_es]],autorest[author_es],autorest[age_es])</f>
        <v>Epoca Desconocida</v>
      </c>
      <c r="P1307" t="str">
        <f>_xlfn.XLOOKUP(frasest[[#This Row],[author_es]],autorest[author_es],autorest[age_la])</f>
        <v>Epocha Ignota</v>
      </c>
      <c r="Q1307" t="str">
        <f>_xlfn.XLOOKUP(frasest[[#This Row],[author_es]],autorest[author_es],autorest[image])</f>
        <v>https://i.ibb.co/qLfpZm6h/china.png</v>
      </c>
      <c r="R1307">
        <f>_xlfn.XLOOKUP(frasest[[#This Row],[author_es]],autorest[author_es],autorest[image_atr])</f>
        <v>0</v>
      </c>
    </row>
    <row r="1308" spans="1:18">
      <c r="A1308">
        <v>1307</v>
      </c>
      <c r="B1308" t="s">
        <v>130</v>
      </c>
      <c r="C1308" t="s">
        <v>4034</v>
      </c>
      <c r="D1308" s="1" t="s">
        <v>4035</v>
      </c>
      <c r="E1308" t="s">
        <v>36</v>
      </c>
      <c r="G1308" t="str">
        <f>_xlfn.XLOOKUP(frasest[[#This Row],[author_es]],autorest[author_es],autorest[author_la])</f>
        <v>Proverbium Sinense</v>
      </c>
      <c r="H1308" t="str">
        <f>_xlfn.XLOOKUP(frasest[[#This Row],[author_es]],autorest[author_es],autorest[bio_es])</f>
        <v>Conjunto de proverbios tradicionales de la cultura china que transmiten sabiduría popular, valores morales y enseñanzas prácticas transmitidas oralmente durante siglos.</v>
      </c>
      <c r="I1308" t="str">
        <f>_xlfn.XLOOKUP(frasest[[#This Row],[author_es]],autorest[author_es],autorest[bio_la])</f>
        <v>Collectio sententiarum Sinensium, magnopere in cultura tradita.</v>
      </c>
      <c r="J1308" t="str">
        <f>_xlfn.XLOOKUP(frasest[[#This Row],[author_es]],autorest[author_es],autorest[iso3691])</f>
        <v>zh</v>
      </c>
      <c r="K1308" t="str">
        <f>_xlfn.XLOOKUP(frasest[[#This Row],[author_es]],autorest[author_es],autorest[language_es])</f>
        <v>Chino</v>
      </c>
      <c r="L1308" t="str">
        <f>_xlfn.XLOOKUP(frasest[[#This Row],[author_es]],autorest[author_es],autorest[language_la])</f>
        <v>Lingua Sinica</v>
      </c>
      <c r="M1308" t="str">
        <f>_xlfn.XLOOKUP(frasest[[#This Row],[author_es]],autorest[author_es],autorest[nation_es])</f>
        <v>China</v>
      </c>
      <c r="N1308" t="str">
        <f>_xlfn.XLOOKUP(frasest[[#This Row],[author_es]],autorest[author_es],autorest[nation_la])</f>
        <v>Sinae</v>
      </c>
      <c r="O1308" t="str">
        <f>_xlfn.XLOOKUP(frasest[[#This Row],[author_es]],autorest[author_es],autorest[age_es])</f>
        <v>Epoca Desconocida</v>
      </c>
      <c r="P1308" t="str">
        <f>_xlfn.XLOOKUP(frasest[[#This Row],[author_es]],autorest[author_es],autorest[age_la])</f>
        <v>Epocha Ignota</v>
      </c>
      <c r="Q1308" t="str">
        <f>_xlfn.XLOOKUP(frasest[[#This Row],[author_es]],autorest[author_es],autorest[image])</f>
        <v>https://i.ibb.co/qLfpZm6h/china.png</v>
      </c>
      <c r="R1308">
        <f>_xlfn.XLOOKUP(frasest[[#This Row],[author_es]],autorest[author_es],autorest[image_atr])</f>
        <v>0</v>
      </c>
    </row>
    <row r="1309" spans="1:18">
      <c r="A1309">
        <v>1308</v>
      </c>
      <c r="B1309" t="s">
        <v>4036</v>
      </c>
      <c r="C1309" t="s">
        <v>4037</v>
      </c>
      <c r="D1309" s="1" t="s">
        <v>3793</v>
      </c>
      <c r="E1309" t="s">
        <v>36</v>
      </c>
      <c r="G1309" t="str">
        <f>_xlfn.XLOOKUP(frasest[[#This Row],[author_es]],autorest[author_es],autorest[author_la])</f>
        <v>Proverbium Sinense</v>
      </c>
      <c r="H1309" t="str">
        <f>_xlfn.XLOOKUP(frasest[[#This Row],[author_es]],autorest[author_es],autorest[bio_es])</f>
        <v>Conjunto de proverbios tradicionales de la cultura china que transmiten sabiduría popular, valores morales y enseñanzas prácticas transmitidas oralmente durante siglos.</v>
      </c>
      <c r="I1309" t="str">
        <f>_xlfn.XLOOKUP(frasest[[#This Row],[author_es]],autorest[author_es],autorest[bio_la])</f>
        <v>Collectio sententiarum Sinensium, magnopere in cultura tradita.</v>
      </c>
      <c r="J1309" t="str">
        <f>_xlfn.XLOOKUP(frasest[[#This Row],[author_es]],autorest[author_es],autorest[iso3691])</f>
        <v>zh</v>
      </c>
      <c r="K1309" t="str">
        <f>_xlfn.XLOOKUP(frasest[[#This Row],[author_es]],autorest[author_es],autorest[language_es])</f>
        <v>Chino</v>
      </c>
      <c r="L1309" t="str">
        <f>_xlfn.XLOOKUP(frasest[[#This Row],[author_es]],autorest[author_es],autorest[language_la])</f>
        <v>Lingua Sinica</v>
      </c>
      <c r="M1309" t="str">
        <f>_xlfn.XLOOKUP(frasest[[#This Row],[author_es]],autorest[author_es],autorest[nation_es])</f>
        <v>China</v>
      </c>
      <c r="N1309" t="str">
        <f>_xlfn.XLOOKUP(frasest[[#This Row],[author_es]],autorest[author_es],autorest[nation_la])</f>
        <v>Sinae</v>
      </c>
      <c r="O1309" t="str">
        <f>_xlfn.XLOOKUP(frasest[[#This Row],[author_es]],autorest[author_es],autorest[age_es])</f>
        <v>Epoca Desconocida</v>
      </c>
      <c r="P1309" t="str">
        <f>_xlfn.XLOOKUP(frasest[[#This Row],[author_es]],autorest[author_es],autorest[age_la])</f>
        <v>Epocha Ignota</v>
      </c>
      <c r="Q1309" t="str">
        <f>_xlfn.XLOOKUP(frasest[[#This Row],[author_es]],autorest[author_es],autorest[image])</f>
        <v>https://i.ibb.co/qLfpZm6h/china.png</v>
      </c>
      <c r="R1309">
        <f>_xlfn.XLOOKUP(frasest[[#This Row],[author_es]],autorest[author_es],autorest[image_atr])</f>
        <v>0</v>
      </c>
    </row>
    <row r="1310" spans="1:18">
      <c r="A1310">
        <v>1309</v>
      </c>
      <c r="B1310" t="s">
        <v>4038</v>
      </c>
      <c r="C1310" t="s">
        <v>4039</v>
      </c>
      <c r="D1310" s="1" t="s">
        <v>4040</v>
      </c>
      <c r="E1310" t="s">
        <v>36</v>
      </c>
      <c r="G1310" t="str">
        <f>_xlfn.XLOOKUP(frasest[[#This Row],[author_es]],autorest[author_es],autorest[author_la])</f>
        <v>Proverbium Sinense</v>
      </c>
      <c r="H1310" t="str">
        <f>_xlfn.XLOOKUP(frasest[[#This Row],[author_es]],autorest[author_es],autorest[bio_es])</f>
        <v>Conjunto de proverbios tradicionales de la cultura china que transmiten sabiduría popular, valores morales y enseñanzas prácticas transmitidas oralmente durante siglos.</v>
      </c>
      <c r="I1310" t="str">
        <f>_xlfn.XLOOKUP(frasest[[#This Row],[author_es]],autorest[author_es],autorest[bio_la])</f>
        <v>Collectio sententiarum Sinensium, magnopere in cultura tradita.</v>
      </c>
      <c r="J1310" t="str">
        <f>_xlfn.XLOOKUP(frasest[[#This Row],[author_es]],autorest[author_es],autorest[iso3691])</f>
        <v>zh</v>
      </c>
      <c r="K1310" t="str">
        <f>_xlfn.XLOOKUP(frasest[[#This Row],[author_es]],autorest[author_es],autorest[language_es])</f>
        <v>Chino</v>
      </c>
      <c r="L1310" t="str">
        <f>_xlfn.XLOOKUP(frasest[[#This Row],[author_es]],autorest[author_es],autorest[language_la])</f>
        <v>Lingua Sinica</v>
      </c>
      <c r="M1310" t="str">
        <f>_xlfn.XLOOKUP(frasest[[#This Row],[author_es]],autorest[author_es],autorest[nation_es])</f>
        <v>China</v>
      </c>
      <c r="N1310" t="str">
        <f>_xlfn.XLOOKUP(frasest[[#This Row],[author_es]],autorest[author_es],autorest[nation_la])</f>
        <v>Sinae</v>
      </c>
      <c r="O1310" t="str">
        <f>_xlfn.XLOOKUP(frasest[[#This Row],[author_es]],autorest[author_es],autorest[age_es])</f>
        <v>Epoca Desconocida</v>
      </c>
      <c r="P1310" t="str">
        <f>_xlfn.XLOOKUP(frasest[[#This Row],[author_es]],autorest[author_es],autorest[age_la])</f>
        <v>Epocha Ignota</v>
      </c>
      <c r="Q1310" t="str">
        <f>_xlfn.XLOOKUP(frasest[[#This Row],[author_es]],autorest[author_es],autorest[image])</f>
        <v>https://i.ibb.co/qLfpZm6h/china.png</v>
      </c>
      <c r="R1310">
        <f>_xlfn.XLOOKUP(frasest[[#This Row],[author_es]],autorest[author_es],autorest[image_atr])</f>
        <v>0</v>
      </c>
    </row>
    <row r="1311" spans="1:18">
      <c r="A1311">
        <v>1310</v>
      </c>
      <c r="B1311" t="s">
        <v>4041</v>
      </c>
      <c r="C1311" t="s">
        <v>4042</v>
      </c>
      <c r="D1311" s="1" t="s">
        <v>4043</v>
      </c>
      <c r="E1311" t="s">
        <v>36</v>
      </c>
      <c r="G1311" t="str">
        <f>_xlfn.XLOOKUP(frasest[[#This Row],[author_es]],autorest[author_es],autorest[author_la])</f>
        <v>Proverbium Sinense</v>
      </c>
      <c r="H1311" t="str">
        <f>_xlfn.XLOOKUP(frasest[[#This Row],[author_es]],autorest[author_es],autorest[bio_es])</f>
        <v>Conjunto de proverbios tradicionales de la cultura china que transmiten sabiduría popular, valores morales y enseñanzas prácticas transmitidas oralmente durante siglos.</v>
      </c>
      <c r="I1311" t="str">
        <f>_xlfn.XLOOKUP(frasest[[#This Row],[author_es]],autorest[author_es],autorest[bio_la])</f>
        <v>Collectio sententiarum Sinensium, magnopere in cultura tradita.</v>
      </c>
      <c r="J1311" t="str">
        <f>_xlfn.XLOOKUP(frasest[[#This Row],[author_es]],autorest[author_es],autorest[iso3691])</f>
        <v>zh</v>
      </c>
      <c r="K1311" t="str">
        <f>_xlfn.XLOOKUP(frasest[[#This Row],[author_es]],autorest[author_es],autorest[language_es])</f>
        <v>Chino</v>
      </c>
      <c r="L1311" t="str">
        <f>_xlfn.XLOOKUP(frasest[[#This Row],[author_es]],autorest[author_es],autorest[language_la])</f>
        <v>Lingua Sinica</v>
      </c>
      <c r="M1311" t="str">
        <f>_xlfn.XLOOKUP(frasest[[#This Row],[author_es]],autorest[author_es],autorest[nation_es])</f>
        <v>China</v>
      </c>
      <c r="N1311" t="str">
        <f>_xlfn.XLOOKUP(frasest[[#This Row],[author_es]],autorest[author_es],autorest[nation_la])</f>
        <v>Sinae</v>
      </c>
      <c r="O1311" t="str">
        <f>_xlfn.XLOOKUP(frasest[[#This Row],[author_es]],autorest[author_es],autorest[age_es])</f>
        <v>Epoca Desconocida</v>
      </c>
      <c r="P1311" t="str">
        <f>_xlfn.XLOOKUP(frasest[[#This Row],[author_es]],autorest[author_es],autorest[age_la])</f>
        <v>Epocha Ignota</v>
      </c>
      <c r="Q1311" t="str">
        <f>_xlfn.XLOOKUP(frasest[[#This Row],[author_es]],autorest[author_es],autorest[image])</f>
        <v>https://i.ibb.co/qLfpZm6h/china.png</v>
      </c>
      <c r="R1311">
        <f>_xlfn.XLOOKUP(frasest[[#This Row],[author_es]],autorest[author_es],autorest[image_atr])</f>
        <v>0</v>
      </c>
    </row>
    <row r="1312" spans="1:18">
      <c r="A1312">
        <v>1311</v>
      </c>
      <c r="B1312" t="s">
        <v>4044</v>
      </c>
      <c r="C1312" t="s">
        <v>4045</v>
      </c>
      <c r="D1312" s="1" t="s">
        <v>3415</v>
      </c>
      <c r="E1312" t="s">
        <v>36</v>
      </c>
      <c r="G1312" t="str">
        <f>_xlfn.XLOOKUP(frasest[[#This Row],[author_es]],autorest[author_es],autorest[author_la])</f>
        <v>Proverbium Sinense</v>
      </c>
      <c r="H1312" t="str">
        <f>_xlfn.XLOOKUP(frasest[[#This Row],[author_es]],autorest[author_es],autorest[bio_es])</f>
        <v>Conjunto de proverbios tradicionales de la cultura china que transmiten sabiduría popular, valores morales y enseñanzas prácticas transmitidas oralmente durante siglos.</v>
      </c>
      <c r="I1312" t="str">
        <f>_xlfn.XLOOKUP(frasest[[#This Row],[author_es]],autorest[author_es],autorest[bio_la])</f>
        <v>Collectio sententiarum Sinensium, magnopere in cultura tradita.</v>
      </c>
      <c r="J1312" t="str">
        <f>_xlfn.XLOOKUP(frasest[[#This Row],[author_es]],autorest[author_es],autorest[iso3691])</f>
        <v>zh</v>
      </c>
      <c r="K1312" t="str">
        <f>_xlfn.XLOOKUP(frasest[[#This Row],[author_es]],autorest[author_es],autorest[language_es])</f>
        <v>Chino</v>
      </c>
      <c r="L1312" t="str">
        <f>_xlfn.XLOOKUP(frasest[[#This Row],[author_es]],autorest[author_es],autorest[language_la])</f>
        <v>Lingua Sinica</v>
      </c>
      <c r="M1312" t="str">
        <f>_xlfn.XLOOKUP(frasest[[#This Row],[author_es]],autorest[author_es],autorest[nation_es])</f>
        <v>China</v>
      </c>
      <c r="N1312" t="str">
        <f>_xlfn.XLOOKUP(frasest[[#This Row],[author_es]],autorest[author_es],autorest[nation_la])</f>
        <v>Sinae</v>
      </c>
      <c r="O1312" t="str">
        <f>_xlfn.XLOOKUP(frasest[[#This Row],[author_es]],autorest[author_es],autorest[age_es])</f>
        <v>Epoca Desconocida</v>
      </c>
      <c r="P1312" t="str">
        <f>_xlfn.XLOOKUP(frasest[[#This Row],[author_es]],autorest[author_es],autorest[age_la])</f>
        <v>Epocha Ignota</v>
      </c>
      <c r="Q1312" t="str">
        <f>_xlfn.XLOOKUP(frasest[[#This Row],[author_es]],autorest[author_es],autorest[image])</f>
        <v>https://i.ibb.co/qLfpZm6h/china.png</v>
      </c>
      <c r="R1312">
        <f>_xlfn.XLOOKUP(frasest[[#This Row],[author_es]],autorest[author_es],autorest[image_atr])</f>
        <v>0</v>
      </c>
    </row>
    <row r="1313" spans="1:18">
      <c r="A1313">
        <v>1312</v>
      </c>
      <c r="B1313" t="s">
        <v>4046</v>
      </c>
      <c r="C1313" t="s">
        <v>4047</v>
      </c>
      <c r="D1313" s="1" t="s">
        <v>4048</v>
      </c>
      <c r="E1313" t="s">
        <v>36</v>
      </c>
      <c r="G1313" t="str">
        <f>_xlfn.XLOOKUP(frasest[[#This Row],[author_es]],autorest[author_es],autorest[author_la])</f>
        <v>Proverbium Sinense</v>
      </c>
      <c r="H1313" t="str">
        <f>_xlfn.XLOOKUP(frasest[[#This Row],[author_es]],autorest[author_es],autorest[bio_es])</f>
        <v>Conjunto de proverbios tradicionales de la cultura china que transmiten sabiduría popular, valores morales y enseñanzas prácticas transmitidas oralmente durante siglos.</v>
      </c>
      <c r="I1313" t="str">
        <f>_xlfn.XLOOKUP(frasest[[#This Row],[author_es]],autorest[author_es],autorest[bio_la])</f>
        <v>Collectio sententiarum Sinensium, magnopere in cultura tradita.</v>
      </c>
      <c r="J1313" t="str">
        <f>_xlfn.XLOOKUP(frasest[[#This Row],[author_es]],autorest[author_es],autorest[iso3691])</f>
        <v>zh</v>
      </c>
      <c r="K1313" t="str">
        <f>_xlfn.XLOOKUP(frasest[[#This Row],[author_es]],autorest[author_es],autorest[language_es])</f>
        <v>Chino</v>
      </c>
      <c r="L1313" t="str">
        <f>_xlfn.XLOOKUP(frasest[[#This Row],[author_es]],autorest[author_es],autorest[language_la])</f>
        <v>Lingua Sinica</v>
      </c>
      <c r="M1313" t="str">
        <f>_xlfn.XLOOKUP(frasest[[#This Row],[author_es]],autorest[author_es],autorest[nation_es])</f>
        <v>China</v>
      </c>
      <c r="N1313" t="str">
        <f>_xlfn.XLOOKUP(frasest[[#This Row],[author_es]],autorest[author_es],autorest[nation_la])</f>
        <v>Sinae</v>
      </c>
      <c r="O1313" t="str">
        <f>_xlfn.XLOOKUP(frasest[[#This Row],[author_es]],autorest[author_es],autorest[age_es])</f>
        <v>Epoca Desconocida</v>
      </c>
      <c r="P1313" t="str">
        <f>_xlfn.XLOOKUP(frasest[[#This Row],[author_es]],autorest[author_es],autorest[age_la])</f>
        <v>Epocha Ignota</v>
      </c>
      <c r="Q1313" t="str">
        <f>_xlfn.XLOOKUP(frasest[[#This Row],[author_es]],autorest[author_es],autorest[image])</f>
        <v>https://i.ibb.co/qLfpZm6h/china.png</v>
      </c>
      <c r="R1313">
        <f>_xlfn.XLOOKUP(frasest[[#This Row],[author_es]],autorest[author_es],autorest[image_atr])</f>
        <v>0</v>
      </c>
    </row>
    <row r="1314" spans="1:18">
      <c r="A1314">
        <v>1313</v>
      </c>
      <c r="B1314" t="s">
        <v>4049</v>
      </c>
      <c r="C1314" t="s">
        <v>4050</v>
      </c>
      <c r="D1314" s="1" t="s">
        <v>4051</v>
      </c>
      <c r="E1314" t="s">
        <v>36</v>
      </c>
      <c r="G1314" t="str">
        <f>_xlfn.XLOOKUP(frasest[[#This Row],[author_es]],autorest[author_es],autorest[author_la])</f>
        <v>Proverbium Sinense</v>
      </c>
      <c r="H1314" t="str">
        <f>_xlfn.XLOOKUP(frasest[[#This Row],[author_es]],autorest[author_es],autorest[bio_es])</f>
        <v>Conjunto de proverbios tradicionales de la cultura china que transmiten sabiduría popular, valores morales y enseñanzas prácticas transmitidas oralmente durante siglos.</v>
      </c>
      <c r="I1314" t="str">
        <f>_xlfn.XLOOKUP(frasest[[#This Row],[author_es]],autorest[author_es],autorest[bio_la])</f>
        <v>Collectio sententiarum Sinensium, magnopere in cultura tradita.</v>
      </c>
      <c r="J1314" t="str">
        <f>_xlfn.XLOOKUP(frasest[[#This Row],[author_es]],autorest[author_es],autorest[iso3691])</f>
        <v>zh</v>
      </c>
      <c r="K1314" t="str">
        <f>_xlfn.XLOOKUP(frasest[[#This Row],[author_es]],autorest[author_es],autorest[language_es])</f>
        <v>Chino</v>
      </c>
      <c r="L1314" t="str">
        <f>_xlfn.XLOOKUP(frasest[[#This Row],[author_es]],autorest[author_es],autorest[language_la])</f>
        <v>Lingua Sinica</v>
      </c>
      <c r="M1314" t="str">
        <f>_xlfn.XLOOKUP(frasest[[#This Row],[author_es]],autorest[author_es],autorest[nation_es])</f>
        <v>China</v>
      </c>
      <c r="N1314" t="str">
        <f>_xlfn.XLOOKUP(frasest[[#This Row],[author_es]],autorest[author_es],autorest[nation_la])</f>
        <v>Sinae</v>
      </c>
      <c r="O1314" t="str">
        <f>_xlfn.XLOOKUP(frasest[[#This Row],[author_es]],autorest[author_es],autorest[age_es])</f>
        <v>Epoca Desconocida</v>
      </c>
      <c r="P1314" t="str">
        <f>_xlfn.XLOOKUP(frasest[[#This Row],[author_es]],autorest[author_es],autorest[age_la])</f>
        <v>Epocha Ignota</v>
      </c>
      <c r="Q1314" t="str">
        <f>_xlfn.XLOOKUP(frasest[[#This Row],[author_es]],autorest[author_es],autorest[image])</f>
        <v>https://i.ibb.co/qLfpZm6h/china.png</v>
      </c>
      <c r="R1314">
        <f>_xlfn.XLOOKUP(frasest[[#This Row],[author_es]],autorest[author_es],autorest[image_atr])</f>
        <v>0</v>
      </c>
    </row>
    <row r="1315" spans="1:18">
      <c r="A1315">
        <v>1314</v>
      </c>
      <c r="B1315" t="s">
        <v>4052</v>
      </c>
      <c r="C1315" t="s">
        <v>4053</v>
      </c>
      <c r="D1315" s="1" t="s">
        <v>4054</v>
      </c>
      <c r="E1315" t="s">
        <v>36</v>
      </c>
      <c r="G1315" t="str">
        <f>_xlfn.XLOOKUP(frasest[[#This Row],[author_es]],autorest[author_es],autorest[author_la])</f>
        <v>Proverbium Sinense</v>
      </c>
      <c r="H1315" t="str">
        <f>_xlfn.XLOOKUP(frasest[[#This Row],[author_es]],autorest[author_es],autorest[bio_es])</f>
        <v>Conjunto de proverbios tradicionales de la cultura china que transmiten sabiduría popular, valores morales y enseñanzas prácticas transmitidas oralmente durante siglos.</v>
      </c>
      <c r="I1315" t="str">
        <f>_xlfn.XLOOKUP(frasest[[#This Row],[author_es]],autorest[author_es],autorest[bio_la])</f>
        <v>Collectio sententiarum Sinensium, magnopere in cultura tradita.</v>
      </c>
      <c r="J1315" t="str">
        <f>_xlfn.XLOOKUP(frasest[[#This Row],[author_es]],autorest[author_es],autorest[iso3691])</f>
        <v>zh</v>
      </c>
      <c r="K1315" t="str">
        <f>_xlfn.XLOOKUP(frasest[[#This Row],[author_es]],autorest[author_es],autorest[language_es])</f>
        <v>Chino</v>
      </c>
      <c r="L1315" t="str">
        <f>_xlfn.XLOOKUP(frasest[[#This Row],[author_es]],autorest[author_es],autorest[language_la])</f>
        <v>Lingua Sinica</v>
      </c>
      <c r="M1315" t="str">
        <f>_xlfn.XLOOKUP(frasest[[#This Row],[author_es]],autorest[author_es],autorest[nation_es])</f>
        <v>China</v>
      </c>
      <c r="N1315" t="str">
        <f>_xlfn.XLOOKUP(frasest[[#This Row],[author_es]],autorest[author_es],autorest[nation_la])</f>
        <v>Sinae</v>
      </c>
      <c r="O1315" t="str">
        <f>_xlfn.XLOOKUP(frasest[[#This Row],[author_es]],autorest[author_es],autorest[age_es])</f>
        <v>Epoca Desconocida</v>
      </c>
      <c r="P1315" t="str">
        <f>_xlfn.XLOOKUP(frasest[[#This Row],[author_es]],autorest[author_es],autorest[age_la])</f>
        <v>Epocha Ignota</v>
      </c>
      <c r="Q1315" t="str">
        <f>_xlfn.XLOOKUP(frasest[[#This Row],[author_es]],autorest[author_es],autorest[image])</f>
        <v>https://i.ibb.co/qLfpZm6h/china.png</v>
      </c>
      <c r="R1315">
        <f>_xlfn.XLOOKUP(frasest[[#This Row],[author_es]],autorest[author_es],autorest[image_atr])</f>
        <v>0</v>
      </c>
    </row>
    <row r="1316" spans="1:18">
      <c r="A1316">
        <v>1315</v>
      </c>
      <c r="B1316" t="s">
        <v>4055</v>
      </c>
      <c r="C1316" t="s">
        <v>4056</v>
      </c>
      <c r="D1316" s="1" t="s">
        <v>4057</v>
      </c>
      <c r="E1316" t="s">
        <v>36</v>
      </c>
      <c r="G1316" t="str">
        <f>_xlfn.XLOOKUP(frasest[[#This Row],[author_es]],autorest[author_es],autorest[author_la])</f>
        <v>Proverbium Sinense</v>
      </c>
      <c r="H1316" t="str">
        <f>_xlfn.XLOOKUP(frasest[[#This Row],[author_es]],autorest[author_es],autorest[bio_es])</f>
        <v>Conjunto de proverbios tradicionales de la cultura china que transmiten sabiduría popular, valores morales y enseñanzas prácticas transmitidas oralmente durante siglos.</v>
      </c>
      <c r="I1316" t="str">
        <f>_xlfn.XLOOKUP(frasest[[#This Row],[author_es]],autorest[author_es],autorest[bio_la])</f>
        <v>Collectio sententiarum Sinensium, magnopere in cultura tradita.</v>
      </c>
      <c r="J1316" t="str">
        <f>_xlfn.XLOOKUP(frasest[[#This Row],[author_es]],autorest[author_es],autorest[iso3691])</f>
        <v>zh</v>
      </c>
      <c r="K1316" t="str">
        <f>_xlfn.XLOOKUP(frasest[[#This Row],[author_es]],autorest[author_es],autorest[language_es])</f>
        <v>Chino</v>
      </c>
      <c r="L1316" t="str">
        <f>_xlfn.XLOOKUP(frasest[[#This Row],[author_es]],autorest[author_es],autorest[language_la])</f>
        <v>Lingua Sinica</v>
      </c>
      <c r="M1316" t="str">
        <f>_xlfn.XLOOKUP(frasest[[#This Row],[author_es]],autorest[author_es],autorest[nation_es])</f>
        <v>China</v>
      </c>
      <c r="N1316" t="str">
        <f>_xlfn.XLOOKUP(frasest[[#This Row],[author_es]],autorest[author_es],autorest[nation_la])</f>
        <v>Sinae</v>
      </c>
      <c r="O1316" t="str">
        <f>_xlfn.XLOOKUP(frasest[[#This Row],[author_es]],autorest[author_es],autorest[age_es])</f>
        <v>Epoca Desconocida</v>
      </c>
      <c r="P1316" t="str">
        <f>_xlfn.XLOOKUP(frasest[[#This Row],[author_es]],autorest[author_es],autorest[age_la])</f>
        <v>Epocha Ignota</v>
      </c>
      <c r="Q1316" t="str">
        <f>_xlfn.XLOOKUP(frasest[[#This Row],[author_es]],autorest[author_es],autorest[image])</f>
        <v>https://i.ibb.co/qLfpZm6h/china.png</v>
      </c>
      <c r="R1316">
        <f>_xlfn.XLOOKUP(frasest[[#This Row],[author_es]],autorest[author_es],autorest[image_atr])</f>
        <v>0</v>
      </c>
    </row>
    <row r="1317" spans="1:18">
      <c r="A1317">
        <v>1316</v>
      </c>
      <c r="B1317" t="s">
        <v>4058</v>
      </c>
      <c r="C1317" t="s">
        <v>4059</v>
      </c>
      <c r="D1317" s="1" t="s">
        <v>4060</v>
      </c>
      <c r="E1317" t="s">
        <v>36</v>
      </c>
      <c r="G1317" t="str">
        <f>_xlfn.XLOOKUP(frasest[[#This Row],[author_es]],autorest[author_es],autorest[author_la])</f>
        <v>Proverbium Sinense</v>
      </c>
      <c r="H1317" t="str">
        <f>_xlfn.XLOOKUP(frasest[[#This Row],[author_es]],autorest[author_es],autorest[bio_es])</f>
        <v>Conjunto de proverbios tradicionales de la cultura china que transmiten sabiduría popular, valores morales y enseñanzas prácticas transmitidas oralmente durante siglos.</v>
      </c>
      <c r="I1317" t="str">
        <f>_xlfn.XLOOKUP(frasest[[#This Row],[author_es]],autorest[author_es],autorest[bio_la])</f>
        <v>Collectio sententiarum Sinensium, magnopere in cultura tradita.</v>
      </c>
      <c r="J1317" t="str">
        <f>_xlfn.XLOOKUP(frasest[[#This Row],[author_es]],autorest[author_es],autorest[iso3691])</f>
        <v>zh</v>
      </c>
      <c r="K1317" t="str">
        <f>_xlfn.XLOOKUP(frasest[[#This Row],[author_es]],autorest[author_es],autorest[language_es])</f>
        <v>Chino</v>
      </c>
      <c r="L1317" t="str">
        <f>_xlfn.XLOOKUP(frasest[[#This Row],[author_es]],autorest[author_es],autorest[language_la])</f>
        <v>Lingua Sinica</v>
      </c>
      <c r="M1317" t="str">
        <f>_xlfn.XLOOKUP(frasest[[#This Row],[author_es]],autorest[author_es],autorest[nation_es])</f>
        <v>China</v>
      </c>
      <c r="N1317" t="str">
        <f>_xlfn.XLOOKUP(frasest[[#This Row],[author_es]],autorest[author_es],autorest[nation_la])</f>
        <v>Sinae</v>
      </c>
      <c r="O1317" t="str">
        <f>_xlfn.XLOOKUP(frasest[[#This Row],[author_es]],autorest[author_es],autorest[age_es])</f>
        <v>Epoca Desconocida</v>
      </c>
      <c r="P1317" t="str">
        <f>_xlfn.XLOOKUP(frasest[[#This Row],[author_es]],autorest[author_es],autorest[age_la])</f>
        <v>Epocha Ignota</v>
      </c>
      <c r="Q1317" t="str">
        <f>_xlfn.XLOOKUP(frasest[[#This Row],[author_es]],autorest[author_es],autorest[image])</f>
        <v>https://i.ibb.co/qLfpZm6h/china.png</v>
      </c>
      <c r="R1317">
        <f>_xlfn.XLOOKUP(frasest[[#This Row],[author_es]],autorest[author_es],autorest[image_atr])</f>
        <v>0</v>
      </c>
    </row>
    <row r="1318" spans="1:18">
      <c r="A1318">
        <v>1317</v>
      </c>
      <c r="B1318" t="s">
        <v>4061</v>
      </c>
      <c r="C1318" t="s">
        <v>4062</v>
      </c>
      <c r="D1318" s="1" t="s">
        <v>4063</v>
      </c>
      <c r="E1318" t="s">
        <v>36</v>
      </c>
      <c r="G1318" t="str">
        <f>_xlfn.XLOOKUP(frasest[[#This Row],[author_es]],autorest[author_es],autorest[author_la])</f>
        <v>Proverbium Sinense</v>
      </c>
      <c r="H1318" t="str">
        <f>_xlfn.XLOOKUP(frasest[[#This Row],[author_es]],autorest[author_es],autorest[bio_es])</f>
        <v>Conjunto de proverbios tradicionales de la cultura china que transmiten sabiduría popular, valores morales y enseñanzas prácticas transmitidas oralmente durante siglos.</v>
      </c>
      <c r="I1318" t="str">
        <f>_xlfn.XLOOKUP(frasest[[#This Row],[author_es]],autorest[author_es],autorest[bio_la])</f>
        <v>Collectio sententiarum Sinensium, magnopere in cultura tradita.</v>
      </c>
      <c r="J1318" t="str">
        <f>_xlfn.XLOOKUP(frasest[[#This Row],[author_es]],autorest[author_es],autorest[iso3691])</f>
        <v>zh</v>
      </c>
      <c r="K1318" t="str">
        <f>_xlfn.XLOOKUP(frasest[[#This Row],[author_es]],autorest[author_es],autorest[language_es])</f>
        <v>Chino</v>
      </c>
      <c r="L1318" t="str">
        <f>_xlfn.XLOOKUP(frasest[[#This Row],[author_es]],autorest[author_es],autorest[language_la])</f>
        <v>Lingua Sinica</v>
      </c>
      <c r="M1318" t="str">
        <f>_xlfn.XLOOKUP(frasest[[#This Row],[author_es]],autorest[author_es],autorest[nation_es])</f>
        <v>China</v>
      </c>
      <c r="N1318" t="str">
        <f>_xlfn.XLOOKUP(frasest[[#This Row],[author_es]],autorest[author_es],autorest[nation_la])</f>
        <v>Sinae</v>
      </c>
      <c r="O1318" t="str">
        <f>_xlfn.XLOOKUP(frasest[[#This Row],[author_es]],autorest[author_es],autorest[age_es])</f>
        <v>Epoca Desconocida</v>
      </c>
      <c r="P1318" t="str">
        <f>_xlfn.XLOOKUP(frasest[[#This Row],[author_es]],autorest[author_es],autorest[age_la])</f>
        <v>Epocha Ignota</v>
      </c>
      <c r="Q1318" t="str">
        <f>_xlfn.XLOOKUP(frasest[[#This Row],[author_es]],autorest[author_es],autorest[image])</f>
        <v>https://i.ibb.co/qLfpZm6h/china.png</v>
      </c>
      <c r="R1318">
        <f>_xlfn.XLOOKUP(frasest[[#This Row],[author_es]],autorest[author_es],autorest[image_atr])</f>
        <v>0</v>
      </c>
    </row>
    <row r="1319" spans="1:18">
      <c r="A1319">
        <v>1318</v>
      </c>
      <c r="B1319" t="s">
        <v>4064</v>
      </c>
      <c r="C1319" t="s">
        <v>4065</v>
      </c>
      <c r="D1319" s="1" t="s">
        <v>4066</v>
      </c>
      <c r="E1319" t="s">
        <v>36</v>
      </c>
      <c r="G1319" t="str">
        <f>_xlfn.XLOOKUP(frasest[[#This Row],[author_es]],autorest[author_es],autorest[author_la])</f>
        <v>Proverbium Sinense</v>
      </c>
      <c r="H1319" t="str">
        <f>_xlfn.XLOOKUP(frasest[[#This Row],[author_es]],autorest[author_es],autorest[bio_es])</f>
        <v>Conjunto de proverbios tradicionales de la cultura china que transmiten sabiduría popular, valores morales y enseñanzas prácticas transmitidas oralmente durante siglos.</v>
      </c>
      <c r="I1319" t="str">
        <f>_xlfn.XLOOKUP(frasest[[#This Row],[author_es]],autorest[author_es],autorest[bio_la])</f>
        <v>Collectio sententiarum Sinensium, magnopere in cultura tradita.</v>
      </c>
      <c r="J1319" t="str">
        <f>_xlfn.XLOOKUP(frasest[[#This Row],[author_es]],autorest[author_es],autorest[iso3691])</f>
        <v>zh</v>
      </c>
      <c r="K1319" t="str">
        <f>_xlfn.XLOOKUP(frasest[[#This Row],[author_es]],autorest[author_es],autorest[language_es])</f>
        <v>Chino</v>
      </c>
      <c r="L1319" t="str">
        <f>_xlfn.XLOOKUP(frasest[[#This Row],[author_es]],autorest[author_es],autorest[language_la])</f>
        <v>Lingua Sinica</v>
      </c>
      <c r="M1319" t="str">
        <f>_xlfn.XLOOKUP(frasest[[#This Row],[author_es]],autorest[author_es],autorest[nation_es])</f>
        <v>China</v>
      </c>
      <c r="N1319" t="str">
        <f>_xlfn.XLOOKUP(frasest[[#This Row],[author_es]],autorest[author_es],autorest[nation_la])</f>
        <v>Sinae</v>
      </c>
      <c r="O1319" t="str">
        <f>_xlfn.XLOOKUP(frasest[[#This Row],[author_es]],autorest[author_es],autorest[age_es])</f>
        <v>Epoca Desconocida</v>
      </c>
      <c r="P1319" t="str">
        <f>_xlfn.XLOOKUP(frasest[[#This Row],[author_es]],autorest[author_es],autorest[age_la])</f>
        <v>Epocha Ignota</v>
      </c>
      <c r="Q1319" t="str">
        <f>_xlfn.XLOOKUP(frasest[[#This Row],[author_es]],autorest[author_es],autorest[image])</f>
        <v>https://i.ibb.co/qLfpZm6h/china.png</v>
      </c>
      <c r="R1319">
        <f>_xlfn.XLOOKUP(frasest[[#This Row],[author_es]],autorest[author_es],autorest[image_atr])</f>
        <v>0</v>
      </c>
    </row>
    <row r="1320" spans="1:18">
      <c r="A1320">
        <v>1319</v>
      </c>
      <c r="B1320" t="s">
        <v>4067</v>
      </c>
      <c r="C1320" t="s">
        <v>4068</v>
      </c>
      <c r="D1320" s="1" t="s">
        <v>4069</v>
      </c>
      <c r="E1320" t="s">
        <v>36</v>
      </c>
      <c r="G1320" t="str">
        <f>_xlfn.XLOOKUP(frasest[[#This Row],[author_es]],autorest[author_es],autorest[author_la])</f>
        <v>Proverbium Sinense</v>
      </c>
      <c r="H1320" t="str">
        <f>_xlfn.XLOOKUP(frasest[[#This Row],[author_es]],autorest[author_es],autorest[bio_es])</f>
        <v>Conjunto de proverbios tradicionales de la cultura china que transmiten sabiduría popular, valores morales y enseñanzas prácticas transmitidas oralmente durante siglos.</v>
      </c>
      <c r="I1320" t="str">
        <f>_xlfn.XLOOKUP(frasest[[#This Row],[author_es]],autorest[author_es],autorest[bio_la])</f>
        <v>Collectio sententiarum Sinensium, magnopere in cultura tradita.</v>
      </c>
      <c r="J1320" t="str">
        <f>_xlfn.XLOOKUP(frasest[[#This Row],[author_es]],autorest[author_es],autorest[iso3691])</f>
        <v>zh</v>
      </c>
      <c r="K1320" t="str">
        <f>_xlfn.XLOOKUP(frasest[[#This Row],[author_es]],autorest[author_es],autorest[language_es])</f>
        <v>Chino</v>
      </c>
      <c r="L1320" t="str">
        <f>_xlfn.XLOOKUP(frasest[[#This Row],[author_es]],autorest[author_es],autorest[language_la])</f>
        <v>Lingua Sinica</v>
      </c>
      <c r="M1320" t="str">
        <f>_xlfn.XLOOKUP(frasest[[#This Row],[author_es]],autorest[author_es],autorest[nation_es])</f>
        <v>China</v>
      </c>
      <c r="N1320" t="str">
        <f>_xlfn.XLOOKUP(frasest[[#This Row],[author_es]],autorest[author_es],autorest[nation_la])</f>
        <v>Sinae</v>
      </c>
      <c r="O1320" t="str">
        <f>_xlfn.XLOOKUP(frasest[[#This Row],[author_es]],autorest[author_es],autorest[age_es])</f>
        <v>Epoca Desconocida</v>
      </c>
      <c r="P1320" t="str">
        <f>_xlfn.XLOOKUP(frasest[[#This Row],[author_es]],autorest[author_es],autorest[age_la])</f>
        <v>Epocha Ignota</v>
      </c>
      <c r="Q1320" t="str">
        <f>_xlfn.XLOOKUP(frasest[[#This Row],[author_es]],autorest[author_es],autorest[image])</f>
        <v>https://i.ibb.co/qLfpZm6h/china.png</v>
      </c>
      <c r="R1320">
        <f>_xlfn.XLOOKUP(frasest[[#This Row],[author_es]],autorest[author_es],autorest[image_atr])</f>
        <v>0</v>
      </c>
    </row>
    <row r="1321" spans="1:18">
      <c r="A1321">
        <v>1320</v>
      </c>
      <c r="B1321" t="s">
        <v>4070</v>
      </c>
      <c r="C1321" t="s">
        <v>4071</v>
      </c>
      <c r="D1321" s="1" t="s">
        <v>4072</v>
      </c>
      <c r="E1321" t="s">
        <v>36</v>
      </c>
      <c r="G1321" t="str">
        <f>_xlfn.XLOOKUP(frasest[[#This Row],[author_es]],autorest[author_es],autorest[author_la])</f>
        <v>Proverbium Sinense</v>
      </c>
      <c r="H1321" t="str">
        <f>_xlfn.XLOOKUP(frasest[[#This Row],[author_es]],autorest[author_es],autorest[bio_es])</f>
        <v>Conjunto de proverbios tradicionales de la cultura china que transmiten sabiduría popular, valores morales y enseñanzas prácticas transmitidas oralmente durante siglos.</v>
      </c>
      <c r="I1321" t="str">
        <f>_xlfn.XLOOKUP(frasest[[#This Row],[author_es]],autorest[author_es],autorest[bio_la])</f>
        <v>Collectio sententiarum Sinensium, magnopere in cultura tradita.</v>
      </c>
      <c r="J1321" t="str">
        <f>_xlfn.XLOOKUP(frasest[[#This Row],[author_es]],autorest[author_es],autorest[iso3691])</f>
        <v>zh</v>
      </c>
      <c r="K1321" t="str">
        <f>_xlfn.XLOOKUP(frasest[[#This Row],[author_es]],autorest[author_es],autorest[language_es])</f>
        <v>Chino</v>
      </c>
      <c r="L1321" t="str">
        <f>_xlfn.XLOOKUP(frasest[[#This Row],[author_es]],autorest[author_es],autorest[language_la])</f>
        <v>Lingua Sinica</v>
      </c>
      <c r="M1321" t="str">
        <f>_xlfn.XLOOKUP(frasest[[#This Row],[author_es]],autorest[author_es],autorest[nation_es])</f>
        <v>China</v>
      </c>
      <c r="N1321" t="str">
        <f>_xlfn.XLOOKUP(frasest[[#This Row],[author_es]],autorest[author_es],autorest[nation_la])</f>
        <v>Sinae</v>
      </c>
      <c r="O1321" t="str">
        <f>_xlfn.XLOOKUP(frasest[[#This Row],[author_es]],autorest[author_es],autorest[age_es])</f>
        <v>Epoca Desconocida</v>
      </c>
      <c r="P1321" t="str">
        <f>_xlfn.XLOOKUP(frasest[[#This Row],[author_es]],autorest[author_es],autorest[age_la])</f>
        <v>Epocha Ignota</v>
      </c>
      <c r="Q1321" t="str">
        <f>_xlfn.XLOOKUP(frasest[[#This Row],[author_es]],autorest[author_es],autorest[image])</f>
        <v>https://i.ibb.co/qLfpZm6h/china.png</v>
      </c>
      <c r="R1321">
        <f>_xlfn.XLOOKUP(frasest[[#This Row],[author_es]],autorest[author_es],autorest[image_atr])</f>
        <v>0</v>
      </c>
    </row>
    <row r="1322" spans="1:18">
      <c r="A1322">
        <v>1321</v>
      </c>
      <c r="B1322" t="s">
        <v>4073</v>
      </c>
      <c r="C1322" t="s">
        <v>4074</v>
      </c>
      <c r="D1322" s="1" t="s">
        <v>4075</v>
      </c>
      <c r="E1322" t="s">
        <v>36</v>
      </c>
      <c r="G1322" t="str">
        <f>_xlfn.XLOOKUP(frasest[[#This Row],[author_es]],autorest[author_es],autorest[author_la])</f>
        <v>Proverbium Sinense</v>
      </c>
      <c r="H1322" t="str">
        <f>_xlfn.XLOOKUP(frasest[[#This Row],[author_es]],autorest[author_es],autorest[bio_es])</f>
        <v>Conjunto de proverbios tradicionales de la cultura china que transmiten sabiduría popular, valores morales y enseñanzas prácticas transmitidas oralmente durante siglos.</v>
      </c>
      <c r="I1322" t="str">
        <f>_xlfn.XLOOKUP(frasest[[#This Row],[author_es]],autorest[author_es],autorest[bio_la])</f>
        <v>Collectio sententiarum Sinensium, magnopere in cultura tradita.</v>
      </c>
      <c r="J1322" t="str">
        <f>_xlfn.XLOOKUP(frasest[[#This Row],[author_es]],autorest[author_es],autorest[iso3691])</f>
        <v>zh</v>
      </c>
      <c r="K1322" t="str">
        <f>_xlfn.XLOOKUP(frasest[[#This Row],[author_es]],autorest[author_es],autorest[language_es])</f>
        <v>Chino</v>
      </c>
      <c r="L1322" t="str">
        <f>_xlfn.XLOOKUP(frasest[[#This Row],[author_es]],autorest[author_es],autorest[language_la])</f>
        <v>Lingua Sinica</v>
      </c>
      <c r="M1322" t="str">
        <f>_xlfn.XLOOKUP(frasest[[#This Row],[author_es]],autorest[author_es],autorest[nation_es])</f>
        <v>China</v>
      </c>
      <c r="N1322" t="str">
        <f>_xlfn.XLOOKUP(frasest[[#This Row],[author_es]],autorest[author_es],autorest[nation_la])</f>
        <v>Sinae</v>
      </c>
      <c r="O1322" t="str">
        <f>_xlfn.XLOOKUP(frasest[[#This Row],[author_es]],autorest[author_es],autorest[age_es])</f>
        <v>Epoca Desconocida</v>
      </c>
      <c r="P1322" t="str">
        <f>_xlfn.XLOOKUP(frasest[[#This Row],[author_es]],autorest[author_es],autorest[age_la])</f>
        <v>Epocha Ignota</v>
      </c>
      <c r="Q1322" t="str">
        <f>_xlfn.XLOOKUP(frasest[[#This Row],[author_es]],autorest[author_es],autorest[image])</f>
        <v>https://i.ibb.co/qLfpZm6h/china.png</v>
      </c>
      <c r="R1322">
        <f>_xlfn.XLOOKUP(frasest[[#This Row],[author_es]],autorest[author_es],autorest[image_atr])</f>
        <v>0</v>
      </c>
    </row>
    <row r="1323" spans="1:18">
      <c r="A1323">
        <v>1322</v>
      </c>
      <c r="B1323" t="s">
        <v>4076</v>
      </c>
      <c r="C1323" t="s">
        <v>4077</v>
      </c>
      <c r="D1323" s="1" t="s">
        <v>4078</v>
      </c>
      <c r="E1323" t="s">
        <v>36</v>
      </c>
      <c r="G1323" t="str">
        <f>_xlfn.XLOOKUP(frasest[[#This Row],[author_es]],autorest[author_es],autorest[author_la])</f>
        <v>Proverbium Sinense</v>
      </c>
      <c r="H1323" t="str">
        <f>_xlfn.XLOOKUP(frasest[[#This Row],[author_es]],autorest[author_es],autorest[bio_es])</f>
        <v>Conjunto de proverbios tradicionales de la cultura china que transmiten sabiduría popular, valores morales y enseñanzas prácticas transmitidas oralmente durante siglos.</v>
      </c>
      <c r="I1323" t="str">
        <f>_xlfn.XLOOKUP(frasest[[#This Row],[author_es]],autorest[author_es],autorest[bio_la])</f>
        <v>Collectio sententiarum Sinensium, magnopere in cultura tradita.</v>
      </c>
      <c r="J1323" t="str">
        <f>_xlfn.XLOOKUP(frasest[[#This Row],[author_es]],autorest[author_es],autorest[iso3691])</f>
        <v>zh</v>
      </c>
      <c r="K1323" t="str">
        <f>_xlfn.XLOOKUP(frasest[[#This Row],[author_es]],autorest[author_es],autorest[language_es])</f>
        <v>Chino</v>
      </c>
      <c r="L1323" t="str">
        <f>_xlfn.XLOOKUP(frasest[[#This Row],[author_es]],autorest[author_es],autorest[language_la])</f>
        <v>Lingua Sinica</v>
      </c>
      <c r="M1323" t="str">
        <f>_xlfn.XLOOKUP(frasest[[#This Row],[author_es]],autorest[author_es],autorest[nation_es])</f>
        <v>China</v>
      </c>
      <c r="N1323" t="str">
        <f>_xlfn.XLOOKUP(frasest[[#This Row],[author_es]],autorest[author_es],autorest[nation_la])</f>
        <v>Sinae</v>
      </c>
      <c r="O1323" t="str">
        <f>_xlfn.XLOOKUP(frasest[[#This Row],[author_es]],autorest[author_es],autorest[age_es])</f>
        <v>Epoca Desconocida</v>
      </c>
      <c r="P1323" t="str">
        <f>_xlfn.XLOOKUP(frasest[[#This Row],[author_es]],autorest[author_es],autorest[age_la])</f>
        <v>Epocha Ignota</v>
      </c>
      <c r="Q1323" t="str">
        <f>_xlfn.XLOOKUP(frasest[[#This Row],[author_es]],autorest[author_es],autorest[image])</f>
        <v>https://i.ibb.co/qLfpZm6h/china.png</v>
      </c>
      <c r="R1323">
        <f>_xlfn.XLOOKUP(frasest[[#This Row],[author_es]],autorest[author_es],autorest[image_atr])</f>
        <v>0</v>
      </c>
    </row>
    <row r="1324" spans="1:18">
      <c r="A1324">
        <v>1323</v>
      </c>
      <c r="B1324" t="s">
        <v>4079</v>
      </c>
      <c r="C1324" t="s">
        <v>4080</v>
      </c>
      <c r="D1324" s="1" t="s">
        <v>4081</v>
      </c>
      <c r="E1324" t="s">
        <v>36</v>
      </c>
      <c r="G1324" t="str">
        <f>_xlfn.XLOOKUP(frasest[[#This Row],[author_es]],autorest[author_es],autorest[author_la])</f>
        <v>Proverbium Sinense</v>
      </c>
      <c r="H1324" t="str">
        <f>_xlfn.XLOOKUP(frasest[[#This Row],[author_es]],autorest[author_es],autorest[bio_es])</f>
        <v>Conjunto de proverbios tradicionales de la cultura china que transmiten sabiduría popular, valores morales y enseñanzas prácticas transmitidas oralmente durante siglos.</v>
      </c>
      <c r="I1324" t="str">
        <f>_xlfn.XLOOKUP(frasest[[#This Row],[author_es]],autorest[author_es],autorest[bio_la])</f>
        <v>Collectio sententiarum Sinensium, magnopere in cultura tradita.</v>
      </c>
      <c r="J1324" t="str">
        <f>_xlfn.XLOOKUP(frasest[[#This Row],[author_es]],autorest[author_es],autorest[iso3691])</f>
        <v>zh</v>
      </c>
      <c r="K1324" t="str">
        <f>_xlfn.XLOOKUP(frasest[[#This Row],[author_es]],autorest[author_es],autorest[language_es])</f>
        <v>Chino</v>
      </c>
      <c r="L1324" t="str">
        <f>_xlfn.XLOOKUP(frasest[[#This Row],[author_es]],autorest[author_es],autorest[language_la])</f>
        <v>Lingua Sinica</v>
      </c>
      <c r="M1324" t="str">
        <f>_xlfn.XLOOKUP(frasest[[#This Row],[author_es]],autorest[author_es],autorest[nation_es])</f>
        <v>China</v>
      </c>
      <c r="N1324" t="str">
        <f>_xlfn.XLOOKUP(frasest[[#This Row],[author_es]],autorest[author_es],autorest[nation_la])</f>
        <v>Sinae</v>
      </c>
      <c r="O1324" t="str">
        <f>_xlfn.XLOOKUP(frasest[[#This Row],[author_es]],autorest[author_es],autorest[age_es])</f>
        <v>Epoca Desconocida</v>
      </c>
      <c r="P1324" t="str">
        <f>_xlfn.XLOOKUP(frasest[[#This Row],[author_es]],autorest[author_es],autorest[age_la])</f>
        <v>Epocha Ignota</v>
      </c>
      <c r="Q1324" t="str">
        <f>_xlfn.XLOOKUP(frasest[[#This Row],[author_es]],autorest[author_es],autorest[image])</f>
        <v>https://i.ibb.co/qLfpZm6h/china.png</v>
      </c>
      <c r="R1324">
        <f>_xlfn.XLOOKUP(frasest[[#This Row],[author_es]],autorest[author_es],autorest[image_atr])</f>
        <v>0</v>
      </c>
    </row>
    <row r="1325" spans="1:18">
      <c r="A1325">
        <v>1324</v>
      </c>
      <c r="B1325" t="s">
        <v>4082</v>
      </c>
      <c r="C1325" t="s">
        <v>4083</v>
      </c>
      <c r="D1325" s="1" t="s">
        <v>4084</v>
      </c>
      <c r="E1325" t="s">
        <v>36</v>
      </c>
      <c r="G1325" t="str">
        <f>_xlfn.XLOOKUP(frasest[[#This Row],[author_es]],autorest[author_es],autorest[author_la])</f>
        <v>Proverbium Sinense</v>
      </c>
      <c r="H1325" t="str">
        <f>_xlfn.XLOOKUP(frasest[[#This Row],[author_es]],autorest[author_es],autorest[bio_es])</f>
        <v>Conjunto de proverbios tradicionales de la cultura china que transmiten sabiduría popular, valores morales y enseñanzas prácticas transmitidas oralmente durante siglos.</v>
      </c>
      <c r="I1325" t="str">
        <f>_xlfn.XLOOKUP(frasest[[#This Row],[author_es]],autorest[author_es],autorest[bio_la])</f>
        <v>Collectio sententiarum Sinensium, magnopere in cultura tradita.</v>
      </c>
      <c r="J1325" t="str">
        <f>_xlfn.XLOOKUP(frasest[[#This Row],[author_es]],autorest[author_es],autorest[iso3691])</f>
        <v>zh</v>
      </c>
      <c r="K1325" t="str">
        <f>_xlfn.XLOOKUP(frasest[[#This Row],[author_es]],autorest[author_es],autorest[language_es])</f>
        <v>Chino</v>
      </c>
      <c r="L1325" t="str">
        <f>_xlfn.XLOOKUP(frasest[[#This Row],[author_es]],autorest[author_es],autorest[language_la])</f>
        <v>Lingua Sinica</v>
      </c>
      <c r="M1325" t="str">
        <f>_xlfn.XLOOKUP(frasest[[#This Row],[author_es]],autorest[author_es],autorest[nation_es])</f>
        <v>China</v>
      </c>
      <c r="N1325" t="str">
        <f>_xlfn.XLOOKUP(frasest[[#This Row],[author_es]],autorest[author_es],autorest[nation_la])</f>
        <v>Sinae</v>
      </c>
      <c r="O1325" t="str">
        <f>_xlfn.XLOOKUP(frasest[[#This Row],[author_es]],autorest[author_es],autorest[age_es])</f>
        <v>Epoca Desconocida</v>
      </c>
      <c r="P1325" t="str">
        <f>_xlfn.XLOOKUP(frasest[[#This Row],[author_es]],autorest[author_es],autorest[age_la])</f>
        <v>Epocha Ignota</v>
      </c>
      <c r="Q1325" t="str">
        <f>_xlfn.XLOOKUP(frasest[[#This Row],[author_es]],autorest[author_es],autorest[image])</f>
        <v>https://i.ibb.co/qLfpZm6h/china.png</v>
      </c>
      <c r="R1325">
        <f>_xlfn.XLOOKUP(frasest[[#This Row],[author_es]],autorest[author_es],autorest[image_atr])</f>
        <v>0</v>
      </c>
    </row>
    <row r="1326" spans="1:18">
      <c r="A1326">
        <v>1325</v>
      </c>
      <c r="B1326" t="s">
        <v>4085</v>
      </c>
      <c r="C1326" t="s">
        <v>4086</v>
      </c>
      <c r="D1326" s="1" t="s">
        <v>4087</v>
      </c>
      <c r="E1326" t="s">
        <v>36</v>
      </c>
      <c r="G1326" t="str">
        <f>_xlfn.XLOOKUP(frasest[[#This Row],[author_es]],autorest[author_es],autorest[author_la])</f>
        <v>Proverbium Sinense</v>
      </c>
      <c r="H1326" t="str">
        <f>_xlfn.XLOOKUP(frasest[[#This Row],[author_es]],autorest[author_es],autorest[bio_es])</f>
        <v>Conjunto de proverbios tradicionales de la cultura china que transmiten sabiduría popular, valores morales y enseñanzas prácticas transmitidas oralmente durante siglos.</v>
      </c>
      <c r="I1326" t="str">
        <f>_xlfn.XLOOKUP(frasest[[#This Row],[author_es]],autorest[author_es],autorest[bio_la])</f>
        <v>Collectio sententiarum Sinensium, magnopere in cultura tradita.</v>
      </c>
      <c r="J1326" t="str">
        <f>_xlfn.XLOOKUP(frasest[[#This Row],[author_es]],autorest[author_es],autorest[iso3691])</f>
        <v>zh</v>
      </c>
      <c r="K1326" t="str">
        <f>_xlfn.XLOOKUP(frasest[[#This Row],[author_es]],autorest[author_es],autorest[language_es])</f>
        <v>Chino</v>
      </c>
      <c r="L1326" t="str">
        <f>_xlfn.XLOOKUP(frasest[[#This Row],[author_es]],autorest[author_es],autorest[language_la])</f>
        <v>Lingua Sinica</v>
      </c>
      <c r="M1326" t="str">
        <f>_xlfn.XLOOKUP(frasest[[#This Row],[author_es]],autorest[author_es],autorest[nation_es])</f>
        <v>China</v>
      </c>
      <c r="N1326" t="str">
        <f>_xlfn.XLOOKUP(frasest[[#This Row],[author_es]],autorest[author_es],autorest[nation_la])</f>
        <v>Sinae</v>
      </c>
      <c r="O1326" t="str">
        <f>_xlfn.XLOOKUP(frasest[[#This Row],[author_es]],autorest[author_es],autorest[age_es])</f>
        <v>Epoca Desconocida</v>
      </c>
      <c r="P1326" t="str">
        <f>_xlfn.XLOOKUP(frasest[[#This Row],[author_es]],autorest[author_es],autorest[age_la])</f>
        <v>Epocha Ignota</v>
      </c>
      <c r="Q1326" t="str">
        <f>_xlfn.XLOOKUP(frasest[[#This Row],[author_es]],autorest[author_es],autorest[image])</f>
        <v>https://i.ibb.co/qLfpZm6h/china.png</v>
      </c>
      <c r="R1326">
        <f>_xlfn.XLOOKUP(frasest[[#This Row],[author_es]],autorest[author_es],autorest[image_atr])</f>
        <v>0</v>
      </c>
    </row>
    <row r="1327" spans="1:18">
      <c r="A1327">
        <v>1326</v>
      </c>
      <c r="B1327" t="s">
        <v>4088</v>
      </c>
      <c r="C1327" t="s">
        <v>4089</v>
      </c>
      <c r="D1327" s="1" t="s">
        <v>3958</v>
      </c>
      <c r="E1327" t="s">
        <v>36</v>
      </c>
      <c r="G1327" t="str">
        <f>_xlfn.XLOOKUP(frasest[[#This Row],[author_es]],autorest[author_es],autorest[author_la])</f>
        <v>Proverbium Sinense</v>
      </c>
      <c r="H1327" t="str">
        <f>_xlfn.XLOOKUP(frasest[[#This Row],[author_es]],autorest[author_es],autorest[bio_es])</f>
        <v>Conjunto de proverbios tradicionales de la cultura china que transmiten sabiduría popular, valores morales y enseñanzas prácticas transmitidas oralmente durante siglos.</v>
      </c>
      <c r="I1327" t="str">
        <f>_xlfn.XLOOKUP(frasest[[#This Row],[author_es]],autorest[author_es],autorest[bio_la])</f>
        <v>Collectio sententiarum Sinensium, magnopere in cultura tradita.</v>
      </c>
      <c r="J1327" t="str">
        <f>_xlfn.XLOOKUP(frasest[[#This Row],[author_es]],autorest[author_es],autorest[iso3691])</f>
        <v>zh</v>
      </c>
      <c r="K1327" t="str">
        <f>_xlfn.XLOOKUP(frasest[[#This Row],[author_es]],autorest[author_es],autorest[language_es])</f>
        <v>Chino</v>
      </c>
      <c r="L1327" t="str">
        <f>_xlfn.XLOOKUP(frasest[[#This Row],[author_es]],autorest[author_es],autorest[language_la])</f>
        <v>Lingua Sinica</v>
      </c>
      <c r="M1327" t="str">
        <f>_xlfn.XLOOKUP(frasest[[#This Row],[author_es]],autorest[author_es],autorest[nation_es])</f>
        <v>China</v>
      </c>
      <c r="N1327" t="str">
        <f>_xlfn.XLOOKUP(frasest[[#This Row],[author_es]],autorest[author_es],autorest[nation_la])</f>
        <v>Sinae</v>
      </c>
      <c r="O1327" t="str">
        <f>_xlfn.XLOOKUP(frasest[[#This Row],[author_es]],autorest[author_es],autorest[age_es])</f>
        <v>Epoca Desconocida</v>
      </c>
      <c r="P1327" t="str">
        <f>_xlfn.XLOOKUP(frasest[[#This Row],[author_es]],autorest[author_es],autorest[age_la])</f>
        <v>Epocha Ignota</v>
      </c>
      <c r="Q1327" t="str">
        <f>_xlfn.XLOOKUP(frasest[[#This Row],[author_es]],autorest[author_es],autorest[image])</f>
        <v>https://i.ibb.co/qLfpZm6h/china.png</v>
      </c>
      <c r="R1327">
        <f>_xlfn.XLOOKUP(frasest[[#This Row],[author_es]],autorest[author_es],autorest[image_atr])</f>
        <v>0</v>
      </c>
    </row>
    <row r="1328" spans="1:18">
      <c r="A1328">
        <v>1327</v>
      </c>
      <c r="B1328" t="s">
        <v>4090</v>
      </c>
      <c r="C1328" t="s">
        <v>4091</v>
      </c>
      <c r="D1328" s="1" t="s">
        <v>4092</v>
      </c>
      <c r="E1328" t="s">
        <v>36</v>
      </c>
      <c r="G1328" t="str">
        <f>_xlfn.XLOOKUP(frasest[[#This Row],[author_es]],autorest[author_es],autorest[author_la])</f>
        <v>Proverbium Sinense</v>
      </c>
      <c r="H1328" t="str">
        <f>_xlfn.XLOOKUP(frasest[[#This Row],[author_es]],autorest[author_es],autorest[bio_es])</f>
        <v>Conjunto de proverbios tradicionales de la cultura china que transmiten sabiduría popular, valores morales y enseñanzas prácticas transmitidas oralmente durante siglos.</v>
      </c>
      <c r="I1328" t="str">
        <f>_xlfn.XLOOKUP(frasest[[#This Row],[author_es]],autorest[author_es],autorest[bio_la])</f>
        <v>Collectio sententiarum Sinensium, magnopere in cultura tradita.</v>
      </c>
      <c r="J1328" t="str">
        <f>_xlfn.XLOOKUP(frasest[[#This Row],[author_es]],autorest[author_es],autorest[iso3691])</f>
        <v>zh</v>
      </c>
      <c r="K1328" t="str">
        <f>_xlfn.XLOOKUP(frasest[[#This Row],[author_es]],autorest[author_es],autorest[language_es])</f>
        <v>Chino</v>
      </c>
      <c r="L1328" t="str">
        <f>_xlfn.XLOOKUP(frasest[[#This Row],[author_es]],autorest[author_es],autorest[language_la])</f>
        <v>Lingua Sinica</v>
      </c>
      <c r="M1328" t="str">
        <f>_xlfn.XLOOKUP(frasest[[#This Row],[author_es]],autorest[author_es],autorest[nation_es])</f>
        <v>China</v>
      </c>
      <c r="N1328" t="str">
        <f>_xlfn.XLOOKUP(frasest[[#This Row],[author_es]],autorest[author_es],autorest[nation_la])</f>
        <v>Sinae</v>
      </c>
      <c r="O1328" t="str">
        <f>_xlfn.XLOOKUP(frasest[[#This Row],[author_es]],autorest[author_es],autorest[age_es])</f>
        <v>Epoca Desconocida</v>
      </c>
      <c r="P1328" t="str">
        <f>_xlfn.XLOOKUP(frasest[[#This Row],[author_es]],autorest[author_es],autorest[age_la])</f>
        <v>Epocha Ignota</v>
      </c>
      <c r="Q1328" t="str">
        <f>_xlfn.XLOOKUP(frasest[[#This Row],[author_es]],autorest[author_es],autorest[image])</f>
        <v>https://i.ibb.co/qLfpZm6h/china.png</v>
      </c>
      <c r="R1328">
        <f>_xlfn.XLOOKUP(frasest[[#This Row],[author_es]],autorest[author_es],autorest[image_atr])</f>
        <v>0</v>
      </c>
    </row>
    <row r="1329" spans="1:18">
      <c r="A1329">
        <v>1328</v>
      </c>
      <c r="B1329" t="s">
        <v>4093</v>
      </c>
      <c r="C1329" t="s">
        <v>4094</v>
      </c>
      <c r="D1329" s="1" t="s">
        <v>4095</v>
      </c>
      <c r="E1329" t="s">
        <v>36</v>
      </c>
      <c r="G1329" t="str">
        <f>_xlfn.XLOOKUP(frasest[[#This Row],[author_es]],autorest[author_es],autorest[author_la])</f>
        <v>Proverbium Sinense</v>
      </c>
      <c r="H1329" t="str">
        <f>_xlfn.XLOOKUP(frasest[[#This Row],[author_es]],autorest[author_es],autorest[bio_es])</f>
        <v>Conjunto de proverbios tradicionales de la cultura china que transmiten sabiduría popular, valores morales y enseñanzas prácticas transmitidas oralmente durante siglos.</v>
      </c>
      <c r="I1329" t="str">
        <f>_xlfn.XLOOKUP(frasest[[#This Row],[author_es]],autorest[author_es],autorest[bio_la])</f>
        <v>Collectio sententiarum Sinensium, magnopere in cultura tradita.</v>
      </c>
      <c r="J1329" t="str">
        <f>_xlfn.XLOOKUP(frasest[[#This Row],[author_es]],autorest[author_es],autorest[iso3691])</f>
        <v>zh</v>
      </c>
      <c r="K1329" t="str">
        <f>_xlfn.XLOOKUP(frasest[[#This Row],[author_es]],autorest[author_es],autorest[language_es])</f>
        <v>Chino</v>
      </c>
      <c r="L1329" t="str">
        <f>_xlfn.XLOOKUP(frasest[[#This Row],[author_es]],autorest[author_es],autorest[language_la])</f>
        <v>Lingua Sinica</v>
      </c>
      <c r="M1329" t="str">
        <f>_xlfn.XLOOKUP(frasest[[#This Row],[author_es]],autorest[author_es],autorest[nation_es])</f>
        <v>China</v>
      </c>
      <c r="N1329" t="str">
        <f>_xlfn.XLOOKUP(frasest[[#This Row],[author_es]],autorest[author_es],autorest[nation_la])</f>
        <v>Sinae</v>
      </c>
      <c r="O1329" t="str">
        <f>_xlfn.XLOOKUP(frasest[[#This Row],[author_es]],autorest[author_es],autorest[age_es])</f>
        <v>Epoca Desconocida</v>
      </c>
      <c r="P1329" t="str">
        <f>_xlfn.XLOOKUP(frasest[[#This Row],[author_es]],autorest[author_es],autorest[age_la])</f>
        <v>Epocha Ignota</v>
      </c>
      <c r="Q1329" t="str">
        <f>_xlfn.XLOOKUP(frasest[[#This Row],[author_es]],autorest[author_es],autorest[image])</f>
        <v>https://i.ibb.co/qLfpZm6h/china.png</v>
      </c>
      <c r="R1329">
        <f>_xlfn.XLOOKUP(frasest[[#This Row],[author_es]],autorest[author_es],autorest[image_atr])</f>
        <v>0</v>
      </c>
    </row>
    <row r="1330" spans="1:18">
      <c r="A1330">
        <v>1329</v>
      </c>
      <c r="B1330" t="s">
        <v>4096</v>
      </c>
      <c r="C1330" t="s">
        <v>4097</v>
      </c>
      <c r="D1330" s="1" t="s">
        <v>4098</v>
      </c>
      <c r="E1330" t="s">
        <v>36</v>
      </c>
      <c r="G1330" t="str">
        <f>_xlfn.XLOOKUP(frasest[[#This Row],[author_es]],autorest[author_es],autorest[author_la])</f>
        <v>Proverbium Sinense</v>
      </c>
      <c r="H1330" t="str">
        <f>_xlfn.XLOOKUP(frasest[[#This Row],[author_es]],autorest[author_es],autorest[bio_es])</f>
        <v>Conjunto de proverbios tradicionales de la cultura china que transmiten sabiduría popular, valores morales y enseñanzas prácticas transmitidas oralmente durante siglos.</v>
      </c>
      <c r="I1330" t="str">
        <f>_xlfn.XLOOKUP(frasest[[#This Row],[author_es]],autorest[author_es],autorest[bio_la])</f>
        <v>Collectio sententiarum Sinensium, magnopere in cultura tradita.</v>
      </c>
      <c r="J1330" t="str">
        <f>_xlfn.XLOOKUP(frasest[[#This Row],[author_es]],autorest[author_es],autorest[iso3691])</f>
        <v>zh</v>
      </c>
      <c r="K1330" t="str">
        <f>_xlfn.XLOOKUP(frasest[[#This Row],[author_es]],autorest[author_es],autorest[language_es])</f>
        <v>Chino</v>
      </c>
      <c r="L1330" t="str">
        <f>_xlfn.XLOOKUP(frasest[[#This Row],[author_es]],autorest[author_es],autorest[language_la])</f>
        <v>Lingua Sinica</v>
      </c>
      <c r="M1330" t="str">
        <f>_xlfn.XLOOKUP(frasest[[#This Row],[author_es]],autorest[author_es],autorest[nation_es])</f>
        <v>China</v>
      </c>
      <c r="N1330" t="str">
        <f>_xlfn.XLOOKUP(frasest[[#This Row],[author_es]],autorest[author_es],autorest[nation_la])</f>
        <v>Sinae</v>
      </c>
      <c r="O1330" t="str">
        <f>_xlfn.XLOOKUP(frasest[[#This Row],[author_es]],autorest[author_es],autorest[age_es])</f>
        <v>Epoca Desconocida</v>
      </c>
      <c r="P1330" t="str">
        <f>_xlfn.XLOOKUP(frasest[[#This Row],[author_es]],autorest[author_es],autorest[age_la])</f>
        <v>Epocha Ignota</v>
      </c>
      <c r="Q1330" t="str">
        <f>_xlfn.XLOOKUP(frasest[[#This Row],[author_es]],autorest[author_es],autorest[image])</f>
        <v>https://i.ibb.co/qLfpZm6h/china.png</v>
      </c>
      <c r="R1330">
        <f>_xlfn.XLOOKUP(frasest[[#This Row],[author_es]],autorest[author_es],autorest[image_atr])</f>
        <v>0</v>
      </c>
    </row>
    <row r="1331" spans="1:18">
      <c r="A1331">
        <v>1330</v>
      </c>
      <c r="B1331" t="s">
        <v>4099</v>
      </c>
      <c r="C1331" t="s">
        <v>4100</v>
      </c>
      <c r="D1331" s="1" t="s">
        <v>4101</v>
      </c>
      <c r="E1331" t="s">
        <v>36</v>
      </c>
      <c r="G1331" t="str">
        <f>_xlfn.XLOOKUP(frasest[[#This Row],[author_es]],autorest[author_es],autorest[author_la])</f>
        <v>Proverbium Sinense</v>
      </c>
      <c r="H1331" t="str">
        <f>_xlfn.XLOOKUP(frasest[[#This Row],[author_es]],autorest[author_es],autorest[bio_es])</f>
        <v>Conjunto de proverbios tradicionales de la cultura china que transmiten sabiduría popular, valores morales y enseñanzas prácticas transmitidas oralmente durante siglos.</v>
      </c>
      <c r="I1331" t="str">
        <f>_xlfn.XLOOKUP(frasest[[#This Row],[author_es]],autorest[author_es],autorest[bio_la])</f>
        <v>Collectio sententiarum Sinensium, magnopere in cultura tradita.</v>
      </c>
      <c r="J1331" t="str">
        <f>_xlfn.XLOOKUP(frasest[[#This Row],[author_es]],autorest[author_es],autorest[iso3691])</f>
        <v>zh</v>
      </c>
      <c r="K1331" t="str">
        <f>_xlfn.XLOOKUP(frasest[[#This Row],[author_es]],autorest[author_es],autorest[language_es])</f>
        <v>Chino</v>
      </c>
      <c r="L1331" t="str">
        <f>_xlfn.XLOOKUP(frasest[[#This Row],[author_es]],autorest[author_es],autorest[language_la])</f>
        <v>Lingua Sinica</v>
      </c>
      <c r="M1331" t="str">
        <f>_xlfn.XLOOKUP(frasest[[#This Row],[author_es]],autorest[author_es],autorest[nation_es])</f>
        <v>China</v>
      </c>
      <c r="N1331" t="str">
        <f>_xlfn.XLOOKUP(frasest[[#This Row],[author_es]],autorest[author_es],autorest[nation_la])</f>
        <v>Sinae</v>
      </c>
      <c r="O1331" t="str">
        <f>_xlfn.XLOOKUP(frasest[[#This Row],[author_es]],autorest[author_es],autorest[age_es])</f>
        <v>Epoca Desconocida</v>
      </c>
      <c r="P1331" t="str">
        <f>_xlfn.XLOOKUP(frasest[[#This Row],[author_es]],autorest[author_es],autorest[age_la])</f>
        <v>Epocha Ignota</v>
      </c>
      <c r="Q1331" t="str">
        <f>_xlfn.XLOOKUP(frasest[[#This Row],[author_es]],autorest[author_es],autorest[image])</f>
        <v>https://i.ibb.co/qLfpZm6h/china.png</v>
      </c>
      <c r="R1331">
        <f>_xlfn.XLOOKUP(frasest[[#This Row],[author_es]],autorest[author_es],autorest[image_atr])</f>
        <v>0</v>
      </c>
    </row>
    <row r="1332" spans="1:18">
      <c r="A1332">
        <v>1331</v>
      </c>
      <c r="B1332" t="s">
        <v>4102</v>
      </c>
      <c r="C1332" t="s">
        <v>4103</v>
      </c>
      <c r="D1332" s="1" t="s">
        <v>4104</v>
      </c>
      <c r="E1332" t="s">
        <v>36</v>
      </c>
      <c r="G1332" t="str">
        <f>_xlfn.XLOOKUP(frasest[[#This Row],[author_es]],autorest[author_es],autorest[author_la])</f>
        <v>Proverbium Sinense</v>
      </c>
      <c r="H1332" t="str">
        <f>_xlfn.XLOOKUP(frasest[[#This Row],[author_es]],autorest[author_es],autorest[bio_es])</f>
        <v>Conjunto de proverbios tradicionales de la cultura china que transmiten sabiduría popular, valores morales y enseñanzas prácticas transmitidas oralmente durante siglos.</v>
      </c>
      <c r="I1332" t="str">
        <f>_xlfn.XLOOKUP(frasest[[#This Row],[author_es]],autorest[author_es],autorest[bio_la])</f>
        <v>Collectio sententiarum Sinensium, magnopere in cultura tradita.</v>
      </c>
      <c r="J1332" t="str">
        <f>_xlfn.XLOOKUP(frasest[[#This Row],[author_es]],autorest[author_es],autorest[iso3691])</f>
        <v>zh</v>
      </c>
      <c r="K1332" t="str">
        <f>_xlfn.XLOOKUP(frasest[[#This Row],[author_es]],autorest[author_es],autorest[language_es])</f>
        <v>Chino</v>
      </c>
      <c r="L1332" t="str">
        <f>_xlfn.XLOOKUP(frasest[[#This Row],[author_es]],autorest[author_es],autorest[language_la])</f>
        <v>Lingua Sinica</v>
      </c>
      <c r="M1332" t="str">
        <f>_xlfn.XLOOKUP(frasest[[#This Row],[author_es]],autorest[author_es],autorest[nation_es])</f>
        <v>China</v>
      </c>
      <c r="N1332" t="str">
        <f>_xlfn.XLOOKUP(frasest[[#This Row],[author_es]],autorest[author_es],autorest[nation_la])</f>
        <v>Sinae</v>
      </c>
      <c r="O1332" t="str">
        <f>_xlfn.XLOOKUP(frasest[[#This Row],[author_es]],autorest[author_es],autorest[age_es])</f>
        <v>Epoca Desconocida</v>
      </c>
      <c r="P1332" t="str">
        <f>_xlfn.XLOOKUP(frasest[[#This Row],[author_es]],autorest[author_es],autorest[age_la])</f>
        <v>Epocha Ignota</v>
      </c>
      <c r="Q1332" t="str">
        <f>_xlfn.XLOOKUP(frasest[[#This Row],[author_es]],autorest[author_es],autorest[image])</f>
        <v>https://i.ibb.co/qLfpZm6h/china.png</v>
      </c>
      <c r="R1332">
        <f>_xlfn.XLOOKUP(frasest[[#This Row],[author_es]],autorest[author_es],autorest[image_atr])</f>
        <v>0</v>
      </c>
    </row>
    <row r="1333" spans="1:18">
      <c r="A1333">
        <v>1332</v>
      </c>
      <c r="B1333" t="s">
        <v>4105</v>
      </c>
      <c r="C1333" t="s">
        <v>4106</v>
      </c>
      <c r="D1333" s="1" t="s">
        <v>3234</v>
      </c>
      <c r="E1333" t="s">
        <v>36</v>
      </c>
      <c r="G1333" t="str">
        <f>_xlfn.XLOOKUP(frasest[[#This Row],[author_es]],autorest[author_es],autorest[author_la])</f>
        <v>Proverbium Sinense</v>
      </c>
      <c r="H1333" t="str">
        <f>_xlfn.XLOOKUP(frasest[[#This Row],[author_es]],autorest[author_es],autorest[bio_es])</f>
        <v>Conjunto de proverbios tradicionales de la cultura china que transmiten sabiduría popular, valores morales y enseñanzas prácticas transmitidas oralmente durante siglos.</v>
      </c>
      <c r="I1333" t="str">
        <f>_xlfn.XLOOKUP(frasest[[#This Row],[author_es]],autorest[author_es],autorest[bio_la])</f>
        <v>Collectio sententiarum Sinensium, magnopere in cultura tradita.</v>
      </c>
      <c r="J1333" t="str">
        <f>_xlfn.XLOOKUP(frasest[[#This Row],[author_es]],autorest[author_es],autorest[iso3691])</f>
        <v>zh</v>
      </c>
      <c r="K1333" t="str">
        <f>_xlfn.XLOOKUP(frasest[[#This Row],[author_es]],autorest[author_es],autorest[language_es])</f>
        <v>Chino</v>
      </c>
      <c r="L1333" t="str">
        <f>_xlfn.XLOOKUP(frasest[[#This Row],[author_es]],autorest[author_es],autorest[language_la])</f>
        <v>Lingua Sinica</v>
      </c>
      <c r="M1333" t="str">
        <f>_xlfn.XLOOKUP(frasest[[#This Row],[author_es]],autorest[author_es],autorest[nation_es])</f>
        <v>China</v>
      </c>
      <c r="N1333" t="str">
        <f>_xlfn.XLOOKUP(frasest[[#This Row],[author_es]],autorest[author_es],autorest[nation_la])</f>
        <v>Sinae</v>
      </c>
      <c r="O1333" t="str">
        <f>_xlfn.XLOOKUP(frasest[[#This Row],[author_es]],autorest[author_es],autorest[age_es])</f>
        <v>Epoca Desconocida</v>
      </c>
      <c r="P1333" t="str">
        <f>_xlfn.XLOOKUP(frasest[[#This Row],[author_es]],autorest[author_es],autorest[age_la])</f>
        <v>Epocha Ignota</v>
      </c>
      <c r="Q1333" t="str">
        <f>_xlfn.XLOOKUP(frasest[[#This Row],[author_es]],autorest[author_es],autorest[image])</f>
        <v>https://i.ibb.co/qLfpZm6h/china.png</v>
      </c>
      <c r="R1333">
        <f>_xlfn.XLOOKUP(frasest[[#This Row],[author_es]],autorest[author_es],autorest[image_atr])</f>
        <v>0</v>
      </c>
    </row>
    <row r="1334" spans="1:18">
      <c r="A1334">
        <v>1333</v>
      </c>
      <c r="B1334" t="s">
        <v>4107</v>
      </c>
      <c r="C1334" t="s">
        <v>4108</v>
      </c>
      <c r="D1334" s="1" t="s">
        <v>4109</v>
      </c>
      <c r="E1334" t="s">
        <v>36</v>
      </c>
      <c r="G1334" t="str">
        <f>_xlfn.XLOOKUP(frasest[[#This Row],[author_es]],autorest[author_es],autorest[author_la])</f>
        <v>Proverbium Sinense</v>
      </c>
      <c r="H1334" t="str">
        <f>_xlfn.XLOOKUP(frasest[[#This Row],[author_es]],autorest[author_es],autorest[bio_es])</f>
        <v>Conjunto de proverbios tradicionales de la cultura china que transmiten sabiduría popular, valores morales y enseñanzas prácticas transmitidas oralmente durante siglos.</v>
      </c>
      <c r="I1334" t="str">
        <f>_xlfn.XLOOKUP(frasest[[#This Row],[author_es]],autorest[author_es],autorest[bio_la])</f>
        <v>Collectio sententiarum Sinensium, magnopere in cultura tradita.</v>
      </c>
      <c r="J1334" t="str">
        <f>_xlfn.XLOOKUP(frasest[[#This Row],[author_es]],autorest[author_es],autorest[iso3691])</f>
        <v>zh</v>
      </c>
      <c r="K1334" t="str">
        <f>_xlfn.XLOOKUP(frasest[[#This Row],[author_es]],autorest[author_es],autorest[language_es])</f>
        <v>Chino</v>
      </c>
      <c r="L1334" t="str">
        <f>_xlfn.XLOOKUP(frasest[[#This Row],[author_es]],autorest[author_es],autorest[language_la])</f>
        <v>Lingua Sinica</v>
      </c>
      <c r="M1334" t="str">
        <f>_xlfn.XLOOKUP(frasest[[#This Row],[author_es]],autorest[author_es],autorest[nation_es])</f>
        <v>China</v>
      </c>
      <c r="N1334" t="str">
        <f>_xlfn.XLOOKUP(frasest[[#This Row],[author_es]],autorest[author_es],autorest[nation_la])</f>
        <v>Sinae</v>
      </c>
      <c r="O1334" t="str">
        <f>_xlfn.XLOOKUP(frasest[[#This Row],[author_es]],autorest[author_es],autorest[age_es])</f>
        <v>Epoca Desconocida</v>
      </c>
      <c r="P1334" t="str">
        <f>_xlfn.XLOOKUP(frasest[[#This Row],[author_es]],autorest[author_es],autorest[age_la])</f>
        <v>Epocha Ignota</v>
      </c>
      <c r="Q1334" t="str">
        <f>_xlfn.XLOOKUP(frasest[[#This Row],[author_es]],autorest[author_es],autorest[image])</f>
        <v>https://i.ibb.co/qLfpZm6h/china.png</v>
      </c>
      <c r="R1334">
        <f>_xlfn.XLOOKUP(frasest[[#This Row],[author_es]],autorest[author_es],autorest[image_atr])</f>
        <v>0</v>
      </c>
    </row>
    <row r="1335" spans="1:18">
      <c r="A1335">
        <v>1334</v>
      </c>
      <c r="B1335" t="s">
        <v>4110</v>
      </c>
      <c r="C1335" t="s">
        <v>4111</v>
      </c>
      <c r="D1335" s="1" t="s">
        <v>4112</v>
      </c>
      <c r="E1335" t="s">
        <v>36</v>
      </c>
      <c r="G1335" t="str">
        <f>_xlfn.XLOOKUP(frasest[[#This Row],[author_es]],autorest[author_es],autorest[author_la])</f>
        <v>Proverbium Sinense</v>
      </c>
      <c r="H1335" t="str">
        <f>_xlfn.XLOOKUP(frasest[[#This Row],[author_es]],autorest[author_es],autorest[bio_es])</f>
        <v>Conjunto de proverbios tradicionales de la cultura china que transmiten sabiduría popular, valores morales y enseñanzas prácticas transmitidas oralmente durante siglos.</v>
      </c>
      <c r="I1335" t="str">
        <f>_xlfn.XLOOKUP(frasest[[#This Row],[author_es]],autorest[author_es],autorest[bio_la])</f>
        <v>Collectio sententiarum Sinensium, magnopere in cultura tradita.</v>
      </c>
      <c r="J1335" t="str">
        <f>_xlfn.XLOOKUP(frasest[[#This Row],[author_es]],autorest[author_es],autorest[iso3691])</f>
        <v>zh</v>
      </c>
      <c r="K1335" t="str">
        <f>_xlfn.XLOOKUP(frasest[[#This Row],[author_es]],autorest[author_es],autorest[language_es])</f>
        <v>Chino</v>
      </c>
      <c r="L1335" t="str">
        <f>_xlfn.XLOOKUP(frasest[[#This Row],[author_es]],autorest[author_es],autorest[language_la])</f>
        <v>Lingua Sinica</v>
      </c>
      <c r="M1335" t="str">
        <f>_xlfn.XLOOKUP(frasest[[#This Row],[author_es]],autorest[author_es],autorest[nation_es])</f>
        <v>China</v>
      </c>
      <c r="N1335" t="str">
        <f>_xlfn.XLOOKUP(frasest[[#This Row],[author_es]],autorest[author_es],autorest[nation_la])</f>
        <v>Sinae</v>
      </c>
      <c r="O1335" t="str">
        <f>_xlfn.XLOOKUP(frasest[[#This Row],[author_es]],autorest[author_es],autorest[age_es])</f>
        <v>Epoca Desconocida</v>
      </c>
      <c r="P1335" t="str">
        <f>_xlfn.XLOOKUP(frasest[[#This Row],[author_es]],autorest[author_es],autorest[age_la])</f>
        <v>Epocha Ignota</v>
      </c>
      <c r="Q1335" t="str">
        <f>_xlfn.XLOOKUP(frasest[[#This Row],[author_es]],autorest[author_es],autorest[image])</f>
        <v>https://i.ibb.co/qLfpZm6h/china.png</v>
      </c>
      <c r="R1335">
        <f>_xlfn.XLOOKUP(frasest[[#This Row],[author_es]],autorest[author_es],autorest[image_atr])</f>
        <v>0</v>
      </c>
    </row>
    <row r="1336" spans="1:18">
      <c r="A1336">
        <v>1335</v>
      </c>
      <c r="B1336" t="s">
        <v>4113</v>
      </c>
      <c r="C1336" t="s">
        <v>4114</v>
      </c>
      <c r="D1336" s="1" t="s">
        <v>4115</v>
      </c>
      <c r="E1336" t="s">
        <v>36</v>
      </c>
      <c r="G1336" t="str">
        <f>_xlfn.XLOOKUP(frasest[[#This Row],[author_es]],autorest[author_es],autorest[author_la])</f>
        <v>Proverbium Sinense</v>
      </c>
      <c r="H1336" t="str">
        <f>_xlfn.XLOOKUP(frasest[[#This Row],[author_es]],autorest[author_es],autorest[bio_es])</f>
        <v>Conjunto de proverbios tradicionales de la cultura china que transmiten sabiduría popular, valores morales y enseñanzas prácticas transmitidas oralmente durante siglos.</v>
      </c>
      <c r="I1336" t="str">
        <f>_xlfn.XLOOKUP(frasest[[#This Row],[author_es]],autorest[author_es],autorest[bio_la])</f>
        <v>Collectio sententiarum Sinensium, magnopere in cultura tradita.</v>
      </c>
      <c r="J1336" t="str">
        <f>_xlfn.XLOOKUP(frasest[[#This Row],[author_es]],autorest[author_es],autorest[iso3691])</f>
        <v>zh</v>
      </c>
      <c r="K1336" t="str">
        <f>_xlfn.XLOOKUP(frasest[[#This Row],[author_es]],autorest[author_es],autorest[language_es])</f>
        <v>Chino</v>
      </c>
      <c r="L1336" t="str">
        <f>_xlfn.XLOOKUP(frasest[[#This Row],[author_es]],autorest[author_es],autorest[language_la])</f>
        <v>Lingua Sinica</v>
      </c>
      <c r="M1336" t="str">
        <f>_xlfn.XLOOKUP(frasest[[#This Row],[author_es]],autorest[author_es],autorest[nation_es])</f>
        <v>China</v>
      </c>
      <c r="N1336" t="str">
        <f>_xlfn.XLOOKUP(frasest[[#This Row],[author_es]],autorest[author_es],autorest[nation_la])</f>
        <v>Sinae</v>
      </c>
      <c r="O1336" t="str">
        <f>_xlfn.XLOOKUP(frasest[[#This Row],[author_es]],autorest[author_es],autorest[age_es])</f>
        <v>Epoca Desconocida</v>
      </c>
      <c r="P1336" t="str">
        <f>_xlfn.XLOOKUP(frasest[[#This Row],[author_es]],autorest[author_es],autorest[age_la])</f>
        <v>Epocha Ignota</v>
      </c>
      <c r="Q1336" t="str">
        <f>_xlfn.XLOOKUP(frasest[[#This Row],[author_es]],autorest[author_es],autorest[image])</f>
        <v>https://i.ibb.co/qLfpZm6h/china.png</v>
      </c>
      <c r="R1336">
        <f>_xlfn.XLOOKUP(frasest[[#This Row],[author_es]],autorest[author_es],autorest[image_atr])</f>
        <v>0</v>
      </c>
    </row>
    <row r="1337" spans="1:18">
      <c r="A1337">
        <v>1336</v>
      </c>
      <c r="B1337" t="s">
        <v>4116</v>
      </c>
      <c r="C1337" t="s">
        <v>4117</v>
      </c>
      <c r="D1337" s="1" t="s">
        <v>4118</v>
      </c>
      <c r="E1337" t="s">
        <v>36</v>
      </c>
      <c r="G1337" t="str">
        <f>_xlfn.XLOOKUP(frasest[[#This Row],[author_es]],autorest[author_es],autorest[author_la])</f>
        <v>Proverbium Sinense</v>
      </c>
      <c r="H1337" t="str">
        <f>_xlfn.XLOOKUP(frasest[[#This Row],[author_es]],autorest[author_es],autorest[bio_es])</f>
        <v>Conjunto de proverbios tradicionales de la cultura china que transmiten sabiduría popular, valores morales y enseñanzas prácticas transmitidas oralmente durante siglos.</v>
      </c>
      <c r="I1337" t="str">
        <f>_xlfn.XLOOKUP(frasest[[#This Row],[author_es]],autorest[author_es],autorest[bio_la])</f>
        <v>Collectio sententiarum Sinensium, magnopere in cultura tradita.</v>
      </c>
      <c r="J1337" t="str">
        <f>_xlfn.XLOOKUP(frasest[[#This Row],[author_es]],autorest[author_es],autorest[iso3691])</f>
        <v>zh</v>
      </c>
      <c r="K1337" t="str">
        <f>_xlfn.XLOOKUP(frasest[[#This Row],[author_es]],autorest[author_es],autorest[language_es])</f>
        <v>Chino</v>
      </c>
      <c r="L1337" t="str">
        <f>_xlfn.XLOOKUP(frasest[[#This Row],[author_es]],autorest[author_es],autorest[language_la])</f>
        <v>Lingua Sinica</v>
      </c>
      <c r="M1337" t="str">
        <f>_xlfn.XLOOKUP(frasest[[#This Row],[author_es]],autorest[author_es],autorest[nation_es])</f>
        <v>China</v>
      </c>
      <c r="N1337" t="str">
        <f>_xlfn.XLOOKUP(frasest[[#This Row],[author_es]],autorest[author_es],autorest[nation_la])</f>
        <v>Sinae</v>
      </c>
      <c r="O1337" t="str">
        <f>_xlfn.XLOOKUP(frasest[[#This Row],[author_es]],autorest[author_es],autorest[age_es])</f>
        <v>Epoca Desconocida</v>
      </c>
      <c r="P1337" t="str">
        <f>_xlfn.XLOOKUP(frasest[[#This Row],[author_es]],autorest[author_es],autorest[age_la])</f>
        <v>Epocha Ignota</v>
      </c>
      <c r="Q1337" t="str">
        <f>_xlfn.XLOOKUP(frasest[[#This Row],[author_es]],autorest[author_es],autorest[image])</f>
        <v>https://i.ibb.co/qLfpZm6h/china.png</v>
      </c>
      <c r="R1337">
        <f>_xlfn.XLOOKUP(frasest[[#This Row],[author_es]],autorest[author_es],autorest[image_atr])</f>
        <v>0</v>
      </c>
    </row>
    <row r="1338" spans="1:18">
      <c r="A1338">
        <v>1337</v>
      </c>
      <c r="B1338" t="s">
        <v>4119</v>
      </c>
      <c r="C1338" t="s">
        <v>4120</v>
      </c>
      <c r="D1338" s="1" t="s">
        <v>4121</v>
      </c>
      <c r="E1338" t="s">
        <v>36</v>
      </c>
      <c r="G1338" t="str">
        <f>_xlfn.XLOOKUP(frasest[[#This Row],[author_es]],autorest[author_es],autorest[author_la])</f>
        <v>Proverbium Sinense</v>
      </c>
      <c r="H1338" t="str">
        <f>_xlfn.XLOOKUP(frasest[[#This Row],[author_es]],autorest[author_es],autorest[bio_es])</f>
        <v>Conjunto de proverbios tradicionales de la cultura china que transmiten sabiduría popular, valores morales y enseñanzas prácticas transmitidas oralmente durante siglos.</v>
      </c>
      <c r="I1338" t="str">
        <f>_xlfn.XLOOKUP(frasest[[#This Row],[author_es]],autorest[author_es],autorest[bio_la])</f>
        <v>Collectio sententiarum Sinensium, magnopere in cultura tradita.</v>
      </c>
      <c r="J1338" t="str">
        <f>_xlfn.XLOOKUP(frasest[[#This Row],[author_es]],autorest[author_es],autorest[iso3691])</f>
        <v>zh</v>
      </c>
      <c r="K1338" t="str">
        <f>_xlfn.XLOOKUP(frasest[[#This Row],[author_es]],autorest[author_es],autorest[language_es])</f>
        <v>Chino</v>
      </c>
      <c r="L1338" t="str">
        <f>_xlfn.XLOOKUP(frasest[[#This Row],[author_es]],autorest[author_es],autorest[language_la])</f>
        <v>Lingua Sinica</v>
      </c>
      <c r="M1338" t="str">
        <f>_xlfn.XLOOKUP(frasest[[#This Row],[author_es]],autorest[author_es],autorest[nation_es])</f>
        <v>China</v>
      </c>
      <c r="N1338" t="str">
        <f>_xlfn.XLOOKUP(frasest[[#This Row],[author_es]],autorest[author_es],autorest[nation_la])</f>
        <v>Sinae</v>
      </c>
      <c r="O1338" t="str">
        <f>_xlfn.XLOOKUP(frasest[[#This Row],[author_es]],autorest[author_es],autorest[age_es])</f>
        <v>Epoca Desconocida</v>
      </c>
      <c r="P1338" t="str">
        <f>_xlfn.XLOOKUP(frasest[[#This Row],[author_es]],autorest[author_es],autorest[age_la])</f>
        <v>Epocha Ignota</v>
      </c>
      <c r="Q1338" t="str">
        <f>_xlfn.XLOOKUP(frasest[[#This Row],[author_es]],autorest[author_es],autorest[image])</f>
        <v>https://i.ibb.co/qLfpZm6h/china.png</v>
      </c>
      <c r="R1338">
        <f>_xlfn.XLOOKUP(frasest[[#This Row],[author_es]],autorest[author_es],autorest[image_atr])</f>
        <v>0</v>
      </c>
    </row>
    <row r="1339" spans="1:18">
      <c r="A1339">
        <v>1338</v>
      </c>
      <c r="B1339" t="s">
        <v>4122</v>
      </c>
      <c r="C1339" t="s">
        <v>4123</v>
      </c>
      <c r="D1339" s="1" t="s">
        <v>4124</v>
      </c>
      <c r="E1339" t="s">
        <v>36</v>
      </c>
      <c r="G1339" t="str">
        <f>_xlfn.XLOOKUP(frasest[[#This Row],[author_es]],autorest[author_es],autorest[author_la])</f>
        <v>Proverbium Sinense</v>
      </c>
      <c r="H1339" t="str">
        <f>_xlfn.XLOOKUP(frasest[[#This Row],[author_es]],autorest[author_es],autorest[bio_es])</f>
        <v>Conjunto de proverbios tradicionales de la cultura china que transmiten sabiduría popular, valores morales y enseñanzas prácticas transmitidas oralmente durante siglos.</v>
      </c>
      <c r="I1339" t="str">
        <f>_xlfn.XLOOKUP(frasest[[#This Row],[author_es]],autorest[author_es],autorest[bio_la])</f>
        <v>Collectio sententiarum Sinensium, magnopere in cultura tradita.</v>
      </c>
      <c r="J1339" t="str">
        <f>_xlfn.XLOOKUP(frasest[[#This Row],[author_es]],autorest[author_es],autorest[iso3691])</f>
        <v>zh</v>
      </c>
      <c r="K1339" t="str">
        <f>_xlfn.XLOOKUP(frasest[[#This Row],[author_es]],autorest[author_es],autorest[language_es])</f>
        <v>Chino</v>
      </c>
      <c r="L1339" t="str">
        <f>_xlfn.XLOOKUP(frasest[[#This Row],[author_es]],autorest[author_es],autorest[language_la])</f>
        <v>Lingua Sinica</v>
      </c>
      <c r="M1339" t="str">
        <f>_xlfn.XLOOKUP(frasest[[#This Row],[author_es]],autorest[author_es],autorest[nation_es])</f>
        <v>China</v>
      </c>
      <c r="N1339" t="str">
        <f>_xlfn.XLOOKUP(frasest[[#This Row],[author_es]],autorest[author_es],autorest[nation_la])</f>
        <v>Sinae</v>
      </c>
      <c r="O1339" t="str">
        <f>_xlfn.XLOOKUP(frasest[[#This Row],[author_es]],autorest[author_es],autorest[age_es])</f>
        <v>Epoca Desconocida</v>
      </c>
      <c r="P1339" t="str">
        <f>_xlfn.XLOOKUP(frasest[[#This Row],[author_es]],autorest[author_es],autorest[age_la])</f>
        <v>Epocha Ignota</v>
      </c>
      <c r="Q1339" t="str">
        <f>_xlfn.XLOOKUP(frasest[[#This Row],[author_es]],autorest[author_es],autorest[image])</f>
        <v>https://i.ibb.co/qLfpZm6h/china.png</v>
      </c>
      <c r="R1339">
        <f>_xlfn.XLOOKUP(frasest[[#This Row],[author_es]],autorest[author_es],autorest[image_atr])</f>
        <v>0</v>
      </c>
    </row>
    <row r="1340" spans="1:18">
      <c r="A1340">
        <v>1339</v>
      </c>
      <c r="B1340" t="s">
        <v>4125</v>
      </c>
      <c r="C1340" t="s">
        <v>4126</v>
      </c>
      <c r="D1340" s="1" t="s">
        <v>4127</v>
      </c>
      <c r="E1340" t="s">
        <v>36</v>
      </c>
      <c r="G1340" t="str">
        <f>_xlfn.XLOOKUP(frasest[[#This Row],[author_es]],autorest[author_es],autorest[author_la])</f>
        <v>Proverbium Sinense</v>
      </c>
      <c r="H1340" t="str">
        <f>_xlfn.XLOOKUP(frasest[[#This Row],[author_es]],autorest[author_es],autorest[bio_es])</f>
        <v>Conjunto de proverbios tradicionales de la cultura china que transmiten sabiduría popular, valores morales y enseñanzas prácticas transmitidas oralmente durante siglos.</v>
      </c>
      <c r="I1340" t="str">
        <f>_xlfn.XLOOKUP(frasest[[#This Row],[author_es]],autorest[author_es],autorest[bio_la])</f>
        <v>Collectio sententiarum Sinensium, magnopere in cultura tradita.</v>
      </c>
      <c r="J1340" t="str">
        <f>_xlfn.XLOOKUP(frasest[[#This Row],[author_es]],autorest[author_es],autorest[iso3691])</f>
        <v>zh</v>
      </c>
      <c r="K1340" t="str">
        <f>_xlfn.XLOOKUP(frasest[[#This Row],[author_es]],autorest[author_es],autorest[language_es])</f>
        <v>Chino</v>
      </c>
      <c r="L1340" t="str">
        <f>_xlfn.XLOOKUP(frasest[[#This Row],[author_es]],autorest[author_es],autorest[language_la])</f>
        <v>Lingua Sinica</v>
      </c>
      <c r="M1340" t="str">
        <f>_xlfn.XLOOKUP(frasest[[#This Row],[author_es]],autorest[author_es],autorest[nation_es])</f>
        <v>China</v>
      </c>
      <c r="N1340" t="str">
        <f>_xlfn.XLOOKUP(frasest[[#This Row],[author_es]],autorest[author_es],autorest[nation_la])</f>
        <v>Sinae</v>
      </c>
      <c r="O1340" t="str">
        <f>_xlfn.XLOOKUP(frasest[[#This Row],[author_es]],autorest[author_es],autorest[age_es])</f>
        <v>Epoca Desconocida</v>
      </c>
      <c r="P1340" t="str">
        <f>_xlfn.XLOOKUP(frasest[[#This Row],[author_es]],autorest[author_es],autorest[age_la])</f>
        <v>Epocha Ignota</v>
      </c>
      <c r="Q1340" t="str">
        <f>_xlfn.XLOOKUP(frasest[[#This Row],[author_es]],autorest[author_es],autorest[image])</f>
        <v>https://i.ibb.co/qLfpZm6h/china.png</v>
      </c>
      <c r="R1340">
        <f>_xlfn.XLOOKUP(frasest[[#This Row],[author_es]],autorest[author_es],autorest[image_atr])</f>
        <v>0</v>
      </c>
    </row>
    <row r="1341" spans="1:18">
      <c r="A1341">
        <v>1340</v>
      </c>
      <c r="B1341" t="s">
        <v>4128</v>
      </c>
      <c r="C1341" t="s">
        <v>4129</v>
      </c>
      <c r="D1341" s="1" t="s">
        <v>4130</v>
      </c>
      <c r="E1341" t="s">
        <v>36</v>
      </c>
      <c r="G1341" t="str">
        <f>_xlfn.XLOOKUP(frasest[[#This Row],[author_es]],autorest[author_es],autorest[author_la])</f>
        <v>Proverbium Sinense</v>
      </c>
      <c r="H1341" t="str">
        <f>_xlfn.XLOOKUP(frasest[[#This Row],[author_es]],autorest[author_es],autorest[bio_es])</f>
        <v>Conjunto de proverbios tradicionales de la cultura china que transmiten sabiduría popular, valores morales y enseñanzas prácticas transmitidas oralmente durante siglos.</v>
      </c>
      <c r="I1341" t="str">
        <f>_xlfn.XLOOKUP(frasest[[#This Row],[author_es]],autorest[author_es],autorest[bio_la])</f>
        <v>Collectio sententiarum Sinensium, magnopere in cultura tradita.</v>
      </c>
      <c r="J1341" t="str">
        <f>_xlfn.XLOOKUP(frasest[[#This Row],[author_es]],autorest[author_es],autorest[iso3691])</f>
        <v>zh</v>
      </c>
      <c r="K1341" t="str">
        <f>_xlfn.XLOOKUP(frasest[[#This Row],[author_es]],autorest[author_es],autorest[language_es])</f>
        <v>Chino</v>
      </c>
      <c r="L1341" t="str">
        <f>_xlfn.XLOOKUP(frasest[[#This Row],[author_es]],autorest[author_es],autorest[language_la])</f>
        <v>Lingua Sinica</v>
      </c>
      <c r="M1341" t="str">
        <f>_xlfn.XLOOKUP(frasest[[#This Row],[author_es]],autorest[author_es],autorest[nation_es])</f>
        <v>China</v>
      </c>
      <c r="N1341" t="str">
        <f>_xlfn.XLOOKUP(frasest[[#This Row],[author_es]],autorest[author_es],autorest[nation_la])</f>
        <v>Sinae</v>
      </c>
      <c r="O1341" t="str">
        <f>_xlfn.XLOOKUP(frasest[[#This Row],[author_es]],autorest[author_es],autorest[age_es])</f>
        <v>Epoca Desconocida</v>
      </c>
      <c r="P1341" t="str">
        <f>_xlfn.XLOOKUP(frasest[[#This Row],[author_es]],autorest[author_es],autorest[age_la])</f>
        <v>Epocha Ignota</v>
      </c>
      <c r="Q1341" t="str">
        <f>_xlfn.XLOOKUP(frasest[[#This Row],[author_es]],autorest[author_es],autorest[image])</f>
        <v>https://i.ibb.co/qLfpZm6h/china.png</v>
      </c>
      <c r="R1341">
        <f>_xlfn.XLOOKUP(frasest[[#This Row],[author_es]],autorest[author_es],autorest[image_atr])</f>
        <v>0</v>
      </c>
    </row>
    <row r="1342" spans="1:18">
      <c r="A1342">
        <v>1341</v>
      </c>
      <c r="B1342" t="s">
        <v>4131</v>
      </c>
      <c r="C1342" t="s">
        <v>4132</v>
      </c>
      <c r="D1342" s="1" t="s">
        <v>4133</v>
      </c>
      <c r="E1342" t="s">
        <v>36</v>
      </c>
      <c r="G1342" t="str">
        <f>_xlfn.XLOOKUP(frasest[[#This Row],[author_es]],autorest[author_es],autorest[author_la])</f>
        <v>Proverbium Sinense</v>
      </c>
      <c r="H1342" t="str">
        <f>_xlfn.XLOOKUP(frasest[[#This Row],[author_es]],autorest[author_es],autorest[bio_es])</f>
        <v>Conjunto de proverbios tradicionales de la cultura china que transmiten sabiduría popular, valores morales y enseñanzas prácticas transmitidas oralmente durante siglos.</v>
      </c>
      <c r="I1342" t="str">
        <f>_xlfn.XLOOKUP(frasest[[#This Row],[author_es]],autorest[author_es],autorest[bio_la])</f>
        <v>Collectio sententiarum Sinensium, magnopere in cultura tradita.</v>
      </c>
      <c r="J1342" t="str">
        <f>_xlfn.XLOOKUP(frasest[[#This Row],[author_es]],autorest[author_es],autorest[iso3691])</f>
        <v>zh</v>
      </c>
      <c r="K1342" t="str">
        <f>_xlfn.XLOOKUP(frasest[[#This Row],[author_es]],autorest[author_es],autorest[language_es])</f>
        <v>Chino</v>
      </c>
      <c r="L1342" t="str">
        <f>_xlfn.XLOOKUP(frasest[[#This Row],[author_es]],autorest[author_es],autorest[language_la])</f>
        <v>Lingua Sinica</v>
      </c>
      <c r="M1342" t="str">
        <f>_xlfn.XLOOKUP(frasest[[#This Row],[author_es]],autorest[author_es],autorest[nation_es])</f>
        <v>China</v>
      </c>
      <c r="N1342" t="str">
        <f>_xlfn.XLOOKUP(frasest[[#This Row],[author_es]],autorest[author_es],autorest[nation_la])</f>
        <v>Sinae</v>
      </c>
      <c r="O1342" t="str">
        <f>_xlfn.XLOOKUP(frasest[[#This Row],[author_es]],autorest[author_es],autorest[age_es])</f>
        <v>Epoca Desconocida</v>
      </c>
      <c r="P1342" t="str">
        <f>_xlfn.XLOOKUP(frasest[[#This Row],[author_es]],autorest[author_es],autorest[age_la])</f>
        <v>Epocha Ignota</v>
      </c>
      <c r="Q1342" t="str">
        <f>_xlfn.XLOOKUP(frasest[[#This Row],[author_es]],autorest[author_es],autorest[image])</f>
        <v>https://i.ibb.co/qLfpZm6h/china.png</v>
      </c>
      <c r="R1342">
        <f>_xlfn.XLOOKUP(frasest[[#This Row],[author_es]],autorest[author_es],autorest[image_atr])</f>
        <v>0</v>
      </c>
    </row>
    <row r="1343" spans="1:18">
      <c r="A1343">
        <v>1342</v>
      </c>
      <c r="B1343" t="s">
        <v>4134</v>
      </c>
      <c r="C1343" t="s">
        <v>4135</v>
      </c>
      <c r="D1343" s="1" t="s">
        <v>4136</v>
      </c>
      <c r="E1343" t="s">
        <v>36</v>
      </c>
      <c r="G1343" t="str">
        <f>_xlfn.XLOOKUP(frasest[[#This Row],[author_es]],autorest[author_es],autorest[author_la])</f>
        <v>Proverbium Sinense</v>
      </c>
      <c r="H1343" t="str">
        <f>_xlfn.XLOOKUP(frasest[[#This Row],[author_es]],autorest[author_es],autorest[bio_es])</f>
        <v>Conjunto de proverbios tradicionales de la cultura china que transmiten sabiduría popular, valores morales y enseñanzas prácticas transmitidas oralmente durante siglos.</v>
      </c>
      <c r="I1343" t="str">
        <f>_xlfn.XLOOKUP(frasest[[#This Row],[author_es]],autorest[author_es],autorest[bio_la])</f>
        <v>Collectio sententiarum Sinensium, magnopere in cultura tradita.</v>
      </c>
      <c r="J1343" t="str">
        <f>_xlfn.XLOOKUP(frasest[[#This Row],[author_es]],autorest[author_es],autorest[iso3691])</f>
        <v>zh</v>
      </c>
      <c r="K1343" t="str">
        <f>_xlfn.XLOOKUP(frasest[[#This Row],[author_es]],autorest[author_es],autorest[language_es])</f>
        <v>Chino</v>
      </c>
      <c r="L1343" t="str">
        <f>_xlfn.XLOOKUP(frasest[[#This Row],[author_es]],autorest[author_es],autorest[language_la])</f>
        <v>Lingua Sinica</v>
      </c>
      <c r="M1343" t="str">
        <f>_xlfn.XLOOKUP(frasest[[#This Row],[author_es]],autorest[author_es],autorest[nation_es])</f>
        <v>China</v>
      </c>
      <c r="N1343" t="str">
        <f>_xlfn.XLOOKUP(frasest[[#This Row],[author_es]],autorest[author_es],autorest[nation_la])</f>
        <v>Sinae</v>
      </c>
      <c r="O1343" t="str">
        <f>_xlfn.XLOOKUP(frasest[[#This Row],[author_es]],autorest[author_es],autorest[age_es])</f>
        <v>Epoca Desconocida</v>
      </c>
      <c r="P1343" t="str">
        <f>_xlfn.XLOOKUP(frasest[[#This Row],[author_es]],autorest[author_es],autorest[age_la])</f>
        <v>Epocha Ignota</v>
      </c>
      <c r="Q1343" t="str">
        <f>_xlfn.XLOOKUP(frasest[[#This Row],[author_es]],autorest[author_es],autorest[image])</f>
        <v>https://i.ibb.co/qLfpZm6h/china.png</v>
      </c>
      <c r="R1343">
        <f>_xlfn.XLOOKUP(frasest[[#This Row],[author_es]],autorest[author_es],autorest[image_atr])</f>
        <v>0</v>
      </c>
    </row>
    <row r="1344" spans="1:18">
      <c r="A1344">
        <v>1343</v>
      </c>
      <c r="B1344" t="s">
        <v>4137</v>
      </c>
      <c r="C1344" t="s">
        <v>4138</v>
      </c>
      <c r="D1344" s="1" t="s">
        <v>4139</v>
      </c>
      <c r="E1344" t="s">
        <v>36</v>
      </c>
      <c r="G1344" t="str">
        <f>_xlfn.XLOOKUP(frasest[[#This Row],[author_es]],autorest[author_es],autorest[author_la])</f>
        <v>Proverbium Sinense</v>
      </c>
      <c r="H1344" t="str">
        <f>_xlfn.XLOOKUP(frasest[[#This Row],[author_es]],autorest[author_es],autorest[bio_es])</f>
        <v>Conjunto de proverbios tradicionales de la cultura china que transmiten sabiduría popular, valores morales y enseñanzas prácticas transmitidas oralmente durante siglos.</v>
      </c>
      <c r="I1344" t="str">
        <f>_xlfn.XLOOKUP(frasest[[#This Row],[author_es]],autorest[author_es],autorest[bio_la])</f>
        <v>Collectio sententiarum Sinensium, magnopere in cultura tradita.</v>
      </c>
      <c r="J1344" t="str">
        <f>_xlfn.XLOOKUP(frasest[[#This Row],[author_es]],autorest[author_es],autorest[iso3691])</f>
        <v>zh</v>
      </c>
      <c r="K1344" t="str">
        <f>_xlfn.XLOOKUP(frasest[[#This Row],[author_es]],autorest[author_es],autorest[language_es])</f>
        <v>Chino</v>
      </c>
      <c r="L1344" t="str">
        <f>_xlfn.XLOOKUP(frasest[[#This Row],[author_es]],autorest[author_es],autorest[language_la])</f>
        <v>Lingua Sinica</v>
      </c>
      <c r="M1344" t="str">
        <f>_xlfn.XLOOKUP(frasest[[#This Row],[author_es]],autorest[author_es],autorest[nation_es])</f>
        <v>China</v>
      </c>
      <c r="N1344" t="str">
        <f>_xlfn.XLOOKUP(frasest[[#This Row],[author_es]],autorest[author_es],autorest[nation_la])</f>
        <v>Sinae</v>
      </c>
      <c r="O1344" t="str">
        <f>_xlfn.XLOOKUP(frasest[[#This Row],[author_es]],autorest[author_es],autorest[age_es])</f>
        <v>Epoca Desconocida</v>
      </c>
      <c r="P1344" t="str">
        <f>_xlfn.XLOOKUP(frasest[[#This Row],[author_es]],autorest[author_es],autorest[age_la])</f>
        <v>Epocha Ignota</v>
      </c>
      <c r="Q1344" t="str">
        <f>_xlfn.XLOOKUP(frasest[[#This Row],[author_es]],autorest[author_es],autorest[image])</f>
        <v>https://i.ibb.co/qLfpZm6h/china.png</v>
      </c>
      <c r="R1344">
        <f>_xlfn.XLOOKUP(frasest[[#This Row],[author_es]],autorest[author_es],autorest[image_atr])</f>
        <v>0</v>
      </c>
    </row>
    <row r="1345" spans="1:18">
      <c r="A1345">
        <v>1344</v>
      </c>
      <c r="B1345" t="s">
        <v>4140</v>
      </c>
      <c r="C1345" t="s">
        <v>4141</v>
      </c>
      <c r="D1345" s="1" t="s">
        <v>4142</v>
      </c>
      <c r="E1345" t="s">
        <v>36</v>
      </c>
      <c r="G1345" t="str">
        <f>_xlfn.XLOOKUP(frasest[[#This Row],[author_es]],autorest[author_es],autorest[author_la])</f>
        <v>Proverbium Sinense</v>
      </c>
      <c r="H1345" t="str">
        <f>_xlfn.XLOOKUP(frasest[[#This Row],[author_es]],autorest[author_es],autorest[bio_es])</f>
        <v>Conjunto de proverbios tradicionales de la cultura china que transmiten sabiduría popular, valores morales y enseñanzas prácticas transmitidas oralmente durante siglos.</v>
      </c>
      <c r="I1345" t="str">
        <f>_xlfn.XLOOKUP(frasest[[#This Row],[author_es]],autorest[author_es],autorest[bio_la])</f>
        <v>Collectio sententiarum Sinensium, magnopere in cultura tradita.</v>
      </c>
      <c r="J1345" t="str">
        <f>_xlfn.XLOOKUP(frasest[[#This Row],[author_es]],autorest[author_es],autorest[iso3691])</f>
        <v>zh</v>
      </c>
      <c r="K1345" t="str">
        <f>_xlfn.XLOOKUP(frasest[[#This Row],[author_es]],autorest[author_es],autorest[language_es])</f>
        <v>Chino</v>
      </c>
      <c r="L1345" t="str">
        <f>_xlfn.XLOOKUP(frasest[[#This Row],[author_es]],autorest[author_es],autorest[language_la])</f>
        <v>Lingua Sinica</v>
      </c>
      <c r="M1345" t="str">
        <f>_xlfn.XLOOKUP(frasest[[#This Row],[author_es]],autorest[author_es],autorest[nation_es])</f>
        <v>China</v>
      </c>
      <c r="N1345" t="str">
        <f>_xlfn.XLOOKUP(frasest[[#This Row],[author_es]],autorest[author_es],autorest[nation_la])</f>
        <v>Sinae</v>
      </c>
      <c r="O1345" t="str">
        <f>_xlfn.XLOOKUP(frasest[[#This Row],[author_es]],autorest[author_es],autorest[age_es])</f>
        <v>Epoca Desconocida</v>
      </c>
      <c r="P1345" t="str">
        <f>_xlfn.XLOOKUP(frasest[[#This Row],[author_es]],autorest[author_es],autorest[age_la])</f>
        <v>Epocha Ignota</v>
      </c>
      <c r="Q1345" t="str">
        <f>_xlfn.XLOOKUP(frasest[[#This Row],[author_es]],autorest[author_es],autorest[image])</f>
        <v>https://i.ibb.co/qLfpZm6h/china.png</v>
      </c>
      <c r="R1345">
        <f>_xlfn.XLOOKUP(frasest[[#This Row],[author_es]],autorest[author_es],autorest[image_atr])</f>
        <v>0</v>
      </c>
    </row>
    <row r="1346" spans="1:18">
      <c r="A1346">
        <v>1345</v>
      </c>
      <c r="B1346" t="s">
        <v>4143</v>
      </c>
      <c r="C1346" t="s">
        <v>4144</v>
      </c>
      <c r="D1346" s="1" t="s">
        <v>4145</v>
      </c>
      <c r="E1346" t="s">
        <v>36</v>
      </c>
      <c r="G1346" t="str">
        <f>_xlfn.XLOOKUP(frasest[[#This Row],[author_es]],autorest[author_es],autorest[author_la])</f>
        <v>Proverbium Sinense</v>
      </c>
      <c r="H1346" t="str">
        <f>_xlfn.XLOOKUP(frasest[[#This Row],[author_es]],autorest[author_es],autorest[bio_es])</f>
        <v>Conjunto de proverbios tradicionales de la cultura china que transmiten sabiduría popular, valores morales y enseñanzas prácticas transmitidas oralmente durante siglos.</v>
      </c>
      <c r="I1346" t="str">
        <f>_xlfn.XLOOKUP(frasest[[#This Row],[author_es]],autorest[author_es],autorest[bio_la])</f>
        <v>Collectio sententiarum Sinensium, magnopere in cultura tradita.</v>
      </c>
      <c r="J1346" t="str">
        <f>_xlfn.XLOOKUP(frasest[[#This Row],[author_es]],autorest[author_es],autorest[iso3691])</f>
        <v>zh</v>
      </c>
      <c r="K1346" t="str">
        <f>_xlfn.XLOOKUP(frasest[[#This Row],[author_es]],autorest[author_es],autorest[language_es])</f>
        <v>Chino</v>
      </c>
      <c r="L1346" t="str">
        <f>_xlfn.XLOOKUP(frasest[[#This Row],[author_es]],autorest[author_es],autorest[language_la])</f>
        <v>Lingua Sinica</v>
      </c>
      <c r="M1346" t="str">
        <f>_xlfn.XLOOKUP(frasest[[#This Row],[author_es]],autorest[author_es],autorest[nation_es])</f>
        <v>China</v>
      </c>
      <c r="N1346" t="str">
        <f>_xlfn.XLOOKUP(frasest[[#This Row],[author_es]],autorest[author_es],autorest[nation_la])</f>
        <v>Sinae</v>
      </c>
      <c r="O1346" t="str">
        <f>_xlfn.XLOOKUP(frasest[[#This Row],[author_es]],autorest[author_es],autorest[age_es])</f>
        <v>Epoca Desconocida</v>
      </c>
      <c r="P1346" t="str">
        <f>_xlfn.XLOOKUP(frasest[[#This Row],[author_es]],autorest[author_es],autorest[age_la])</f>
        <v>Epocha Ignota</v>
      </c>
      <c r="Q1346" t="str">
        <f>_xlfn.XLOOKUP(frasest[[#This Row],[author_es]],autorest[author_es],autorest[image])</f>
        <v>https://i.ibb.co/qLfpZm6h/china.png</v>
      </c>
      <c r="R1346">
        <f>_xlfn.XLOOKUP(frasest[[#This Row],[author_es]],autorest[author_es],autorest[image_atr])</f>
        <v>0</v>
      </c>
    </row>
    <row r="1347" spans="1:18">
      <c r="A1347">
        <v>1346</v>
      </c>
      <c r="B1347" t="s">
        <v>4146</v>
      </c>
      <c r="C1347" t="s">
        <v>4147</v>
      </c>
      <c r="D1347" s="1" t="s">
        <v>4148</v>
      </c>
      <c r="E1347" t="s">
        <v>36</v>
      </c>
      <c r="G1347" t="str">
        <f>_xlfn.XLOOKUP(frasest[[#This Row],[author_es]],autorest[author_es],autorest[author_la])</f>
        <v>Proverbium Sinense</v>
      </c>
      <c r="H1347" t="str">
        <f>_xlfn.XLOOKUP(frasest[[#This Row],[author_es]],autorest[author_es],autorest[bio_es])</f>
        <v>Conjunto de proverbios tradicionales de la cultura china que transmiten sabiduría popular, valores morales y enseñanzas prácticas transmitidas oralmente durante siglos.</v>
      </c>
      <c r="I1347" t="str">
        <f>_xlfn.XLOOKUP(frasest[[#This Row],[author_es]],autorest[author_es],autorest[bio_la])</f>
        <v>Collectio sententiarum Sinensium, magnopere in cultura tradita.</v>
      </c>
      <c r="J1347" t="str">
        <f>_xlfn.XLOOKUP(frasest[[#This Row],[author_es]],autorest[author_es],autorest[iso3691])</f>
        <v>zh</v>
      </c>
      <c r="K1347" t="str">
        <f>_xlfn.XLOOKUP(frasest[[#This Row],[author_es]],autorest[author_es],autorest[language_es])</f>
        <v>Chino</v>
      </c>
      <c r="L1347" t="str">
        <f>_xlfn.XLOOKUP(frasest[[#This Row],[author_es]],autorest[author_es],autorest[language_la])</f>
        <v>Lingua Sinica</v>
      </c>
      <c r="M1347" t="str">
        <f>_xlfn.XLOOKUP(frasest[[#This Row],[author_es]],autorest[author_es],autorest[nation_es])</f>
        <v>China</v>
      </c>
      <c r="N1347" t="str">
        <f>_xlfn.XLOOKUP(frasest[[#This Row],[author_es]],autorest[author_es],autorest[nation_la])</f>
        <v>Sinae</v>
      </c>
      <c r="O1347" t="str">
        <f>_xlfn.XLOOKUP(frasest[[#This Row],[author_es]],autorest[author_es],autorest[age_es])</f>
        <v>Epoca Desconocida</v>
      </c>
      <c r="P1347" t="str">
        <f>_xlfn.XLOOKUP(frasest[[#This Row],[author_es]],autorest[author_es],autorest[age_la])</f>
        <v>Epocha Ignota</v>
      </c>
      <c r="Q1347" t="str">
        <f>_xlfn.XLOOKUP(frasest[[#This Row],[author_es]],autorest[author_es],autorest[image])</f>
        <v>https://i.ibb.co/qLfpZm6h/china.png</v>
      </c>
      <c r="R1347">
        <f>_xlfn.XLOOKUP(frasest[[#This Row],[author_es]],autorest[author_es],autorest[image_atr])</f>
        <v>0</v>
      </c>
    </row>
    <row r="1348" spans="1:18">
      <c r="A1348">
        <v>1347</v>
      </c>
      <c r="B1348" t="s">
        <v>4149</v>
      </c>
      <c r="C1348" t="s">
        <v>3957</v>
      </c>
      <c r="D1348" s="1" t="s">
        <v>4150</v>
      </c>
      <c r="E1348" t="s">
        <v>36</v>
      </c>
      <c r="G1348" t="str">
        <f>_xlfn.XLOOKUP(frasest[[#This Row],[author_es]],autorest[author_es],autorest[author_la])</f>
        <v>Proverbium Sinense</v>
      </c>
      <c r="H1348" t="str">
        <f>_xlfn.XLOOKUP(frasest[[#This Row],[author_es]],autorest[author_es],autorest[bio_es])</f>
        <v>Conjunto de proverbios tradicionales de la cultura china que transmiten sabiduría popular, valores morales y enseñanzas prácticas transmitidas oralmente durante siglos.</v>
      </c>
      <c r="I1348" t="str">
        <f>_xlfn.XLOOKUP(frasest[[#This Row],[author_es]],autorest[author_es],autorest[bio_la])</f>
        <v>Collectio sententiarum Sinensium, magnopere in cultura tradita.</v>
      </c>
      <c r="J1348" t="str">
        <f>_xlfn.XLOOKUP(frasest[[#This Row],[author_es]],autorest[author_es],autorest[iso3691])</f>
        <v>zh</v>
      </c>
      <c r="K1348" t="str">
        <f>_xlfn.XLOOKUP(frasest[[#This Row],[author_es]],autorest[author_es],autorest[language_es])</f>
        <v>Chino</v>
      </c>
      <c r="L1348" t="str">
        <f>_xlfn.XLOOKUP(frasest[[#This Row],[author_es]],autorest[author_es],autorest[language_la])</f>
        <v>Lingua Sinica</v>
      </c>
      <c r="M1348" t="str">
        <f>_xlfn.XLOOKUP(frasest[[#This Row],[author_es]],autorest[author_es],autorest[nation_es])</f>
        <v>China</v>
      </c>
      <c r="N1348" t="str">
        <f>_xlfn.XLOOKUP(frasest[[#This Row],[author_es]],autorest[author_es],autorest[nation_la])</f>
        <v>Sinae</v>
      </c>
      <c r="O1348" t="str">
        <f>_xlfn.XLOOKUP(frasest[[#This Row],[author_es]],autorest[author_es],autorest[age_es])</f>
        <v>Epoca Desconocida</v>
      </c>
      <c r="P1348" t="str">
        <f>_xlfn.XLOOKUP(frasest[[#This Row],[author_es]],autorest[author_es],autorest[age_la])</f>
        <v>Epocha Ignota</v>
      </c>
      <c r="Q1348" t="str">
        <f>_xlfn.XLOOKUP(frasest[[#This Row],[author_es]],autorest[author_es],autorest[image])</f>
        <v>https://i.ibb.co/qLfpZm6h/china.png</v>
      </c>
      <c r="R1348">
        <f>_xlfn.XLOOKUP(frasest[[#This Row],[author_es]],autorest[author_es],autorest[image_atr])</f>
        <v>0</v>
      </c>
    </row>
    <row r="1349" spans="1:18">
      <c r="A1349">
        <v>1348</v>
      </c>
      <c r="B1349" t="s">
        <v>4151</v>
      </c>
      <c r="C1349" t="s">
        <v>4152</v>
      </c>
      <c r="D1349" s="1" t="s">
        <v>4153</v>
      </c>
      <c r="E1349" t="s">
        <v>36</v>
      </c>
      <c r="G1349" t="str">
        <f>_xlfn.XLOOKUP(frasest[[#This Row],[author_es]],autorest[author_es],autorest[author_la])</f>
        <v>Proverbium Sinense</v>
      </c>
      <c r="H1349" t="str">
        <f>_xlfn.XLOOKUP(frasest[[#This Row],[author_es]],autorest[author_es],autorest[bio_es])</f>
        <v>Conjunto de proverbios tradicionales de la cultura china que transmiten sabiduría popular, valores morales y enseñanzas prácticas transmitidas oralmente durante siglos.</v>
      </c>
      <c r="I1349" t="str">
        <f>_xlfn.XLOOKUP(frasest[[#This Row],[author_es]],autorest[author_es],autorest[bio_la])</f>
        <v>Collectio sententiarum Sinensium, magnopere in cultura tradita.</v>
      </c>
      <c r="J1349" t="str">
        <f>_xlfn.XLOOKUP(frasest[[#This Row],[author_es]],autorest[author_es],autorest[iso3691])</f>
        <v>zh</v>
      </c>
      <c r="K1349" t="str">
        <f>_xlfn.XLOOKUP(frasest[[#This Row],[author_es]],autorest[author_es],autorest[language_es])</f>
        <v>Chino</v>
      </c>
      <c r="L1349" t="str">
        <f>_xlfn.XLOOKUP(frasest[[#This Row],[author_es]],autorest[author_es],autorest[language_la])</f>
        <v>Lingua Sinica</v>
      </c>
      <c r="M1349" t="str">
        <f>_xlfn.XLOOKUP(frasest[[#This Row],[author_es]],autorest[author_es],autorest[nation_es])</f>
        <v>China</v>
      </c>
      <c r="N1349" t="str">
        <f>_xlfn.XLOOKUP(frasest[[#This Row],[author_es]],autorest[author_es],autorest[nation_la])</f>
        <v>Sinae</v>
      </c>
      <c r="O1349" t="str">
        <f>_xlfn.XLOOKUP(frasest[[#This Row],[author_es]],autorest[author_es],autorest[age_es])</f>
        <v>Epoca Desconocida</v>
      </c>
      <c r="P1349" t="str">
        <f>_xlfn.XLOOKUP(frasest[[#This Row],[author_es]],autorest[author_es],autorest[age_la])</f>
        <v>Epocha Ignota</v>
      </c>
      <c r="Q1349" t="str">
        <f>_xlfn.XLOOKUP(frasest[[#This Row],[author_es]],autorest[author_es],autorest[image])</f>
        <v>https://i.ibb.co/qLfpZm6h/china.png</v>
      </c>
      <c r="R1349">
        <f>_xlfn.XLOOKUP(frasest[[#This Row],[author_es]],autorest[author_es],autorest[image_atr])</f>
        <v>0</v>
      </c>
    </row>
    <row r="1350" spans="1:18">
      <c r="A1350">
        <v>1349</v>
      </c>
      <c r="B1350" t="s">
        <v>4154</v>
      </c>
      <c r="C1350" t="s">
        <v>4155</v>
      </c>
      <c r="D1350" t="s">
        <v>4156</v>
      </c>
      <c r="E1350" t="s">
        <v>4157</v>
      </c>
      <c r="F1350" t="s">
        <v>4158</v>
      </c>
      <c r="G1350" t="str">
        <f>_xlfn.XLOOKUP(frasest[[#This Row],[author_es]],autorest[author_es],autorest[author_la])</f>
        <v>Xenophon</v>
      </c>
      <c r="H1350" t="str">
        <f>_xlfn.XLOOKUP(frasest[[#This Row],[author_es]],autorest[author_es],autorest[bio_es])</f>
        <v>Historiador militar y filósofo griego discípulo de Sócrates que narró la vida del maestro desde una perspectiva práctica y ética centrada en el ciudadano virtuoso y el liderazgo</v>
      </c>
      <c r="I1350" t="str">
        <f>_xlfn.XLOOKUP(frasest[[#This Row],[author_es]],autorest[author_es],autorest[bio_la])</f>
        <v>Historicus miles et philosophus Graecus discipulus Socratis qui vitam magistri ex perspectiva practica et ethica de cive virtuoso et ducatu narravit</v>
      </c>
      <c r="J1350" t="str">
        <f>_xlfn.XLOOKUP(frasest[[#This Row],[author_es]],autorest[author_es],autorest[iso3691])</f>
        <v>el</v>
      </c>
      <c r="K1350" t="str">
        <f>_xlfn.XLOOKUP(frasest[[#This Row],[author_es]],autorest[author_es],autorest[language_es])</f>
        <v>Griego</v>
      </c>
      <c r="L1350" t="str">
        <f>_xlfn.XLOOKUP(frasest[[#This Row],[author_es]],autorest[author_es],autorest[language_la])</f>
        <v>Lingua Graeca</v>
      </c>
      <c r="M1350" t="str">
        <f>_xlfn.XLOOKUP(frasest[[#This Row],[author_es]],autorest[author_es],autorest[nation_es])</f>
        <v>Grecia</v>
      </c>
      <c r="N1350" t="str">
        <f>_xlfn.XLOOKUP(frasest[[#This Row],[author_es]],autorest[author_es],autorest[nation_la])</f>
        <v>Graecia</v>
      </c>
      <c r="O1350" t="str">
        <f>_xlfn.XLOOKUP(frasest[[#This Row],[author_es]],autorest[author_es],autorest[age_es])</f>
        <v>Edad Antigua</v>
      </c>
      <c r="P1350" t="str">
        <f>_xlfn.XLOOKUP(frasest[[#This Row],[author_es]],autorest[author_es],autorest[age_la])</f>
        <v>Antiquitas</v>
      </c>
      <c r="Q1350" t="str">
        <f>_xlfn.XLOOKUP(frasest[[#This Row],[author_es]],autorest[author_es],autorest[image])</f>
        <v>https://i.ibb.co/jPPtTZtx/jenofonte.png</v>
      </c>
      <c r="R1350">
        <f>_xlfn.XLOOKUP(frasest[[#This Row],[author_es]],autorest[author_es],autorest[image_atr])</f>
        <v>0</v>
      </c>
    </row>
    <row r="1351" spans="1:18">
      <c r="A1351">
        <v>1350</v>
      </c>
      <c r="B1351" t="s">
        <v>4159</v>
      </c>
      <c r="C1351" t="s">
        <v>4160</v>
      </c>
      <c r="D1351" t="s">
        <v>4161</v>
      </c>
      <c r="E1351" t="s">
        <v>4157</v>
      </c>
      <c r="F1351" t="s">
        <v>4162</v>
      </c>
      <c r="G1351" t="str">
        <f>_xlfn.XLOOKUP(frasest[[#This Row],[author_es]],autorest[author_es],autorest[author_la])</f>
        <v>Xenophon</v>
      </c>
      <c r="H1351" t="str">
        <f>_xlfn.XLOOKUP(frasest[[#This Row],[author_es]],autorest[author_es],autorest[bio_es])</f>
        <v>Historiador militar y filósofo griego discípulo de Sócrates que narró la vida del maestro desde una perspectiva práctica y ética centrada en el ciudadano virtuoso y el liderazgo</v>
      </c>
      <c r="I1351" t="str">
        <f>_xlfn.XLOOKUP(frasest[[#This Row],[author_es]],autorest[author_es],autorest[bio_la])</f>
        <v>Historicus miles et philosophus Graecus discipulus Socratis qui vitam magistri ex perspectiva practica et ethica de cive virtuoso et ducatu narravit</v>
      </c>
      <c r="J1351" t="str">
        <f>_xlfn.XLOOKUP(frasest[[#This Row],[author_es]],autorest[author_es],autorest[iso3691])</f>
        <v>el</v>
      </c>
      <c r="K1351" t="str">
        <f>_xlfn.XLOOKUP(frasest[[#This Row],[author_es]],autorest[author_es],autorest[language_es])</f>
        <v>Griego</v>
      </c>
      <c r="L1351" t="str">
        <f>_xlfn.XLOOKUP(frasest[[#This Row],[author_es]],autorest[author_es],autorest[language_la])</f>
        <v>Lingua Graeca</v>
      </c>
      <c r="M1351" t="str">
        <f>_xlfn.XLOOKUP(frasest[[#This Row],[author_es]],autorest[author_es],autorest[nation_es])</f>
        <v>Grecia</v>
      </c>
      <c r="N1351" t="str">
        <f>_xlfn.XLOOKUP(frasest[[#This Row],[author_es]],autorest[author_es],autorest[nation_la])</f>
        <v>Graecia</v>
      </c>
      <c r="O1351" t="str">
        <f>_xlfn.XLOOKUP(frasest[[#This Row],[author_es]],autorest[author_es],autorest[age_es])</f>
        <v>Edad Antigua</v>
      </c>
      <c r="P1351" t="str">
        <f>_xlfn.XLOOKUP(frasest[[#This Row],[author_es]],autorest[author_es],autorest[age_la])</f>
        <v>Antiquitas</v>
      </c>
      <c r="Q1351" t="str">
        <f>_xlfn.XLOOKUP(frasest[[#This Row],[author_es]],autorest[author_es],autorest[image])</f>
        <v>https://i.ibb.co/jPPtTZtx/jenofonte.png</v>
      </c>
      <c r="R1351">
        <f>_xlfn.XLOOKUP(frasest[[#This Row],[author_es]],autorest[author_es],autorest[image_atr])</f>
        <v>0</v>
      </c>
    </row>
    <row r="1352" spans="1:18">
      <c r="A1352">
        <v>1351</v>
      </c>
      <c r="B1352" t="s">
        <v>4163</v>
      </c>
      <c r="C1352" t="s">
        <v>4164</v>
      </c>
      <c r="D1352" t="s">
        <v>4165</v>
      </c>
      <c r="E1352" t="s">
        <v>4157</v>
      </c>
      <c r="F1352" t="s">
        <v>4166</v>
      </c>
      <c r="G1352" t="str">
        <f>_xlfn.XLOOKUP(frasest[[#This Row],[author_es]],autorest[author_es],autorest[author_la])</f>
        <v>Xenophon</v>
      </c>
      <c r="H1352" t="str">
        <f>_xlfn.XLOOKUP(frasest[[#This Row],[author_es]],autorest[author_es],autorest[bio_es])</f>
        <v>Historiador militar y filósofo griego discípulo de Sócrates que narró la vida del maestro desde una perspectiva práctica y ética centrada en el ciudadano virtuoso y el liderazgo</v>
      </c>
      <c r="I1352" t="str">
        <f>_xlfn.XLOOKUP(frasest[[#This Row],[author_es]],autorest[author_es],autorest[bio_la])</f>
        <v>Historicus miles et philosophus Graecus discipulus Socratis qui vitam magistri ex perspectiva practica et ethica de cive virtuoso et ducatu narravit</v>
      </c>
      <c r="J1352" t="str">
        <f>_xlfn.XLOOKUP(frasest[[#This Row],[author_es]],autorest[author_es],autorest[iso3691])</f>
        <v>el</v>
      </c>
      <c r="K1352" t="str">
        <f>_xlfn.XLOOKUP(frasest[[#This Row],[author_es]],autorest[author_es],autorest[language_es])</f>
        <v>Griego</v>
      </c>
      <c r="L1352" t="str">
        <f>_xlfn.XLOOKUP(frasest[[#This Row],[author_es]],autorest[author_es],autorest[language_la])</f>
        <v>Lingua Graeca</v>
      </c>
      <c r="M1352" t="str">
        <f>_xlfn.XLOOKUP(frasest[[#This Row],[author_es]],autorest[author_es],autorest[nation_es])</f>
        <v>Grecia</v>
      </c>
      <c r="N1352" t="str">
        <f>_xlfn.XLOOKUP(frasest[[#This Row],[author_es]],autorest[author_es],autorest[nation_la])</f>
        <v>Graecia</v>
      </c>
      <c r="O1352" t="str">
        <f>_xlfn.XLOOKUP(frasest[[#This Row],[author_es]],autorest[author_es],autorest[age_es])</f>
        <v>Edad Antigua</v>
      </c>
      <c r="P1352" t="str">
        <f>_xlfn.XLOOKUP(frasest[[#This Row],[author_es]],autorest[author_es],autorest[age_la])</f>
        <v>Antiquitas</v>
      </c>
      <c r="Q1352" t="str">
        <f>_xlfn.XLOOKUP(frasest[[#This Row],[author_es]],autorest[author_es],autorest[image])</f>
        <v>https://i.ibb.co/jPPtTZtx/jenofonte.png</v>
      </c>
      <c r="R1352">
        <f>_xlfn.XLOOKUP(frasest[[#This Row],[author_es]],autorest[author_es],autorest[image_atr])</f>
        <v>0</v>
      </c>
    </row>
    <row r="1353" spans="1:18">
      <c r="A1353">
        <v>1352</v>
      </c>
      <c r="B1353" t="s">
        <v>4167</v>
      </c>
      <c r="C1353" t="s">
        <v>4168</v>
      </c>
      <c r="D1353" t="s">
        <v>4169</v>
      </c>
      <c r="E1353" t="s">
        <v>4157</v>
      </c>
      <c r="F1353" t="s">
        <v>4170</v>
      </c>
      <c r="G1353" t="str">
        <f>_xlfn.XLOOKUP(frasest[[#This Row],[author_es]],autorest[author_es],autorest[author_la])</f>
        <v>Xenophon</v>
      </c>
      <c r="H1353" t="str">
        <f>_xlfn.XLOOKUP(frasest[[#This Row],[author_es]],autorest[author_es],autorest[bio_es])</f>
        <v>Historiador militar y filósofo griego discípulo de Sócrates que narró la vida del maestro desde una perspectiva práctica y ética centrada en el ciudadano virtuoso y el liderazgo</v>
      </c>
      <c r="I1353" t="str">
        <f>_xlfn.XLOOKUP(frasest[[#This Row],[author_es]],autorest[author_es],autorest[bio_la])</f>
        <v>Historicus miles et philosophus Graecus discipulus Socratis qui vitam magistri ex perspectiva practica et ethica de cive virtuoso et ducatu narravit</v>
      </c>
      <c r="J1353" t="str">
        <f>_xlfn.XLOOKUP(frasest[[#This Row],[author_es]],autorest[author_es],autorest[iso3691])</f>
        <v>el</v>
      </c>
      <c r="K1353" t="str">
        <f>_xlfn.XLOOKUP(frasest[[#This Row],[author_es]],autorest[author_es],autorest[language_es])</f>
        <v>Griego</v>
      </c>
      <c r="L1353" t="str">
        <f>_xlfn.XLOOKUP(frasest[[#This Row],[author_es]],autorest[author_es],autorest[language_la])</f>
        <v>Lingua Graeca</v>
      </c>
      <c r="M1353" t="str">
        <f>_xlfn.XLOOKUP(frasest[[#This Row],[author_es]],autorest[author_es],autorest[nation_es])</f>
        <v>Grecia</v>
      </c>
      <c r="N1353" t="str">
        <f>_xlfn.XLOOKUP(frasest[[#This Row],[author_es]],autorest[author_es],autorest[nation_la])</f>
        <v>Graecia</v>
      </c>
      <c r="O1353" t="str">
        <f>_xlfn.XLOOKUP(frasest[[#This Row],[author_es]],autorest[author_es],autorest[age_es])</f>
        <v>Edad Antigua</v>
      </c>
      <c r="P1353" t="str">
        <f>_xlfn.XLOOKUP(frasest[[#This Row],[author_es]],autorest[author_es],autorest[age_la])</f>
        <v>Antiquitas</v>
      </c>
      <c r="Q1353" t="str">
        <f>_xlfn.XLOOKUP(frasest[[#This Row],[author_es]],autorest[author_es],autorest[image])</f>
        <v>https://i.ibb.co/jPPtTZtx/jenofonte.png</v>
      </c>
      <c r="R1353">
        <f>_xlfn.XLOOKUP(frasest[[#This Row],[author_es]],autorest[author_es],autorest[image_atr])</f>
        <v>0</v>
      </c>
    </row>
    <row r="1354" spans="1:18">
      <c r="A1354">
        <v>1353</v>
      </c>
      <c r="B1354" t="s">
        <v>4171</v>
      </c>
      <c r="C1354" t="s">
        <v>4172</v>
      </c>
      <c r="D1354" t="s">
        <v>4173</v>
      </c>
      <c r="E1354" t="s">
        <v>4157</v>
      </c>
      <c r="F1354" t="s">
        <v>4174</v>
      </c>
      <c r="G1354" t="str">
        <f>_xlfn.XLOOKUP(frasest[[#This Row],[author_es]],autorest[author_es],autorest[author_la])</f>
        <v>Xenophon</v>
      </c>
      <c r="H1354" t="str">
        <f>_xlfn.XLOOKUP(frasest[[#This Row],[author_es]],autorest[author_es],autorest[bio_es])</f>
        <v>Historiador militar y filósofo griego discípulo de Sócrates que narró la vida del maestro desde una perspectiva práctica y ética centrada en el ciudadano virtuoso y el liderazgo</v>
      </c>
      <c r="I1354" t="str">
        <f>_xlfn.XLOOKUP(frasest[[#This Row],[author_es]],autorest[author_es],autorest[bio_la])</f>
        <v>Historicus miles et philosophus Graecus discipulus Socratis qui vitam magistri ex perspectiva practica et ethica de cive virtuoso et ducatu narravit</v>
      </c>
      <c r="J1354" t="str">
        <f>_xlfn.XLOOKUP(frasest[[#This Row],[author_es]],autorest[author_es],autorest[iso3691])</f>
        <v>el</v>
      </c>
      <c r="K1354" t="str">
        <f>_xlfn.XLOOKUP(frasest[[#This Row],[author_es]],autorest[author_es],autorest[language_es])</f>
        <v>Griego</v>
      </c>
      <c r="L1354" t="str">
        <f>_xlfn.XLOOKUP(frasest[[#This Row],[author_es]],autorest[author_es],autorest[language_la])</f>
        <v>Lingua Graeca</v>
      </c>
      <c r="M1354" t="str">
        <f>_xlfn.XLOOKUP(frasest[[#This Row],[author_es]],autorest[author_es],autorest[nation_es])</f>
        <v>Grecia</v>
      </c>
      <c r="N1354" t="str">
        <f>_xlfn.XLOOKUP(frasest[[#This Row],[author_es]],autorest[author_es],autorest[nation_la])</f>
        <v>Graecia</v>
      </c>
      <c r="O1354" t="str">
        <f>_xlfn.XLOOKUP(frasest[[#This Row],[author_es]],autorest[author_es],autorest[age_es])</f>
        <v>Edad Antigua</v>
      </c>
      <c r="P1354" t="str">
        <f>_xlfn.XLOOKUP(frasest[[#This Row],[author_es]],autorest[author_es],autorest[age_la])</f>
        <v>Antiquitas</v>
      </c>
      <c r="Q1354" t="str">
        <f>_xlfn.XLOOKUP(frasest[[#This Row],[author_es]],autorest[author_es],autorest[image])</f>
        <v>https://i.ibb.co/jPPtTZtx/jenofonte.png</v>
      </c>
      <c r="R1354">
        <f>_xlfn.XLOOKUP(frasest[[#This Row],[author_es]],autorest[author_es],autorest[image_atr])</f>
        <v>0</v>
      </c>
    </row>
    <row r="1355" spans="1:18">
      <c r="A1355">
        <v>1354</v>
      </c>
      <c r="B1355" t="s">
        <v>4175</v>
      </c>
      <c r="C1355" t="s">
        <v>4176</v>
      </c>
      <c r="D1355" t="s">
        <v>4177</v>
      </c>
      <c r="E1355" t="s">
        <v>4157</v>
      </c>
      <c r="F1355" t="s">
        <v>4178</v>
      </c>
      <c r="G1355" t="str">
        <f>_xlfn.XLOOKUP(frasest[[#This Row],[author_es]],autorest[author_es],autorest[author_la])</f>
        <v>Xenophon</v>
      </c>
      <c r="H1355" t="str">
        <f>_xlfn.XLOOKUP(frasest[[#This Row],[author_es]],autorest[author_es],autorest[bio_es])</f>
        <v>Historiador militar y filósofo griego discípulo de Sócrates que narró la vida del maestro desde una perspectiva práctica y ética centrada en el ciudadano virtuoso y el liderazgo</v>
      </c>
      <c r="I1355" t="str">
        <f>_xlfn.XLOOKUP(frasest[[#This Row],[author_es]],autorest[author_es],autorest[bio_la])</f>
        <v>Historicus miles et philosophus Graecus discipulus Socratis qui vitam magistri ex perspectiva practica et ethica de cive virtuoso et ducatu narravit</v>
      </c>
      <c r="J1355" t="str">
        <f>_xlfn.XLOOKUP(frasest[[#This Row],[author_es]],autorest[author_es],autorest[iso3691])</f>
        <v>el</v>
      </c>
      <c r="K1355" t="str">
        <f>_xlfn.XLOOKUP(frasest[[#This Row],[author_es]],autorest[author_es],autorest[language_es])</f>
        <v>Griego</v>
      </c>
      <c r="L1355" t="str">
        <f>_xlfn.XLOOKUP(frasest[[#This Row],[author_es]],autorest[author_es],autorest[language_la])</f>
        <v>Lingua Graeca</v>
      </c>
      <c r="M1355" t="str">
        <f>_xlfn.XLOOKUP(frasest[[#This Row],[author_es]],autorest[author_es],autorest[nation_es])</f>
        <v>Grecia</v>
      </c>
      <c r="N1355" t="str">
        <f>_xlfn.XLOOKUP(frasest[[#This Row],[author_es]],autorest[author_es],autorest[nation_la])</f>
        <v>Graecia</v>
      </c>
      <c r="O1355" t="str">
        <f>_xlfn.XLOOKUP(frasest[[#This Row],[author_es]],autorest[author_es],autorest[age_es])</f>
        <v>Edad Antigua</v>
      </c>
      <c r="P1355" t="str">
        <f>_xlfn.XLOOKUP(frasest[[#This Row],[author_es]],autorest[author_es],autorest[age_la])</f>
        <v>Antiquitas</v>
      </c>
      <c r="Q1355" t="str">
        <f>_xlfn.XLOOKUP(frasest[[#This Row],[author_es]],autorest[author_es],autorest[image])</f>
        <v>https://i.ibb.co/jPPtTZtx/jenofonte.png</v>
      </c>
      <c r="R1355">
        <f>_xlfn.XLOOKUP(frasest[[#This Row],[author_es]],autorest[author_es],autorest[image_atr])</f>
        <v>0</v>
      </c>
    </row>
    <row r="1356" spans="1:18">
      <c r="A1356">
        <v>1355</v>
      </c>
      <c r="B1356" t="s">
        <v>4179</v>
      </c>
      <c r="C1356" t="s">
        <v>4180</v>
      </c>
      <c r="D1356" t="s">
        <v>4181</v>
      </c>
      <c r="E1356" t="s">
        <v>4157</v>
      </c>
      <c r="F1356" t="s">
        <v>4182</v>
      </c>
      <c r="G1356" t="str">
        <f>_xlfn.XLOOKUP(frasest[[#This Row],[author_es]],autorest[author_es],autorest[author_la])</f>
        <v>Xenophon</v>
      </c>
      <c r="H1356" t="str">
        <f>_xlfn.XLOOKUP(frasest[[#This Row],[author_es]],autorest[author_es],autorest[bio_es])</f>
        <v>Historiador militar y filósofo griego discípulo de Sócrates que narró la vida del maestro desde una perspectiva práctica y ética centrada en el ciudadano virtuoso y el liderazgo</v>
      </c>
      <c r="I1356" t="str">
        <f>_xlfn.XLOOKUP(frasest[[#This Row],[author_es]],autorest[author_es],autorest[bio_la])</f>
        <v>Historicus miles et philosophus Graecus discipulus Socratis qui vitam magistri ex perspectiva practica et ethica de cive virtuoso et ducatu narravit</v>
      </c>
      <c r="J1356" t="str">
        <f>_xlfn.XLOOKUP(frasest[[#This Row],[author_es]],autorest[author_es],autorest[iso3691])</f>
        <v>el</v>
      </c>
      <c r="K1356" t="str">
        <f>_xlfn.XLOOKUP(frasest[[#This Row],[author_es]],autorest[author_es],autorest[language_es])</f>
        <v>Griego</v>
      </c>
      <c r="L1356" t="str">
        <f>_xlfn.XLOOKUP(frasest[[#This Row],[author_es]],autorest[author_es],autorest[language_la])</f>
        <v>Lingua Graeca</v>
      </c>
      <c r="M1356" t="str">
        <f>_xlfn.XLOOKUP(frasest[[#This Row],[author_es]],autorest[author_es],autorest[nation_es])</f>
        <v>Grecia</v>
      </c>
      <c r="N1356" t="str">
        <f>_xlfn.XLOOKUP(frasest[[#This Row],[author_es]],autorest[author_es],autorest[nation_la])</f>
        <v>Graecia</v>
      </c>
      <c r="O1356" t="str">
        <f>_xlfn.XLOOKUP(frasest[[#This Row],[author_es]],autorest[author_es],autorest[age_es])</f>
        <v>Edad Antigua</v>
      </c>
      <c r="P1356" t="str">
        <f>_xlfn.XLOOKUP(frasest[[#This Row],[author_es]],autorest[author_es],autorest[age_la])</f>
        <v>Antiquitas</v>
      </c>
      <c r="Q1356" t="str">
        <f>_xlfn.XLOOKUP(frasest[[#This Row],[author_es]],autorest[author_es],autorest[image])</f>
        <v>https://i.ibb.co/jPPtTZtx/jenofonte.png</v>
      </c>
      <c r="R1356">
        <f>_xlfn.XLOOKUP(frasest[[#This Row],[author_es]],autorest[author_es],autorest[image_atr])</f>
        <v>0</v>
      </c>
    </row>
    <row r="1357" spans="1:18">
      <c r="A1357">
        <v>1356</v>
      </c>
      <c r="B1357" t="s">
        <v>4183</v>
      </c>
      <c r="C1357" t="s">
        <v>4184</v>
      </c>
      <c r="D1357" t="s">
        <v>4185</v>
      </c>
      <c r="E1357" t="s">
        <v>4157</v>
      </c>
      <c r="F1357" t="s">
        <v>4186</v>
      </c>
      <c r="G1357" t="str">
        <f>_xlfn.XLOOKUP(frasest[[#This Row],[author_es]],autorest[author_es],autorest[author_la])</f>
        <v>Xenophon</v>
      </c>
      <c r="H1357" t="str">
        <f>_xlfn.XLOOKUP(frasest[[#This Row],[author_es]],autorest[author_es],autorest[bio_es])</f>
        <v>Historiador militar y filósofo griego discípulo de Sócrates que narró la vida del maestro desde una perspectiva práctica y ética centrada en el ciudadano virtuoso y el liderazgo</v>
      </c>
      <c r="I1357" t="str">
        <f>_xlfn.XLOOKUP(frasest[[#This Row],[author_es]],autorest[author_es],autorest[bio_la])</f>
        <v>Historicus miles et philosophus Graecus discipulus Socratis qui vitam magistri ex perspectiva practica et ethica de cive virtuoso et ducatu narravit</v>
      </c>
      <c r="J1357" t="str">
        <f>_xlfn.XLOOKUP(frasest[[#This Row],[author_es]],autorest[author_es],autorest[iso3691])</f>
        <v>el</v>
      </c>
      <c r="K1357" t="str">
        <f>_xlfn.XLOOKUP(frasest[[#This Row],[author_es]],autorest[author_es],autorest[language_es])</f>
        <v>Griego</v>
      </c>
      <c r="L1357" t="str">
        <f>_xlfn.XLOOKUP(frasest[[#This Row],[author_es]],autorest[author_es],autorest[language_la])</f>
        <v>Lingua Graeca</v>
      </c>
      <c r="M1357" t="str">
        <f>_xlfn.XLOOKUP(frasest[[#This Row],[author_es]],autorest[author_es],autorest[nation_es])</f>
        <v>Grecia</v>
      </c>
      <c r="N1357" t="str">
        <f>_xlfn.XLOOKUP(frasest[[#This Row],[author_es]],autorest[author_es],autorest[nation_la])</f>
        <v>Graecia</v>
      </c>
      <c r="O1357" t="str">
        <f>_xlfn.XLOOKUP(frasest[[#This Row],[author_es]],autorest[author_es],autorest[age_es])</f>
        <v>Edad Antigua</v>
      </c>
      <c r="P1357" t="str">
        <f>_xlfn.XLOOKUP(frasest[[#This Row],[author_es]],autorest[author_es],autorest[age_la])</f>
        <v>Antiquitas</v>
      </c>
      <c r="Q1357" t="str">
        <f>_xlfn.XLOOKUP(frasest[[#This Row],[author_es]],autorest[author_es],autorest[image])</f>
        <v>https://i.ibb.co/jPPtTZtx/jenofonte.png</v>
      </c>
      <c r="R1357">
        <f>_xlfn.XLOOKUP(frasest[[#This Row],[author_es]],autorest[author_es],autorest[image_atr])</f>
        <v>0</v>
      </c>
    </row>
    <row r="1358" spans="1:18">
      <c r="A1358">
        <v>1357</v>
      </c>
      <c r="B1358" t="s">
        <v>4187</v>
      </c>
      <c r="C1358" t="s">
        <v>4188</v>
      </c>
      <c r="D1358" t="s">
        <v>4189</v>
      </c>
      <c r="E1358" t="s">
        <v>4157</v>
      </c>
      <c r="F1358" t="s">
        <v>4190</v>
      </c>
      <c r="G1358" t="str">
        <f>_xlfn.XLOOKUP(frasest[[#This Row],[author_es]],autorest[author_es],autorest[author_la])</f>
        <v>Xenophon</v>
      </c>
      <c r="H1358" t="str">
        <f>_xlfn.XLOOKUP(frasest[[#This Row],[author_es]],autorest[author_es],autorest[bio_es])</f>
        <v>Historiador militar y filósofo griego discípulo de Sócrates que narró la vida del maestro desde una perspectiva práctica y ética centrada en el ciudadano virtuoso y el liderazgo</v>
      </c>
      <c r="I1358" t="str">
        <f>_xlfn.XLOOKUP(frasest[[#This Row],[author_es]],autorest[author_es],autorest[bio_la])</f>
        <v>Historicus miles et philosophus Graecus discipulus Socratis qui vitam magistri ex perspectiva practica et ethica de cive virtuoso et ducatu narravit</v>
      </c>
      <c r="J1358" t="str">
        <f>_xlfn.XLOOKUP(frasest[[#This Row],[author_es]],autorest[author_es],autorest[iso3691])</f>
        <v>el</v>
      </c>
      <c r="K1358" t="str">
        <f>_xlfn.XLOOKUP(frasest[[#This Row],[author_es]],autorest[author_es],autorest[language_es])</f>
        <v>Griego</v>
      </c>
      <c r="L1358" t="str">
        <f>_xlfn.XLOOKUP(frasest[[#This Row],[author_es]],autorest[author_es],autorest[language_la])</f>
        <v>Lingua Graeca</v>
      </c>
      <c r="M1358" t="str">
        <f>_xlfn.XLOOKUP(frasest[[#This Row],[author_es]],autorest[author_es],autorest[nation_es])</f>
        <v>Grecia</v>
      </c>
      <c r="N1358" t="str">
        <f>_xlfn.XLOOKUP(frasest[[#This Row],[author_es]],autorest[author_es],autorest[nation_la])</f>
        <v>Graecia</v>
      </c>
      <c r="O1358" t="str">
        <f>_xlfn.XLOOKUP(frasest[[#This Row],[author_es]],autorest[author_es],autorest[age_es])</f>
        <v>Edad Antigua</v>
      </c>
      <c r="P1358" t="str">
        <f>_xlfn.XLOOKUP(frasest[[#This Row],[author_es]],autorest[author_es],autorest[age_la])</f>
        <v>Antiquitas</v>
      </c>
      <c r="Q1358" t="str">
        <f>_xlfn.XLOOKUP(frasest[[#This Row],[author_es]],autorest[author_es],autorest[image])</f>
        <v>https://i.ibb.co/jPPtTZtx/jenofonte.png</v>
      </c>
      <c r="R1358">
        <f>_xlfn.XLOOKUP(frasest[[#This Row],[author_es]],autorest[author_es],autorest[image_atr])</f>
        <v>0</v>
      </c>
    </row>
    <row r="1359" spans="1:18">
      <c r="A1359">
        <v>1358</v>
      </c>
      <c r="B1359" t="s">
        <v>4191</v>
      </c>
      <c r="C1359" t="s">
        <v>4192</v>
      </c>
      <c r="D1359" t="s">
        <v>4193</v>
      </c>
      <c r="E1359" t="s">
        <v>4157</v>
      </c>
      <c r="F1359" t="s">
        <v>4194</v>
      </c>
      <c r="G1359" t="str">
        <f>_xlfn.XLOOKUP(frasest[[#This Row],[author_es]],autorest[author_es],autorest[author_la])</f>
        <v>Xenophon</v>
      </c>
      <c r="H1359" t="str">
        <f>_xlfn.XLOOKUP(frasest[[#This Row],[author_es]],autorest[author_es],autorest[bio_es])</f>
        <v>Historiador militar y filósofo griego discípulo de Sócrates que narró la vida del maestro desde una perspectiva práctica y ética centrada en el ciudadano virtuoso y el liderazgo</v>
      </c>
      <c r="I1359" t="str">
        <f>_xlfn.XLOOKUP(frasest[[#This Row],[author_es]],autorest[author_es],autorest[bio_la])</f>
        <v>Historicus miles et philosophus Graecus discipulus Socratis qui vitam magistri ex perspectiva practica et ethica de cive virtuoso et ducatu narravit</v>
      </c>
      <c r="J1359" t="str">
        <f>_xlfn.XLOOKUP(frasest[[#This Row],[author_es]],autorest[author_es],autorest[iso3691])</f>
        <v>el</v>
      </c>
      <c r="K1359" t="str">
        <f>_xlfn.XLOOKUP(frasest[[#This Row],[author_es]],autorest[author_es],autorest[language_es])</f>
        <v>Griego</v>
      </c>
      <c r="L1359" t="str">
        <f>_xlfn.XLOOKUP(frasest[[#This Row],[author_es]],autorest[author_es],autorest[language_la])</f>
        <v>Lingua Graeca</v>
      </c>
      <c r="M1359" t="str">
        <f>_xlfn.XLOOKUP(frasest[[#This Row],[author_es]],autorest[author_es],autorest[nation_es])</f>
        <v>Grecia</v>
      </c>
      <c r="N1359" t="str">
        <f>_xlfn.XLOOKUP(frasest[[#This Row],[author_es]],autorest[author_es],autorest[nation_la])</f>
        <v>Graecia</v>
      </c>
      <c r="O1359" t="str">
        <f>_xlfn.XLOOKUP(frasest[[#This Row],[author_es]],autorest[author_es],autorest[age_es])</f>
        <v>Edad Antigua</v>
      </c>
      <c r="P1359" t="str">
        <f>_xlfn.XLOOKUP(frasest[[#This Row],[author_es]],autorest[author_es],autorest[age_la])</f>
        <v>Antiquitas</v>
      </c>
      <c r="Q1359" t="str">
        <f>_xlfn.XLOOKUP(frasest[[#This Row],[author_es]],autorest[author_es],autorest[image])</f>
        <v>https://i.ibb.co/jPPtTZtx/jenofonte.png</v>
      </c>
      <c r="R1359">
        <f>_xlfn.XLOOKUP(frasest[[#This Row],[author_es]],autorest[author_es],autorest[image_atr])</f>
        <v>0</v>
      </c>
    </row>
    <row r="1360" spans="1:18">
      <c r="A1360">
        <v>1359</v>
      </c>
      <c r="B1360" t="s">
        <v>4195</v>
      </c>
      <c r="C1360" t="s">
        <v>4196</v>
      </c>
      <c r="D1360" t="s">
        <v>4197</v>
      </c>
      <c r="E1360" t="s">
        <v>4198</v>
      </c>
      <c r="F1360" t="s">
        <v>4199</v>
      </c>
      <c r="G1360" t="str">
        <f>_xlfn.XLOOKUP(frasest[[#This Row],[author_es]],autorest[author_es],autorest[author_la])</f>
        <v>Antisthenes</v>
      </c>
      <c r="H1360" t="str">
        <f>_xlfn.XLOOKUP(frasest[[#This Row],[author_es]],autorest[author_es],autorest[bio_es])</f>
        <v>Filósofo griego discípulo directo de Sócrates y fundador de la escuela cínica que defendía la virtud la autosuficiencia y el desprecio por las riquezas materiales</v>
      </c>
      <c r="I1360" t="str">
        <f>_xlfn.XLOOKUP(frasest[[#This Row],[author_es]],autorest[author_es],autorest[bio_la])</f>
        <v>Philosophus Graecus discipulus directus Socratis et fundator scholae Cynicae qui virtutem autosufficientia et contemptum divitiarum materialium defendebat</v>
      </c>
      <c r="J1360" t="str">
        <f>_xlfn.XLOOKUP(frasest[[#This Row],[author_es]],autorest[author_es],autorest[iso3691])</f>
        <v>el</v>
      </c>
      <c r="K1360" t="str">
        <f>_xlfn.XLOOKUP(frasest[[#This Row],[author_es]],autorest[author_es],autorest[language_es])</f>
        <v>Griego</v>
      </c>
      <c r="L1360" t="str">
        <f>_xlfn.XLOOKUP(frasest[[#This Row],[author_es]],autorest[author_es],autorest[language_la])</f>
        <v>Lingua Graeca</v>
      </c>
      <c r="M1360" t="str">
        <f>_xlfn.XLOOKUP(frasest[[#This Row],[author_es]],autorest[author_es],autorest[nation_es])</f>
        <v>Grecia</v>
      </c>
      <c r="N1360" t="str">
        <f>_xlfn.XLOOKUP(frasest[[#This Row],[author_es]],autorest[author_es],autorest[nation_la])</f>
        <v>Graecia</v>
      </c>
      <c r="O1360" t="str">
        <f>_xlfn.XLOOKUP(frasest[[#This Row],[author_es]],autorest[author_es],autorest[age_es])</f>
        <v>Edad Antigua</v>
      </c>
      <c r="P1360" t="str">
        <f>_xlfn.XLOOKUP(frasest[[#This Row],[author_es]],autorest[author_es],autorest[age_la])</f>
        <v>Antiquitas</v>
      </c>
      <c r="Q1360" t="str">
        <f>_xlfn.XLOOKUP(frasest[[#This Row],[author_es]],autorest[author_es],autorest[image])</f>
        <v>https://i.ibb.co/Xr7qMRcm/antistenes.png</v>
      </c>
      <c r="R1360">
        <f>_xlfn.XLOOKUP(frasest[[#This Row],[author_es]],autorest[author_es],autorest[image_atr])</f>
        <v>0</v>
      </c>
    </row>
    <row r="1361" spans="1:18">
      <c r="A1361">
        <v>1360</v>
      </c>
      <c r="B1361" t="s">
        <v>4200</v>
      </c>
      <c r="C1361" t="s">
        <v>4201</v>
      </c>
      <c r="D1361" t="s">
        <v>4202</v>
      </c>
      <c r="E1361" t="s">
        <v>4198</v>
      </c>
      <c r="F1361" t="s">
        <v>4203</v>
      </c>
      <c r="G1361" t="str">
        <f>_xlfn.XLOOKUP(frasest[[#This Row],[author_es]],autorest[author_es],autorest[author_la])</f>
        <v>Antisthenes</v>
      </c>
      <c r="H1361" t="str">
        <f>_xlfn.XLOOKUP(frasest[[#This Row],[author_es]],autorest[author_es],autorest[bio_es])</f>
        <v>Filósofo griego discípulo directo de Sócrates y fundador de la escuela cínica que defendía la virtud la autosuficiencia y el desprecio por las riquezas materiales</v>
      </c>
      <c r="I1361" t="str">
        <f>_xlfn.XLOOKUP(frasest[[#This Row],[author_es]],autorest[author_es],autorest[bio_la])</f>
        <v>Philosophus Graecus discipulus directus Socratis et fundator scholae Cynicae qui virtutem autosufficientia et contemptum divitiarum materialium defendebat</v>
      </c>
      <c r="J1361" t="str">
        <f>_xlfn.XLOOKUP(frasest[[#This Row],[author_es]],autorest[author_es],autorest[iso3691])</f>
        <v>el</v>
      </c>
      <c r="K1361" t="str">
        <f>_xlfn.XLOOKUP(frasest[[#This Row],[author_es]],autorest[author_es],autorest[language_es])</f>
        <v>Griego</v>
      </c>
      <c r="L1361" t="str">
        <f>_xlfn.XLOOKUP(frasest[[#This Row],[author_es]],autorest[author_es],autorest[language_la])</f>
        <v>Lingua Graeca</v>
      </c>
      <c r="M1361" t="str">
        <f>_xlfn.XLOOKUP(frasest[[#This Row],[author_es]],autorest[author_es],autorest[nation_es])</f>
        <v>Grecia</v>
      </c>
      <c r="N1361" t="str">
        <f>_xlfn.XLOOKUP(frasest[[#This Row],[author_es]],autorest[author_es],autorest[nation_la])</f>
        <v>Graecia</v>
      </c>
      <c r="O1361" t="str">
        <f>_xlfn.XLOOKUP(frasest[[#This Row],[author_es]],autorest[author_es],autorest[age_es])</f>
        <v>Edad Antigua</v>
      </c>
      <c r="P1361" t="str">
        <f>_xlfn.XLOOKUP(frasest[[#This Row],[author_es]],autorest[author_es],autorest[age_la])</f>
        <v>Antiquitas</v>
      </c>
      <c r="Q1361" t="str">
        <f>_xlfn.XLOOKUP(frasest[[#This Row],[author_es]],autorest[author_es],autorest[image])</f>
        <v>https://i.ibb.co/Xr7qMRcm/antistenes.png</v>
      </c>
      <c r="R1361">
        <f>_xlfn.XLOOKUP(frasest[[#This Row],[author_es]],autorest[author_es],autorest[image_atr])</f>
        <v>0</v>
      </c>
    </row>
    <row r="1362" spans="1:18">
      <c r="A1362">
        <v>1361</v>
      </c>
      <c r="B1362" t="s">
        <v>4204</v>
      </c>
      <c r="C1362" t="s">
        <v>4205</v>
      </c>
      <c r="D1362" t="s">
        <v>4206</v>
      </c>
      <c r="E1362" t="s">
        <v>4198</v>
      </c>
      <c r="F1362" t="s">
        <v>4207</v>
      </c>
      <c r="G1362" t="str">
        <f>_xlfn.XLOOKUP(frasest[[#This Row],[author_es]],autorest[author_es],autorest[author_la])</f>
        <v>Antisthenes</v>
      </c>
      <c r="H1362" t="str">
        <f>_xlfn.XLOOKUP(frasest[[#This Row],[author_es]],autorest[author_es],autorest[bio_es])</f>
        <v>Filósofo griego discípulo directo de Sócrates y fundador de la escuela cínica que defendía la virtud la autosuficiencia y el desprecio por las riquezas materiales</v>
      </c>
      <c r="I1362" t="str">
        <f>_xlfn.XLOOKUP(frasest[[#This Row],[author_es]],autorest[author_es],autorest[bio_la])</f>
        <v>Philosophus Graecus discipulus directus Socratis et fundator scholae Cynicae qui virtutem autosufficientia et contemptum divitiarum materialium defendebat</v>
      </c>
      <c r="J1362" t="str">
        <f>_xlfn.XLOOKUP(frasest[[#This Row],[author_es]],autorest[author_es],autorest[iso3691])</f>
        <v>el</v>
      </c>
      <c r="K1362" t="str">
        <f>_xlfn.XLOOKUP(frasest[[#This Row],[author_es]],autorest[author_es],autorest[language_es])</f>
        <v>Griego</v>
      </c>
      <c r="L1362" t="str">
        <f>_xlfn.XLOOKUP(frasest[[#This Row],[author_es]],autorest[author_es],autorest[language_la])</f>
        <v>Lingua Graeca</v>
      </c>
      <c r="M1362" t="str">
        <f>_xlfn.XLOOKUP(frasest[[#This Row],[author_es]],autorest[author_es],autorest[nation_es])</f>
        <v>Grecia</v>
      </c>
      <c r="N1362" t="str">
        <f>_xlfn.XLOOKUP(frasest[[#This Row],[author_es]],autorest[author_es],autorest[nation_la])</f>
        <v>Graecia</v>
      </c>
      <c r="O1362" t="str">
        <f>_xlfn.XLOOKUP(frasest[[#This Row],[author_es]],autorest[author_es],autorest[age_es])</f>
        <v>Edad Antigua</v>
      </c>
      <c r="P1362" t="str">
        <f>_xlfn.XLOOKUP(frasest[[#This Row],[author_es]],autorest[author_es],autorest[age_la])</f>
        <v>Antiquitas</v>
      </c>
      <c r="Q1362" t="str">
        <f>_xlfn.XLOOKUP(frasest[[#This Row],[author_es]],autorest[author_es],autorest[image])</f>
        <v>https://i.ibb.co/Xr7qMRcm/antistenes.png</v>
      </c>
      <c r="R1362">
        <f>_xlfn.XLOOKUP(frasest[[#This Row],[author_es]],autorest[author_es],autorest[image_atr])</f>
        <v>0</v>
      </c>
    </row>
    <row r="1363" spans="1:18">
      <c r="A1363">
        <v>1362</v>
      </c>
      <c r="B1363" t="s">
        <v>4208</v>
      </c>
      <c r="C1363" t="s">
        <v>4209</v>
      </c>
      <c r="D1363" t="s">
        <v>4210</v>
      </c>
      <c r="E1363" t="s">
        <v>4198</v>
      </c>
      <c r="F1363" t="s">
        <v>4211</v>
      </c>
      <c r="G1363" t="str">
        <f>_xlfn.XLOOKUP(frasest[[#This Row],[author_es]],autorest[author_es],autorest[author_la])</f>
        <v>Antisthenes</v>
      </c>
      <c r="H1363" t="str">
        <f>_xlfn.XLOOKUP(frasest[[#This Row],[author_es]],autorest[author_es],autorest[bio_es])</f>
        <v>Filósofo griego discípulo directo de Sócrates y fundador de la escuela cínica que defendía la virtud la autosuficiencia y el desprecio por las riquezas materiales</v>
      </c>
      <c r="I1363" t="str">
        <f>_xlfn.XLOOKUP(frasest[[#This Row],[author_es]],autorest[author_es],autorest[bio_la])</f>
        <v>Philosophus Graecus discipulus directus Socratis et fundator scholae Cynicae qui virtutem autosufficientia et contemptum divitiarum materialium defendebat</v>
      </c>
      <c r="J1363" t="str">
        <f>_xlfn.XLOOKUP(frasest[[#This Row],[author_es]],autorest[author_es],autorest[iso3691])</f>
        <v>el</v>
      </c>
      <c r="K1363" t="str">
        <f>_xlfn.XLOOKUP(frasest[[#This Row],[author_es]],autorest[author_es],autorest[language_es])</f>
        <v>Griego</v>
      </c>
      <c r="L1363" t="str">
        <f>_xlfn.XLOOKUP(frasest[[#This Row],[author_es]],autorest[author_es],autorest[language_la])</f>
        <v>Lingua Graeca</v>
      </c>
      <c r="M1363" t="str">
        <f>_xlfn.XLOOKUP(frasest[[#This Row],[author_es]],autorest[author_es],autorest[nation_es])</f>
        <v>Grecia</v>
      </c>
      <c r="N1363" t="str">
        <f>_xlfn.XLOOKUP(frasest[[#This Row],[author_es]],autorest[author_es],autorest[nation_la])</f>
        <v>Graecia</v>
      </c>
      <c r="O1363" t="str">
        <f>_xlfn.XLOOKUP(frasest[[#This Row],[author_es]],autorest[author_es],autorest[age_es])</f>
        <v>Edad Antigua</v>
      </c>
      <c r="P1363" t="str">
        <f>_xlfn.XLOOKUP(frasest[[#This Row],[author_es]],autorest[author_es],autorest[age_la])</f>
        <v>Antiquitas</v>
      </c>
      <c r="Q1363" t="str">
        <f>_xlfn.XLOOKUP(frasest[[#This Row],[author_es]],autorest[author_es],autorest[image])</f>
        <v>https://i.ibb.co/Xr7qMRcm/antistenes.png</v>
      </c>
      <c r="R1363">
        <f>_xlfn.XLOOKUP(frasest[[#This Row],[author_es]],autorest[author_es],autorest[image_atr])</f>
        <v>0</v>
      </c>
    </row>
    <row r="1364" spans="1:18">
      <c r="A1364">
        <v>1363</v>
      </c>
      <c r="B1364" t="s">
        <v>4212</v>
      </c>
      <c r="C1364" t="s">
        <v>4213</v>
      </c>
      <c r="D1364" t="s">
        <v>4214</v>
      </c>
      <c r="E1364" t="s">
        <v>4198</v>
      </c>
      <c r="F1364" t="s">
        <v>4215</v>
      </c>
      <c r="G1364" t="str">
        <f>_xlfn.XLOOKUP(frasest[[#This Row],[author_es]],autorest[author_es],autorest[author_la])</f>
        <v>Antisthenes</v>
      </c>
      <c r="H1364" t="str">
        <f>_xlfn.XLOOKUP(frasest[[#This Row],[author_es]],autorest[author_es],autorest[bio_es])</f>
        <v>Filósofo griego discípulo directo de Sócrates y fundador de la escuela cínica que defendía la virtud la autosuficiencia y el desprecio por las riquezas materiales</v>
      </c>
      <c r="I1364" t="str">
        <f>_xlfn.XLOOKUP(frasest[[#This Row],[author_es]],autorest[author_es],autorest[bio_la])</f>
        <v>Philosophus Graecus discipulus directus Socratis et fundator scholae Cynicae qui virtutem autosufficientia et contemptum divitiarum materialium defendebat</v>
      </c>
      <c r="J1364" t="str">
        <f>_xlfn.XLOOKUP(frasest[[#This Row],[author_es]],autorest[author_es],autorest[iso3691])</f>
        <v>el</v>
      </c>
      <c r="K1364" t="str">
        <f>_xlfn.XLOOKUP(frasest[[#This Row],[author_es]],autorest[author_es],autorest[language_es])</f>
        <v>Griego</v>
      </c>
      <c r="L1364" t="str">
        <f>_xlfn.XLOOKUP(frasest[[#This Row],[author_es]],autorest[author_es],autorest[language_la])</f>
        <v>Lingua Graeca</v>
      </c>
      <c r="M1364" t="str">
        <f>_xlfn.XLOOKUP(frasest[[#This Row],[author_es]],autorest[author_es],autorest[nation_es])</f>
        <v>Grecia</v>
      </c>
      <c r="N1364" t="str">
        <f>_xlfn.XLOOKUP(frasest[[#This Row],[author_es]],autorest[author_es],autorest[nation_la])</f>
        <v>Graecia</v>
      </c>
      <c r="O1364" t="str">
        <f>_xlfn.XLOOKUP(frasest[[#This Row],[author_es]],autorest[author_es],autorest[age_es])</f>
        <v>Edad Antigua</v>
      </c>
      <c r="P1364" t="str">
        <f>_xlfn.XLOOKUP(frasest[[#This Row],[author_es]],autorest[author_es],autorest[age_la])</f>
        <v>Antiquitas</v>
      </c>
      <c r="Q1364" t="str">
        <f>_xlfn.XLOOKUP(frasest[[#This Row],[author_es]],autorest[author_es],autorest[image])</f>
        <v>https://i.ibb.co/Xr7qMRcm/antistenes.png</v>
      </c>
      <c r="R1364">
        <f>_xlfn.XLOOKUP(frasest[[#This Row],[author_es]],autorest[author_es],autorest[image_atr])</f>
        <v>0</v>
      </c>
    </row>
    <row r="1365" spans="1:18">
      <c r="A1365">
        <v>1364</v>
      </c>
      <c r="B1365" t="s">
        <v>4216</v>
      </c>
      <c r="C1365" t="s">
        <v>4217</v>
      </c>
      <c r="D1365" t="s">
        <v>4218</v>
      </c>
      <c r="E1365" t="s">
        <v>4198</v>
      </c>
      <c r="F1365" t="s">
        <v>4219</v>
      </c>
      <c r="G1365" t="str">
        <f>_xlfn.XLOOKUP(frasest[[#This Row],[author_es]],autorest[author_es],autorest[author_la])</f>
        <v>Antisthenes</v>
      </c>
      <c r="H1365" t="str">
        <f>_xlfn.XLOOKUP(frasest[[#This Row],[author_es]],autorest[author_es],autorest[bio_es])</f>
        <v>Filósofo griego discípulo directo de Sócrates y fundador de la escuela cínica que defendía la virtud la autosuficiencia y el desprecio por las riquezas materiales</v>
      </c>
      <c r="I1365" t="str">
        <f>_xlfn.XLOOKUP(frasest[[#This Row],[author_es]],autorest[author_es],autorest[bio_la])</f>
        <v>Philosophus Graecus discipulus directus Socratis et fundator scholae Cynicae qui virtutem autosufficientia et contemptum divitiarum materialium defendebat</v>
      </c>
      <c r="J1365" t="str">
        <f>_xlfn.XLOOKUP(frasest[[#This Row],[author_es]],autorest[author_es],autorest[iso3691])</f>
        <v>el</v>
      </c>
      <c r="K1365" t="str">
        <f>_xlfn.XLOOKUP(frasest[[#This Row],[author_es]],autorest[author_es],autorest[language_es])</f>
        <v>Griego</v>
      </c>
      <c r="L1365" t="str">
        <f>_xlfn.XLOOKUP(frasest[[#This Row],[author_es]],autorest[author_es],autorest[language_la])</f>
        <v>Lingua Graeca</v>
      </c>
      <c r="M1365" t="str">
        <f>_xlfn.XLOOKUP(frasest[[#This Row],[author_es]],autorest[author_es],autorest[nation_es])</f>
        <v>Grecia</v>
      </c>
      <c r="N1365" t="str">
        <f>_xlfn.XLOOKUP(frasest[[#This Row],[author_es]],autorest[author_es],autorest[nation_la])</f>
        <v>Graecia</v>
      </c>
      <c r="O1365" t="str">
        <f>_xlfn.XLOOKUP(frasest[[#This Row],[author_es]],autorest[author_es],autorest[age_es])</f>
        <v>Edad Antigua</v>
      </c>
      <c r="P1365" t="str">
        <f>_xlfn.XLOOKUP(frasest[[#This Row],[author_es]],autorest[author_es],autorest[age_la])</f>
        <v>Antiquitas</v>
      </c>
      <c r="Q1365" t="str">
        <f>_xlfn.XLOOKUP(frasest[[#This Row],[author_es]],autorest[author_es],autorest[image])</f>
        <v>https://i.ibb.co/Xr7qMRcm/antistenes.png</v>
      </c>
      <c r="R1365">
        <f>_xlfn.XLOOKUP(frasest[[#This Row],[author_es]],autorest[author_es],autorest[image_atr])</f>
        <v>0</v>
      </c>
    </row>
    <row r="1366" spans="1:18">
      <c r="A1366">
        <v>1365</v>
      </c>
      <c r="B1366" t="s">
        <v>4220</v>
      </c>
      <c r="C1366" t="s">
        <v>4221</v>
      </c>
      <c r="D1366" t="s">
        <v>4222</v>
      </c>
      <c r="E1366" t="s">
        <v>4198</v>
      </c>
      <c r="F1366" t="s">
        <v>4223</v>
      </c>
      <c r="G1366" t="str">
        <f>_xlfn.XLOOKUP(frasest[[#This Row],[author_es]],autorest[author_es],autorest[author_la])</f>
        <v>Antisthenes</v>
      </c>
      <c r="H1366" t="str">
        <f>_xlfn.XLOOKUP(frasest[[#This Row],[author_es]],autorest[author_es],autorest[bio_es])</f>
        <v>Filósofo griego discípulo directo de Sócrates y fundador de la escuela cínica que defendía la virtud la autosuficiencia y el desprecio por las riquezas materiales</v>
      </c>
      <c r="I1366" t="str">
        <f>_xlfn.XLOOKUP(frasest[[#This Row],[author_es]],autorest[author_es],autorest[bio_la])</f>
        <v>Philosophus Graecus discipulus directus Socratis et fundator scholae Cynicae qui virtutem autosufficientia et contemptum divitiarum materialium defendebat</v>
      </c>
      <c r="J1366" t="str">
        <f>_xlfn.XLOOKUP(frasest[[#This Row],[author_es]],autorest[author_es],autorest[iso3691])</f>
        <v>el</v>
      </c>
      <c r="K1366" t="str">
        <f>_xlfn.XLOOKUP(frasest[[#This Row],[author_es]],autorest[author_es],autorest[language_es])</f>
        <v>Griego</v>
      </c>
      <c r="L1366" t="str">
        <f>_xlfn.XLOOKUP(frasest[[#This Row],[author_es]],autorest[author_es],autorest[language_la])</f>
        <v>Lingua Graeca</v>
      </c>
      <c r="M1366" t="str">
        <f>_xlfn.XLOOKUP(frasest[[#This Row],[author_es]],autorest[author_es],autorest[nation_es])</f>
        <v>Grecia</v>
      </c>
      <c r="N1366" t="str">
        <f>_xlfn.XLOOKUP(frasest[[#This Row],[author_es]],autorest[author_es],autorest[nation_la])</f>
        <v>Graecia</v>
      </c>
      <c r="O1366" t="str">
        <f>_xlfn.XLOOKUP(frasest[[#This Row],[author_es]],autorest[author_es],autorest[age_es])</f>
        <v>Edad Antigua</v>
      </c>
      <c r="P1366" t="str">
        <f>_xlfn.XLOOKUP(frasest[[#This Row],[author_es]],autorest[author_es],autorest[age_la])</f>
        <v>Antiquitas</v>
      </c>
      <c r="Q1366" t="str">
        <f>_xlfn.XLOOKUP(frasest[[#This Row],[author_es]],autorest[author_es],autorest[image])</f>
        <v>https://i.ibb.co/Xr7qMRcm/antistenes.png</v>
      </c>
      <c r="R1366">
        <f>_xlfn.XLOOKUP(frasest[[#This Row],[author_es]],autorest[author_es],autorest[image_atr])</f>
        <v>0</v>
      </c>
    </row>
    <row r="1367" spans="1:18">
      <c r="A1367">
        <v>1366</v>
      </c>
      <c r="B1367" t="s">
        <v>4224</v>
      </c>
      <c r="C1367" t="s">
        <v>4225</v>
      </c>
      <c r="D1367" t="s">
        <v>4226</v>
      </c>
      <c r="E1367" t="s">
        <v>4198</v>
      </c>
      <c r="F1367" t="s">
        <v>4227</v>
      </c>
      <c r="G1367" t="str">
        <f>_xlfn.XLOOKUP(frasest[[#This Row],[author_es]],autorest[author_es],autorest[author_la])</f>
        <v>Antisthenes</v>
      </c>
      <c r="H1367" t="str">
        <f>_xlfn.XLOOKUP(frasest[[#This Row],[author_es]],autorest[author_es],autorest[bio_es])</f>
        <v>Filósofo griego discípulo directo de Sócrates y fundador de la escuela cínica que defendía la virtud la autosuficiencia y el desprecio por las riquezas materiales</v>
      </c>
      <c r="I1367" t="str">
        <f>_xlfn.XLOOKUP(frasest[[#This Row],[author_es]],autorest[author_es],autorest[bio_la])</f>
        <v>Philosophus Graecus discipulus directus Socratis et fundator scholae Cynicae qui virtutem autosufficientia et contemptum divitiarum materialium defendebat</v>
      </c>
      <c r="J1367" t="str">
        <f>_xlfn.XLOOKUP(frasest[[#This Row],[author_es]],autorest[author_es],autorest[iso3691])</f>
        <v>el</v>
      </c>
      <c r="K1367" t="str">
        <f>_xlfn.XLOOKUP(frasest[[#This Row],[author_es]],autorest[author_es],autorest[language_es])</f>
        <v>Griego</v>
      </c>
      <c r="L1367" t="str">
        <f>_xlfn.XLOOKUP(frasest[[#This Row],[author_es]],autorest[author_es],autorest[language_la])</f>
        <v>Lingua Graeca</v>
      </c>
      <c r="M1367" t="str">
        <f>_xlfn.XLOOKUP(frasest[[#This Row],[author_es]],autorest[author_es],autorest[nation_es])</f>
        <v>Grecia</v>
      </c>
      <c r="N1367" t="str">
        <f>_xlfn.XLOOKUP(frasest[[#This Row],[author_es]],autorest[author_es],autorest[nation_la])</f>
        <v>Graecia</v>
      </c>
      <c r="O1367" t="str">
        <f>_xlfn.XLOOKUP(frasest[[#This Row],[author_es]],autorest[author_es],autorest[age_es])</f>
        <v>Edad Antigua</v>
      </c>
      <c r="P1367" t="str">
        <f>_xlfn.XLOOKUP(frasest[[#This Row],[author_es]],autorest[author_es],autorest[age_la])</f>
        <v>Antiquitas</v>
      </c>
      <c r="Q1367" t="str">
        <f>_xlfn.XLOOKUP(frasest[[#This Row],[author_es]],autorest[author_es],autorest[image])</f>
        <v>https://i.ibb.co/Xr7qMRcm/antistenes.png</v>
      </c>
      <c r="R1367">
        <f>_xlfn.XLOOKUP(frasest[[#This Row],[author_es]],autorest[author_es],autorest[image_atr])</f>
        <v>0</v>
      </c>
    </row>
    <row r="1368" spans="1:18">
      <c r="A1368">
        <v>1367</v>
      </c>
      <c r="B1368" t="s">
        <v>4228</v>
      </c>
      <c r="C1368" t="s">
        <v>4229</v>
      </c>
      <c r="D1368" t="s">
        <v>4230</v>
      </c>
      <c r="E1368" t="s">
        <v>4198</v>
      </c>
      <c r="F1368" t="s">
        <v>4231</v>
      </c>
      <c r="G1368" t="str">
        <f>_xlfn.XLOOKUP(frasest[[#This Row],[author_es]],autorest[author_es],autorest[author_la])</f>
        <v>Antisthenes</v>
      </c>
      <c r="H1368" t="str">
        <f>_xlfn.XLOOKUP(frasest[[#This Row],[author_es]],autorest[author_es],autorest[bio_es])</f>
        <v>Filósofo griego discípulo directo de Sócrates y fundador de la escuela cínica que defendía la virtud la autosuficiencia y el desprecio por las riquezas materiales</v>
      </c>
      <c r="I1368" t="str">
        <f>_xlfn.XLOOKUP(frasest[[#This Row],[author_es]],autorest[author_es],autorest[bio_la])</f>
        <v>Philosophus Graecus discipulus directus Socratis et fundator scholae Cynicae qui virtutem autosufficientia et contemptum divitiarum materialium defendebat</v>
      </c>
      <c r="J1368" t="str">
        <f>_xlfn.XLOOKUP(frasest[[#This Row],[author_es]],autorest[author_es],autorest[iso3691])</f>
        <v>el</v>
      </c>
      <c r="K1368" t="str">
        <f>_xlfn.XLOOKUP(frasest[[#This Row],[author_es]],autorest[author_es],autorest[language_es])</f>
        <v>Griego</v>
      </c>
      <c r="L1368" t="str">
        <f>_xlfn.XLOOKUP(frasest[[#This Row],[author_es]],autorest[author_es],autorest[language_la])</f>
        <v>Lingua Graeca</v>
      </c>
      <c r="M1368" t="str">
        <f>_xlfn.XLOOKUP(frasest[[#This Row],[author_es]],autorest[author_es],autorest[nation_es])</f>
        <v>Grecia</v>
      </c>
      <c r="N1368" t="str">
        <f>_xlfn.XLOOKUP(frasest[[#This Row],[author_es]],autorest[author_es],autorest[nation_la])</f>
        <v>Graecia</v>
      </c>
      <c r="O1368" t="str">
        <f>_xlfn.XLOOKUP(frasest[[#This Row],[author_es]],autorest[author_es],autorest[age_es])</f>
        <v>Edad Antigua</v>
      </c>
      <c r="P1368" t="str">
        <f>_xlfn.XLOOKUP(frasest[[#This Row],[author_es]],autorest[author_es],autorest[age_la])</f>
        <v>Antiquitas</v>
      </c>
      <c r="Q1368" t="str">
        <f>_xlfn.XLOOKUP(frasest[[#This Row],[author_es]],autorest[author_es],autorest[image])</f>
        <v>https://i.ibb.co/Xr7qMRcm/antistenes.png</v>
      </c>
      <c r="R1368">
        <f>_xlfn.XLOOKUP(frasest[[#This Row],[author_es]],autorest[author_es],autorest[image_atr])</f>
        <v>0</v>
      </c>
    </row>
    <row r="1369" spans="1:18">
      <c r="A1369">
        <v>1368</v>
      </c>
      <c r="B1369" t="s">
        <v>4232</v>
      </c>
      <c r="C1369" t="s">
        <v>4233</v>
      </c>
      <c r="D1369" t="s">
        <v>4234</v>
      </c>
      <c r="E1369" t="s">
        <v>4198</v>
      </c>
      <c r="F1369" t="s">
        <v>4235</v>
      </c>
      <c r="G1369" t="str">
        <f>_xlfn.XLOOKUP(frasest[[#This Row],[author_es]],autorest[author_es],autorest[author_la])</f>
        <v>Antisthenes</v>
      </c>
      <c r="H1369" t="str">
        <f>_xlfn.XLOOKUP(frasest[[#This Row],[author_es]],autorest[author_es],autorest[bio_es])</f>
        <v>Filósofo griego discípulo directo de Sócrates y fundador de la escuela cínica que defendía la virtud la autosuficiencia y el desprecio por las riquezas materiales</v>
      </c>
      <c r="I1369" t="str">
        <f>_xlfn.XLOOKUP(frasest[[#This Row],[author_es]],autorest[author_es],autorest[bio_la])</f>
        <v>Philosophus Graecus discipulus directus Socratis et fundator scholae Cynicae qui virtutem autosufficientia et contemptum divitiarum materialium defendebat</v>
      </c>
      <c r="J1369" t="str">
        <f>_xlfn.XLOOKUP(frasest[[#This Row],[author_es]],autorest[author_es],autorest[iso3691])</f>
        <v>el</v>
      </c>
      <c r="K1369" t="str">
        <f>_xlfn.XLOOKUP(frasest[[#This Row],[author_es]],autorest[author_es],autorest[language_es])</f>
        <v>Griego</v>
      </c>
      <c r="L1369" t="str">
        <f>_xlfn.XLOOKUP(frasest[[#This Row],[author_es]],autorest[author_es],autorest[language_la])</f>
        <v>Lingua Graeca</v>
      </c>
      <c r="M1369" t="str">
        <f>_xlfn.XLOOKUP(frasest[[#This Row],[author_es]],autorest[author_es],autorest[nation_es])</f>
        <v>Grecia</v>
      </c>
      <c r="N1369" t="str">
        <f>_xlfn.XLOOKUP(frasest[[#This Row],[author_es]],autorest[author_es],autorest[nation_la])</f>
        <v>Graecia</v>
      </c>
      <c r="O1369" t="str">
        <f>_xlfn.XLOOKUP(frasest[[#This Row],[author_es]],autorest[author_es],autorest[age_es])</f>
        <v>Edad Antigua</v>
      </c>
      <c r="P1369" t="str">
        <f>_xlfn.XLOOKUP(frasest[[#This Row],[author_es]],autorest[author_es],autorest[age_la])</f>
        <v>Antiquitas</v>
      </c>
      <c r="Q1369" t="str">
        <f>_xlfn.XLOOKUP(frasest[[#This Row],[author_es]],autorest[author_es],autorest[image])</f>
        <v>https://i.ibb.co/Xr7qMRcm/antistenes.png</v>
      </c>
      <c r="R1369">
        <f>_xlfn.XLOOKUP(frasest[[#This Row],[author_es]],autorest[author_es],autorest[image_atr])</f>
        <v>0</v>
      </c>
    </row>
    <row r="1370" spans="1:18">
      <c r="A1370">
        <v>1369</v>
      </c>
      <c r="B1370" t="s">
        <v>4236</v>
      </c>
      <c r="C1370" t="s">
        <v>4237</v>
      </c>
      <c r="D1370" t="s">
        <v>4238</v>
      </c>
      <c r="E1370" t="s">
        <v>4239</v>
      </c>
      <c r="F1370" t="s">
        <v>4240</v>
      </c>
      <c r="G1370" t="str">
        <f>_xlfn.XLOOKUP(frasest[[#This Row],[author_es]],autorest[author_es],autorest[author_la])</f>
        <v>Plotinus</v>
      </c>
      <c r="H137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0" t="str">
        <f>_xlfn.XLOOKUP(frasest[[#This Row],[author_es]],autorest[author_es],autorest[bio_la])</f>
        <v>Philosophus Neoplatonicus fundator scholae Neoplatonicae qui pontem inter philosophiam Graecam classicam et mysticam Christianam medievalem constituit cum doctrina de Uno et emanatione animae</v>
      </c>
      <c r="J1370" t="str">
        <f>_xlfn.XLOOKUP(frasest[[#This Row],[author_es]],autorest[author_es],autorest[iso3691])</f>
        <v>el</v>
      </c>
      <c r="K1370" t="str">
        <f>_xlfn.XLOOKUP(frasest[[#This Row],[author_es]],autorest[author_es],autorest[language_es])</f>
        <v>Griego</v>
      </c>
      <c r="L1370" t="str">
        <f>_xlfn.XLOOKUP(frasest[[#This Row],[author_es]],autorest[author_es],autorest[language_la])</f>
        <v>Lingua Graeca</v>
      </c>
      <c r="M1370" t="str">
        <f>_xlfn.XLOOKUP(frasest[[#This Row],[author_es]],autorest[author_es],autorest[nation_es])</f>
        <v>Roma</v>
      </c>
      <c r="N1370" t="str">
        <f>_xlfn.XLOOKUP(frasest[[#This Row],[author_es]],autorest[author_es],autorest[nation_la])</f>
        <v>Roma</v>
      </c>
      <c r="O1370" t="str">
        <f>_xlfn.XLOOKUP(frasest[[#This Row],[author_es]],autorest[author_es],autorest[age_es])</f>
        <v>Edad Antigua</v>
      </c>
      <c r="P1370" t="str">
        <f>_xlfn.XLOOKUP(frasest[[#This Row],[author_es]],autorest[author_es],autorest[age_la])</f>
        <v>Antiquitas</v>
      </c>
      <c r="Q1370" t="str">
        <f>_xlfn.XLOOKUP(frasest[[#This Row],[author_es]],autorest[author_es],autorest[image])</f>
        <v>https://i.ibb.co/wFKwzxC5/plotino.png</v>
      </c>
      <c r="R1370">
        <f>_xlfn.XLOOKUP(frasest[[#This Row],[author_es]],autorest[author_es],autorest[image_atr])</f>
        <v>0</v>
      </c>
    </row>
    <row r="1371" spans="1:18">
      <c r="A1371">
        <v>1370</v>
      </c>
      <c r="B1371" t="s">
        <v>4241</v>
      </c>
      <c r="C1371" t="s">
        <v>4242</v>
      </c>
      <c r="D1371" t="s">
        <v>4243</v>
      </c>
      <c r="E1371" t="s">
        <v>4239</v>
      </c>
      <c r="F1371" t="s">
        <v>4244</v>
      </c>
      <c r="G1371" t="str">
        <f>_xlfn.XLOOKUP(frasest[[#This Row],[author_es]],autorest[author_es],autorest[author_la])</f>
        <v>Plotinus</v>
      </c>
      <c r="H137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1" t="str">
        <f>_xlfn.XLOOKUP(frasest[[#This Row],[author_es]],autorest[author_es],autorest[bio_la])</f>
        <v>Philosophus Neoplatonicus fundator scholae Neoplatonicae qui pontem inter philosophiam Graecam classicam et mysticam Christianam medievalem constituit cum doctrina de Uno et emanatione animae</v>
      </c>
      <c r="J1371" t="str">
        <f>_xlfn.XLOOKUP(frasest[[#This Row],[author_es]],autorest[author_es],autorest[iso3691])</f>
        <v>el</v>
      </c>
      <c r="K1371" t="str">
        <f>_xlfn.XLOOKUP(frasest[[#This Row],[author_es]],autorest[author_es],autorest[language_es])</f>
        <v>Griego</v>
      </c>
      <c r="L1371" t="str">
        <f>_xlfn.XLOOKUP(frasest[[#This Row],[author_es]],autorest[author_es],autorest[language_la])</f>
        <v>Lingua Graeca</v>
      </c>
      <c r="M1371" t="str">
        <f>_xlfn.XLOOKUP(frasest[[#This Row],[author_es]],autorest[author_es],autorest[nation_es])</f>
        <v>Roma</v>
      </c>
      <c r="N1371" t="str">
        <f>_xlfn.XLOOKUP(frasest[[#This Row],[author_es]],autorest[author_es],autorest[nation_la])</f>
        <v>Roma</v>
      </c>
      <c r="O1371" t="str">
        <f>_xlfn.XLOOKUP(frasest[[#This Row],[author_es]],autorest[author_es],autorest[age_es])</f>
        <v>Edad Antigua</v>
      </c>
      <c r="P1371" t="str">
        <f>_xlfn.XLOOKUP(frasest[[#This Row],[author_es]],autorest[author_es],autorest[age_la])</f>
        <v>Antiquitas</v>
      </c>
      <c r="Q1371" t="str">
        <f>_xlfn.XLOOKUP(frasest[[#This Row],[author_es]],autorest[author_es],autorest[image])</f>
        <v>https://i.ibb.co/wFKwzxC5/plotino.png</v>
      </c>
      <c r="R1371">
        <f>_xlfn.XLOOKUP(frasest[[#This Row],[author_es]],autorest[author_es],autorest[image_atr])</f>
        <v>0</v>
      </c>
    </row>
    <row r="1372" spans="1:18">
      <c r="A1372">
        <v>1371</v>
      </c>
      <c r="B1372" t="s">
        <v>4245</v>
      </c>
      <c r="C1372" t="s">
        <v>4246</v>
      </c>
      <c r="D1372" t="s">
        <v>4247</v>
      </c>
      <c r="E1372" t="s">
        <v>4239</v>
      </c>
      <c r="F1372" t="s">
        <v>4248</v>
      </c>
      <c r="G1372" t="str">
        <f>_xlfn.XLOOKUP(frasest[[#This Row],[author_es]],autorest[author_es],autorest[author_la])</f>
        <v>Plotinus</v>
      </c>
      <c r="H137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2" t="str">
        <f>_xlfn.XLOOKUP(frasest[[#This Row],[author_es]],autorest[author_es],autorest[bio_la])</f>
        <v>Philosophus Neoplatonicus fundator scholae Neoplatonicae qui pontem inter philosophiam Graecam classicam et mysticam Christianam medievalem constituit cum doctrina de Uno et emanatione animae</v>
      </c>
      <c r="J1372" t="str">
        <f>_xlfn.XLOOKUP(frasest[[#This Row],[author_es]],autorest[author_es],autorest[iso3691])</f>
        <v>el</v>
      </c>
      <c r="K1372" t="str">
        <f>_xlfn.XLOOKUP(frasest[[#This Row],[author_es]],autorest[author_es],autorest[language_es])</f>
        <v>Griego</v>
      </c>
      <c r="L1372" t="str">
        <f>_xlfn.XLOOKUP(frasest[[#This Row],[author_es]],autorest[author_es],autorest[language_la])</f>
        <v>Lingua Graeca</v>
      </c>
      <c r="M1372" t="str">
        <f>_xlfn.XLOOKUP(frasest[[#This Row],[author_es]],autorest[author_es],autorest[nation_es])</f>
        <v>Roma</v>
      </c>
      <c r="N1372" t="str">
        <f>_xlfn.XLOOKUP(frasest[[#This Row],[author_es]],autorest[author_es],autorest[nation_la])</f>
        <v>Roma</v>
      </c>
      <c r="O1372" t="str">
        <f>_xlfn.XLOOKUP(frasest[[#This Row],[author_es]],autorest[author_es],autorest[age_es])</f>
        <v>Edad Antigua</v>
      </c>
      <c r="P1372" t="str">
        <f>_xlfn.XLOOKUP(frasest[[#This Row],[author_es]],autorest[author_es],autorest[age_la])</f>
        <v>Antiquitas</v>
      </c>
      <c r="Q1372" t="str">
        <f>_xlfn.XLOOKUP(frasest[[#This Row],[author_es]],autorest[author_es],autorest[image])</f>
        <v>https://i.ibb.co/wFKwzxC5/plotino.png</v>
      </c>
      <c r="R1372">
        <f>_xlfn.XLOOKUP(frasest[[#This Row],[author_es]],autorest[author_es],autorest[image_atr])</f>
        <v>0</v>
      </c>
    </row>
    <row r="1373" spans="1:18">
      <c r="A1373">
        <v>1372</v>
      </c>
      <c r="B1373" t="s">
        <v>4249</v>
      </c>
      <c r="C1373" t="s">
        <v>4250</v>
      </c>
      <c r="D1373" t="s">
        <v>4251</v>
      </c>
      <c r="E1373" t="s">
        <v>4239</v>
      </c>
      <c r="F1373" t="s">
        <v>4252</v>
      </c>
      <c r="G1373" t="str">
        <f>_xlfn.XLOOKUP(frasest[[#This Row],[author_es]],autorest[author_es],autorest[author_la])</f>
        <v>Plotinus</v>
      </c>
      <c r="H137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Row],[author_es]],autorest[author_es],autorest[bio_la])</f>
        <v>Philosophus Neoplatonicus fundator scholae Neoplatonicae qui pontem inter philosophiam Graecam classicam et mysticam Christianam medievalem constituit cum doctrina de Uno et emanatione animae</v>
      </c>
      <c r="J1373" t="str">
        <f>_xlfn.XLOOKUP(frasest[[#This Row],[author_es]],autorest[author_es],autorest[iso3691])</f>
        <v>el</v>
      </c>
      <c r="K1373" t="str">
        <f>_xlfn.XLOOKUP(frasest[[#This Row],[author_es]],autorest[author_es],autorest[language_es])</f>
        <v>Griego</v>
      </c>
      <c r="L1373" t="str">
        <f>_xlfn.XLOOKUP(frasest[[#This Row],[author_es]],autorest[author_es],autorest[language_la])</f>
        <v>Lingua Graeca</v>
      </c>
      <c r="M1373" t="str">
        <f>_xlfn.XLOOKUP(frasest[[#This Row],[author_es]],autorest[author_es],autorest[nation_es])</f>
        <v>Roma</v>
      </c>
      <c r="N1373" t="str">
        <f>_xlfn.XLOOKUP(frasest[[#This Row],[author_es]],autorest[author_es],autorest[nation_la])</f>
        <v>Roma</v>
      </c>
      <c r="O1373" t="str">
        <f>_xlfn.XLOOKUP(frasest[[#This Row],[author_es]],autorest[author_es],autorest[age_es])</f>
        <v>Edad Antigua</v>
      </c>
      <c r="P1373" t="str">
        <f>_xlfn.XLOOKUP(frasest[[#This Row],[author_es]],autorest[author_es],autorest[age_la])</f>
        <v>Antiquitas</v>
      </c>
      <c r="Q1373" t="str">
        <f>_xlfn.XLOOKUP(frasest[[#This Row],[author_es]],autorest[author_es],autorest[image])</f>
        <v>https://i.ibb.co/wFKwzxC5/plotino.png</v>
      </c>
      <c r="R1373">
        <f>_xlfn.XLOOKUP(frasest[[#This Row],[author_es]],autorest[author_es],autorest[image_atr])</f>
        <v>0</v>
      </c>
    </row>
    <row r="1374" spans="1:18">
      <c r="A1374">
        <v>1373</v>
      </c>
      <c r="B1374" t="s">
        <v>4253</v>
      </c>
      <c r="C1374" t="s">
        <v>4254</v>
      </c>
      <c r="D1374" t="s">
        <v>4255</v>
      </c>
      <c r="E1374" t="s">
        <v>4239</v>
      </c>
      <c r="F1374" t="s">
        <v>4256</v>
      </c>
      <c r="G1374" t="str">
        <f>_xlfn.XLOOKUP(frasest[[#This Row],[author_es]],autorest[author_es],autorest[author_la])</f>
        <v>Plotinus</v>
      </c>
      <c r="H137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Row],[author_es]],autorest[author_es],autorest[bio_la])</f>
        <v>Philosophus Neoplatonicus fundator scholae Neoplatonicae qui pontem inter philosophiam Graecam classicam et mysticam Christianam medievalem constituit cum doctrina de Uno et emanatione animae</v>
      </c>
      <c r="J1374" t="str">
        <f>_xlfn.XLOOKUP(frasest[[#This Row],[author_es]],autorest[author_es],autorest[iso3691])</f>
        <v>el</v>
      </c>
      <c r="K1374" t="str">
        <f>_xlfn.XLOOKUP(frasest[[#This Row],[author_es]],autorest[author_es],autorest[language_es])</f>
        <v>Griego</v>
      </c>
      <c r="L1374" t="str">
        <f>_xlfn.XLOOKUP(frasest[[#This Row],[author_es]],autorest[author_es],autorest[language_la])</f>
        <v>Lingua Graeca</v>
      </c>
      <c r="M1374" t="str">
        <f>_xlfn.XLOOKUP(frasest[[#This Row],[author_es]],autorest[author_es],autorest[nation_es])</f>
        <v>Roma</v>
      </c>
      <c r="N1374" t="str">
        <f>_xlfn.XLOOKUP(frasest[[#This Row],[author_es]],autorest[author_es],autorest[nation_la])</f>
        <v>Roma</v>
      </c>
      <c r="O1374" t="str">
        <f>_xlfn.XLOOKUP(frasest[[#This Row],[author_es]],autorest[author_es],autorest[age_es])</f>
        <v>Edad Antigua</v>
      </c>
      <c r="P1374" t="str">
        <f>_xlfn.XLOOKUP(frasest[[#This Row],[author_es]],autorest[author_es],autorest[age_la])</f>
        <v>Antiquitas</v>
      </c>
      <c r="Q1374" t="str">
        <f>_xlfn.XLOOKUP(frasest[[#This Row],[author_es]],autorest[author_es],autorest[image])</f>
        <v>https://i.ibb.co/wFKwzxC5/plotino.png</v>
      </c>
      <c r="R1374">
        <f>_xlfn.XLOOKUP(frasest[[#This Row],[author_es]],autorest[author_es],autorest[image_atr])</f>
        <v>0</v>
      </c>
    </row>
    <row r="1375" spans="1:18">
      <c r="A1375">
        <v>1374</v>
      </c>
      <c r="B1375" t="s">
        <v>4257</v>
      </c>
      <c r="C1375" t="s">
        <v>4258</v>
      </c>
      <c r="D1375" t="s">
        <v>4259</v>
      </c>
      <c r="E1375" t="s">
        <v>4239</v>
      </c>
      <c r="F1375" t="s">
        <v>4260</v>
      </c>
      <c r="G1375" t="str">
        <f>_xlfn.XLOOKUP(frasest[[#This Row],[author_es]],autorest[author_es],autorest[author_la])</f>
        <v>Plotinus</v>
      </c>
      <c r="H137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Row],[author_es]],autorest[author_es],autorest[bio_la])</f>
        <v>Philosophus Neoplatonicus fundator scholae Neoplatonicae qui pontem inter philosophiam Graecam classicam et mysticam Christianam medievalem constituit cum doctrina de Uno et emanatione animae</v>
      </c>
      <c r="J1375" t="str">
        <f>_xlfn.XLOOKUP(frasest[[#This Row],[author_es]],autorest[author_es],autorest[iso3691])</f>
        <v>el</v>
      </c>
      <c r="K1375" t="str">
        <f>_xlfn.XLOOKUP(frasest[[#This Row],[author_es]],autorest[author_es],autorest[language_es])</f>
        <v>Griego</v>
      </c>
      <c r="L1375" t="str">
        <f>_xlfn.XLOOKUP(frasest[[#This Row],[author_es]],autorest[author_es],autorest[language_la])</f>
        <v>Lingua Graeca</v>
      </c>
      <c r="M1375" t="str">
        <f>_xlfn.XLOOKUP(frasest[[#This Row],[author_es]],autorest[author_es],autorest[nation_es])</f>
        <v>Roma</v>
      </c>
      <c r="N1375" t="str">
        <f>_xlfn.XLOOKUP(frasest[[#This Row],[author_es]],autorest[author_es],autorest[nation_la])</f>
        <v>Roma</v>
      </c>
      <c r="O1375" t="str">
        <f>_xlfn.XLOOKUP(frasest[[#This Row],[author_es]],autorest[author_es],autorest[age_es])</f>
        <v>Edad Antigua</v>
      </c>
      <c r="P1375" t="str">
        <f>_xlfn.XLOOKUP(frasest[[#This Row],[author_es]],autorest[author_es],autorest[age_la])</f>
        <v>Antiquitas</v>
      </c>
      <c r="Q1375" t="str">
        <f>_xlfn.XLOOKUP(frasest[[#This Row],[author_es]],autorest[author_es],autorest[image])</f>
        <v>https://i.ibb.co/wFKwzxC5/plotino.png</v>
      </c>
      <c r="R1375">
        <f>_xlfn.XLOOKUP(frasest[[#This Row],[author_es]],autorest[author_es],autorest[image_atr])</f>
        <v>0</v>
      </c>
    </row>
    <row r="1376" spans="1:18">
      <c r="A1376">
        <v>1375</v>
      </c>
      <c r="B1376" t="s">
        <v>4261</v>
      </c>
      <c r="C1376" t="s">
        <v>4262</v>
      </c>
      <c r="D1376" t="s">
        <v>4263</v>
      </c>
      <c r="E1376" t="s">
        <v>4239</v>
      </c>
      <c r="F1376" t="s">
        <v>4264</v>
      </c>
      <c r="G1376" t="str">
        <f>_xlfn.XLOOKUP(frasest[[#This Row],[author_es]],autorest[author_es],autorest[author_la])</f>
        <v>Plotinus</v>
      </c>
      <c r="H137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Row],[author_es]],autorest[author_es],autorest[bio_la])</f>
        <v>Philosophus Neoplatonicus fundator scholae Neoplatonicae qui pontem inter philosophiam Graecam classicam et mysticam Christianam medievalem constituit cum doctrina de Uno et emanatione animae</v>
      </c>
      <c r="J1376" t="str">
        <f>_xlfn.XLOOKUP(frasest[[#This Row],[author_es]],autorest[author_es],autorest[iso3691])</f>
        <v>el</v>
      </c>
      <c r="K1376" t="str">
        <f>_xlfn.XLOOKUP(frasest[[#This Row],[author_es]],autorest[author_es],autorest[language_es])</f>
        <v>Griego</v>
      </c>
      <c r="L1376" t="str">
        <f>_xlfn.XLOOKUP(frasest[[#This Row],[author_es]],autorest[author_es],autorest[language_la])</f>
        <v>Lingua Graeca</v>
      </c>
      <c r="M1376" t="str">
        <f>_xlfn.XLOOKUP(frasest[[#This Row],[author_es]],autorest[author_es],autorest[nation_es])</f>
        <v>Roma</v>
      </c>
      <c r="N1376" t="str">
        <f>_xlfn.XLOOKUP(frasest[[#This Row],[author_es]],autorest[author_es],autorest[nation_la])</f>
        <v>Roma</v>
      </c>
      <c r="O1376" t="str">
        <f>_xlfn.XLOOKUP(frasest[[#This Row],[author_es]],autorest[author_es],autorest[age_es])</f>
        <v>Edad Antigua</v>
      </c>
      <c r="P1376" t="str">
        <f>_xlfn.XLOOKUP(frasest[[#This Row],[author_es]],autorest[author_es],autorest[age_la])</f>
        <v>Antiquitas</v>
      </c>
      <c r="Q1376" t="str">
        <f>_xlfn.XLOOKUP(frasest[[#This Row],[author_es]],autorest[author_es],autorest[image])</f>
        <v>https://i.ibb.co/wFKwzxC5/plotino.png</v>
      </c>
      <c r="R1376">
        <f>_xlfn.XLOOKUP(frasest[[#This Row],[author_es]],autorest[author_es],autorest[image_atr])</f>
        <v>0</v>
      </c>
    </row>
    <row r="1377" spans="1:18">
      <c r="A1377">
        <v>1376</v>
      </c>
      <c r="B1377" t="s">
        <v>4265</v>
      </c>
      <c r="C1377" t="s">
        <v>4266</v>
      </c>
      <c r="D1377" t="s">
        <v>4267</v>
      </c>
      <c r="E1377" t="s">
        <v>4239</v>
      </c>
      <c r="F1377" t="s">
        <v>4268</v>
      </c>
      <c r="G1377" t="str">
        <f>_xlfn.XLOOKUP(frasest[[#This Row],[author_es]],autorest[author_es],autorest[author_la])</f>
        <v>Plotinus</v>
      </c>
      <c r="H137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Row],[author_es]],autorest[author_es],autorest[bio_la])</f>
        <v>Philosophus Neoplatonicus fundator scholae Neoplatonicae qui pontem inter philosophiam Graecam classicam et mysticam Christianam medievalem constituit cum doctrina de Uno et emanatione animae</v>
      </c>
      <c r="J1377" t="str">
        <f>_xlfn.XLOOKUP(frasest[[#This Row],[author_es]],autorest[author_es],autorest[iso3691])</f>
        <v>el</v>
      </c>
      <c r="K1377" t="str">
        <f>_xlfn.XLOOKUP(frasest[[#This Row],[author_es]],autorest[author_es],autorest[language_es])</f>
        <v>Griego</v>
      </c>
      <c r="L1377" t="str">
        <f>_xlfn.XLOOKUP(frasest[[#This Row],[author_es]],autorest[author_es],autorest[language_la])</f>
        <v>Lingua Graeca</v>
      </c>
      <c r="M1377" t="str">
        <f>_xlfn.XLOOKUP(frasest[[#This Row],[author_es]],autorest[author_es],autorest[nation_es])</f>
        <v>Roma</v>
      </c>
      <c r="N1377" t="str">
        <f>_xlfn.XLOOKUP(frasest[[#This Row],[author_es]],autorest[author_es],autorest[nation_la])</f>
        <v>Roma</v>
      </c>
      <c r="O1377" t="str">
        <f>_xlfn.XLOOKUP(frasest[[#This Row],[author_es]],autorest[author_es],autorest[age_es])</f>
        <v>Edad Antigua</v>
      </c>
      <c r="P1377" t="str">
        <f>_xlfn.XLOOKUP(frasest[[#This Row],[author_es]],autorest[author_es],autorest[age_la])</f>
        <v>Antiquitas</v>
      </c>
      <c r="Q1377" t="str">
        <f>_xlfn.XLOOKUP(frasest[[#This Row],[author_es]],autorest[author_es],autorest[image])</f>
        <v>https://i.ibb.co/wFKwzxC5/plotino.png</v>
      </c>
      <c r="R1377">
        <f>_xlfn.XLOOKUP(frasest[[#This Row],[author_es]],autorest[author_es],autorest[image_atr])</f>
        <v>0</v>
      </c>
    </row>
    <row r="1378" spans="1:18">
      <c r="A1378">
        <v>1377</v>
      </c>
      <c r="B1378" t="s">
        <v>4269</v>
      </c>
      <c r="C1378" t="s">
        <v>4270</v>
      </c>
      <c r="D1378" t="s">
        <v>4271</v>
      </c>
      <c r="E1378" t="s">
        <v>4239</v>
      </c>
      <c r="F1378" t="s">
        <v>4272</v>
      </c>
      <c r="G1378" t="str">
        <f>_xlfn.XLOOKUP(frasest[[#This Row],[author_es]],autorest[author_es],autorest[author_la])</f>
        <v>Plotinus</v>
      </c>
      <c r="H137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Row],[author_es]],autorest[author_es],autorest[bio_la])</f>
        <v>Philosophus Neoplatonicus fundator scholae Neoplatonicae qui pontem inter philosophiam Graecam classicam et mysticam Christianam medievalem constituit cum doctrina de Uno et emanatione animae</v>
      </c>
      <c r="J1378" t="str">
        <f>_xlfn.XLOOKUP(frasest[[#This Row],[author_es]],autorest[author_es],autorest[iso3691])</f>
        <v>el</v>
      </c>
      <c r="K1378" t="str">
        <f>_xlfn.XLOOKUP(frasest[[#This Row],[author_es]],autorest[author_es],autorest[language_es])</f>
        <v>Griego</v>
      </c>
      <c r="L1378" t="str">
        <f>_xlfn.XLOOKUP(frasest[[#This Row],[author_es]],autorest[author_es],autorest[language_la])</f>
        <v>Lingua Graeca</v>
      </c>
      <c r="M1378" t="str">
        <f>_xlfn.XLOOKUP(frasest[[#This Row],[author_es]],autorest[author_es],autorest[nation_es])</f>
        <v>Roma</v>
      </c>
      <c r="N1378" t="str">
        <f>_xlfn.XLOOKUP(frasest[[#This Row],[author_es]],autorest[author_es],autorest[nation_la])</f>
        <v>Roma</v>
      </c>
      <c r="O1378" t="str">
        <f>_xlfn.XLOOKUP(frasest[[#This Row],[author_es]],autorest[author_es],autorest[age_es])</f>
        <v>Edad Antigua</v>
      </c>
      <c r="P1378" t="str">
        <f>_xlfn.XLOOKUP(frasest[[#This Row],[author_es]],autorest[author_es],autorest[age_la])</f>
        <v>Antiquitas</v>
      </c>
      <c r="Q1378" t="str">
        <f>_xlfn.XLOOKUP(frasest[[#This Row],[author_es]],autorest[author_es],autorest[image])</f>
        <v>https://i.ibb.co/wFKwzxC5/plotino.png</v>
      </c>
      <c r="R1378">
        <f>_xlfn.XLOOKUP(frasest[[#This Row],[author_es]],autorest[author_es],autorest[image_atr])</f>
        <v>0</v>
      </c>
    </row>
    <row r="1379" spans="1:18">
      <c r="A1379">
        <v>1378</v>
      </c>
      <c r="B1379" t="s">
        <v>4273</v>
      </c>
      <c r="C1379" t="s">
        <v>4274</v>
      </c>
      <c r="D1379" t="s">
        <v>4275</v>
      </c>
      <c r="E1379" t="s">
        <v>4239</v>
      </c>
      <c r="F1379" t="s">
        <v>4276</v>
      </c>
      <c r="G1379" t="str">
        <f>_xlfn.XLOOKUP(frasest[[#This Row],[author_es]],autorest[author_es],autorest[author_la])</f>
        <v>Plotinus</v>
      </c>
      <c r="H1379"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Row],[author_es]],autorest[author_es],autorest[bio_la])</f>
        <v>Philosophus Neoplatonicus fundator scholae Neoplatonicae qui pontem inter philosophiam Graecam classicam et mysticam Christianam medievalem constituit cum doctrina de Uno et emanatione animae</v>
      </c>
      <c r="J1379" t="str">
        <f>_xlfn.XLOOKUP(frasest[[#This Row],[author_es]],autorest[author_es],autorest[iso3691])</f>
        <v>el</v>
      </c>
      <c r="K1379" t="str">
        <f>_xlfn.XLOOKUP(frasest[[#This Row],[author_es]],autorest[author_es],autorest[language_es])</f>
        <v>Griego</v>
      </c>
      <c r="L1379" t="str">
        <f>_xlfn.XLOOKUP(frasest[[#This Row],[author_es]],autorest[author_es],autorest[language_la])</f>
        <v>Lingua Graeca</v>
      </c>
      <c r="M1379" t="str">
        <f>_xlfn.XLOOKUP(frasest[[#This Row],[author_es]],autorest[author_es],autorest[nation_es])</f>
        <v>Roma</v>
      </c>
      <c r="N1379" t="str">
        <f>_xlfn.XLOOKUP(frasest[[#This Row],[author_es]],autorest[author_es],autorest[nation_la])</f>
        <v>Roma</v>
      </c>
      <c r="O1379" t="str">
        <f>_xlfn.XLOOKUP(frasest[[#This Row],[author_es]],autorest[author_es],autorest[age_es])</f>
        <v>Edad Antigua</v>
      </c>
      <c r="P1379" t="str">
        <f>_xlfn.XLOOKUP(frasest[[#This Row],[author_es]],autorest[author_es],autorest[age_la])</f>
        <v>Antiquitas</v>
      </c>
      <c r="Q1379" t="str">
        <f>_xlfn.XLOOKUP(frasest[[#This Row],[author_es]],autorest[author_es],autorest[image])</f>
        <v>https://i.ibb.co/wFKwzxC5/plotino.png</v>
      </c>
      <c r="R1379">
        <f>_xlfn.XLOOKUP(frasest[[#This Row],[author_es]],autorest[author_es],autorest[image_atr])</f>
        <v>0</v>
      </c>
    </row>
    <row r="1380" spans="1:18">
      <c r="A1380">
        <v>1379</v>
      </c>
      <c r="B1380" t="s">
        <v>4277</v>
      </c>
      <c r="C1380" t="s">
        <v>4278</v>
      </c>
      <c r="D1380" t="s">
        <v>4279</v>
      </c>
      <c r="E1380" t="s">
        <v>4239</v>
      </c>
      <c r="F1380" t="s">
        <v>4280</v>
      </c>
      <c r="G1380" t="str">
        <f>_xlfn.XLOOKUP(frasest[[#This Row],[author_es]],autorest[author_es],autorest[author_la])</f>
        <v>Plotinus</v>
      </c>
      <c r="H138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Row],[author_es]],autorest[author_es],autorest[bio_la])</f>
        <v>Philosophus Neoplatonicus fundator scholae Neoplatonicae qui pontem inter philosophiam Graecam classicam et mysticam Christianam medievalem constituit cum doctrina de Uno et emanatione animae</v>
      </c>
      <c r="J1380" t="str">
        <f>_xlfn.XLOOKUP(frasest[[#This Row],[author_es]],autorest[author_es],autorest[iso3691])</f>
        <v>el</v>
      </c>
      <c r="K1380" t="str">
        <f>_xlfn.XLOOKUP(frasest[[#This Row],[author_es]],autorest[author_es],autorest[language_es])</f>
        <v>Griego</v>
      </c>
      <c r="L1380" t="str">
        <f>_xlfn.XLOOKUP(frasest[[#This Row],[author_es]],autorest[author_es],autorest[language_la])</f>
        <v>Lingua Graeca</v>
      </c>
      <c r="M1380" t="str">
        <f>_xlfn.XLOOKUP(frasest[[#This Row],[author_es]],autorest[author_es],autorest[nation_es])</f>
        <v>Roma</v>
      </c>
      <c r="N1380" t="str">
        <f>_xlfn.XLOOKUP(frasest[[#This Row],[author_es]],autorest[author_es],autorest[nation_la])</f>
        <v>Roma</v>
      </c>
      <c r="O1380" t="str">
        <f>_xlfn.XLOOKUP(frasest[[#This Row],[author_es]],autorest[author_es],autorest[age_es])</f>
        <v>Edad Antigua</v>
      </c>
      <c r="P1380" t="str">
        <f>_xlfn.XLOOKUP(frasest[[#This Row],[author_es]],autorest[author_es],autorest[age_la])</f>
        <v>Antiquitas</v>
      </c>
      <c r="Q1380" t="str">
        <f>_xlfn.XLOOKUP(frasest[[#This Row],[author_es]],autorest[author_es],autorest[image])</f>
        <v>https://i.ibb.co/wFKwzxC5/plotino.png</v>
      </c>
      <c r="R1380">
        <f>_xlfn.XLOOKUP(frasest[[#This Row],[author_es]],autorest[author_es],autorest[image_atr])</f>
        <v>0</v>
      </c>
    </row>
    <row r="1381" spans="1:18">
      <c r="A1381">
        <v>1380</v>
      </c>
      <c r="B1381" t="s">
        <v>4281</v>
      </c>
      <c r="C1381" t="s">
        <v>4282</v>
      </c>
      <c r="D1381" t="s">
        <v>4283</v>
      </c>
      <c r="E1381" t="s">
        <v>4239</v>
      </c>
      <c r="F1381" t="s">
        <v>4284</v>
      </c>
      <c r="G1381" t="str">
        <f>_xlfn.XLOOKUP(frasest[[#This Row],[author_es]],autorest[author_es],autorest[author_la])</f>
        <v>Plotinus</v>
      </c>
      <c r="H138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Row],[author_es]],autorest[author_es],autorest[bio_la])</f>
        <v>Philosophus Neoplatonicus fundator scholae Neoplatonicae qui pontem inter philosophiam Graecam classicam et mysticam Christianam medievalem constituit cum doctrina de Uno et emanatione animae</v>
      </c>
      <c r="J1381" t="str">
        <f>_xlfn.XLOOKUP(frasest[[#This Row],[author_es]],autorest[author_es],autorest[iso3691])</f>
        <v>el</v>
      </c>
      <c r="K1381" t="str">
        <f>_xlfn.XLOOKUP(frasest[[#This Row],[author_es]],autorest[author_es],autorest[language_es])</f>
        <v>Griego</v>
      </c>
      <c r="L1381" t="str">
        <f>_xlfn.XLOOKUP(frasest[[#This Row],[author_es]],autorest[author_es],autorest[language_la])</f>
        <v>Lingua Graeca</v>
      </c>
      <c r="M1381" t="str">
        <f>_xlfn.XLOOKUP(frasest[[#This Row],[author_es]],autorest[author_es],autorest[nation_es])</f>
        <v>Roma</v>
      </c>
      <c r="N1381" t="str">
        <f>_xlfn.XLOOKUP(frasest[[#This Row],[author_es]],autorest[author_es],autorest[nation_la])</f>
        <v>Roma</v>
      </c>
      <c r="O1381" t="str">
        <f>_xlfn.XLOOKUP(frasest[[#This Row],[author_es]],autorest[author_es],autorest[age_es])</f>
        <v>Edad Antigua</v>
      </c>
      <c r="P1381" t="str">
        <f>_xlfn.XLOOKUP(frasest[[#This Row],[author_es]],autorest[author_es],autorest[age_la])</f>
        <v>Antiquitas</v>
      </c>
      <c r="Q1381" t="str">
        <f>_xlfn.XLOOKUP(frasest[[#This Row],[author_es]],autorest[author_es],autorest[image])</f>
        <v>https://i.ibb.co/wFKwzxC5/plotino.png</v>
      </c>
      <c r="R1381">
        <f>_xlfn.XLOOKUP(frasest[[#This Row],[author_es]],autorest[author_es],autorest[image_atr])</f>
        <v>0</v>
      </c>
    </row>
    <row r="1382" spans="1:18">
      <c r="A1382">
        <v>1381</v>
      </c>
      <c r="B1382" t="s">
        <v>4285</v>
      </c>
      <c r="C1382" t="s">
        <v>4286</v>
      </c>
      <c r="D1382" t="s">
        <v>4287</v>
      </c>
      <c r="E1382" t="s">
        <v>4239</v>
      </c>
      <c r="F1382" t="s">
        <v>4288</v>
      </c>
      <c r="G1382" t="str">
        <f>_xlfn.XLOOKUP(frasest[[#This Row],[author_es]],autorest[author_es],autorest[author_la])</f>
        <v>Plotinus</v>
      </c>
      <c r="H138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Row],[author_es]],autorest[author_es],autorest[bio_la])</f>
        <v>Philosophus Neoplatonicus fundator scholae Neoplatonicae qui pontem inter philosophiam Graecam classicam et mysticam Christianam medievalem constituit cum doctrina de Uno et emanatione animae</v>
      </c>
      <c r="J1382" t="str">
        <f>_xlfn.XLOOKUP(frasest[[#This Row],[author_es]],autorest[author_es],autorest[iso3691])</f>
        <v>el</v>
      </c>
      <c r="K1382" t="str">
        <f>_xlfn.XLOOKUP(frasest[[#This Row],[author_es]],autorest[author_es],autorest[language_es])</f>
        <v>Griego</v>
      </c>
      <c r="L1382" t="str">
        <f>_xlfn.XLOOKUP(frasest[[#This Row],[author_es]],autorest[author_es],autorest[language_la])</f>
        <v>Lingua Graeca</v>
      </c>
      <c r="M1382" t="str">
        <f>_xlfn.XLOOKUP(frasest[[#This Row],[author_es]],autorest[author_es],autorest[nation_es])</f>
        <v>Roma</v>
      </c>
      <c r="N1382" t="str">
        <f>_xlfn.XLOOKUP(frasest[[#This Row],[author_es]],autorest[author_es],autorest[nation_la])</f>
        <v>Roma</v>
      </c>
      <c r="O1382" t="str">
        <f>_xlfn.XLOOKUP(frasest[[#This Row],[author_es]],autorest[author_es],autorest[age_es])</f>
        <v>Edad Antigua</v>
      </c>
      <c r="P1382" t="str">
        <f>_xlfn.XLOOKUP(frasest[[#This Row],[author_es]],autorest[author_es],autorest[age_la])</f>
        <v>Antiquitas</v>
      </c>
      <c r="Q1382" t="str">
        <f>_xlfn.XLOOKUP(frasest[[#This Row],[author_es]],autorest[author_es],autorest[image])</f>
        <v>https://i.ibb.co/wFKwzxC5/plotino.png</v>
      </c>
      <c r="R1382">
        <f>_xlfn.XLOOKUP(frasest[[#This Row],[author_es]],autorest[author_es],autorest[image_atr])</f>
        <v>0</v>
      </c>
    </row>
    <row r="1383" spans="1:18">
      <c r="A1383">
        <v>1382</v>
      </c>
      <c r="B1383" t="s">
        <v>4289</v>
      </c>
      <c r="C1383" t="s">
        <v>4290</v>
      </c>
      <c r="D1383" t="s">
        <v>4291</v>
      </c>
      <c r="E1383" t="s">
        <v>4239</v>
      </c>
      <c r="F1383" t="s">
        <v>4292</v>
      </c>
      <c r="G1383" t="str">
        <f>_xlfn.XLOOKUP(frasest[[#This Row],[author_es]],autorest[author_es],autorest[author_la])</f>
        <v>Plotinus</v>
      </c>
      <c r="H138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Row],[author_es]],autorest[author_es],autorest[bio_la])</f>
        <v>Philosophus Neoplatonicus fundator scholae Neoplatonicae qui pontem inter philosophiam Graecam classicam et mysticam Christianam medievalem constituit cum doctrina de Uno et emanatione animae</v>
      </c>
      <c r="J1383" t="str">
        <f>_xlfn.XLOOKUP(frasest[[#This Row],[author_es]],autorest[author_es],autorest[iso3691])</f>
        <v>el</v>
      </c>
      <c r="K1383" t="str">
        <f>_xlfn.XLOOKUP(frasest[[#This Row],[author_es]],autorest[author_es],autorest[language_es])</f>
        <v>Griego</v>
      </c>
      <c r="L1383" t="str">
        <f>_xlfn.XLOOKUP(frasest[[#This Row],[author_es]],autorest[author_es],autorest[language_la])</f>
        <v>Lingua Graeca</v>
      </c>
      <c r="M1383" t="str">
        <f>_xlfn.XLOOKUP(frasest[[#This Row],[author_es]],autorest[author_es],autorest[nation_es])</f>
        <v>Roma</v>
      </c>
      <c r="N1383" t="str">
        <f>_xlfn.XLOOKUP(frasest[[#This Row],[author_es]],autorest[author_es],autorest[nation_la])</f>
        <v>Roma</v>
      </c>
      <c r="O1383" t="str">
        <f>_xlfn.XLOOKUP(frasest[[#This Row],[author_es]],autorest[author_es],autorest[age_es])</f>
        <v>Edad Antigua</v>
      </c>
      <c r="P1383" t="str">
        <f>_xlfn.XLOOKUP(frasest[[#This Row],[author_es]],autorest[author_es],autorest[age_la])</f>
        <v>Antiquitas</v>
      </c>
      <c r="Q1383" t="str">
        <f>_xlfn.XLOOKUP(frasest[[#This Row],[author_es]],autorest[author_es],autorest[image])</f>
        <v>https://i.ibb.co/wFKwzxC5/plotino.png</v>
      </c>
      <c r="R1383">
        <f>_xlfn.XLOOKUP(frasest[[#This Row],[author_es]],autorest[author_es],autorest[image_atr])</f>
        <v>0</v>
      </c>
    </row>
    <row r="1384" spans="1:18">
      <c r="A1384">
        <v>1383</v>
      </c>
      <c r="B1384" t="s">
        <v>4293</v>
      </c>
      <c r="C1384" t="s">
        <v>4294</v>
      </c>
      <c r="D1384" t="s">
        <v>4295</v>
      </c>
      <c r="E1384" t="s">
        <v>4239</v>
      </c>
      <c r="F1384" t="s">
        <v>4296</v>
      </c>
      <c r="G1384" t="str">
        <f>_xlfn.XLOOKUP(frasest[[#This Row],[author_es]],autorest[author_es],autorest[author_la])</f>
        <v>Plotinus</v>
      </c>
      <c r="H138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Row],[author_es]],autorest[author_es],autorest[bio_la])</f>
        <v>Philosophus Neoplatonicus fundator scholae Neoplatonicae qui pontem inter philosophiam Graecam classicam et mysticam Christianam medievalem constituit cum doctrina de Uno et emanatione animae</v>
      </c>
      <c r="J1384" t="str">
        <f>_xlfn.XLOOKUP(frasest[[#This Row],[author_es]],autorest[author_es],autorest[iso3691])</f>
        <v>el</v>
      </c>
      <c r="K1384" t="str">
        <f>_xlfn.XLOOKUP(frasest[[#This Row],[author_es]],autorest[author_es],autorest[language_es])</f>
        <v>Griego</v>
      </c>
      <c r="L1384" t="str">
        <f>_xlfn.XLOOKUP(frasest[[#This Row],[author_es]],autorest[author_es],autorest[language_la])</f>
        <v>Lingua Graeca</v>
      </c>
      <c r="M1384" t="str">
        <f>_xlfn.XLOOKUP(frasest[[#This Row],[author_es]],autorest[author_es],autorest[nation_es])</f>
        <v>Roma</v>
      </c>
      <c r="N1384" t="str">
        <f>_xlfn.XLOOKUP(frasest[[#This Row],[author_es]],autorest[author_es],autorest[nation_la])</f>
        <v>Roma</v>
      </c>
      <c r="O1384" t="str">
        <f>_xlfn.XLOOKUP(frasest[[#This Row],[author_es]],autorest[author_es],autorest[age_es])</f>
        <v>Edad Antigua</v>
      </c>
      <c r="P1384" t="str">
        <f>_xlfn.XLOOKUP(frasest[[#This Row],[author_es]],autorest[author_es],autorest[age_la])</f>
        <v>Antiquitas</v>
      </c>
      <c r="Q1384" t="str">
        <f>_xlfn.XLOOKUP(frasest[[#This Row],[author_es]],autorest[author_es],autorest[image])</f>
        <v>https://i.ibb.co/wFKwzxC5/plotino.png</v>
      </c>
      <c r="R1384">
        <f>_xlfn.XLOOKUP(frasest[[#This Row],[author_es]],autorest[author_es],autorest[image_atr])</f>
        <v>0</v>
      </c>
    </row>
    <row r="1385" spans="1:18">
      <c r="A1385">
        <v>1384</v>
      </c>
      <c r="B1385" t="s">
        <v>4297</v>
      </c>
      <c r="C1385" t="s">
        <v>4298</v>
      </c>
      <c r="D1385" t="s">
        <v>4299</v>
      </c>
      <c r="E1385" t="s">
        <v>4239</v>
      </c>
      <c r="F1385" t="s">
        <v>4300</v>
      </c>
      <c r="G1385" t="str">
        <f>_xlfn.XLOOKUP(frasest[[#This Row],[author_es]],autorest[author_es],autorest[author_la])</f>
        <v>Plotinus</v>
      </c>
      <c r="H138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Row],[author_es]],autorest[author_es],autorest[bio_la])</f>
        <v>Philosophus Neoplatonicus fundator scholae Neoplatonicae qui pontem inter philosophiam Graecam classicam et mysticam Christianam medievalem constituit cum doctrina de Uno et emanatione animae</v>
      </c>
      <c r="J1385" t="str">
        <f>_xlfn.XLOOKUP(frasest[[#This Row],[author_es]],autorest[author_es],autorest[iso3691])</f>
        <v>el</v>
      </c>
      <c r="K1385" t="str">
        <f>_xlfn.XLOOKUP(frasest[[#This Row],[author_es]],autorest[author_es],autorest[language_es])</f>
        <v>Griego</v>
      </c>
      <c r="L1385" t="str">
        <f>_xlfn.XLOOKUP(frasest[[#This Row],[author_es]],autorest[author_es],autorest[language_la])</f>
        <v>Lingua Graeca</v>
      </c>
      <c r="M1385" t="str">
        <f>_xlfn.XLOOKUP(frasest[[#This Row],[author_es]],autorest[author_es],autorest[nation_es])</f>
        <v>Roma</v>
      </c>
      <c r="N1385" t="str">
        <f>_xlfn.XLOOKUP(frasest[[#This Row],[author_es]],autorest[author_es],autorest[nation_la])</f>
        <v>Roma</v>
      </c>
      <c r="O1385" t="str">
        <f>_xlfn.XLOOKUP(frasest[[#This Row],[author_es]],autorest[author_es],autorest[age_es])</f>
        <v>Edad Antigua</v>
      </c>
      <c r="P1385" t="str">
        <f>_xlfn.XLOOKUP(frasest[[#This Row],[author_es]],autorest[author_es],autorest[age_la])</f>
        <v>Antiquitas</v>
      </c>
      <c r="Q1385" t="str">
        <f>_xlfn.XLOOKUP(frasest[[#This Row],[author_es]],autorest[author_es],autorest[image])</f>
        <v>https://i.ibb.co/wFKwzxC5/plotino.png</v>
      </c>
      <c r="R1385">
        <f>_xlfn.XLOOKUP(frasest[[#This Row],[author_es]],autorest[author_es],autorest[image_atr])</f>
        <v>0</v>
      </c>
    </row>
    <row r="1386" spans="1:18">
      <c r="A1386">
        <v>1385</v>
      </c>
      <c r="B1386" t="s">
        <v>4301</v>
      </c>
      <c r="C1386" t="s">
        <v>4302</v>
      </c>
      <c r="D1386" t="s">
        <v>4303</v>
      </c>
      <c r="E1386" t="s">
        <v>4239</v>
      </c>
      <c r="F1386" t="s">
        <v>4256</v>
      </c>
      <c r="G1386" t="str">
        <f>_xlfn.XLOOKUP(frasest[[#This Row],[author_es]],autorest[author_es],autorest[author_la])</f>
        <v>Plotinus</v>
      </c>
      <c r="H138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Row],[author_es]],autorest[author_es],autorest[bio_la])</f>
        <v>Philosophus Neoplatonicus fundator scholae Neoplatonicae qui pontem inter philosophiam Graecam classicam et mysticam Christianam medievalem constituit cum doctrina de Uno et emanatione animae</v>
      </c>
      <c r="J1386" t="str">
        <f>_xlfn.XLOOKUP(frasest[[#This Row],[author_es]],autorest[author_es],autorest[iso3691])</f>
        <v>el</v>
      </c>
      <c r="K1386" t="str">
        <f>_xlfn.XLOOKUP(frasest[[#This Row],[author_es]],autorest[author_es],autorest[language_es])</f>
        <v>Griego</v>
      </c>
      <c r="L1386" t="str">
        <f>_xlfn.XLOOKUP(frasest[[#This Row],[author_es]],autorest[author_es],autorest[language_la])</f>
        <v>Lingua Graeca</v>
      </c>
      <c r="M1386" t="str">
        <f>_xlfn.XLOOKUP(frasest[[#This Row],[author_es]],autorest[author_es],autorest[nation_es])</f>
        <v>Roma</v>
      </c>
      <c r="N1386" t="str">
        <f>_xlfn.XLOOKUP(frasest[[#This Row],[author_es]],autorest[author_es],autorest[nation_la])</f>
        <v>Roma</v>
      </c>
      <c r="O1386" t="str">
        <f>_xlfn.XLOOKUP(frasest[[#This Row],[author_es]],autorest[author_es],autorest[age_es])</f>
        <v>Edad Antigua</v>
      </c>
      <c r="P1386" t="str">
        <f>_xlfn.XLOOKUP(frasest[[#This Row],[author_es]],autorest[author_es],autorest[age_la])</f>
        <v>Antiquitas</v>
      </c>
      <c r="Q1386" t="str">
        <f>_xlfn.XLOOKUP(frasest[[#This Row],[author_es]],autorest[author_es],autorest[image])</f>
        <v>https://i.ibb.co/wFKwzxC5/plotino.png</v>
      </c>
      <c r="R1386">
        <f>_xlfn.XLOOKUP(frasest[[#This Row],[author_es]],autorest[author_es],autorest[image_atr])</f>
        <v>0</v>
      </c>
    </row>
    <row r="1387" spans="1:18">
      <c r="A1387">
        <v>1386</v>
      </c>
      <c r="B1387" t="s">
        <v>4304</v>
      </c>
      <c r="C1387" t="s">
        <v>4305</v>
      </c>
      <c r="D1387" t="s">
        <v>4306</v>
      </c>
      <c r="E1387" t="s">
        <v>4239</v>
      </c>
      <c r="F1387" t="s">
        <v>4307</v>
      </c>
      <c r="G1387" t="str">
        <f>_xlfn.XLOOKUP(frasest[[#This Row],[author_es]],autorest[author_es],autorest[author_la])</f>
        <v>Plotinus</v>
      </c>
      <c r="H138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Row],[author_es]],autorest[author_es],autorest[bio_la])</f>
        <v>Philosophus Neoplatonicus fundator scholae Neoplatonicae qui pontem inter philosophiam Graecam classicam et mysticam Christianam medievalem constituit cum doctrina de Uno et emanatione animae</v>
      </c>
      <c r="J1387" t="str">
        <f>_xlfn.XLOOKUP(frasest[[#This Row],[author_es]],autorest[author_es],autorest[iso3691])</f>
        <v>el</v>
      </c>
      <c r="K1387" t="str">
        <f>_xlfn.XLOOKUP(frasest[[#This Row],[author_es]],autorest[author_es],autorest[language_es])</f>
        <v>Griego</v>
      </c>
      <c r="L1387" t="str">
        <f>_xlfn.XLOOKUP(frasest[[#This Row],[author_es]],autorest[author_es],autorest[language_la])</f>
        <v>Lingua Graeca</v>
      </c>
      <c r="M1387" t="str">
        <f>_xlfn.XLOOKUP(frasest[[#This Row],[author_es]],autorest[author_es],autorest[nation_es])</f>
        <v>Roma</v>
      </c>
      <c r="N1387" t="str">
        <f>_xlfn.XLOOKUP(frasest[[#This Row],[author_es]],autorest[author_es],autorest[nation_la])</f>
        <v>Roma</v>
      </c>
      <c r="O1387" t="str">
        <f>_xlfn.XLOOKUP(frasest[[#This Row],[author_es]],autorest[author_es],autorest[age_es])</f>
        <v>Edad Antigua</v>
      </c>
      <c r="P1387" t="str">
        <f>_xlfn.XLOOKUP(frasest[[#This Row],[author_es]],autorest[author_es],autorest[age_la])</f>
        <v>Antiquitas</v>
      </c>
      <c r="Q1387" t="str">
        <f>_xlfn.XLOOKUP(frasest[[#This Row],[author_es]],autorest[author_es],autorest[image])</f>
        <v>https://i.ibb.co/wFKwzxC5/plotino.png</v>
      </c>
      <c r="R1387">
        <f>_xlfn.XLOOKUP(frasest[[#This Row],[author_es]],autorest[author_es],autorest[image_atr])</f>
        <v>0</v>
      </c>
    </row>
    <row r="1388" spans="1:18">
      <c r="A1388">
        <v>1387</v>
      </c>
      <c r="B1388" t="s">
        <v>4308</v>
      </c>
      <c r="C1388" t="s">
        <v>4309</v>
      </c>
      <c r="D1388" t="s">
        <v>4310</v>
      </c>
      <c r="E1388" t="s">
        <v>4239</v>
      </c>
      <c r="F1388" t="s">
        <v>4311</v>
      </c>
      <c r="G1388" t="str">
        <f>_xlfn.XLOOKUP(frasest[[#This Row],[author_es]],autorest[author_es],autorest[author_la])</f>
        <v>Plotinus</v>
      </c>
      <c r="H138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Row],[author_es]],autorest[author_es],autorest[bio_la])</f>
        <v>Philosophus Neoplatonicus fundator scholae Neoplatonicae qui pontem inter philosophiam Graecam classicam et mysticam Christianam medievalem constituit cum doctrina de Uno et emanatione animae</v>
      </c>
      <c r="J1388" t="str">
        <f>_xlfn.XLOOKUP(frasest[[#This Row],[author_es]],autorest[author_es],autorest[iso3691])</f>
        <v>el</v>
      </c>
      <c r="K1388" t="str">
        <f>_xlfn.XLOOKUP(frasest[[#This Row],[author_es]],autorest[author_es],autorest[language_es])</f>
        <v>Griego</v>
      </c>
      <c r="L1388" t="str">
        <f>_xlfn.XLOOKUP(frasest[[#This Row],[author_es]],autorest[author_es],autorest[language_la])</f>
        <v>Lingua Graeca</v>
      </c>
      <c r="M1388" t="str">
        <f>_xlfn.XLOOKUP(frasest[[#This Row],[author_es]],autorest[author_es],autorest[nation_es])</f>
        <v>Roma</v>
      </c>
      <c r="N1388" t="str">
        <f>_xlfn.XLOOKUP(frasest[[#This Row],[author_es]],autorest[author_es],autorest[nation_la])</f>
        <v>Roma</v>
      </c>
      <c r="O1388" t="str">
        <f>_xlfn.XLOOKUP(frasest[[#This Row],[author_es]],autorest[author_es],autorest[age_es])</f>
        <v>Edad Antigua</v>
      </c>
      <c r="P1388" t="str">
        <f>_xlfn.XLOOKUP(frasest[[#This Row],[author_es]],autorest[author_es],autorest[age_la])</f>
        <v>Antiquitas</v>
      </c>
      <c r="Q1388" t="str">
        <f>_xlfn.XLOOKUP(frasest[[#This Row],[author_es]],autorest[author_es],autorest[image])</f>
        <v>https://i.ibb.co/wFKwzxC5/plotino.png</v>
      </c>
      <c r="R1388">
        <f>_xlfn.XLOOKUP(frasest[[#This Row],[author_es]],autorest[author_es],autorest[image_atr])</f>
        <v>0</v>
      </c>
    </row>
    <row r="1389" spans="1:18">
      <c r="A1389">
        <v>1388</v>
      </c>
      <c r="B1389" t="s">
        <v>4312</v>
      </c>
      <c r="C1389" t="s">
        <v>4313</v>
      </c>
      <c r="D1389" t="s">
        <v>4314</v>
      </c>
      <c r="E1389" t="s">
        <v>4315</v>
      </c>
      <c r="F1389" t="s">
        <v>4316</v>
      </c>
      <c r="G1389" t="str">
        <f>_xlfn.XLOOKUP(frasest[[#This Row],[author_es]],autorest[author_es],autorest[author_la])</f>
        <v>Boethius</v>
      </c>
      <c r="H138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89" t="str">
        <f>_xlfn.XLOOKUP(frasest[[#This Row],[author_es]],autorest[author_es],autorest[bio_la])</f>
        <v>Philosophus poeta et politicus Romanus ultimus philosophiae classicae et primus medievalis auctor De consolatione philosophiae qui pons inter mundum antiquum et Christianum medievalem fuit</v>
      </c>
      <c r="J1389" t="str">
        <f>_xlfn.XLOOKUP(frasest[[#This Row],[author_es]],autorest[author_es],autorest[iso3691])</f>
        <v>la</v>
      </c>
      <c r="K1389" t="str">
        <f>_xlfn.XLOOKUP(frasest[[#This Row],[author_es]],autorest[author_es],autorest[language_es])</f>
        <v>Latín</v>
      </c>
      <c r="L1389" t="str">
        <f>_xlfn.XLOOKUP(frasest[[#This Row],[author_es]],autorest[author_es],autorest[language_la])</f>
        <v>Lingua Latina</v>
      </c>
      <c r="M1389" t="str">
        <f>_xlfn.XLOOKUP(frasest[[#This Row],[author_es]],autorest[author_es],autorest[nation_es])</f>
        <v>Roma</v>
      </c>
      <c r="N1389" t="str">
        <f>_xlfn.XLOOKUP(frasest[[#This Row],[author_es]],autorest[author_es],autorest[nation_la])</f>
        <v>Roma</v>
      </c>
      <c r="O1389" t="str">
        <f>_xlfn.XLOOKUP(frasest[[#This Row],[author_es]],autorest[author_es],autorest[age_es])</f>
        <v>Edad Media</v>
      </c>
      <c r="P1389" t="str">
        <f>_xlfn.XLOOKUP(frasest[[#This Row],[author_es]],autorest[author_es],autorest[age_la])</f>
        <v>Medium Aevum</v>
      </c>
      <c r="Q1389" t="str">
        <f>_xlfn.XLOOKUP(frasest[[#This Row],[author_es]],autorest[author_es],autorest[image])</f>
        <v>https://i.ibb.co/XfRSKJzS/boecio.png</v>
      </c>
      <c r="R1389">
        <f>_xlfn.XLOOKUP(frasest[[#This Row],[author_es]],autorest[author_es],autorest[image_atr])</f>
        <v>0</v>
      </c>
    </row>
    <row r="1390" spans="1:18">
      <c r="A1390">
        <v>1389</v>
      </c>
      <c r="B1390" t="s">
        <v>4317</v>
      </c>
      <c r="C1390" t="s">
        <v>4318</v>
      </c>
      <c r="D1390" t="s">
        <v>4319</v>
      </c>
      <c r="E1390" t="s">
        <v>4315</v>
      </c>
      <c r="F1390" t="s">
        <v>4316</v>
      </c>
      <c r="G1390" t="str">
        <f>_xlfn.XLOOKUP(frasest[[#This Row],[author_es]],autorest[author_es],autorest[author_la])</f>
        <v>Boethius</v>
      </c>
      <c r="H139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0" t="str">
        <f>_xlfn.XLOOKUP(frasest[[#This Row],[author_es]],autorest[author_es],autorest[bio_la])</f>
        <v>Philosophus poeta et politicus Romanus ultimus philosophiae classicae et primus medievalis auctor De consolatione philosophiae qui pons inter mundum antiquum et Christianum medievalem fuit</v>
      </c>
      <c r="J1390" t="str">
        <f>_xlfn.XLOOKUP(frasest[[#This Row],[author_es]],autorest[author_es],autorest[iso3691])</f>
        <v>la</v>
      </c>
      <c r="K1390" t="str">
        <f>_xlfn.XLOOKUP(frasest[[#This Row],[author_es]],autorest[author_es],autorest[language_es])</f>
        <v>Latín</v>
      </c>
      <c r="L1390" t="str">
        <f>_xlfn.XLOOKUP(frasest[[#This Row],[author_es]],autorest[author_es],autorest[language_la])</f>
        <v>Lingua Latina</v>
      </c>
      <c r="M1390" t="str">
        <f>_xlfn.XLOOKUP(frasest[[#This Row],[author_es]],autorest[author_es],autorest[nation_es])</f>
        <v>Roma</v>
      </c>
      <c r="N1390" t="str">
        <f>_xlfn.XLOOKUP(frasest[[#This Row],[author_es]],autorest[author_es],autorest[nation_la])</f>
        <v>Roma</v>
      </c>
      <c r="O1390" t="str">
        <f>_xlfn.XLOOKUP(frasest[[#This Row],[author_es]],autorest[author_es],autorest[age_es])</f>
        <v>Edad Media</v>
      </c>
      <c r="P1390" t="str">
        <f>_xlfn.XLOOKUP(frasest[[#This Row],[author_es]],autorest[author_es],autorest[age_la])</f>
        <v>Medium Aevum</v>
      </c>
      <c r="Q1390" t="str">
        <f>_xlfn.XLOOKUP(frasest[[#This Row],[author_es]],autorest[author_es],autorest[image])</f>
        <v>https://i.ibb.co/XfRSKJzS/boecio.png</v>
      </c>
      <c r="R1390">
        <f>_xlfn.XLOOKUP(frasest[[#This Row],[author_es]],autorest[author_es],autorest[image_atr])</f>
        <v>0</v>
      </c>
    </row>
    <row r="1391" spans="1:18">
      <c r="A1391">
        <v>1390</v>
      </c>
      <c r="B1391" t="s">
        <v>4320</v>
      </c>
      <c r="C1391" t="s">
        <v>4321</v>
      </c>
      <c r="D1391" t="s">
        <v>4322</v>
      </c>
      <c r="E1391" t="s">
        <v>4315</v>
      </c>
      <c r="F1391" t="s">
        <v>4316</v>
      </c>
      <c r="G1391" t="str">
        <f>_xlfn.XLOOKUP(frasest[[#This Row],[author_es]],autorest[author_es],autorest[author_la])</f>
        <v>Boethius</v>
      </c>
      <c r="H139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1" t="str">
        <f>_xlfn.XLOOKUP(frasest[[#This Row],[author_es]],autorest[author_es],autorest[bio_la])</f>
        <v>Philosophus poeta et politicus Romanus ultimus philosophiae classicae et primus medievalis auctor De consolatione philosophiae qui pons inter mundum antiquum et Christianum medievalem fuit</v>
      </c>
      <c r="J1391" t="str">
        <f>_xlfn.XLOOKUP(frasest[[#This Row],[author_es]],autorest[author_es],autorest[iso3691])</f>
        <v>la</v>
      </c>
      <c r="K1391" t="str">
        <f>_xlfn.XLOOKUP(frasest[[#This Row],[author_es]],autorest[author_es],autorest[language_es])</f>
        <v>Latín</v>
      </c>
      <c r="L1391" t="str">
        <f>_xlfn.XLOOKUP(frasest[[#This Row],[author_es]],autorest[author_es],autorest[language_la])</f>
        <v>Lingua Latina</v>
      </c>
      <c r="M1391" t="str">
        <f>_xlfn.XLOOKUP(frasest[[#This Row],[author_es]],autorest[author_es],autorest[nation_es])</f>
        <v>Roma</v>
      </c>
      <c r="N1391" t="str">
        <f>_xlfn.XLOOKUP(frasest[[#This Row],[author_es]],autorest[author_es],autorest[nation_la])</f>
        <v>Roma</v>
      </c>
      <c r="O1391" t="str">
        <f>_xlfn.XLOOKUP(frasest[[#This Row],[author_es]],autorest[author_es],autorest[age_es])</f>
        <v>Edad Media</v>
      </c>
      <c r="P1391" t="str">
        <f>_xlfn.XLOOKUP(frasest[[#This Row],[author_es]],autorest[author_es],autorest[age_la])</f>
        <v>Medium Aevum</v>
      </c>
      <c r="Q1391" t="str">
        <f>_xlfn.XLOOKUP(frasest[[#This Row],[author_es]],autorest[author_es],autorest[image])</f>
        <v>https://i.ibb.co/XfRSKJzS/boecio.png</v>
      </c>
      <c r="R1391">
        <f>_xlfn.XLOOKUP(frasest[[#This Row],[author_es]],autorest[author_es],autorest[image_atr])</f>
        <v>0</v>
      </c>
    </row>
    <row r="1392" spans="1:18">
      <c r="A1392">
        <v>1391</v>
      </c>
      <c r="B1392" t="s">
        <v>4323</v>
      </c>
      <c r="C1392" t="s">
        <v>4324</v>
      </c>
      <c r="D1392" t="s">
        <v>4325</v>
      </c>
      <c r="E1392" t="s">
        <v>4315</v>
      </c>
      <c r="F1392" t="s">
        <v>4316</v>
      </c>
      <c r="G1392" t="str">
        <f>_xlfn.XLOOKUP(frasest[[#This Row],[author_es]],autorest[author_es],autorest[author_la])</f>
        <v>Boethius</v>
      </c>
      <c r="H139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2" t="str">
        <f>_xlfn.XLOOKUP(frasest[[#This Row],[author_es]],autorest[author_es],autorest[bio_la])</f>
        <v>Philosophus poeta et politicus Romanus ultimus philosophiae classicae et primus medievalis auctor De consolatione philosophiae qui pons inter mundum antiquum et Christianum medievalem fuit</v>
      </c>
      <c r="J1392" t="str">
        <f>_xlfn.XLOOKUP(frasest[[#This Row],[author_es]],autorest[author_es],autorest[iso3691])</f>
        <v>la</v>
      </c>
      <c r="K1392" t="str">
        <f>_xlfn.XLOOKUP(frasest[[#This Row],[author_es]],autorest[author_es],autorest[language_es])</f>
        <v>Latín</v>
      </c>
      <c r="L1392" t="str">
        <f>_xlfn.XLOOKUP(frasest[[#This Row],[author_es]],autorest[author_es],autorest[language_la])</f>
        <v>Lingua Latina</v>
      </c>
      <c r="M1392" t="str">
        <f>_xlfn.XLOOKUP(frasest[[#This Row],[author_es]],autorest[author_es],autorest[nation_es])</f>
        <v>Roma</v>
      </c>
      <c r="N1392" t="str">
        <f>_xlfn.XLOOKUP(frasest[[#This Row],[author_es]],autorest[author_es],autorest[nation_la])</f>
        <v>Roma</v>
      </c>
      <c r="O1392" t="str">
        <f>_xlfn.XLOOKUP(frasest[[#This Row],[author_es]],autorest[author_es],autorest[age_es])</f>
        <v>Edad Media</v>
      </c>
      <c r="P1392" t="str">
        <f>_xlfn.XLOOKUP(frasest[[#This Row],[author_es]],autorest[author_es],autorest[age_la])</f>
        <v>Medium Aevum</v>
      </c>
      <c r="Q1392" t="str">
        <f>_xlfn.XLOOKUP(frasest[[#This Row],[author_es]],autorest[author_es],autorest[image])</f>
        <v>https://i.ibb.co/XfRSKJzS/boecio.png</v>
      </c>
      <c r="R1392">
        <f>_xlfn.XLOOKUP(frasest[[#This Row],[author_es]],autorest[author_es],autorest[image_atr])</f>
        <v>0</v>
      </c>
    </row>
    <row r="1393" spans="1:18">
      <c r="A1393">
        <v>1392</v>
      </c>
      <c r="B1393" t="s">
        <v>4326</v>
      </c>
      <c r="C1393" t="s">
        <v>4327</v>
      </c>
      <c r="D1393" t="s">
        <v>4328</v>
      </c>
      <c r="E1393" t="s">
        <v>4315</v>
      </c>
      <c r="F1393" t="s">
        <v>4316</v>
      </c>
      <c r="G1393" t="str">
        <f>_xlfn.XLOOKUP(frasest[[#This Row],[author_es]],autorest[author_es],autorest[author_la])</f>
        <v>Boethius</v>
      </c>
      <c r="H139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3" t="str">
        <f>_xlfn.XLOOKUP(frasest[[#This Row],[author_es]],autorest[author_es],autorest[bio_la])</f>
        <v>Philosophus poeta et politicus Romanus ultimus philosophiae classicae et primus medievalis auctor De consolatione philosophiae qui pons inter mundum antiquum et Christianum medievalem fuit</v>
      </c>
      <c r="J1393" t="str">
        <f>_xlfn.XLOOKUP(frasest[[#This Row],[author_es]],autorest[author_es],autorest[iso3691])</f>
        <v>la</v>
      </c>
      <c r="K1393" t="str">
        <f>_xlfn.XLOOKUP(frasest[[#This Row],[author_es]],autorest[author_es],autorest[language_es])</f>
        <v>Latín</v>
      </c>
      <c r="L1393" t="str">
        <f>_xlfn.XLOOKUP(frasest[[#This Row],[author_es]],autorest[author_es],autorest[language_la])</f>
        <v>Lingua Latina</v>
      </c>
      <c r="M1393" t="str">
        <f>_xlfn.XLOOKUP(frasest[[#This Row],[author_es]],autorest[author_es],autorest[nation_es])</f>
        <v>Roma</v>
      </c>
      <c r="N1393" t="str">
        <f>_xlfn.XLOOKUP(frasest[[#This Row],[author_es]],autorest[author_es],autorest[nation_la])</f>
        <v>Roma</v>
      </c>
      <c r="O1393" t="str">
        <f>_xlfn.XLOOKUP(frasest[[#This Row],[author_es]],autorest[author_es],autorest[age_es])</f>
        <v>Edad Media</v>
      </c>
      <c r="P1393" t="str">
        <f>_xlfn.XLOOKUP(frasest[[#This Row],[author_es]],autorest[author_es],autorest[age_la])</f>
        <v>Medium Aevum</v>
      </c>
      <c r="Q1393" t="str">
        <f>_xlfn.XLOOKUP(frasest[[#This Row],[author_es]],autorest[author_es],autorest[image])</f>
        <v>https://i.ibb.co/XfRSKJzS/boecio.png</v>
      </c>
      <c r="R1393">
        <f>_xlfn.XLOOKUP(frasest[[#This Row],[author_es]],autorest[author_es],autorest[image_atr])</f>
        <v>0</v>
      </c>
    </row>
    <row r="1394" spans="1:18">
      <c r="A1394">
        <v>1393</v>
      </c>
      <c r="B1394" t="s">
        <v>4329</v>
      </c>
      <c r="C1394" t="s">
        <v>4330</v>
      </c>
      <c r="D1394" t="s">
        <v>4331</v>
      </c>
      <c r="E1394" t="s">
        <v>4315</v>
      </c>
      <c r="F1394" t="s">
        <v>4316</v>
      </c>
      <c r="G1394" t="str">
        <f>_xlfn.XLOOKUP(frasest[[#This Row],[author_es]],autorest[author_es],autorest[author_la])</f>
        <v>Boethius</v>
      </c>
      <c r="H139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4" t="str">
        <f>_xlfn.XLOOKUP(frasest[[#This Row],[author_es]],autorest[author_es],autorest[bio_la])</f>
        <v>Philosophus poeta et politicus Romanus ultimus philosophiae classicae et primus medievalis auctor De consolatione philosophiae qui pons inter mundum antiquum et Christianum medievalem fuit</v>
      </c>
      <c r="J1394" t="str">
        <f>_xlfn.XLOOKUP(frasest[[#This Row],[author_es]],autorest[author_es],autorest[iso3691])</f>
        <v>la</v>
      </c>
      <c r="K1394" t="str">
        <f>_xlfn.XLOOKUP(frasest[[#This Row],[author_es]],autorest[author_es],autorest[language_es])</f>
        <v>Latín</v>
      </c>
      <c r="L1394" t="str">
        <f>_xlfn.XLOOKUP(frasest[[#This Row],[author_es]],autorest[author_es],autorest[language_la])</f>
        <v>Lingua Latina</v>
      </c>
      <c r="M1394" t="str">
        <f>_xlfn.XLOOKUP(frasest[[#This Row],[author_es]],autorest[author_es],autorest[nation_es])</f>
        <v>Roma</v>
      </c>
      <c r="N1394" t="str">
        <f>_xlfn.XLOOKUP(frasest[[#This Row],[author_es]],autorest[author_es],autorest[nation_la])</f>
        <v>Roma</v>
      </c>
      <c r="O1394" t="str">
        <f>_xlfn.XLOOKUP(frasest[[#This Row],[author_es]],autorest[author_es],autorest[age_es])</f>
        <v>Edad Media</v>
      </c>
      <c r="P1394" t="str">
        <f>_xlfn.XLOOKUP(frasest[[#This Row],[author_es]],autorest[author_es],autorest[age_la])</f>
        <v>Medium Aevum</v>
      </c>
      <c r="Q1394" t="str">
        <f>_xlfn.XLOOKUP(frasest[[#This Row],[author_es]],autorest[author_es],autorest[image])</f>
        <v>https://i.ibb.co/XfRSKJzS/boecio.png</v>
      </c>
      <c r="R1394">
        <f>_xlfn.XLOOKUP(frasest[[#This Row],[author_es]],autorest[author_es],autorest[image_atr])</f>
        <v>0</v>
      </c>
    </row>
    <row r="1395" spans="1:18">
      <c r="A1395">
        <v>1394</v>
      </c>
      <c r="B1395" t="s">
        <v>4332</v>
      </c>
      <c r="C1395" t="s">
        <v>4333</v>
      </c>
      <c r="D1395" t="s">
        <v>4334</v>
      </c>
      <c r="E1395" t="s">
        <v>4315</v>
      </c>
      <c r="F1395" t="s">
        <v>4316</v>
      </c>
      <c r="G1395" t="str">
        <f>_xlfn.XLOOKUP(frasest[[#This Row],[author_es]],autorest[author_es],autorest[author_la])</f>
        <v>Boethius</v>
      </c>
      <c r="H139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5" t="str">
        <f>_xlfn.XLOOKUP(frasest[[#This Row],[author_es]],autorest[author_es],autorest[bio_la])</f>
        <v>Philosophus poeta et politicus Romanus ultimus philosophiae classicae et primus medievalis auctor De consolatione philosophiae qui pons inter mundum antiquum et Christianum medievalem fuit</v>
      </c>
      <c r="J1395" t="str">
        <f>_xlfn.XLOOKUP(frasest[[#This Row],[author_es]],autorest[author_es],autorest[iso3691])</f>
        <v>la</v>
      </c>
      <c r="K1395" t="str">
        <f>_xlfn.XLOOKUP(frasest[[#This Row],[author_es]],autorest[author_es],autorest[language_es])</f>
        <v>Latín</v>
      </c>
      <c r="L1395" t="str">
        <f>_xlfn.XLOOKUP(frasest[[#This Row],[author_es]],autorest[author_es],autorest[language_la])</f>
        <v>Lingua Latina</v>
      </c>
      <c r="M1395" t="str">
        <f>_xlfn.XLOOKUP(frasest[[#This Row],[author_es]],autorest[author_es],autorest[nation_es])</f>
        <v>Roma</v>
      </c>
      <c r="N1395" t="str">
        <f>_xlfn.XLOOKUP(frasest[[#This Row],[author_es]],autorest[author_es],autorest[nation_la])</f>
        <v>Roma</v>
      </c>
      <c r="O1395" t="str">
        <f>_xlfn.XLOOKUP(frasest[[#This Row],[author_es]],autorest[author_es],autorest[age_es])</f>
        <v>Edad Media</v>
      </c>
      <c r="P1395" t="str">
        <f>_xlfn.XLOOKUP(frasest[[#This Row],[author_es]],autorest[author_es],autorest[age_la])</f>
        <v>Medium Aevum</v>
      </c>
      <c r="Q1395" t="str">
        <f>_xlfn.XLOOKUP(frasest[[#This Row],[author_es]],autorest[author_es],autorest[image])</f>
        <v>https://i.ibb.co/XfRSKJzS/boecio.png</v>
      </c>
      <c r="R1395">
        <f>_xlfn.XLOOKUP(frasest[[#This Row],[author_es]],autorest[author_es],autorest[image_atr])</f>
        <v>0</v>
      </c>
    </row>
    <row r="1396" spans="1:18">
      <c r="A1396">
        <v>1395</v>
      </c>
      <c r="B1396" t="s">
        <v>4335</v>
      </c>
      <c r="C1396" t="s">
        <v>4336</v>
      </c>
      <c r="D1396" t="s">
        <v>4337</v>
      </c>
      <c r="E1396" t="s">
        <v>4315</v>
      </c>
      <c r="F1396" t="s">
        <v>4316</v>
      </c>
      <c r="G1396" t="str">
        <f>_xlfn.XLOOKUP(frasest[[#This Row],[author_es]],autorest[author_es],autorest[author_la])</f>
        <v>Boethius</v>
      </c>
      <c r="H139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6" t="str">
        <f>_xlfn.XLOOKUP(frasest[[#This Row],[author_es]],autorest[author_es],autorest[bio_la])</f>
        <v>Philosophus poeta et politicus Romanus ultimus philosophiae classicae et primus medievalis auctor De consolatione philosophiae qui pons inter mundum antiquum et Christianum medievalem fuit</v>
      </c>
      <c r="J1396" t="str">
        <f>_xlfn.XLOOKUP(frasest[[#This Row],[author_es]],autorest[author_es],autorest[iso3691])</f>
        <v>la</v>
      </c>
      <c r="K1396" t="str">
        <f>_xlfn.XLOOKUP(frasest[[#This Row],[author_es]],autorest[author_es],autorest[language_es])</f>
        <v>Latín</v>
      </c>
      <c r="L1396" t="str">
        <f>_xlfn.XLOOKUP(frasest[[#This Row],[author_es]],autorest[author_es],autorest[language_la])</f>
        <v>Lingua Latina</v>
      </c>
      <c r="M1396" t="str">
        <f>_xlfn.XLOOKUP(frasest[[#This Row],[author_es]],autorest[author_es],autorest[nation_es])</f>
        <v>Roma</v>
      </c>
      <c r="N1396" t="str">
        <f>_xlfn.XLOOKUP(frasest[[#This Row],[author_es]],autorest[author_es],autorest[nation_la])</f>
        <v>Roma</v>
      </c>
      <c r="O1396" t="str">
        <f>_xlfn.XLOOKUP(frasest[[#This Row],[author_es]],autorest[author_es],autorest[age_es])</f>
        <v>Edad Media</v>
      </c>
      <c r="P1396" t="str">
        <f>_xlfn.XLOOKUP(frasest[[#This Row],[author_es]],autorest[author_es],autorest[age_la])</f>
        <v>Medium Aevum</v>
      </c>
      <c r="Q1396" t="str">
        <f>_xlfn.XLOOKUP(frasest[[#This Row],[author_es]],autorest[author_es],autorest[image])</f>
        <v>https://i.ibb.co/XfRSKJzS/boecio.png</v>
      </c>
      <c r="R1396">
        <f>_xlfn.XLOOKUP(frasest[[#This Row],[author_es]],autorest[author_es],autorest[image_atr])</f>
        <v>0</v>
      </c>
    </row>
    <row r="1397" spans="1:18">
      <c r="A1397">
        <v>1396</v>
      </c>
      <c r="B1397" t="s">
        <v>4338</v>
      </c>
      <c r="C1397" t="s">
        <v>4339</v>
      </c>
      <c r="D1397" t="s">
        <v>4340</v>
      </c>
      <c r="E1397" t="s">
        <v>4315</v>
      </c>
      <c r="F1397" t="s">
        <v>4316</v>
      </c>
      <c r="G1397" t="str">
        <f>_xlfn.XLOOKUP(frasest[[#This Row],[author_es]],autorest[author_es],autorest[author_la])</f>
        <v>Boethius</v>
      </c>
      <c r="H139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7" t="str">
        <f>_xlfn.XLOOKUP(frasest[[#This Row],[author_es]],autorest[author_es],autorest[bio_la])</f>
        <v>Philosophus poeta et politicus Romanus ultimus philosophiae classicae et primus medievalis auctor De consolatione philosophiae qui pons inter mundum antiquum et Christianum medievalem fuit</v>
      </c>
      <c r="J1397" t="str">
        <f>_xlfn.XLOOKUP(frasest[[#This Row],[author_es]],autorest[author_es],autorest[iso3691])</f>
        <v>la</v>
      </c>
      <c r="K1397" t="str">
        <f>_xlfn.XLOOKUP(frasest[[#This Row],[author_es]],autorest[author_es],autorest[language_es])</f>
        <v>Latín</v>
      </c>
      <c r="L1397" t="str">
        <f>_xlfn.XLOOKUP(frasest[[#This Row],[author_es]],autorest[author_es],autorest[language_la])</f>
        <v>Lingua Latina</v>
      </c>
      <c r="M1397" t="str">
        <f>_xlfn.XLOOKUP(frasest[[#This Row],[author_es]],autorest[author_es],autorest[nation_es])</f>
        <v>Roma</v>
      </c>
      <c r="N1397" t="str">
        <f>_xlfn.XLOOKUP(frasest[[#This Row],[author_es]],autorest[author_es],autorest[nation_la])</f>
        <v>Roma</v>
      </c>
      <c r="O1397" t="str">
        <f>_xlfn.XLOOKUP(frasest[[#This Row],[author_es]],autorest[author_es],autorest[age_es])</f>
        <v>Edad Media</v>
      </c>
      <c r="P1397" t="str">
        <f>_xlfn.XLOOKUP(frasest[[#This Row],[author_es]],autorest[author_es],autorest[age_la])</f>
        <v>Medium Aevum</v>
      </c>
      <c r="Q1397" t="str">
        <f>_xlfn.XLOOKUP(frasest[[#This Row],[author_es]],autorest[author_es],autorest[image])</f>
        <v>https://i.ibb.co/XfRSKJzS/boecio.png</v>
      </c>
      <c r="R1397">
        <f>_xlfn.XLOOKUP(frasest[[#This Row],[author_es]],autorest[author_es],autorest[image_atr])</f>
        <v>0</v>
      </c>
    </row>
    <row r="1398" spans="1:18">
      <c r="A1398">
        <v>1397</v>
      </c>
      <c r="B1398" t="s">
        <v>4341</v>
      </c>
      <c r="C1398" t="s">
        <v>4342</v>
      </c>
      <c r="D1398" t="s">
        <v>4343</v>
      </c>
      <c r="E1398" t="s">
        <v>4315</v>
      </c>
      <c r="F1398" t="s">
        <v>4316</v>
      </c>
      <c r="G1398" t="str">
        <f>_xlfn.XLOOKUP(frasest[[#This Row],[author_es]],autorest[author_es],autorest[author_la])</f>
        <v>Boethius</v>
      </c>
      <c r="H139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8" t="str">
        <f>_xlfn.XLOOKUP(frasest[[#This Row],[author_es]],autorest[author_es],autorest[bio_la])</f>
        <v>Philosophus poeta et politicus Romanus ultimus philosophiae classicae et primus medievalis auctor De consolatione philosophiae qui pons inter mundum antiquum et Christianum medievalem fuit</v>
      </c>
      <c r="J1398" t="str">
        <f>_xlfn.XLOOKUP(frasest[[#This Row],[author_es]],autorest[author_es],autorest[iso3691])</f>
        <v>la</v>
      </c>
      <c r="K1398" t="str">
        <f>_xlfn.XLOOKUP(frasest[[#This Row],[author_es]],autorest[author_es],autorest[language_es])</f>
        <v>Latín</v>
      </c>
      <c r="L1398" t="str">
        <f>_xlfn.XLOOKUP(frasest[[#This Row],[author_es]],autorest[author_es],autorest[language_la])</f>
        <v>Lingua Latina</v>
      </c>
      <c r="M1398" t="str">
        <f>_xlfn.XLOOKUP(frasest[[#This Row],[author_es]],autorest[author_es],autorest[nation_es])</f>
        <v>Roma</v>
      </c>
      <c r="N1398" t="str">
        <f>_xlfn.XLOOKUP(frasest[[#This Row],[author_es]],autorest[author_es],autorest[nation_la])</f>
        <v>Roma</v>
      </c>
      <c r="O1398" t="str">
        <f>_xlfn.XLOOKUP(frasest[[#This Row],[author_es]],autorest[author_es],autorest[age_es])</f>
        <v>Edad Media</v>
      </c>
      <c r="P1398" t="str">
        <f>_xlfn.XLOOKUP(frasest[[#This Row],[author_es]],autorest[author_es],autorest[age_la])</f>
        <v>Medium Aevum</v>
      </c>
      <c r="Q1398" t="str">
        <f>_xlfn.XLOOKUP(frasest[[#This Row],[author_es]],autorest[author_es],autorest[image])</f>
        <v>https://i.ibb.co/XfRSKJzS/boecio.png</v>
      </c>
      <c r="R1398">
        <f>_xlfn.XLOOKUP(frasest[[#This Row],[author_es]],autorest[author_es],autorest[image_atr])</f>
        <v>0</v>
      </c>
    </row>
    <row r="1399" spans="1:18">
      <c r="A1399">
        <v>1398</v>
      </c>
      <c r="B1399" t="s">
        <v>4344</v>
      </c>
      <c r="C1399" t="s">
        <v>4345</v>
      </c>
      <c r="D1399" t="s">
        <v>4346</v>
      </c>
      <c r="E1399" t="s">
        <v>4315</v>
      </c>
      <c r="F1399" t="s">
        <v>4316</v>
      </c>
      <c r="G1399" t="str">
        <f>_xlfn.XLOOKUP(frasest[[#This Row],[author_es]],autorest[author_es],autorest[author_la])</f>
        <v>Boethius</v>
      </c>
      <c r="H139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9" t="str">
        <f>_xlfn.XLOOKUP(frasest[[#This Row],[author_es]],autorest[author_es],autorest[bio_la])</f>
        <v>Philosophus poeta et politicus Romanus ultimus philosophiae classicae et primus medievalis auctor De consolatione philosophiae qui pons inter mundum antiquum et Christianum medievalem fuit</v>
      </c>
      <c r="J1399" t="str">
        <f>_xlfn.XLOOKUP(frasest[[#This Row],[author_es]],autorest[author_es],autorest[iso3691])</f>
        <v>la</v>
      </c>
      <c r="K1399" t="str">
        <f>_xlfn.XLOOKUP(frasest[[#This Row],[author_es]],autorest[author_es],autorest[language_es])</f>
        <v>Latín</v>
      </c>
      <c r="L1399" t="str">
        <f>_xlfn.XLOOKUP(frasest[[#This Row],[author_es]],autorest[author_es],autorest[language_la])</f>
        <v>Lingua Latina</v>
      </c>
      <c r="M1399" t="str">
        <f>_xlfn.XLOOKUP(frasest[[#This Row],[author_es]],autorest[author_es],autorest[nation_es])</f>
        <v>Roma</v>
      </c>
      <c r="N1399" t="str">
        <f>_xlfn.XLOOKUP(frasest[[#This Row],[author_es]],autorest[author_es],autorest[nation_la])</f>
        <v>Roma</v>
      </c>
      <c r="O1399" t="str">
        <f>_xlfn.XLOOKUP(frasest[[#This Row],[author_es]],autorest[author_es],autorest[age_es])</f>
        <v>Edad Media</v>
      </c>
      <c r="P1399" t="str">
        <f>_xlfn.XLOOKUP(frasest[[#This Row],[author_es]],autorest[author_es],autorest[age_la])</f>
        <v>Medium Aevum</v>
      </c>
      <c r="Q1399" t="str">
        <f>_xlfn.XLOOKUP(frasest[[#This Row],[author_es]],autorest[author_es],autorest[image])</f>
        <v>https://i.ibb.co/XfRSKJzS/boecio.png</v>
      </c>
      <c r="R1399">
        <f>_xlfn.XLOOKUP(frasest[[#This Row],[author_es]],autorest[author_es],autorest[image_atr])</f>
        <v>0</v>
      </c>
    </row>
    <row r="1400" spans="1:18">
      <c r="A1400">
        <v>1399</v>
      </c>
      <c r="B1400" t="s">
        <v>4347</v>
      </c>
      <c r="C1400" t="s">
        <v>4348</v>
      </c>
      <c r="D1400" t="s">
        <v>4349</v>
      </c>
      <c r="E1400" t="s">
        <v>4315</v>
      </c>
      <c r="F1400" t="s">
        <v>4316</v>
      </c>
      <c r="G1400" t="str">
        <f>_xlfn.XLOOKUP(frasest[[#This Row],[author_es]],autorest[author_es],autorest[author_la])</f>
        <v>Boethius</v>
      </c>
      <c r="H140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0" t="str">
        <f>_xlfn.XLOOKUP(frasest[[#This Row],[author_es]],autorest[author_es],autorest[bio_la])</f>
        <v>Philosophus poeta et politicus Romanus ultimus philosophiae classicae et primus medievalis auctor De consolatione philosophiae qui pons inter mundum antiquum et Christianum medievalem fuit</v>
      </c>
      <c r="J1400" t="str">
        <f>_xlfn.XLOOKUP(frasest[[#This Row],[author_es]],autorest[author_es],autorest[iso3691])</f>
        <v>la</v>
      </c>
      <c r="K1400" t="str">
        <f>_xlfn.XLOOKUP(frasest[[#This Row],[author_es]],autorest[author_es],autorest[language_es])</f>
        <v>Latín</v>
      </c>
      <c r="L1400" t="str">
        <f>_xlfn.XLOOKUP(frasest[[#This Row],[author_es]],autorest[author_es],autorest[language_la])</f>
        <v>Lingua Latina</v>
      </c>
      <c r="M1400" t="str">
        <f>_xlfn.XLOOKUP(frasest[[#This Row],[author_es]],autorest[author_es],autorest[nation_es])</f>
        <v>Roma</v>
      </c>
      <c r="N1400" t="str">
        <f>_xlfn.XLOOKUP(frasest[[#This Row],[author_es]],autorest[author_es],autorest[nation_la])</f>
        <v>Roma</v>
      </c>
      <c r="O1400" t="str">
        <f>_xlfn.XLOOKUP(frasest[[#This Row],[author_es]],autorest[author_es],autorest[age_es])</f>
        <v>Edad Media</v>
      </c>
      <c r="P1400" t="str">
        <f>_xlfn.XLOOKUP(frasest[[#This Row],[author_es]],autorest[author_es],autorest[age_la])</f>
        <v>Medium Aevum</v>
      </c>
      <c r="Q1400" t="str">
        <f>_xlfn.XLOOKUP(frasest[[#This Row],[author_es]],autorest[author_es],autorest[image])</f>
        <v>https://i.ibb.co/XfRSKJzS/boecio.png</v>
      </c>
      <c r="R1400">
        <f>_xlfn.XLOOKUP(frasest[[#This Row],[author_es]],autorest[author_es],autorest[image_atr])</f>
        <v>0</v>
      </c>
    </row>
    <row r="1401" spans="1:18">
      <c r="A1401">
        <v>1400</v>
      </c>
      <c r="B1401" t="s">
        <v>4350</v>
      </c>
      <c r="C1401" t="s">
        <v>4351</v>
      </c>
      <c r="D1401" t="s">
        <v>4352</v>
      </c>
      <c r="E1401" t="s">
        <v>4315</v>
      </c>
      <c r="F1401" t="s">
        <v>4316</v>
      </c>
      <c r="G1401" t="str">
        <f>_xlfn.XLOOKUP(frasest[[#This Row],[author_es]],autorest[author_es],autorest[author_la])</f>
        <v>Boethius</v>
      </c>
      <c r="H140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1" t="str">
        <f>_xlfn.XLOOKUP(frasest[[#This Row],[author_es]],autorest[author_es],autorest[bio_la])</f>
        <v>Philosophus poeta et politicus Romanus ultimus philosophiae classicae et primus medievalis auctor De consolatione philosophiae qui pons inter mundum antiquum et Christianum medievalem fuit</v>
      </c>
      <c r="J1401" t="str">
        <f>_xlfn.XLOOKUP(frasest[[#This Row],[author_es]],autorest[author_es],autorest[iso3691])</f>
        <v>la</v>
      </c>
      <c r="K1401" t="str">
        <f>_xlfn.XLOOKUP(frasest[[#This Row],[author_es]],autorest[author_es],autorest[language_es])</f>
        <v>Latín</v>
      </c>
      <c r="L1401" t="str">
        <f>_xlfn.XLOOKUP(frasest[[#This Row],[author_es]],autorest[author_es],autorest[language_la])</f>
        <v>Lingua Latina</v>
      </c>
      <c r="M1401" t="str">
        <f>_xlfn.XLOOKUP(frasest[[#This Row],[author_es]],autorest[author_es],autorest[nation_es])</f>
        <v>Roma</v>
      </c>
      <c r="N1401" t="str">
        <f>_xlfn.XLOOKUP(frasest[[#This Row],[author_es]],autorest[author_es],autorest[nation_la])</f>
        <v>Roma</v>
      </c>
      <c r="O1401" t="str">
        <f>_xlfn.XLOOKUP(frasest[[#This Row],[author_es]],autorest[author_es],autorest[age_es])</f>
        <v>Edad Media</v>
      </c>
      <c r="P1401" t="str">
        <f>_xlfn.XLOOKUP(frasest[[#This Row],[author_es]],autorest[author_es],autorest[age_la])</f>
        <v>Medium Aevum</v>
      </c>
      <c r="Q1401" t="str">
        <f>_xlfn.XLOOKUP(frasest[[#This Row],[author_es]],autorest[author_es],autorest[image])</f>
        <v>https://i.ibb.co/XfRSKJzS/boecio.png</v>
      </c>
      <c r="R1401">
        <f>_xlfn.XLOOKUP(frasest[[#This Row],[author_es]],autorest[author_es],autorest[image_atr])</f>
        <v>0</v>
      </c>
    </row>
    <row r="1402" spans="1:18">
      <c r="A1402">
        <v>1401</v>
      </c>
      <c r="B1402" t="s">
        <v>4353</v>
      </c>
      <c r="C1402" t="s">
        <v>4354</v>
      </c>
      <c r="D1402" t="s">
        <v>4355</v>
      </c>
      <c r="E1402" t="s">
        <v>4315</v>
      </c>
      <c r="F1402" t="s">
        <v>4316</v>
      </c>
      <c r="G1402" t="str">
        <f>_xlfn.XLOOKUP(frasest[[#This Row],[author_es]],autorest[author_es],autorest[author_la])</f>
        <v>Boethius</v>
      </c>
      <c r="H140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2" t="str">
        <f>_xlfn.XLOOKUP(frasest[[#This Row],[author_es]],autorest[author_es],autorest[bio_la])</f>
        <v>Philosophus poeta et politicus Romanus ultimus philosophiae classicae et primus medievalis auctor De consolatione philosophiae qui pons inter mundum antiquum et Christianum medievalem fuit</v>
      </c>
      <c r="J1402" t="str">
        <f>_xlfn.XLOOKUP(frasest[[#This Row],[author_es]],autorest[author_es],autorest[iso3691])</f>
        <v>la</v>
      </c>
      <c r="K1402" t="str">
        <f>_xlfn.XLOOKUP(frasest[[#This Row],[author_es]],autorest[author_es],autorest[language_es])</f>
        <v>Latín</v>
      </c>
      <c r="L1402" t="str">
        <f>_xlfn.XLOOKUP(frasest[[#This Row],[author_es]],autorest[author_es],autorest[language_la])</f>
        <v>Lingua Latina</v>
      </c>
      <c r="M1402" t="str">
        <f>_xlfn.XLOOKUP(frasest[[#This Row],[author_es]],autorest[author_es],autorest[nation_es])</f>
        <v>Roma</v>
      </c>
      <c r="N1402" t="str">
        <f>_xlfn.XLOOKUP(frasest[[#This Row],[author_es]],autorest[author_es],autorest[nation_la])</f>
        <v>Roma</v>
      </c>
      <c r="O1402" t="str">
        <f>_xlfn.XLOOKUP(frasest[[#This Row],[author_es]],autorest[author_es],autorest[age_es])</f>
        <v>Edad Media</v>
      </c>
      <c r="P1402" t="str">
        <f>_xlfn.XLOOKUP(frasest[[#This Row],[author_es]],autorest[author_es],autorest[age_la])</f>
        <v>Medium Aevum</v>
      </c>
      <c r="Q1402" t="str">
        <f>_xlfn.XLOOKUP(frasest[[#This Row],[author_es]],autorest[author_es],autorest[image])</f>
        <v>https://i.ibb.co/XfRSKJzS/boecio.png</v>
      </c>
      <c r="R1402">
        <f>_xlfn.XLOOKUP(frasest[[#This Row],[author_es]],autorest[author_es],autorest[image_atr])</f>
        <v>0</v>
      </c>
    </row>
    <row r="1403" spans="1:18">
      <c r="A1403">
        <v>1402</v>
      </c>
      <c r="B1403" t="s">
        <v>4356</v>
      </c>
      <c r="C1403" t="s">
        <v>4357</v>
      </c>
      <c r="D1403" t="s">
        <v>4358</v>
      </c>
      <c r="E1403" t="s">
        <v>4315</v>
      </c>
      <c r="F1403" t="s">
        <v>4316</v>
      </c>
      <c r="G1403" t="str">
        <f>_xlfn.XLOOKUP(frasest[[#This Row],[author_es]],autorest[author_es],autorest[author_la])</f>
        <v>Boethius</v>
      </c>
      <c r="H140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3" t="str">
        <f>_xlfn.XLOOKUP(frasest[[#This Row],[author_es]],autorest[author_es],autorest[bio_la])</f>
        <v>Philosophus poeta et politicus Romanus ultimus philosophiae classicae et primus medievalis auctor De consolatione philosophiae qui pons inter mundum antiquum et Christianum medievalem fuit</v>
      </c>
      <c r="J1403" t="str">
        <f>_xlfn.XLOOKUP(frasest[[#This Row],[author_es]],autorest[author_es],autorest[iso3691])</f>
        <v>la</v>
      </c>
      <c r="K1403" t="str">
        <f>_xlfn.XLOOKUP(frasest[[#This Row],[author_es]],autorest[author_es],autorest[language_es])</f>
        <v>Latín</v>
      </c>
      <c r="L1403" t="str">
        <f>_xlfn.XLOOKUP(frasest[[#This Row],[author_es]],autorest[author_es],autorest[language_la])</f>
        <v>Lingua Latina</v>
      </c>
      <c r="M1403" t="str">
        <f>_xlfn.XLOOKUP(frasest[[#This Row],[author_es]],autorest[author_es],autorest[nation_es])</f>
        <v>Roma</v>
      </c>
      <c r="N1403" t="str">
        <f>_xlfn.XLOOKUP(frasest[[#This Row],[author_es]],autorest[author_es],autorest[nation_la])</f>
        <v>Roma</v>
      </c>
      <c r="O1403" t="str">
        <f>_xlfn.XLOOKUP(frasest[[#This Row],[author_es]],autorest[author_es],autorest[age_es])</f>
        <v>Edad Media</v>
      </c>
      <c r="P1403" t="str">
        <f>_xlfn.XLOOKUP(frasest[[#This Row],[author_es]],autorest[author_es],autorest[age_la])</f>
        <v>Medium Aevum</v>
      </c>
      <c r="Q1403" t="str">
        <f>_xlfn.XLOOKUP(frasest[[#This Row],[author_es]],autorest[author_es],autorest[image])</f>
        <v>https://i.ibb.co/XfRSKJzS/boecio.png</v>
      </c>
      <c r="R1403">
        <f>_xlfn.XLOOKUP(frasest[[#This Row],[author_es]],autorest[author_es],autorest[image_atr])</f>
        <v>0</v>
      </c>
    </row>
    <row r="1404" spans="1:18">
      <c r="A1404">
        <v>1403</v>
      </c>
      <c r="B1404" t="s">
        <v>4359</v>
      </c>
      <c r="C1404" t="s">
        <v>4360</v>
      </c>
      <c r="D1404" t="s">
        <v>4361</v>
      </c>
      <c r="E1404" t="s">
        <v>4315</v>
      </c>
      <c r="F1404" t="s">
        <v>4316</v>
      </c>
      <c r="G1404" t="str">
        <f>_xlfn.XLOOKUP(frasest[[#This Row],[author_es]],autorest[author_es],autorest[author_la])</f>
        <v>Boethius</v>
      </c>
      <c r="H140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4" t="str">
        <f>_xlfn.XLOOKUP(frasest[[#This Row],[author_es]],autorest[author_es],autorest[bio_la])</f>
        <v>Philosophus poeta et politicus Romanus ultimus philosophiae classicae et primus medievalis auctor De consolatione philosophiae qui pons inter mundum antiquum et Christianum medievalem fuit</v>
      </c>
      <c r="J1404" t="str">
        <f>_xlfn.XLOOKUP(frasest[[#This Row],[author_es]],autorest[author_es],autorest[iso3691])</f>
        <v>la</v>
      </c>
      <c r="K1404" t="str">
        <f>_xlfn.XLOOKUP(frasest[[#This Row],[author_es]],autorest[author_es],autorest[language_es])</f>
        <v>Latín</v>
      </c>
      <c r="L1404" t="str">
        <f>_xlfn.XLOOKUP(frasest[[#This Row],[author_es]],autorest[author_es],autorest[language_la])</f>
        <v>Lingua Latina</v>
      </c>
      <c r="M1404" t="str">
        <f>_xlfn.XLOOKUP(frasest[[#This Row],[author_es]],autorest[author_es],autorest[nation_es])</f>
        <v>Roma</v>
      </c>
      <c r="N1404" t="str">
        <f>_xlfn.XLOOKUP(frasest[[#This Row],[author_es]],autorest[author_es],autorest[nation_la])</f>
        <v>Roma</v>
      </c>
      <c r="O1404" t="str">
        <f>_xlfn.XLOOKUP(frasest[[#This Row],[author_es]],autorest[author_es],autorest[age_es])</f>
        <v>Edad Media</v>
      </c>
      <c r="P1404" t="str">
        <f>_xlfn.XLOOKUP(frasest[[#This Row],[author_es]],autorest[author_es],autorest[age_la])</f>
        <v>Medium Aevum</v>
      </c>
      <c r="Q1404" t="str">
        <f>_xlfn.XLOOKUP(frasest[[#This Row],[author_es]],autorest[author_es],autorest[image])</f>
        <v>https://i.ibb.co/XfRSKJzS/boecio.png</v>
      </c>
      <c r="R1404">
        <f>_xlfn.XLOOKUP(frasest[[#This Row],[author_es]],autorest[author_es],autorest[image_atr])</f>
        <v>0</v>
      </c>
    </row>
    <row r="1405" spans="1:18">
      <c r="A1405">
        <v>1404</v>
      </c>
      <c r="B1405" t="s">
        <v>4362</v>
      </c>
      <c r="C1405" t="s">
        <v>4363</v>
      </c>
      <c r="D1405" t="s">
        <v>4364</v>
      </c>
      <c r="E1405" t="s">
        <v>4315</v>
      </c>
      <c r="F1405" t="s">
        <v>4316</v>
      </c>
      <c r="G1405" t="str">
        <f>_xlfn.XLOOKUP(frasest[[#This Row],[author_es]],autorest[author_es],autorest[author_la])</f>
        <v>Boethius</v>
      </c>
      <c r="H140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5" t="str">
        <f>_xlfn.XLOOKUP(frasest[[#This Row],[author_es]],autorest[author_es],autorest[bio_la])</f>
        <v>Philosophus poeta et politicus Romanus ultimus philosophiae classicae et primus medievalis auctor De consolatione philosophiae qui pons inter mundum antiquum et Christianum medievalem fuit</v>
      </c>
      <c r="J1405" t="str">
        <f>_xlfn.XLOOKUP(frasest[[#This Row],[author_es]],autorest[author_es],autorest[iso3691])</f>
        <v>la</v>
      </c>
      <c r="K1405" t="str">
        <f>_xlfn.XLOOKUP(frasest[[#This Row],[author_es]],autorest[author_es],autorest[language_es])</f>
        <v>Latín</v>
      </c>
      <c r="L1405" t="str">
        <f>_xlfn.XLOOKUP(frasest[[#This Row],[author_es]],autorest[author_es],autorest[language_la])</f>
        <v>Lingua Latina</v>
      </c>
      <c r="M1405" t="str">
        <f>_xlfn.XLOOKUP(frasest[[#This Row],[author_es]],autorest[author_es],autorest[nation_es])</f>
        <v>Roma</v>
      </c>
      <c r="N1405" t="str">
        <f>_xlfn.XLOOKUP(frasest[[#This Row],[author_es]],autorest[author_es],autorest[nation_la])</f>
        <v>Roma</v>
      </c>
      <c r="O1405" t="str">
        <f>_xlfn.XLOOKUP(frasest[[#This Row],[author_es]],autorest[author_es],autorest[age_es])</f>
        <v>Edad Media</v>
      </c>
      <c r="P1405" t="str">
        <f>_xlfn.XLOOKUP(frasest[[#This Row],[author_es]],autorest[author_es],autorest[age_la])</f>
        <v>Medium Aevum</v>
      </c>
      <c r="Q1405" t="str">
        <f>_xlfn.XLOOKUP(frasest[[#This Row],[author_es]],autorest[author_es],autorest[image])</f>
        <v>https://i.ibb.co/XfRSKJzS/boecio.png</v>
      </c>
      <c r="R1405">
        <f>_xlfn.XLOOKUP(frasest[[#This Row],[author_es]],autorest[author_es],autorest[image_atr])</f>
        <v>0</v>
      </c>
    </row>
    <row r="1406" spans="1:18">
      <c r="A1406">
        <v>1405</v>
      </c>
      <c r="B1406" t="s">
        <v>4365</v>
      </c>
      <c r="C1406" t="s">
        <v>4366</v>
      </c>
      <c r="D1406" t="s">
        <v>4367</v>
      </c>
      <c r="E1406" t="s">
        <v>4315</v>
      </c>
      <c r="F1406" t="s">
        <v>4316</v>
      </c>
      <c r="G1406" t="str">
        <f>_xlfn.XLOOKUP(frasest[[#This Row],[author_es]],autorest[author_es],autorest[author_la])</f>
        <v>Boethius</v>
      </c>
      <c r="H140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6" t="str">
        <f>_xlfn.XLOOKUP(frasest[[#This Row],[author_es]],autorest[author_es],autorest[bio_la])</f>
        <v>Philosophus poeta et politicus Romanus ultimus philosophiae classicae et primus medievalis auctor De consolatione philosophiae qui pons inter mundum antiquum et Christianum medievalem fuit</v>
      </c>
      <c r="J1406" t="str">
        <f>_xlfn.XLOOKUP(frasest[[#This Row],[author_es]],autorest[author_es],autorest[iso3691])</f>
        <v>la</v>
      </c>
      <c r="K1406" t="str">
        <f>_xlfn.XLOOKUP(frasest[[#This Row],[author_es]],autorest[author_es],autorest[language_es])</f>
        <v>Latín</v>
      </c>
      <c r="L1406" t="str">
        <f>_xlfn.XLOOKUP(frasest[[#This Row],[author_es]],autorest[author_es],autorest[language_la])</f>
        <v>Lingua Latina</v>
      </c>
      <c r="M1406" t="str">
        <f>_xlfn.XLOOKUP(frasest[[#This Row],[author_es]],autorest[author_es],autorest[nation_es])</f>
        <v>Roma</v>
      </c>
      <c r="N1406" t="str">
        <f>_xlfn.XLOOKUP(frasest[[#This Row],[author_es]],autorest[author_es],autorest[nation_la])</f>
        <v>Roma</v>
      </c>
      <c r="O1406" t="str">
        <f>_xlfn.XLOOKUP(frasest[[#This Row],[author_es]],autorest[author_es],autorest[age_es])</f>
        <v>Edad Media</v>
      </c>
      <c r="P1406" t="str">
        <f>_xlfn.XLOOKUP(frasest[[#This Row],[author_es]],autorest[author_es],autorest[age_la])</f>
        <v>Medium Aevum</v>
      </c>
      <c r="Q1406" t="str">
        <f>_xlfn.XLOOKUP(frasest[[#This Row],[author_es]],autorest[author_es],autorest[image])</f>
        <v>https://i.ibb.co/XfRSKJzS/boecio.png</v>
      </c>
      <c r="R1406">
        <f>_xlfn.XLOOKUP(frasest[[#This Row],[author_es]],autorest[author_es],autorest[image_atr])</f>
        <v>0</v>
      </c>
    </row>
    <row r="1407" spans="1:18">
      <c r="A1407">
        <v>1406</v>
      </c>
      <c r="B1407" t="s">
        <v>4368</v>
      </c>
      <c r="C1407" t="s">
        <v>4369</v>
      </c>
      <c r="D1407" t="s">
        <v>4370</v>
      </c>
      <c r="E1407" t="s">
        <v>4315</v>
      </c>
      <c r="F1407" t="s">
        <v>4316</v>
      </c>
      <c r="G1407" t="str">
        <f>_xlfn.XLOOKUP(frasest[[#This Row],[author_es]],autorest[author_es],autorest[author_la])</f>
        <v>Boethius</v>
      </c>
      <c r="H140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7" t="str">
        <f>_xlfn.XLOOKUP(frasest[[#This Row],[author_es]],autorest[author_es],autorest[bio_la])</f>
        <v>Philosophus poeta et politicus Romanus ultimus philosophiae classicae et primus medievalis auctor De consolatione philosophiae qui pons inter mundum antiquum et Christianum medievalem fuit</v>
      </c>
      <c r="J1407" t="str">
        <f>_xlfn.XLOOKUP(frasest[[#This Row],[author_es]],autorest[author_es],autorest[iso3691])</f>
        <v>la</v>
      </c>
      <c r="K1407" t="str">
        <f>_xlfn.XLOOKUP(frasest[[#This Row],[author_es]],autorest[author_es],autorest[language_es])</f>
        <v>Latín</v>
      </c>
      <c r="L1407" t="str">
        <f>_xlfn.XLOOKUP(frasest[[#This Row],[author_es]],autorest[author_es],autorest[language_la])</f>
        <v>Lingua Latina</v>
      </c>
      <c r="M1407" t="str">
        <f>_xlfn.XLOOKUP(frasest[[#This Row],[author_es]],autorest[author_es],autorest[nation_es])</f>
        <v>Roma</v>
      </c>
      <c r="N1407" t="str">
        <f>_xlfn.XLOOKUP(frasest[[#This Row],[author_es]],autorest[author_es],autorest[nation_la])</f>
        <v>Roma</v>
      </c>
      <c r="O1407" t="str">
        <f>_xlfn.XLOOKUP(frasest[[#This Row],[author_es]],autorest[author_es],autorest[age_es])</f>
        <v>Edad Media</v>
      </c>
      <c r="P1407" t="str">
        <f>_xlfn.XLOOKUP(frasest[[#This Row],[author_es]],autorest[author_es],autorest[age_la])</f>
        <v>Medium Aevum</v>
      </c>
      <c r="Q1407" t="str">
        <f>_xlfn.XLOOKUP(frasest[[#This Row],[author_es]],autorest[author_es],autorest[image])</f>
        <v>https://i.ibb.co/XfRSKJzS/boecio.png</v>
      </c>
      <c r="R1407">
        <f>_xlfn.XLOOKUP(frasest[[#This Row],[author_es]],autorest[author_es],autorest[image_atr])</f>
        <v>0</v>
      </c>
    </row>
    <row r="1408" spans="1:18">
      <c r="A1408">
        <v>1407</v>
      </c>
      <c r="B1408" t="s">
        <v>4371</v>
      </c>
      <c r="C1408" t="s">
        <v>4372</v>
      </c>
      <c r="D1408" t="s">
        <v>4373</v>
      </c>
      <c r="E1408" t="s">
        <v>4315</v>
      </c>
      <c r="F1408" t="s">
        <v>4316</v>
      </c>
      <c r="G1408" t="str">
        <f>_xlfn.XLOOKUP(frasest[[#This Row],[author_es]],autorest[author_es],autorest[author_la])</f>
        <v>Boethius</v>
      </c>
      <c r="H140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8" t="str">
        <f>_xlfn.XLOOKUP(frasest[[#This Row],[author_es]],autorest[author_es],autorest[bio_la])</f>
        <v>Philosophus poeta et politicus Romanus ultimus philosophiae classicae et primus medievalis auctor De consolatione philosophiae qui pons inter mundum antiquum et Christianum medievalem fuit</v>
      </c>
      <c r="J1408" t="str">
        <f>_xlfn.XLOOKUP(frasest[[#This Row],[author_es]],autorest[author_es],autorest[iso3691])</f>
        <v>la</v>
      </c>
      <c r="K1408" t="str">
        <f>_xlfn.XLOOKUP(frasest[[#This Row],[author_es]],autorest[author_es],autorest[language_es])</f>
        <v>Latín</v>
      </c>
      <c r="L1408" t="str">
        <f>_xlfn.XLOOKUP(frasest[[#This Row],[author_es]],autorest[author_es],autorest[language_la])</f>
        <v>Lingua Latina</v>
      </c>
      <c r="M1408" t="str">
        <f>_xlfn.XLOOKUP(frasest[[#This Row],[author_es]],autorest[author_es],autorest[nation_es])</f>
        <v>Roma</v>
      </c>
      <c r="N1408" t="str">
        <f>_xlfn.XLOOKUP(frasest[[#This Row],[author_es]],autorest[author_es],autorest[nation_la])</f>
        <v>Roma</v>
      </c>
      <c r="O1408" t="str">
        <f>_xlfn.XLOOKUP(frasest[[#This Row],[author_es]],autorest[author_es],autorest[age_es])</f>
        <v>Edad Media</v>
      </c>
      <c r="P1408" t="str">
        <f>_xlfn.XLOOKUP(frasest[[#This Row],[author_es]],autorest[author_es],autorest[age_la])</f>
        <v>Medium Aevum</v>
      </c>
      <c r="Q1408" t="str">
        <f>_xlfn.XLOOKUP(frasest[[#This Row],[author_es]],autorest[author_es],autorest[image])</f>
        <v>https://i.ibb.co/XfRSKJzS/boecio.png</v>
      </c>
      <c r="R1408">
        <f>_xlfn.XLOOKUP(frasest[[#This Row],[author_es]],autorest[author_es],autorest[image_atr])</f>
        <v>0</v>
      </c>
    </row>
    <row r="1409" spans="1:18">
      <c r="A1409">
        <v>1408</v>
      </c>
      <c r="B1409" t="s">
        <v>4374</v>
      </c>
      <c r="C1409" t="s">
        <v>4375</v>
      </c>
      <c r="D1409" t="s">
        <v>4376</v>
      </c>
      <c r="E1409" t="s">
        <v>4377</v>
      </c>
      <c r="F1409" t="s">
        <v>4378</v>
      </c>
      <c r="G1409" t="str">
        <f>_xlfn.XLOOKUP(frasest[[#This Row],[author_es]],autorest[author_es],autorest[author_la])</f>
        <v>Ioannes Duns Scotus</v>
      </c>
      <c r="H140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0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09" t="str">
        <f>_xlfn.XLOOKUP(frasest[[#This Row],[author_es]],autorest[author_es],autorest[iso3691])</f>
        <v>la</v>
      </c>
      <c r="K1409" t="str">
        <f>_xlfn.XLOOKUP(frasest[[#This Row],[author_es]],autorest[author_es],autorest[language_es])</f>
        <v>Latín</v>
      </c>
      <c r="L1409" t="str">
        <f>_xlfn.XLOOKUP(frasest[[#This Row],[author_es]],autorest[author_es],autorest[language_la])</f>
        <v>Lingua Latina</v>
      </c>
      <c r="M1409" t="str">
        <f>_xlfn.XLOOKUP(frasest[[#This Row],[author_es]],autorest[author_es],autorest[nation_es])</f>
        <v>Reino Unido</v>
      </c>
      <c r="N1409" t="str">
        <f>_xlfn.XLOOKUP(frasest[[#This Row],[author_es]],autorest[author_es],autorest[nation_la])</f>
        <v>Regnum Unitum</v>
      </c>
      <c r="O1409" t="str">
        <f>_xlfn.XLOOKUP(frasest[[#This Row],[author_es]],autorest[author_es],autorest[age_es])</f>
        <v>Edad Media</v>
      </c>
      <c r="P1409" t="str">
        <f>_xlfn.XLOOKUP(frasest[[#This Row],[author_es]],autorest[author_es],autorest[age_la])</f>
        <v>Medium Aevum</v>
      </c>
      <c r="Q1409" t="str">
        <f>_xlfn.XLOOKUP(frasest[[#This Row],[author_es]],autorest[author_es],autorest[image])</f>
        <v>https://i.ibb.co/KkCQxPT/juanduns.png</v>
      </c>
      <c r="R1409">
        <f>_xlfn.XLOOKUP(frasest[[#This Row],[author_es]],autorest[author_es],autorest[image_atr])</f>
        <v>0</v>
      </c>
    </row>
    <row r="1410" spans="1:18">
      <c r="A1410">
        <v>1409</v>
      </c>
      <c r="B1410" t="s">
        <v>4379</v>
      </c>
      <c r="C1410" t="s">
        <v>4380</v>
      </c>
      <c r="D1410" t="s">
        <v>4381</v>
      </c>
      <c r="E1410" t="s">
        <v>4377</v>
      </c>
      <c r="F1410" t="s">
        <v>4378</v>
      </c>
      <c r="G1410" t="str">
        <f>_xlfn.XLOOKUP(frasest[[#This Row],[author_es]],autorest[author_es],autorest[author_la])</f>
        <v>Ioannes Duns Scotus</v>
      </c>
      <c r="H141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0" t="str">
        <f>_xlfn.XLOOKUP(frasest[[#This Row],[author_es]],autorest[author_es],autorest[iso3691])</f>
        <v>la</v>
      </c>
      <c r="K1410" t="str">
        <f>_xlfn.XLOOKUP(frasest[[#This Row],[author_es]],autorest[author_es],autorest[language_es])</f>
        <v>Latín</v>
      </c>
      <c r="L1410" t="str">
        <f>_xlfn.XLOOKUP(frasest[[#This Row],[author_es]],autorest[author_es],autorest[language_la])</f>
        <v>Lingua Latina</v>
      </c>
      <c r="M1410" t="str">
        <f>_xlfn.XLOOKUP(frasest[[#This Row],[author_es]],autorest[author_es],autorest[nation_es])</f>
        <v>Reino Unido</v>
      </c>
      <c r="N1410" t="str">
        <f>_xlfn.XLOOKUP(frasest[[#This Row],[author_es]],autorest[author_es],autorest[nation_la])</f>
        <v>Regnum Unitum</v>
      </c>
      <c r="O1410" t="str">
        <f>_xlfn.XLOOKUP(frasest[[#This Row],[author_es]],autorest[author_es],autorest[age_es])</f>
        <v>Edad Media</v>
      </c>
      <c r="P1410" t="str">
        <f>_xlfn.XLOOKUP(frasest[[#This Row],[author_es]],autorest[author_es],autorest[age_la])</f>
        <v>Medium Aevum</v>
      </c>
      <c r="Q1410" t="str">
        <f>_xlfn.XLOOKUP(frasest[[#This Row],[author_es]],autorest[author_es],autorest[image])</f>
        <v>https://i.ibb.co/KkCQxPT/juanduns.png</v>
      </c>
      <c r="R1410">
        <f>_xlfn.XLOOKUP(frasest[[#This Row],[author_es]],autorest[author_es],autorest[image_atr])</f>
        <v>0</v>
      </c>
    </row>
    <row r="1411" spans="1:18">
      <c r="A1411">
        <v>1410</v>
      </c>
      <c r="B1411" t="s">
        <v>4382</v>
      </c>
      <c r="C1411" t="s">
        <v>4383</v>
      </c>
      <c r="D1411" t="s">
        <v>4384</v>
      </c>
      <c r="E1411" t="s">
        <v>4377</v>
      </c>
      <c r="F1411" t="s">
        <v>4378</v>
      </c>
      <c r="G1411" t="str">
        <f>_xlfn.XLOOKUP(frasest[[#This Row],[author_es]],autorest[author_es],autorest[author_la])</f>
        <v>Ioannes Duns Scotus</v>
      </c>
      <c r="H141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1" t="str">
        <f>_xlfn.XLOOKUP(frasest[[#This Row],[author_es]],autorest[author_es],autorest[iso3691])</f>
        <v>la</v>
      </c>
      <c r="K1411" t="str">
        <f>_xlfn.XLOOKUP(frasest[[#This Row],[author_es]],autorest[author_es],autorest[language_es])</f>
        <v>Latín</v>
      </c>
      <c r="L1411" t="str">
        <f>_xlfn.XLOOKUP(frasest[[#This Row],[author_es]],autorest[author_es],autorest[language_la])</f>
        <v>Lingua Latina</v>
      </c>
      <c r="M1411" t="str">
        <f>_xlfn.XLOOKUP(frasest[[#This Row],[author_es]],autorest[author_es],autorest[nation_es])</f>
        <v>Reino Unido</v>
      </c>
      <c r="N1411" t="str">
        <f>_xlfn.XLOOKUP(frasest[[#This Row],[author_es]],autorest[author_es],autorest[nation_la])</f>
        <v>Regnum Unitum</v>
      </c>
      <c r="O1411" t="str">
        <f>_xlfn.XLOOKUP(frasest[[#This Row],[author_es]],autorest[author_es],autorest[age_es])</f>
        <v>Edad Media</v>
      </c>
      <c r="P1411" t="str">
        <f>_xlfn.XLOOKUP(frasest[[#This Row],[author_es]],autorest[author_es],autorest[age_la])</f>
        <v>Medium Aevum</v>
      </c>
      <c r="Q1411" t="str">
        <f>_xlfn.XLOOKUP(frasest[[#This Row],[author_es]],autorest[author_es],autorest[image])</f>
        <v>https://i.ibb.co/KkCQxPT/juanduns.png</v>
      </c>
      <c r="R1411">
        <f>_xlfn.XLOOKUP(frasest[[#This Row],[author_es]],autorest[author_es],autorest[image_atr])</f>
        <v>0</v>
      </c>
    </row>
    <row r="1412" spans="1:18">
      <c r="A1412">
        <v>1411</v>
      </c>
      <c r="B1412" t="s">
        <v>4385</v>
      </c>
      <c r="C1412" t="s">
        <v>4386</v>
      </c>
      <c r="D1412" t="s">
        <v>4387</v>
      </c>
      <c r="E1412" t="s">
        <v>4377</v>
      </c>
      <c r="F1412" t="s">
        <v>4378</v>
      </c>
      <c r="G1412" t="str">
        <f>_xlfn.XLOOKUP(frasest[[#This Row],[author_es]],autorest[author_es],autorest[author_la])</f>
        <v>Ioannes Duns Scotus</v>
      </c>
      <c r="H1412"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2"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2" t="str">
        <f>_xlfn.XLOOKUP(frasest[[#This Row],[author_es]],autorest[author_es],autorest[iso3691])</f>
        <v>la</v>
      </c>
      <c r="K1412" t="str">
        <f>_xlfn.XLOOKUP(frasest[[#This Row],[author_es]],autorest[author_es],autorest[language_es])</f>
        <v>Latín</v>
      </c>
      <c r="L1412" t="str">
        <f>_xlfn.XLOOKUP(frasest[[#This Row],[author_es]],autorest[author_es],autorest[language_la])</f>
        <v>Lingua Latina</v>
      </c>
      <c r="M1412" t="str">
        <f>_xlfn.XLOOKUP(frasest[[#This Row],[author_es]],autorest[author_es],autorest[nation_es])</f>
        <v>Reino Unido</v>
      </c>
      <c r="N1412" t="str">
        <f>_xlfn.XLOOKUP(frasest[[#This Row],[author_es]],autorest[author_es],autorest[nation_la])</f>
        <v>Regnum Unitum</v>
      </c>
      <c r="O1412" t="str">
        <f>_xlfn.XLOOKUP(frasest[[#This Row],[author_es]],autorest[author_es],autorest[age_es])</f>
        <v>Edad Media</v>
      </c>
      <c r="P1412" t="str">
        <f>_xlfn.XLOOKUP(frasest[[#This Row],[author_es]],autorest[author_es],autorest[age_la])</f>
        <v>Medium Aevum</v>
      </c>
      <c r="Q1412" t="str">
        <f>_xlfn.XLOOKUP(frasest[[#This Row],[author_es]],autorest[author_es],autorest[image])</f>
        <v>https://i.ibb.co/KkCQxPT/juanduns.png</v>
      </c>
      <c r="R1412">
        <f>_xlfn.XLOOKUP(frasest[[#This Row],[author_es]],autorest[author_es],autorest[image_atr])</f>
        <v>0</v>
      </c>
    </row>
    <row r="1413" spans="1:18">
      <c r="A1413">
        <v>1412</v>
      </c>
      <c r="B1413" t="s">
        <v>4388</v>
      </c>
      <c r="C1413" t="s">
        <v>4389</v>
      </c>
      <c r="D1413" t="s">
        <v>4390</v>
      </c>
      <c r="E1413" t="s">
        <v>4377</v>
      </c>
      <c r="F1413" t="s">
        <v>4378</v>
      </c>
      <c r="G1413" t="str">
        <f>_xlfn.XLOOKUP(frasest[[#This Row],[author_es]],autorest[author_es],autorest[author_la])</f>
        <v>Ioannes Duns Scotus</v>
      </c>
      <c r="H1413"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3"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3" t="str">
        <f>_xlfn.XLOOKUP(frasest[[#This Row],[author_es]],autorest[author_es],autorest[iso3691])</f>
        <v>la</v>
      </c>
      <c r="K1413" t="str">
        <f>_xlfn.XLOOKUP(frasest[[#This Row],[author_es]],autorest[author_es],autorest[language_es])</f>
        <v>Latín</v>
      </c>
      <c r="L1413" t="str">
        <f>_xlfn.XLOOKUP(frasest[[#This Row],[author_es]],autorest[author_es],autorest[language_la])</f>
        <v>Lingua Latina</v>
      </c>
      <c r="M1413" t="str">
        <f>_xlfn.XLOOKUP(frasest[[#This Row],[author_es]],autorest[author_es],autorest[nation_es])</f>
        <v>Reino Unido</v>
      </c>
      <c r="N1413" t="str">
        <f>_xlfn.XLOOKUP(frasest[[#This Row],[author_es]],autorest[author_es],autorest[nation_la])</f>
        <v>Regnum Unitum</v>
      </c>
      <c r="O1413" t="str">
        <f>_xlfn.XLOOKUP(frasest[[#This Row],[author_es]],autorest[author_es],autorest[age_es])</f>
        <v>Edad Media</v>
      </c>
      <c r="P1413" t="str">
        <f>_xlfn.XLOOKUP(frasest[[#This Row],[author_es]],autorest[author_es],autorest[age_la])</f>
        <v>Medium Aevum</v>
      </c>
      <c r="Q1413" t="str">
        <f>_xlfn.XLOOKUP(frasest[[#This Row],[author_es]],autorest[author_es],autorest[image])</f>
        <v>https://i.ibb.co/KkCQxPT/juanduns.png</v>
      </c>
      <c r="R1413">
        <f>_xlfn.XLOOKUP(frasest[[#This Row],[author_es]],autorest[author_es],autorest[image_atr])</f>
        <v>0</v>
      </c>
    </row>
    <row r="1414" spans="1:18">
      <c r="A1414">
        <v>1413</v>
      </c>
      <c r="B1414" t="s">
        <v>4391</v>
      </c>
      <c r="C1414" t="s">
        <v>4392</v>
      </c>
      <c r="D1414" t="s">
        <v>4393</v>
      </c>
      <c r="E1414" t="s">
        <v>4377</v>
      </c>
      <c r="F1414" t="s">
        <v>4378</v>
      </c>
      <c r="G1414" t="str">
        <f>_xlfn.XLOOKUP(frasest[[#This Row],[author_es]],autorest[author_es],autorest[author_la])</f>
        <v>Ioannes Duns Scotus</v>
      </c>
      <c r="H1414"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4"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4" t="str">
        <f>_xlfn.XLOOKUP(frasest[[#This Row],[author_es]],autorest[author_es],autorest[iso3691])</f>
        <v>la</v>
      </c>
      <c r="K1414" t="str">
        <f>_xlfn.XLOOKUP(frasest[[#This Row],[author_es]],autorest[author_es],autorest[language_es])</f>
        <v>Latín</v>
      </c>
      <c r="L1414" t="str">
        <f>_xlfn.XLOOKUP(frasest[[#This Row],[author_es]],autorest[author_es],autorest[language_la])</f>
        <v>Lingua Latina</v>
      </c>
      <c r="M1414" t="str">
        <f>_xlfn.XLOOKUP(frasest[[#This Row],[author_es]],autorest[author_es],autorest[nation_es])</f>
        <v>Reino Unido</v>
      </c>
      <c r="N1414" t="str">
        <f>_xlfn.XLOOKUP(frasest[[#This Row],[author_es]],autorest[author_es],autorest[nation_la])</f>
        <v>Regnum Unitum</v>
      </c>
      <c r="O1414" t="str">
        <f>_xlfn.XLOOKUP(frasest[[#This Row],[author_es]],autorest[author_es],autorest[age_es])</f>
        <v>Edad Media</v>
      </c>
      <c r="P1414" t="str">
        <f>_xlfn.XLOOKUP(frasest[[#This Row],[author_es]],autorest[author_es],autorest[age_la])</f>
        <v>Medium Aevum</v>
      </c>
      <c r="Q1414" t="str">
        <f>_xlfn.XLOOKUP(frasest[[#This Row],[author_es]],autorest[author_es],autorest[image])</f>
        <v>https://i.ibb.co/KkCQxPT/juanduns.png</v>
      </c>
      <c r="R1414">
        <f>_xlfn.XLOOKUP(frasest[[#This Row],[author_es]],autorest[author_es],autorest[image_atr])</f>
        <v>0</v>
      </c>
    </row>
    <row r="1415" spans="1:18">
      <c r="A1415">
        <v>1414</v>
      </c>
      <c r="B1415" t="s">
        <v>4394</v>
      </c>
      <c r="C1415" t="s">
        <v>4395</v>
      </c>
      <c r="D1415" t="s">
        <v>4396</v>
      </c>
      <c r="E1415" t="s">
        <v>4377</v>
      </c>
      <c r="F1415" t="s">
        <v>4378</v>
      </c>
      <c r="G1415" t="str">
        <f>_xlfn.XLOOKUP(frasest[[#This Row],[author_es]],autorest[author_es],autorest[author_la])</f>
        <v>Ioannes Duns Scotus</v>
      </c>
      <c r="H1415"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5"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5" t="str">
        <f>_xlfn.XLOOKUP(frasest[[#This Row],[author_es]],autorest[author_es],autorest[iso3691])</f>
        <v>la</v>
      </c>
      <c r="K1415" t="str">
        <f>_xlfn.XLOOKUP(frasest[[#This Row],[author_es]],autorest[author_es],autorest[language_es])</f>
        <v>Latín</v>
      </c>
      <c r="L1415" t="str">
        <f>_xlfn.XLOOKUP(frasest[[#This Row],[author_es]],autorest[author_es],autorest[language_la])</f>
        <v>Lingua Latina</v>
      </c>
      <c r="M1415" t="str">
        <f>_xlfn.XLOOKUP(frasest[[#This Row],[author_es]],autorest[author_es],autorest[nation_es])</f>
        <v>Reino Unido</v>
      </c>
      <c r="N1415" t="str">
        <f>_xlfn.XLOOKUP(frasest[[#This Row],[author_es]],autorest[author_es],autorest[nation_la])</f>
        <v>Regnum Unitum</v>
      </c>
      <c r="O1415" t="str">
        <f>_xlfn.XLOOKUP(frasest[[#This Row],[author_es]],autorest[author_es],autorest[age_es])</f>
        <v>Edad Media</v>
      </c>
      <c r="P1415" t="str">
        <f>_xlfn.XLOOKUP(frasest[[#This Row],[author_es]],autorest[author_es],autorest[age_la])</f>
        <v>Medium Aevum</v>
      </c>
      <c r="Q1415" t="str">
        <f>_xlfn.XLOOKUP(frasest[[#This Row],[author_es]],autorest[author_es],autorest[image])</f>
        <v>https://i.ibb.co/KkCQxPT/juanduns.png</v>
      </c>
      <c r="R1415">
        <f>_xlfn.XLOOKUP(frasest[[#This Row],[author_es]],autorest[author_es],autorest[image_atr])</f>
        <v>0</v>
      </c>
    </row>
    <row r="1416" spans="1:18">
      <c r="A1416">
        <v>1415</v>
      </c>
      <c r="B1416" t="s">
        <v>4397</v>
      </c>
      <c r="C1416" t="s">
        <v>4398</v>
      </c>
      <c r="D1416" t="s">
        <v>4399</v>
      </c>
      <c r="E1416" t="s">
        <v>4377</v>
      </c>
      <c r="F1416" t="s">
        <v>4378</v>
      </c>
      <c r="G1416" t="str">
        <f>_xlfn.XLOOKUP(frasest[[#This Row],[author_es]],autorest[author_es],autorest[author_la])</f>
        <v>Ioannes Duns Scotus</v>
      </c>
      <c r="H1416"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6"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6" t="str">
        <f>_xlfn.XLOOKUP(frasest[[#This Row],[author_es]],autorest[author_es],autorest[iso3691])</f>
        <v>la</v>
      </c>
      <c r="K1416" t="str">
        <f>_xlfn.XLOOKUP(frasest[[#This Row],[author_es]],autorest[author_es],autorest[language_es])</f>
        <v>Latín</v>
      </c>
      <c r="L1416" t="str">
        <f>_xlfn.XLOOKUP(frasest[[#This Row],[author_es]],autorest[author_es],autorest[language_la])</f>
        <v>Lingua Latina</v>
      </c>
      <c r="M1416" t="str">
        <f>_xlfn.XLOOKUP(frasest[[#This Row],[author_es]],autorest[author_es],autorest[nation_es])</f>
        <v>Reino Unido</v>
      </c>
      <c r="N1416" t="str">
        <f>_xlfn.XLOOKUP(frasest[[#This Row],[author_es]],autorest[author_es],autorest[nation_la])</f>
        <v>Regnum Unitum</v>
      </c>
      <c r="O1416" t="str">
        <f>_xlfn.XLOOKUP(frasest[[#This Row],[author_es]],autorest[author_es],autorest[age_es])</f>
        <v>Edad Media</v>
      </c>
      <c r="P1416" t="str">
        <f>_xlfn.XLOOKUP(frasest[[#This Row],[author_es]],autorest[author_es],autorest[age_la])</f>
        <v>Medium Aevum</v>
      </c>
      <c r="Q1416" t="str">
        <f>_xlfn.XLOOKUP(frasest[[#This Row],[author_es]],autorest[author_es],autorest[image])</f>
        <v>https://i.ibb.co/KkCQxPT/juanduns.png</v>
      </c>
      <c r="R1416">
        <f>_xlfn.XLOOKUP(frasest[[#This Row],[author_es]],autorest[author_es],autorest[image_atr])</f>
        <v>0</v>
      </c>
    </row>
    <row r="1417" spans="1:18">
      <c r="A1417">
        <v>1416</v>
      </c>
      <c r="B1417" t="s">
        <v>4400</v>
      </c>
      <c r="C1417" t="s">
        <v>4401</v>
      </c>
      <c r="D1417" t="s">
        <v>4402</v>
      </c>
      <c r="E1417" t="s">
        <v>4377</v>
      </c>
      <c r="F1417" t="s">
        <v>4378</v>
      </c>
      <c r="G1417" t="str">
        <f>_xlfn.XLOOKUP(frasest[[#This Row],[author_es]],autorest[author_es],autorest[author_la])</f>
        <v>Ioannes Duns Scotus</v>
      </c>
      <c r="H1417"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7"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7" t="str">
        <f>_xlfn.XLOOKUP(frasest[[#This Row],[author_es]],autorest[author_es],autorest[iso3691])</f>
        <v>la</v>
      </c>
      <c r="K1417" t="str">
        <f>_xlfn.XLOOKUP(frasest[[#This Row],[author_es]],autorest[author_es],autorest[language_es])</f>
        <v>Latín</v>
      </c>
      <c r="L1417" t="str">
        <f>_xlfn.XLOOKUP(frasest[[#This Row],[author_es]],autorest[author_es],autorest[language_la])</f>
        <v>Lingua Latina</v>
      </c>
      <c r="M1417" t="str">
        <f>_xlfn.XLOOKUP(frasest[[#This Row],[author_es]],autorest[author_es],autorest[nation_es])</f>
        <v>Reino Unido</v>
      </c>
      <c r="N1417" t="str">
        <f>_xlfn.XLOOKUP(frasest[[#This Row],[author_es]],autorest[author_es],autorest[nation_la])</f>
        <v>Regnum Unitum</v>
      </c>
      <c r="O1417" t="str">
        <f>_xlfn.XLOOKUP(frasest[[#This Row],[author_es]],autorest[author_es],autorest[age_es])</f>
        <v>Edad Media</v>
      </c>
      <c r="P1417" t="str">
        <f>_xlfn.XLOOKUP(frasest[[#This Row],[author_es]],autorest[author_es],autorest[age_la])</f>
        <v>Medium Aevum</v>
      </c>
      <c r="Q1417" t="str">
        <f>_xlfn.XLOOKUP(frasest[[#This Row],[author_es]],autorest[author_es],autorest[image])</f>
        <v>https://i.ibb.co/KkCQxPT/juanduns.png</v>
      </c>
      <c r="R1417">
        <f>_xlfn.XLOOKUP(frasest[[#This Row],[author_es]],autorest[author_es],autorest[image_atr])</f>
        <v>0</v>
      </c>
    </row>
    <row r="1418" spans="1:18">
      <c r="A1418">
        <v>1417</v>
      </c>
      <c r="B1418" t="s">
        <v>4403</v>
      </c>
      <c r="C1418" t="s">
        <v>4404</v>
      </c>
      <c r="D1418" t="s">
        <v>4405</v>
      </c>
      <c r="E1418" t="s">
        <v>4377</v>
      </c>
      <c r="F1418" t="s">
        <v>4378</v>
      </c>
      <c r="G1418" t="str">
        <f>_xlfn.XLOOKUP(frasest[[#This Row],[author_es]],autorest[author_es],autorest[author_la])</f>
        <v>Ioannes Duns Scotus</v>
      </c>
      <c r="H1418"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8"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8" t="str">
        <f>_xlfn.XLOOKUP(frasest[[#This Row],[author_es]],autorest[author_es],autorest[iso3691])</f>
        <v>la</v>
      </c>
      <c r="K1418" t="str">
        <f>_xlfn.XLOOKUP(frasest[[#This Row],[author_es]],autorest[author_es],autorest[language_es])</f>
        <v>Latín</v>
      </c>
      <c r="L1418" t="str">
        <f>_xlfn.XLOOKUP(frasest[[#This Row],[author_es]],autorest[author_es],autorest[language_la])</f>
        <v>Lingua Latina</v>
      </c>
      <c r="M1418" t="str">
        <f>_xlfn.XLOOKUP(frasest[[#This Row],[author_es]],autorest[author_es],autorest[nation_es])</f>
        <v>Reino Unido</v>
      </c>
      <c r="N1418" t="str">
        <f>_xlfn.XLOOKUP(frasest[[#This Row],[author_es]],autorest[author_es],autorest[nation_la])</f>
        <v>Regnum Unitum</v>
      </c>
      <c r="O1418" t="str">
        <f>_xlfn.XLOOKUP(frasest[[#This Row],[author_es]],autorest[author_es],autorest[age_es])</f>
        <v>Edad Media</v>
      </c>
      <c r="P1418" t="str">
        <f>_xlfn.XLOOKUP(frasest[[#This Row],[author_es]],autorest[author_es],autorest[age_la])</f>
        <v>Medium Aevum</v>
      </c>
      <c r="Q1418" t="str">
        <f>_xlfn.XLOOKUP(frasest[[#This Row],[author_es]],autorest[author_es],autorest[image])</f>
        <v>https://i.ibb.co/KkCQxPT/juanduns.png</v>
      </c>
      <c r="R1418">
        <f>_xlfn.XLOOKUP(frasest[[#This Row],[author_es]],autorest[author_es],autorest[image_atr])</f>
        <v>0</v>
      </c>
    </row>
    <row r="1419" spans="1:18">
      <c r="A1419">
        <v>1418</v>
      </c>
      <c r="B1419" t="s">
        <v>4406</v>
      </c>
      <c r="C1419" t="s">
        <v>4407</v>
      </c>
      <c r="D1419" t="s">
        <v>4408</v>
      </c>
      <c r="E1419" t="s">
        <v>4377</v>
      </c>
      <c r="F1419" t="s">
        <v>4378</v>
      </c>
      <c r="G1419" t="str">
        <f>_xlfn.XLOOKUP(frasest[[#This Row],[author_es]],autorest[author_es],autorest[author_la])</f>
        <v>Ioannes Duns Scotus</v>
      </c>
      <c r="H141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9" t="str">
        <f>_xlfn.XLOOKUP(frasest[[#This Row],[author_es]],autorest[author_es],autorest[iso3691])</f>
        <v>la</v>
      </c>
      <c r="K1419" t="str">
        <f>_xlfn.XLOOKUP(frasest[[#This Row],[author_es]],autorest[author_es],autorest[language_es])</f>
        <v>Latín</v>
      </c>
      <c r="L1419" t="str">
        <f>_xlfn.XLOOKUP(frasest[[#This Row],[author_es]],autorest[author_es],autorest[language_la])</f>
        <v>Lingua Latina</v>
      </c>
      <c r="M1419" t="str">
        <f>_xlfn.XLOOKUP(frasest[[#This Row],[author_es]],autorest[author_es],autorest[nation_es])</f>
        <v>Reino Unido</v>
      </c>
      <c r="N1419" t="str">
        <f>_xlfn.XLOOKUP(frasest[[#This Row],[author_es]],autorest[author_es],autorest[nation_la])</f>
        <v>Regnum Unitum</v>
      </c>
      <c r="O1419" t="str">
        <f>_xlfn.XLOOKUP(frasest[[#This Row],[author_es]],autorest[author_es],autorest[age_es])</f>
        <v>Edad Media</v>
      </c>
      <c r="P1419" t="str">
        <f>_xlfn.XLOOKUP(frasest[[#This Row],[author_es]],autorest[author_es],autorest[age_la])</f>
        <v>Medium Aevum</v>
      </c>
      <c r="Q1419" t="str">
        <f>_xlfn.XLOOKUP(frasest[[#This Row],[author_es]],autorest[author_es],autorest[image])</f>
        <v>https://i.ibb.co/KkCQxPT/juanduns.png</v>
      </c>
      <c r="R1419">
        <f>_xlfn.XLOOKUP(frasest[[#This Row],[author_es]],autorest[author_es],autorest[image_atr])</f>
        <v>0</v>
      </c>
    </row>
    <row r="1420" spans="1:18">
      <c r="A1420">
        <v>1419</v>
      </c>
      <c r="B1420" t="s">
        <v>4409</v>
      </c>
      <c r="C1420" t="s">
        <v>4410</v>
      </c>
      <c r="D1420" t="s">
        <v>4411</v>
      </c>
      <c r="E1420" t="s">
        <v>4377</v>
      </c>
      <c r="F1420" t="s">
        <v>4378</v>
      </c>
      <c r="G1420" t="str">
        <f>_xlfn.XLOOKUP(frasest[[#This Row],[author_es]],autorest[author_es],autorest[author_la])</f>
        <v>Ioannes Duns Scotus</v>
      </c>
      <c r="H142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0" t="str">
        <f>_xlfn.XLOOKUP(frasest[[#This Row],[author_es]],autorest[author_es],autorest[iso3691])</f>
        <v>la</v>
      </c>
      <c r="K1420" t="str">
        <f>_xlfn.XLOOKUP(frasest[[#This Row],[author_es]],autorest[author_es],autorest[language_es])</f>
        <v>Latín</v>
      </c>
      <c r="L1420" t="str">
        <f>_xlfn.XLOOKUP(frasest[[#This Row],[author_es]],autorest[author_es],autorest[language_la])</f>
        <v>Lingua Latina</v>
      </c>
      <c r="M1420" t="str">
        <f>_xlfn.XLOOKUP(frasest[[#This Row],[author_es]],autorest[author_es],autorest[nation_es])</f>
        <v>Reino Unido</v>
      </c>
      <c r="N1420" t="str">
        <f>_xlfn.XLOOKUP(frasest[[#This Row],[author_es]],autorest[author_es],autorest[nation_la])</f>
        <v>Regnum Unitum</v>
      </c>
      <c r="O1420" t="str">
        <f>_xlfn.XLOOKUP(frasest[[#This Row],[author_es]],autorest[author_es],autorest[age_es])</f>
        <v>Edad Media</v>
      </c>
      <c r="P1420" t="str">
        <f>_xlfn.XLOOKUP(frasest[[#This Row],[author_es]],autorest[author_es],autorest[age_la])</f>
        <v>Medium Aevum</v>
      </c>
      <c r="Q1420" t="str">
        <f>_xlfn.XLOOKUP(frasest[[#This Row],[author_es]],autorest[author_es],autorest[image])</f>
        <v>https://i.ibb.co/KkCQxPT/juanduns.png</v>
      </c>
      <c r="R1420">
        <f>_xlfn.XLOOKUP(frasest[[#This Row],[author_es]],autorest[author_es],autorest[image_atr])</f>
        <v>0</v>
      </c>
    </row>
    <row r="1421" spans="1:18">
      <c r="A1421">
        <v>1420</v>
      </c>
      <c r="B1421" t="s">
        <v>4412</v>
      </c>
      <c r="C1421" t="s">
        <v>4413</v>
      </c>
      <c r="D1421" t="s">
        <v>4414</v>
      </c>
      <c r="E1421" t="s">
        <v>4377</v>
      </c>
      <c r="F1421" t="s">
        <v>4378</v>
      </c>
      <c r="G1421" t="str">
        <f>_xlfn.XLOOKUP(frasest[[#This Row],[author_es]],autorest[author_es],autorest[author_la])</f>
        <v>Ioannes Duns Scotus</v>
      </c>
      <c r="H142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1" t="str">
        <f>_xlfn.XLOOKUP(frasest[[#This Row],[author_es]],autorest[author_es],autorest[iso3691])</f>
        <v>la</v>
      </c>
      <c r="K1421" t="str">
        <f>_xlfn.XLOOKUP(frasest[[#This Row],[author_es]],autorest[author_es],autorest[language_es])</f>
        <v>Latín</v>
      </c>
      <c r="L1421" t="str">
        <f>_xlfn.XLOOKUP(frasest[[#This Row],[author_es]],autorest[author_es],autorest[language_la])</f>
        <v>Lingua Latina</v>
      </c>
      <c r="M1421" t="str">
        <f>_xlfn.XLOOKUP(frasest[[#This Row],[author_es]],autorest[author_es],autorest[nation_es])</f>
        <v>Reino Unido</v>
      </c>
      <c r="N1421" t="str">
        <f>_xlfn.XLOOKUP(frasest[[#This Row],[author_es]],autorest[author_es],autorest[nation_la])</f>
        <v>Regnum Unitum</v>
      </c>
      <c r="O1421" t="str">
        <f>_xlfn.XLOOKUP(frasest[[#This Row],[author_es]],autorest[author_es],autorest[age_es])</f>
        <v>Edad Media</v>
      </c>
      <c r="P1421" t="str">
        <f>_xlfn.XLOOKUP(frasest[[#This Row],[author_es]],autorest[author_es],autorest[age_la])</f>
        <v>Medium Aevum</v>
      </c>
      <c r="Q1421" t="str">
        <f>_xlfn.XLOOKUP(frasest[[#This Row],[author_es]],autorest[author_es],autorest[image])</f>
        <v>https://i.ibb.co/KkCQxPT/juanduns.png</v>
      </c>
      <c r="R1421">
        <f>_xlfn.XLOOKUP(frasest[[#This Row],[author_es]],autorest[author_es],autorest[image_atr])</f>
        <v>0</v>
      </c>
    </row>
    <row r="1422" spans="1:18">
      <c r="A1422">
        <v>1421</v>
      </c>
      <c r="B1422" t="s">
        <v>4415</v>
      </c>
      <c r="C1422" t="s">
        <v>4416</v>
      </c>
      <c r="D1422" t="s">
        <v>4416</v>
      </c>
      <c r="E1422" t="s">
        <v>4417</v>
      </c>
      <c r="F1422" t="s">
        <v>4418</v>
      </c>
      <c r="G1422" t="str">
        <f>_xlfn.XLOOKUP(frasest[[#This Row],[author_es]],autorest[author_es],autorest[author_la])</f>
        <v>Hildegardis Bingensis</v>
      </c>
      <c r="H142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2" t="str">
        <f>_xlfn.XLOOKUP(frasest[[#This Row],[author_es]],autorest[author_es],autorest[iso3691])</f>
        <v>la</v>
      </c>
      <c r="K1422" t="str">
        <f>_xlfn.XLOOKUP(frasest[[#This Row],[author_es]],autorest[author_es],autorest[language_es])</f>
        <v>Latín</v>
      </c>
      <c r="L1422" t="str">
        <f>_xlfn.XLOOKUP(frasest[[#This Row],[author_es]],autorest[author_es],autorest[language_la])</f>
        <v>Lingua Latina</v>
      </c>
      <c r="M1422" t="str">
        <f>_xlfn.XLOOKUP(frasest[[#This Row],[author_es]],autorest[author_es],autorest[nation_es])</f>
        <v>Alemania</v>
      </c>
      <c r="N1422" t="str">
        <f>_xlfn.XLOOKUP(frasest[[#This Row],[author_es]],autorest[author_es],autorest[nation_la])</f>
        <v>Germania</v>
      </c>
      <c r="O1422" t="str">
        <f>_xlfn.XLOOKUP(frasest[[#This Row],[author_es]],autorest[author_es],autorest[age_es])</f>
        <v>Edad Media</v>
      </c>
      <c r="P1422" t="str">
        <f>_xlfn.XLOOKUP(frasest[[#This Row],[author_es]],autorest[author_es],autorest[age_la])</f>
        <v>Medium Aevum</v>
      </c>
      <c r="Q1422" t="str">
        <f>_xlfn.XLOOKUP(frasest[[#This Row],[author_es]],autorest[author_es],autorest[image])</f>
        <v>https://i.ibb.co/6RxfDv6N/hildegarda.png</v>
      </c>
      <c r="R1422">
        <f>_xlfn.XLOOKUP(frasest[[#This Row],[author_es]],autorest[author_es],autorest[image_atr])</f>
        <v>0</v>
      </c>
    </row>
    <row r="1423" spans="1:18">
      <c r="A1423">
        <v>1422</v>
      </c>
      <c r="B1423" t="s">
        <v>4419</v>
      </c>
      <c r="C1423" t="s">
        <v>4420</v>
      </c>
      <c r="D1423" t="s">
        <v>4420</v>
      </c>
      <c r="E1423" t="s">
        <v>4417</v>
      </c>
      <c r="F1423" t="s">
        <v>4418</v>
      </c>
      <c r="G1423" t="str">
        <f>_xlfn.XLOOKUP(frasest[[#This Row],[author_es]],autorest[author_es],autorest[author_la])</f>
        <v>Hildegardis Bingensis</v>
      </c>
      <c r="H142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3" t="str">
        <f>_xlfn.XLOOKUP(frasest[[#This Row],[author_es]],autorest[author_es],autorest[iso3691])</f>
        <v>la</v>
      </c>
      <c r="K1423" t="str">
        <f>_xlfn.XLOOKUP(frasest[[#This Row],[author_es]],autorest[author_es],autorest[language_es])</f>
        <v>Latín</v>
      </c>
      <c r="L1423" t="str">
        <f>_xlfn.XLOOKUP(frasest[[#This Row],[author_es]],autorest[author_es],autorest[language_la])</f>
        <v>Lingua Latina</v>
      </c>
      <c r="M1423" t="str">
        <f>_xlfn.XLOOKUP(frasest[[#This Row],[author_es]],autorest[author_es],autorest[nation_es])</f>
        <v>Alemania</v>
      </c>
      <c r="N1423" t="str">
        <f>_xlfn.XLOOKUP(frasest[[#This Row],[author_es]],autorest[author_es],autorest[nation_la])</f>
        <v>Germania</v>
      </c>
      <c r="O1423" t="str">
        <f>_xlfn.XLOOKUP(frasest[[#This Row],[author_es]],autorest[author_es],autorest[age_es])</f>
        <v>Edad Media</v>
      </c>
      <c r="P1423" t="str">
        <f>_xlfn.XLOOKUP(frasest[[#This Row],[author_es]],autorest[author_es],autorest[age_la])</f>
        <v>Medium Aevum</v>
      </c>
      <c r="Q1423" t="str">
        <f>_xlfn.XLOOKUP(frasest[[#This Row],[author_es]],autorest[author_es],autorest[image])</f>
        <v>https://i.ibb.co/6RxfDv6N/hildegarda.png</v>
      </c>
      <c r="R1423">
        <f>_xlfn.XLOOKUP(frasest[[#This Row],[author_es]],autorest[author_es],autorest[image_atr])</f>
        <v>0</v>
      </c>
    </row>
    <row r="1424" spans="1:18">
      <c r="A1424">
        <v>1423</v>
      </c>
      <c r="B1424" t="s">
        <v>4421</v>
      </c>
      <c r="C1424" t="s">
        <v>4422</v>
      </c>
      <c r="D1424" t="s">
        <v>4422</v>
      </c>
      <c r="E1424" t="s">
        <v>4417</v>
      </c>
      <c r="F1424" t="s">
        <v>4418</v>
      </c>
      <c r="G1424" t="str">
        <f>_xlfn.XLOOKUP(frasest[[#This Row],[author_es]],autorest[author_es],autorest[author_la])</f>
        <v>Hildegardis Bingensis</v>
      </c>
      <c r="H1424"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4"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4" t="str">
        <f>_xlfn.XLOOKUP(frasest[[#This Row],[author_es]],autorest[author_es],autorest[iso3691])</f>
        <v>la</v>
      </c>
      <c r="K1424" t="str">
        <f>_xlfn.XLOOKUP(frasest[[#This Row],[author_es]],autorest[author_es],autorest[language_es])</f>
        <v>Latín</v>
      </c>
      <c r="L1424" t="str">
        <f>_xlfn.XLOOKUP(frasest[[#This Row],[author_es]],autorest[author_es],autorest[language_la])</f>
        <v>Lingua Latina</v>
      </c>
      <c r="M1424" t="str">
        <f>_xlfn.XLOOKUP(frasest[[#This Row],[author_es]],autorest[author_es],autorest[nation_es])</f>
        <v>Alemania</v>
      </c>
      <c r="N1424" t="str">
        <f>_xlfn.XLOOKUP(frasest[[#This Row],[author_es]],autorest[author_es],autorest[nation_la])</f>
        <v>Germania</v>
      </c>
      <c r="O1424" t="str">
        <f>_xlfn.XLOOKUP(frasest[[#This Row],[author_es]],autorest[author_es],autorest[age_es])</f>
        <v>Edad Media</v>
      </c>
      <c r="P1424" t="str">
        <f>_xlfn.XLOOKUP(frasest[[#This Row],[author_es]],autorest[author_es],autorest[age_la])</f>
        <v>Medium Aevum</v>
      </c>
      <c r="Q1424" t="str">
        <f>_xlfn.XLOOKUP(frasest[[#This Row],[author_es]],autorest[author_es],autorest[image])</f>
        <v>https://i.ibb.co/6RxfDv6N/hildegarda.png</v>
      </c>
      <c r="R1424">
        <f>_xlfn.XLOOKUP(frasest[[#This Row],[author_es]],autorest[author_es],autorest[image_atr])</f>
        <v>0</v>
      </c>
    </row>
    <row r="1425" spans="1:18">
      <c r="A1425">
        <v>1424</v>
      </c>
      <c r="B1425" t="s">
        <v>4423</v>
      </c>
      <c r="C1425" t="s">
        <v>4424</v>
      </c>
      <c r="D1425" t="s">
        <v>4424</v>
      </c>
      <c r="E1425" t="s">
        <v>4417</v>
      </c>
      <c r="F1425" t="s">
        <v>4418</v>
      </c>
      <c r="G1425" t="str">
        <f>_xlfn.XLOOKUP(frasest[[#This Row],[author_es]],autorest[author_es],autorest[author_la])</f>
        <v>Hildegardis Bingensis</v>
      </c>
      <c r="H1425"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5"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5" t="str">
        <f>_xlfn.XLOOKUP(frasest[[#This Row],[author_es]],autorest[author_es],autorest[iso3691])</f>
        <v>la</v>
      </c>
      <c r="K1425" t="str">
        <f>_xlfn.XLOOKUP(frasest[[#This Row],[author_es]],autorest[author_es],autorest[language_es])</f>
        <v>Latín</v>
      </c>
      <c r="L1425" t="str">
        <f>_xlfn.XLOOKUP(frasest[[#This Row],[author_es]],autorest[author_es],autorest[language_la])</f>
        <v>Lingua Latina</v>
      </c>
      <c r="M1425" t="str">
        <f>_xlfn.XLOOKUP(frasest[[#This Row],[author_es]],autorest[author_es],autorest[nation_es])</f>
        <v>Alemania</v>
      </c>
      <c r="N1425" t="str">
        <f>_xlfn.XLOOKUP(frasest[[#This Row],[author_es]],autorest[author_es],autorest[nation_la])</f>
        <v>Germania</v>
      </c>
      <c r="O1425" t="str">
        <f>_xlfn.XLOOKUP(frasest[[#This Row],[author_es]],autorest[author_es],autorest[age_es])</f>
        <v>Edad Media</v>
      </c>
      <c r="P1425" t="str">
        <f>_xlfn.XLOOKUP(frasest[[#This Row],[author_es]],autorest[author_es],autorest[age_la])</f>
        <v>Medium Aevum</v>
      </c>
      <c r="Q1425" t="str">
        <f>_xlfn.XLOOKUP(frasest[[#This Row],[author_es]],autorest[author_es],autorest[image])</f>
        <v>https://i.ibb.co/6RxfDv6N/hildegarda.png</v>
      </c>
      <c r="R1425">
        <f>_xlfn.XLOOKUP(frasest[[#This Row],[author_es]],autorest[author_es],autorest[image_atr])</f>
        <v>0</v>
      </c>
    </row>
    <row r="1426" spans="1:18">
      <c r="A1426">
        <v>1425</v>
      </c>
      <c r="B1426" t="s">
        <v>4425</v>
      </c>
      <c r="C1426" t="s">
        <v>4426</v>
      </c>
      <c r="D1426" t="s">
        <v>4426</v>
      </c>
      <c r="E1426" t="s">
        <v>4417</v>
      </c>
      <c r="F1426" t="s">
        <v>4418</v>
      </c>
      <c r="G1426" t="str">
        <f>_xlfn.XLOOKUP(frasest[[#This Row],[author_es]],autorest[author_es],autorest[author_la])</f>
        <v>Hildegardis Bingensis</v>
      </c>
      <c r="H1426"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6"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6" t="str">
        <f>_xlfn.XLOOKUP(frasest[[#This Row],[author_es]],autorest[author_es],autorest[iso3691])</f>
        <v>la</v>
      </c>
      <c r="K1426" t="str">
        <f>_xlfn.XLOOKUP(frasest[[#This Row],[author_es]],autorest[author_es],autorest[language_es])</f>
        <v>Latín</v>
      </c>
      <c r="L1426" t="str">
        <f>_xlfn.XLOOKUP(frasest[[#This Row],[author_es]],autorest[author_es],autorest[language_la])</f>
        <v>Lingua Latina</v>
      </c>
      <c r="M1426" t="str">
        <f>_xlfn.XLOOKUP(frasest[[#This Row],[author_es]],autorest[author_es],autorest[nation_es])</f>
        <v>Alemania</v>
      </c>
      <c r="N1426" t="str">
        <f>_xlfn.XLOOKUP(frasest[[#This Row],[author_es]],autorest[author_es],autorest[nation_la])</f>
        <v>Germania</v>
      </c>
      <c r="O1426" t="str">
        <f>_xlfn.XLOOKUP(frasest[[#This Row],[author_es]],autorest[author_es],autorest[age_es])</f>
        <v>Edad Media</v>
      </c>
      <c r="P1426" t="str">
        <f>_xlfn.XLOOKUP(frasest[[#This Row],[author_es]],autorest[author_es],autorest[age_la])</f>
        <v>Medium Aevum</v>
      </c>
      <c r="Q1426" t="str">
        <f>_xlfn.XLOOKUP(frasest[[#This Row],[author_es]],autorest[author_es],autorest[image])</f>
        <v>https://i.ibb.co/6RxfDv6N/hildegarda.png</v>
      </c>
      <c r="R1426">
        <f>_xlfn.XLOOKUP(frasest[[#This Row],[author_es]],autorest[author_es],autorest[image_atr])</f>
        <v>0</v>
      </c>
    </row>
    <row r="1427" spans="1:18">
      <c r="A1427">
        <v>1426</v>
      </c>
      <c r="B1427" t="s">
        <v>4427</v>
      </c>
      <c r="C1427" t="s">
        <v>4428</v>
      </c>
      <c r="D1427" t="s">
        <v>4428</v>
      </c>
      <c r="E1427" t="s">
        <v>4417</v>
      </c>
      <c r="F1427" t="s">
        <v>4418</v>
      </c>
      <c r="G1427" t="str">
        <f>_xlfn.XLOOKUP(frasest[[#This Row],[author_es]],autorest[author_es],autorest[author_la])</f>
        <v>Hildegardis Bingensis</v>
      </c>
      <c r="H1427"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7"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7" t="str">
        <f>_xlfn.XLOOKUP(frasest[[#This Row],[author_es]],autorest[author_es],autorest[iso3691])</f>
        <v>la</v>
      </c>
      <c r="K1427" t="str">
        <f>_xlfn.XLOOKUP(frasest[[#This Row],[author_es]],autorest[author_es],autorest[language_es])</f>
        <v>Latín</v>
      </c>
      <c r="L1427" t="str">
        <f>_xlfn.XLOOKUP(frasest[[#This Row],[author_es]],autorest[author_es],autorest[language_la])</f>
        <v>Lingua Latina</v>
      </c>
      <c r="M1427" t="str">
        <f>_xlfn.XLOOKUP(frasest[[#This Row],[author_es]],autorest[author_es],autorest[nation_es])</f>
        <v>Alemania</v>
      </c>
      <c r="N1427" t="str">
        <f>_xlfn.XLOOKUP(frasest[[#This Row],[author_es]],autorest[author_es],autorest[nation_la])</f>
        <v>Germania</v>
      </c>
      <c r="O1427" t="str">
        <f>_xlfn.XLOOKUP(frasest[[#This Row],[author_es]],autorest[author_es],autorest[age_es])</f>
        <v>Edad Media</v>
      </c>
      <c r="P1427" t="str">
        <f>_xlfn.XLOOKUP(frasest[[#This Row],[author_es]],autorest[author_es],autorest[age_la])</f>
        <v>Medium Aevum</v>
      </c>
      <c r="Q1427" t="str">
        <f>_xlfn.XLOOKUP(frasest[[#This Row],[author_es]],autorest[author_es],autorest[image])</f>
        <v>https://i.ibb.co/6RxfDv6N/hildegarda.png</v>
      </c>
      <c r="R1427">
        <f>_xlfn.XLOOKUP(frasest[[#This Row],[author_es]],autorest[author_es],autorest[image_atr])</f>
        <v>0</v>
      </c>
    </row>
    <row r="1428" spans="1:18">
      <c r="A1428">
        <v>1427</v>
      </c>
      <c r="B1428" t="s">
        <v>4429</v>
      </c>
      <c r="C1428" t="s">
        <v>4430</v>
      </c>
      <c r="D1428" t="s">
        <v>4430</v>
      </c>
      <c r="E1428" t="s">
        <v>4417</v>
      </c>
      <c r="F1428" t="s">
        <v>4418</v>
      </c>
      <c r="G1428" t="str">
        <f>_xlfn.XLOOKUP(frasest[[#This Row],[author_es]],autorest[author_es],autorest[author_la])</f>
        <v>Hildegardis Bingensis</v>
      </c>
      <c r="H1428"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8"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8" t="str">
        <f>_xlfn.XLOOKUP(frasest[[#This Row],[author_es]],autorest[author_es],autorest[iso3691])</f>
        <v>la</v>
      </c>
      <c r="K1428" t="str">
        <f>_xlfn.XLOOKUP(frasest[[#This Row],[author_es]],autorest[author_es],autorest[language_es])</f>
        <v>Latín</v>
      </c>
      <c r="L1428" t="str">
        <f>_xlfn.XLOOKUP(frasest[[#This Row],[author_es]],autorest[author_es],autorest[language_la])</f>
        <v>Lingua Latina</v>
      </c>
      <c r="M1428" t="str">
        <f>_xlfn.XLOOKUP(frasest[[#This Row],[author_es]],autorest[author_es],autorest[nation_es])</f>
        <v>Alemania</v>
      </c>
      <c r="N1428" t="str">
        <f>_xlfn.XLOOKUP(frasest[[#This Row],[author_es]],autorest[author_es],autorest[nation_la])</f>
        <v>Germania</v>
      </c>
      <c r="O1428" t="str">
        <f>_xlfn.XLOOKUP(frasest[[#This Row],[author_es]],autorest[author_es],autorest[age_es])</f>
        <v>Edad Media</v>
      </c>
      <c r="P1428" t="str">
        <f>_xlfn.XLOOKUP(frasest[[#This Row],[author_es]],autorest[author_es],autorest[age_la])</f>
        <v>Medium Aevum</v>
      </c>
      <c r="Q1428" t="str">
        <f>_xlfn.XLOOKUP(frasest[[#This Row],[author_es]],autorest[author_es],autorest[image])</f>
        <v>https://i.ibb.co/6RxfDv6N/hildegarda.png</v>
      </c>
      <c r="R1428">
        <f>_xlfn.XLOOKUP(frasest[[#This Row],[author_es]],autorest[author_es],autorest[image_atr])</f>
        <v>0</v>
      </c>
    </row>
    <row r="1429" spans="1:18">
      <c r="A1429">
        <v>1428</v>
      </c>
      <c r="B1429" t="s">
        <v>4431</v>
      </c>
      <c r="C1429" t="s">
        <v>4432</v>
      </c>
      <c r="D1429" t="s">
        <v>4432</v>
      </c>
      <c r="E1429" t="s">
        <v>4417</v>
      </c>
      <c r="F1429" t="s">
        <v>4418</v>
      </c>
      <c r="G1429" t="str">
        <f>_xlfn.XLOOKUP(frasest[[#This Row],[author_es]],autorest[author_es],autorest[author_la])</f>
        <v>Hildegardis Bingensis</v>
      </c>
      <c r="H1429"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9"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9" t="str">
        <f>_xlfn.XLOOKUP(frasest[[#This Row],[author_es]],autorest[author_es],autorest[iso3691])</f>
        <v>la</v>
      </c>
      <c r="K1429" t="str">
        <f>_xlfn.XLOOKUP(frasest[[#This Row],[author_es]],autorest[author_es],autorest[language_es])</f>
        <v>Latín</v>
      </c>
      <c r="L1429" t="str">
        <f>_xlfn.XLOOKUP(frasest[[#This Row],[author_es]],autorest[author_es],autorest[language_la])</f>
        <v>Lingua Latina</v>
      </c>
      <c r="M1429" t="str">
        <f>_xlfn.XLOOKUP(frasest[[#This Row],[author_es]],autorest[author_es],autorest[nation_es])</f>
        <v>Alemania</v>
      </c>
      <c r="N1429" t="str">
        <f>_xlfn.XLOOKUP(frasest[[#This Row],[author_es]],autorest[author_es],autorest[nation_la])</f>
        <v>Germania</v>
      </c>
      <c r="O1429" t="str">
        <f>_xlfn.XLOOKUP(frasest[[#This Row],[author_es]],autorest[author_es],autorest[age_es])</f>
        <v>Edad Media</v>
      </c>
      <c r="P1429" t="str">
        <f>_xlfn.XLOOKUP(frasest[[#This Row],[author_es]],autorest[author_es],autorest[age_la])</f>
        <v>Medium Aevum</v>
      </c>
      <c r="Q1429" t="str">
        <f>_xlfn.XLOOKUP(frasest[[#This Row],[author_es]],autorest[author_es],autorest[image])</f>
        <v>https://i.ibb.co/6RxfDv6N/hildegarda.png</v>
      </c>
      <c r="R1429">
        <f>_xlfn.XLOOKUP(frasest[[#This Row],[author_es]],autorest[author_es],autorest[image_atr])</f>
        <v>0</v>
      </c>
    </row>
    <row r="1430" spans="1:18">
      <c r="A1430">
        <v>1429</v>
      </c>
      <c r="B1430" t="s">
        <v>4433</v>
      </c>
      <c r="C1430" t="s">
        <v>4434</v>
      </c>
      <c r="D1430" t="s">
        <v>4434</v>
      </c>
      <c r="E1430" t="s">
        <v>4417</v>
      </c>
      <c r="F1430" t="s">
        <v>4418</v>
      </c>
      <c r="G1430" t="str">
        <f>_xlfn.XLOOKUP(frasest[[#This Row],[author_es]],autorest[author_es],autorest[author_la])</f>
        <v>Hildegardis Bingensis</v>
      </c>
      <c r="H1430"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0"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0" t="str">
        <f>_xlfn.XLOOKUP(frasest[[#This Row],[author_es]],autorest[author_es],autorest[iso3691])</f>
        <v>la</v>
      </c>
      <c r="K1430" t="str">
        <f>_xlfn.XLOOKUP(frasest[[#This Row],[author_es]],autorest[author_es],autorest[language_es])</f>
        <v>Latín</v>
      </c>
      <c r="L1430" t="str">
        <f>_xlfn.XLOOKUP(frasest[[#This Row],[author_es]],autorest[author_es],autorest[language_la])</f>
        <v>Lingua Latina</v>
      </c>
      <c r="M1430" t="str">
        <f>_xlfn.XLOOKUP(frasest[[#This Row],[author_es]],autorest[author_es],autorest[nation_es])</f>
        <v>Alemania</v>
      </c>
      <c r="N1430" t="str">
        <f>_xlfn.XLOOKUP(frasest[[#This Row],[author_es]],autorest[author_es],autorest[nation_la])</f>
        <v>Germania</v>
      </c>
      <c r="O1430" t="str">
        <f>_xlfn.XLOOKUP(frasest[[#This Row],[author_es]],autorest[author_es],autorest[age_es])</f>
        <v>Edad Media</v>
      </c>
      <c r="P1430" t="str">
        <f>_xlfn.XLOOKUP(frasest[[#This Row],[author_es]],autorest[author_es],autorest[age_la])</f>
        <v>Medium Aevum</v>
      </c>
      <c r="Q1430" t="str">
        <f>_xlfn.XLOOKUP(frasest[[#This Row],[author_es]],autorest[author_es],autorest[image])</f>
        <v>https://i.ibb.co/6RxfDv6N/hildegarda.png</v>
      </c>
      <c r="R1430">
        <f>_xlfn.XLOOKUP(frasest[[#This Row],[author_es]],autorest[author_es],autorest[image_atr])</f>
        <v>0</v>
      </c>
    </row>
    <row r="1431" spans="1:18">
      <c r="A1431">
        <v>1430</v>
      </c>
      <c r="B1431" t="s">
        <v>4435</v>
      </c>
      <c r="C1431" t="s">
        <v>4436</v>
      </c>
      <c r="D1431" t="s">
        <v>4436</v>
      </c>
      <c r="E1431" t="s">
        <v>4417</v>
      </c>
      <c r="F1431" t="s">
        <v>4418</v>
      </c>
      <c r="G1431" t="str">
        <f>_xlfn.XLOOKUP(frasest[[#This Row],[author_es]],autorest[author_es],autorest[author_la])</f>
        <v>Hildegardis Bingensis</v>
      </c>
      <c r="H1431"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1"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1" t="str">
        <f>_xlfn.XLOOKUP(frasest[[#This Row],[author_es]],autorest[author_es],autorest[iso3691])</f>
        <v>la</v>
      </c>
      <c r="K1431" t="str">
        <f>_xlfn.XLOOKUP(frasest[[#This Row],[author_es]],autorest[author_es],autorest[language_es])</f>
        <v>Latín</v>
      </c>
      <c r="L1431" t="str">
        <f>_xlfn.XLOOKUP(frasest[[#This Row],[author_es]],autorest[author_es],autorest[language_la])</f>
        <v>Lingua Latina</v>
      </c>
      <c r="M1431" t="str">
        <f>_xlfn.XLOOKUP(frasest[[#This Row],[author_es]],autorest[author_es],autorest[nation_es])</f>
        <v>Alemania</v>
      </c>
      <c r="N1431" t="str">
        <f>_xlfn.XLOOKUP(frasest[[#This Row],[author_es]],autorest[author_es],autorest[nation_la])</f>
        <v>Germania</v>
      </c>
      <c r="O1431" t="str">
        <f>_xlfn.XLOOKUP(frasest[[#This Row],[author_es]],autorest[author_es],autorest[age_es])</f>
        <v>Edad Media</v>
      </c>
      <c r="P1431" t="str">
        <f>_xlfn.XLOOKUP(frasest[[#This Row],[author_es]],autorest[author_es],autorest[age_la])</f>
        <v>Medium Aevum</v>
      </c>
      <c r="Q1431" t="str">
        <f>_xlfn.XLOOKUP(frasest[[#This Row],[author_es]],autorest[author_es],autorest[image])</f>
        <v>https://i.ibb.co/6RxfDv6N/hildegarda.png</v>
      </c>
      <c r="R1431">
        <f>_xlfn.XLOOKUP(frasest[[#This Row],[author_es]],autorest[author_es],autorest[image_atr])</f>
        <v>0</v>
      </c>
    </row>
    <row r="1432" spans="1:18">
      <c r="A1432">
        <v>1431</v>
      </c>
      <c r="B1432" t="s">
        <v>4437</v>
      </c>
      <c r="C1432" t="s">
        <v>4438</v>
      </c>
      <c r="D1432" t="s">
        <v>4438</v>
      </c>
      <c r="E1432" t="s">
        <v>4417</v>
      </c>
      <c r="F1432" t="s">
        <v>4418</v>
      </c>
      <c r="G1432" t="str">
        <f>_xlfn.XLOOKUP(frasest[[#This Row],[author_es]],autorest[author_es],autorest[author_la])</f>
        <v>Hildegardis Bingensis</v>
      </c>
      <c r="H143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2" t="str">
        <f>_xlfn.XLOOKUP(frasest[[#This Row],[author_es]],autorest[author_es],autorest[iso3691])</f>
        <v>la</v>
      </c>
      <c r="K1432" t="str">
        <f>_xlfn.XLOOKUP(frasest[[#This Row],[author_es]],autorest[author_es],autorest[language_es])</f>
        <v>Latín</v>
      </c>
      <c r="L1432" t="str">
        <f>_xlfn.XLOOKUP(frasest[[#This Row],[author_es]],autorest[author_es],autorest[language_la])</f>
        <v>Lingua Latina</v>
      </c>
      <c r="M1432" t="str">
        <f>_xlfn.XLOOKUP(frasest[[#This Row],[author_es]],autorest[author_es],autorest[nation_es])</f>
        <v>Alemania</v>
      </c>
      <c r="N1432" t="str">
        <f>_xlfn.XLOOKUP(frasest[[#This Row],[author_es]],autorest[author_es],autorest[nation_la])</f>
        <v>Germania</v>
      </c>
      <c r="O1432" t="str">
        <f>_xlfn.XLOOKUP(frasest[[#This Row],[author_es]],autorest[author_es],autorest[age_es])</f>
        <v>Edad Media</v>
      </c>
      <c r="P1432" t="str">
        <f>_xlfn.XLOOKUP(frasest[[#This Row],[author_es]],autorest[author_es],autorest[age_la])</f>
        <v>Medium Aevum</v>
      </c>
      <c r="Q1432" t="str">
        <f>_xlfn.XLOOKUP(frasest[[#This Row],[author_es]],autorest[author_es],autorest[image])</f>
        <v>https://i.ibb.co/6RxfDv6N/hildegarda.png</v>
      </c>
      <c r="R1432">
        <f>_xlfn.XLOOKUP(frasest[[#This Row],[author_es]],autorest[author_es],autorest[image_atr])</f>
        <v>0</v>
      </c>
    </row>
    <row r="1433" spans="1:18">
      <c r="A1433">
        <v>1432</v>
      </c>
      <c r="B1433" t="s">
        <v>4439</v>
      </c>
      <c r="C1433" t="s">
        <v>4440</v>
      </c>
      <c r="D1433" t="s">
        <v>4440</v>
      </c>
      <c r="E1433" t="s">
        <v>4417</v>
      </c>
      <c r="F1433" t="s">
        <v>4418</v>
      </c>
      <c r="G1433" t="str">
        <f>_xlfn.XLOOKUP(frasest[[#This Row],[author_es]],autorest[author_es],autorest[author_la])</f>
        <v>Hildegardis Bingensis</v>
      </c>
      <c r="H143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3" t="str">
        <f>_xlfn.XLOOKUP(frasest[[#This Row],[author_es]],autorest[author_es],autorest[iso3691])</f>
        <v>la</v>
      </c>
      <c r="K1433" t="str">
        <f>_xlfn.XLOOKUP(frasest[[#This Row],[author_es]],autorest[author_es],autorest[language_es])</f>
        <v>Latín</v>
      </c>
      <c r="L1433" t="str">
        <f>_xlfn.XLOOKUP(frasest[[#This Row],[author_es]],autorest[author_es],autorest[language_la])</f>
        <v>Lingua Latina</v>
      </c>
      <c r="M1433" t="str">
        <f>_xlfn.XLOOKUP(frasest[[#This Row],[author_es]],autorest[author_es],autorest[nation_es])</f>
        <v>Alemania</v>
      </c>
      <c r="N1433" t="str">
        <f>_xlfn.XLOOKUP(frasest[[#This Row],[author_es]],autorest[author_es],autorest[nation_la])</f>
        <v>Germania</v>
      </c>
      <c r="O1433" t="str">
        <f>_xlfn.XLOOKUP(frasest[[#This Row],[author_es]],autorest[author_es],autorest[age_es])</f>
        <v>Edad Media</v>
      </c>
      <c r="P1433" t="str">
        <f>_xlfn.XLOOKUP(frasest[[#This Row],[author_es]],autorest[author_es],autorest[age_la])</f>
        <v>Medium Aevum</v>
      </c>
      <c r="Q1433" t="str">
        <f>_xlfn.XLOOKUP(frasest[[#This Row],[author_es]],autorest[author_es],autorest[image])</f>
        <v>https://i.ibb.co/6RxfDv6N/hildegarda.png</v>
      </c>
      <c r="R1433">
        <f>_xlfn.XLOOKUP(frasest[[#This Row],[author_es]],autorest[author_es],autorest[image_atr])</f>
        <v>0</v>
      </c>
    </row>
    <row r="1434" spans="1:18">
      <c r="A1434">
        <v>1433</v>
      </c>
      <c r="B1434" t="s">
        <v>4441</v>
      </c>
      <c r="C1434" t="s">
        <v>4442</v>
      </c>
      <c r="D1434" t="s">
        <v>4442</v>
      </c>
      <c r="E1434" t="s">
        <v>4443</v>
      </c>
      <c r="F1434" t="s">
        <v>4444</v>
      </c>
      <c r="G1434" t="str">
        <f>_xlfn.XLOOKUP(frasest[[#This Row],[author_es]],autorest[author_es],autorest[author_la])</f>
        <v>Magister Eckhart</v>
      </c>
      <c r="H143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4" t="str">
        <f>_xlfn.XLOOKUP(frasest[[#This Row],[author_es]],autorest[author_es],autorest[bio_la])</f>
        <v>Theologus et mysticus Dominicanus Germanicus fundator mysticae Rhenanae notus pro sermonibus paradoxis de detractione unione cum Deo et praesentia divina in anima magister theologiae Parisiis</v>
      </c>
      <c r="J1434" t="str">
        <f>_xlfn.XLOOKUP(frasest[[#This Row],[author_es]],autorest[author_es],autorest[iso3691])</f>
        <v>la</v>
      </c>
      <c r="K1434" t="str">
        <f>_xlfn.XLOOKUP(frasest[[#This Row],[author_es]],autorest[author_es],autorest[language_es])</f>
        <v>Latín</v>
      </c>
      <c r="L1434" t="str">
        <f>_xlfn.XLOOKUP(frasest[[#This Row],[author_es]],autorest[author_es],autorest[language_la])</f>
        <v>Lingua Latina</v>
      </c>
      <c r="M1434" t="str">
        <f>_xlfn.XLOOKUP(frasest[[#This Row],[author_es]],autorest[author_es],autorest[nation_es])</f>
        <v>Alemania</v>
      </c>
      <c r="N1434" t="str">
        <f>_xlfn.XLOOKUP(frasest[[#This Row],[author_es]],autorest[author_es],autorest[nation_la])</f>
        <v>Germania</v>
      </c>
      <c r="O1434" t="str">
        <f>_xlfn.XLOOKUP(frasest[[#This Row],[author_es]],autorest[author_es],autorest[age_es])</f>
        <v>Edad Media</v>
      </c>
      <c r="P1434" t="str">
        <f>_xlfn.XLOOKUP(frasest[[#This Row],[author_es]],autorest[author_es],autorest[age_la])</f>
        <v>Medium Aevum</v>
      </c>
      <c r="Q1434" t="str">
        <f>_xlfn.XLOOKUP(frasest[[#This Row],[author_es]],autorest[author_es],autorest[image])</f>
        <v>https://i.ibb.co/WCsSjKp/eckhart.png</v>
      </c>
      <c r="R1434">
        <f>_xlfn.XLOOKUP(frasest[[#This Row],[author_es]],autorest[author_es],autorest[image_atr])</f>
        <v>0</v>
      </c>
    </row>
    <row r="1435" spans="1:18">
      <c r="A1435">
        <v>1434</v>
      </c>
      <c r="B1435" t="s">
        <v>4445</v>
      </c>
      <c r="C1435" t="s">
        <v>4446</v>
      </c>
      <c r="D1435" t="s">
        <v>4446</v>
      </c>
      <c r="E1435" t="s">
        <v>4443</v>
      </c>
      <c r="F1435" t="s">
        <v>4444</v>
      </c>
      <c r="G1435" t="str">
        <f>_xlfn.XLOOKUP(frasest[[#This Row],[author_es]],autorest[author_es],autorest[author_la])</f>
        <v>Magister Eckhart</v>
      </c>
      <c r="H143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5" t="str">
        <f>_xlfn.XLOOKUP(frasest[[#This Row],[author_es]],autorest[author_es],autorest[bio_la])</f>
        <v>Theologus et mysticus Dominicanus Germanicus fundator mysticae Rhenanae notus pro sermonibus paradoxis de detractione unione cum Deo et praesentia divina in anima magister theologiae Parisiis</v>
      </c>
      <c r="J1435" t="str">
        <f>_xlfn.XLOOKUP(frasest[[#This Row],[author_es]],autorest[author_es],autorest[iso3691])</f>
        <v>la</v>
      </c>
      <c r="K1435" t="str">
        <f>_xlfn.XLOOKUP(frasest[[#This Row],[author_es]],autorest[author_es],autorest[language_es])</f>
        <v>Latín</v>
      </c>
      <c r="L1435" t="str">
        <f>_xlfn.XLOOKUP(frasest[[#This Row],[author_es]],autorest[author_es],autorest[language_la])</f>
        <v>Lingua Latina</v>
      </c>
      <c r="M1435" t="str">
        <f>_xlfn.XLOOKUP(frasest[[#This Row],[author_es]],autorest[author_es],autorest[nation_es])</f>
        <v>Alemania</v>
      </c>
      <c r="N1435" t="str">
        <f>_xlfn.XLOOKUP(frasest[[#This Row],[author_es]],autorest[author_es],autorest[nation_la])</f>
        <v>Germania</v>
      </c>
      <c r="O1435" t="str">
        <f>_xlfn.XLOOKUP(frasest[[#This Row],[author_es]],autorest[author_es],autorest[age_es])</f>
        <v>Edad Media</v>
      </c>
      <c r="P1435" t="str">
        <f>_xlfn.XLOOKUP(frasest[[#This Row],[author_es]],autorest[author_es],autorest[age_la])</f>
        <v>Medium Aevum</v>
      </c>
      <c r="Q1435" t="str">
        <f>_xlfn.XLOOKUP(frasest[[#This Row],[author_es]],autorest[author_es],autorest[image])</f>
        <v>https://i.ibb.co/WCsSjKp/eckhart.png</v>
      </c>
      <c r="R1435">
        <f>_xlfn.XLOOKUP(frasest[[#This Row],[author_es]],autorest[author_es],autorest[image_atr])</f>
        <v>0</v>
      </c>
    </row>
    <row r="1436" spans="1:18">
      <c r="A1436">
        <v>1435</v>
      </c>
      <c r="B1436" t="s">
        <v>4447</v>
      </c>
      <c r="C1436" t="s">
        <v>4448</v>
      </c>
      <c r="D1436" t="s">
        <v>4448</v>
      </c>
      <c r="E1436" t="s">
        <v>4443</v>
      </c>
      <c r="F1436" t="s">
        <v>4444</v>
      </c>
      <c r="G1436" t="str">
        <f>_xlfn.XLOOKUP(frasest[[#This Row],[author_es]],autorest[author_es],autorest[author_la])</f>
        <v>Magister Eckhart</v>
      </c>
      <c r="H143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6" t="str">
        <f>_xlfn.XLOOKUP(frasest[[#This Row],[author_es]],autorest[author_es],autorest[bio_la])</f>
        <v>Theologus et mysticus Dominicanus Germanicus fundator mysticae Rhenanae notus pro sermonibus paradoxis de detractione unione cum Deo et praesentia divina in anima magister theologiae Parisiis</v>
      </c>
      <c r="J1436" t="str">
        <f>_xlfn.XLOOKUP(frasest[[#This Row],[author_es]],autorest[author_es],autorest[iso3691])</f>
        <v>la</v>
      </c>
      <c r="K1436" t="str">
        <f>_xlfn.XLOOKUP(frasest[[#This Row],[author_es]],autorest[author_es],autorest[language_es])</f>
        <v>Latín</v>
      </c>
      <c r="L1436" t="str">
        <f>_xlfn.XLOOKUP(frasest[[#This Row],[author_es]],autorest[author_es],autorest[language_la])</f>
        <v>Lingua Latina</v>
      </c>
      <c r="M1436" t="str">
        <f>_xlfn.XLOOKUP(frasest[[#This Row],[author_es]],autorest[author_es],autorest[nation_es])</f>
        <v>Alemania</v>
      </c>
      <c r="N1436" t="str">
        <f>_xlfn.XLOOKUP(frasest[[#This Row],[author_es]],autorest[author_es],autorest[nation_la])</f>
        <v>Germania</v>
      </c>
      <c r="O1436" t="str">
        <f>_xlfn.XLOOKUP(frasest[[#This Row],[author_es]],autorest[author_es],autorest[age_es])</f>
        <v>Edad Media</v>
      </c>
      <c r="P1436" t="str">
        <f>_xlfn.XLOOKUP(frasest[[#This Row],[author_es]],autorest[author_es],autorest[age_la])</f>
        <v>Medium Aevum</v>
      </c>
      <c r="Q1436" t="str">
        <f>_xlfn.XLOOKUP(frasest[[#This Row],[author_es]],autorest[author_es],autorest[image])</f>
        <v>https://i.ibb.co/WCsSjKp/eckhart.png</v>
      </c>
      <c r="R1436">
        <f>_xlfn.XLOOKUP(frasest[[#This Row],[author_es]],autorest[author_es],autorest[image_atr])</f>
        <v>0</v>
      </c>
    </row>
    <row r="1437" spans="1:18">
      <c r="A1437">
        <v>1436</v>
      </c>
      <c r="B1437" t="s">
        <v>4449</v>
      </c>
      <c r="C1437" t="s">
        <v>4450</v>
      </c>
      <c r="D1437" t="s">
        <v>4450</v>
      </c>
      <c r="E1437" t="s">
        <v>4443</v>
      </c>
      <c r="F1437" t="s">
        <v>4444</v>
      </c>
      <c r="G1437" t="str">
        <f>_xlfn.XLOOKUP(frasest[[#This Row],[author_es]],autorest[author_es],autorest[author_la])</f>
        <v>Magister Eckhart</v>
      </c>
      <c r="H143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7" t="str">
        <f>_xlfn.XLOOKUP(frasest[[#This Row],[author_es]],autorest[author_es],autorest[bio_la])</f>
        <v>Theologus et mysticus Dominicanus Germanicus fundator mysticae Rhenanae notus pro sermonibus paradoxis de detractione unione cum Deo et praesentia divina in anima magister theologiae Parisiis</v>
      </c>
      <c r="J1437" t="str">
        <f>_xlfn.XLOOKUP(frasest[[#This Row],[author_es]],autorest[author_es],autorest[iso3691])</f>
        <v>la</v>
      </c>
      <c r="K1437" t="str">
        <f>_xlfn.XLOOKUP(frasest[[#This Row],[author_es]],autorest[author_es],autorest[language_es])</f>
        <v>Latín</v>
      </c>
      <c r="L1437" t="str">
        <f>_xlfn.XLOOKUP(frasest[[#This Row],[author_es]],autorest[author_es],autorest[language_la])</f>
        <v>Lingua Latina</v>
      </c>
      <c r="M1437" t="str">
        <f>_xlfn.XLOOKUP(frasest[[#This Row],[author_es]],autorest[author_es],autorest[nation_es])</f>
        <v>Alemania</v>
      </c>
      <c r="N1437" t="str">
        <f>_xlfn.XLOOKUP(frasest[[#This Row],[author_es]],autorest[author_es],autorest[nation_la])</f>
        <v>Germania</v>
      </c>
      <c r="O1437" t="str">
        <f>_xlfn.XLOOKUP(frasest[[#This Row],[author_es]],autorest[author_es],autorest[age_es])</f>
        <v>Edad Media</v>
      </c>
      <c r="P1437" t="str">
        <f>_xlfn.XLOOKUP(frasest[[#This Row],[author_es]],autorest[author_es],autorest[age_la])</f>
        <v>Medium Aevum</v>
      </c>
      <c r="Q1437" t="str">
        <f>_xlfn.XLOOKUP(frasest[[#This Row],[author_es]],autorest[author_es],autorest[image])</f>
        <v>https://i.ibb.co/WCsSjKp/eckhart.png</v>
      </c>
      <c r="R1437">
        <f>_xlfn.XLOOKUP(frasest[[#This Row],[author_es]],autorest[author_es],autorest[image_atr])</f>
        <v>0</v>
      </c>
    </row>
    <row r="1438" spans="1:18">
      <c r="A1438">
        <v>1437</v>
      </c>
      <c r="B1438" t="s">
        <v>4451</v>
      </c>
      <c r="C1438" t="s">
        <v>4452</v>
      </c>
      <c r="D1438" t="s">
        <v>4452</v>
      </c>
      <c r="E1438" t="s">
        <v>4443</v>
      </c>
      <c r="F1438" t="s">
        <v>4444</v>
      </c>
      <c r="G1438" t="str">
        <f>_xlfn.XLOOKUP(frasest[[#This Row],[author_es]],autorest[author_es],autorest[author_la])</f>
        <v>Magister Eckhart</v>
      </c>
      <c r="H143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8" t="str">
        <f>_xlfn.XLOOKUP(frasest[[#This Row],[author_es]],autorest[author_es],autorest[bio_la])</f>
        <v>Theologus et mysticus Dominicanus Germanicus fundator mysticae Rhenanae notus pro sermonibus paradoxis de detractione unione cum Deo et praesentia divina in anima magister theologiae Parisiis</v>
      </c>
      <c r="J1438" t="str">
        <f>_xlfn.XLOOKUP(frasest[[#This Row],[author_es]],autorest[author_es],autorest[iso3691])</f>
        <v>la</v>
      </c>
      <c r="K1438" t="str">
        <f>_xlfn.XLOOKUP(frasest[[#This Row],[author_es]],autorest[author_es],autorest[language_es])</f>
        <v>Latín</v>
      </c>
      <c r="L1438" t="str">
        <f>_xlfn.XLOOKUP(frasest[[#This Row],[author_es]],autorest[author_es],autorest[language_la])</f>
        <v>Lingua Latina</v>
      </c>
      <c r="M1438" t="str">
        <f>_xlfn.XLOOKUP(frasest[[#This Row],[author_es]],autorest[author_es],autorest[nation_es])</f>
        <v>Alemania</v>
      </c>
      <c r="N1438" t="str">
        <f>_xlfn.XLOOKUP(frasest[[#This Row],[author_es]],autorest[author_es],autorest[nation_la])</f>
        <v>Germania</v>
      </c>
      <c r="O1438" t="str">
        <f>_xlfn.XLOOKUP(frasest[[#This Row],[author_es]],autorest[author_es],autorest[age_es])</f>
        <v>Edad Media</v>
      </c>
      <c r="P1438" t="str">
        <f>_xlfn.XLOOKUP(frasest[[#This Row],[author_es]],autorest[author_es],autorest[age_la])</f>
        <v>Medium Aevum</v>
      </c>
      <c r="Q1438" t="str">
        <f>_xlfn.XLOOKUP(frasest[[#This Row],[author_es]],autorest[author_es],autorest[image])</f>
        <v>https://i.ibb.co/WCsSjKp/eckhart.png</v>
      </c>
      <c r="R1438">
        <f>_xlfn.XLOOKUP(frasest[[#This Row],[author_es]],autorest[author_es],autorest[image_atr])</f>
        <v>0</v>
      </c>
    </row>
    <row r="1439" spans="1:18">
      <c r="A1439">
        <v>1438</v>
      </c>
      <c r="B1439" t="s">
        <v>4453</v>
      </c>
      <c r="C1439" t="s">
        <v>4454</v>
      </c>
      <c r="D1439" t="s">
        <v>4454</v>
      </c>
      <c r="E1439" t="s">
        <v>4443</v>
      </c>
      <c r="F1439" t="s">
        <v>4444</v>
      </c>
      <c r="G1439" t="str">
        <f>_xlfn.XLOOKUP(frasest[[#This Row],[author_es]],autorest[author_es],autorest[author_la])</f>
        <v>Magister Eckhart</v>
      </c>
      <c r="H143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9" t="str">
        <f>_xlfn.XLOOKUP(frasest[[#This Row],[author_es]],autorest[author_es],autorest[bio_la])</f>
        <v>Theologus et mysticus Dominicanus Germanicus fundator mysticae Rhenanae notus pro sermonibus paradoxis de detractione unione cum Deo et praesentia divina in anima magister theologiae Parisiis</v>
      </c>
      <c r="J1439" t="str">
        <f>_xlfn.XLOOKUP(frasest[[#This Row],[author_es]],autorest[author_es],autorest[iso3691])</f>
        <v>la</v>
      </c>
      <c r="K1439" t="str">
        <f>_xlfn.XLOOKUP(frasest[[#This Row],[author_es]],autorest[author_es],autorest[language_es])</f>
        <v>Latín</v>
      </c>
      <c r="L1439" t="str">
        <f>_xlfn.XLOOKUP(frasest[[#This Row],[author_es]],autorest[author_es],autorest[language_la])</f>
        <v>Lingua Latina</v>
      </c>
      <c r="M1439" t="str">
        <f>_xlfn.XLOOKUP(frasest[[#This Row],[author_es]],autorest[author_es],autorest[nation_es])</f>
        <v>Alemania</v>
      </c>
      <c r="N1439" t="str">
        <f>_xlfn.XLOOKUP(frasest[[#This Row],[author_es]],autorest[author_es],autorest[nation_la])</f>
        <v>Germania</v>
      </c>
      <c r="O1439" t="str">
        <f>_xlfn.XLOOKUP(frasest[[#This Row],[author_es]],autorest[author_es],autorest[age_es])</f>
        <v>Edad Media</v>
      </c>
      <c r="P1439" t="str">
        <f>_xlfn.XLOOKUP(frasest[[#This Row],[author_es]],autorest[author_es],autorest[age_la])</f>
        <v>Medium Aevum</v>
      </c>
      <c r="Q1439" t="str">
        <f>_xlfn.XLOOKUP(frasest[[#This Row],[author_es]],autorest[author_es],autorest[image])</f>
        <v>https://i.ibb.co/WCsSjKp/eckhart.png</v>
      </c>
      <c r="R1439">
        <f>_xlfn.XLOOKUP(frasest[[#This Row],[author_es]],autorest[author_es],autorest[image_atr])</f>
        <v>0</v>
      </c>
    </row>
    <row r="1440" spans="1:18">
      <c r="A1440">
        <v>1439</v>
      </c>
      <c r="B1440" t="s">
        <v>4455</v>
      </c>
      <c r="C1440" t="s">
        <v>4456</v>
      </c>
      <c r="D1440" t="s">
        <v>4456</v>
      </c>
      <c r="E1440" t="s">
        <v>4443</v>
      </c>
      <c r="F1440" t="s">
        <v>4444</v>
      </c>
      <c r="G1440" t="str">
        <f>_xlfn.XLOOKUP(frasest[[#This Row],[author_es]],autorest[author_es],autorest[author_la])</f>
        <v>Magister Eckhart</v>
      </c>
      <c r="H1440"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0" t="str">
        <f>_xlfn.XLOOKUP(frasest[[#This Row],[author_es]],autorest[author_es],autorest[bio_la])</f>
        <v>Theologus et mysticus Dominicanus Germanicus fundator mysticae Rhenanae notus pro sermonibus paradoxis de detractione unione cum Deo et praesentia divina in anima magister theologiae Parisiis</v>
      </c>
      <c r="J1440" t="str">
        <f>_xlfn.XLOOKUP(frasest[[#This Row],[author_es]],autorest[author_es],autorest[iso3691])</f>
        <v>la</v>
      </c>
      <c r="K1440" t="str">
        <f>_xlfn.XLOOKUP(frasest[[#This Row],[author_es]],autorest[author_es],autorest[language_es])</f>
        <v>Latín</v>
      </c>
      <c r="L1440" t="str">
        <f>_xlfn.XLOOKUP(frasest[[#This Row],[author_es]],autorest[author_es],autorest[language_la])</f>
        <v>Lingua Latina</v>
      </c>
      <c r="M1440" t="str">
        <f>_xlfn.XLOOKUP(frasest[[#This Row],[author_es]],autorest[author_es],autorest[nation_es])</f>
        <v>Alemania</v>
      </c>
      <c r="N1440" t="str">
        <f>_xlfn.XLOOKUP(frasest[[#This Row],[author_es]],autorest[author_es],autorest[nation_la])</f>
        <v>Germania</v>
      </c>
      <c r="O1440" t="str">
        <f>_xlfn.XLOOKUP(frasest[[#This Row],[author_es]],autorest[author_es],autorest[age_es])</f>
        <v>Edad Media</v>
      </c>
      <c r="P1440" t="str">
        <f>_xlfn.XLOOKUP(frasest[[#This Row],[author_es]],autorest[author_es],autorest[age_la])</f>
        <v>Medium Aevum</v>
      </c>
      <c r="Q1440" t="str">
        <f>_xlfn.XLOOKUP(frasest[[#This Row],[author_es]],autorest[author_es],autorest[image])</f>
        <v>https://i.ibb.co/WCsSjKp/eckhart.png</v>
      </c>
      <c r="R1440">
        <f>_xlfn.XLOOKUP(frasest[[#This Row],[author_es]],autorest[author_es],autorest[image_atr])</f>
        <v>0</v>
      </c>
    </row>
    <row r="1441" spans="1:18">
      <c r="A1441">
        <v>1440</v>
      </c>
      <c r="B1441" t="s">
        <v>4457</v>
      </c>
      <c r="C1441" t="s">
        <v>4458</v>
      </c>
      <c r="D1441" t="s">
        <v>4458</v>
      </c>
      <c r="E1441" t="s">
        <v>4443</v>
      </c>
      <c r="F1441" t="s">
        <v>4444</v>
      </c>
      <c r="G1441" t="str">
        <f>_xlfn.XLOOKUP(frasest[[#This Row],[author_es]],autorest[author_es],autorest[author_la])</f>
        <v>Magister Eckhart</v>
      </c>
      <c r="H1441"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1" t="str">
        <f>_xlfn.XLOOKUP(frasest[[#This Row],[author_es]],autorest[author_es],autorest[bio_la])</f>
        <v>Theologus et mysticus Dominicanus Germanicus fundator mysticae Rhenanae notus pro sermonibus paradoxis de detractione unione cum Deo et praesentia divina in anima magister theologiae Parisiis</v>
      </c>
      <c r="J1441" t="str">
        <f>_xlfn.XLOOKUP(frasest[[#This Row],[author_es]],autorest[author_es],autorest[iso3691])</f>
        <v>la</v>
      </c>
      <c r="K1441" t="str">
        <f>_xlfn.XLOOKUP(frasest[[#This Row],[author_es]],autorest[author_es],autorest[language_es])</f>
        <v>Latín</v>
      </c>
      <c r="L1441" t="str">
        <f>_xlfn.XLOOKUP(frasest[[#This Row],[author_es]],autorest[author_es],autorest[language_la])</f>
        <v>Lingua Latina</v>
      </c>
      <c r="M1441" t="str">
        <f>_xlfn.XLOOKUP(frasest[[#This Row],[author_es]],autorest[author_es],autorest[nation_es])</f>
        <v>Alemania</v>
      </c>
      <c r="N1441" t="str">
        <f>_xlfn.XLOOKUP(frasest[[#This Row],[author_es]],autorest[author_es],autorest[nation_la])</f>
        <v>Germania</v>
      </c>
      <c r="O1441" t="str">
        <f>_xlfn.XLOOKUP(frasest[[#This Row],[author_es]],autorest[author_es],autorest[age_es])</f>
        <v>Edad Media</v>
      </c>
      <c r="P1441" t="str">
        <f>_xlfn.XLOOKUP(frasest[[#This Row],[author_es]],autorest[author_es],autorest[age_la])</f>
        <v>Medium Aevum</v>
      </c>
      <c r="Q1441" t="str">
        <f>_xlfn.XLOOKUP(frasest[[#This Row],[author_es]],autorest[author_es],autorest[image])</f>
        <v>https://i.ibb.co/WCsSjKp/eckhart.png</v>
      </c>
      <c r="R1441">
        <f>_xlfn.XLOOKUP(frasest[[#This Row],[author_es]],autorest[author_es],autorest[image_atr])</f>
        <v>0</v>
      </c>
    </row>
    <row r="1442" spans="1:18">
      <c r="A1442">
        <v>1441</v>
      </c>
      <c r="B1442" t="s">
        <v>4459</v>
      </c>
      <c r="C1442" t="s">
        <v>4460</v>
      </c>
      <c r="D1442" t="s">
        <v>4460</v>
      </c>
      <c r="E1442" t="s">
        <v>4443</v>
      </c>
      <c r="F1442" t="s">
        <v>4444</v>
      </c>
      <c r="G1442" t="str">
        <f>_xlfn.XLOOKUP(frasest[[#This Row],[author_es]],autorest[author_es],autorest[author_la])</f>
        <v>Magister Eckhart</v>
      </c>
      <c r="H1442"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2" t="str">
        <f>_xlfn.XLOOKUP(frasest[[#This Row],[author_es]],autorest[author_es],autorest[bio_la])</f>
        <v>Theologus et mysticus Dominicanus Germanicus fundator mysticae Rhenanae notus pro sermonibus paradoxis de detractione unione cum Deo et praesentia divina in anima magister theologiae Parisiis</v>
      </c>
      <c r="J1442" t="str">
        <f>_xlfn.XLOOKUP(frasest[[#This Row],[author_es]],autorest[author_es],autorest[iso3691])</f>
        <v>la</v>
      </c>
      <c r="K1442" t="str">
        <f>_xlfn.XLOOKUP(frasest[[#This Row],[author_es]],autorest[author_es],autorest[language_es])</f>
        <v>Latín</v>
      </c>
      <c r="L1442" t="str">
        <f>_xlfn.XLOOKUP(frasest[[#This Row],[author_es]],autorest[author_es],autorest[language_la])</f>
        <v>Lingua Latina</v>
      </c>
      <c r="M1442" t="str">
        <f>_xlfn.XLOOKUP(frasest[[#This Row],[author_es]],autorest[author_es],autorest[nation_es])</f>
        <v>Alemania</v>
      </c>
      <c r="N1442" t="str">
        <f>_xlfn.XLOOKUP(frasest[[#This Row],[author_es]],autorest[author_es],autorest[nation_la])</f>
        <v>Germania</v>
      </c>
      <c r="O1442" t="str">
        <f>_xlfn.XLOOKUP(frasest[[#This Row],[author_es]],autorest[author_es],autorest[age_es])</f>
        <v>Edad Media</v>
      </c>
      <c r="P1442" t="str">
        <f>_xlfn.XLOOKUP(frasest[[#This Row],[author_es]],autorest[author_es],autorest[age_la])</f>
        <v>Medium Aevum</v>
      </c>
      <c r="Q1442" t="str">
        <f>_xlfn.XLOOKUP(frasest[[#This Row],[author_es]],autorest[author_es],autorest[image])</f>
        <v>https://i.ibb.co/WCsSjKp/eckhart.png</v>
      </c>
      <c r="R1442">
        <f>_xlfn.XLOOKUP(frasest[[#This Row],[author_es]],autorest[author_es],autorest[image_atr])</f>
        <v>0</v>
      </c>
    </row>
    <row r="1443" spans="1:18">
      <c r="A1443">
        <v>1442</v>
      </c>
      <c r="B1443" t="s">
        <v>4461</v>
      </c>
      <c r="C1443" t="s">
        <v>4462</v>
      </c>
      <c r="D1443" t="s">
        <v>4462</v>
      </c>
      <c r="E1443" t="s">
        <v>4443</v>
      </c>
      <c r="F1443" t="s">
        <v>4444</v>
      </c>
      <c r="G1443" t="str">
        <f>_xlfn.XLOOKUP(frasest[[#This Row],[author_es]],autorest[author_es],autorest[author_la])</f>
        <v>Magister Eckhart</v>
      </c>
      <c r="H1443"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3" t="str">
        <f>_xlfn.XLOOKUP(frasest[[#This Row],[author_es]],autorest[author_es],autorest[bio_la])</f>
        <v>Theologus et mysticus Dominicanus Germanicus fundator mysticae Rhenanae notus pro sermonibus paradoxis de detractione unione cum Deo et praesentia divina in anima magister theologiae Parisiis</v>
      </c>
      <c r="J1443" t="str">
        <f>_xlfn.XLOOKUP(frasest[[#This Row],[author_es]],autorest[author_es],autorest[iso3691])</f>
        <v>la</v>
      </c>
      <c r="K1443" t="str">
        <f>_xlfn.XLOOKUP(frasest[[#This Row],[author_es]],autorest[author_es],autorest[language_es])</f>
        <v>Latín</v>
      </c>
      <c r="L1443" t="str">
        <f>_xlfn.XLOOKUP(frasest[[#This Row],[author_es]],autorest[author_es],autorest[language_la])</f>
        <v>Lingua Latina</v>
      </c>
      <c r="M1443" t="str">
        <f>_xlfn.XLOOKUP(frasest[[#This Row],[author_es]],autorest[author_es],autorest[nation_es])</f>
        <v>Alemania</v>
      </c>
      <c r="N1443" t="str">
        <f>_xlfn.XLOOKUP(frasest[[#This Row],[author_es]],autorest[author_es],autorest[nation_la])</f>
        <v>Germania</v>
      </c>
      <c r="O1443" t="str">
        <f>_xlfn.XLOOKUP(frasest[[#This Row],[author_es]],autorest[author_es],autorest[age_es])</f>
        <v>Edad Media</v>
      </c>
      <c r="P1443" t="str">
        <f>_xlfn.XLOOKUP(frasest[[#This Row],[author_es]],autorest[author_es],autorest[age_la])</f>
        <v>Medium Aevum</v>
      </c>
      <c r="Q1443" t="str">
        <f>_xlfn.XLOOKUP(frasest[[#This Row],[author_es]],autorest[author_es],autorest[image])</f>
        <v>https://i.ibb.co/WCsSjKp/eckhart.png</v>
      </c>
      <c r="R1443">
        <f>_xlfn.XLOOKUP(frasest[[#This Row],[author_es]],autorest[author_es],autorest[image_atr])</f>
        <v>0</v>
      </c>
    </row>
    <row r="1444" spans="1:18">
      <c r="A1444">
        <v>1443</v>
      </c>
      <c r="B1444" t="s">
        <v>4463</v>
      </c>
      <c r="C1444" t="s">
        <v>4464</v>
      </c>
      <c r="D1444" t="s">
        <v>4464</v>
      </c>
      <c r="E1444" t="s">
        <v>4443</v>
      </c>
      <c r="F1444" t="s">
        <v>4444</v>
      </c>
      <c r="G1444" t="str">
        <f>_xlfn.XLOOKUP(frasest[[#This Row],[author_es]],autorest[author_es],autorest[author_la])</f>
        <v>Magister Eckhart</v>
      </c>
      <c r="H144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4" t="str">
        <f>_xlfn.XLOOKUP(frasest[[#This Row],[author_es]],autorest[author_es],autorest[bio_la])</f>
        <v>Theologus et mysticus Dominicanus Germanicus fundator mysticae Rhenanae notus pro sermonibus paradoxis de detractione unione cum Deo et praesentia divina in anima magister theologiae Parisiis</v>
      </c>
      <c r="J1444" t="str">
        <f>_xlfn.XLOOKUP(frasest[[#This Row],[author_es]],autorest[author_es],autorest[iso3691])</f>
        <v>la</v>
      </c>
      <c r="K1444" t="str">
        <f>_xlfn.XLOOKUP(frasest[[#This Row],[author_es]],autorest[author_es],autorest[language_es])</f>
        <v>Latín</v>
      </c>
      <c r="L1444" t="str">
        <f>_xlfn.XLOOKUP(frasest[[#This Row],[author_es]],autorest[author_es],autorest[language_la])</f>
        <v>Lingua Latina</v>
      </c>
      <c r="M1444" t="str">
        <f>_xlfn.XLOOKUP(frasest[[#This Row],[author_es]],autorest[author_es],autorest[nation_es])</f>
        <v>Alemania</v>
      </c>
      <c r="N1444" t="str">
        <f>_xlfn.XLOOKUP(frasest[[#This Row],[author_es]],autorest[author_es],autorest[nation_la])</f>
        <v>Germania</v>
      </c>
      <c r="O1444" t="str">
        <f>_xlfn.XLOOKUP(frasest[[#This Row],[author_es]],autorest[author_es],autorest[age_es])</f>
        <v>Edad Media</v>
      </c>
      <c r="P1444" t="str">
        <f>_xlfn.XLOOKUP(frasest[[#This Row],[author_es]],autorest[author_es],autorest[age_la])</f>
        <v>Medium Aevum</v>
      </c>
      <c r="Q1444" t="str">
        <f>_xlfn.XLOOKUP(frasest[[#This Row],[author_es]],autorest[author_es],autorest[image])</f>
        <v>https://i.ibb.co/WCsSjKp/eckhart.png</v>
      </c>
      <c r="R1444">
        <f>_xlfn.XLOOKUP(frasest[[#This Row],[author_es]],autorest[author_es],autorest[image_atr])</f>
        <v>0</v>
      </c>
    </row>
    <row r="1445" spans="1:18">
      <c r="A1445">
        <v>1444</v>
      </c>
      <c r="B1445" t="s">
        <v>4465</v>
      </c>
      <c r="C1445" t="s">
        <v>4466</v>
      </c>
      <c r="D1445" t="s">
        <v>4466</v>
      </c>
      <c r="E1445" t="s">
        <v>4443</v>
      </c>
      <c r="F1445" t="s">
        <v>4444</v>
      </c>
      <c r="G1445" t="str">
        <f>_xlfn.XLOOKUP(frasest[[#This Row],[author_es]],autorest[author_es],autorest[author_la])</f>
        <v>Magister Eckhart</v>
      </c>
      <c r="H144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5" t="str">
        <f>_xlfn.XLOOKUP(frasest[[#This Row],[author_es]],autorest[author_es],autorest[bio_la])</f>
        <v>Theologus et mysticus Dominicanus Germanicus fundator mysticae Rhenanae notus pro sermonibus paradoxis de detractione unione cum Deo et praesentia divina in anima magister theologiae Parisiis</v>
      </c>
      <c r="J1445" t="str">
        <f>_xlfn.XLOOKUP(frasest[[#This Row],[author_es]],autorest[author_es],autorest[iso3691])</f>
        <v>la</v>
      </c>
      <c r="K1445" t="str">
        <f>_xlfn.XLOOKUP(frasest[[#This Row],[author_es]],autorest[author_es],autorest[language_es])</f>
        <v>Latín</v>
      </c>
      <c r="L1445" t="str">
        <f>_xlfn.XLOOKUP(frasest[[#This Row],[author_es]],autorest[author_es],autorest[language_la])</f>
        <v>Lingua Latina</v>
      </c>
      <c r="M1445" t="str">
        <f>_xlfn.XLOOKUP(frasest[[#This Row],[author_es]],autorest[author_es],autorest[nation_es])</f>
        <v>Alemania</v>
      </c>
      <c r="N1445" t="str">
        <f>_xlfn.XLOOKUP(frasest[[#This Row],[author_es]],autorest[author_es],autorest[nation_la])</f>
        <v>Germania</v>
      </c>
      <c r="O1445" t="str">
        <f>_xlfn.XLOOKUP(frasest[[#This Row],[author_es]],autorest[author_es],autorest[age_es])</f>
        <v>Edad Media</v>
      </c>
      <c r="P1445" t="str">
        <f>_xlfn.XLOOKUP(frasest[[#This Row],[author_es]],autorest[author_es],autorest[age_la])</f>
        <v>Medium Aevum</v>
      </c>
      <c r="Q1445" t="str">
        <f>_xlfn.XLOOKUP(frasest[[#This Row],[author_es]],autorest[author_es],autorest[image])</f>
        <v>https://i.ibb.co/WCsSjKp/eckhart.png</v>
      </c>
      <c r="R1445">
        <f>_xlfn.XLOOKUP(frasest[[#This Row],[author_es]],autorest[author_es],autorest[image_atr])</f>
        <v>0</v>
      </c>
    </row>
    <row r="1446" spans="1:18">
      <c r="A1446">
        <v>1445</v>
      </c>
      <c r="B1446" t="s">
        <v>4467</v>
      </c>
      <c r="C1446" t="s">
        <v>4468</v>
      </c>
      <c r="D1446" t="s">
        <v>4468</v>
      </c>
      <c r="E1446" t="s">
        <v>4443</v>
      </c>
      <c r="F1446" t="s">
        <v>4444</v>
      </c>
      <c r="G1446" t="str">
        <f>_xlfn.XLOOKUP(frasest[[#This Row],[author_es]],autorest[author_es],autorest[author_la])</f>
        <v>Magister Eckhart</v>
      </c>
      <c r="H144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6" t="str">
        <f>_xlfn.XLOOKUP(frasest[[#This Row],[author_es]],autorest[author_es],autorest[bio_la])</f>
        <v>Theologus et mysticus Dominicanus Germanicus fundator mysticae Rhenanae notus pro sermonibus paradoxis de detractione unione cum Deo et praesentia divina in anima magister theologiae Parisiis</v>
      </c>
      <c r="J1446" t="str">
        <f>_xlfn.XLOOKUP(frasest[[#This Row],[author_es]],autorest[author_es],autorest[iso3691])</f>
        <v>la</v>
      </c>
      <c r="K1446" t="str">
        <f>_xlfn.XLOOKUP(frasest[[#This Row],[author_es]],autorest[author_es],autorest[language_es])</f>
        <v>Latín</v>
      </c>
      <c r="L1446" t="str">
        <f>_xlfn.XLOOKUP(frasest[[#This Row],[author_es]],autorest[author_es],autorest[language_la])</f>
        <v>Lingua Latina</v>
      </c>
      <c r="M1446" t="str">
        <f>_xlfn.XLOOKUP(frasest[[#This Row],[author_es]],autorest[author_es],autorest[nation_es])</f>
        <v>Alemania</v>
      </c>
      <c r="N1446" t="str">
        <f>_xlfn.XLOOKUP(frasest[[#This Row],[author_es]],autorest[author_es],autorest[nation_la])</f>
        <v>Germania</v>
      </c>
      <c r="O1446" t="str">
        <f>_xlfn.XLOOKUP(frasest[[#This Row],[author_es]],autorest[author_es],autorest[age_es])</f>
        <v>Edad Media</v>
      </c>
      <c r="P1446" t="str">
        <f>_xlfn.XLOOKUP(frasest[[#This Row],[author_es]],autorest[author_es],autorest[age_la])</f>
        <v>Medium Aevum</v>
      </c>
      <c r="Q1446" t="str">
        <f>_xlfn.XLOOKUP(frasest[[#This Row],[author_es]],autorest[author_es],autorest[image])</f>
        <v>https://i.ibb.co/WCsSjKp/eckhart.png</v>
      </c>
      <c r="R1446">
        <f>_xlfn.XLOOKUP(frasest[[#This Row],[author_es]],autorest[author_es],autorest[image_atr])</f>
        <v>0</v>
      </c>
    </row>
    <row r="1447" spans="1:18">
      <c r="A1447">
        <v>1446</v>
      </c>
      <c r="B1447" t="s">
        <v>4469</v>
      </c>
      <c r="C1447" t="s">
        <v>4470</v>
      </c>
      <c r="D1447" t="s">
        <v>4470</v>
      </c>
      <c r="E1447" t="s">
        <v>4443</v>
      </c>
      <c r="F1447" t="s">
        <v>4444</v>
      </c>
      <c r="G1447" t="str">
        <f>_xlfn.XLOOKUP(frasest[[#This Row],[author_es]],autorest[author_es],autorest[author_la])</f>
        <v>Magister Eckhart</v>
      </c>
      <c r="H144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7" t="str">
        <f>_xlfn.XLOOKUP(frasest[[#This Row],[author_es]],autorest[author_es],autorest[bio_la])</f>
        <v>Theologus et mysticus Dominicanus Germanicus fundator mysticae Rhenanae notus pro sermonibus paradoxis de detractione unione cum Deo et praesentia divina in anima magister theologiae Parisiis</v>
      </c>
      <c r="J1447" t="str">
        <f>_xlfn.XLOOKUP(frasest[[#This Row],[author_es]],autorest[author_es],autorest[iso3691])</f>
        <v>la</v>
      </c>
      <c r="K1447" t="str">
        <f>_xlfn.XLOOKUP(frasest[[#This Row],[author_es]],autorest[author_es],autorest[language_es])</f>
        <v>Latín</v>
      </c>
      <c r="L1447" t="str">
        <f>_xlfn.XLOOKUP(frasest[[#This Row],[author_es]],autorest[author_es],autorest[language_la])</f>
        <v>Lingua Latina</v>
      </c>
      <c r="M1447" t="str">
        <f>_xlfn.XLOOKUP(frasest[[#This Row],[author_es]],autorest[author_es],autorest[nation_es])</f>
        <v>Alemania</v>
      </c>
      <c r="N1447" t="str">
        <f>_xlfn.XLOOKUP(frasest[[#This Row],[author_es]],autorest[author_es],autorest[nation_la])</f>
        <v>Germania</v>
      </c>
      <c r="O1447" t="str">
        <f>_xlfn.XLOOKUP(frasest[[#This Row],[author_es]],autorest[author_es],autorest[age_es])</f>
        <v>Edad Media</v>
      </c>
      <c r="P1447" t="str">
        <f>_xlfn.XLOOKUP(frasest[[#This Row],[author_es]],autorest[author_es],autorest[age_la])</f>
        <v>Medium Aevum</v>
      </c>
      <c r="Q1447" t="str">
        <f>_xlfn.XLOOKUP(frasest[[#This Row],[author_es]],autorest[author_es],autorest[image])</f>
        <v>https://i.ibb.co/WCsSjKp/eckhart.png</v>
      </c>
      <c r="R1447">
        <f>_xlfn.XLOOKUP(frasest[[#This Row],[author_es]],autorest[author_es],autorest[image_atr])</f>
        <v>0</v>
      </c>
    </row>
    <row r="1448" spans="1:18">
      <c r="A1448">
        <v>1447</v>
      </c>
      <c r="B1448" t="s">
        <v>4471</v>
      </c>
      <c r="C1448" t="s">
        <v>4472</v>
      </c>
      <c r="D1448" t="s">
        <v>4472</v>
      </c>
      <c r="E1448" t="s">
        <v>4443</v>
      </c>
      <c r="F1448" t="s">
        <v>4444</v>
      </c>
      <c r="G1448" t="str">
        <f>_xlfn.XLOOKUP(frasest[[#This Row],[author_es]],autorest[author_es],autorest[author_la])</f>
        <v>Magister Eckhart</v>
      </c>
      <c r="H144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8" t="str">
        <f>_xlfn.XLOOKUP(frasest[[#This Row],[author_es]],autorest[author_es],autorest[bio_la])</f>
        <v>Theologus et mysticus Dominicanus Germanicus fundator mysticae Rhenanae notus pro sermonibus paradoxis de detractione unione cum Deo et praesentia divina in anima magister theologiae Parisiis</v>
      </c>
      <c r="J1448" t="str">
        <f>_xlfn.XLOOKUP(frasest[[#This Row],[author_es]],autorest[author_es],autorest[iso3691])</f>
        <v>la</v>
      </c>
      <c r="K1448" t="str">
        <f>_xlfn.XLOOKUP(frasest[[#This Row],[author_es]],autorest[author_es],autorest[language_es])</f>
        <v>Latín</v>
      </c>
      <c r="L1448" t="str">
        <f>_xlfn.XLOOKUP(frasest[[#This Row],[author_es]],autorest[author_es],autorest[language_la])</f>
        <v>Lingua Latina</v>
      </c>
      <c r="M1448" t="str">
        <f>_xlfn.XLOOKUP(frasest[[#This Row],[author_es]],autorest[author_es],autorest[nation_es])</f>
        <v>Alemania</v>
      </c>
      <c r="N1448" t="str">
        <f>_xlfn.XLOOKUP(frasest[[#This Row],[author_es]],autorest[author_es],autorest[nation_la])</f>
        <v>Germania</v>
      </c>
      <c r="O1448" t="str">
        <f>_xlfn.XLOOKUP(frasest[[#This Row],[author_es]],autorest[author_es],autorest[age_es])</f>
        <v>Edad Media</v>
      </c>
      <c r="P1448" t="str">
        <f>_xlfn.XLOOKUP(frasest[[#This Row],[author_es]],autorest[author_es],autorest[age_la])</f>
        <v>Medium Aevum</v>
      </c>
      <c r="Q1448" t="str">
        <f>_xlfn.XLOOKUP(frasest[[#This Row],[author_es]],autorest[author_es],autorest[image])</f>
        <v>https://i.ibb.co/WCsSjKp/eckhart.png</v>
      </c>
      <c r="R1448">
        <f>_xlfn.XLOOKUP(frasest[[#This Row],[author_es]],autorest[author_es],autorest[image_atr])</f>
        <v>0</v>
      </c>
    </row>
    <row r="1449" spans="1:18">
      <c r="A1449">
        <v>1448</v>
      </c>
      <c r="B1449" t="s">
        <v>4473</v>
      </c>
      <c r="C1449" t="s">
        <v>4474</v>
      </c>
      <c r="D1449" t="s">
        <v>4474</v>
      </c>
      <c r="E1449" t="s">
        <v>4443</v>
      </c>
      <c r="F1449" t="s">
        <v>4444</v>
      </c>
      <c r="G1449" t="str">
        <f>_xlfn.XLOOKUP(frasest[[#This Row],[author_es]],autorest[author_es],autorest[author_la])</f>
        <v>Magister Eckhart</v>
      </c>
      <c r="H144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9" t="str">
        <f>_xlfn.XLOOKUP(frasest[[#This Row],[author_es]],autorest[author_es],autorest[bio_la])</f>
        <v>Theologus et mysticus Dominicanus Germanicus fundator mysticae Rhenanae notus pro sermonibus paradoxis de detractione unione cum Deo et praesentia divina in anima magister theologiae Parisiis</v>
      </c>
      <c r="J1449" t="str">
        <f>_xlfn.XLOOKUP(frasest[[#This Row],[author_es]],autorest[author_es],autorest[iso3691])</f>
        <v>la</v>
      </c>
      <c r="K1449" t="str">
        <f>_xlfn.XLOOKUP(frasest[[#This Row],[author_es]],autorest[author_es],autorest[language_es])</f>
        <v>Latín</v>
      </c>
      <c r="L1449" t="str">
        <f>_xlfn.XLOOKUP(frasest[[#This Row],[author_es]],autorest[author_es],autorest[language_la])</f>
        <v>Lingua Latina</v>
      </c>
      <c r="M1449" t="str">
        <f>_xlfn.XLOOKUP(frasest[[#This Row],[author_es]],autorest[author_es],autorest[nation_es])</f>
        <v>Alemania</v>
      </c>
      <c r="N1449" t="str">
        <f>_xlfn.XLOOKUP(frasest[[#This Row],[author_es]],autorest[author_es],autorest[nation_la])</f>
        <v>Germania</v>
      </c>
      <c r="O1449" t="str">
        <f>_xlfn.XLOOKUP(frasest[[#This Row],[author_es]],autorest[author_es],autorest[age_es])</f>
        <v>Edad Media</v>
      </c>
      <c r="P1449" t="str">
        <f>_xlfn.XLOOKUP(frasest[[#This Row],[author_es]],autorest[author_es],autorest[age_la])</f>
        <v>Medium Aevum</v>
      </c>
      <c r="Q1449" t="str">
        <f>_xlfn.XLOOKUP(frasest[[#This Row],[author_es]],autorest[author_es],autorest[image])</f>
        <v>https://i.ibb.co/WCsSjKp/eckhart.png</v>
      </c>
      <c r="R1449">
        <f>_xlfn.XLOOKUP(frasest[[#This Row],[author_es]],autorest[author_es],autorest[image_atr])</f>
        <v>0</v>
      </c>
    </row>
    <row r="1450" spans="1:18">
      <c r="A1450">
        <v>1449</v>
      </c>
      <c r="B1450" t="s">
        <v>4475</v>
      </c>
      <c r="C1450" t="s">
        <v>4476</v>
      </c>
      <c r="D1450" t="s">
        <v>4476</v>
      </c>
      <c r="E1450" t="s">
        <v>4477</v>
      </c>
      <c r="F1450" t="s">
        <v>4478</v>
      </c>
      <c r="G1450" t="str">
        <f>_xlfn.XLOOKUP(frasest[[#This Row],[author_es]],autorest[author_es],autorest[author_la])</f>
        <v>Sanctus Franciscus Xaverius</v>
      </c>
      <c r="H1450"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0"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0" t="str">
        <f>_xlfn.XLOOKUP(frasest[[#This Row],[author_es]],autorest[author_es],autorest[iso3691])</f>
        <v>es</v>
      </c>
      <c r="K1450" t="str">
        <f>_xlfn.XLOOKUP(frasest[[#This Row],[author_es]],autorest[author_es],autorest[language_es])</f>
        <v>Español</v>
      </c>
      <c r="L1450" t="str">
        <f>_xlfn.XLOOKUP(frasest[[#This Row],[author_es]],autorest[author_es],autorest[language_la])</f>
        <v>Lingua Hispanica</v>
      </c>
      <c r="M1450" t="str">
        <f>_xlfn.XLOOKUP(frasest[[#This Row],[author_es]],autorest[author_es],autorest[nation_es])</f>
        <v>España</v>
      </c>
      <c r="N1450" t="str">
        <f>_xlfn.XLOOKUP(frasest[[#This Row],[author_es]],autorest[author_es],autorest[nation_la])</f>
        <v>Hispania</v>
      </c>
      <c r="O1450" t="str">
        <f>_xlfn.XLOOKUP(frasest[[#This Row],[author_es]],autorest[author_es],autorest[age_es])</f>
        <v>Edad Moderna</v>
      </c>
      <c r="P1450" t="str">
        <f>_xlfn.XLOOKUP(frasest[[#This Row],[author_es]],autorest[author_es],autorest[age_la])</f>
        <v>Nova Aetas</v>
      </c>
      <c r="Q1450" t="str">
        <f>_xlfn.XLOOKUP(frasest[[#This Row],[author_es]],autorest[author_es],autorest[image])</f>
        <v>https://i.ibb.co/0jY6Nmcb/franciscojavier.png</v>
      </c>
      <c r="R1450">
        <f>_xlfn.XLOOKUP(frasest[[#This Row],[author_es]],autorest[author_es],autorest[image_atr])</f>
        <v>0</v>
      </c>
    </row>
    <row r="1451" spans="1:18">
      <c r="A1451">
        <v>1450</v>
      </c>
      <c r="B1451" t="s">
        <v>4479</v>
      </c>
      <c r="C1451" t="s">
        <v>4480</v>
      </c>
      <c r="D1451" t="s">
        <v>4480</v>
      </c>
      <c r="E1451" t="s">
        <v>4477</v>
      </c>
      <c r="F1451" t="s">
        <v>4478</v>
      </c>
      <c r="G1451" t="str">
        <f>_xlfn.XLOOKUP(frasest[[#This Row],[author_es]],autorest[author_es],autorest[author_la])</f>
        <v>Sanctus Franciscus Xaverius</v>
      </c>
      <c r="H1451"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1"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1" t="str">
        <f>_xlfn.XLOOKUP(frasest[[#This Row],[author_es]],autorest[author_es],autorest[iso3691])</f>
        <v>es</v>
      </c>
      <c r="K1451" t="str">
        <f>_xlfn.XLOOKUP(frasest[[#This Row],[author_es]],autorest[author_es],autorest[language_es])</f>
        <v>Español</v>
      </c>
      <c r="L1451" t="str">
        <f>_xlfn.XLOOKUP(frasest[[#This Row],[author_es]],autorest[author_es],autorest[language_la])</f>
        <v>Lingua Hispanica</v>
      </c>
      <c r="M1451" t="str">
        <f>_xlfn.XLOOKUP(frasest[[#This Row],[author_es]],autorest[author_es],autorest[nation_es])</f>
        <v>España</v>
      </c>
      <c r="N1451" t="str">
        <f>_xlfn.XLOOKUP(frasest[[#This Row],[author_es]],autorest[author_es],autorest[nation_la])</f>
        <v>Hispania</v>
      </c>
      <c r="O1451" t="str">
        <f>_xlfn.XLOOKUP(frasest[[#This Row],[author_es]],autorest[author_es],autorest[age_es])</f>
        <v>Edad Moderna</v>
      </c>
      <c r="P1451" t="str">
        <f>_xlfn.XLOOKUP(frasest[[#This Row],[author_es]],autorest[author_es],autorest[age_la])</f>
        <v>Nova Aetas</v>
      </c>
      <c r="Q1451" t="str">
        <f>_xlfn.XLOOKUP(frasest[[#This Row],[author_es]],autorest[author_es],autorest[image])</f>
        <v>https://i.ibb.co/0jY6Nmcb/franciscojavier.png</v>
      </c>
      <c r="R1451">
        <f>_xlfn.XLOOKUP(frasest[[#This Row],[author_es]],autorest[author_es],autorest[image_atr])</f>
        <v>0</v>
      </c>
    </row>
    <row r="1452" spans="1:18">
      <c r="A1452">
        <v>1451</v>
      </c>
      <c r="B1452" t="s">
        <v>4481</v>
      </c>
      <c r="C1452" t="s">
        <v>4482</v>
      </c>
      <c r="D1452" t="s">
        <v>4482</v>
      </c>
      <c r="E1452" t="s">
        <v>4477</v>
      </c>
      <c r="F1452" t="s">
        <v>4478</v>
      </c>
      <c r="G1452" t="str">
        <f>_xlfn.XLOOKUP(frasest[[#This Row],[author_es]],autorest[author_es],autorest[author_la])</f>
        <v>Sanctus Franciscus Xaverius</v>
      </c>
      <c r="H1452"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2"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2" t="str">
        <f>_xlfn.XLOOKUP(frasest[[#This Row],[author_es]],autorest[author_es],autorest[iso3691])</f>
        <v>es</v>
      </c>
      <c r="K1452" t="str">
        <f>_xlfn.XLOOKUP(frasest[[#This Row],[author_es]],autorest[author_es],autorest[language_es])</f>
        <v>Español</v>
      </c>
      <c r="L1452" t="str">
        <f>_xlfn.XLOOKUP(frasest[[#This Row],[author_es]],autorest[author_es],autorest[language_la])</f>
        <v>Lingua Hispanica</v>
      </c>
      <c r="M1452" t="str">
        <f>_xlfn.XLOOKUP(frasest[[#This Row],[author_es]],autorest[author_es],autorest[nation_es])</f>
        <v>España</v>
      </c>
      <c r="N1452" t="str">
        <f>_xlfn.XLOOKUP(frasest[[#This Row],[author_es]],autorest[author_es],autorest[nation_la])</f>
        <v>Hispania</v>
      </c>
      <c r="O1452" t="str">
        <f>_xlfn.XLOOKUP(frasest[[#This Row],[author_es]],autorest[author_es],autorest[age_es])</f>
        <v>Edad Moderna</v>
      </c>
      <c r="P1452" t="str">
        <f>_xlfn.XLOOKUP(frasest[[#This Row],[author_es]],autorest[author_es],autorest[age_la])</f>
        <v>Nova Aetas</v>
      </c>
      <c r="Q1452" t="str">
        <f>_xlfn.XLOOKUP(frasest[[#This Row],[author_es]],autorest[author_es],autorest[image])</f>
        <v>https://i.ibb.co/0jY6Nmcb/franciscojavier.png</v>
      </c>
      <c r="R1452">
        <f>_xlfn.XLOOKUP(frasest[[#This Row],[author_es]],autorest[author_es],autorest[image_atr])</f>
        <v>0</v>
      </c>
    </row>
    <row r="1453" spans="1:18">
      <c r="A1453">
        <v>1452</v>
      </c>
      <c r="B1453" t="s">
        <v>4483</v>
      </c>
      <c r="C1453" t="s">
        <v>4484</v>
      </c>
      <c r="D1453" t="s">
        <v>4484</v>
      </c>
      <c r="E1453" t="s">
        <v>4477</v>
      </c>
      <c r="F1453" t="s">
        <v>4478</v>
      </c>
      <c r="G1453" t="str">
        <f>_xlfn.XLOOKUP(frasest[[#This Row],[author_es]],autorest[author_es],autorest[author_la])</f>
        <v>Sanctus Franciscus Xaverius</v>
      </c>
      <c r="H1453"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3"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3" t="str">
        <f>_xlfn.XLOOKUP(frasest[[#This Row],[author_es]],autorest[author_es],autorest[iso3691])</f>
        <v>es</v>
      </c>
      <c r="K1453" t="str">
        <f>_xlfn.XLOOKUP(frasest[[#This Row],[author_es]],autorest[author_es],autorest[language_es])</f>
        <v>Español</v>
      </c>
      <c r="L1453" t="str">
        <f>_xlfn.XLOOKUP(frasest[[#This Row],[author_es]],autorest[author_es],autorest[language_la])</f>
        <v>Lingua Hispanica</v>
      </c>
      <c r="M1453" t="str">
        <f>_xlfn.XLOOKUP(frasest[[#This Row],[author_es]],autorest[author_es],autorest[nation_es])</f>
        <v>España</v>
      </c>
      <c r="N1453" t="str">
        <f>_xlfn.XLOOKUP(frasest[[#This Row],[author_es]],autorest[author_es],autorest[nation_la])</f>
        <v>Hispania</v>
      </c>
      <c r="O1453" t="str">
        <f>_xlfn.XLOOKUP(frasest[[#This Row],[author_es]],autorest[author_es],autorest[age_es])</f>
        <v>Edad Moderna</v>
      </c>
      <c r="P1453" t="str">
        <f>_xlfn.XLOOKUP(frasest[[#This Row],[author_es]],autorest[author_es],autorest[age_la])</f>
        <v>Nova Aetas</v>
      </c>
      <c r="Q1453" t="str">
        <f>_xlfn.XLOOKUP(frasest[[#This Row],[author_es]],autorest[author_es],autorest[image])</f>
        <v>https://i.ibb.co/0jY6Nmcb/franciscojavier.png</v>
      </c>
      <c r="R1453">
        <f>_xlfn.XLOOKUP(frasest[[#This Row],[author_es]],autorest[author_es],autorest[image_atr])</f>
        <v>0</v>
      </c>
    </row>
    <row r="1454" spans="1:18">
      <c r="A1454">
        <v>1453</v>
      </c>
      <c r="B1454" t="s">
        <v>4485</v>
      </c>
      <c r="C1454" t="s">
        <v>4486</v>
      </c>
      <c r="D1454" t="s">
        <v>4486</v>
      </c>
      <c r="E1454" t="s">
        <v>4487</v>
      </c>
      <c r="F1454" t="s">
        <v>4488</v>
      </c>
      <c r="G1454" t="str">
        <f>_xlfn.XLOOKUP(frasest[[#This Row],[author_es]],autorest[author_es],autorest[author_la])</f>
        <v>Sanctus Ignatius de Loyola</v>
      </c>
      <c r="H145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4" t="str">
        <f>_xlfn.XLOOKUP(frasest[[#This Row],[author_es]],autorest[author_es],autorest[iso3691])</f>
        <v>es</v>
      </c>
      <c r="K1454" t="str">
        <f>_xlfn.XLOOKUP(frasest[[#This Row],[author_es]],autorest[author_es],autorest[language_es])</f>
        <v>Español</v>
      </c>
      <c r="L1454" t="str">
        <f>_xlfn.XLOOKUP(frasest[[#This Row],[author_es]],autorest[author_es],autorest[language_la])</f>
        <v>Lingua Hispanica</v>
      </c>
      <c r="M1454" t="str">
        <f>_xlfn.XLOOKUP(frasest[[#This Row],[author_es]],autorest[author_es],autorest[nation_es])</f>
        <v>España</v>
      </c>
      <c r="N1454" t="str">
        <f>_xlfn.XLOOKUP(frasest[[#This Row],[author_es]],autorest[author_es],autorest[nation_la])</f>
        <v>Hispania</v>
      </c>
      <c r="O1454" t="str">
        <f>_xlfn.XLOOKUP(frasest[[#This Row],[author_es]],autorest[author_es],autorest[age_es])</f>
        <v>Edad Media</v>
      </c>
      <c r="P1454" t="str">
        <f>_xlfn.XLOOKUP(frasest[[#This Row],[author_es]],autorest[author_es],autorest[age_la])</f>
        <v>Medium Aevum</v>
      </c>
      <c r="Q1454" t="str">
        <f>_xlfn.XLOOKUP(frasest[[#This Row],[author_es]],autorest[author_es],autorest[image])</f>
        <v>https://i.ibb.co/DD8cx8tb/ignacioloiola.png</v>
      </c>
      <c r="R1454">
        <f>_xlfn.XLOOKUP(frasest[[#This Row],[author_es]],autorest[author_es],autorest[image_atr])</f>
        <v>0</v>
      </c>
    </row>
    <row r="1455" spans="1:18">
      <c r="A1455">
        <v>1454</v>
      </c>
      <c r="B1455" t="s">
        <v>4489</v>
      </c>
      <c r="C1455" t="s">
        <v>4490</v>
      </c>
      <c r="D1455" t="s">
        <v>4490</v>
      </c>
      <c r="E1455" t="s">
        <v>4487</v>
      </c>
      <c r="F1455" t="s">
        <v>4488</v>
      </c>
      <c r="G1455" t="str">
        <f>_xlfn.XLOOKUP(frasest[[#This Row],[author_es]],autorest[author_es],autorest[author_la])</f>
        <v>Sanctus Ignatius de Loyola</v>
      </c>
      <c r="H145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5" t="str">
        <f>_xlfn.XLOOKUP(frasest[[#This Row],[author_es]],autorest[author_es],autorest[iso3691])</f>
        <v>es</v>
      </c>
      <c r="K1455" t="str">
        <f>_xlfn.XLOOKUP(frasest[[#This Row],[author_es]],autorest[author_es],autorest[language_es])</f>
        <v>Español</v>
      </c>
      <c r="L1455" t="str">
        <f>_xlfn.XLOOKUP(frasest[[#This Row],[author_es]],autorest[author_es],autorest[language_la])</f>
        <v>Lingua Hispanica</v>
      </c>
      <c r="M1455" t="str">
        <f>_xlfn.XLOOKUP(frasest[[#This Row],[author_es]],autorest[author_es],autorest[nation_es])</f>
        <v>España</v>
      </c>
      <c r="N1455" t="str">
        <f>_xlfn.XLOOKUP(frasest[[#This Row],[author_es]],autorest[author_es],autorest[nation_la])</f>
        <v>Hispania</v>
      </c>
      <c r="O1455" t="str">
        <f>_xlfn.XLOOKUP(frasest[[#This Row],[author_es]],autorest[author_es],autorest[age_es])</f>
        <v>Edad Media</v>
      </c>
      <c r="P1455" t="str">
        <f>_xlfn.XLOOKUP(frasest[[#This Row],[author_es]],autorest[author_es],autorest[age_la])</f>
        <v>Medium Aevum</v>
      </c>
      <c r="Q1455" t="str">
        <f>_xlfn.XLOOKUP(frasest[[#This Row],[author_es]],autorest[author_es],autorest[image])</f>
        <v>https://i.ibb.co/DD8cx8tb/ignacioloiola.png</v>
      </c>
      <c r="R1455">
        <f>_xlfn.XLOOKUP(frasest[[#This Row],[author_es]],autorest[author_es],autorest[image_atr])</f>
        <v>0</v>
      </c>
    </row>
    <row r="1456" spans="1:18">
      <c r="A1456">
        <v>1455</v>
      </c>
      <c r="B1456" t="s">
        <v>4491</v>
      </c>
      <c r="C1456" t="s">
        <v>4492</v>
      </c>
      <c r="D1456" t="s">
        <v>4492</v>
      </c>
      <c r="E1456" t="s">
        <v>4487</v>
      </c>
      <c r="F1456" t="s">
        <v>4488</v>
      </c>
      <c r="G1456" t="str">
        <f>_xlfn.XLOOKUP(frasest[[#This Row],[author_es]],autorest[author_es],autorest[author_la])</f>
        <v>Sanctus Ignatius de Loyola</v>
      </c>
      <c r="H145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6" t="str">
        <f>_xlfn.XLOOKUP(frasest[[#This Row],[author_es]],autorest[author_es],autorest[iso3691])</f>
        <v>es</v>
      </c>
      <c r="K1456" t="str">
        <f>_xlfn.XLOOKUP(frasest[[#This Row],[author_es]],autorest[author_es],autorest[language_es])</f>
        <v>Español</v>
      </c>
      <c r="L1456" t="str">
        <f>_xlfn.XLOOKUP(frasest[[#This Row],[author_es]],autorest[author_es],autorest[language_la])</f>
        <v>Lingua Hispanica</v>
      </c>
      <c r="M1456" t="str">
        <f>_xlfn.XLOOKUP(frasest[[#This Row],[author_es]],autorest[author_es],autorest[nation_es])</f>
        <v>España</v>
      </c>
      <c r="N1456" t="str">
        <f>_xlfn.XLOOKUP(frasest[[#This Row],[author_es]],autorest[author_es],autorest[nation_la])</f>
        <v>Hispania</v>
      </c>
      <c r="O1456" t="str">
        <f>_xlfn.XLOOKUP(frasest[[#This Row],[author_es]],autorest[author_es],autorest[age_es])</f>
        <v>Edad Media</v>
      </c>
      <c r="P1456" t="str">
        <f>_xlfn.XLOOKUP(frasest[[#This Row],[author_es]],autorest[author_es],autorest[age_la])</f>
        <v>Medium Aevum</v>
      </c>
      <c r="Q1456" t="str">
        <f>_xlfn.XLOOKUP(frasest[[#This Row],[author_es]],autorest[author_es],autorest[image])</f>
        <v>https://i.ibb.co/DD8cx8tb/ignacioloiola.png</v>
      </c>
      <c r="R1456">
        <f>_xlfn.XLOOKUP(frasest[[#This Row],[author_es]],autorest[author_es],autorest[image_atr])</f>
        <v>0</v>
      </c>
    </row>
    <row r="1457" spans="1:18">
      <c r="A1457">
        <v>1456</v>
      </c>
      <c r="B1457" t="s">
        <v>4493</v>
      </c>
      <c r="C1457" t="s">
        <v>4494</v>
      </c>
      <c r="D1457" t="s">
        <v>4494</v>
      </c>
      <c r="E1457" t="s">
        <v>4487</v>
      </c>
      <c r="F1457" t="s">
        <v>4488</v>
      </c>
      <c r="G1457" t="str">
        <f>_xlfn.XLOOKUP(frasest[[#This Row],[author_es]],autorest[author_es],autorest[author_la])</f>
        <v>Sanctus Ignatius de Loyola</v>
      </c>
      <c r="H145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7" t="str">
        <f>_xlfn.XLOOKUP(frasest[[#This Row],[author_es]],autorest[author_es],autorest[iso3691])</f>
        <v>es</v>
      </c>
      <c r="K1457" t="str">
        <f>_xlfn.XLOOKUP(frasest[[#This Row],[author_es]],autorest[author_es],autorest[language_es])</f>
        <v>Español</v>
      </c>
      <c r="L1457" t="str">
        <f>_xlfn.XLOOKUP(frasest[[#This Row],[author_es]],autorest[author_es],autorest[language_la])</f>
        <v>Lingua Hispanica</v>
      </c>
      <c r="M1457" t="str">
        <f>_xlfn.XLOOKUP(frasest[[#This Row],[author_es]],autorest[author_es],autorest[nation_es])</f>
        <v>España</v>
      </c>
      <c r="N1457" t="str">
        <f>_xlfn.XLOOKUP(frasest[[#This Row],[author_es]],autorest[author_es],autorest[nation_la])</f>
        <v>Hispania</v>
      </c>
      <c r="O1457" t="str">
        <f>_xlfn.XLOOKUP(frasest[[#This Row],[author_es]],autorest[author_es],autorest[age_es])</f>
        <v>Edad Media</v>
      </c>
      <c r="P1457" t="str">
        <f>_xlfn.XLOOKUP(frasest[[#This Row],[author_es]],autorest[author_es],autorest[age_la])</f>
        <v>Medium Aevum</v>
      </c>
      <c r="Q1457" t="str">
        <f>_xlfn.XLOOKUP(frasest[[#This Row],[author_es]],autorest[author_es],autorest[image])</f>
        <v>https://i.ibb.co/DD8cx8tb/ignacioloiola.png</v>
      </c>
      <c r="R1457">
        <f>_xlfn.XLOOKUP(frasest[[#This Row],[author_es]],autorest[author_es],autorest[image_atr])</f>
        <v>0</v>
      </c>
    </row>
    <row r="1458" spans="1:18">
      <c r="A1458">
        <v>1457</v>
      </c>
      <c r="B1458" t="s">
        <v>4495</v>
      </c>
      <c r="C1458" t="s">
        <v>4496</v>
      </c>
      <c r="D1458" t="s">
        <v>4496</v>
      </c>
      <c r="E1458" t="s">
        <v>4487</v>
      </c>
      <c r="F1458" t="s">
        <v>4488</v>
      </c>
      <c r="G1458" t="str">
        <f>_xlfn.XLOOKUP(frasest[[#This Row],[author_es]],autorest[author_es],autorest[author_la])</f>
        <v>Sanctus Ignatius de Loyola</v>
      </c>
      <c r="H1458"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8"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8" t="str">
        <f>_xlfn.XLOOKUP(frasest[[#This Row],[author_es]],autorest[author_es],autorest[iso3691])</f>
        <v>es</v>
      </c>
      <c r="K1458" t="str">
        <f>_xlfn.XLOOKUP(frasest[[#This Row],[author_es]],autorest[author_es],autorest[language_es])</f>
        <v>Español</v>
      </c>
      <c r="L1458" t="str">
        <f>_xlfn.XLOOKUP(frasest[[#This Row],[author_es]],autorest[author_es],autorest[language_la])</f>
        <v>Lingua Hispanica</v>
      </c>
      <c r="M1458" t="str">
        <f>_xlfn.XLOOKUP(frasest[[#This Row],[author_es]],autorest[author_es],autorest[nation_es])</f>
        <v>España</v>
      </c>
      <c r="N1458" t="str">
        <f>_xlfn.XLOOKUP(frasest[[#This Row],[author_es]],autorest[author_es],autorest[nation_la])</f>
        <v>Hispania</v>
      </c>
      <c r="O1458" t="str">
        <f>_xlfn.XLOOKUP(frasest[[#This Row],[author_es]],autorest[author_es],autorest[age_es])</f>
        <v>Edad Media</v>
      </c>
      <c r="P1458" t="str">
        <f>_xlfn.XLOOKUP(frasest[[#This Row],[author_es]],autorest[author_es],autorest[age_la])</f>
        <v>Medium Aevum</v>
      </c>
      <c r="Q1458" t="str">
        <f>_xlfn.XLOOKUP(frasest[[#This Row],[author_es]],autorest[author_es],autorest[image])</f>
        <v>https://i.ibb.co/DD8cx8tb/ignacioloiola.png</v>
      </c>
      <c r="R1458">
        <f>_xlfn.XLOOKUP(frasest[[#This Row],[author_es]],autorest[author_es],autorest[image_atr])</f>
        <v>0</v>
      </c>
    </row>
    <row r="1459" spans="1:18">
      <c r="A1459">
        <v>1458</v>
      </c>
      <c r="B1459" t="s">
        <v>4497</v>
      </c>
      <c r="C1459" t="s">
        <v>4498</v>
      </c>
      <c r="D1459" t="s">
        <v>4498</v>
      </c>
      <c r="E1459" t="s">
        <v>4487</v>
      </c>
      <c r="F1459" t="s">
        <v>4488</v>
      </c>
      <c r="G1459" t="str">
        <f>_xlfn.XLOOKUP(frasest[[#This Row],[author_es]],autorest[author_es],autorest[author_la])</f>
        <v>Sanctus Ignatius de Loyola</v>
      </c>
      <c r="H1459"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9"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9" t="str">
        <f>_xlfn.XLOOKUP(frasest[[#This Row],[author_es]],autorest[author_es],autorest[iso3691])</f>
        <v>es</v>
      </c>
      <c r="K1459" t="str">
        <f>_xlfn.XLOOKUP(frasest[[#This Row],[author_es]],autorest[author_es],autorest[language_es])</f>
        <v>Español</v>
      </c>
      <c r="L1459" t="str">
        <f>_xlfn.XLOOKUP(frasest[[#This Row],[author_es]],autorest[author_es],autorest[language_la])</f>
        <v>Lingua Hispanica</v>
      </c>
      <c r="M1459" t="str">
        <f>_xlfn.XLOOKUP(frasest[[#This Row],[author_es]],autorest[author_es],autorest[nation_es])</f>
        <v>España</v>
      </c>
      <c r="N1459" t="str">
        <f>_xlfn.XLOOKUP(frasest[[#This Row],[author_es]],autorest[author_es],autorest[nation_la])</f>
        <v>Hispania</v>
      </c>
      <c r="O1459" t="str">
        <f>_xlfn.XLOOKUP(frasest[[#This Row],[author_es]],autorest[author_es],autorest[age_es])</f>
        <v>Edad Media</v>
      </c>
      <c r="P1459" t="str">
        <f>_xlfn.XLOOKUP(frasest[[#This Row],[author_es]],autorest[author_es],autorest[age_la])</f>
        <v>Medium Aevum</v>
      </c>
      <c r="Q1459" t="str">
        <f>_xlfn.XLOOKUP(frasest[[#This Row],[author_es]],autorest[author_es],autorest[image])</f>
        <v>https://i.ibb.co/DD8cx8tb/ignacioloiola.png</v>
      </c>
      <c r="R1459">
        <f>_xlfn.XLOOKUP(frasest[[#This Row],[author_es]],autorest[author_es],autorest[image_atr])</f>
        <v>0</v>
      </c>
    </row>
    <row r="1460" spans="1:18">
      <c r="A1460">
        <v>1459</v>
      </c>
      <c r="B1460" t="s">
        <v>4499</v>
      </c>
      <c r="C1460" t="s">
        <v>4500</v>
      </c>
      <c r="D1460" t="s">
        <v>4500</v>
      </c>
      <c r="E1460" t="s">
        <v>4487</v>
      </c>
      <c r="F1460" t="s">
        <v>4488</v>
      </c>
      <c r="G1460" t="str">
        <f>_xlfn.XLOOKUP(frasest[[#This Row],[author_es]],autorest[author_es],autorest[author_la])</f>
        <v>Sanctus Ignatius de Loyola</v>
      </c>
      <c r="H1460"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0"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0" t="str">
        <f>_xlfn.XLOOKUP(frasest[[#This Row],[author_es]],autorest[author_es],autorest[iso3691])</f>
        <v>es</v>
      </c>
      <c r="K1460" t="str">
        <f>_xlfn.XLOOKUP(frasest[[#This Row],[author_es]],autorest[author_es],autorest[language_es])</f>
        <v>Español</v>
      </c>
      <c r="L1460" t="str">
        <f>_xlfn.XLOOKUP(frasest[[#This Row],[author_es]],autorest[author_es],autorest[language_la])</f>
        <v>Lingua Hispanica</v>
      </c>
      <c r="M1460" t="str">
        <f>_xlfn.XLOOKUP(frasest[[#This Row],[author_es]],autorest[author_es],autorest[nation_es])</f>
        <v>España</v>
      </c>
      <c r="N1460" t="str">
        <f>_xlfn.XLOOKUP(frasest[[#This Row],[author_es]],autorest[author_es],autorest[nation_la])</f>
        <v>Hispania</v>
      </c>
      <c r="O1460" t="str">
        <f>_xlfn.XLOOKUP(frasest[[#This Row],[author_es]],autorest[author_es],autorest[age_es])</f>
        <v>Edad Media</v>
      </c>
      <c r="P1460" t="str">
        <f>_xlfn.XLOOKUP(frasest[[#This Row],[author_es]],autorest[author_es],autorest[age_la])</f>
        <v>Medium Aevum</v>
      </c>
      <c r="Q1460" t="str">
        <f>_xlfn.XLOOKUP(frasest[[#This Row],[author_es]],autorest[author_es],autorest[image])</f>
        <v>https://i.ibb.co/DD8cx8tb/ignacioloiola.png</v>
      </c>
      <c r="R1460">
        <f>_xlfn.XLOOKUP(frasest[[#This Row],[author_es]],autorest[author_es],autorest[image_atr])</f>
        <v>0</v>
      </c>
    </row>
    <row r="1461" spans="1:18">
      <c r="A1461">
        <v>1460</v>
      </c>
      <c r="B1461" t="s">
        <v>4501</v>
      </c>
      <c r="C1461" t="s">
        <v>4502</v>
      </c>
      <c r="D1461" t="s">
        <v>4502</v>
      </c>
      <c r="E1461" t="s">
        <v>4487</v>
      </c>
      <c r="F1461" t="s">
        <v>4488</v>
      </c>
      <c r="G1461" t="str">
        <f>_xlfn.XLOOKUP(frasest[[#This Row],[author_es]],autorest[author_es],autorest[author_la])</f>
        <v>Sanctus Ignatius de Loyola</v>
      </c>
      <c r="H1461"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1"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1" t="str">
        <f>_xlfn.XLOOKUP(frasest[[#This Row],[author_es]],autorest[author_es],autorest[iso3691])</f>
        <v>es</v>
      </c>
      <c r="K1461" t="str">
        <f>_xlfn.XLOOKUP(frasest[[#This Row],[author_es]],autorest[author_es],autorest[language_es])</f>
        <v>Español</v>
      </c>
      <c r="L1461" t="str">
        <f>_xlfn.XLOOKUP(frasest[[#This Row],[author_es]],autorest[author_es],autorest[language_la])</f>
        <v>Lingua Hispanica</v>
      </c>
      <c r="M1461" t="str">
        <f>_xlfn.XLOOKUP(frasest[[#This Row],[author_es]],autorest[author_es],autorest[nation_es])</f>
        <v>España</v>
      </c>
      <c r="N1461" t="str">
        <f>_xlfn.XLOOKUP(frasest[[#This Row],[author_es]],autorest[author_es],autorest[nation_la])</f>
        <v>Hispania</v>
      </c>
      <c r="O1461" t="str">
        <f>_xlfn.XLOOKUP(frasest[[#This Row],[author_es]],autorest[author_es],autorest[age_es])</f>
        <v>Edad Media</v>
      </c>
      <c r="P1461" t="str">
        <f>_xlfn.XLOOKUP(frasest[[#This Row],[author_es]],autorest[author_es],autorest[age_la])</f>
        <v>Medium Aevum</v>
      </c>
      <c r="Q1461" t="str">
        <f>_xlfn.XLOOKUP(frasest[[#This Row],[author_es]],autorest[author_es],autorest[image])</f>
        <v>https://i.ibb.co/DD8cx8tb/ignacioloiola.png</v>
      </c>
      <c r="R1461">
        <f>_xlfn.XLOOKUP(frasest[[#This Row],[author_es]],autorest[author_es],autorest[image_atr])</f>
        <v>0</v>
      </c>
    </row>
    <row r="1462" spans="1:18">
      <c r="A1462">
        <v>1461</v>
      </c>
      <c r="B1462" t="s">
        <v>4503</v>
      </c>
      <c r="C1462" t="s">
        <v>4504</v>
      </c>
      <c r="D1462" t="s">
        <v>4504</v>
      </c>
      <c r="E1462" t="s">
        <v>4487</v>
      </c>
      <c r="F1462" t="s">
        <v>4488</v>
      </c>
      <c r="G1462" t="str">
        <f>_xlfn.XLOOKUP(frasest[[#This Row],[author_es]],autorest[author_es],autorest[author_la])</f>
        <v>Sanctus Ignatius de Loyola</v>
      </c>
      <c r="H1462"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2"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2" t="str">
        <f>_xlfn.XLOOKUP(frasest[[#This Row],[author_es]],autorest[author_es],autorest[iso3691])</f>
        <v>es</v>
      </c>
      <c r="K1462" t="str">
        <f>_xlfn.XLOOKUP(frasest[[#This Row],[author_es]],autorest[author_es],autorest[language_es])</f>
        <v>Español</v>
      </c>
      <c r="L1462" t="str">
        <f>_xlfn.XLOOKUP(frasest[[#This Row],[author_es]],autorest[author_es],autorest[language_la])</f>
        <v>Lingua Hispanica</v>
      </c>
      <c r="M1462" t="str">
        <f>_xlfn.XLOOKUP(frasest[[#This Row],[author_es]],autorest[author_es],autorest[nation_es])</f>
        <v>España</v>
      </c>
      <c r="N1462" t="str">
        <f>_xlfn.XLOOKUP(frasest[[#This Row],[author_es]],autorest[author_es],autorest[nation_la])</f>
        <v>Hispania</v>
      </c>
      <c r="O1462" t="str">
        <f>_xlfn.XLOOKUP(frasest[[#This Row],[author_es]],autorest[author_es],autorest[age_es])</f>
        <v>Edad Media</v>
      </c>
      <c r="P1462" t="str">
        <f>_xlfn.XLOOKUP(frasest[[#This Row],[author_es]],autorest[author_es],autorest[age_la])</f>
        <v>Medium Aevum</v>
      </c>
      <c r="Q1462" t="str">
        <f>_xlfn.XLOOKUP(frasest[[#This Row],[author_es]],autorest[author_es],autorest[image])</f>
        <v>https://i.ibb.co/DD8cx8tb/ignacioloiola.png</v>
      </c>
      <c r="R1462">
        <f>_xlfn.XLOOKUP(frasest[[#This Row],[author_es]],autorest[author_es],autorest[image_atr])</f>
        <v>0</v>
      </c>
    </row>
    <row r="1463" spans="1:18">
      <c r="A1463">
        <v>1462</v>
      </c>
      <c r="B1463" t="s">
        <v>4505</v>
      </c>
      <c r="C1463" t="s">
        <v>4506</v>
      </c>
      <c r="D1463" t="s">
        <v>4506</v>
      </c>
      <c r="E1463" t="s">
        <v>4487</v>
      </c>
      <c r="F1463" t="s">
        <v>4488</v>
      </c>
      <c r="G1463" t="str">
        <f>_xlfn.XLOOKUP(frasest[[#This Row],[author_es]],autorest[author_es],autorest[author_la])</f>
        <v>Sanctus Ignatius de Loyola</v>
      </c>
      <c r="H1463"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3"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3" t="str">
        <f>_xlfn.XLOOKUP(frasest[[#This Row],[author_es]],autorest[author_es],autorest[iso3691])</f>
        <v>es</v>
      </c>
      <c r="K1463" t="str">
        <f>_xlfn.XLOOKUP(frasest[[#This Row],[author_es]],autorest[author_es],autorest[language_es])</f>
        <v>Español</v>
      </c>
      <c r="L1463" t="str">
        <f>_xlfn.XLOOKUP(frasest[[#This Row],[author_es]],autorest[author_es],autorest[language_la])</f>
        <v>Lingua Hispanica</v>
      </c>
      <c r="M1463" t="str">
        <f>_xlfn.XLOOKUP(frasest[[#This Row],[author_es]],autorest[author_es],autorest[nation_es])</f>
        <v>España</v>
      </c>
      <c r="N1463" t="str">
        <f>_xlfn.XLOOKUP(frasest[[#This Row],[author_es]],autorest[author_es],autorest[nation_la])</f>
        <v>Hispania</v>
      </c>
      <c r="O1463" t="str">
        <f>_xlfn.XLOOKUP(frasest[[#This Row],[author_es]],autorest[author_es],autorest[age_es])</f>
        <v>Edad Media</v>
      </c>
      <c r="P1463" t="str">
        <f>_xlfn.XLOOKUP(frasest[[#This Row],[author_es]],autorest[author_es],autorest[age_la])</f>
        <v>Medium Aevum</v>
      </c>
      <c r="Q1463" t="str">
        <f>_xlfn.XLOOKUP(frasest[[#This Row],[author_es]],autorest[author_es],autorest[image])</f>
        <v>https://i.ibb.co/DD8cx8tb/ignacioloiola.png</v>
      </c>
      <c r="R1463">
        <f>_xlfn.XLOOKUP(frasest[[#This Row],[author_es]],autorest[author_es],autorest[image_atr])</f>
        <v>0</v>
      </c>
    </row>
    <row r="1464" spans="1:18">
      <c r="A1464">
        <v>1463</v>
      </c>
      <c r="B1464" t="s">
        <v>4507</v>
      </c>
      <c r="C1464" t="s">
        <v>4508</v>
      </c>
      <c r="D1464" t="s">
        <v>4508</v>
      </c>
      <c r="E1464" t="s">
        <v>4487</v>
      </c>
      <c r="F1464" t="s">
        <v>4488</v>
      </c>
      <c r="G1464" t="str">
        <f>_xlfn.XLOOKUP(frasest[[#This Row],[author_es]],autorest[author_es],autorest[author_la])</f>
        <v>Sanctus Ignatius de Loyola</v>
      </c>
      <c r="H146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4" t="str">
        <f>_xlfn.XLOOKUP(frasest[[#This Row],[author_es]],autorest[author_es],autorest[iso3691])</f>
        <v>es</v>
      </c>
      <c r="K1464" t="str">
        <f>_xlfn.XLOOKUP(frasest[[#This Row],[author_es]],autorest[author_es],autorest[language_es])</f>
        <v>Español</v>
      </c>
      <c r="L1464" t="str">
        <f>_xlfn.XLOOKUP(frasest[[#This Row],[author_es]],autorest[author_es],autorest[language_la])</f>
        <v>Lingua Hispanica</v>
      </c>
      <c r="M1464" t="str">
        <f>_xlfn.XLOOKUP(frasest[[#This Row],[author_es]],autorest[author_es],autorest[nation_es])</f>
        <v>España</v>
      </c>
      <c r="N1464" t="str">
        <f>_xlfn.XLOOKUP(frasest[[#This Row],[author_es]],autorest[author_es],autorest[nation_la])</f>
        <v>Hispania</v>
      </c>
      <c r="O1464" t="str">
        <f>_xlfn.XLOOKUP(frasest[[#This Row],[author_es]],autorest[author_es],autorest[age_es])</f>
        <v>Edad Media</v>
      </c>
      <c r="P1464" t="str">
        <f>_xlfn.XLOOKUP(frasest[[#This Row],[author_es]],autorest[author_es],autorest[age_la])</f>
        <v>Medium Aevum</v>
      </c>
      <c r="Q1464" t="str">
        <f>_xlfn.XLOOKUP(frasest[[#This Row],[author_es]],autorest[author_es],autorest[image])</f>
        <v>https://i.ibb.co/DD8cx8tb/ignacioloiola.png</v>
      </c>
      <c r="R1464">
        <f>_xlfn.XLOOKUP(frasest[[#This Row],[author_es]],autorest[author_es],autorest[image_atr])</f>
        <v>0</v>
      </c>
    </row>
    <row r="1465" spans="1:18">
      <c r="A1465">
        <v>1464</v>
      </c>
      <c r="B1465" t="s">
        <v>4509</v>
      </c>
      <c r="C1465" t="s">
        <v>4510</v>
      </c>
      <c r="D1465" t="s">
        <v>4510</v>
      </c>
      <c r="E1465" t="s">
        <v>4487</v>
      </c>
      <c r="F1465" t="s">
        <v>4488</v>
      </c>
      <c r="G1465" t="str">
        <f>_xlfn.XLOOKUP(frasest[[#This Row],[author_es]],autorest[author_es],autorest[author_la])</f>
        <v>Sanctus Ignatius de Loyola</v>
      </c>
      <c r="H146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5" t="str">
        <f>_xlfn.XLOOKUP(frasest[[#This Row],[author_es]],autorest[author_es],autorest[iso3691])</f>
        <v>es</v>
      </c>
      <c r="K1465" t="str">
        <f>_xlfn.XLOOKUP(frasest[[#This Row],[author_es]],autorest[author_es],autorest[language_es])</f>
        <v>Español</v>
      </c>
      <c r="L1465" t="str">
        <f>_xlfn.XLOOKUP(frasest[[#This Row],[author_es]],autorest[author_es],autorest[language_la])</f>
        <v>Lingua Hispanica</v>
      </c>
      <c r="M1465" t="str">
        <f>_xlfn.XLOOKUP(frasest[[#This Row],[author_es]],autorest[author_es],autorest[nation_es])</f>
        <v>España</v>
      </c>
      <c r="N1465" t="str">
        <f>_xlfn.XLOOKUP(frasest[[#This Row],[author_es]],autorest[author_es],autorest[nation_la])</f>
        <v>Hispania</v>
      </c>
      <c r="O1465" t="str">
        <f>_xlfn.XLOOKUP(frasest[[#This Row],[author_es]],autorest[author_es],autorest[age_es])</f>
        <v>Edad Media</v>
      </c>
      <c r="P1465" t="str">
        <f>_xlfn.XLOOKUP(frasest[[#This Row],[author_es]],autorest[author_es],autorest[age_la])</f>
        <v>Medium Aevum</v>
      </c>
      <c r="Q1465" t="str">
        <f>_xlfn.XLOOKUP(frasest[[#This Row],[author_es]],autorest[author_es],autorest[image])</f>
        <v>https://i.ibb.co/DD8cx8tb/ignacioloiola.png</v>
      </c>
      <c r="R1465">
        <f>_xlfn.XLOOKUP(frasest[[#This Row],[author_es]],autorest[author_es],autorest[image_atr])</f>
        <v>0</v>
      </c>
    </row>
    <row r="1466" spans="1:18">
      <c r="A1466">
        <v>1465</v>
      </c>
      <c r="B1466" t="s">
        <v>4511</v>
      </c>
      <c r="C1466" t="s">
        <v>4512</v>
      </c>
      <c r="D1466" t="s">
        <v>4512</v>
      </c>
      <c r="E1466" t="s">
        <v>4487</v>
      </c>
      <c r="F1466" t="s">
        <v>4488</v>
      </c>
      <c r="G1466" t="str">
        <f>_xlfn.XLOOKUP(frasest[[#This Row],[author_es]],autorest[author_es],autorest[author_la])</f>
        <v>Sanctus Ignatius de Loyola</v>
      </c>
      <c r="H146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6" t="str">
        <f>_xlfn.XLOOKUP(frasest[[#This Row],[author_es]],autorest[author_es],autorest[iso3691])</f>
        <v>es</v>
      </c>
      <c r="K1466" t="str">
        <f>_xlfn.XLOOKUP(frasest[[#This Row],[author_es]],autorest[author_es],autorest[language_es])</f>
        <v>Español</v>
      </c>
      <c r="L1466" t="str">
        <f>_xlfn.XLOOKUP(frasest[[#This Row],[author_es]],autorest[author_es],autorest[language_la])</f>
        <v>Lingua Hispanica</v>
      </c>
      <c r="M1466" t="str">
        <f>_xlfn.XLOOKUP(frasest[[#This Row],[author_es]],autorest[author_es],autorest[nation_es])</f>
        <v>España</v>
      </c>
      <c r="N1466" t="str">
        <f>_xlfn.XLOOKUP(frasest[[#This Row],[author_es]],autorest[author_es],autorest[nation_la])</f>
        <v>Hispania</v>
      </c>
      <c r="O1466" t="str">
        <f>_xlfn.XLOOKUP(frasest[[#This Row],[author_es]],autorest[author_es],autorest[age_es])</f>
        <v>Edad Media</v>
      </c>
      <c r="P1466" t="str">
        <f>_xlfn.XLOOKUP(frasest[[#This Row],[author_es]],autorest[author_es],autorest[age_la])</f>
        <v>Medium Aevum</v>
      </c>
      <c r="Q1466" t="str">
        <f>_xlfn.XLOOKUP(frasest[[#This Row],[author_es]],autorest[author_es],autorest[image])</f>
        <v>https://i.ibb.co/DD8cx8tb/ignacioloiola.png</v>
      </c>
      <c r="R1466">
        <f>_xlfn.XLOOKUP(frasest[[#This Row],[author_es]],autorest[author_es],autorest[image_atr])</f>
        <v>0</v>
      </c>
    </row>
    <row r="1467" spans="1:18">
      <c r="A1467">
        <v>1466</v>
      </c>
      <c r="B1467" t="s">
        <v>4513</v>
      </c>
      <c r="C1467" t="s">
        <v>4514</v>
      </c>
      <c r="D1467" t="s">
        <v>4514</v>
      </c>
      <c r="E1467" t="s">
        <v>4487</v>
      </c>
      <c r="F1467" t="s">
        <v>4488</v>
      </c>
      <c r="G1467" t="str">
        <f>_xlfn.XLOOKUP(frasest[[#This Row],[author_es]],autorest[author_es],autorest[author_la])</f>
        <v>Sanctus Ignatius de Loyola</v>
      </c>
      <c r="H146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7" t="str">
        <f>_xlfn.XLOOKUP(frasest[[#This Row],[author_es]],autorest[author_es],autorest[iso3691])</f>
        <v>es</v>
      </c>
      <c r="K1467" t="str">
        <f>_xlfn.XLOOKUP(frasest[[#This Row],[author_es]],autorest[author_es],autorest[language_es])</f>
        <v>Español</v>
      </c>
      <c r="L1467" t="str">
        <f>_xlfn.XLOOKUP(frasest[[#This Row],[author_es]],autorest[author_es],autorest[language_la])</f>
        <v>Lingua Hispanica</v>
      </c>
      <c r="M1467" t="str">
        <f>_xlfn.XLOOKUP(frasest[[#This Row],[author_es]],autorest[author_es],autorest[nation_es])</f>
        <v>España</v>
      </c>
      <c r="N1467" t="str">
        <f>_xlfn.XLOOKUP(frasest[[#This Row],[author_es]],autorest[author_es],autorest[nation_la])</f>
        <v>Hispania</v>
      </c>
      <c r="O1467" t="str">
        <f>_xlfn.XLOOKUP(frasest[[#This Row],[author_es]],autorest[author_es],autorest[age_es])</f>
        <v>Edad Media</v>
      </c>
      <c r="P1467" t="str">
        <f>_xlfn.XLOOKUP(frasest[[#This Row],[author_es]],autorest[author_es],autorest[age_la])</f>
        <v>Medium Aevum</v>
      </c>
      <c r="Q1467" t="str">
        <f>_xlfn.XLOOKUP(frasest[[#This Row],[author_es]],autorest[author_es],autorest[image])</f>
        <v>https://i.ibb.co/DD8cx8tb/ignacioloiola.png</v>
      </c>
      <c r="R1467">
        <f>_xlfn.XLOOKUP(frasest[[#This Row],[author_es]],autorest[author_es],autorest[image_atr])</f>
        <v>0</v>
      </c>
    </row>
    <row r="1468" spans="1:18">
      <c r="A1468">
        <v>1467</v>
      </c>
      <c r="B1468" t="s">
        <v>4515</v>
      </c>
      <c r="C1468" t="s">
        <v>4516</v>
      </c>
      <c r="D1468" t="s">
        <v>4517</v>
      </c>
      <c r="E1468" t="s">
        <v>4518</v>
      </c>
      <c r="F1468" t="s">
        <v>4519</v>
      </c>
      <c r="G1468" t="str">
        <f>_xlfn.XLOOKUP(frasest[[#This Row],[author_es]],autorest[author_es],autorest[author_la])</f>
        <v>Homerus</v>
      </c>
      <c r="H1468" t="str">
        <f>_xlfn.XLOOKUP(frasest[[#This Row],[author_es]],autorest[author_es],autorest[bio_es])</f>
        <v>Poeta épico griego autor de la Ilíada y la Odisea, las dos obras fundamentales de la literatura griega antigua y occidental.</v>
      </c>
      <c r="I1468" t="str">
        <f>_xlfn.XLOOKUP(frasest[[#This Row],[author_es]],autorest[author_es],autorest[bio_la])</f>
        <v>Poeta epicus Graecus auctor Iliadis et Odysseae, duo opera fundamentalia litteraturae Graecae antiquae et occidentalis.</v>
      </c>
      <c r="J1468" t="str">
        <f>_xlfn.XLOOKUP(frasest[[#This Row],[author_es]],autorest[author_es],autorest[iso3691])</f>
        <v>el</v>
      </c>
      <c r="K1468" t="str">
        <f>_xlfn.XLOOKUP(frasest[[#This Row],[author_es]],autorest[author_es],autorest[language_es])</f>
        <v>Griego</v>
      </c>
      <c r="L1468" t="str">
        <f>_xlfn.XLOOKUP(frasest[[#This Row],[author_es]],autorest[author_es],autorest[language_la])</f>
        <v>Lingua Graeca</v>
      </c>
      <c r="M1468" t="str">
        <f>_xlfn.XLOOKUP(frasest[[#This Row],[author_es]],autorest[author_es],autorest[nation_es])</f>
        <v>Grecia</v>
      </c>
      <c r="N1468" t="str">
        <f>_xlfn.XLOOKUP(frasest[[#This Row],[author_es]],autorest[author_es],autorest[nation_la])</f>
        <v>Graecia</v>
      </c>
      <c r="O1468" t="str">
        <f>_xlfn.XLOOKUP(frasest[[#This Row],[author_es]],autorest[author_es],autorest[age_es])</f>
        <v>Edad Antigua</v>
      </c>
      <c r="P1468" t="str">
        <f>_xlfn.XLOOKUP(frasest[[#This Row],[author_es]],autorest[author_es],autorest[age_la])</f>
        <v>Antiquitas</v>
      </c>
      <c r="Q1468" t="str">
        <f>_xlfn.XLOOKUP(frasest[[#This Row],[author_es]],autorest[author_es],autorest[image])</f>
        <v>https://i.ibb.co/7Nb8gNJ3/homero.png</v>
      </c>
      <c r="R1468">
        <f>_xlfn.XLOOKUP(frasest[[#This Row],[author_es]],autorest[author_es],autorest[image_atr])</f>
        <v>0</v>
      </c>
    </row>
    <row r="1469" spans="1:18">
      <c r="A1469">
        <v>1468</v>
      </c>
      <c r="B1469" t="s">
        <v>4520</v>
      </c>
      <c r="C1469" t="s">
        <v>4521</v>
      </c>
      <c r="D1469" t="s">
        <v>4522</v>
      </c>
      <c r="E1469" t="s">
        <v>4518</v>
      </c>
      <c r="F1469" t="s">
        <v>4523</v>
      </c>
      <c r="G1469" t="str">
        <f>_xlfn.XLOOKUP(frasest[[#This Row],[author_es]],autorest[author_es],autorest[author_la])</f>
        <v>Homerus</v>
      </c>
      <c r="H1469" t="str">
        <f>_xlfn.XLOOKUP(frasest[[#This Row],[author_es]],autorest[author_es],autorest[bio_es])</f>
        <v>Poeta épico griego autor de la Ilíada y la Odisea, las dos obras fundamentales de la literatura griega antigua y occidental.</v>
      </c>
      <c r="I1469" t="str">
        <f>_xlfn.XLOOKUP(frasest[[#This Row],[author_es]],autorest[author_es],autorest[bio_la])</f>
        <v>Poeta epicus Graecus auctor Iliadis et Odysseae, duo opera fundamentalia litteraturae Graecae antiquae et occidentalis.</v>
      </c>
      <c r="J1469" t="str">
        <f>_xlfn.XLOOKUP(frasest[[#This Row],[author_es]],autorest[author_es],autorest[iso3691])</f>
        <v>el</v>
      </c>
      <c r="K1469" t="str">
        <f>_xlfn.XLOOKUP(frasest[[#This Row],[author_es]],autorest[author_es],autorest[language_es])</f>
        <v>Griego</v>
      </c>
      <c r="L1469" t="str">
        <f>_xlfn.XLOOKUP(frasest[[#This Row],[author_es]],autorest[author_es],autorest[language_la])</f>
        <v>Lingua Graeca</v>
      </c>
      <c r="M1469" t="str">
        <f>_xlfn.XLOOKUP(frasest[[#This Row],[author_es]],autorest[author_es],autorest[nation_es])</f>
        <v>Grecia</v>
      </c>
      <c r="N1469" t="str">
        <f>_xlfn.XLOOKUP(frasest[[#This Row],[author_es]],autorest[author_es],autorest[nation_la])</f>
        <v>Graecia</v>
      </c>
      <c r="O1469" t="str">
        <f>_xlfn.XLOOKUP(frasest[[#This Row],[author_es]],autorest[author_es],autorest[age_es])</f>
        <v>Edad Antigua</v>
      </c>
      <c r="P1469" t="str">
        <f>_xlfn.XLOOKUP(frasest[[#This Row],[author_es]],autorest[author_es],autorest[age_la])</f>
        <v>Antiquitas</v>
      </c>
      <c r="Q1469" t="str">
        <f>_xlfn.XLOOKUP(frasest[[#This Row],[author_es]],autorest[author_es],autorest[image])</f>
        <v>https://i.ibb.co/7Nb8gNJ3/homero.png</v>
      </c>
      <c r="R1469">
        <f>_xlfn.XLOOKUP(frasest[[#This Row],[author_es]],autorest[author_es],autorest[image_atr])</f>
        <v>0</v>
      </c>
    </row>
    <row r="1470" spans="1:18">
      <c r="A1470">
        <v>1469</v>
      </c>
      <c r="B1470" t="s">
        <v>4524</v>
      </c>
      <c r="C1470" t="s">
        <v>4525</v>
      </c>
      <c r="D1470" t="s">
        <v>4526</v>
      </c>
      <c r="E1470" t="s">
        <v>4518</v>
      </c>
      <c r="F1470" t="s">
        <v>4519</v>
      </c>
      <c r="G1470" t="str">
        <f>_xlfn.XLOOKUP(frasest[[#This Row],[author_es]],autorest[author_es],autorest[author_la])</f>
        <v>Homerus</v>
      </c>
      <c r="H1470" t="str">
        <f>_xlfn.XLOOKUP(frasest[[#This Row],[author_es]],autorest[author_es],autorest[bio_es])</f>
        <v>Poeta épico griego autor de la Ilíada y la Odisea, las dos obras fundamentales de la literatura griega antigua y occidental.</v>
      </c>
      <c r="I1470" t="str">
        <f>_xlfn.XLOOKUP(frasest[[#This Row],[author_es]],autorest[author_es],autorest[bio_la])</f>
        <v>Poeta epicus Graecus auctor Iliadis et Odysseae, duo opera fundamentalia litteraturae Graecae antiquae et occidentalis.</v>
      </c>
      <c r="J1470" t="str">
        <f>_xlfn.XLOOKUP(frasest[[#This Row],[author_es]],autorest[author_es],autorest[iso3691])</f>
        <v>el</v>
      </c>
      <c r="K1470" t="str">
        <f>_xlfn.XLOOKUP(frasest[[#This Row],[author_es]],autorest[author_es],autorest[language_es])</f>
        <v>Griego</v>
      </c>
      <c r="L1470" t="str">
        <f>_xlfn.XLOOKUP(frasest[[#This Row],[author_es]],autorest[author_es],autorest[language_la])</f>
        <v>Lingua Graeca</v>
      </c>
      <c r="M1470" t="str">
        <f>_xlfn.XLOOKUP(frasest[[#This Row],[author_es]],autorest[author_es],autorest[nation_es])</f>
        <v>Grecia</v>
      </c>
      <c r="N1470" t="str">
        <f>_xlfn.XLOOKUP(frasest[[#This Row],[author_es]],autorest[author_es],autorest[nation_la])</f>
        <v>Graecia</v>
      </c>
      <c r="O1470" t="str">
        <f>_xlfn.XLOOKUP(frasest[[#This Row],[author_es]],autorest[author_es],autorest[age_es])</f>
        <v>Edad Antigua</v>
      </c>
      <c r="P1470" t="str">
        <f>_xlfn.XLOOKUP(frasest[[#This Row],[author_es]],autorest[author_es],autorest[age_la])</f>
        <v>Antiquitas</v>
      </c>
      <c r="Q1470" t="str">
        <f>_xlfn.XLOOKUP(frasest[[#This Row],[author_es]],autorest[author_es],autorest[image])</f>
        <v>https://i.ibb.co/7Nb8gNJ3/homero.png</v>
      </c>
      <c r="R1470">
        <f>_xlfn.XLOOKUP(frasest[[#This Row],[author_es]],autorest[author_es],autorest[image_atr])</f>
        <v>0</v>
      </c>
    </row>
    <row r="1471" spans="1:18">
      <c r="A1471">
        <v>1470</v>
      </c>
      <c r="B1471" t="s">
        <v>4527</v>
      </c>
      <c r="C1471" t="s">
        <v>4528</v>
      </c>
      <c r="D1471" t="s">
        <v>4529</v>
      </c>
      <c r="E1471" t="s">
        <v>4518</v>
      </c>
      <c r="F1471" t="s">
        <v>4530</v>
      </c>
      <c r="G1471" t="str">
        <f>_xlfn.XLOOKUP(frasest[[#This Row],[author_es]],autorest[author_es],autorest[author_la])</f>
        <v>Homerus</v>
      </c>
      <c r="H1471" t="str">
        <f>_xlfn.XLOOKUP(frasest[[#This Row],[author_es]],autorest[author_es],autorest[bio_es])</f>
        <v>Poeta épico griego autor de la Ilíada y la Odisea, las dos obras fundamentales de la literatura griega antigua y occidental.</v>
      </c>
      <c r="I1471" t="str">
        <f>_xlfn.XLOOKUP(frasest[[#This Row],[author_es]],autorest[author_es],autorest[bio_la])</f>
        <v>Poeta epicus Graecus auctor Iliadis et Odysseae, duo opera fundamentalia litteraturae Graecae antiquae et occidentalis.</v>
      </c>
      <c r="J1471" t="str">
        <f>_xlfn.XLOOKUP(frasest[[#This Row],[author_es]],autorest[author_es],autorest[iso3691])</f>
        <v>el</v>
      </c>
      <c r="K1471" t="str">
        <f>_xlfn.XLOOKUP(frasest[[#This Row],[author_es]],autorest[author_es],autorest[language_es])</f>
        <v>Griego</v>
      </c>
      <c r="L1471" t="str">
        <f>_xlfn.XLOOKUP(frasest[[#This Row],[author_es]],autorest[author_es],autorest[language_la])</f>
        <v>Lingua Graeca</v>
      </c>
      <c r="M1471" t="str">
        <f>_xlfn.XLOOKUP(frasest[[#This Row],[author_es]],autorest[author_es],autorest[nation_es])</f>
        <v>Grecia</v>
      </c>
      <c r="N1471" t="str">
        <f>_xlfn.XLOOKUP(frasest[[#This Row],[author_es]],autorest[author_es],autorest[nation_la])</f>
        <v>Graecia</v>
      </c>
      <c r="O1471" t="str">
        <f>_xlfn.XLOOKUP(frasest[[#This Row],[author_es]],autorest[author_es],autorest[age_es])</f>
        <v>Edad Antigua</v>
      </c>
      <c r="P1471" t="str">
        <f>_xlfn.XLOOKUP(frasest[[#This Row],[author_es]],autorest[author_es],autorest[age_la])</f>
        <v>Antiquitas</v>
      </c>
      <c r="Q1471" t="str">
        <f>_xlfn.XLOOKUP(frasest[[#This Row],[author_es]],autorest[author_es],autorest[image])</f>
        <v>https://i.ibb.co/7Nb8gNJ3/homero.png</v>
      </c>
      <c r="R1471">
        <f>_xlfn.XLOOKUP(frasest[[#This Row],[author_es]],autorest[author_es],autorest[image_atr])</f>
        <v>0</v>
      </c>
    </row>
    <row r="1472" spans="1:18">
      <c r="A1472">
        <v>1471</v>
      </c>
      <c r="B1472" t="s">
        <v>4531</v>
      </c>
      <c r="C1472" t="s">
        <v>4532</v>
      </c>
      <c r="D1472" t="s">
        <v>4533</v>
      </c>
      <c r="E1472" t="s">
        <v>4518</v>
      </c>
      <c r="F1472" t="s">
        <v>4534</v>
      </c>
      <c r="G1472" t="str">
        <f>_xlfn.XLOOKUP(frasest[[#This Row],[author_es]],autorest[author_es],autorest[author_la])</f>
        <v>Homerus</v>
      </c>
      <c r="H1472" t="str">
        <f>_xlfn.XLOOKUP(frasest[[#This Row],[author_es]],autorest[author_es],autorest[bio_es])</f>
        <v>Poeta épico griego autor de la Ilíada y la Odisea, las dos obras fundamentales de la literatura griega antigua y occidental.</v>
      </c>
      <c r="I1472" t="str">
        <f>_xlfn.XLOOKUP(frasest[[#This Row],[author_es]],autorest[author_es],autorest[bio_la])</f>
        <v>Poeta epicus Graecus auctor Iliadis et Odysseae, duo opera fundamentalia litteraturae Graecae antiquae et occidentalis.</v>
      </c>
      <c r="J1472" t="str">
        <f>_xlfn.XLOOKUP(frasest[[#This Row],[author_es]],autorest[author_es],autorest[iso3691])</f>
        <v>el</v>
      </c>
      <c r="K1472" t="str">
        <f>_xlfn.XLOOKUP(frasest[[#This Row],[author_es]],autorest[author_es],autorest[language_es])</f>
        <v>Griego</v>
      </c>
      <c r="L1472" t="str">
        <f>_xlfn.XLOOKUP(frasest[[#This Row],[author_es]],autorest[author_es],autorest[language_la])</f>
        <v>Lingua Graeca</v>
      </c>
      <c r="M1472" t="str">
        <f>_xlfn.XLOOKUP(frasest[[#This Row],[author_es]],autorest[author_es],autorest[nation_es])</f>
        <v>Grecia</v>
      </c>
      <c r="N1472" t="str">
        <f>_xlfn.XLOOKUP(frasest[[#This Row],[author_es]],autorest[author_es],autorest[nation_la])</f>
        <v>Graecia</v>
      </c>
      <c r="O1472" t="str">
        <f>_xlfn.XLOOKUP(frasest[[#This Row],[author_es]],autorest[author_es],autorest[age_es])</f>
        <v>Edad Antigua</v>
      </c>
      <c r="P1472" t="str">
        <f>_xlfn.XLOOKUP(frasest[[#This Row],[author_es]],autorest[author_es],autorest[age_la])</f>
        <v>Antiquitas</v>
      </c>
      <c r="Q1472" t="str">
        <f>_xlfn.XLOOKUP(frasest[[#This Row],[author_es]],autorest[author_es],autorest[image])</f>
        <v>https://i.ibb.co/7Nb8gNJ3/homero.png</v>
      </c>
      <c r="R1472">
        <f>_xlfn.XLOOKUP(frasest[[#This Row],[author_es]],autorest[author_es],autorest[image_atr])</f>
        <v>0</v>
      </c>
    </row>
    <row r="1473" spans="1:18">
      <c r="A1473">
        <v>1472</v>
      </c>
      <c r="B1473" t="s">
        <v>4535</v>
      </c>
      <c r="C1473" t="s">
        <v>4536</v>
      </c>
      <c r="D1473" t="s">
        <v>4537</v>
      </c>
      <c r="E1473" t="s">
        <v>4518</v>
      </c>
      <c r="F1473" t="s">
        <v>4538</v>
      </c>
      <c r="G1473" t="str">
        <f>_xlfn.XLOOKUP(frasest[[#This Row],[author_es]],autorest[author_es],autorest[author_la])</f>
        <v>Homerus</v>
      </c>
      <c r="H1473" t="str">
        <f>_xlfn.XLOOKUP(frasest[[#This Row],[author_es]],autorest[author_es],autorest[bio_es])</f>
        <v>Poeta épico griego autor de la Ilíada y la Odisea, las dos obras fundamentales de la literatura griega antigua y occidental.</v>
      </c>
      <c r="I1473" t="str">
        <f>_xlfn.XLOOKUP(frasest[[#This Row],[author_es]],autorest[author_es],autorest[bio_la])</f>
        <v>Poeta epicus Graecus auctor Iliadis et Odysseae, duo opera fundamentalia litteraturae Graecae antiquae et occidentalis.</v>
      </c>
      <c r="J1473" t="str">
        <f>_xlfn.XLOOKUP(frasest[[#This Row],[author_es]],autorest[author_es],autorest[iso3691])</f>
        <v>el</v>
      </c>
      <c r="K1473" t="str">
        <f>_xlfn.XLOOKUP(frasest[[#This Row],[author_es]],autorest[author_es],autorest[language_es])</f>
        <v>Griego</v>
      </c>
      <c r="L1473" t="str">
        <f>_xlfn.XLOOKUP(frasest[[#This Row],[author_es]],autorest[author_es],autorest[language_la])</f>
        <v>Lingua Graeca</v>
      </c>
      <c r="M1473" t="str">
        <f>_xlfn.XLOOKUP(frasest[[#This Row],[author_es]],autorest[author_es],autorest[nation_es])</f>
        <v>Grecia</v>
      </c>
      <c r="N1473" t="str">
        <f>_xlfn.XLOOKUP(frasest[[#This Row],[author_es]],autorest[author_es],autorest[nation_la])</f>
        <v>Graecia</v>
      </c>
      <c r="O1473" t="str">
        <f>_xlfn.XLOOKUP(frasest[[#This Row],[author_es]],autorest[author_es],autorest[age_es])</f>
        <v>Edad Antigua</v>
      </c>
      <c r="P1473" t="str">
        <f>_xlfn.XLOOKUP(frasest[[#This Row],[author_es]],autorest[author_es],autorest[age_la])</f>
        <v>Antiquitas</v>
      </c>
      <c r="Q1473" t="str">
        <f>_xlfn.XLOOKUP(frasest[[#This Row],[author_es]],autorest[author_es],autorest[image])</f>
        <v>https://i.ibb.co/7Nb8gNJ3/homero.png</v>
      </c>
      <c r="R1473">
        <f>_xlfn.XLOOKUP(frasest[[#This Row],[author_es]],autorest[author_es],autorest[image_atr])</f>
        <v>0</v>
      </c>
    </row>
    <row r="1474" spans="1:18">
      <c r="A1474">
        <v>1473</v>
      </c>
      <c r="B1474" t="s">
        <v>4539</v>
      </c>
      <c r="C1474" t="s">
        <v>4540</v>
      </c>
      <c r="D1474" t="s">
        <v>4540</v>
      </c>
      <c r="E1474" t="s">
        <v>4541</v>
      </c>
      <c r="F1474" t="s">
        <v>4542</v>
      </c>
      <c r="G1474" t="str">
        <f>_xlfn.XLOOKUP(frasest[[#This Row],[author_es]],autorest[author_es],autorest[author_la])</f>
        <v>Sanctus Bonaventura</v>
      </c>
      <c r="H1474"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4"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4" t="str">
        <f>_xlfn.XLOOKUP(frasest[[#This Row],[author_es]],autorest[author_es],autorest[iso3691])</f>
        <v>la</v>
      </c>
      <c r="K1474" t="str">
        <f>_xlfn.XLOOKUP(frasest[[#This Row],[author_es]],autorest[author_es],autorest[language_es])</f>
        <v>Latín</v>
      </c>
      <c r="L1474" t="str">
        <f>_xlfn.XLOOKUP(frasest[[#This Row],[author_es]],autorest[author_es],autorest[language_la])</f>
        <v>Lingua Latina</v>
      </c>
      <c r="M1474" t="str">
        <f>_xlfn.XLOOKUP(frasest[[#This Row],[author_es]],autorest[author_es],autorest[nation_es])</f>
        <v>Italia</v>
      </c>
      <c r="N1474" t="str">
        <f>_xlfn.XLOOKUP(frasest[[#This Row],[author_es]],autorest[author_es],autorest[nation_la])</f>
        <v>Italia</v>
      </c>
      <c r="O1474" t="str">
        <f>_xlfn.XLOOKUP(frasest[[#This Row],[author_es]],autorest[author_es],autorest[age_es])</f>
        <v>Edad Media</v>
      </c>
      <c r="P1474" t="str">
        <f>_xlfn.XLOOKUP(frasest[[#This Row],[author_es]],autorest[author_es],autorest[age_la])</f>
        <v>Medium Aevum</v>
      </c>
      <c r="Q1474" t="str">
        <f>_xlfn.XLOOKUP(frasest[[#This Row],[author_es]],autorest[author_es],autorest[image])</f>
        <v>https://i.ibb.co/Z129mSh3/buenaventura.png</v>
      </c>
      <c r="R1474">
        <f>_xlfn.XLOOKUP(frasest[[#This Row],[author_es]],autorest[author_es],autorest[image_atr])</f>
        <v>0</v>
      </c>
    </row>
    <row r="1475" spans="1:18">
      <c r="A1475">
        <v>1474</v>
      </c>
      <c r="B1475" t="s">
        <v>4543</v>
      </c>
      <c r="C1475" t="s">
        <v>4544</v>
      </c>
      <c r="D1475" t="s">
        <v>4544</v>
      </c>
      <c r="E1475" t="s">
        <v>4541</v>
      </c>
      <c r="F1475" t="s">
        <v>4545</v>
      </c>
      <c r="G1475" t="str">
        <f>_xlfn.XLOOKUP(frasest[[#This Row],[author_es]],autorest[author_es],autorest[author_la])</f>
        <v>Sanctus Bonaventura</v>
      </c>
      <c r="H1475"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5"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5" t="str">
        <f>_xlfn.XLOOKUP(frasest[[#This Row],[author_es]],autorest[author_es],autorest[iso3691])</f>
        <v>la</v>
      </c>
      <c r="K1475" t="str">
        <f>_xlfn.XLOOKUP(frasest[[#This Row],[author_es]],autorest[author_es],autorest[language_es])</f>
        <v>Latín</v>
      </c>
      <c r="L1475" t="str">
        <f>_xlfn.XLOOKUP(frasest[[#This Row],[author_es]],autorest[author_es],autorest[language_la])</f>
        <v>Lingua Latina</v>
      </c>
      <c r="M1475" t="str">
        <f>_xlfn.XLOOKUP(frasest[[#This Row],[author_es]],autorest[author_es],autorest[nation_es])</f>
        <v>Italia</v>
      </c>
      <c r="N1475" t="str">
        <f>_xlfn.XLOOKUP(frasest[[#This Row],[author_es]],autorest[author_es],autorest[nation_la])</f>
        <v>Italia</v>
      </c>
      <c r="O1475" t="str">
        <f>_xlfn.XLOOKUP(frasest[[#This Row],[author_es]],autorest[author_es],autorest[age_es])</f>
        <v>Edad Media</v>
      </c>
      <c r="P1475" t="str">
        <f>_xlfn.XLOOKUP(frasest[[#This Row],[author_es]],autorest[author_es],autorest[age_la])</f>
        <v>Medium Aevum</v>
      </c>
      <c r="Q1475" t="str">
        <f>_xlfn.XLOOKUP(frasest[[#This Row],[author_es]],autorest[author_es],autorest[image])</f>
        <v>https://i.ibb.co/Z129mSh3/buenaventura.png</v>
      </c>
      <c r="R1475">
        <f>_xlfn.XLOOKUP(frasest[[#This Row],[author_es]],autorest[author_es],autorest[image_atr])</f>
        <v>0</v>
      </c>
    </row>
    <row r="1476" spans="1:18">
      <c r="A1476">
        <v>1475</v>
      </c>
      <c r="B1476" t="s">
        <v>4546</v>
      </c>
      <c r="C1476" t="s">
        <v>4547</v>
      </c>
      <c r="D1476" t="s">
        <v>4547</v>
      </c>
      <c r="E1476" t="s">
        <v>4541</v>
      </c>
      <c r="F1476" t="s">
        <v>4548</v>
      </c>
      <c r="G1476" t="str">
        <f>_xlfn.XLOOKUP(frasest[[#This Row],[author_es]],autorest[author_es],autorest[author_la])</f>
        <v>Sanctus Bonaventura</v>
      </c>
      <c r="H1476"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6"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6" t="str">
        <f>_xlfn.XLOOKUP(frasest[[#This Row],[author_es]],autorest[author_es],autorest[iso3691])</f>
        <v>la</v>
      </c>
      <c r="K1476" t="str">
        <f>_xlfn.XLOOKUP(frasest[[#This Row],[author_es]],autorest[author_es],autorest[language_es])</f>
        <v>Latín</v>
      </c>
      <c r="L1476" t="str">
        <f>_xlfn.XLOOKUP(frasest[[#This Row],[author_es]],autorest[author_es],autorest[language_la])</f>
        <v>Lingua Latina</v>
      </c>
      <c r="M1476" t="str">
        <f>_xlfn.XLOOKUP(frasest[[#This Row],[author_es]],autorest[author_es],autorest[nation_es])</f>
        <v>Italia</v>
      </c>
      <c r="N1476" t="str">
        <f>_xlfn.XLOOKUP(frasest[[#This Row],[author_es]],autorest[author_es],autorest[nation_la])</f>
        <v>Italia</v>
      </c>
      <c r="O1476" t="str">
        <f>_xlfn.XLOOKUP(frasest[[#This Row],[author_es]],autorest[author_es],autorest[age_es])</f>
        <v>Edad Media</v>
      </c>
      <c r="P1476" t="str">
        <f>_xlfn.XLOOKUP(frasest[[#This Row],[author_es]],autorest[author_es],autorest[age_la])</f>
        <v>Medium Aevum</v>
      </c>
      <c r="Q1476" t="str">
        <f>_xlfn.XLOOKUP(frasest[[#This Row],[author_es]],autorest[author_es],autorest[image])</f>
        <v>https://i.ibb.co/Z129mSh3/buenaventura.png</v>
      </c>
      <c r="R1476">
        <f>_xlfn.XLOOKUP(frasest[[#This Row],[author_es]],autorest[author_es],autorest[image_atr])</f>
        <v>0</v>
      </c>
    </row>
    <row r="1477" spans="1:18">
      <c r="A1477">
        <v>1476</v>
      </c>
      <c r="B1477" t="s">
        <v>4549</v>
      </c>
      <c r="C1477" t="s">
        <v>4550</v>
      </c>
      <c r="D1477" t="s">
        <v>4550</v>
      </c>
      <c r="E1477" t="s">
        <v>4541</v>
      </c>
      <c r="F1477" t="s">
        <v>4551</v>
      </c>
      <c r="G1477" t="str">
        <f>_xlfn.XLOOKUP(frasest[[#This Row],[author_es]],autorest[author_es],autorest[author_la])</f>
        <v>Sanctus Bonaventura</v>
      </c>
      <c r="H1477"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7"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7" t="str">
        <f>_xlfn.XLOOKUP(frasest[[#This Row],[author_es]],autorest[author_es],autorest[iso3691])</f>
        <v>la</v>
      </c>
      <c r="K1477" t="str">
        <f>_xlfn.XLOOKUP(frasest[[#This Row],[author_es]],autorest[author_es],autorest[language_es])</f>
        <v>Latín</v>
      </c>
      <c r="L1477" t="str">
        <f>_xlfn.XLOOKUP(frasest[[#This Row],[author_es]],autorest[author_es],autorest[language_la])</f>
        <v>Lingua Latina</v>
      </c>
      <c r="M1477" t="str">
        <f>_xlfn.XLOOKUP(frasest[[#This Row],[author_es]],autorest[author_es],autorest[nation_es])</f>
        <v>Italia</v>
      </c>
      <c r="N1477" t="str">
        <f>_xlfn.XLOOKUP(frasest[[#This Row],[author_es]],autorest[author_es],autorest[nation_la])</f>
        <v>Italia</v>
      </c>
      <c r="O1477" t="str">
        <f>_xlfn.XLOOKUP(frasest[[#This Row],[author_es]],autorest[author_es],autorest[age_es])</f>
        <v>Edad Media</v>
      </c>
      <c r="P1477" t="str">
        <f>_xlfn.XLOOKUP(frasest[[#This Row],[author_es]],autorest[author_es],autorest[age_la])</f>
        <v>Medium Aevum</v>
      </c>
      <c r="Q1477" t="str">
        <f>_xlfn.XLOOKUP(frasest[[#This Row],[author_es]],autorest[author_es],autorest[image])</f>
        <v>https://i.ibb.co/Z129mSh3/buenaventura.png</v>
      </c>
      <c r="R1477">
        <f>_xlfn.XLOOKUP(frasest[[#This Row],[author_es]],autorest[author_es],autorest[image_atr])</f>
        <v>0</v>
      </c>
    </row>
    <row r="1478" spans="1:18">
      <c r="A1478">
        <v>1477</v>
      </c>
      <c r="B1478" t="s">
        <v>4552</v>
      </c>
      <c r="C1478" t="s">
        <v>4553</v>
      </c>
      <c r="D1478" t="s">
        <v>4553</v>
      </c>
      <c r="E1478" t="s">
        <v>4554</v>
      </c>
      <c r="F1478" t="s">
        <v>4555</v>
      </c>
      <c r="G1478" t="str">
        <f>_xlfn.XLOOKUP(frasest[[#This Row],[author_es]],autorest[author_es],autorest[author_la])</f>
        <v>Petrus Abaelardus</v>
      </c>
      <c r="H1478"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8" t="str">
        <f>_xlfn.XLOOKUP(frasest[[#This Row],[author_es]],autorest[author_es],autorest[bio_la])</f>
        <v>Philosophus et theologus Francicus initiator logicae medievalis celebris pro methodo dubitationis ut via ad veritatem et pro amore tragico cum Heloisa propter ideas heterodoxas persecutus</v>
      </c>
      <c r="J1478" t="str">
        <f>_xlfn.XLOOKUP(frasest[[#This Row],[author_es]],autorest[author_es],autorest[iso3691])</f>
        <v>la</v>
      </c>
      <c r="K1478" t="str">
        <f>_xlfn.XLOOKUP(frasest[[#This Row],[author_es]],autorest[author_es],autorest[language_es])</f>
        <v>Latín</v>
      </c>
      <c r="L1478" t="str">
        <f>_xlfn.XLOOKUP(frasest[[#This Row],[author_es]],autorest[author_es],autorest[language_la])</f>
        <v>Lingua Latina</v>
      </c>
      <c r="M1478" t="str">
        <f>_xlfn.XLOOKUP(frasest[[#This Row],[author_es]],autorest[author_es],autorest[nation_es])</f>
        <v>Francia</v>
      </c>
      <c r="N1478" t="str">
        <f>_xlfn.XLOOKUP(frasest[[#This Row],[author_es]],autorest[author_es],autorest[nation_la])</f>
        <v>Francia</v>
      </c>
      <c r="O1478" t="str">
        <f>_xlfn.XLOOKUP(frasest[[#This Row],[author_es]],autorest[author_es],autorest[age_es])</f>
        <v>Edad Media</v>
      </c>
      <c r="P1478" t="str">
        <f>_xlfn.XLOOKUP(frasest[[#This Row],[author_es]],autorest[author_es],autorest[age_la])</f>
        <v>Medium Aevum</v>
      </c>
      <c r="Q1478" t="str">
        <f>_xlfn.XLOOKUP(frasest[[#This Row],[author_es]],autorest[author_es],autorest[image])</f>
        <v>https://i.ibb.co/YFt2jzrQ/pedroabelardo.png</v>
      </c>
      <c r="R1478">
        <f>_xlfn.XLOOKUP(frasest[[#This Row],[author_es]],autorest[author_es],autorest[image_atr])</f>
        <v>0</v>
      </c>
    </row>
    <row r="1479" spans="1:18">
      <c r="A1479">
        <v>1478</v>
      </c>
      <c r="B1479" t="s">
        <v>4556</v>
      </c>
      <c r="C1479" t="s">
        <v>4557</v>
      </c>
      <c r="D1479" t="s">
        <v>4557</v>
      </c>
      <c r="E1479" t="s">
        <v>4554</v>
      </c>
      <c r="F1479" t="s">
        <v>4558</v>
      </c>
      <c r="G1479" t="str">
        <f>_xlfn.XLOOKUP(frasest[[#This Row],[author_es]],autorest[author_es],autorest[author_la])</f>
        <v>Petrus Abaelardus</v>
      </c>
      <c r="H1479"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9" t="str">
        <f>_xlfn.XLOOKUP(frasest[[#This Row],[author_es]],autorest[author_es],autorest[bio_la])</f>
        <v>Philosophus et theologus Francicus initiator logicae medievalis celebris pro methodo dubitationis ut via ad veritatem et pro amore tragico cum Heloisa propter ideas heterodoxas persecutus</v>
      </c>
      <c r="J1479" t="str">
        <f>_xlfn.XLOOKUP(frasest[[#This Row],[author_es]],autorest[author_es],autorest[iso3691])</f>
        <v>la</v>
      </c>
      <c r="K1479" t="str">
        <f>_xlfn.XLOOKUP(frasest[[#This Row],[author_es]],autorest[author_es],autorest[language_es])</f>
        <v>Latín</v>
      </c>
      <c r="L1479" t="str">
        <f>_xlfn.XLOOKUP(frasest[[#This Row],[author_es]],autorest[author_es],autorest[language_la])</f>
        <v>Lingua Latina</v>
      </c>
      <c r="M1479" t="str">
        <f>_xlfn.XLOOKUP(frasest[[#This Row],[author_es]],autorest[author_es],autorest[nation_es])</f>
        <v>Francia</v>
      </c>
      <c r="N1479" t="str">
        <f>_xlfn.XLOOKUP(frasest[[#This Row],[author_es]],autorest[author_es],autorest[nation_la])</f>
        <v>Francia</v>
      </c>
      <c r="O1479" t="str">
        <f>_xlfn.XLOOKUP(frasest[[#This Row],[author_es]],autorest[author_es],autorest[age_es])</f>
        <v>Edad Media</v>
      </c>
      <c r="P1479" t="str">
        <f>_xlfn.XLOOKUP(frasest[[#This Row],[author_es]],autorest[author_es],autorest[age_la])</f>
        <v>Medium Aevum</v>
      </c>
      <c r="Q1479" t="str">
        <f>_xlfn.XLOOKUP(frasest[[#This Row],[author_es]],autorest[author_es],autorest[image])</f>
        <v>https://i.ibb.co/YFt2jzrQ/pedroabelardo.png</v>
      </c>
      <c r="R1479">
        <f>_xlfn.XLOOKUP(frasest[[#This Row],[author_es]],autorest[author_es],autorest[image_atr])</f>
        <v>0</v>
      </c>
    </row>
    <row r="1480" spans="1:18">
      <c r="A1480">
        <v>1479</v>
      </c>
      <c r="B1480" s="5" t="s">
        <v>4559</v>
      </c>
      <c r="C1480" s="5" t="s">
        <v>4560</v>
      </c>
      <c r="D1480" s="5" t="s">
        <v>4561</v>
      </c>
      <c r="E1480" s="5" t="s">
        <v>4562</v>
      </c>
      <c r="F1480" s="5" t="s">
        <v>4563</v>
      </c>
      <c r="G1480" t="str">
        <f>_xlfn.XLOOKUP(frasest[[#This Row],[author_es]],autorest[author_es],autorest[author_la])</f>
        <v>Voltarius</v>
      </c>
      <c r="H1480" t="str">
        <f>_xlfn.XLOOKUP(frasest[[#This Row],[author_es]],autorest[author_es],autorest[bio_es])</f>
        <v>Escritor y filósofo francés, figura clave de la Ilustración y defensor de la libertad de expresión.</v>
      </c>
      <c r="I1480" t="str">
        <f>_xlfn.XLOOKUP(frasest[[#This Row],[author_es]],autorest[author_es],autorest[bio_la])</f>
        <v>Scriptor et philosophus Gallicus, clarissimus aetate Illuminationis et libertatis dicendi defensor.</v>
      </c>
      <c r="J1480" t="str">
        <f>_xlfn.XLOOKUP(frasest[[#This Row],[author_es]],autorest[author_es],autorest[iso3691])</f>
        <v>fr</v>
      </c>
      <c r="K1480" t="str">
        <f>_xlfn.XLOOKUP(frasest[[#This Row],[author_es]],autorest[author_es],autorest[language_es])</f>
        <v>Francés</v>
      </c>
      <c r="L1480" t="str">
        <f>_xlfn.XLOOKUP(frasest[[#This Row],[author_es]],autorest[author_es],autorest[language_la])</f>
        <v>Lingua Gallica</v>
      </c>
      <c r="M1480" t="str">
        <f>_xlfn.XLOOKUP(frasest[[#This Row],[author_es]],autorest[author_es],autorest[nation_es])</f>
        <v>Francia</v>
      </c>
      <c r="N1480" t="str">
        <f>_xlfn.XLOOKUP(frasest[[#This Row],[author_es]],autorest[author_es],autorest[nation_la])</f>
        <v>Francia</v>
      </c>
      <c r="O1480" t="str">
        <f>_xlfn.XLOOKUP(frasest[[#This Row],[author_es]],autorest[author_es],autorest[age_es])</f>
        <v>Edad Moderna</v>
      </c>
      <c r="P1480" t="str">
        <f>_xlfn.XLOOKUP(frasest[[#This Row],[author_es]],autorest[author_es],autorest[age_la])</f>
        <v>Nova Aetas</v>
      </c>
      <c r="Q1480" t="str">
        <f>_xlfn.XLOOKUP(frasest[[#This Row],[author_es]],autorest[author_es],autorest[image])</f>
        <v>https://i.ibb.co/n8Mbf5tF/voltaire-alpha.png</v>
      </c>
      <c r="R1480">
        <f>_xlfn.XLOOKUP(frasest[[#This Row],[author_es]],autorest[author_es],autorest[image_atr])</f>
        <v>0</v>
      </c>
    </row>
    <row r="1481" spans="1:18">
      <c r="A1481">
        <v>1480</v>
      </c>
      <c r="B1481" s="5" t="s">
        <v>4564</v>
      </c>
      <c r="C1481" s="5" t="s">
        <v>4565</v>
      </c>
      <c r="D1481" s="5" t="s">
        <v>4566</v>
      </c>
      <c r="E1481" s="5" t="s">
        <v>4562</v>
      </c>
      <c r="F1481" s="5" t="s">
        <v>4567</v>
      </c>
      <c r="G1481" t="str">
        <f>_xlfn.XLOOKUP(frasest[[#This Row],[author_es]],autorest[author_es],autorest[author_la])</f>
        <v>Voltarius</v>
      </c>
      <c r="H1481" t="str">
        <f>_xlfn.XLOOKUP(frasest[[#This Row],[author_es]],autorest[author_es],autorest[bio_es])</f>
        <v>Escritor y filósofo francés, figura clave de la Ilustración y defensor de la libertad de expresión.</v>
      </c>
      <c r="I1481" t="str">
        <f>_xlfn.XLOOKUP(frasest[[#This Row],[author_es]],autorest[author_es],autorest[bio_la])</f>
        <v>Scriptor et philosophus Gallicus, clarissimus aetate Illuminationis et libertatis dicendi defensor.</v>
      </c>
      <c r="J1481" t="str">
        <f>_xlfn.XLOOKUP(frasest[[#This Row],[author_es]],autorest[author_es],autorest[iso3691])</f>
        <v>fr</v>
      </c>
      <c r="K1481" t="str">
        <f>_xlfn.XLOOKUP(frasest[[#This Row],[author_es]],autorest[author_es],autorest[language_es])</f>
        <v>Francés</v>
      </c>
      <c r="L1481" t="str">
        <f>_xlfn.XLOOKUP(frasest[[#This Row],[author_es]],autorest[author_es],autorest[language_la])</f>
        <v>Lingua Gallica</v>
      </c>
      <c r="M1481" t="str">
        <f>_xlfn.XLOOKUP(frasest[[#This Row],[author_es]],autorest[author_es],autorest[nation_es])</f>
        <v>Francia</v>
      </c>
      <c r="N1481" t="str">
        <f>_xlfn.XLOOKUP(frasest[[#This Row],[author_es]],autorest[author_es],autorest[nation_la])</f>
        <v>Francia</v>
      </c>
      <c r="O1481" t="str">
        <f>_xlfn.XLOOKUP(frasest[[#This Row],[author_es]],autorest[author_es],autorest[age_es])</f>
        <v>Edad Moderna</v>
      </c>
      <c r="P1481" t="str">
        <f>_xlfn.XLOOKUP(frasest[[#This Row],[author_es]],autorest[author_es],autorest[age_la])</f>
        <v>Nova Aetas</v>
      </c>
      <c r="Q1481" t="str">
        <f>_xlfn.XLOOKUP(frasest[[#This Row],[author_es]],autorest[author_es],autorest[image])</f>
        <v>https://i.ibb.co/n8Mbf5tF/voltaire-alpha.png</v>
      </c>
      <c r="R1481">
        <f>_xlfn.XLOOKUP(frasest[[#This Row],[author_es]],autorest[author_es],autorest[image_atr])</f>
        <v>0</v>
      </c>
    </row>
    <row r="1482" spans="1:18">
      <c r="A1482">
        <v>1481</v>
      </c>
      <c r="B1482" s="5" t="s">
        <v>4568</v>
      </c>
      <c r="C1482" s="5" t="s">
        <v>4569</v>
      </c>
      <c r="D1482" s="5" t="s">
        <v>4570</v>
      </c>
      <c r="E1482" s="5" t="s">
        <v>4562</v>
      </c>
      <c r="F1482" s="5" t="s">
        <v>4571</v>
      </c>
      <c r="G1482" t="str">
        <f>_xlfn.XLOOKUP(frasest[[#This Row],[author_es]],autorest[author_es],autorest[author_la])</f>
        <v>Voltarius</v>
      </c>
      <c r="H1482" t="str">
        <f>_xlfn.XLOOKUP(frasest[[#This Row],[author_es]],autorest[author_es],autorest[bio_es])</f>
        <v>Escritor y filósofo francés, figura clave de la Ilustración y defensor de la libertad de expresión.</v>
      </c>
      <c r="I1482" t="str">
        <f>_xlfn.XLOOKUP(frasest[[#This Row],[author_es]],autorest[author_es],autorest[bio_la])</f>
        <v>Scriptor et philosophus Gallicus, clarissimus aetate Illuminationis et libertatis dicendi defensor.</v>
      </c>
      <c r="J1482" t="str">
        <f>_xlfn.XLOOKUP(frasest[[#This Row],[author_es]],autorest[author_es],autorest[iso3691])</f>
        <v>fr</v>
      </c>
      <c r="K1482" t="str">
        <f>_xlfn.XLOOKUP(frasest[[#This Row],[author_es]],autorest[author_es],autorest[language_es])</f>
        <v>Francés</v>
      </c>
      <c r="L1482" t="str">
        <f>_xlfn.XLOOKUP(frasest[[#This Row],[author_es]],autorest[author_es],autorest[language_la])</f>
        <v>Lingua Gallica</v>
      </c>
      <c r="M1482" t="str">
        <f>_xlfn.XLOOKUP(frasest[[#This Row],[author_es]],autorest[author_es],autorest[nation_es])</f>
        <v>Francia</v>
      </c>
      <c r="N1482" t="str">
        <f>_xlfn.XLOOKUP(frasest[[#This Row],[author_es]],autorest[author_es],autorest[nation_la])</f>
        <v>Francia</v>
      </c>
      <c r="O1482" t="str">
        <f>_xlfn.XLOOKUP(frasest[[#This Row],[author_es]],autorest[author_es],autorest[age_es])</f>
        <v>Edad Moderna</v>
      </c>
      <c r="P1482" t="str">
        <f>_xlfn.XLOOKUP(frasest[[#This Row],[author_es]],autorest[author_es],autorest[age_la])</f>
        <v>Nova Aetas</v>
      </c>
      <c r="Q1482" t="str">
        <f>_xlfn.XLOOKUP(frasest[[#This Row],[author_es]],autorest[author_es],autorest[image])</f>
        <v>https://i.ibb.co/n8Mbf5tF/voltaire-alpha.png</v>
      </c>
      <c r="R1482">
        <f>_xlfn.XLOOKUP(frasest[[#This Row],[author_es]],autorest[author_es],autorest[image_atr])</f>
        <v>0</v>
      </c>
    </row>
    <row r="1483" spans="1:18">
      <c r="A1483">
        <v>1482</v>
      </c>
      <c r="B1483" s="5" t="s">
        <v>4572</v>
      </c>
      <c r="C1483" s="5" t="s">
        <v>4573</v>
      </c>
      <c r="D1483" s="5" t="s">
        <v>4574</v>
      </c>
      <c r="E1483" s="5" t="s">
        <v>4562</v>
      </c>
      <c r="F1483" s="5" t="s">
        <v>4575</v>
      </c>
      <c r="G1483" t="str">
        <f>_xlfn.XLOOKUP(frasest[[#This Row],[author_es]],autorest[author_es],autorest[author_la])</f>
        <v>Voltarius</v>
      </c>
      <c r="H1483" t="str">
        <f>_xlfn.XLOOKUP(frasest[[#This Row],[author_es]],autorest[author_es],autorest[bio_es])</f>
        <v>Escritor y filósofo francés, figura clave de la Ilustración y defensor de la libertad de expresión.</v>
      </c>
      <c r="I1483" t="str">
        <f>_xlfn.XLOOKUP(frasest[[#This Row],[author_es]],autorest[author_es],autorest[bio_la])</f>
        <v>Scriptor et philosophus Gallicus, clarissimus aetate Illuminationis et libertatis dicendi defensor.</v>
      </c>
      <c r="J1483" t="str">
        <f>_xlfn.XLOOKUP(frasest[[#This Row],[author_es]],autorest[author_es],autorest[iso3691])</f>
        <v>fr</v>
      </c>
      <c r="K1483" t="str">
        <f>_xlfn.XLOOKUP(frasest[[#This Row],[author_es]],autorest[author_es],autorest[language_es])</f>
        <v>Francés</v>
      </c>
      <c r="L1483" t="str">
        <f>_xlfn.XLOOKUP(frasest[[#This Row],[author_es]],autorest[author_es],autorest[language_la])</f>
        <v>Lingua Gallica</v>
      </c>
      <c r="M1483" t="str">
        <f>_xlfn.XLOOKUP(frasest[[#This Row],[author_es]],autorest[author_es],autorest[nation_es])</f>
        <v>Francia</v>
      </c>
      <c r="N1483" t="str">
        <f>_xlfn.XLOOKUP(frasest[[#This Row],[author_es]],autorest[author_es],autorest[nation_la])</f>
        <v>Francia</v>
      </c>
      <c r="O1483" t="str">
        <f>_xlfn.XLOOKUP(frasest[[#This Row],[author_es]],autorest[author_es],autorest[age_es])</f>
        <v>Edad Moderna</v>
      </c>
      <c r="P1483" t="str">
        <f>_xlfn.XLOOKUP(frasest[[#This Row],[author_es]],autorest[author_es],autorest[age_la])</f>
        <v>Nova Aetas</v>
      </c>
      <c r="Q1483" t="str">
        <f>_xlfn.XLOOKUP(frasest[[#This Row],[author_es]],autorest[author_es],autorest[image])</f>
        <v>https://i.ibb.co/n8Mbf5tF/voltaire-alpha.png</v>
      </c>
      <c r="R1483">
        <f>_xlfn.XLOOKUP(frasest[[#This Row],[author_es]],autorest[author_es],autorest[image_atr])</f>
        <v>0</v>
      </c>
    </row>
    <row r="1484" spans="1:18">
      <c r="A1484">
        <v>1483</v>
      </c>
      <c r="B1484" s="5" t="s">
        <v>4576</v>
      </c>
      <c r="C1484" s="5" t="s">
        <v>4577</v>
      </c>
      <c r="D1484" s="5" t="s">
        <v>4578</v>
      </c>
      <c r="E1484" s="5" t="s">
        <v>4562</v>
      </c>
      <c r="F1484" s="5" t="s">
        <v>4579</v>
      </c>
      <c r="G1484" t="str">
        <f>_xlfn.XLOOKUP(frasest[[#This Row],[author_es]],autorest[author_es],autorest[author_la])</f>
        <v>Voltarius</v>
      </c>
      <c r="H1484" t="str">
        <f>_xlfn.XLOOKUP(frasest[[#This Row],[author_es]],autorest[author_es],autorest[bio_es])</f>
        <v>Escritor y filósofo francés, figura clave de la Ilustración y defensor de la libertad de expresión.</v>
      </c>
      <c r="I1484" t="str">
        <f>_xlfn.XLOOKUP(frasest[[#This Row],[author_es]],autorest[author_es],autorest[bio_la])</f>
        <v>Scriptor et philosophus Gallicus, clarissimus aetate Illuminationis et libertatis dicendi defensor.</v>
      </c>
      <c r="J1484" t="str">
        <f>_xlfn.XLOOKUP(frasest[[#This Row],[author_es]],autorest[author_es],autorest[iso3691])</f>
        <v>fr</v>
      </c>
      <c r="K1484" t="str">
        <f>_xlfn.XLOOKUP(frasest[[#This Row],[author_es]],autorest[author_es],autorest[language_es])</f>
        <v>Francés</v>
      </c>
      <c r="L1484" t="str">
        <f>_xlfn.XLOOKUP(frasest[[#This Row],[author_es]],autorest[author_es],autorest[language_la])</f>
        <v>Lingua Gallica</v>
      </c>
      <c r="M1484" t="str">
        <f>_xlfn.XLOOKUP(frasest[[#This Row],[author_es]],autorest[author_es],autorest[nation_es])</f>
        <v>Francia</v>
      </c>
      <c r="N1484" t="str">
        <f>_xlfn.XLOOKUP(frasest[[#This Row],[author_es]],autorest[author_es],autorest[nation_la])</f>
        <v>Francia</v>
      </c>
      <c r="O1484" t="str">
        <f>_xlfn.XLOOKUP(frasest[[#This Row],[author_es]],autorest[author_es],autorest[age_es])</f>
        <v>Edad Moderna</v>
      </c>
      <c r="P1484" t="str">
        <f>_xlfn.XLOOKUP(frasest[[#This Row],[author_es]],autorest[author_es],autorest[age_la])</f>
        <v>Nova Aetas</v>
      </c>
      <c r="Q1484" t="str">
        <f>_xlfn.XLOOKUP(frasest[[#This Row],[author_es]],autorest[author_es],autorest[image])</f>
        <v>https://i.ibb.co/n8Mbf5tF/voltaire-alpha.png</v>
      </c>
      <c r="R1484">
        <f>_xlfn.XLOOKUP(frasest[[#This Row],[author_es]],autorest[author_es],autorest[image_atr])</f>
        <v>0</v>
      </c>
    </row>
    <row r="1485" spans="1:18">
      <c r="A1485">
        <v>1484</v>
      </c>
      <c r="B1485" s="5" t="s">
        <v>4580</v>
      </c>
      <c r="C1485" s="5" t="s">
        <v>4581</v>
      </c>
      <c r="D1485" s="5" t="s">
        <v>4582</v>
      </c>
      <c r="E1485" s="5" t="s">
        <v>4562</v>
      </c>
      <c r="F1485" s="5" t="s">
        <v>4583</v>
      </c>
      <c r="G1485" t="str">
        <f>_xlfn.XLOOKUP(frasest[[#This Row],[author_es]],autorest[author_es],autorest[author_la])</f>
        <v>Voltarius</v>
      </c>
      <c r="H1485" t="str">
        <f>_xlfn.XLOOKUP(frasest[[#This Row],[author_es]],autorest[author_es],autorest[bio_es])</f>
        <v>Escritor y filósofo francés, figura clave de la Ilustración y defensor de la libertad de expresión.</v>
      </c>
      <c r="I1485" t="str">
        <f>_xlfn.XLOOKUP(frasest[[#This Row],[author_es]],autorest[author_es],autorest[bio_la])</f>
        <v>Scriptor et philosophus Gallicus, clarissimus aetate Illuminationis et libertatis dicendi defensor.</v>
      </c>
      <c r="J1485" t="str">
        <f>_xlfn.XLOOKUP(frasest[[#This Row],[author_es]],autorest[author_es],autorest[iso3691])</f>
        <v>fr</v>
      </c>
      <c r="K1485" t="str">
        <f>_xlfn.XLOOKUP(frasest[[#This Row],[author_es]],autorest[author_es],autorest[language_es])</f>
        <v>Francés</v>
      </c>
      <c r="L1485" t="str">
        <f>_xlfn.XLOOKUP(frasest[[#This Row],[author_es]],autorest[author_es],autorest[language_la])</f>
        <v>Lingua Gallica</v>
      </c>
      <c r="M1485" t="str">
        <f>_xlfn.XLOOKUP(frasest[[#This Row],[author_es]],autorest[author_es],autorest[nation_es])</f>
        <v>Francia</v>
      </c>
      <c r="N1485" t="str">
        <f>_xlfn.XLOOKUP(frasest[[#This Row],[author_es]],autorest[author_es],autorest[nation_la])</f>
        <v>Francia</v>
      </c>
      <c r="O1485" t="str">
        <f>_xlfn.XLOOKUP(frasest[[#This Row],[author_es]],autorest[author_es],autorest[age_es])</f>
        <v>Edad Moderna</v>
      </c>
      <c r="P1485" t="str">
        <f>_xlfn.XLOOKUP(frasest[[#This Row],[author_es]],autorest[author_es],autorest[age_la])</f>
        <v>Nova Aetas</v>
      </c>
      <c r="Q1485" t="str">
        <f>_xlfn.XLOOKUP(frasest[[#This Row],[author_es]],autorest[author_es],autorest[image])</f>
        <v>https://i.ibb.co/n8Mbf5tF/voltaire-alpha.png</v>
      </c>
      <c r="R1485">
        <f>_xlfn.XLOOKUP(frasest[[#This Row],[author_es]],autorest[author_es],autorest[image_atr])</f>
        <v>0</v>
      </c>
    </row>
    <row r="1486" spans="1:18">
      <c r="A1486">
        <v>1485</v>
      </c>
      <c r="B1486" s="5" t="s">
        <v>4584</v>
      </c>
      <c r="C1486" s="5" t="s">
        <v>4585</v>
      </c>
      <c r="D1486" s="5" t="s">
        <v>4586</v>
      </c>
      <c r="E1486" s="5" t="s">
        <v>4562</v>
      </c>
      <c r="F1486" s="5" t="s">
        <v>4587</v>
      </c>
      <c r="G1486" t="str">
        <f>_xlfn.XLOOKUP(frasest[[#This Row],[author_es]],autorest[author_es],autorest[author_la])</f>
        <v>Voltarius</v>
      </c>
      <c r="H1486" t="str">
        <f>_xlfn.XLOOKUP(frasest[[#This Row],[author_es]],autorest[author_es],autorest[bio_es])</f>
        <v>Escritor y filósofo francés, figura clave de la Ilustración y defensor de la libertad de expresión.</v>
      </c>
      <c r="I1486" t="str">
        <f>_xlfn.XLOOKUP(frasest[[#This Row],[author_es]],autorest[author_es],autorest[bio_la])</f>
        <v>Scriptor et philosophus Gallicus, clarissimus aetate Illuminationis et libertatis dicendi defensor.</v>
      </c>
      <c r="J1486" t="str">
        <f>_xlfn.XLOOKUP(frasest[[#This Row],[author_es]],autorest[author_es],autorest[iso3691])</f>
        <v>fr</v>
      </c>
      <c r="K1486" t="str">
        <f>_xlfn.XLOOKUP(frasest[[#This Row],[author_es]],autorest[author_es],autorest[language_es])</f>
        <v>Francés</v>
      </c>
      <c r="L1486" t="str">
        <f>_xlfn.XLOOKUP(frasest[[#This Row],[author_es]],autorest[author_es],autorest[language_la])</f>
        <v>Lingua Gallica</v>
      </c>
      <c r="M1486" t="str">
        <f>_xlfn.XLOOKUP(frasest[[#This Row],[author_es]],autorest[author_es],autorest[nation_es])</f>
        <v>Francia</v>
      </c>
      <c r="N1486" t="str">
        <f>_xlfn.XLOOKUP(frasest[[#This Row],[author_es]],autorest[author_es],autorest[nation_la])</f>
        <v>Francia</v>
      </c>
      <c r="O1486" t="str">
        <f>_xlfn.XLOOKUP(frasest[[#This Row],[author_es]],autorest[author_es],autorest[age_es])</f>
        <v>Edad Moderna</v>
      </c>
      <c r="P1486" t="str">
        <f>_xlfn.XLOOKUP(frasest[[#This Row],[author_es]],autorest[author_es],autorest[age_la])</f>
        <v>Nova Aetas</v>
      </c>
      <c r="Q1486" t="str">
        <f>_xlfn.XLOOKUP(frasest[[#This Row],[author_es]],autorest[author_es],autorest[image])</f>
        <v>https://i.ibb.co/n8Mbf5tF/voltaire-alpha.png</v>
      </c>
      <c r="R1486">
        <f>_xlfn.XLOOKUP(frasest[[#This Row],[author_es]],autorest[author_es],autorest[image_atr])</f>
        <v>0</v>
      </c>
    </row>
    <row r="1487" spans="1:18">
      <c r="A1487">
        <v>1486</v>
      </c>
      <c r="B1487" s="5" t="s">
        <v>4588</v>
      </c>
      <c r="C1487" s="5" t="s">
        <v>4589</v>
      </c>
      <c r="D1487" s="5" t="s">
        <v>4590</v>
      </c>
      <c r="E1487" s="5" t="s">
        <v>4562</v>
      </c>
      <c r="F1487" s="5" t="s">
        <v>4591</v>
      </c>
      <c r="G1487" t="str">
        <f>_xlfn.XLOOKUP(frasest[[#This Row],[author_es]],autorest[author_es],autorest[author_la])</f>
        <v>Voltarius</v>
      </c>
      <c r="H1487" t="str">
        <f>_xlfn.XLOOKUP(frasest[[#This Row],[author_es]],autorest[author_es],autorest[bio_es])</f>
        <v>Escritor y filósofo francés, figura clave de la Ilustración y defensor de la libertad de expresión.</v>
      </c>
      <c r="I1487" t="str">
        <f>_xlfn.XLOOKUP(frasest[[#This Row],[author_es]],autorest[author_es],autorest[bio_la])</f>
        <v>Scriptor et philosophus Gallicus, clarissimus aetate Illuminationis et libertatis dicendi defensor.</v>
      </c>
      <c r="J1487" t="str">
        <f>_xlfn.XLOOKUP(frasest[[#This Row],[author_es]],autorest[author_es],autorest[iso3691])</f>
        <v>fr</v>
      </c>
      <c r="K1487" t="str">
        <f>_xlfn.XLOOKUP(frasest[[#This Row],[author_es]],autorest[author_es],autorest[language_es])</f>
        <v>Francés</v>
      </c>
      <c r="L1487" t="str">
        <f>_xlfn.XLOOKUP(frasest[[#This Row],[author_es]],autorest[author_es],autorest[language_la])</f>
        <v>Lingua Gallica</v>
      </c>
      <c r="M1487" t="str">
        <f>_xlfn.XLOOKUP(frasest[[#This Row],[author_es]],autorest[author_es],autorest[nation_es])</f>
        <v>Francia</v>
      </c>
      <c r="N1487" t="str">
        <f>_xlfn.XLOOKUP(frasest[[#This Row],[author_es]],autorest[author_es],autorest[nation_la])</f>
        <v>Francia</v>
      </c>
      <c r="O1487" t="str">
        <f>_xlfn.XLOOKUP(frasest[[#This Row],[author_es]],autorest[author_es],autorest[age_es])</f>
        <v>Edad Moderna</v>
      </c>
      <c r="P1487" t="str">
        <f>_xlfn.XLOOKUP(frasest[[#This Row],[author_es]],autorest[author_es],autorest[age_la])</f>
        <v>Nova Aetas</v>
      </c>
      <c r="Q1487" t="str">
        <f>_xlfn.XLOOKUP(frasest[[#This Row],[author_es]],autorest[author_es],autorest[image])</f>
        <v>https://i.ibb.co/n8Mbf5tF/voltaire-alpha.png</v>
      </c>
      <c r="R1487">
        <f>_xlfn.XLOOKUP(frasest[[#This Row],[author_es]],autorest[author_es],autorest[image_atr])</f>
        <v>0</v>
      </c>
    </row>
    <row r="1488" spans="1:18">
      <c r="A1488">
        <v>1487</v>
      </c>
      <c r="B1488" s="5" t="s">
        <v>4592</v>
      </c>
      <c r="C1488" s="5" t="s">
        <v>4593</v>
      </c>
      <c r="D1488" s="5" t="s">
        <v>4592</v>
      </c>
      <c r="E1488" s="5" t="s">
        <v>4594</v>
      </c>
      <c r="F1488" s="5" t="s">
        <v>4595</v>
      </c>
      <c r="G1488" t="str">
        <f>_xlfn.XLOOKUP(frasest[[#This Row],[author_es]],autorest[author_es],autorest[author_la])</f>
        <v>Daniel Innerarity</v>
      </c>
      <c r="H1488" t="str">
        <f>_xlfn.XLOOKUP(frasest[[#This Row],[author_es]],autorest[author_es],autorest[bio_es])</f>
        <v>Filósofo y ensayista español, especialista en la filosofía política y la gobernanza de sociedades complejas.</v>
      </c>
      <c r="I1488" t="str">
        <f>_xlfn.XLOOKUP(frasest[[#This Row],[author_es]],autorest[author_es],autorest[bio_la])</f>
        <v>Philosophus et scriptor Hispanicus, peritus philosophiae politicae et moderationis societatum complexarum.</v>
      </c>
      <c r="J1488" t="str">
        <f>_xlfn.XLOOKUP(frasest[[#This Row],[author_es]],autorest[author_es],autorest[iso3691])</f>
        <v>es</v>
      </c>
      <c r="K1488" t="str">
        <f>_xlfn.XLOOKUP(frasest[[#This Row],[author_es]],autorest[author_es],autorest[language_es])</f>
        <v>Español</v>
      </c>
      <c r="L1488" t="str">
        <f>_xlfn.XLOOKUP(frasest[[#This Row],[author_es]],autorest[author_es],autorest[language_la])</f>
        <v>Lingua Hispanica</v>
      </c>
      <c r="M1488" t="str">
        <f>_xlfn.XLOOKUP(frasest[[#This Row],[author_es]],autorest[author_es],autorest[nation_es])</f>
        <v>España</v>
      </c>
      <c r="N1488" t="str">
        <f>_xlfn.XLOOKUP(frasest[[#This Row],[author_es]],autorest[author_es],autorest[nation_la])</f>
        <v>Hispania</v>
      </c>
      <c r="O1488" t="str">
        <f>_xlfn.XLOOKUP(frasest[[#This Row],[author_es]],autorest[author_es],autorest[age_es])</f>
        <v>Edad Contemporánea</v>
      </c>
      <c r="P1488" t="str">
        <f>_xlfn.XLOOKUP(frasest[[#This Row],[author_es]],autorest[author_es],autorest[age_la])</f>
        <v>Aetas Contemporanea</v>
      </c>
      <c r="Q1488" t="str">
        <f>_xlfn.XLOOKUP(frasest[[#This Row],[author_es]],autorest[author_es],autorest[image])</f>
        <v>https://i.ibb.co/ZzF5yhkV/innerarity-alpha.png</v>
      </c>
      <c r="R1488">
        <f>_xlfn.XLOOKUP(frasest[[#This Row],[author_es]],autorest[author_es],autorest[image_atr])</f>
        <v>0</v>
      </c>
    </row>
    <row r="1489" spans="1:18">
      <c r="A1489">
        <v>1488</v>
      </c>
      <c r="B1489" t="s">
        <v>4596</v>
      </c>
      <c r="C1489" t="s">
        <v>4597</v>
      </c>
      <c r="D1489" t="s">
        <v>4597</v>
      </c>
      <c r="E1489" t="s">
        <v>68</v>
      </c>
      <c r="F1489" t="s">
        <v>4598</v>
      </c>
      <c r="G1489" t="str">
        <f>_xlfn.XLOOKUP(frasest[[#This Row],[author_es]],autorest[author_es],autorest[author_la])</f>
        <v>Quintus Horatius Flaccus</v>
      </c>
      <c r="H1489" t="str">
        <f>_xlfn.XLOOKUP(frasest[[#This Row],[author_es]],autorest[author_es],autorest[bio_es])</f>
        <v>Poeta lírico romano, autor de "Carpe diem".</v>
      </c>
      <c r="I1489" t="str">
        <f>_xlfn.XLOOKUP(frasest[[#This Row],[author_es]],autorest[author_es],autorest[bio_la])</f>
        <v>Poeta lyricus Romanus, auctor "Carpe diem".</v>
      </c>
      <c r="J1489" t="str">
        <f>_xlfn.XLOOKUP(frasest[[#This Row],[author_es]],autorest[author_es],autorest[iso3691])</f>
        <v>la</v>
      </c>
      <c r="K1489" t="str">
        <f>_xlfn.XLOOKUP(frasest[[#This Row],[author_es]],autorest[author_es],autorest[language_es])</f>
        <v>Latín</v>
      </c>
      <c r="L1489" t="str">
        <f>_xlfn.XLOOKUP(frasest[[#This Row],[author_es]],autorest[author_es],autorest[language_la])</f>
        <v>Lingua Latina</v>
      </c>
      <c r="M1489" t="str">
        <f>_xlfn.XLOOKUP(frasest[[#This Row],[author_es]],autorest[author_es],autorest[nation_es])</f>
        <v>Roma</v>
      </c>
      <c r="N1489" t="str">
        <f>_xlfn.XLOOKUP(frasest[[#This Row],[author_es]],autorest[author_es],autorest[nation_la])</f>
        <v>Roma</v>
      </c>
      <c r="O1489" t="str">
        <f>_xlfn.XLOOKUP(frasest[[#This Row],[author_es]],autorest[author_es],autorest[age_es])</f>
        <v>Edad Antigua</v>
      </c>
      <c r="P1489" t="str">
        <f>_xlfn.XLOOKUP(frasest[[#This Row],[author_es]],autorest[author_es],autorest[age_la])</f>
        <v>Antiquitas</v>
      </c>
      <c r="Q1489" t="str">
        <f>_xlfn.XLOOKUP(frasest[[#This Row],[author_es]],autorest[author_es],autorest[image])</f>
        <v>https://i.ibb.co/KjBfHkQ2/horacio.png</v>
      </c>
      <c r="R1489">
        <f>_xlfn.XLOOKUP(frasest[[#This Row],[author_es]],autorest[author_es],autorest[image_atr])</f>
        <v>0</v>
      </c>
    </row>
    <row r="1490" spans="1:18">
      <c r="A1490">
        <v>1489</v>
      </c>
      <c r="B1490" t="s">
        <v>4599</v>
      </c>
      <c r="C1490" t="s">
        <v>4600</v>
      </c>
      <c r="D1490" t="s">
        <v>4600</v>
      </c>
      <c r="E1490" t="s">
        <v>68</v>
      </c>
      <c r="F1490" t="s">
        <v>4601</v>
      </c>
      <c r="G1490" t="str">
        <f>_xlfn.XLOOKUP(frasest[[#This Row],[author_es]],autorest[author_es],autorest[author_la])</f>
        <v>Quintus Horatius Flaccus</v>
      </c>
      <c r="H1490" t="str">
        <f>_xlfn.XLOOKUP(frasest[[#This Row],[author_es]],autorest[author_es],autorest[bio_es])</f>
        <v>Poeta lírico romano, autor de "Carpe diem".</v>
      </c>
      <c r="I1490" t="str">
        <f>_xlfn.XLOOKUP(frasest[[#This Row],[author_es]],autorest[author_es],autorest[bio_la])</f>
        <v>Poeta lyricus Romanus, auctor "Carpe diem".</v>
      </c>
      <c r="J1490" t="str">
        <f>_xlfn.XLOOKUP(frasest[[#This Row],[author_es]],autorest[author_es],autorest[iso3691])</f>
        <v>la</v>
      </c>
      <c r="K1490" t="str">
        <f>_xlfn.XLOOKUP(frasest[[#This Row],[author_es]],autorest[author_es],autorest[language_es])</f>
        <v>Latín</v>
      </c>
      <c r="L1490" t="str">
        <f>_xlfn.XLOOKUP(frasest[[#This Row],[author_es]],autorest[author_es],autorest[language_la])</f>
        <v>Lingua Latina</v>
      </c>
      <c r="M1490" t="str">
        <f>_xlfn.XLOOKUP(frasest[[#This Row],[author_es]],autorest[author_es],autorest[nation_es])</f>
        <v>Roma</v>
      </c>
      <c r="N1490" t="str">
        <f>_xlfn.XLOOKUP(frasest[[#This Row],[author_es]],autorest[author_es],autorest[nation_la])</f>
        <v>Roma</v>
      </c>
      <c r="O1490" t="str">
        <f>_xlfn.XLOOKUP(frasest[[#This Row],[author_es]],autorest[author_es],autorest[age_es])</f>
        <v>Edad Antigua</v>
      </c>
      <c r="P1490" t="str">
        <f>_xlfn.XLOOKUP(frasest[[#This Row],[author_es]],autorest[author_es],autorest[age_la])</f>
        <v>Antiquitas</v>
      </c>
      <c r="Q1490" t="str">
        <f>_xlfn.XLOOKUP(frasest[[#This Row],[author_es]],autorest[author_es],autorest[image])</f>
        <v>https://i.ibb.co/KjBfHkQ2/horacio.png</v>
      </c>
      <c r="R1490">
        <f>_xlfn.XLOOKUP(frasest[[#This Row],[author_es]],autorest[author_es],autorest[image_atr])</f>
        <v>0</v>
      </c>
    </row>
    <row r="1491" spans="1:18">
      <c r="A1491">
        <v>1490</v>
      </c>
      <c r="B1491" t="s">
        <v>4602</v>
      </c>
      <c r="C1491" t="s">
        <v>4603</v>
      </c>
      <c r="D1491" t="s">
        <v>4603</v>
      </c>
      <c r="E1491" t="s">
        <v>68</v>
      </c>
      <c r="F1491" t="s">
        <v>4604</v>
      </c>
      <c r="G1491" t="str">
        <f>_xlfn.XLOOKUP(frasest[[#This Row],[author_es]],autorest[author_es],autorest[author_la])</f>
        <v>Quintus Horatius Flaccus</v>
      </c>
      <c r="H1491" t="str">
        <f>_xlfn.XLOOKUP(frasest[[#This Row],[author_es]],autorest[author_es],autorest[bio_es])</f>
        <v>Poeta lírico romano, autor de "Carpe diem".</v>
      </c>
      <c r="I1491" t="str">
        <f>_xlfn.XLOOKUP(frasest[[#This Row],[author_es]],autorest[author_es],autorest[bio_la])</f>
        <v>Poeta lyricus Romanus, auctor "Carpe diem".</v>
      </c>
      <c r="J1491" t="str">
        <f>_xlfn.XLOOKUP(frasest[[#This Row],[author_es]],autorest[author_es],autorest[iso3691])</f>
        <v>la</v>
      </c>
      <c r="K1491" t="str">
        <f>_xlfn.XLOOKUP(frasest[[#This Row],[author_es]],autorest[author_es],autorest[language_es])</f>
        <v>Latín</v>
      </c>
      <c r="L1491" t="str">
        <f>_xlfn.XLOOKUP(frasest[[#This Row],[author_es]],autorest[author_es],autorest[language_la])</f>
        <v>Lingua Latina</v>
      </c>
      <c r="M1491" t="str">
        <f>_xlfn.XLOOKUP(frasest[[#This Row],[author_es]],autorest[author_es],autorest[nation_es])</f>
        <v>Roma</v>
      </c>
      <c r="N1491" t="str">
        <f>_xlfn.XLOOKUP(frasest[[#This Row],[author_es]],autorest[author_es],autorest[nation_la])</f>
        <v>Roma</v>
      </c>
      <c r="O1491" t="str">
        <f>_xlfn.XLOOKUP(frasest[[#This Row],[author_es]],autorest[author_es],autorest[age_es])</f>
        <v>Edad Antigua</v>
      </c>
      <c r="P1491" t="str">
        <f>_xlfn.XLOOKUP(frasest[[#This Row],[author_es]],autorest[author_es],autorest[age_la])</f>
        <v>Antiquitas</v>
      </c>
      <c r="Q1491" t="str">
        <f>_xlfn.XLOOKUP(frasest[[#This Row],[author_es]],autorest[author_es],autorest[image])</f>
        <v>https://i.ibb.co/KjBfHkQ2/horacio.png</v>
      </c>
      <c r="R1491">
        <f>_xlfn.XLOOKUP(frasest[[#This Row],[author_es]],autorest[author_es],autorest[image_atr])</f>
        <v>0</v>
      </c>
    </row>
    <row r="1492" spans="1:18">
      <c r="A1492">
        <v>1491</v>
      </c>
      <c r="B1492" t="s">
        <v>4605</v>
      </c>
      <c r="C1492" t="s">
        <v>4606</v>
      </c>
      <c r="D1492" t="s">
        <v>4606</v>
      </c>
      <c r="E1492" t="s">
        <v>68</v>
      </c>
      <c r="F1492" t="s">
        <v>4607</v>
      </c>
      <c r="G1492" t="str">
        <f>_xlfn.XLOOKUP(frasest[[#This Row],[author_es]],autorest[author_es],autorest[author_la])</f>
        <v>Quintus Horatius Flaccus</v>
      </c>
      <c r="H1492" t="str">
        <f>_xlfn.XLOOKUP(frasest[[#This Row],[author_es]],autorest[author_es],autorest[bio_es])</f>
        <v>Poeta lírico romano, autor de "Carpe diem".</v>
      </c>
      <c r="I1492" t="str">
        <f>_xlfn.XLOOKUP(frasest[[#This Row],[author_es]],autorest[author_es],autorest[bio_la])</f>
        <v>Poeta lyricus Romanus, auctor "Carpe diem".</v>
      </c>
      <c r="J1492" t="str">
        <f>_xlfn.XLOOKUP(frasest[[#This Row],[author_es]],autorest[author_es],autorest[iso3691])</f>
        <v>la</v>
      </c>
      <c r="K1492" t="str">
        <f>_xlfn.XLOOKUP(frasest[[#This Row],[author_es]],autorest[author_es],autorest[language_es])</f>
        <v>Latín</v>
      </c>
      <c r="L1492" t="str">
        <f>_xlfn.XLOOKUP(frasest[[#This Row],[author_es]],autorest[author_es],autorest[language_la])</f>
        <v>Lingua Latina</v>
      </c>
      <c r="M1492" t="str">
        <f>_xlfn.XLOOKUP(frasest[[#This Row],[author_es]],autorest[author_es],autorest[nation_es])</f>
        <v>Roma</v>
      </c>
      <c r="N1492" t="str">
        <f>_xlfn.XLOOKUP(frasest[[#This Row],[author_es]],autorest[author_es],autorest[nation_la])</f>
        <v>Roma</v>
      </c>
      <c r="O1492" t="str">
        <f>_xlfn.XLOOKUP(frasest[[#This Row],[author_es]],autorest[author_es],autorest[age_es])</f>
        <v>Edad Antigua</v>
      </c>
      <c r="P1492" t="str">
        <f>_xlfn.XLOOKUP(frasest[[#This Row],[author_es]],autorest[author_es],autorest[age_la])</f>
        <v>Antiquitas</v>
      </c>
      <c r="Q1492" t="str">
        <f>_xlfn.XLOOKUP(frasest[[#This Row],[author_es]],autorest[author_es],autorest[image])</f>
        <v>https://i.ibb.co/KjBfHkQ2/horacio.png</v>
      </c>
      <c r="R1492">
        <f>_xlfn.XLOOKUP(frasest[[#This Row],[author_es]],autorest[author_es],autorest[image_atr])</f>
        <v>0</v>
      </c>
    </row>
    <row r="1493" spans="1:18">
      <c r="A1493">
        <v>1492</v>
      </c>
      <c r="B1493" t="s">
        <v>4608</v>
      </c>
      <c r="C1493" t="s">
        <v>4609</v>
      </c>
      <c r="D1493" t="s">
        <v>4609</v>
      </c>
      <c r="E1493" t="s">
        <v>68</v>
      </c>
      <c r="F1493" t="s">
        <v>4610</v>
      </c>
      <c r="G1493" t="str">
        <f>_xlfn.XLOOKUP(frasest[[#This Row],[author_es]],autorest[author_es],autorest[author_la])</f>
        <v>Quintus Horatius Flaccus</v>
      </c>
      <c r="H1493" t="str">
        <f>_xlfn.XLOOKUP(frasest[[#This Row],[author_es]],autorest[author_es],autorest[bio_es])</f>
        <v>Poeta lírico romano, autor de "Carpe diem".</v>
      </c>
      <c r="I1493" t="str">
        <f>_xlfn.XLOOKUP(frasest[[#This Row],[author_es]],autorest[author_es],autorest[bio_la])</f>
        <v>Poeta lyricus Romanus, auctor "Carpe diem".</v>
      </c>
      <c r="J1493" t="str">
        <f>_xlfn.XLOOKUP(frasest[[#This Row],[author_es]],autorest[author_es],autorest[iso3691])</f>
        <v>la</v>
      </c>
      <c r="K1493" t="str">
        <f>_xlfn.XLOOKUP(frasest[[#This Row],[author_es]],autorest[author_es],autorest[language_es])</f>
        <v>Latín</v>
      </c>
      <c r="L1493" t="str">
        <f>_xlfn.XLOOKUP(frasest[[#This Row],[author_es]],autorest[author_es],autorest[language_la])</f>
        <v>Lingua Latina</v>
      </c>
      <c r="M1493" t="str">
        <f>_xlfn.XLOOKUP(frasest[[#This Row],[author_es]],autorest[author_es],autorest[nation_es])</f>
        <v>Roma</v>
      </c>
      <c r="N1493" t="str">
        <f>_xlfn.XLOOKUP(frasest[[#This Row],[author_es]],autorest[author_es],autorest[nation_la])</f>
        <v>Roma</v>
      </c>
      <c r="O1493" t="str">
        <f>_xlfn.XLOOKUP(frasest[[#This Row],[author_es]],autorest[author_es],autorest[age_es])</f>
        <v>Edad Antigua</v>
      </c>
      <c r="P1493" t="str">
        <f>_xlfn.XLOOKUP(frasest[[#This Row],[author_es]],autorest[author_es],autorest[age_la])</f>
        <v>Antiquitas</v>
      </c>
      <c r="Q1493" t="str">
        <f>_xlfn.XLOOKUP(frasest[[#This Row],[author_es]],autorest[author_es],autorest[image])</f>
        <v>https://i.ibb.co/KjBfHkQ2/horacio.png</v>
      </c>
      <c r="R1493">
        <f>_xlfn.XLOOKUP(frasest[[#This Row],[author_es]],autorest[author_es],autorest[image_atr])</f>
        <v>0</v>
      </c>
    </row>
    <row r="1494" spans="1:18">
      <c r="A1494">
        <v>1493</v>
      </c>
      <c r="B1494" t="s">
        <v>4611</v>
      </c>
      <c r="C1494" t="s">
        <v>4612</v>
      </c>
      <c r="D1494" t="s">
        <v>4612</v>
      </c>
      <c r="E1494" t="s">
        <v>68</v>
      </c>
      <c r="F1494" t="s">
        <v>4613</v>
      </c>
      <c r="G1494" t="str">
        <f>_xlfn.XLOOKUP(frasest[[#This Row],[author_es]],autorest[author_es],autorest[author_la])</f>
        <v>Quintus Horatius Flaccus</v>
      </c>
      <c r="H1494" t="str">
        <f>_xlfn.XLOOKUP(frasest[[#This Row],[author_es]],autorest[author_es],autorest[bio_es])</f>
        <v>Poeta lírico romano, autor de "Carpe diem".</v>
      </c>
      <c r="I1494" t="str">
        <f>_xlfn.XLOOKUP(frasest[[#This Row],[author_es]],autorest[author_es],autorest[bio_la])</f>
        <v>Poeta lyricus Romanus, auctor "Carpe diem".</v>
      </c>
      <c r="J1494" t="str">
        <f>_xlfn.XLOOKUP(frasest[[#This Row],[author_es]],autorest[author_es],autorest[iso3691])</f>
        <v>la</v>
      </c>
      <c r="K1494" t="str">
        <f>_xlfn.XLOOKUP(frasest[[#This Row],[author_es]],autorest[author_es],autorest[language_es])</f>
        <v>Latín</v>
      </c>
      <c r="L1494" t="str">
        <f>_xlfn.XLOOKUP(frasest[[#This Row],[author_es]],autorest[author_es],autorest[language_la])</f>
        <v>Lingua Latina</v>
      </c>
      <c r="M1494" t="str">
        <f>_xlfn.XLOOKUP(frasest[[#This Row],[author_es]],autorest[author_es],autorest[nation_es])</f>
        <v>Roma</v>
      </c>
      <c r="N1494" t="str">
        <f>_xlfn.XLOOKUP(frasest[[#This Row],[author_es]],autorest[author_es],autorest[nation_la])</f>
        <v>Roma</v>
      </c>
      <c r="O1494" t="str">
        <f>_xlfn.XLOOKUP(frasest[[#This Row],[author_es]],autorest[author_es],autorest[age_es])</f>
        <v>Edad Antigua</v>
      </c>
      <c r="P1494" t="str">
        <f>_xlfn.XLOOKUP(frasest[[#This Row],[author_es]],autorest[author_es],autorest[age_la])</f>
        <v>Antiquitas</v>
      </c>
      <c r="Q1494" t="str">
        <f>_xlfn.XLOOKUP(frasest[[#This Row],[author_es]],autorest[author_es],autorest[image])</f>
        <v>https://i.ibb.co/KjBfHkQ2/horacio.png</v>
      </c>
      <c r="R1494">
        <f>_xlfn.XLOOKUP(frasest[[#This Row],[author_es]],autorest[author_es],autorest[image_atr])</f>
        <v>0</v>
      </c>
    </row>
    <row r="1495" spans="1:18">
      <c r="A1495">
        <v>1494</v>
      </c>
      <c r="B1495" t="s">
        <v>4614</v>
      </c>
      <c r="C1495" t="s">
        <v>4615</v>
      </c>
      <c r="D1495" t="s">
        <v>4615</v>
      </c>
      <c r="E1495" t="s">
        <v>68</v>
      </c>
      <c r="F1495" t="s">
        <v>4616</v>
      </c>
      <c r="G1495" t="str">
        <f>_xlfn.XLOOKUP(frasest[[#This Row],[author_es]],autorest[author_es],autorest[author_la])</f>
        <v>Quintus Horatius Flaccus</v>
      </c>
      <c r="H1495" t="str">
        <f>_xlfn.XLOOKUP(frasest[[#This Row],[author_es]],autorest[author_es],autorest[bio_es])</f>
        <v>Poeta lírico romano, autor de "Carpe diem".</v>
      </c>
      <c r="I1495" t="str">
        <f>_xlfn.XLOOKUP(frasest[[#This Row],[author_es]],autorest[author_es],autorest[bio_la])</f>
        <v>Poeta lyricus Romanus, auctor "Carpe diem".</v>
      </c>
      <c r="J1495" t="str">
        <f>_xlfn.XLOOKUP(frasest[[#This Row],[author_es]],autorest[author_es],autorest[iso3691])</f>
        <v>la</v>
      </c>
      <c r="K1495" t="str">
        <f>_xlfn.XLOOKUP(frasest[[#This Row],[author_es]],autorest[author_es],autorest[language_es])</f>
        <v>Latín</v>
      </c>
      <c r="L1495" t="str">
        <f>_xlfn.XLOOKUP(frasest[[#This Row],[author_es]],autorest[author_es],autorest[language_la])</f>
        <v>Lingua Latina</v>
      </c>
      <c r="M1495" t="str">
        <f>_xlfn.XLOOKUP(frasest[[#This Row],[author_es]],autorest[author_es],autorest[nation_es])</f>
        <v>Roma</v>
      </c>
      <c r="N1495" t="str">
        <f>_xlfn.XLOOKUP(frasest[[#This Row],[author_es]],autorest[author_es],autorest[nation_la])</f>
        <v>Roma</v>
      </c>
      <c r="O1495" t="str">
        <f>_xlfn.XLOOKUP(frasest[[#This Row],[author_es]],autorest[author_es],autorest[age_es])</f>
        <v>Edad Antigua</v>
      </c>
      <c r="P1495" t="str">
        <f>_xlfn.XLOOKUP(frasest[[#This Row],[author_es]],autorest[author_es],autorest[age_la])</f>
        <v>Antiquitas</v>
      </c>
      <c r="Q1495" t="str">
        <f>_xlfn.XLOOKUP(frasest[[#This Row],[author_es]],autorest[author_es],autorest[image])</f>
        <v>https://i.ibb.co/KjBfHkQ2/horacio.png</v>
      </c>
      <c r="R1495">
        <f>_xlfn.XLOOKUP(frasest[[#This Row],[author_es]],autorest[author_es],autorest[image_atr])</f>
        <v>0</v>
      </c>
    </row>
    <row r="1496" spans="1:18">
      <c r="A1496">
        <v>1495</v>
      </c>
      <c r="B1496" t="s">
        <v>4617</v>
      </c>
      <c r="C1496" t="s">
        <v>4618</v>
      </c>
      <c r="D1496" t="s">
        <v>4617</v>
      </c>
      <c r="E1496" t="s">
        <v>4619</v>
      </c>
      <c r="F1496" t="s">
        <v>4620</v>
      </c>
      <c r="G1496" t="str">
        <f>_xlfn.XLOOKUP(frasest[[#This Row],[author_es]],autorest[author_es],autorest[author_la])</f>
        <v>Antonius Maria Claret</v>
      </c>
      <c r="H1496"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6"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6" t="str">
        <f>_xlfn.XLOOKUP(frasest[[#This Row],[author_es]],autorest[author_es],autorest[iso3691])</f>
        <v>es</v>
      </c>
      <c r="K1496" t="str">
        <f>_xlfn.XLOOKUP(frasest[[#This Row],[author_es]],autorest[author_es],autorest[language_es])</f>
        <v>Español</v>
      </c>
      <c r="L1496" t="str">
        <f>_xlfn.XLOOKUP(frasest[[#This Row],[author_es]],autorest[author_es],autorest[language_la])</f>
        <v>Lingua Hispanica</v>
      </c>
      <c r="M1496" t="str">
        <f>_xlfn.XLOOKUP(frasest[[#This Row],[author_es]],autorest[author_es],autorest[nation_es])</f>
        <v>España</v>
      </c>
      <c r="N1496" t="str">
        <f>_xlfn.XLOOKUP(frasest[[#This Row],[author_es]],autorest[author_es],autorest[nation_la])</f>
        <v>Hispania</v>
      </c>
      <c r="O1496" t="str">
        <f>_xlfn.XLOOKUP(frasest[[#This Row],[author_es]],autorest[author_es],autorest[age_es])</f>
        <v>Edad Contemporánea</v>
      </c>
      <c r="P1496" t="str">
        <f>_xlfn.XLOOKUP(frasest[[#This Row],[author_es]],autorest[author_es],autorest[age_la])</f>
        <v>Aetas Contemporanea</v>
      </c>
      <c r="Q1496" t="str">
        <f>_xlfn.XLOOKUP(frasest[[#This Row],[author_es]],autorest[author_es],autorest[image])</f>
        <v>https://i.ibb.co/pBJsk0pS/claret-alpha.png</v>
      </c>
      <c r="R1496">
        <f>_xlfn.XLOOKUP(frasest[[#This Row],[author_es]],autorest[author_es],autorest[image_atr])</f>
        <v>0</v>
      </c>
    </row>
    <row r="1497" spans="1:18">
      <c r="A1497">
        <v>1496</v>
      </c>
      <c r="B1497" t="s">
        <v>4621</v>
      </c>
      <c r="C1497" t="s">
        <v>4622</v>
      </c>
      <c r="D1497" t="s">
        <v>4622</v>
      </c>
      <c r="E1497" t="s">
        <v>4619</v>
      </c>
      <c r="F1497" t="s">
        <v>4623</v>
      </c>
      <c r="G1497" t="str">
        <f>_xlfn.XLOOKUP(frasest[[#This Row],[author_es]],autorest[author_es],autorest[author_la])</f>
        <v>Antonius Maria Claret</v>
      </c>
      <c r="H1497"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7"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7" t="str">
        <f>_xlfn.XLOOKUP(frasest[[#This Row],[author_es]],autorest[author_es],autorest[iso3691])</f>
        <v>es</v>
      </c>
      <c r="K1497" t="str">
        <f>_xlfn.XLOOKUP(frasest[[#This Row],[author_es]],autorest[author_es],autorest[language_es])</f>
        <v>Español</v>
      </c>
      <c r="L1497" t="str">
        <f>_xlfn.XLOOKUP(frasest[[#This Row],[author_es]],autorest[author_es],autorest[language_la])</f>
        <v>Lingua Hispanica</v>
      </c>
      <c r="M1497" t="str">
        <f>_xlfn.XLOOKUP(frasest[[#This Row],[author_es]],autorest[author_es],autorest[nation_es])</f>
        <v>España</v>
      </c>
      <c r="N1497" t="str">
        <f>_xlfn.XLOOKUP(frasest[[#This Row],[author_es]],autorest[author_es],autorest[nation_la])</f>
        <v>Hispania</v>
      </c>
      <c r="O1497" t="str">
        <f>_xlfn.XLOOKUP(frasest[[#This Row],[author_es]],autorest[author_es],autorest[age_es])</f>
        <v>Edad Contemporánea</v>
      </c>
      <c r="P1497" t="str">
        <f>_xlfn.XLOOKUP(frasest[[#This Row],[author_es]],autorest[author_es],autorest[age_la])</f>
        <v>Aetas Contemporanea</v>
      </c>
      <c r="Q1497" t="str">
        <f>_xlfn.XLOOKUP(frasest[[#This Row],[author_es]],autorest[author_es],autorest[image])</f>
        <v>https://i.ibb.co/pBJsk0pS/claret-alpha.png</v>
      </c>
      <c r="R1497">
        <f>_xlfn.XLOOKUP(frasest[[#This Row],[author_es]],autorest[author_es],autorest[image_atr])</f>
        <v>0</v>
      </c>
    </row>
    <row r="1498" spans="1:18">
      <c r="A1498">
        <v>1497</v>
      </c>
      <c r="B1498" t="s">
        <v>4624</v>
      </c>
      <c r="C1498" t="s">
        <v>4625</v>
      </c>
      <c r="D1498" t="s">
        <v>4625</v>
      </c>
      <c r="E1498" t="s">
        <v>4619</v>
      </c>
      <c r="F1498" t="s">
        <v>4626</v>
      </c>
      <c r="G1498" t="str">
        <f>_xlfn.XLOOKUP(frasest[[#This Row],[author_es]],autorest[author_es],autorest[author_la])</f>
        <v>Antonius Maria Claret</v>
      </c>
      <c r="H1498"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8"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8" t="str">
        <f>_xlfn.XLOOKUP(frasest[[#This Row],[author_es]],autorest[author_es],autorest[iso3691])</f>
        <v>es</v>
      </c>
      <c r="K1498" t="str">
        <f>_xlfn.XLOOKUP(frasest[[#This Row],[author_es]],autorest[author_es],autorest[language_es])</f>
        <v>Español</v>
      </c>
      <c r="L1498" t="str">
        <f>_xlfn.XLOOKUP(frasest[[#This Row],[author_es]],autorest[author_es],autorest[language_la])</f>
        <v>Lingua Hispanica</v>
      </c>
      <c r="M1498" t="str">
        <f>_xlfn.XLOOKUP(frasest[[#This Row],[author_es]],autorest[author_es],autorest[nation_es])</f>
        <v>España</v>
      </c>
      <c r="N1498" t="str">
        <f>_xlfn.XLOOKUP(frasest[[#This Row],[author_es]],autorest[author_es],autorest[nation_la])</f>
        <v>Hispania</v>
      </c>
      <c r="O1498" t="str">
        <f>_xlfn.XLOOKUP(frasest[[#This Row],[author_es]],autorest[author_es],autorest[age_es])</f>
        <v>Edad Contemporánea</v>
      </c>
      <c r="P1498" t="str">
        <f>_xlfn.XLOOKUP(frasest[[#This Row],[author_es]],autorest[author_es],autorest[age_la])</f>
        <v>Aetas Contemporanea</v>
      </c>
      <c r="Q1498" t="str">
        <f>_xlfn.XLOOKUP(frasest[[#This Row],[author_es]],autorest[author_es],autorest[image])</f>
        <v>https://i.ibb.co/pBJsk0pS/claret-alpha.png</v>
      </c>
      <c r="R1498">
        <f>_xlfn.XLOOKUP(frasest[[#This Row],[author_es]],autorest[author_es],autorest[image_atr])</f>
        <v>0</v>
      </c>
    </row>
    <row r="1499" spans="1:18">
      <c r="A1499">
        <v>1498</v>
      </c>
      <c r="B1499" t="s">
        <v>4627</v>
      </c>
      <c r="C1499" t="s">
        <v>4628</v>
      </c>
      <c r="D1499" t="s">
        <v>4627</v>
      </c>
      <c r="E1499" t="s">
        <v>4619</v>
      </c>
      <c r="F1499" t="s">
        <v>4629</v>
      </c>
      <c r="G1499" t="str">
        <f>_xlfn.XLOOKUP(frasest[[#This Row],[author_es]],autorest[author_es],autorest[author_la])</f>
        <v>Antonius Maria Claret</v>
      </c>
      <c r="H1499"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9"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9" t="str">
        <f>_xlfn.XLOOKUP(frasest[[#This Row],[author_es]],autorest[author_es],autorest[iso3691])</f>
        <v>es</v>
      </c>
      <c r="K1499" t="str">
        <f>_xlfn.XLOOKUP(frasest[[#This Row],[author_es]],autorest[author_es],autorest[language_es])</f>
        <v>Español</v>
      </c>
      <c r="L1499" t="str">
        <f>_xlfn.XLOOKUP(frasest[[#This Row],[author_es]],autorest[author_es],autorest[language_la])</f>
        <v>Lingua Hispanica</v>
      </c>
      <c r="M1499" t="str">
        <f>_xlfn.XLOOKUP(frasest[[#This Row],[author_es]],autorest[author_es],autorest[nation_es])</f>
        <v>España</v>
      </c>
      <c r="N1499" t="str">
        <f>_xlfn.XLOOKUP(frasest[[#This Row],[author_es]],autorest[author_es],autorest[nation_la])</f>
        <v>Hispania</v>
      </c>
      <c r="O1499" t="str">
        <f>_xlfn.XLOOKUP(frasest[[#This Row],[author_es]],autorest[author_es],autorest[age_es])</f>
        <v>Edad Contemporánea</v>
      </c>
      <c r="P1499" t="str">
        <f>_xlfn.XLOOKUP(frasest[[#This Row],[author_es]],autorest[author_es],autorest[age_la])</f>
        <v>Aetas Contemporanea</v>
      </c>
      <c r="Q1499" t="str">
        <f>_xlfn.XLOOKUP(frasest[[#This Row],[author_es]],autorest[author_es],autorest[image])</f>
        <v>https://i.ibb.co/pBJsk0pS/claret-alpha.png</v>
      </c>
      <c r="R1499">
        <f>_xlfn.XLOOKUP(frasest[[#This Row],[author_es]],autorest[author_es],autorest[image_atr])</f>
        <v>0</v>
      </c>
    </row>
    <row r="1500" spans="1:18">
      <c r="A1500">
        <v>1499</v>
      </c>
      <c r="B1500" t="s">
        <v>4630</v>
      </c>
      <c r="C1500" t="s">
        <v>4631</v>
      </c>
      <c r="D1500" t="s">
        <v>4630</v>
      </c>
      <c r="E1500" t="s">
        <v>4619</v>
      </c>
      <c r="F1500" t="s">
        <v>4632</v>
      </c>
      <c r="G1500" t="str">
        <f>_xlfn.XLOOKUP(frasest[[#This Row],[author_es]],autorest[author_es],autorest[author_la])</f>
        <v>Antonius Maria Claret</v>
      </c>
      <c r="H1500"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500"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500" t="str">
        <f>_xlfn.XLOOKUP(frasest[[#This Row],[author_es]],autorest[author_es],autorest[iso3691])</f>
        <v>es</v>
      </c>
      <c r="K1500" t="str">
        <f>_xlfn.XLOOKUP(frasest[[#This Row],[author_es]],autorest[author_es],autorest[language_es])</f>
        <v>Español</v>
      </c>
      <c r="L1500" t="str">
        <f>_xlfn.XLOOKUP(frasest[[#This Row],[author_es]],autorest[author_es],autorest[language_la])</f>
        <v>Lingua Hispanica</v>
      </c>
      <c r="M1500" t="str">
        <f>_xlfn.XLOOKUP(frasest[[#This Row],[author_es]],autorest[author_es],autorest[nation_es])</f>
        <v>España</v>
      </c>
      <c r="N1500" t="str">
        <f>_xlfn.XLOOKUP(frasest[[#This Row],[author_es]],autorest[author_es],autorest[nation_la])</f>
        <v>Hispania</v>
      </c>
      <c r="O1500" t="str">
        <f>_xlfn.XLOOKUP(frasest[[#This Row],[author_es]],autorest[author_es],autorest[age_es])</f>
        <v>Edad Contemporánea</v>
      </c>
      <c r="P1500" t="str">
        <f>_xlfn.XLOOKUP(frasest[[#This Row],[author_es]],autorest[author_es],autorest[age_la])</f>
        <v>Aetas Contemporanea</v>
      </c>
      <c r="Q1500" t="str">
        <f>_xlfn.XLOOKUP(frasest[[#This Row],[author_es]],autorest[author_es],autorest[image])</f>
        <v>https://i.ibb.co/pBJsk0pS/claret-alpha.png</v>
      </c>
      <c r="R1500">
        <f>_xlfn.XLOOKUP(frasest[[#This Row],[author_es]],autorest[author_es],autorest[image_atr])</f>
        <v>0</v>
      </c>
    </row>
    <row r="1501" spans="1:18">
      <c r="B1501" t="s">
        <v>5386</v>
      </c>
      <c r="C1501" t="s">
        <v>5387</v>
      </c>
      <c r="D1501" t="s">
        <v>5388</v>
      </c>
      <c r="E1501" t="s">
        <v>5381</v>
      </c>
      <c r="F1501" t="s">
        <v>5389</v>
      </c>
      <c r="G1501" t="str">
        <f>_xlfn.XLOOKUP(frasest[[#This Row],[author_es]],autorest[author_es],autorest[author_la])</f>
        <v>Stephanus Wozniak</v>
      </c>
      <c r="H1501" t="str">
        <f>_xlfn.XLOOKUP(frasest[[#This Row],[author_es]],autorest[author_es],autorest[bio_es])</f>
        <v>Ingeniero electrónico y cofundador de Apple, creador de la Apple I y II y defensor de la ingeniería creativa.</v>
      </c>
      <c r="I1501" t="str">
        <f>_xlfn.XLOOKUP(frasest[[#This Row],[author_es]],autorest[author_es],autorest[bio_la])</f>
        <v>Machinator electronicus et Apple co-conditor, creator Apple I et II et defensor machinationis creativae.</v>
      </c>
      <c r="J1501" t="str">
        <f>_xlfn.XLOOKUP(frasest[[#This Row],[author_es]],autorest[author_es],autorest[iso3691])</f>
        <v>en</v>
      </c>
      <c r="K1501" t="str">
        <f>_xlfn.XLOOKUP(frasest[[#This Row],[author_es]],autorest[author_es],autorest[language_es])</f>
        <v>Inglés</v>
      </c>
      <c r="L1501" t="str">
        <f>_xlfn.XLOOKUP(frasest[[#This Row],[author_es]],autorest[author_es],autorest[language_la])</f>
        <v>Lingua Anglica</v>
      </c>
      <c r="M1501" t="str">
        <f>_xlfn.XLOOKUP(frasest[[#This Row],[author_es]],autorest[author_es],autorest[nation_es])</f>
        <v>Estados Unidos</v>
      </c>
      <c r="N1501" t="str">
        <f>_xlfn.XLOOKUP(frasest[[#This Row],[author_es]],autorest[author_es],autorest[nation_la])</f>
        <v>Civitates Foederatae Americae</v>
      </c>
      <c r="O1501" t="str">
        <f>_xlfn.XLOOKUP(frasest[[#This Row],[author_es]],autorest[author_es],autorest[age_es])</f>
        <v>Edad Contemporánea</v>
      </c>
      <c r="P1501" t="str">
        <f>_xlfn.XLOOKUP(frasest[[#This Row],[author_es]],autorest[author_es],autorest[age_la])</f>
        <v>Aetas Contemporanea</v>
      </c>
      <c r="Q1501">
        <f>_xlfn.XLOOKUP(frasest[[#This Row],[author_es]],autorest[author_es],autorest[image])</f>
        <v>0</v>
      </c>
      <c r="R1501">
        <f>_xlfn.XLOOKUP(frasest[[#This Row],[author_es]],autorest[author_es],autorest[image_atr])</f>
        <v>0</v>
      </c>
    </row>
  </sheetData>
  <dataValidations count="2">
    <dataValidation allowBlank="1" showInputMessage="1" showErrorMessage="1" sqref="F1:F107 F109:F1479 F1489:F2500" xr:uid="{00000000-0002-0000-0000-000000000000}">
      <formula1>0</formula1>
      <formula2>0</formula2>
    </dataValidation>
    <dataValidation type="list" allowBlank="1" showInputMessage="1" showErrorMessage="1" sqref="E2:E1501" xr:uid="{00000000-0002-0000-0000-000001000000}">
      <formula1>INDIRECT("'autores'!autorest[autor_es]")</formula1>
      <formula2>0</formula2>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5"/>
  <sheetViews>
    <sheetView tabSelected="1" topLeftCell="A83" zoomScaleNormal="100" workbookViewId="0">
      <selection activeCell="J124" sqref="J124:J125"/>
    </sheetView>
  </sheetViews>
  <sheetFormatPr baseColWidth="10" defaultColWidth="8.83203125" defaultRowHeight="13"/>
  <cols>
    <col min="1" max="1" width="10.6640625" customWidth="1"/>
    <col min="2" max="2" width="26.5" customWidth="1"/>
    <col min="3" max="3" width="32.6640625" customWidth="1"/>
    <col min="4" max="4" width="19.33203125" customWidth="1"/>
    <col min="5" max="5" width="21" customWidth="1"/>
    <col min="6" max="7" width="30.6640625" customWidth="1"/>
    <col min="8" max="9" width="15.5" customWidth="1"/>
    <col min="10" max="10" width="16.5" customWidth="1"/>
    <col min="11" max="11" width="42" customWidth="1"/>
    <col min="12" max="12" width="40" customWidth="1"/>
    <col min="13" max="13" width="12.1640625" customWidth="1"/>
    <col min="14" max="14" width="18.5" customWidth="1"/>
    <col min="15" max="15" width="23.33203125" customWidth="1"/>
    <col min="16" max="16" width="20" customWidth="1"/>
  </cols>
  <sheetData>
    <row r="1" spans="1:16">
      <c r="A1" t="s">
        <v>4633</v>
      </c>
      <c r="B1" t="s">
        <v>4</v>
      </c>
      <c r="C1" t="s">
        <v>6</v>
      </c>
      <c r="D1" t="s">
        <v>4634</v>
      </c>
      <c r="E1" t="s">
        <v>4635</v>
      </c>
      <c r="F1" t="s">
        <v>7</v>
      </c>
      <c r="G1" t="s">
        <v>8</v>
      </c>
      <c r="H1" t="s">
        <v>10</v>
      </c>
      <c r="I1" t="s">
        <v>12</v>
      </c>
      <c r="J1" t="s">
        <v>11</v>
      </c>
      <c r="K1" t="s">
        <v>16</v>
      </c>
      <c r="L1" t="s">
        <v>17</v>
      </c>
      <c r="M1" t="s">
        <v>9</v>
      </c>
      <c r="N1" t="s">
        <v>13</v>
      </c>
      <c r="O1" t="s">
        <v>14</v>
      </c>
      <c r="P1" t="s">
        <v>15</v>
      </c>
    </row>
    <row r="2" spans="1:16" ht="14">
      <c r="A2">
        <v>1</v>
      </c>
      <c r="B2" t="s">
        <v>68</v>
      </c>
      <c r="C2" t="s">
        <v>4636</v>
      </c>
      <c r="D2">
        <v>-65</v>
      </c>
      <c r="E2">
        <v>-8</v>
      </c>
      <c r="F2" t="s">
        <v>4637</v>
      </c>
      <c r="G2" t="s">
        <v>4638</v>
      </c>
      <c r="H2" t="s">
        <v>4639</v>
      </c>
      <c r="I2" t="s">
        <v>4640</v>
      </c>
      <c r="J2" t="str">
        <f>_xlfn.XLOOKUP(autorest[[#This Row],[language_es]],idiomast[language_es],idiomast[language_la])</f>
        <v>Lingua Latina</v>
      </c>
      <c r="K2" s="6" t="s">
        <v>4641</v>
      </c>
      <c r="M2" t="str">
        <f>_xlfn.XLOOKUP(autorest[[#This Row],[language_es]],idiomast[language_es],idiomast[iso3691])</f>
        <v>la</v>
      </c>
      <c r="N2" t="str">
        <f>_xlfn.XLOOKUP(autorest[[#This Row],[nation_es]],nacionest[nation_es],nacionest[nation_la])</f>
        <v>Roma</v>
      </c>
      <c r="O2" s="7" t="str">
        <f t="array" ref="O2">IF(ISBLANK(autorest[[#This Row],[year_birth]]),"Epoca Desconocida",IFERROR(INDEX(epocast[age_es],MATCH(1,(autorest[[#This Row],[year_birth]]&gt;=epocast[year_start])*(autorest[[#This Row],[year_birth]]&lt;=epocast[year_end]),0)),"Epoca Desconocida"))</f>
        <v>Edad Antigua</v>
      </c>
      <c r="P2" t="str">
        <f>_xlfn.XLOOKUP(autorest[[#This Row],[age_es]],epocast[age_es],epocast[age_la])</f>
        <v>Antiquitas</v>
      </c>
    </row>
    <row r="3" spans="1:16" ht="14">
      <c r="A3">
        <v>2</v>
      </c>
      <c r="B3" t="s">
        <v>49</v>
      </c>
      <c r="C3" t="s">
        <v>4642</v>
      </c>
      <c r="D3">
        <v>1596</v>
      </c>
      <c r="E3">
        <v>1650</v>
      </c>
      <c r="F3" t="s">
        <v>4643</v>
      </c>
      <c r="G3" t="s">
        <v>4644</v>
      </c>
      <c r="H3" t="s">
        <v>4639</v>
      </c>
      <c r="I3" t="s">
        <v>4645</v>
      </c>
      <c r="J3" t="str">
        <f>_xlfn.XLOOKUP(autorest[[#This Row],[language_es]],idiomast[language_es],idiomast[language_la])</f>
        <v>Lingua Latina</v>
      </c>
      <c r="K3" s="6" t="s">
        <v>4646</v>
      </c>
      <c r="M3" t="str">
        <f>_xlfn.XLOOKUP(autorest[[#This Row],[language_es]],idiomast[language_es],idiomast[iso3691])</f>
        <v>la</v>
      </c>
      <c r="N3" t="str">
        <f>_xlfn.XLOOKUP(autorest[[#This Row],[nation_es]],nacionest[nation_es],nacionest[nation_la])</f>
        <v>Francia</v>
      </c>
      <c r="O3" s="7" t="str">
        <f t="array" ref="O3">IF(ISBLANK(autorest[[#This Row],[year_birth]]),"Epoca Desconocida",IFERROR(INDEX(epocast[age_es],MATCH(1,(autorest[[#This Row],[year_birth]]&gt;=epocast[year_start])*(autorest[[#This Row],[year_birth]]&lt;=epocast[year_end]),0)),"Epoca Desconocida"))</f>
        <v>Edad Moderna</v>
      </c>
      <c r="P3" t="str">
        <f>_xlfn.XLOOKUP(autorest[[#This Row],[age_es]],epocast[age_es],epocast[age_la])</f>
        <v>Nova Aetas</v>
      </c>
    </row>
    <row r="4" spans="1:16" ht="14">
      <c r="A4">
        <v>3</v>
      </c>
      <c r="B4" t="s">
        <v>53</v>
      </c>
      <c r="C4" t="s">
        <v>4647</v>
      </c>
      <c r="D4">
        <v>1561</v>
      </c>
      <c r="E4">
        <v>1626</v>
      </c>
      <c r="F4" t="s">
        <v>4648</v>
      </c>
      <c r="G4" t="s">
        <v>4649</v>
      </c>
      <c r="H4" t="s">
        <v>4650</v>
      </c>
      <c r="I4" t="s">
        <v>4651</v>
      </c>
      <c r="J4" t="str">
        <f>_xlfn.XLOOKUP(autorest[[#This Row],[language_es]],idiomast[language_es],idiomast[language_la])</f>
        <v>Lingua Anglica</v>
      </c>
      <c r="K4" s="6" t="s">
        <v>4652</v>
      </c>
      <c r="M4" t="str">
        <f>_xlfn.XLOOKUP(autorest[[#This Row],[language_es]],idiomast[language_es],idiomast[iso3691])</f>
        <v>en</v>
      </c>
      <c r="N4" t="str">
        <f>_xlfn.XLOOKUP(autorest[[#This Row],[nation_es]],nacionest[nation_es],nacionest[nation_la])</f>
        <v>Regnum Unitum</v>
      </c>
      <c r="O4" s="7" t="str">
        <f t="array" ref="O4">IF(ISBLANK(autorest[[#This Row],[year_birth]]),"Epoca Desconocida",IFERROR(INDEX(epocast[age_es],MATCH(1,(autorest[[#This Row],[year_birth]]&gt;=epocast[year_start])*(autorest[[#This Row],[year_birth]]&lt;=epocast[year_end]),0)),"Epoca Desconocida"))</f>
        <v>Edad Moderna</v>
      </c>
      <c r="P4" t="str">
        <f>_xlfn.XLOOKUP(autorest[[#This Row],[age_es]],epocast[age_es],epocast[age_la])</f>
        <v>Nova Aetas</v>
      </c>
    </row>
    <row r="5" spans="1:16" ht="14">
      <c r="A5">
        <v>4</v>
      </c>
      <c r="B5" t="s">
        <v>57</v>
      </c>
      <c r="C5" t="s">
        <v>4653</v>
      </c>
      <c r="D5">
        <v>354</v>
      </c>
      <c r="E5">
        <v>430</v>
      </c>
      <c r="F5" t="s">
        <v>4654</v>
      </c>
      <c r="G5" t="s">
        <v>4655</v>
      </c>
      <c r="H5" t="s">
        <v>4639</v>
      </c>
      <c r="I5" t="s">
        <v>4640</v>
      </c>
      <c r="J5" t="str">
        <f>_xlfn.XLOOKUP(autorest[[#This Row],[language_es]],idiomast[language_es],idiomast[language_la])</f>
        <v>Lingua Latina</v>
      </c>
      <c r="K5" s="6" t="s">
        <v>4656</v>
      </c>
      <c r="M5" t="str">
        <f>_xlfn.XLOOKUP(autorest[[#This Row],[language_es]],idiomast[language_es],idiomast[iso3691])</f>
        <v>la</v>
      </c>
      <c r="N5" t="str">
        <f>_xlfn.XLOOKUP(autorest[[#This Row],[nation_es]],nacionest[nation_es],nacionest[nation_la])</f>
        <v>Roma</v>
      </c>
      <c r="O5" s="7" t="str">
        <f t="array" ref="O5">IF(ISBLANK(autorest[[#This Row],[year_birth]]),"Epoca Desconocida",IFERROR(INDEX(epocast[age_es],MATCH(1,(autorest[[#This Row],[year_birth]]&gt;=epocast[year_start])*(autorest[[#This Row],[year_birth]]&lt;=epocast[year_end]),0)),"Epoca Desconocida"))</f>
        <v>Edad Antigua</v>
      </c>
      <c r="P5" t="str">
        <f>_xlfn.XLOOKUP(autorest[[#This Row],[age_es]],epocast[age_es],epocast[age_la])</f>
        <v>Antiquitas</v>
      </c>
    </row>
    <row r="6" spans="1:16" ht="14">
      <c r="A6">
        <v>5</v>
      </c>
      <c r="B6" t="s">
        <v>73</v>
      </c>
      <c r="C6" t="s">
        <v>4657</v>
      </c>
      <c r="D6">
        <v>1564</v>
      </c>
      <c r="E6">
        <v>1616</v>
      </c>
      <c r="F6" t="s">
        <v>4658</v>
      </c>
      <c r="G6" t="s">
        <v>4659</v>
      </c>
      <c r="H6" t="s">
        <v>4650</v>
      </c>
      <c r="I6" t="s">
        <v>4651</v>
      </c>
      <c r="J6" t="str">
        <f>_xlfn.XLOOKUP(autorest[[#This Row],[language_es]],idiomast[language_es],idiomast[language_la])</f>
        <v>Lingua Anglica</v>
      </c>
      <c r="K6" s="6" t="s">
        <v>4660</v>
      </c>
      <c r="M6" t="str">
        <f>_xlfn.XLOOKUP(autorest[[#This Row],[language_es]],idiomast[language_es],idiomast[iso3691])</f>
        <v>en</v>
      </c>
      <c r="N6" t="str">
        <f>_xlfn.XLOOKUP(autorest[[#This Row],[nation_es]],nacionest[nation_es],nacionest[nation_la])</f>
        <v>Regnum Unitum</v>
      </c>
      <c r="O6" s="7" t="str">
        <f t="array" ref="O6">IF(ISBLANK(autorest[[#This Row],[year_birth]]),"Epoca Desconocida",IFERROR(INDEX(epocast[age_es],MATCH(1,(autorest[[#This Row],[year_birth]]&gt;=epocast[year_start])*(autorest[[#This Row],[year_birth]]&lt;=epocast[year_end]),0)),"Epoca Desconocida"))</f>
        <v>Edad Moderna</v>
      </c>
      <c r="P6" t="str">
        <f>_xlfn.XLOOKUP(autorest[[#This Row],[age_es]],epocast[age_es],epocast[age_la])</f>
        <v>Nova Aetas</v>
      </c>
    </row>
    <row r="7" spans="1:16" ht="14">
      <c r="A7">
        <v>6</v>
      </c>
      <c r="B7" t="s">
        <v>4661</v>
      </c>
      <c r="C7" t="s">
        <v>4662</v>
      </c>
      <c r="D7">
        <v>-990</v>
      </c>
      <c r="E7">
        <v>-931</v>
      </c>
      <c r="F7" t="s">
        <v>4663</v>
      </c>
      <c r="G7" t="s">
        <v>4664</v>
      </c>
      <c r="H7" t="s">
        <v>4665</v>
      </c>
      <c r="I7" t="s">
        <v>4666</v>
      </c>
      <c r="J7" t="str">
        <f>_xlfn.XLOOKUP(autorest[[#This Row],[language_es]],idiomast[language_es],idiomast[language_la])</f>
        <v>Lingua Hebraica</v>
      </c>
      <c r="K7" s="6" t="s">
        <v>4667</v>
      </c>
      <c r="M7" t="str">
        <f>_xlfn.XLOOKUP(autorest[[#This Row],[language_es]],idiomast[language_es],idiomast[iso3691])</f>
        <v>he</v>
      </c>
      <c r="N7" t="str">
        <f>_xlfn.XLOOKUP(autorest[[#This Row],[nation_es]],nacionest[nation_es],nacionest[nation_la])</f>
        <v>Israel</v>
      </c>
      <c r="O7" s="7" t="str">
        <f t="array" ref="O7">IF(ISBLANK(autorest[[#This Row],[year_birth]]),"Epoca Desconocida",IFERROR(INDEX(epocast[age_es],MATCH(1,(autorest[[#This Row],[year_birth]]&gt;=epocast[year_start])*(autorest[[#This Row],[year_birth]]&lt;=epocast[year_end]),0)),"Epoca Desconocida"))</f>
        <v>Edad Antigua</v>
      </c>
      <c r="P7" t="str">
        <f>_xlfn.XLOOKUP(autorest[[#This Row],[age_es]],epocast[age_es],epocast[age_la])</f>
        <v>Antiquitas</v>
      </c>
    </row>
    <row r="8" spans="1:16" ht="14">
      <c r="A8">
        <v>7</v>
      </c>
      <c r="B8" t="s">
        <v>62</v>
      </c>
      <c r="C8" t="s">
        <v>4668</v>
      </c>
      <c r="D8">
        <v>1888</v>
      </c>
      <c r="E8">
        <v>1955</v>
      </c>
      <c r="F8" t="s">
        <v>4669</v>
      </c>
      <c r="G8" t="s">
        <v>4670</v>
      </c>
      <c r="H8" t="s">
        <v>4650</v>
      </c>
      <c r="I8" t="s">
        <v>4671</v>
      </c>
      <c r="J8" t="str">
        <f>_xlfn.XLOOKUP(autorest[[#This Row],[language_es]],idiomast[language_es],idiomast[language_la])</f>
        <v>Lingua Anglica</v>
      </c>
      <c r="K8" s="6" t="s">
        <v>4672</v>
      </c>
      <c r="M8" t="str">
        <f>_xlfn.XLOOKUP(autorest[[#This Row],[language_es]],idiomast[language_es],idiomast[iso3691])</f>
        <v>en</v>
      </c>
      <c r="N8" t="str">
        <f>_xlfn.XLOOKUP(autorest[[#This Row],[nation_es]],nacionest[nation_es],nacionest[nation_la])</f>
        <v>Civitates Foederatae Americae</v>
      </c>
      <c r="O8" s="7" t="str">
        <f t="array" ref="O8">IF(ISBLANK(autorest[[#This Row],[year_birth]]),"Epoca Desconocida",IFERROR(INDEX(epocast[age_es],MATCH(1,(autorest[[#This Row],[year_birth]]&gt;=epocast[year_start])*(autorest[[#This Row],[year_birth]]&lt;=epocast[year_end]),0)),"Epoca Desconocida"))</f>
        <v>Edad Contemporánea</v>
      </c>
      <c r="P8" t="str">
        <f>_xlfn.XLOOKUP(autorest[[#This Row],[age_es]],epocast[age_es],epocast[age_la])</f>
        <v>Aetas Contemporanea</v>
      </c>
    </row>
    <row r="9" spans="1:16" ht="14">
      <c r="A9">
        <v>8</v>
      </c>
      <c r="B9" t="s">
        <v>36</v>
      </c>
      <c r="C9" t="s">
        <v>4673</v>
      </c>
      <c r="F9" t="s">
        <v>4674</v>
      </c>
      <c r="G9" t="s">
        <v>4675</v>
      </c>
      <c r="H9" t="s">
        <v>4676</v>
      </c>
      <c r="I9" t="s">
        <v>4677</v>
      </c>
      <c r="J9" t="str">
        <f>_xlfn.XLOOKUP(autorest[[#This Row],[language_es]],idiomast[language_es],idiomast[language_la])</f>
        <v>Lingua Sinica</v>
      </c>
      <c r="K9" s="6" t="s">
        <v>4678</v>
      </c>
      <c r="L9" s="6"/>
      <c r="M9" t="str">
        <f>_xlfn.XLOOKUP(autorest[[#This Row],[language_es]],idiomast[language_es],idiomast[iso3691])</f>
        <v>zh</v>
      </c>
      <c r="N9" t="str">
        <f>_xlfn.XLOOKUP(autorest[[#This Row],[nation_es]],nacionest[nation_es],nacionest[nation_la])</f>
        <v>Sinae</v>
      </c>
      <c r="O9" s="7" t="str">
        <f t="array" ref="O9">IF(ISBLANK(autorest[[#This Row],[year_birth]]),"Epoca Desconocida",IFERROR(INDEX(epocast[age_es],MATCH(1,(autorest[[#This Row],[year_birth]]&gt;=epocast[year_start])*(autorest[[#This Row],[year_birth]]&lt;=epocast[year_end]),0)),"Epoca Desconocida"))</f>
        <v>Epoca Desconocida</v>
      </c>
      <c r="P9" t="str">
        <f>_xlfn.XLOOKUP(autorest[[#This Row],[age_es]],epocast[age_es],epocast[age_la])</f>
        <v>Epocha Ignota</v>
      </c>
    </row>
    <row r="10" spans="1:16" ht="14">
      <c r="A10">
        <v>9</v>
      </c>
      <c r="B10" t="s">
        <v>28</v>
      </c>
      <c r="C10" t="s">
        <v>4679</v>
      </c>
      <c r="F10" t="s">
        <v>4680</v>
      </c>
      <c r="G10" t="s">
        <v>4681</v>
      </c>
      <c r="H10" t="s">
        <v>4682</v>
      </c>
      <c r="I10" t="s">
        <v>4683</v>
      </c>
      <c r="J10" t="str">
        <f>_xlfn.XLOOKUP(autorest[[#This Row],[language_es]],idiomast[language_es],idiomast[language_la])</f>
        <v>Lingua Iaponica</v>
      </c>
      <c r="K10" s="6" t="s">
        <v>4684</v>
      </c>
      <c r="M10" t="str">
        <f>_xlfn.XLOOKUP(autorest[[#This Row],[language_es]],idiomast[language_es],idiomast[iso3691])</f>
        <v>ja</v>
      </c>
      <c r="N10" t="str">
        <f>_xlfn.XLOOKUP(autorest[[#This Row],[nation_es]],nacionest[nation_es],nacionest[nation_la])</f>
        <v>Iaponia</v>
      </c>
      <c r="O10" s="7" t="str">
        <f t="array" ref="O10">IF(ISBLANK(autorest[[#This Row],[year_birth]]),"Epoca Desconocida",IFERROR(INDEX(epocast[age_es],MATCH(1,(autorest[[#This Row],[year_birth]]&gt;=epocast[year_start])*(autorest[[#This Row],[year_birth]]&lt;=epocast[year_end]),0)),"Epoca Desconocida"))</f>
        <v>Epoca Desconocida</v>
      </c>
      <c r="P10" t="str">
        <f>_xlfn.XLOOKUP(autorest[[#This Row],[age_es]],epocast[age_es],epocast[age_la])</f>
        <v>Epocha Ignota</v>
      </c>
    </row>
    <row r="11" spans="1:16" ht="14">
      <c r="A11">
        <v>10</v>
      </c>
      <c r="B11" t="s">
        <v>21</v>
      </c>
      <c r="C11" t="s">
        <v>4685</v>
      </c>
      <c r="F11" t="s">
        <v>4686</v>
      </c>
      <c r="G11" t="s">
        <v>4687</v>
      </c>
      <c r="H11" t="s">
        <v>4688</v>
      </c>
      <c r="I11" t="s">
        <v>4645</v>
      </c>
      <c r="J11" t="str">
        <f>_xlfn.XLOOKUP(autorest[[#This Row],[language_es]],idiomast[language_es],idiomast[language_la])</f>
        <v>Lingua Gallica</v>
      </c>
      <c r="K11" s="6" t="s">
        <v>4689</v>
      </c>
      <c r="M11" t="str">
        <f>_xlfn.XLOOKUP(autorest[[#This Row],[language_es]],idiomast[language_es],idiomast[iso3691])</f>
        <v>fr</v>
      </c>
      <c r="N11" t="str">
        <f>_xlfn.XLOOKUP(autorest[[#This Row],[nation_es]],nacionest[nation_es],nacionest[nation_la])</f>
        <v>Francia</v>
      </c>
      <c r="O11" s="7" t="str">
        <f t="array" ref="O11">IF(ISBLANK(autorest[[#This Row],[year_birth]]),"Epoca Desconocida",IFERROR(INDEX(epocast[age_es],MATCH(1,(autorest[[#This Row],[year_birth]]&gt;=epocast[year_start])*(autorest[[#This Row],[year_birth]]&lt;=epocast[year_end]),0)),"Epoca Desconocida"))</f>
        <v>Epoca Desconocida</v>
      </c>
      <c r="P11" t="str">
        <f>_xlfn.XLOOKUP(autorest[[#This Row],[age_es]],epocast[age_es],epocast[age_la])</f>
        <v>Epocha Ignota</v>
      </c>
    </row>
    <row r="12" spans="1:16" ht="14">
      <c r="A12">
        <v>11</v>
      </c>
      <c r="B12" t="s">
        <v>32</v>
      </c>
      <c r="C12" t="s">
        <v>4690</v>
      </c>
      <c r="F12" t="s">
        <v>4691</v>
      </c>
      <c r="G12" t="s">
        <v>4692</v>
      </c>
      <c r="H12" t="s">
        <v>4693</v>
      </c>
      <c r="I12" t="s">
        <v>4694</v>
      </c>
      <c r="J12" t="str">
        <f>_xlfn.XLOOKUP(autorest[[#This Row],[language_es]],idiomast[language_es],idiomast[language_la])</f>
        <v>Lingua Russica</v>
      </c>
      <c r="K12" t="s">
        <v>4695</v>
      </c>
      <c r="M12" t="str">
        <f>_xlfn.XLOOKUP(autorest[[#This Row],[language_es]],idiomast[language_es],idiomast[iso3691])</f>
        <v>ru</v>
      </c>
      <c r="N12" t="str">
        <f>_xlfn.XLOOKUP(autorest[[#This Row],[nation_es]],nacionest[nation_es],nacionest[nation_la])</f>
        <v>Russia</v>
      </c>
      <c r="O12" s="7" t="str">
        <f t="array" ref="O12">IF(ISBLANK(autorest[[#This Row],[year_birth]]),"Epoca Desconocida",IFERROR(INDEX(epocast[age_es],MATCH(1,(autorest[[#This Row],[year_birth]]&gt;=epocast[year_start])*(autorest[[#This Row],[year_birth]]&lt;=epocast[year_end]),0)),"Epoca Desconocida"))</f>
        <v>Epoca Desconocida</v>
      </c>
      <c r="P12" t="str">
        <f>_xlfn.XLOOKUP(autorest[[#This Row],[age_es]],epocast[age_es],epocast[age_la])</f>
        <v>Epocha Ignota</v>
      </c>
    </row>
    <row r="13" spans="1:16" ht="14">
      <c r="A13">
        <v>12</v>
      </c>
      <c r="B13" t="s">
        <v>24</v>
      </c>
      <c r="C13" t="s">
        <v>4696</v>
      </c>
      <c r="F13" t="s">
        <v>4697</v>
      </c>
      <c r="G13" t="s">
        <v>4698</v>
      </c>
      <c r="H13" t="s">
        <v>4699</v>
      </c>
      <c r="I13" t="s">
        <v>4700</v>
      </c>
      <c r="J13" t="str">
        <f>_xlfn.XLOOKUP(autorest[[#This Row],[language_es]],idiomast[language_es],idiomast[language_la])</f>
        <v>Lingua Hispanica</v>
      </c>
      <c r="K13" t="s">
        <v>4701</v>
      </c>
      <c r="M13" t="str">
        <f>_xlfn.XLOOKUP(autorest[[#This Row],[language_es]],idiomast[language_es],idiomast[iso3691])</f>
        <v>es</v>
      </c>
      <c r="N13" t="str">
        <f>_xlfn.XLOOKUP(autorest[[#This Row],[nation_es]],nacionest[nation_es],nacionest[nation_la])</f>
        <v>Hispania</v>
      </c>
      <c r="O13" s="7" t="str">
        <f t="array" ref="O13">IF(ISBLANK(autorest[[#This Row],[year_birth]]),"Epoca Desconocida",IFERROR(INDEX(epocast[age_es],MATCH(1,(autorest[[#This Row],[year_birth]]&gt;=epocast[year_start])*(autorest[[#This Row],[year_birth]]&lt;=epocast[year_end]),0)),"Epoca Desconocida"))</f>
        <v>Epoca Desconocida</v>
      </c>
      <c r="P13" t="str">
        <f>_xlfn.XLOOKUP(autorest[[#This Row],[age_es]],epocast[age_es],epocast[age_la])</f>
        <v>Epocha Ignota</v>
      </c>
    </row>
    <row r="14" spans="1:16" ht="14">
      <c r="A14">
        <v>13</v>
      </c>
      <c r="B14" t="s">
        <v>1236</v>
      </c>
      <c r="C14" t="s">
        <v>4702</v>
      </c>
      <c r="F14" t="s">
        <v>4703</v>
      </c>
      <c r="G14" t="s">
        <v>4704</v>
      </c>
      <c r="H14" t="s">
        <v>4705</v>
      </c>
      <c r="I14" t="s">
        <v>4700</v>
      </c>
      <c r="J14" t="str">
        <f>_xlfn.XLOOKUP(autorest[[#This Row],[language_es]],idiomast[language_es],idiomast[language_la])</f>
        <v>Lingua Vasconica</v>
      </c>
      <c r="K14" t="s">
        <v>4706</v>
      </c>
      <c r="M14" t="str">
        <f>_xlfn.XLOOKUP(autorest[[#This Row],[language_es]],idiomast[language_es],idiomast[iso3691])</f>
        <v>eu</v>
      </c>
      <c r="N14" t="str">
        <f>_xlfn.XLOOKUP(autorest[[#This Row],[nation_es]],nacionest[nation_es],nacionest[nation_la])</f>
        <v>Hispania</v>
      </c>
      <c r="O14" s="7" t="str">
        <f t="array" ref="O14">IF(ISBLANK(autorest[[#This Row],[year_birth]]),"Epoca Desconocida",IFERROR(INDEX(epocast[age_es],MATCH(1,(autorest[[#This Row],[year_birth]]&gt;=epocast[year_start])*(autorest[[#This Row],[year_birth]]&lt;=epocast[year_end]),0)),"Epoca Desconocida"))</f>
        <v>Epoca Desconocida</v>
      </c>
      <c r="P14" t="str">
        <f>_xlfn.XLOOKUP(autorest[[#This Row],[age_es]],epocast[age_es],epocast[age_la])</f>
        <v>Epocha Ignota</v>
      </c>
    </row>
    <row r="15" spans="1:16" ht="14">
      <c r="A15">
        <v>14</v>
      </c>
      <c r="B15" t="s">
        <v>82</v>
      </c>
      <c r="C15" t="s">
        <v>4707</v>
      </c>
      <c r="D15">
        <v>-100</v>
      </c>
      <c r="E15">
        <v>-44</v>
      </c>
      <c r="F15" t="s">
        <v>4708</v>
      </c>
      <c r="G15" t="s">
        <v>4709</v>
      </c>
      <c r="H15" t="s">
        <v>4639</v>
      </c>
      <c r="I15" t="s">
        <v>4640</v>
      </c>
      <c r="J15" t="str">
        <f>_xlfn.XLOOKUP(autorest[[#This Row],[language_es]],idiomast[language_es],idiomast[language_la])</f>
        <v>Lingua Latina</v>
      </c>
      <c r="K15" s="6" t="s">
        <v>4710</v>
      </c>
      <c r="M15" t="str">
        <f>_xlfn.XLOOKUP(autorest[[#This Row],[language_es]],idiomast[language_es],idiomast[iso3691])</f>
        <v>la</v>
      </c>
      <c r="N15" t="str">
        <f>_xlfn.XLOOKUP(autorest[[#This Row],[nation_es]],nacionest[nation_es],nacionest[nation_la])</f>
        <v>Roma</v>
      </c>
      <c r="O15" s="7" t="str">
        <f t="array" ref="O15">IF(ISBLANK(autorest[[#This Row],[year_birth]]),"Epoca Desconocida",IFERROR(INDEX(epocast[age_es],MATCH(1,(autorest[[#This Row],[year_birth]]&gt;=epocast[year_start])*(autorest[[#This Row],[year_birth]]&lt;=epocast[year_end]),0)),"Epoca Desconocida"))</f>
        <v>Edad Antigua</v>
      </c>
      <c r="P15" t="str">
        <f>_xlfn.XLOOKUP(autorest[[#This Row],[age_es]],epocast[age_es],epocast[age_la])</f>
        <v>Antiquitas</v>
      </c>
    </row>
    <row r="16" spans="1:16" ht="14">
      <c r="A16">
        <v>15</v>
      </c>
      <c r="B16" t="s">
        <v>87</v>
      </c>
      <c r="C16" t="s">
        <v>4711</v>
      </c>
      <c r="D16">
        <v>-515</v>
      </c>
      <c r="E16">
        <v>-450</v>
      </c>
      <c r="F16" t="s">
        <v>4712</v>
      </c>
      <c r="G16" t="s">
        <v>4713</v>
      </c>
      <c r="H16" t="s">
        <v>4639</v>
      </c>
      <c r="I16" t="s">
        <v>4714</v>
      </c>
      <c r="J16" t="str">
        <f>_xlfn.XLOOKUP(autorest[[#This Row],[language_es]],idiomast[language_es],idiomast[language_la])</f>
        <v>Lingua Latina</v>
      </c>
      <c r="K16" s="6" t="s">
        <v>4715</v>
      </c>
      <c r="M16" t="str">
        <f>_xlfn.XLOOKUP(autorest[[#This Row],[language_es]],idiomast[language_es],idiomast[iso3691])</f>
        <v>la</v>
      </c>
      <c r="N16" t="str">
        <f>_xlfn.XLOOKUP(autorest[[#This Row],[nation_es]],nacionest[nation_es],nacionest[nation_la])</f>
        <v>Graecia</v>
      </c>
      <c r="O16" s="7" t="str">
        <f t="array" ref="O16">IF(ISBLANK(autorest[[#This Row],[year_birth]]),"Epoca Desconocida",IFERROR(INDEX(epocast[age_es],MATCH(1,(autorest[[#This Row],[year_birth]]&gt;=epocast[year_start])*(autorest[[#This Row],[year_birth]]&lt;=epocast[year_end]),0)),"Epoca Desconocida"))</f>
        <v>Edad Antigua</v>
      </c>
      <c r="P16" t="str">
        <f>_xlfn.XLOOKUP(autorest[[#This Row],[age_es]],epocast[age_es],epocast[age_la])</f>
        <v>Antiquitas</v>
      </c>
    </row>
    <row r="17" spans="1:16" ht="14">
      <c r="A17">
        <v>16</v>
      </c>
      <c r="B17" t="s">
        <v>95</v>
      </c>
      <c r="C17" t="s">
        <v>4716</v>
      </c>
      <c r="D17">
        <v>-551</v>
      </c>
      <c r="E17">
        <v>-479</v>
      </c>
      <c r="F17" t="s">
        <v>4717</v>
      </c>
      <c r="G17" t="s">
        <v>4718</v>
      </c>
      <c r="H17" t="s">
        <v>4676</v>
      </c>
      <c r="I17" t="s">
        <v>4677</v>
      </c>
      <c r="J17" t="str">
        <f>_xlfn.XLOOKUP(autorest[[#This Row],[language_es]],idiomast[language_es],idiomast[language_la])</f>
        <v>Lingua Sinica</v>
      </c>
      <c r="K17" s="6" t="s">
        <v>4719</v>
      </c>
      <c r="M17" t="str">
        <f>_xlfn.XLOOKUP(autorest[[#This Row],[language_es]],idiomast[language_es],idiomast[iso3691])</f>
        <v>zh</v>
      </c>
      <c r="N17" t="str">
        <f>_xlfn.XLOOKUP(autorest[[#This Row],[nation_es]],nacionest[nation_es],nacionest[nation_la])</f>
        <v>Sinae</v>
      </c>
      <c r="O17" s="7" t="str">
        <f t="array" ref="O17">IF(ISBLANK(autorest[[#This Row],[year_birth]]),"Epoca Desconocida",IFERROR(INDEX(epocast[age_es],MATCH(1,(autorest[[#This Row],[year_birth]]&gt;=epocast[year_start])*(autorest[[#This Row],[year_birth]]&lt;=epocast[year_end]),0)),"Epoca Desconocida"))</f>
        <v>Edad Antigua</v>
      </c>
      <c r="P17" t="str">
        <f>_xlfn.XLOOKUP(autorest[[#This Row],[age_es]],epocast[age_es],epocast[age_la])</f>
        <v>Antiquitas</v>
      </c>
    </row>
    <row r="18" spans="1:16" ht="14">
      <c r="A18">
        <v>17</v>
      </c>
      <c r="B18" t="s">
        <v>4720</v>
      </c>
      <c r="C18" t="s">
        <v>4721</v>
      </c>
      <c r="D18">
        <v>560</v>
      </c>
      <c r="E18">
        <v>636</v>
      </c>
      <c r="F18" t="s">
        <v>4722</v>
      </c>
      <c r="G18" t="s">
        <v>4723</v>
      </c>
      <c r="H18" t="s">
        <v>4639</v>
      </c>
      <c r="I18" t="s">
        <v>4700</v>
      </c>
      <c r="J18" t="str">
        <f>_xlfn.XLOOKUP(autorest[[#This Row],[language_es]],idiomast[language_es],idiomast[language_la])</f>
        <v>Lingua Latina</v>
      </c>
      <c r="K18" s="6" t="s">
        <v>4724</v>
      </c>
      <c r="M18" t="str">
        <f>_xlfn.XLOOKUP(autorest[[#This Row],[language_es]],idiomast[language_es],idiomast[iso3691])</f>
        <v>la</v>
      </c>
      <c r="N18" t="str">
        <f>_xlfn.XLOOKUP(autorest[[#This Row],[nation_es]],nacionest[nation_es],nacionest[nation_la])</f>
        <v>Hispania</v>
      </c>
      <c r="O18" s="7" t="str">
        <f t="array" ref="O18">IF(ISBLANK(autorest[[#This Row],[year_birth]]),"Epoca Desconocida",IFERROR(INDEX(epocast[age_es],MATCH(1,(autorest[[#This Row],[year_birth]]&gt;=epocast[year_start])*(autorest[[#This Row],[year_birth]]&lt;=epocast[year_end]),0)),"Epoca Desconocida"))</f>
        <v>Edad Media</v>
      </c>
      <c r="P18" t="str">
        <f>_xlfn.XLOOKUP(autorest[[#This Row],[age_es]],epocast[age_es],epocast[age_la])</f>
        <v>Medium Aevum</v>
      </c>
    </row>
    <row r="19" spans="1:16" ht="14">
      <c r="A19">
        <v>18</v>
      </c>
      <c r="B19" t="s">
        <v>107</v>
      </c>
      <c r="C19" t="s">
        <v>4725</v>
      </c>
      <c r="D19">
        <v>-4</v>
      </c>
      <c r="E19">
        <v>65</v>
      </c>
      <c r="F19" t="s">
        <v>4726</v>
      </c>
      <c r="G19" t="s">
        <v>4727</v>
      </c>
      <c r="H19" t="s">
        <v>4639</v>
      </c>
      <c r="I19" t="s">
        <v>4640</v>
      </c>
      <c r="J19" t="str">
        <f>_xlfn.XLOOKUP(autorest[[#This Row],[language_es]],idiomast[language_es],idiomast[language_la])</f>
        <v>Lingua Latina</v>
      </c>
      <c r="K19" s="6" t="s">
        <v>4728</v>
      </c>
      <c r="M19" t="str">
        <f>_xlfn.XLOOKUP(autorest[[#This Row],[language_es]],idiomast[language_es],idiomast[iso3691])</f>
        <v>la</v>
      </c>
      <c r="N19" t="str">
        <f>_xlfn.XLOOKUP(autorest[[#This Row],[nation_es]],nacionest[nation_es],nacionest[nation_la])</f>
        <v>Roma</v>
      </c>
      <c r="O19" s="7" t="str">
        <f t="array" ref="O19">IF(ISBLANK(autorest[[#This Row],[year_birth]]),"Epoca Desconocida",IFERROR(INDEX(epocast[age_es],MATCH(1,(autorest[[#This Row],[year_birth]]&gt;=epocast[year_start])*(autorest[[#This Row],[year_birth]]&lt;=epocast[year_end]),0)),"Epoca Desconocida"))</f>
        <v>Edad Antigua</v>
      </c>
      <c r="P19" t="str">
        <f>_xlfn.XLOOKUP(autorest[[#This Row],[age_es]],epocast[age_es],epocast[age_la])</f>
        <v>Antiquitas</v>
      </c>
    </row>
    <row r="20" spans="1:16" ht="14">
      <c r="A20">
        <v>19</v>
      </c>
      <c r="B20" t="s">
        <v>172</v>
      </c>
      <c r="C20" t="s">
        <v>4729</v>
      </c>
      <c r="D20">
        <v>1225</v>
      </c>
      <c r="E20">
        <v>1274</v>
      </c>
      <c r="F20" t="s">
        <v>4730</v>
      </c>
      <c r="G20" t="s">
        <v>4731</v>
      </c>
      <c r="H20" t="s">
        <v>4639</v>
      </c>
      <c r="I20" t="s">
        <v>4732</v>
      </c>
      <c r="J20" t="str">
        <f>_xlfn.XLOOKUP(autorest[[#This Row],[language_es]],idiomast[language_es],idiomast[language_la])</f>
        <v>Lingua Latina</v>
      </c>
      <c r="K20" s="6" t="s">
        <v>4733</v>
      </c>
      <c r="M20" t="str">
        <f>_xlfn.XLOOKUP(autorest[[#This Row],[language_es]],idiomast[language_es],idiomast[iso3691])</f>
        <v>la</v>
      </c>
      <c r="N20" t="str">
        <f>_xlfn.XLOOKUP(autorest[[#This Row],[nation_es]],nacionest[nation_es],nacionest[nation_la])</f>
        <v>Italia</v>
      </c>
      <c r="O20" s="7" t="str">
        <f t="array" ref="O20">IF(ISBLANK(autorest[[#This Row],[year_birth]]),"Epoca Desconocida",IFERROR(INDEX(epocast[age_es],MATCH(1,(autorest[[#This Row],[year_birth]]&gt;=epocast[year_start])*(autorest[[#This Row],[year_birth]]&lt;=epocast[year_end]),0)),"Epoca Desconocida"))</f>
        <v>Edad Media</v>
      </c>
      <c r="P20" t="str">
        <f>_xlfn.XLOOKUP(autorest[[#This Row],[age_es]],epocast[age_es],epocast[age_la])</f>
        <v>Medium Aevum</v>
      </c>
    </row>
    <row r="21" spans="1:16" ht="14">
      <c r="A21">
        <v>20</v>
      </c>
      <c r="B21" t="s">
        <v>189</v>
      </c>
      <c r="C21" t="s">
        <v>189</v>
      </c>
      <c r="D21">
        <v>1844</v>
      </c>
      <c r="E21">
        <v>1900</v>
      </c>
      <c r="F21" t="s">
        <v>4734</v>
      </c>
      <c r="G21" t="s">
        <v>4735</v>
      </c>
      <c r="H21" t="s">
        <v>4736</v>
      </c>
      <c r="I21" t="s">
        <v>4737</v>
      </c>
      <c r="J21" t="str">
        <f>_xlfn.XLOOKUP(autorest[[#This Row],[language_es]],idiomast[language_es],idiomast[language_la])</f>
        <v>Lingua Germanica</v>
      </c>
      <c r="K21" s="6" t="s">
        <v>4738</v>
      </c>
      <c r="M21" t="str">
        <f>_xlfn.XLOOKUP(autorest[[#This Row],[language_es]],idiomast[language_es],idiomast[iso3691])</f>
        <v>de</v>
      </c>
      <c r="N21" t="str">
        <f>_xlfn.XLOOKUP(autorest[[#This Row],[nation_es]],nacionest[nation_es],nacionest[nation_la])</f>
        <v>Germania</v>
      </c>
      <c r="O21" s="7" t="str">
        <f t="array" ref="O21">IF(ISBLANK(autorest[[#This Row],[year_birth]]),"Epoca Desconocida",IFERROR(INDEX(epocast[age_es],MATCH(1,(autorest[[#This Row],[year_birth]]&gt;=epocast[year_start])*(autorest[[#This Row],[year_birth]]&lt;=epocast[year_end]),0)),"Epoca Desconocida"))</f>
        <v>Edad Contemporánea</v>
      </c>
      <c r="P21" t="str">
        <f>_xlfn.XLOOKUP(autorest[[#This Row],[age_es]],epocast[age_es],epocast[age_la])</f>
        <v>Aetas Contemporanea</v>
      </c>
    </row>
    <row r="22" spans="1:16" ht="14">
      <c r="A22">
        <v>21</v>
      </c>
      <c r="B22" t="s">
        <v>210</v>
      </c>
      <c r="C22" t="s">
        <v>210</v>
      </c>
      <c r="D22">
        <v>1874</v>
      </c>
      <c r="E22">
        <v>1936</v>
      </c>
      <c r="F22" t="s">
        <v>4739</v>
      </c>
      <c r="G22" t="s">
        <v>4740</v>
      </c>
      <c r="H22" t="s">
        <v>4650</v>
      </c>
      <c r="I22" t="s">
        <v>4651</v>
      </c>
      <c r="J22" t="str">
        <f>_xlfn.XLOOKUP(autorest[[#This Row],[language_es]],idiomast[language_es],idiomast[language_la])</f>
        <v>Lingua Anglica</v>
      </c>
      <c r="K22" s="6" t="s">
        <v>4741</v>
      </c>
      <c r="M22" t="str">
        <f>_xlfn.XLOOKUP(autorest[[#This Row],[language_es]],idiomast[language_es],idiomast[iso3691])</f>
        <v>en</v>
      </c>
      <c r="N22" t="str">
        <f>_xlfn.XLOOKUP(autorest[[#This Row],[nation_es]],nacionest[nation_es],nacionest[nation_la])</f>
        <v>Regnum Unitum</v>
      </c>
      <c r="O22" s="7" t="str">
        <f t="array" ref="O22">IF(ISBLANK(autorest[[#This Row],[year_birth]]),"Epoca Desconocida",IFERROR(INDEX(epocast[age_es],MATCH(1,(autorest[[#This Row],[year_birth]]&gt;=epocast[year_start])*(autorest[[#This Row],[year_birth]]&lt;=epocast[year_end]),0)),"Epoca Desconocida"))</f>
        <v>Edad Contemporánea</v>
      </c>
      <c r="P22" t="str">
        <f>_xlfn.XLOOKUP(autorest[[#This Row],[age_es]],epocast[age_es],epocast[age_la])</f>
        <v>Aetas Contemporanea</v>
      </c>
    </row>
    <row r="23" spans="1:16" ht="14">
      <c r="A23">
        <v>22</v>
      </c>
      <c r="B23" t="s">
        <v>230</v>
      </c>
      <c r="C23" t="s">
        <v>4742</v>
      </c>
      <c r="D23">
        <v>1920</v>
      </c>
      <c r="E23">
        <v>2005</v>
      </c>
      <c r="F23" t="s">
        <v>4743</v>
      </c>
      <c r="G23" t="s">
        <v>4744</v>
      </c>
      <c r="H23" t="s">
        <v>4639</v>
      </c>
      <c r="I23" t="s">
        <v>4745</v>
      </c>
      <c r="J23" t="str">
        <f>_xlfn.XLOOKUP(autorest[[#This Row],[language_es]],idiomast[language_es],idiomast[language_la])</f>
        <v>Lingua Latina</v>
      </c>
      <c r="K23" s="6" t="s">
        <v>4746</v>
      </c>
      <c r="M23" t="str">
        <f>_xlfn.XLOOKUP(autorest[[#This Row],[language_es]],idiomast[language_es],idiomast[iso3691])</f>
        <v>la</v>
      </c>
      <c r="N23" t="str">
        <f>_xlfn.XLOOKUP(autorest[[#This Row],[nation_es]],nacionest[nation_es],nacionest[nation_la])</f>
        <v>Polonia</v>
      </c>
      <c r="O23" s="7" t="str">
        <f t="array" ref="O23">IF(ISBLANK(autorest[[#This Row],[year_birth]]),"Epoca Desconocida",IFERROR(INDEX(epocast[age_es],MATCH(1,(autorest[[#This Row],[year_birth]]&gt;=epocast[year_start])*(autorest[[#This Row],[year_birth]]&lt;=epocast[year_end]),0)),"Epoca Desconocida"))</f>
        <v>Edad Contemporánea</v>
      </c>
      <c r="P23" t="str">
        <f>_xlfn.XLOOKUP(autorest[[#This Row],[age_es]],epocast[age_es],epocast[age_la])</f>
        <v>Aetas Contemporanea</v>
      </c>
    </row>
    <row r="24" spans="1:16" ht="14">
      <c r="A24">
        <v>23</v>
      </c>
      <c r="B24" t="s">
        <v>262</v>
      </c>
      <c r="C24" t="s">
        <v>4747</v>
      </c>
      <c r="D24">
        <v>1651</v>
      </c>
      <c r="E24">
        <v>1719</v>
      </c>
      <c r="F24" t="s">
        <v>4748</v>
      </c>
      <c r="G24" t="s">
        <v>4749</v>
      </c>
      <c r="H24" t="s">
        <v>4639</v>
      </c>
      <c r="I24" t="s">
        <v>4645</v>
      </c>
      <c r="J24" t="str">
        <f>_xlfn.XLOOKUP(autorest[[#This Row],[language_es]],idiomast[language_es],idiomast[language_la])</f>
        <v>Lingua Latina</v>
      </c>
      <c r="K24" s="6" t="s">
        <v>4750</v>
      </c>
      <c r="M24" t="str">
        <f>_xlfn.XLOOKUP(autorest[[#This Row],[language_es]],idiomast[language_es],idiomast[iso3691])</f>
        <v>la</v>
      </c>
      <c r="N24" t="str">
        <f>_xlfn.XLOOKUP(autorest[[#This Row],[nation_es]],nacionest[nation_es],nacionest[nation_la])</f>
        <v>Francia</v>
      </c>
      <c r="O24" s="7" t="str">
        <f t="array" ref="O24">IF(ISBLANK(autorest[[#This Row],[year_birth]]),"Epoca Desconocida",IFERROR(INDEX(epocast[age_es],MATCH(1,(autorest[[#This Row],[year_birth]]&gt;=epocast[year_start])*(autorest[[#This Row],[year_birth]]&lt;=epocast[year_end]),0)),"Epoca Desconocida"))</f>
        <v>Edad Moderna</v>
      </c>
      <c r="P24" t="str">
        <f>_xlfn.XLOOKUP(autorest[[#This Row],[age_es]],epocast[age_es],epocast[age_la])</f>
        <v>Nova Aetas</v>
      </c>
    </row>
    <row r="25" spans="1:16" ht="14">
      <c r="A25">
        <v>24</v>
      </c>
      <c r="B25" t="s">
        <v>267</v>
      </c>
      <c r="C25" t="s">
        <v>4751</v>
      </c>
      <c r="F25" t="s">
        <v>4752</v>
      </c>
      <c r="G25" t="s">
        <v>4753</v>
      </c>
      <c r="H25" t="s">
        <v>4754</v>
      </c>
      <c r="I25" t="s">
        <v>4755</v>
      </c>
      <c r="J25" t="str">
        <f>_xlfn.XLOOKUP(autorest[[#This Row],[language_es]],idiomast[language_es],idiomast[language_la])</f>
        <v>Lingua Arabica</v>
      </c>
      <c r="K25" s="6" t="s">
        <v>4756</v>
      </c>
      <c r="M25" t="str">
        <f>_xlfn.XLOOKUP(autorest[[#This Row],[language_es]],idiomast[language_es],idiomast[iso3691])</f>
        <v>ar</v>
      </c>
      <c r="N25" t="str">
        <f>_xlfn.XLOOKUP(autorest[[#This Row],[nation_es]],nacionest[nation_es],nacionest[nation_la])</f>
        <v>Arabia Saudita</v>
      </c>
      <c r="O25" s="7" t="str">
        <f t="array" ref="O25">IF(ISBLANK(autorest[[#This Row],[year_birth]]),"Epoca Desconocida",IFERROR(INDEX(epocast[age_es],MATCH(1,(autorest[[#This Row],[year_birth]]&gt;=epocast[year_start])*(autorest[[#This Row],[year_birth]]&lt;=epocast[year_end]),0)),"Epoca Desconocida"))</f>
        <v>Epoca Desconocida</v>
      </c>
      <c r="P25" t="str">
        <f>_xlfn.XLOOKUP(autorest[[#This Row],[age_es]],epocast[age_es],epocast[age_la])</f>
        <v>Epocha Ignota</v>
      </c>
    </row>
    <row r="26" spans="1:16" ht="14">
      <c r="A26">
        <v>25</v>
      </c>
      <c r="B26" t="s">
        <v>298</v>
      </c>
      <c r="C26" t="s">
        <v>4757</v>
      </c>
      <c r="F26" t="s">
        <v>4758</v>
      </c>
      <c r="G26" t="s">
        <v>4759</v>
      </c>
      <c r="H26" t="s">
        <v>4760</v>
      </c>
      <c r="I26" t="s">
        <v>4761</v>
      </c>
      <c r="J26" t="str">
        <f>_xlfn.XLOOKUP(autorest[[#This Row],[language_es]],idiomast[language_es],idiomast[language_la])</f>
        <v>Lingua Indica</v>
      </c>
      <c r="K26" t="s">
        <v>4762</v>
      </c>
      <c r="M26" t="str">
        <f>_xlfn.XLOOKUP(autorest[[#This Row],[language_es]],idiomast[language_es],idiomast[iso3691])</f>
        <v>hi</v>
      </c>
      <c r="N26" t="str">
        <f>_xlfn.XLOOKUP(autorest[[#This Row],[nation_es]],nacionest[nation_es],nacionest[nation_la])</f>
        <v>India</v>
      </c>
      <c r="O26" s="7" t="str">
        <f t="array" ref="O26">IF(ISBLANK(autorest[[#This Row],[year_birth]]),"Epoca Desconocida",IFERROR(INDEX(epocast[age_es],MATCH(1,(autorest[[#This Row],[year_birth]]&gt;=epocast[year_start])*(autorest[[#This Row],[year_birth]]&lt;=epocast[year_end]),0)),"Epoca Desconocida"))</f>
        <v>Epoca Desconocida</v>
      </c>
      <c r="P26" t="str">
        <f>_xlfn.XLOOKUP(autorest[[#This Row],[age_es]],epocast[age_es],epocast[age_la])</f>
        <v>Epocha Ignota</v>
      </c>
    </row>
    <row r="27" spans="1:16" ht="14">
      <c r="A27">
        <v>26</v>
      </c>
      <c r="B27" t="s">
        <v>329</v>
      </c>
      <c r="C27" t="s">
        <v>4763</v>
      </c>
      <c r="D27">
        <v>1880</v>
      </c>
      <c r="F27" t="s">
        <v>4764</v>
      </c>
      <c r="G27" t="s">
        <v>4765</v>
      </c>
      <c r="H27" t="s">
        <v>4736</v>
      </c>
      <c r="I27" t="s">
        <v>4737</v>
      </c>
      <c r="J27" t="str">
        <f>_xlfn.XLOOKUP(autorest[[#This Row],[language_es]],idiomast[language_es],idiomast[language_la])</f>
        <v>Lingua Germanica</v>
      </c>
      <c r="K27" s="6" t="s">
        <v>4766</v>
      </c>
      <c r="M27" t="str">
        <f>_xlfn.XLOOKUP(autorest[[#This Row],[language_es]],idiomast[language_es],idiomast[iso3691])</f>
        <v>de</v>
      </c>
      <c r="N27" t="str">
        <f>_xlfn.XLOOKUP(autorest[[#This Row],[nation_es]],nacionest[nation_es],nacionest[nation_la])</f>
        <v>Germania</v>
      </c>
      <c r="O27" s="7" t="str">
        <f t="array" ref="O27">IF(ISBLANK(autorest[[#This Row],[year_birth]]),"Epoca Desconocida",IFERROR(INDEX(epocast[age_es],MATCH(1,(autorest[[#This Row],[year_birth]]&gt;=epocast[year_start])*(autorest[[#This Row],[year_birth]]&lt;=epocast[year_end]),0)),"Epoca Desconocida"))</f>
        <v>Edad Contemporánea</v>
      </c>
      <c r="P27" t="str">
        <f>_xlfn.XLOOKUP(autorest[[#This Row],[age_es]],epocast[age_es],epocast[age_la])</f>
        <v>Aetas Contemporanea</v>
      </c>
    </row>
    <row r="28" spans="1:16" ht="14">
      <c r="A28">
        <v>27</v>
      </c>
      <c r="B28" t="s">
        <v>346</v>
      </c>
      <c r="C28" t="s">
        <v>4767</v>
      </c>
      <c r="D28">
        <v>1547</v>
      </c>
      <c r="E28">
        <v>1616</v>
      </c>
      <c r="F28" t="s">
        <v>4768</v>
      </c>
      <c r="G28" t="s">
        <v>4769</v>
      </c>
      <c r="H28" t="s">
        <v>4699</v>
      </c>
      <c r="I28" t="s">
        <v>4700</v>
      </c>
      <c r="J28" t="str">
        <f>_xlfn.XLOOKUP(autorest[[#This Row],[language_es]],idiomast[language_es],idiomast[language_la])</f>
        <v>Lingua Hispanica</v>
      </c>
      <c r="K28" s="6" t="s">
        <v>4770</v>
      </c>
      <c r="M28" t="str">
        <f>_xlfn.XLOOKUP(autorest[[#This Row],[language_es]],idiomast[language_es],idiomast[iso3691])</f>
        <v>es</v>
      </c>
      <c r="N28" t="str">
        <f>_xlfn.XLOOKUP(autorest[[#This Row],[nation_es]],nacionest[nation_es],nacionest[nation_la])</f>
        <v>Hispania</v>
      </c>
      <c r="O28" s="7" t="str">
        <f t="array" ref="O28">IF(ISBLANK(autorest[[#This Row],[year_birth]]),"Epoca Desconocida",IFERROR(INDEX(epocast[age_es],MATCH(1,(autorest[[#This Row],[year_birth]]&gt;=epocast[year_start])*(autorest[[#This Row],[year_birth]]&lt;=epocast[year_end]),0)),"Epoca Desconocida"))</f>
        <v>Edad Moderna</v>
      </c>
      <c r="P28" t="str">
        <f>_xlfn.XLOOKUP(autorest[[#This Row],[age_es]],epocast[age_es],epocast[age_la])</f>
        <v>Nova Aetas</v>
      </c>
    </row>
    <row r="29" spans="1:16" ht="14">
      <c r="A29">
        <v>28</v>
      </c>
      <c r="B29" t="s">
        <v>376</v>
      </c>
      <c r="C29" t="s">
        <v>4771</v>
      </c>
      <c r="D29">
        <v>1918</v>
      </c>
      <c r="E29">
        <v>2013</v>
      </c>
      <c r="F29" t="s">
        <v>4772</v>
      </c>
      <c r="G29" t="s">
        <v>4773</v>
      </c>
      <c r="H29" t="s">
        <v>4650</v>
      </c>
      <c r="I29" t="s">
        <v>4774</v>
      </c>
      <c r="J29" t="str">
        <f>_xlfn.XLOOKUP(autorest[[#This Row],[language_es]],idiomast[language_es],idiomast[language_la])</f>
        <v>Lingua Anglica</v>
      </c>
      <c r="K29" s="6" t="s">
        <v>4775</v>
      </c>
      <c r="M29" t="str">
        <f>_xlfn.XLOOKUP(autorest[[#This Row],[language_es]],idiomast[language_es],idiomast[iso3691])</f>
        <v>en</v>
      </c>
      <c r="N29" t="str">
        <f>_xlfn.XLOOKUP(autorest[[#This Row],[nation_es]],nacionest[nation_es],nacionest[nation_la])</f>
        <v>Africa Australis</v>
      </c>
      <c r="O29" s="7" t="str">
        <f t="array" ref="O29">IF(ISBLANK(autorest[[#This Row],[year_birth]]),"Epoca Desconocida",IFERROR(INDEX(epocast[age_es],MATCH(1,(autorest[[#This Row],[year_birth]]&gt;=epocast[year_start])*(autorest[[#This Row],[year_birth]]&lt;=epocast[year_end]),0)),"Epoca Desconocida"))</f>
        <v>Edad Contemporánea</v>
      </c>
      <c r="P29" t="str">
        <f>_xlfn.XLOOKUP(autorest[[#This Row],[age_es]],epocast[age_es],epocast[age_la])</f>
        <v>Aetas Contemporanea</v>
      </c>
    </row>
    <row r="30" spans="1:16" ht="14">
      <c r="A30">
        <v>29</v>
      </c>
      <c r="B30" t="s">
        <v>381</v>
      </c>
      <c r="C30" t="s">
        <v>4776</v>
      </c>
      <c r="D30">
        <v>1869</v>
      </c>
      <c r="E30">
        <v>1948</v>
      </c>
      <c r="F30" t="s">
        <v>4777</v>
      </c>
      <c r="G30" t="s">
        <v>4778</v>
      </c>
      <c r="H30" t="s">
        <v>4650</v>
      </c>
      <c r="I30" t="s">
        <v>4761</v>
      </c>
      <c r="J30" t="str">
        <f>_xlfn.XLOOKUP(autorest[[#This Row],[language_es]],idiomast[language_es],idiomast[language_la])</f>
        <v>Lingua Anglica</v>
      </c>
      <c r="K30" s="6" t="s">
        <v>4779</v>
      </c>
      <c r="M30" t="str">
        <f>_xlfn.XLOOKUP(autorest[[#This Row],[language_es]],idiomast[language_es],idiomast[iso3691])</f>
        <v>en</v>
      </c>
      <c r="N30" t="str">
        <f>_xlfn.XLOOKUP(autorest[[#This Row],[nation_es]],nacionest[nation_es],nacionest[nation_la])</f>
        <v>India</v>
      </c>
      <c r="O30" s="7" t="str">
        <f t="array" ref="O30">IF(ISBLANK(autorest[[#This Row],[year_birth]]),"Epoca Desconocida",IFERROR(INDEX(epocast[age_es],MATCH(1,(autorest[[#This Row],[year_birth]]&gt;=epocast[year_start])*(autorest[[#This Row],[year_birth]]&lt;=epocast[year_end]),0)),"Epoca Desconocida"))</f>
        <v>Edad Contemporánea</v>
      </c>
      <c r="P30" t="str">
        <f>_xlfn.XLOOKUP(autorest[[#This Row],[age_es]],epocast[age_es],epocast[age_la])</f>
        <v>Aetas Contemporanea</v>
      </c>
    </row>
    <row r="31" spans="1:16" ht="14">
      <c r="A31">
        <v>30</v>
      </c>
      <c r="B31" t="s">
        <v>386</v>
      </c>
      <c r="C31" t="s">
        <v>4780</v>
      </c>
      <c r="D31">
        <v>1879</v>
      </c>
      <c r="E31">
        <v>1955</v>
      </c>
      <c r="F31" t="s">
        <v>4781</v>
      </c>
      <c r="G31" t="s">
        <v>4782</v>
      </c>
      <c r="H31" t="s">
        <v>4650</v>
      </c>
      <c r="I31" t="s">
        <v>4737</v>
      </c>
      <c r="J31" t="str">
        <f>_xlfn.XLOOKUP(autorest[[#This Row],[language_es]],idiomast[language_es],idiomast[language_la])</f>
        <v>Lingua Anglica</v>
      </c>
      <c r="K31" s="6" t="s">
        <v>4783</v>
      </c>
      <c r="M31" t="str">
        <f>_xlfn.XLOOKUP(autorest[[#This Row],[language_es]],idiomast[language_es],idiomast[iso3691])</f>
        <v>en</v>
      </c>
      <c r="N31" t="str">
        <f>_xlfn.XLOOKUP(autorest[[#This Row],[nation_es]],nacionest[nation_es],nacionest[nation_la])</f>
        <v>Germania</v>
      </c>
      <c r="O31" s="7" t="str">
        <f t="array" ref="O31">IF(ISBLANK(autorest[[#This Row],[year_birth]]),"Epoca Desconocida",IFERROR(INDEX(epocast[age_es],MATCH(1,(autorest[[#This Row],[year_birth]]&gt;=epocast[year_start])*(autorest[[#This Row],[year_birth]]&lt;=epocast[year_end]),0)),"Epoca Desconocida"))</f>
        <v>Edad Contemporánea</v>
      </c>
      <c r="P31" t="str">
        <f>_xlfn.XLOOKUP(autorest[[#This Row],[age_es]],epocast[age_es],epocast[age_la])</f>
        <v>Aetas Contemporanea</v>
      </c>
    </row>
    <row r="32" spans="1:16" ht="14">
      <c r="A32">
        <v>31</v>
      </c>
      <c r="B32" t="s">
        <v>391</v>
      </c>
      <c r="C32" t="s">
        <v>4784</v>
      </c>
      <c r="D32">
        <v>1929</v>
      </c>
      <c r="E32">
        <v>1968</v>
      </c>
      <c r="F32" t="s">
        <v>4785</v>
      </c>
      <c r="G32" t="s">
        <v>4786</v>
      </c>
      <c r="H32" t="s">
        <v>4650</v>
      </c>
      <c r="I32" t="s">
        <v>4671</v>
      </c>
      <c r="J32" t="str">
        <f>_xlfn.XLOOKUP(autorest[[#This Row],[language_es]],idiomast[language_es],idiomast[language_la])</f>
        <v>Lingua Anglica</v>
      </c>
      <c r="K32" s="6" t="s">
        <v>4787</v>
      </c>
      <c r="M32" t="str">
        <f>_xlfn.XLOOKUP(autorest[[#This Row],[language_es]],idiomast[language_es],idiomast[iso3691])</f>
        <v>en</v>
      </c>
      <c r="N32" t="str">
        <f>_xlfn.XLOOKUP(autorest[[#This Row],[nation_es]],nacionest[nation_es],nacionest[nation_la])</f>
        <v>Civitates Foederatae Americae</v>
      </c>
      <c r="O32" s="7" t="str">
        <f t="array" ref="O32">IF(ISBLANK(autorest[[#This Row],[year_birth]]),"Epoca Desconocida",IFERROR(INDEX(epocast[age_es],MATCH(1,(autorest[[#This Row],[year_birth]]&gt;=epocast[year_start])*(autorest[[#This Row],[year_birth]]&lt;=epocast[year_end]),0)),"Epoca Desconocida"))</f>
        <v>Edad Contemporánea</v>
      </c>
      <c r="P32" t="str">
        <f>_xlfn.XLOOKUP(autorest[[#This Row],[age_es]],epocast[age_es],epocast[age_la])</f>
        <v>Aetas Contemporanea</v>
      </c>
    </row>
    <row r="33" spans="1:16" ht="14">
      <c r="A33">
        <v>32</v>
      </c>
      <c r="B33" t="s">
        <v>396</v>
      </c>
      <c r="C33" t="s">
        <v>4788</v>
      </c>
      <c r="D33">
        <v>1859</v>
      </c>
      <c r="E33">
        <v>1952</v>
      </c>
      <c r="F33" t="s">
        <v>4789</v>
      </c>
      <c r="G33" t="s">
        <v>4790</v>
      </c>
      <c r="H33" t="s">
        <v>4650</v>
      </c>
      <c r="I33" t="s">
        <v>4671</v>
      </c>
      <c r="J33" t="str">
        <f>_xlfn.XLOOKUP(autorest[[#This Row],[language_es]],idiomast[language_es],idiomast[language_la])</f>
        <v>Lingua Anglica</v>
      </c>
      <c r="K33" s="6" t="s">
        <v>4791</v>
      </c>
      <c r="M33" t="str">
        <f>_xlfn.XLOOKUP(autorest[[#This Row],[language_es]],idiomast[language_es],idiomast[iso3691])</f>
        <v>en</v>
      </c>
      <c r="N33" t="str">
        <f>_xlfn.XLOOKUP(autorest[[#This Row],[nation_es]],nacionest[nation_es],nacionest[nation_la])</f>
        <v>Civitates Foederatae Americae</v>
      </c>
      <c r="O33" s="7" t="str">
        <f t="array" ref="O33">IF(ISBLANK(autorest[[#This Row],[year_birth]]),"Epoca Desconocida",IFERROR(INDEX(epocast[age_es],MATCH(1,(autorest[[#This Row],[year_birth]]&gt;=epocast[year_start])*(autorest[[#This Row],[year_birth]]&lt;=epocast[year_end]),0)),"Epoca Desconocida"))</f>
        <v>Edad Contemporánea</v>
      </c>
      <c r="P33" t="str">
        <f>_xlfn.XLOOKUP(autorest[[#This Row],[age_es]],epocast[age_es],epocast[age_la])</f>
        <v>Aetas Contemporanea</v>
      </c>
    </row>
    <row r="34" spans="1:16" ht="14">
      <c r="A34">
        <v>33</v>
      </c>
      <c r="B34" t="s">
        <v>401</v>
      </c>
      <c r="C34" t="s">
        <v>4792</v>
      </c>
      <c r="D34">
        <v>1706</v>
      </c>
      <c r="E34">
        <v>1790</v>
      </c>
      <c r="F34" t="s">
        <v>4793</v>
      </c>
      <c r="G34" t="s">
        <v>4794</v>
      </c>
      <c r="H34" t="s">
        <v>4650</v>
      </c>
      <c r="I34" t="s">
        <v>4671</v>
      </c>
      <c r="J34" t="str">
        <f>_xlfn.XLOOKUP(autorest[[#This Row],[language_es]],idiomast[language_es],idiomast[language_la])</f>
        <v>Lingua Anglica</v>
      </c>
      <c r="K34" s="6" t="s">
        <v>4795</v>
      </c>
      <c r="M34" t="str">
        <f>_xlfn.XLOOKUP(autorest[[#This Row],[language_es]],idiomast[language_es],idiomast[iso3691])</f>
        <v>en</v>
      </c>
      <c r="N34" t="str">
        <f>_xlfn.XLOOKUP(autorest[[#This Row],[nation_es]],nacionest[nation_es],nacionest[nation_la])</f>
        <v>Civitates Foederatae Americae</v>
      </c>
      <c r="O34" s="7" t="str">
        <f t="array" ref="O34">IF(ISBLANK(autorest[[#This Row],[year_birth]]),"Epoca Desconocida",IFERROR(INDEX(epocast[age_es],MATCH(1,(autorest[[#This Row],[year_birth]]&gt;=epocast[year_start])*(autorest[[#This Row],[year_birth]]&lt;=epocast[year_end]),0)),"Epoca Desconocida"))</f>
        <v>Edad Moderna</v>
      </c>
      <c r="P34" t="str">
        <f>_xlfn.XLOOKUP(autorest[[#This Row],[age_es]],epocast[age_es],epocast[age_la])</f>
        <v>Nova Aetas</v>
      </c>
    </row>
    <row r="35" spans="1:16" ht="14">
      <c r="A35">
        <v>34</v>
      </c>
      <c r="B35" t="s">
        <v>406</v>
      </c>
      <c r="C35" t="s">
        <v>4796</v>
      </c>
      <c r="D35">
        <v>1452</v>
      </c>
      <c r="E35">
        <v>1519</v>
      </c>
      <c r="F35" t="s">
        <v>4797</v>
      </c>
      <c r="G35" t="s">
        <v>4798</v>
      </c>
      <c r="H35" t="s">
        <v>4639</v>
      </c>
      <c r="I35" t="s">
        <v>4732</v>
      </c>
      <c r="J35" t="str">
        <f>_xlfn.XLOOKUP(autorest[[#This Row],[language_es]],idiomast[language_es],idiomast[language_la])</f>
        <v>Lingua Latina</v>
      </c>
      <c r="K35" s="6" t="s">
        <v>4799</v>
      </c>
      <c r="M35" t="str">
        <f>_xlfn.XLOOKUP(autorest[[#This Row],[language_es]],idiomast[language_es],idiomast[iso3691])</f>
        <v>la</v>
      </c>
      <c r="N35" t="str">
        <f>_xlfn.XLOOKUP(autorest[[#This Row],[nation_es]],nacionest[nation_es],nacionest[nation_la])</f>
        <v>Italia</v>
      </c>
      <c r="O35" s="7" t="str">
        <f t="array" ref="O35">IF(ISBLANK(autorest[[#This Row],[year_birth]]),"Epoca Desconocida",IFERROR(INDEX(epocast[age_es],MATCH(1,(autorest[[#This Row],[year_birth]]&gt;=epocast[year_start])*(autorest[[#This Row],[year_birth]]&lt;=epocast[year_end]),0)),"Epoca Desconocida"))</f>
        <v>Edad Media</v>
      </c>
      <c r="P35" t="str">
        <f>_xlfn.XLOOKUP(autorest[[#This Row],[age_es]],epocast[age_es],epocast[age_la])</f>
        <v>Medium Aevum</v>
      </c>
    </row>
    <row r="36" spans="1:16" ht="14">
      <c r="A36">
        <v>35</v>
      </c>
      <c r="B36" t="s">
        <v>415</v>
      </c>
      <c r="C36" t="s">
        <v>4800</v>
      </c>
      <c r="F36" t="s">
        <v>4801</v>
      </c>
      <c r="G36" t="s">
        <v>4802</v>
      </c>
      <c r="H36" t="s">
        <v>4803</v>
      </c>
      <c r="I36" t="s">
        <v>4804</v>
      </c>
      <c r="J36" t="str">
        <f>_xlfn.XLOOKUP(autorest[[#This Row],[language_es]],idiomast[language_es],idiomast[language_la])</f>
        <v>Lingua Tibetica</v>
      </c>
      <c r="K36" s="6" t="s">
        <v>4805</v>
      </c>
      <c r="M36" t="str">
        <f>_xlfn.XLOOKUP(autorest[[#This Row],[language_es]],idiomast[language_es],idiomast[iso3691])</f>
        <v>bo</v>
      </c>
      <c r="N36" t="str">
        <f>_xlfn.XLOOKUP(autorest[[#This Row],[nation_es]],nacionest[nation_es],nacionest[nation_la])</f>
        <v>Thibetum</v>
      </c>
      <c r="O36" s="7" t="str">
        <f t="array" ref="O36">IF(ISBLANK(autorest[[#This Row],[year_birth]]),"Epoca Desconocida",IFERROR(INDEX(epocast[age_es],MATCH(1,(autorest[[#This Row],[year_birth]]&gt;=epocast[year_start])*(autorest[[#This Row],[year_birth]]&lt;=epocast[year_end]),0)),"Epoca Desconocida"))</f>
        <v>Epoca Desconocida</v>
      </c>
      <c r="P36" t="str">
        <f>_xlfn.XLOOKUP(autorest[[#This Row],[age_es]],epocast[age_es],epocast[age_la])</f>
        <v>Epocha Ignota</v>
      </c>
    </row>
    <row r="37" spans="1:16" ht="14">
      <c r="A37">
        <v>36</v>
      </c>
      <c r="B37" t="s">
        <v>1240</v>
      </c>
      <c r="C37" t="s">
        <v>4806</v>
      </c>
      <c r="D37">
        <v>1913</v>
      </c>
      <c r="E37">
        <v>1960</v>
      </c>
      <c r="F37" t="s">
        <v>4807</v>
      </c>
      <c r="G37" t="s">
        <v>4808</v>
      </c>
      <c r="H37" t="s">
        <v>4688</v>
      </c>
      <c r="I37" t="s">
        <v>4645</v>
      </c>
      <c r="J37" t="str">
        <f>_xlfn.XLOOKUP(autorest[[#This Row],[language_es]],idiomast[language_es],idiomast[language_la])</f>
        <v>Lingua Gallica</v>
      </c>
      <c r="K37" s="6" t="s">
        <v>4809</v>
      </c>
      <c r="M37" t="str">
        <f>_xlfn.XLOOKUP(autorest[[#This Row],[language_es]],idiomast[language_es],idiomast[iso3691])</f>
        <v>fr</v>
      </c>
      <c r="N37" t="str">
        <f>_xlfn.XLOOKUP(autorest[[#This Row],[nation_es]],nacionest[nation_es],nacionest[nation_la])</f>
        <v>Francia</v>
      </c>
      <c r="O37" s="7" t="str">
        <f t="array" ref="O37">IF(ISBLANK(autorest[[#This Row],[year_birth]]),"Epoca Desconocida",IFERROR(INDEX(epocast[age_es],MATCH(1,(autorest[[#This Row],[year_birth]]&gt;=epocast[year_start])*(autorest[[#This Row],[year_birth]]&lt;=epocast[year_end]),0)),"Epoca Desconocida"))</f>
        <v>Edad Contemporánea</v>
      </c>
      <c r="P37" t="str">
        <f>_xlfn.XLOOKUP(autorest[[#This Row],[age_es]],epocast[age_es],epocast[age_la])</f>
        <v>Aetas Contemporanea</v>
      </c>
    </row>
    <row r="38" spans="1:16" ht="14">
      <c r="A38">
        <v>37</v>
      </c>
      <c r="B38" t="s">
        <v>1245</v>
      </c>
      <c r="C38" t="s">
        <v>4810</v>
      </c>
      <c r="D38">
        <v>1910</v>
      </c>
      <c r="E38">
        <v>1997</v>
      </c>
      <c r="F38" t="s">
        <v>4811</v>
      </c>
      <c r="G38" t="s">
        <v>4812</v>
      </c>
      <c r="H38" t="s">
        <v>4813</v>
      </c>
      <c r="I38" t="s">
        <v>4814</v>
      </c>
      <c r="J38" t="str">
        <f>_xlfn.XLOOKUP(autorest[[#This Row],[language_es]],idiomast[language_es],idiomast[language_la])</f>
        <v>Lingua Albanica</v>
      </c>
      <c r="K38" s="6" t="s">
        <v>4815</v>
      </c>
      <c r="M38" t="str">
        <f>_xlfn.XLOOKUP(autorest[[#This Row],[language_es]],idiomast[language_es],idiomast[iso3691])</f>
        <v>sq</v>
      </c>
      <c r="N38" t="str">
        <f>_xlfn.XLOOKUP(autorest[[#This Row],[nation_es]],nacionest[nation_es],nacionest[nation_la])</f>
        <v>Albania</v>
      </c>
      <c r="O38" s="7" t="str">
        <f t="array" ref="O38">IF(ISBLANK(autorest[[#This Row],[year_birth]]),"Epoca Desconocida",IFERROR(INDEX(epocast[age_es],MATCH(1,(autorest[[#This Row],[year_birth]]&gt;=epocast[year_start])*(autorest[[#This Row],[year_birth]]&lt;=epocast[year_end]),0)),"Epoca Desconocida"))</f>
        <v>Edad Contemporánea</v>
      </c>
      <c r="P38" t="str">
        <f>_xlfn.XLOOKUP(autorest[[#This Row],[age_es]],epocast[age_es],epocast[age_la])</f>
        <v>Aetas Contemporanea</v>
      </c>
    </row>
    <row r="39" spans="1:16" ht="14">
      <c r="A39">
        <v>38</v>
      </c>
      <c r="B39" t="s">
        <v>1250</v>
      </c>
      <c r="C39" t="s">
        <v>4816</v>
      </c>
      <c r="D39">
        <v>1182</v>
      </c>
      <c r="E39">
        <v>1226</v>
      </c>
      <c r="F39" t="s">
        <v>4817</v>
      </c>
      <c r="G39" t="s">
        <v>4818</v>
      </c>
      <c r="H39" t="s">
        <v>4819</v>
      </c>
      <c r="I39" t="s">
        <v>4732</v>
      </c>
      <c r="J39" t="str">
        <f>_xlfn.XLOOKUP(autorest[[#This Row],[language_es]],idiomast[language_es],idiomast[language_la])</f>
        <v>Lingua Italica</v>
      </c>
      <c r="K39" s="6" t="s">
        <v>4820</v>
      </c>
      <c r="M39" t="str">
        <f>_xlfn.XLOOKUP(autorest[[#This Row],[language_es]],idiomast[language_es],idiomast[iso3691])</f>
        <v>it</v>
      </c>
      <c r="N39" t="str">
        <f>_xlfn.XLOOKUP(autorest[[#This Row],[nation_es]],nacionest[nation_es],nacionest[nation_la])</f>
        <v>Italia</v>
      </c>
      <c r="O39" s="7" t="str">
        <f t="array" ref="O39">IF(ISBLANK(autorest[[#This Row],[year_birth]]),"Epoca Desconocida",IFERROR(INDEX(epocast[age_es],MATCH(1,(autorest[[#This Row],[year_birth]]&gt;=epocast[year_start])*(autorest[[#This Row],[year_birth]]&lt;=epocast[year_end]),0)),"Epoca Desconocida"))</f>
        <v>Edad Media</v>
      </c>
      <c r="P39" t="str">
        <f>_xlfn.XLOOKUP(autorest[[#This Row],[age_es]],epocast[age_es],epocast[age_la])</f>
        <v>Medium Aevum</v>
      </c>
    </row>
    <row r="40" spans="1:16" ht="14">
      <c r="A40">
        <v>39</v>
      </c>
      <c r="B40" t="s">
        <v>460</v>
      </c>
      <c r="C40" t="s">
        <v>4821</v>
      </c>
      <c r="D40">
        <v>-341</v>
      </c>
      <c r="E40">
        <v>-270</v>
      </c>
      <c r="F40" t="s">
        <v>4822</v>
      </c>
      <c r="G40" t="s">
        <v>4823</v>
      </c>
      <c r="H40" t="s">
        <v>4824</v>
      </c>
      <c r="I40" t="s">
        <v>4714</v>
      </c>
      <c r="J40" t="str">
        <f>_xlfn.XLOOKUP(autorest[[#This Row],[language_es]],idiomast[language_es],idiomast[language_la])</f>
        <v>Lingua Graeca</v>
      </c>
      <c r="K40" s="6" t="s">
        <v>4825</v>
      </c>
      <c r="M40" t="str">
        <f>_xlfn.XLOOKUP(autorest[[#This Row],[language_es]],idiomast[language_es],idiomast[iso3691])</f>
        <v>el</v>
      </c>
      <c r="N40" t="str">
        <f>_xlfn.XLOOKUP(autorest[[#This Row],[nation_es]],nacionest[nation_es],nacionest[nation_la])</f>
        <v>Graecia</v>
      </c>
      <c r="O40" s="7" t="str">
        <f t="array" ref="O40">IF(ISBLANK(autorest[[#This Row],[year_birth]]),"Epoca Desconocida",IFERROR(INDEX(epocast[age_es],MATCH(1,(autorest[[#This Row],[year_birth]]&gt;=epocast[year_start])*(autorest[[#This Row],[year_birth]]&lt;=epocast[year_end]),0)),"Epoca Desconocida"))</f>
        <v>Edad Antigua</v>
      </c>
      <c r="P40" t="str">
        <f>_xlfn.XLOOKUP(autorest[[#This Row],[age_es]],epocast[age_es],epocast[age_la])</f>
        <v>Antiquitas</v>
      </c>
    </row>
    <row r="41" spans="1:16" ht="14">
      <c r="A41">
        <v>40</v>
      </c>
      <c r="B41" t="s">
        <v>501</v>
      </c>
      <c r="C41" t="s">
        <v>4826</v>
      </c>
      <c r="D41">
        <v>121</v>
      </c>
      <c r="E41">
        <v>180</v>
      </c>
      <c r="F41" t="s">
        <v>4827</v>
      </c>
      <c r="G41" t="s">
        <v>4828</v>
      </c>
      <c r="H41" t="s">
        <v>4824</v>
      </c>
      <c r="I41" t="s">
        <v>4640</v>
      </c>
      <c r="J41" t="str">
        <f>_xlfn.XLOOKUP(autorest[[#This Row],[language_es]],idiomast[language_es],idiomast[language_la])</f>
        <v>Lingua Graeca</v>
      </c>
      <c r="K41" s="6" t="s">
        <v>4829</v>
      </c>
      <c r="M41" t="str">
        <f>_xlfn.XLOOKUP(autorest[[#This Row],[language_es]],idiomast[language_es],idiomast[iso3691])</f>
        <v>el</v>
      </c>
      <c r="N41" t="str">
        <f>_xlfn.XLOOKUP(autorest[[#This Row],[nation_es]],nacionest[nation_es],nacionest[nation_la])</f>
        <v>Roma</v>
      </c>
      <c r="O41" s="7" t="str">
        <f t="array" ref="O41">IF(ISBLANK(autorest[[#This Row],[year_birth]]),"Epoca Desconocida",IFERROR(INDEX(epocast[age_es],MATCH(1,(autorest[[#This Row],[year_birth]]&gt;=epocast[year_start])*(autorest[[#This Row],[year_birth]]&lt;=epocast[year_end]),0)),"Epoca Desconocida"))</f>
        <v>Edad Antigua</v>
      </c>
      <c r="P41" t="str">
        <f>_xlfn.XLOOKUP(autorest[[#This Row],[age_es]],epocast[age_es],epocast[age_la])</f>
        <v>Antiquitas</v>
      </c>
    </row>
    <row r="42" spans="1:16" ht="14">
      <c r="A42">
        <v>41</v>
      </c>
      <c r="B42" t="s">
        <v>541</v>
      </c>
      <c r="C42" t="s">
        <v>4830</v>
      </c>
      <c r="D42">
        <v>-427</v>
      </c>
      <c r="E42">
        <v>-347</v>
      </c>
      <c r="F42" t="s">
        <v>4831</v>
      </c>
      <c r="G42" t="s">
        <v>4832</v>
      </c>
      <c r="H42" t="s">
        <v>4824</v>
      </c>
      <c r="I42" t="s">
        <v>4714</v>
      </c>
      <c r="J42" t="str">
        <f>_xlfn.XLOOKUP(autorest[[#This Row],[language_es]],idiomast[language_es],idiomast[language_la])</f>
        <v>Lingua Graeca</v>
      </c>
      <c r="K42" t="s">
        <v>4833</v>
      </c>
      <c r="M42" t="str">
        <f>_xlfn.XLOOKUP(autorest[[#This Row],[language_es]],idiomast[language_es],idiomast[iso3691])</f>
        <v>el</v>
      </c>
      <c r="N42" t="str">
        <f>_xlfn.XLOOKUP(autorest[[#This Row],[nation_es]],nacionest[nation_es],nacionest[nation_la])</f>
        <v>Graecia</v>
      </c>
      <c r="O42" s="7" t="str">
        <f t="array" ref="O42">IF(ISBLANK(autorest[[#This Row],[year_birth]]),"Epoca Desconocida",IFERROR(INDEX(epocast[age_es],MATCH(1,(autorest[[#This Row],[year_birth]]&gt;=epocast[year_start])*(autorest[[#This Row],[year_birth]]&lt;=epocast[year_end]),0)),"Epoca Desconocida"))</f>
        <v>Edad Antigua</v>
      </c>
      <c r="P42" t="str">
        <f>_xlfn.XLOOKUP(autorest[[#This Row],[age_es]],epocast[age_es],epocast[age_la])</f>
        <v>Antiquitas</v>
      </c>
    </row>
    <row r="43" spans="1:16" ht="14">
      <c r="A43">
        <v>42</v>
      </c>
      <c r="B43" t="s">
        <v>582</v>
      </c>
      <c r="C43" t="s">
        <v>4834</v>
      </c>
      <c r="D43">
        <v>-384</v>
      </c>
      <c r="E43">
        <v>-322</v>
      </c>
      <c r="F43" t="s">
        <v>4835</v>
      </c>
      <c r="G43" t="s">
        <v>4836</v>
      </c>
      <c r="H43" t="s">
        <v>4824</v>
      </c>
      <c r="I43" t="s">
        <v>4714</v>
      </c>
      <c r="J43" t="str">
        <f>_xlfn.XLOOKUP(autorest[[#This Row],[language_es]],idiomast[language_es],idiomast[language_la])</f>
        <v>Lingua Graeca</v>
      </c>
      <c r="K43" t="s">
        <v>4837</v>
      </c>
      <c r="M43" t="str">
        <f>_xlfn.XLOOKUP(autorest[[#This Row],[language_es]],idiomast[language_es],idiomast[iso3691])</f>
        <v>el</v>
      </c>
      <c r="N43" t="str">
        <f>_xlfn.XLOOKUP(autorest[[#This Row],[nation_es]],nacionest[nation_es],nacionest[nation_la])</f>
        <v>Graecia</v>
      </c>
      <c r="O43" s="7" t="str">
        <f t="array" ref="O43">IF(ISBLANK(autorest[[#This Row],[year_birth]]),"Epoca Desconocida",IFERROR(INDEX(epocast[age_es],MATCH(1,(autorest[[#This Row],[year_birth]]&gt;=epocast[year_start])*(autorest[[#This Row],[year_birth]]&lt;=epocast[year_end]),0)),"Epoca Desconocida"))</f>
        <v>Edad Antigua</v>
      </c>
      <c r="P43" t="str">
        <f>_xlfn.XLOOKUP(autorest[[#This Row],[age_es]],epocast[age_es],epocast[age_la])</f>
        <v>Antiquitas</v>
      </c>
    </row>
    <row r="44" spans="1:16" ht="14">
      <c r="A44">
        <v>43</v>
      </c>
      <c r="B44" t="s">
        <v>419</v>
      </c>
      <c r="C44" t="s">
        <v>4838</v>
      </c>
      <c r="D44">
        <v>-624</v>
      </c>
      <c r="E44">
        <v>-546</v>
      </c>
      <c r="F44" t="s">
        <v>4839</v>
      </c>
      <c r="G44" t="s">
        <v>4840</v>
      </c>
      <c r="H44" t="s">
        <v>4824</v>
      </c>
      <c r="I44" t="s">
        <v>4714</v>
      </c>
      <c r="J44" t="str">
        <f>_xlfn.XLOOKUP(autorest[[#This Row],[language_es]],idiomast[language_es],idiomast[language_la])</f>
        <v>Lingua Graeca</v>
      </c>
      <c r="K44" t="s">
        <v>4841</v>
      </c>
      <c r="M44" t="str">
        <f>_xlfn.XLOOKUP(autorest[[#This Row],[language_es]],idiomast[language_es],idiomast[iso3691])</f>
        <v>el</v>
      </c>
      <c r="N44" t="str">
        <f>_xlfn.XLOOKUP(autorest[[#This Row],[nation_es]],nacionest[nation_es],nacionest[nation_la])</f>
        <v>Graecia</v>
      </c>
      <c r="O44" s="7" t="str">
        <f t="array" ref="O44">IF(ISBLANK(autorest[[#This Row],[year_birth]]),"Epoca Desconocida",IFERROR(INDEX(epocast[age_es],MATCH(1,(autorest[[#This Row],[year_birth]]&gt;=epocast[year_start])*(autorest[[#This Row],[year_birth]]&lt;=epocast[year_end]),0)),"Epoca Desconocida"))</f>
        <v>Edad Antigua</v>
      </c>
      <c r="P44" t="str">
        <f>_xlfn.XLOOKUP(autorest[[#This Row],[age_es]],epocast[age_es],epocast[age_la])</f>
        <v>Antiquitas</v>
      </c>
    </row>
    <row r="45" spans="1:16" ht="14">
      <c r="A45">
        <v>44</v>
      </c>
      <c r="B45" t="s">
        <v>623</v>
      </c>
      <c r="C45" t="s">
        <v>4842</v>
      </c>
      <c r="D45">
        <v>-570</v>
      </c>
      <c r="E45">
        <v>-490</v>
      </c>
      <c r="F45" t="s">
        <v>4843</v>
      </c>
      <c r="G45" t="s">
        <v>4844</v>
      </c>
      <c r="H45" t="s">
        <v>4824</v>
      </c>
      <c r="I45" t="s">
        <v>4714</v>
      </c>
      <c r="J45" t="str">
        <f>_xlfn.XLOOKUP(autorest[[#This Row],[language_es]],idiomast[language_es],idiomast[language_la])</f>
        <v>Lingua Graeca</v>
      </c>
      <c r="K45" t="s">
        <v>4845</v>
      </c>
      <c r="M45" t="str">
        <f>_xlfn.XLOOKUP(autorest[[#This Row],[language_es]],idiomast[language_es],idiomast[iso3691])</f>
        <v>el</v>
      </c>
      <c r="N45" t="str">
        <f>_xlfn.XLOOKUP(autorest[[#This Row],[nation_es]],nacionest[nation_es],nacionest[nation_la])</f>
        <v>Graecia</v>
      </c>
      <c r="O45" s="7" t="str">
        <f t="array" ref="O45">IF(ISBLANK(autorest[[#This Row],[year_birth]]),"Epoca Desconocida",IFERROR(INDEX(epocast[age_es],MATCH(1,(autorest[[#This Row],[year_birth]]&gt;=epocast[year_start])*(autorest[[#This Row],[year_birth]]&lt;=epocast[year_end]),0)),"Epoca Desconocida"))</f>
        <v>Edad Antigua</v>
      </c>
      <c r="P45" t="str">
        <f>_xlfn.XLOOKUP(autorest[[#This Row],[age_es]],epocast[age_es],epocast[age_la])</f>
        <v>Antiquitas</v>
      </c>
    </row>
    <row r="46" spans="1:16" ht="14">
      <c r="A46">
        <v>45</v>
      </c>
      <c r="B46" t="s">
        <v>664</v>
      </c>
      <c r="C46" t="s">
        <v>4846</v>
      </c>
      <c r="D46">
        <v>-535</v>
      </c>
      <c r="E46">
        <v>-480</v>
      </c>
      <c r="F46" t="s">
        <v>4847</v>
      </c>
      <c r="G46" t="s">
        <v>4848</v>
      </c>
      <c r="H46" t="s">
        <v>4824</v>
      </c>
      <c r="I46" t="s">
        <v>4714</v>
      </c>
      <c r="J46" t="str">
        <f>_xlfn.XLOOKUP(autorest[[#This Row],[language_es]],idiomast[language_es],idiomast[language_la])</f>
        <v>Lingua Graeca</v>
      </c>
      <c r="K46" t="s">
        <v>4849</v>
      </c>
      <c r="M46" t="str">
        <f>_xlfn.XLOOKUP(autorest[[#This Row],[language_es]],idiomast[language_es],idiomast[iso3691])</f>
        <v>el</v>
      </c>
      <c r="N46" t="str">
        <f>_xlfn.XLOOKUP(autorest[[#This Row],[nation_es]],nacionest[nation_es],nacionest[nation_la])</f>
        <v>Graecia</v>
      </c>
      <c r="O46" s="7" t="str">
        <f t="array" ref="O46">IF(ISBLANK(autorest[[#This Row],[year_birth]]),"Epoca Desconocida",IFERROR(INDEX(epocast[age_es],MATCH(1,(autorest[[#This Row],[year_birth]]&gt;=epocast[year_start])*(autorest[[#This Row],[year_birth]]&lt;=epocast[year_end]),0)),"Epoca Desconocida"))</f>
        <v>Edad Antigua</v>
      </c>
      <c r="P46" t="str">
        <f>_xlfn.XLOOKUP(autorest[[#This Row],[age_es]],epocast[age_es],epocast[age_la])</f>
        <v>Antiquitas</v>
      </c>
    </row>
    <row r="47" spans="1:16" ht="14">
      <c r="A47">
        <v>46</v>
      </c>
      <c r="B47" t="s">
        <v>704</v>
      </c>
      <c r="C47" t="s">
        <v>4850</v>
      </c>
      <c r="D47">
        <v>-470</v>
      </c>
      <c r="E47">
        <v>-399</v>
      </c>
      <c r="F47" t="s">
        <v>4851</v>
      </c>
      <c r="G47" t="s">
        <v>4852</v>
      </c>
      <c r="H47" t="s">
        <v>4824</v>
      </c>
      <c r="I47" t="s">
        <v>4714</v>
      </c>
      <c r="J47" t="str">
        <f>_xlfn.XLOOKUP(autorest[[#This Row],[language_es]],idiomast[language_es],idiomast[language_la])</f>
        <v>Lingua Graeca</v>
      </c>
      <c r="K47" t="s">
        <v>4853</v>
      </c>
      <c r="M47" t="str">
        <f>_xlfn.XLOOKUP(autorest[[#This Row],[language_es]],idiomast[language_es],idiomast[iso3691])</f>
        <v>el</v>
      </c>
      <c r="N47" t="str">
        <f>_xlfn.XLOOKUP(autorest[[#This Row],[nation_es]],nacionest[nation_es],nacionest[nation_la])</f>
        <v>Graecia</v>
      </c>
      <c r="O47" s="7" t="str">
        <f t="array" ref="O47">IF(ISBLANK(autorest[[#This Row],[year_birth]]),"Epoca Desconocida",IFERROR(INDEX(epocast[age_es],MATCH(1,(autorest[[#This Row],[year_birth]]&gt;=epocast[year_start])*(autorest[[#This Row],[year_birth]]&lt;=epocast[year_end]),0)),"Epoca Desconocida"))</f>
        <v>Edad Antigua</v>
      </c>
      <c r="P47" t="str">
        <f>_xlfn.XLOOKUP(autorest[[#This Row],[age_es]],epocast[age_es],epocast[age_la])</f>
        <v>Antiquitas</v>
      </c>
    </row>
    <row r="48" spans="1:16" ht="14">
      <c r="A48">
        <v>47</v>
      </c>
      <c r="B48" t="s">
        <v>740</v>
      </c>
      <c r="C48" t="s">
        <v>4854</v>
      </c>
      <c r="D48">
        <v>-460</v>
      </c>
      <c r="E48">
        <v>-370</v>
      </c>
      <c r="F48" t="s">
        <v>4855</v>
      </c>
      <c r="G48" t="s">
        <v>4856</v>
      </c>
      <c r="H48" t="s">
        <v>4824</v>
      </c>
      <c r="I48" t="s">
        <v>4714</v>
      </c>
      <c r="J48" t="str">
        <f>_xlfn.XLOOKUP(autorest[[#This Row],[language_es]],idiomast[language_es],idiomast[language_la])</f>
        <v>Lingua Graeca</v>
      </c>
      <c r="K48" t="s">
        <v>4857</v>
      </c>
      <c r="M48" t="str">
        <f>_xlfn.XLOOKUP(autorest[[#This Row],[language_es]],idiomast[language_es],idiomast[iso3691])</f>
        <v>el</v>
      </c>
      <c r="N48" t="str">
        <f>_xlfn.XLOOKUP(autorest[[#This Row],[nation_es]],nacionest[nation_es],nacionest[nation_la])</f>
        <v>Graecia</v>
      </c>
      <c r="O48" s="7" t="str">
        <f t="array" ref="O48">IF(ISBLANK(autorest[[#This Row],[year_birth]]),"Epoca Desconocida",IFERROR(INDEX(epocast[age_es],MATCH(1,(autorest[[#This Row],[year_birth]]&gt;=epocast[year_start])*(autorest[[#This Row],[year_birth]]&lt;=epocast[year_end]),0)),"Epoca Desconocida"))</f>
        <v>Edad Antigua</v>
      </c>
      <c r="P48" t="str">
        <f>_xlfn.XLOOKUP(autorest[[#This Row],[age_es]],epocast[age_es],epocast[age_la])</f>
        <v>Antiquitas</v>
      </c>
    </row>
    <row r="49" spans="1:16" ht="14">
      <c r="A49">
        <v>48</v>
      </c>
      <c r="B49" t="s">
        <v>780</v>
      </c>
      <c r="C49" t="s">
        <v>4858</v>
      </c>
      <c r="D49">
        <v>-490</v>
      </c>
      <c r="E49">
        <v>-420</v>
      </c>
      <c r="F49" t="s">
        <v>4859</v>
      </c>
      <c r="G49" t="s">
        <v>4860</v>
      </c>
      <c r="H49" t="s">
        <v>4824</v>
      </c>
      <c r="I49" t="s">
        <v>4714</v>
      </c>
      <c r="J49" t="str">
        <f>_xlfn.XLOOKUP(autorest[[#This Row],[language_es]],idiomast[language_es],idiomast[language_la])</f>
        <v>Lingua Graeca</v>
      </c>
      <c r="K49" t="s">
        <v>4861</v>
      </c>
      <c r="M49" t="str">
        <f>_xlfn.XLOOKUP(autorest[[#This Row],[language_es]],idiomast[language_es],idiomast[iso3691])</f>
        <v>el</v>
      </c>
      <c r="N49" t="str">
        <f>_xlfn.XLOOKUP(autorest[[#This Row],[nation_es]],nacionest[nation_es],nacionest[nation_la])</f>
        <v>Graecia</v>
      </c>
      <c r="O49" s="7" t="str">
        <f t="array" ref="O49">IF(ISBLANK(autorest[[#This Row],[year_birth]]),"Epoca Desconocida",IFERROR(INDEX(epocast[age_es],MATCH(1,(autorest[[#This Row],[year_birth]]&gt;=epocast[year_start])*(autorest[[#This Row],[year_birth]]&lt;=epocast[year_end]),0)),"Epoca Desconocida"))</f>
        <v>Edad Antigua</v>
      </c>
      <c r="P49" t="str">
        <f>_xlfn.XLOOKUP(autorest[[#This Row],[age_es]],epocast[age_es],epocast[age_la])</f>
        <v>Antiquitas</v>
      </c>
    </row>
    <row r="50" spans="1:16" ht="14">
      <c r="A50">
        <v>49</v>
      </c>
      <c r="B50" t="s">
        <v>821</v>
      </c>
      <c r="C50" t="s">
        <v>4862</v>
      </c>
      <c r="D50">
        <v>35</v>
      </c>
      <c r="E50">
        <v>99</v>
      </c>
      <c r="F50" t="s">
        <v>4863</v>
      </c>
      <c r="G50" t="s">
        <v>4864</v>
      </c>
      <c r="H50" t="s">
        <v>4639</v>
      </c>
      <c r="I50" t="s">
        <v>4640</v>
      </c>
      <c r="J50" t="str">
        <f>_xlfn.XLOOKUP(autorest[[#This Row],[language_es]],idiomast[language_es],idiomast[language_la])</f>
        <v>Lingua Latina</v>
      </c>
      <c r="K50" t="s">
        <v>4865</v>
      </c>
      <c r="M50" t="str">
        <f>_xlfn.XLOOKUP(autorest[[#This Row],[language_es]],idiomast[language_es],idiomast[iso3691])</f>
        <v>la</v>
      </c>
      <c r="N50" t="str">
        <f>_xlfn.XLOOKUP(autorest[[#This Row],[nation_es]],nacionest[nation_es],nacionest[nation_la])</f>
        <v>Roma</v>
      </c>
      <c r="O50" s="7" t="str">
        <f t="array" ref="O50">IF(ISBLANK(autorest[[#This Row],[year_birth]]),"Epoca Desconocida",IFERROR(INDEX(epocast[age_es],MATCH(1,(autorest[[#This Row],[year_birth]]&gt;=epocast[year_start])*(autorest[[#This Row],[year_birth]]&lt;=epocast[year_end]),0)),"Epoca Desconocida"))</f>
        <v>Edad Antigua</v>
      </c>
      <c r="P50" t="str">
        <f>_xlfn.XLOOKUP(autorest[[#This Row],[age_es]],epocast[age_es],epocast[age_la])</f>
        <v>Antiquitas</v>
      </c>
    </row>
    <row r="51" spans="1:16" ht="14">
      <c r="A51">
        <v>50</v>
      </c>
      <c r="B51" t="s">
        <v>850</v>
      </c>
      <c r="C51" t="s">
        <v>4866</v>
      </c>
      <c r="D51">
        <v>35</v>
      </c>
      <c r="E51">
        <v>107</v>
      </c>
      <c r="F51" t="s">
        <v>4867</v>
      </c>
      <c r="G51" t="s">
        <v>4868</v>
      </c>
      <c r="H51" t="s">
        <v>4639</v>
      </c>
      <c r="I51" t="s">
        <v>4640</v>
      </c>
      <c r="J51" t="str">
        <f>_xlfn.XLOOKUP(autorest[[#This Row],[language_es]],idiomast[language_es],idiomast[language_la])</f>
        <v>Lingua Latina</v>
      </c>
      <c r="K51" t="s">
        <v>4869</v>
      </c>
      <c r="M51" t="str">
        <f>_xlfn.XLOOKUP(autorest[[#This Row],[language_es]],idiomast[language_es],idiomast[iso3691])</f>
        <v>la</v>
      </c>
      <c r="N51" t="str">
        <f>_xlfn.XLOOKUP(autorest[[#This Row],[nation_es]],nacionest[nation_es],nacionest[nation_la])</f>
        <v>Roma</v>
      </c>
      <c r="O51" s="7" t="str">
        <f t="array" ref="O51">IF(ISBLANK(autorest[[#This Row],[year_birth]]),"Epoca Desconocida",IFERROR(INDEX(epocast[age_es],MATCH(1,(autorest[[#This Row],[year_birth]]&gt;=epocast[year_start])*(autorest[[#This Row],[year_birth]]&lt;=epocast[year_end]),0)),"Epoca Desconocida"))</f>
        <v>Edad Antigua</v>
      </c>
      <c r="P51" t="str">
        <f>_xlfn.XLOOKUP(autorest[[#This Row],[age_es]],epocast[age_es],epocast[age_la])</f>
        <v>Antiquitas</v>
      </c>
    </row>
    <row r="52" spans="1:16" ht="14">
      <c r="A52">
        <v>51</v>
      </c>
      <c r="B52" t="s">
        <v>880</v>
      </c>
      <c r="C52" t="s">
        <v>4870</v>
      </c>
      <c r="D52">
        <v>70</v>
      </c>
      <c r="E52">
        <v>155</v>
      </c>
      <c r="F52" t="s">
        <v>4871</v>
      </c>
      <c r="G52" t="s">
        <v>4872</v>
      </c>
      <c r="H52" t="s">
        <v>4639</v>
      </c>
      <c r="I52" t="s">
        <v>4640</v>
      </c>
      <c r="J52" t="str">
        <f>_xlfn.XLOOKUP(autorest[[#This Row],[language_es]],idiomast[language_es],idiomast[language_la])</f>
        <v>Lingua Latina</v>
      </c>
      <c r="K52" t="s">
        <v>4873</v>
      </c>
      <c r="M52" t="str">
        <f>_xlfn.XLOOKUP(autorest[[#This Row],[language_es]],idiomast[language_es],idiomast[iso3691])</f>
        <v>la</v>
      </c>
      <c r="N52" t="str">
        <f>_xlfn.XLOOKUP(autorest[[#This Row],[nation_es]],nacionest[nation_es],nacionest[nation_la])</f>
        <v>Roma</v>
      </c>
      <c r="O52" s="7" t="str">
        <f t="array" ref="O52">IF(ISBLANK(autorest[[#This Row],[year_birth]]),"Epoca Desconocida",IFERROR(INDEX(epocast[age_es],MATCH(1,(autorest[[#This Row],[year_birth]]&gt;=epocast[year_start])*(autorest[[#This Row],[year_birth]]&lt;=epocast[year_end]),0)),"Epoca Desconocida"))</f>
        <v>Edad Antigua</v>
      </c>
      <c r="P52" t="str">
        <f>_xlfn.XLOOKUP(autorest[[#This Row],[age_es]],epocast[age_es],epocast[age_la])</f>
        <v>Antiquitas</v>
      </c>
    </row>
    <row r="53" spans="1:16" ht="14">
      <c r="A53">
        <v>52</v>
      </c>
      <c r="B53" t="s">
        <v>911</v>
      </c>
      <c r="C53" t="s">
        <v>4874</v>
      </c>
      <c r="D53">
        <v>130</v>
      </c>
      <c r="E53">
        <v>202</v>
      </c>
      <c r="F53" t="s">
        <v>4875</v>
      </c>
      <c r="G53" t="s">
        <v>4876</v>
      </c>
      <c r="H53" t="s">
        <v>4639</v>
      </c>
      <c r="I53" t="s">
        <v>4640</v>
      </c>
      <c r="J53" t="str">
        <f>_xlfn.XLOOKUP(autorest[[#This Row],[language_es]],idiomast[language_es],idiomast[language_la])</f>
        <v>Lingua Latina</v>
      </c>
      <c r="K53" t="s">
        <v>4877</v>
      </c>
      <c r="M53" t="str">
        <f>_xlfn.XLOOKUP(autorest[[#This Row],[language_es]],idiomast[language_es],idiomast[iso3691])</f>
        <v>la</v>
      </c>
      <c r="N53" t="str">
        <f>_xlfn.XLOOKUP(autorest[[#This Row],[nation_es]],nacionest[nation_es],nacionest[nation_la])</f>
        <v>Roma</v>
      </c>
      <c r="O53" s="7" t="str">
        <f t="array" ref="O53">IF(ISBLANK(autorest[[#This Row],[year_birth]]),"Epoca Desconocida",IFERROR(INDEX(epocast[age_es],MATCH(1,(autorest[[#This Row],[year_birth]]&gt;=epocast[year_start])*(autorest[[#This Row],[year_birth]]&lt;=epocast[year_end]),0)),"Epoca Desconocida"))</f>
        <v>Edad Antigua</v>
      </c>
      <c r="P53" t="str">
        <f>_xlfn.XLOOKUP(autorest[[#This Row],[age_es]],epocast[age_es],epocast[age_la])</f>
        <v>Antiquitas</v>
      </c>
    </row>
    <row r="54" spans="1:16" ht="14">
      <c r="A54">
        <v>53</v>
      </c>
      <c r="B54" t="s">
        <v>940</v>
      </c>
      <c r="C54" t="s">
        <v>4878</v>
      </c>
      <c r="D54">
        <v>296</v>
      </c>
      <c r="E54">
        <v>373</v>
      </c>
      <c r="F54" t="s">
        <v>4879</v>
      </c>
      <c r="G54" t="s">
        <v>4880</v>
      </c>
      <c r="H54" t="s">
        <v>4639</v>
      </c>
      <c r="I54" t="s">
        <v>4640</v>
      </c>
      <c r="J54" t="str">
        <f>_xlfn.XLOOKUP(autorest[[#This Row],[language_es]],idiomast[language_es],idiomast[language_la])</f>
        <v>Lingua Latina</v>
      </c>
      <c r="K54" t="s">
        <v>4881</v>
      </c>
      <c r="M54" t="str">
        <f>_xlfn.XLOOKUP(autorest[[#This Row],[language_es]],idiomast[language_es],idiomast[iso3691])</f>
        <v>la</v>
      </c>
      <c r="N54" t="str">
        <f>_xlfn.XLOOKUP(autorest[[#This Row],[nation_es]],nacionest[nation_es],nacionest[nation_la])</f>
        <v>Roma</v>
      </c>
      <c r="O54" s="7" t="str">
        <f t="array" ref="O54">IF(ISBLANK(autorest[[#This Row],[year_birth]]),"Epoca Desconocida",IFERROR(INDEX(epocast[age_es],MATCH(1,(autorest[[#This Row],[year_birth]]&gt;=epocast[year_start])*(autorest[[#This Row],[year_birth]]&lt;=epocast[year_end]),0)),"Epoca Desconocida"))</f>
        <v>Edad Antigua</v>
      </c>
      <c r="P54" t="str">
        <f>_xlfn.XLOOKUP(autorest[[#This Row],[age_es]],epocast[age_es],epocast[age_la])</f>
        <v>Antiquitas</v>
      </c>
    </row>
    <row r="55" spans="1:16" ht="14">
      <c r="A55">
        <v>54</v>
      </c>
      <c r="B55" t="s">
        <v>970</v>
      </c>
      <c r="C55" t="s">
        <v>4882</v>
      </c>
      <c r="D55">
        <v>330</v>
      </c>
      <c r="E55">
        <v>379</v>
      </c>
      <c r="F55" t="s">
        <v>4883</v>
      </c>
      <c r="G55" t="s">
        <v>4884</v>
      </c>
      <c r="H55" t="s">
        <v>4639</v>
      </c>
      <c r="I55" t="s">
        <v>4640</v>
      </c>
      <c r="J55" t="str">
        <f>_xlfn.XLOOKUP(autorest[[#This Row],[language_es]],idiomast[language_es],idiomast[language_la])</f>
        <v>Lingua Latina</v>
      </c>
      <c r="K55" t="s">
        <v>4885</v>
      </c>
      <c r="M55" t="str">
        <f>_xlfn.XLOOKUP(autorest[[#This Row],[language_es]],idiomast[language_es],idiomast[iso3691])</f>
        <v>la</v>
      </c>
      <c r="N55" t="str">
        <f>_xlfn.XLOOKUP(autorest[[#This Row],[nation_es]],nacionest[nation_es],nacionest[nation_la])</f>
        <v>Roma</v>
      </c>
      <c r="O55" s="7" t="str">
        <f t="array" ref="O55">IF(ISBLANK(autorest[[#This Row],[year_birth]]),"Epoca Desconocida",IFERROR(INDEX(epocast[age_es],MATCH(1,(autorest[[#This Row],[year_birth]]&gt;=epocast[year_start])*(autorest[[#This Row],[year_birth]]&lt;=epocast[year_end]),0)),"Epoca Desconocida"))</f>
        <v>Edad Antigua</v>
      </c>
      <c r="P55" t="str">
        <f>_xlfn.XLOOKUP(autorest[[#This Row],[age_es]],epocast[age_es],epocast[age_la])</f>
        <v>Antiquitas</v>
      </c>
    </row>
    <row r="56" spans="1:16" ht="14">
      <c r="A56">
        <v>55</v>
      </c>
      <c r="B56" t="s">
        <v>1002</v>
      </c>
      <c r="C56" t="s">
        <v>4886</v>
      </c>
      <c r="D56">
        <v>329</v>
      </c>
      <c r="E56">
        <v>390</v>
      </c>
      <c r="F56" t="s">
        <v>4887</v>
      </c>
      <c r="G56" t="s">
        <v>4888</v>
      </c>
      <c r="H56" t="s">
        <v>4639</v>
      </c>
      <c r="I56" t="s">
        <v>4640</v>
      </c>
      <c r="J56" t="str">
        <f>_xlfn.XLOOKUP(autorest[[#This Row],[language_es]],idiomast[language_es],idiomast[language_la])</f>
        <v>Lingua Latina</v>
      </c>
      <c r="K56" t="s">
        <v>4889</v>
      </c>
      <c r="M56" t="str">
        <f>_xlfn.XLOOKUP(autorest[[#This Row],[language_es]],idiomast[language_es],idiomast[iso3691])</f>
        <v>la</v>
      </c>
      <c r="N56" t="str">
        <f>_xlfn.XLOOKUP(autorest[[#This Row],[nation_es]],nacionest[nation_es],nacionest[nation_la])</f>
        <v>Roma</v>
      </c>
      <c r="O56" s="7" t="str">
        <f t="array" ref="O56">IF(ISBLANK(autorest[[#This Row],[year_birth]]),"Epoca Desconocida",IFERROR(INDEX(epocast[age_es],MATCH(1,(autorest[[#This Row],[year_birth]]&gt;=epocast[year_start])*(autorest[[#This Row],[year_birth]]&lt;=epocast[year_end]),0)),"Epoca Desconocida"))</f>
        <v>Edad Antigua</v>
      </c>
      <c r="P56" t="str">
        <f>_xlfn.XLOOKUP(autorest[[#This Row],[age_es]],epocast[age_es],epocast[age_la])</f>
        <v>Antiquitas</v>
      </c>
    </row>
    <row r="57" spans="1:16" ht="14">
      <c r="A57">
        <v>56</v>
      </c>
      <c r="B57" t="s">
        <v>1033</v>
      </c>
      <c r="C57" t="s">
        <v>4890</v>
      </c>
      <c r="D57">
        <v>335</v>
      </c>
      <c r="E57">
        <v>394</v>
      </c>
      <c r="F57" t="s">
        <v>4891</v>
      </c>
      <c r="G57" t="s">
        <v>4892</v>
      </c>
      <c r="H57" t="s">
        <v>4639</v>
      </c>
      <c r="I57" t="s">
        <v>4640</v>
      </c>
      <c r="J57" t="str">
        <f>_xlfn.XLOOKUP(autorest[[#This Row],[language_es]],idiomast[language_es],idiomast[language_la])</f>
        <v>Lingua Latina</v>
      </c>
      <c r="K57" t="s">
        <v>4893</v>
      </c>
      <c r="M57" t="str">
        <f>_xlfn.XLOOKUP(autorest[[#This Row],[language_es]],idiomast[language_es],idiomast[iso3691])</f>
        <v>la</v>
      </c>
      <c r="N57" t="str">
        <f>_xlfn.XLOOKUP(autorest[[#This Row],[nation_es]],nacionest[nation_es],nacionest[nation_la])</f>
        <v>Roma</v>
      </c>
      <c r="O57" s="7" t="str">
        <f t="array" ref="O57">IF(ISBLANK(autorest[[#This Row],[year_birth]]),"Epoca Desconocida",IFERROR(INDEX(epocast[age_es],MATCH(1,(autorest[[#This Row],[year_birth]]&gt;=epocast[year_start])*(autorest[[#This Row],[year_birth]]&lt;=epocast[year_end]),0)),"Epoca Desconocida"))</f>
        <v>Edad Antigua</v>
      </c>
      <c r="P57" t="str">
        <f>_xlfn.XLOOKUP(autorest[[#This Row],[age_es]],epocast[age_es],epocast[age_la])</f>
        <v>Antiquitas</v>
      </c>
    </row>
    <row r="58" spans="1:16" ht="14">
      <c r="A58">
        <v>57</v>
      </c>
      <c r="B58" t="s">
        <v>1064</v>
      </c>
      <c r="C58" t="s">
        <v>4894</v>
      </c>
      <c r="D58">
        <v>340</v>
      </c>
      <c r="E58">
        <v>397</v>
      </c>
      <c r="F58" t="s">
        <v>4895</v>
      </c>
      <c r="G58" t="s">
        <v>4896</v>
      </c>
      <c r="H58" t="s">
        <v>4639</v>
      </c>
      <c r="I58" t="s">
        <v>4640</v>
      </c>
      <c r="J58" t="str">
        <f>_xlfn.XLOOKUP(autorest[[#This Row],[language_es]],idiomast[language_es],idiomast[language_la])</f>
        <v>Lingua Latina</v>
      </c>
      <c r="K58" t="s">
        <v>4897</v>
      </c>
      <c r="M58" t="str">
        <f>_xlfn.XLOOKUP(autorest[[#This Row],[language_es]],idiomast[language_es],idiomast[iso3691])</f>
        <v>la</v>
      </c>
      <c r="N58" t="str">
        <f>_xlfn.XLOOKUP(autorest[[#This Row],[nation_es]],nacionest[nation_es],nacionest[nation_la])</f>
        <v>Roma</v>
      </c>
      <c r="O58" s="7" t="str">
        <f t="array" ref="O58">IF(ISBLANK(autorest[[#This Row],[year_birth]]),"Epoca Desconocida",IFERROR(INDEX(epocast[age_es],MATCH(1,(autorest[[#This Row],[year_birth]]&gt;=epocast[year_start])*(autorest[[#This Row],[year_birth]]&lt;=epocast[year_end]),0)),"Epoca Desconocida"))</f>
        <v>Edad Antigua</v>
      </c>
      <c r="P58" t="str">
        <f>_xlfn.XLOOKUP(autorest[[#This Row],[age_es]],epocast[age_es],epocast[age_la])</f>
        <v>Antiquitas</v>
      </c>
    </row>
    <row r="59" spans="1:16" ht="14">
      <c r="A59">
        <v>58</v>
      </c>
      <c r="B59" t="s">
        <v>1094</v>
      </c>
      <c r="C59" t="s">
        <v>4898</v>
      </c>
      <c r="D59">
        <v>347</v>
      </c>
      <c r="E59">
        <v>420</v>
      </c>
      <c r="F59" t="s">
        <v>4899</v>
      </c>
      <c r="G59" t="s">
        <v>4900</v>
      </c>
      <c r="H59" t="s">
        <v>4639</v>
      </c>
      <c r="I59" t="s">
        <v>4640</v>
      </c>
      <c r="J59" t="str">
        <f>_xlfn.XLOOKUP(autorest[[#This Row],[language_es]],idiomast[language_es],idiomast[language_la])</f>
        <v>Lingua Latina</v>
      </c>
      <c r="K59" t="s">
        <v>4901</v>
      </c>
      <c r="M59" t="str">
        <f>_xlfn.XLOOKUP(autorest[[#This Row],[language_es]],idiomast[language_es],idiomast[iso3691])</f>
        <v>la</v>
      </c>
      <c r="N59" t="str">
        <f>_xlfn.XLOOKUP(autorest[[#This Row],[nation_es]],nacionest[nation_es],nacionest[nation_la])</f>
        <v>Roma</v>
      </c>
      <c r="O59" s="7" t="str">
        <f t="array" ref="O59">IF(ISBLANK(autorest[[#This Row],[year_birth]]),"Epoca Desconocida",IFERROR(INDEX(epocast[age_es],MATCH(1,(autorest[[#This Row],[year_birth]]&gt;=epocast[year_start])*(autorest[[#This Row],[year_birth]]&lt;=epocast[year_end]),0)),"Epoca Desconocida"))</f>
        <v>Edad Antigua</v>
      </c>
      <c r="P59" t="str">
        <f>_xlfn.XLOOKUP(autorest[[#This Row],[age_es]],epocast[age_es],epocast[age_la])</f>
        <v>Antiquitas</v>
      </c>
    </row>
    <row r="60" spans="1:16" ht="14">
      <c r="A60">
        <v>59</v>
      </c>
      <c r="B60" t="s">
        <v>1116</v>
      </c>
      <c r="C60" t="s">
        <v>4902</v>
      </c>
      <c r="D60">
        <v>400</v>
      </c>
      <c r="E60">
        <v>461</v>
      </c>
      <c r="F60" t="s">
        <v>4903</v>
      </c>
      <c r="G60" t="s">
        <v>4904</v>
      </c>
      <c r="H60" t="s">
        <v>4639</v>
      </c>
      <c r="I60" t="s">
        <v>4640</v>
      </c>
      <c r="J60" t="str">
        <f>_xlfn.XLOOKUP(autorest[[#This Row],[language_es]],idiomast[language_es],idiomast[language_la])</f>
        <v>Lingua Latina</v>
      </c>
      <c r="K60" t="s">
        <v>4905</v>
      </c>
      <c r="M60" t="str">
        <f>_xlfn.XLOOKUP(autorest[[#This Row],[language_es]],idiomast[language_es],idiomast[iso3691])</f>
        <v>la</v>
      </c>
      <c r="N60" t="str">
        <f>_xlfn.XLOOKUP(autorest[[#This Row],[nation_es]],nacionest[nation_es],nacionest[nation_la])</f>
        <v>Roma</v>
      </c>
      <c r="O60" s="7" t="str">
        <f t="array" ref="O60">IF(ISBLANK(autorest[[#This Row],[year_birth]]),"Epoca Desconocida",IFERROR(INDEX(epocast[age_es],MATCH(1,(autorest[[#This Row],[year_birth]]&gt;=epocast[year_start])*(autorest[[#This Row],[year_birth]]&lt;=epocast[year_end]),0)),"Epoca Desconocida"))</f>
        <v>Edad Antigua</v>
      </c>
      <c r="P60" t="str">
        <f>_xlfn.XLOOKUP(autorest[[#This Row],[age_es]],epocast[age_es],epocast[age_la])</f>
        <v>Antiquitas</v>
      </c>
    </row>
    <row r="61" spans="1:16" ht="14">
      <c r="A61">
        <v>60</v>
      </c>
      <c r="B61" t="s">
        <v>1138</v>
      </c>
      <c r="C61" t="s">
        <v>4906</v>
      </c>
      <c r="D61">
        <v>210</v>
      </c>
      <c r="E61">
        <v>258</v>
      </c>
      <c r="F61" t="s">
        <v>4907</v>
      </c>
      <c r="G61" t="s">
        <v>4908</v>
      </c>
      <c r="H61" t="s">
        <v>4639</v>
      </c>
      <c r="I61" t="s">
        <v>4640</v>
      </c>
      <c r="J61" t="str">
        <f>_xlfn.XLOOKUP(autorest[[#This Row],[language_es]],idiomast[language_es],idiomast[language_la])</f>
        <v>Lingua Latina</v>
      </c>
      <c r="K61" t="s">
        <v>4909</v>
      </c>
      <c r="M61" t="str">
        <f>_xlfn.XLOOKUP(autorest[[#This Row],[language_es]],idiomast[language_es],idiomast[iso3691])</f>
        <v>la</v>
      </c>
      <c r="N61" t="str">
        <f>_xlfn.XLOOKUP(autorest[[#This Row],[nation_es]],nacionest[nation_es],nacionest[nation_la])</f>
        <v>Roma</v>
      </c>
      <c r="O61" s="7" t="str">
        <f t="array" ref="O61">IF(ISBLANK(autorest[[#This Row],[year_birth]]),"Epoca Desconocida",IFERROR(INDEX(epocast[age_es],MATCH(1,(autorest[[#This Row],[year_birth]]&gt;=epocast[year_start])*(autorest[[#This Row],[year_birth]]&lt;=epocast[year_end]),0)),"Epoca Desconocida"))</f>
        <v>Edad Antigua</v>
      </c>
      <c r="P61" t="str">
        <f>_xlfn.XLOOKUP(autorest[[#This Row],[age_es]],epocast[age_es],epocast[age_la])</f>
        <v>Antiquitas</v>
      </c>
    </row>
    <row r="62" spans="1:16" ht="14">
      <c r="A62">
        <v>61</v>
      </c>
      <c r="B62" t="s">
        <v>1165</v>
      </c>
      <c r="C62" t="s">
        <v>4910</v>
      </c>
      <c r="D62">
        <v>1033</v>
      </c>
      <c r="E62">
        <v>1109</v>
      </c>
      <c r="F62" t="s">
        <v>4911</v>
      </c>
      <c r="G62" t="s">
        <v>4912</v>
      </c>
      <c r="H62" t="s">
        <v>4639</v>
      </c>
      <c r="I62" t="s">
        <v>4732</v>
      </c>
      <c r="J62" t="str">
        <f>_xlfn.XLOOKUP(autorest[[#This Row],[language_es]],idiomast[language_es],idiomast[language_la])</f>
        <v>Lingua Latina</v>
      </c>
      <c r="K62" t="s">
        <v>4913</v>
      </c>
      <c r="M62" t="str">
        <f>_xlfn.XLOOKUP(autorest[[#This Row],[language_es]],idiomast[language_es],idiomast[iso3691])</f>
        <v>la</v>
      </c>
      <c r="N62" t="str">
        <f>_xlfn.XLOOKUP(autorest[[#This Row],[nation_es]],nacionest[nation_es],nacionest[nation_la])</f>
        <v>Italia</v>
      </c>
      <c r="O62" s="7" t="str">
        <f t="array" ref="O62">IF(ISBLANK(autorest[[#This Row],[year_birth]]),"Epoca Desconocida",IFERROR(INDEX(epocast[age_es],MATCH(1,(autorest[[#This Row],[year_birth]]&gt;=epocast[year_start])*(autorest[[#This Row],[year_birth]]&lt;=epocast[year_end]),0)),"Epoca Desconocida"))</f>
        <v>Edad Media</v>
      </c>
      <c r="P62" t="str">
        <f>_xlfn.XLOOKUP(autorest[[#This Row],[age_es]],epocast[age_es],epocast[age_la])</f>
        <v>Medium Aevum</v>
      </c>
    </row>
    <row r="63" spans="1:16" ht="14">
      <c r="A63">
        <v>62</v>
      </c>
      <c r="B63" t="s">
        <v>1195</v>
      </c>
      <c r="C63" t="s">
        <v>4914</v>
      </c>
      <c r="D63">
        <v>1287</v>
      </c>
      <c r="E63">
        <v>1347</v>
      </c>
      <c r="F63" t="s">
        <v>4915</v>
      </c>
      <c r="G63" t="s">
        <v>4916</v>
      </c>
      <c r="H63" t="s">
        <v>4650</v>
      </c>
      <c r="I63" t="s">
        <v>4651</v>
      </c>
      <c r="J63" t="str">
        <f>_xlfn.XLOOKUP(autorest[[#This Row],[language_es]],idiomast[language_es],idiomast[language_la])</f>
        <v>Lingua Anglica</v>
      </c>
      <c r="K63" t="s">
        <v>4917</v>
      </c>
      <c r="M63" t="str">
        <f>_xlfn.XLOOKUP(autorest[[#This Row],[language_es]],idiomast[language_es],idiomast[iso3691])</f>
        <v>en</v>
      </c>
      <c r="N63" t="str">
        <f>_xlfn.XLOOKUP(autorest[[#This Row],[nation_es]],nacionest[nation_es],nacionest[nation_la])</f>
        <v>Regnum Unitum</v>
      </c>
      <c r="O63" s="7" t="str">
        <f t="array" ref="O63">IF(ISBLANK(autorest[[#This Row],[year_birth]]),"Epoca Desconocida",IFERROR(INDEX(epocast[age_es],MATCH(1,(autorest[[#This Row],[year_birth]]&gt;=epocast[year_start])*(autorest[[#This Row],[year_birth]]&lt;=epocast[year_end]),0)),"Epoca Desconocida"))</f>
        <v>Edad Media</v>
      </c>
      <c r="P63" t="str">
        <f>_xlfn.XLOOKUP(autorest[[#This Row],[age_es]],epocast[age_es],epocast[age_la])</f>
        <v>Medium Aevum</v>
      </c>
    </row>
    <row r="64" spans="1:16">
      <c r="A64">
        <v>63</v>
      </c>
      <c r="B64" t="s">
        <v>1255</v>
      </c>
      <c r="C64" t="s">
        <v>4796</v>
      </c>
      <c r="D64">
        <v>1452</v>
      </c>
      <c r="E64">
        <v>1519</v>
      </c>
      <c r="F64" t="s">
        <v>4918</v>
      </c>
      <c r="G64" t="s">
        <v>4919</v>
      </c>
      <c r="H64" t="s">
        <v>4819</v>
      </c>
      <c r="I64" t="s">
        <v>4732</v>
      </c>
      <c r="J64" t="str">
        <f>_xlfn.XLOOKUP(autorest[[#This Row],[language_es]],idiomast[language_es],idiomast[language_la])</f>
        <v>Lingua Italica</v>
      </c>
      <c r="K64" t="s">
        <v>4920</v>
      </c>
      <c r="M64" t="str">
        <f>_xlfn.XLOOKUP(autorest[[#This Row],[language_es]],idiomast[language_es],idiomast[iso3691])</f>
        <v>it</v>
      </c>
      <c r="N64" t="str">
        <f>_xlfn.XLOOKUP(autorest[[#This Row],[nation_es]],nacionest[nation_es],nacionest[nation_la])</f>
        <v>Italia</v>
      </c>
      <c r="O64" t="str">
        <f t="array" ref="O64">IF(ISBLANK(autorest[[#This Row],[year_birth]]),"Epoca Desconocida",IFERROR(INDEX(epocast[age_es],MATCH(1,(autorest[[#This Row],[year_birth]]&gt;=epocast[year_start])*(autorest[[#This Row],[year_birth]]&lt;=epocast[year_end]),0)),"Epoca Desconocida"))</f>
        <v>Edad Media</v>
      </c>
      <c r="P64" t="str">
        <f>_xlfn.XLOOKUP(autorest[[#This Row],[age_es]],epocast[age_es],epocast[age_la])</f>
        <v>Medium Aevum</v>
      </c>
    </row>
    <row r="65" spans="1:16">
      <c r="A65">
        <v>64</v>
      </c>
      <c r="B65" t="s">
        <v>1299</v>
      </c>
      <c r="C65" t="s">
        <v>4921</v>
      </c>
      <c r="D65">
        <v>1542</v>
      </c>
      <c r="E65">
        <v>1591</v>
      </c>
      <c r="F65" t="s">
        <v>4922</v>
      </c>
      <c r="G65" t="s">
        <v>4923</v>
      </c>
      <c r="H65" t="s">
        <v>4699</v>
      </c>
      <c r="I65" t="s">
        <v>4700</v>
      </c>
      <c r="J65" t="str">
        <f>_xlfn.XLOOKUP(autorest[[#This Row],[language_es]],idiomast[language_es],idiomast[language_la])</f>
        <v>Lingua Hispanica</v>
      </c>
      <c r="K65" t="s">
        <v>4924</v>
      </c>
      <c r="M65" t="str">
        <f>_xlfn.XLOOKUP(autorest[[#This Row],[language_es]],idiomast[language_es],idiomast[iso3691])</f>
        <v>es</v>
      </c>
      <c r="N65" t="str">
        <f>_xlfn.XLOOKUP(autorest[[#This Row],[nation_es]],nacionest[nation_es],nacionest[nation_la])</f>
        <v>Hispania</v>
      </c>
      <c r="O65" t="str">
        <f t="array" ref="O65">IF(ISBLANK(autorest[[#This Row],[year_birth]]),"Epoca Desconocida",IFERROR(INDEX(epocast[age_es],MATCH(1,(autorest[[#This Row],[year_birth]]&gt;=epocast[year_start])*(autorest[[#This Row],[year_birth]]&lt;=epocast[year_end]),0)),"Epoca Desconocida"))</f>
        <v>Edad Moderna</v>
      </c>
      <c r="P65" t="str">
        <f>_xlfn.XLOOKUP(autorest[[#This Row],[age_es]],epocast[age_es],epocast[age_la])</f>
        <v>Nova Aetas</v>
      </c>
    </row>
    <row r="66" spans="1:16">
      <c r="A66">
        <v>65</v>
      </c>
      <c r="B66" t="s">
        <v>1318</v>
      </c>
      <c r="C66" t="s">
        <v>4925</v>
      </c>
      <c r="D66">
        <v>1515</v>
      </c>
      <c r="E66">
        <v>1582</v>
      </c>
      <c r="F66" t="s">
        <v>4926</v>
      </c>
      <c r="G66" t="s">
        <v>4927</v>
      </c>
      <c r="H66" t="s">
        <v>4699</v>
      </c>
      <c r="I66" t="s">
        <v>4700</v>
      </c>
      <c r="J66" t="str">
        <f>_xlfn.XLOOKUP(autorest[[#This Row],[language_es]],idiomast[language_es],idiomast[language_la])</f>
        <v>Lingua Hispanica</v>
      </c>
      <c r="K66" t="s">
        <v>4928</v>
      </c>
      <c r="M66" t="str">
        <f>_xlfn.XLOOKUP(autorest[[#This Row],[language_es]],idiomast[language_es],idiomast[iso3691])</f>
        <v>es</v>
      </c>
      <c r="N66" t="str">
        <f>_xlfn.XLOOKUP(autorest[[#This Row],[nation_es]],nacionest[nation_es],nacionest[nation_la])</f>
        <v>Hispania</v>
      </c>
      <c r="O66" t="str">
        <f t="array" ref="O66">IF(ISBLANK(autorest[[#This Row],[year_birth]]),"Epoca Desconocida",IFERROR(INDEX(epocast[age_es],MATCH(1,(autorest[[#This Row],[year_birth]]&gt;=epocast[year_start])*(autorest[[#This Row],[year_birth]]&lt;=epocast[year_end]),0)),"Epoca Desconocida"))</f>
        <v>Edad Moderna</v>
      </c>
      <c r="P66" t="str">
        <f>_xlfn.XLOOKUP(autorest[[#This Row],[age_es]],epocast[age_es],epocast[age_la])</f>
        <v>Nova Aetas</v>
      </c>
    </row>
    <row r="67" spans="1:16">
      <c r="A67">
        <v>66</v>
      </c>
      <c r="B67" t="s">
        <v>1337</v>
      </c>
      <c r="C67" t="s">
        <v>4929</v>
      </c>
      <c r="D67">
        <v>1815</v>
      </c>
      <c r="E67">
        <v>1888</v>
      </c>
      <c r="F67" t="s">
        <v>4930</v>
      </c>
      <c r="G67" t="s">
        <v>4931</v>
      </c>
      <c r="H67" t="s">
        <v>4819</v>
      </c>
      <c r="I67" t="s">
        <v>4732</v>
      </c>
      <c r="J67" t="str">
        <f>_xlfn.XLOOKUP(autorest[[#This Row],[language_es]],idiomast[language_es],idiomast[language_la])</f>
        <v>Lingua Italica</v>
      </c>
      <c r="K67" t="s">
        <v>4932</v>
      </c>
      <c r="M67" t="str">
        <f>_xlfn.XLOOKUP(autorest[[#This Row],[language_es]],idiomast[language_es],idiomast[iso3691])</f>
        <v>it</v>
      </c>
      <c r="N67" t="str">
        <f>_xlfn.XLOOKUP(autorest[[#This Row],[nation_es]],nacionest[nation_es],nacionest[nation_la])</f>
        <v>Italia</v>
      </c>
      <c r="O67" t="str">
        <f t="array" ref="O67">IF(ISBLANK(autorest[[#This Row],[year_birth]]),"Epoca Desconocida",IFERROR(INDEX(epocast[age_es],MATCH(1,(autorest[[#This Row],[year_birth]]&gt;=epocast[year_start])*(autorest[[#This Row],[year_birth]]&lt;=epocast[year_end]),0)),"Epoca Desconocida"))</f>
        <v>Edad Contemporánea</v>
      </c>
      <c r="P67" t="str">
        <f>_xlfn.XLOOKUP(autorest[[#This Row],[age_es]],epocast[age_es],epocast[age_la])</f>
        <v>Aetas Contemporanea</v>
      </c>
    </row>
    <row r="68" spans="1:16">
      <c r="A68">
        <v>67</v>
      </c>
      <c r="B68" t="s">
        <v>1360</v>
      </c>
      <c r="C68" t="s">
        <v>4933</v>
      </c>
      <c r="D68">
        <v>1927</v>
      </c>
      <c r="E68">
        <v>2022</v>
      </c>
      <c r="F68" t="s">
        <v>4934</v>
      </c>
      <c r="G68" t="s">
        <v>4935</v>
      </c>
      <c r="H68" t="s">
        <v>4736</v>
      </c>
      <c r="I68" t="s">
        <v>4737</v>
      </c>
      <c r="J68" t="str">
        <f>_xlfn.XLOOKUP(autorest[[#This Row],[language_es]],idiomast[language_es],idiomast[language_la])</f>
        <v>Lingua Germanica</v>
      </c>
      <c r="K68" t="s">
        <v>4936</v>
      </c>
      <c r="M68" t="str">
        <f>_xlfn.XLOOKUP(autorest[[#This Row],[language_es]],idiomast[language_es],idiomast[iso3691])</f>
        <v>de</v>
      </c>
      <c r="N68" t="str">
        <f>_xlfn.XLOOKUP(autorest[[#This Row],[nation_es]],nacionest[nation_es],nacionest[nation_la])</f>
        <v>Germania</v>
      </c>
      <c r="O68" t="str">
        <f t="array" ref="O68">IF(ISBLANK(autorest[[#This Row],[year_birth]]),"Epoca Desconocida",IFERROR(INDEX(epocast[age_es],MATCH(1,(autorest[[#This Row],[year_birth]]&gt;=epocast[year_start])*(autorest[[#This Row],[year_birth]]&lt;=epocast[year_end]),0)),"Epoca Desconocida"))</f>
        <v>Edad Contemporánea</v>
      </c>
      <c r="P68" t="str">
        <f>_xlfn.XLOOKUP(autorest[[#This Row],[age_es]],epocast[age_es],epocast[age_la])</f>
        <v>Aetas Contemporanea</v>
      </c>
    </row>
    <row r="69" spans="1:16">
      <c r="A69">
        <v>68</v>
      </c>
      <c r="B69" t="s">
        <v>1380</v>
      </c>
      <c r="C69" t="s">
        <v>4937</v>
      </c>
      <c r="D69">
        <v>1873</v>
      </c>
      <c r="E69">
        <v>1897</v>
      </c>
      <c r="F69" t="s">
        <v>4938</v>
      </c>
      <c r="G69" t="s">
        <v>4939</v>
      </c>
      <c r="H69" t="s">
        <v>4688</v>
      </c>
      <c r="I69" t="s">
        <v>4645</v>
      </c>
      <c r="J69" t="str">
        <f>_xlfn.XLOOKUP(autorest[[#This Row],[language_es]],idiomast[language_es],idiomast[language_la])</f>
        <v>Lingua Gallica</v>
      </c>
      <c r="K69" t="s">
        <v>4940</v>
      </c>
      <c r="M69" t="str">
        <f>_xlfn.XLOOKUP(autorest[[#This Row],[language_es]],idiomast[language_es],idiomast[iso3691])</f>
        <v>fr</v>
      </c>
      <c r="N69" t="str">
        <f>_xlfn.XLOOKUP(autorest[[#This Row],[nation_es]],nacionest[nation_es],nacionest[nation_la])</f>
        <v>Francia</v>
      </c>
      <c r="O69" t="str">
        <f t="array" ref="O69">IF(ISBLANK(autorest[[#This Row],[year_birth]]),"Epoca Desconocida",IFERROR(INDEX(epocast[age_es],MATCH(1,(autorest[[#This Row],[year_birth]]&gt;=epocast[year_start])*(autorest[[#This Row],[year_birth]]&lt;=epocast[year_end]),0)),"Epoca Desconocida"))</f>
        <v>Edad Contemporánea</v>
      </c>
      <c r="P69" t="str">
        <f>_xlfn.XLOOKUP(autorest[[#This Row],[age_es]],epocast[age_es],epocast[age_la])</f>
        <v>Aetas Contemporanea</v>
      </c>
    </row>
    <row r="70" spans="1:16">
      <c r="A70">
        <v>69</v>
      </c>
      <c r="B70" t="s">
        <v>1405</v>
      </c>
      <c r="C70" t="s">
        <v>4941</v>
      </c>
      <c r="D70">
        <v>1870</v>
      </c>
      <c r="E70">
        <v>1952</v>
      </c>
      <c r="F70" t="s">
        <v>4942</v>
      </c>
      <c r="G70" t="s">
        <v>4943</v>
      </c>
      <c r="H70" t="s">
        <v>4819</v>
      </c>
      <c r="I70" t="s">
        <v>4732</v>
      </c>
      <c r="J70" t="str">
        <f>_xlfn.XLOOKUP(autorest[[#This Row],[language_es]],idiomast[language_es],idiomast[language_la])</f>
        <v>Lingua Italica</v>
      </c>
      <c r="K70" t="s">
        <v>4944</v>
      </c>
      <c r="M70" t="str">
        <f>_xlfn.XLOOKUP(autorest[[#This Row],[language_es]],idiomast[language_es],idiomast[iso3691])</f>
        <v>it</v>
      </c>
      <c r="N70" t="str">
        <f>_xlfn.XLOOKUP(autorest[[#This Row],[nation_es]],nacionest[nation_es],nacionest[nation_la])</f>
        <v>Italia</v>
      </c>
      <c r="O70" t="str">
        <f t="array" ref="O70">IF(ISBLANK(autorest[[#This Row],[year_birth]]),"Epoca Desconocida",IFERROR(INDEX(epocast[age_es],MATCH(1,(autorest[[#This Row],[year_birth]]&gt;=epocast[year_start])*(autorest[[#This Row],[year_birth]]&lt;=epocast[year_end]),0)),"Epoca Desconocida"))</f>
        <v>Edad Contemporánea</v>
      </c>
      <c r="P70" t="str">
        <f>_xlfn.XLOOKUP(autorest[[#This Row],[age_es]],epocast[age_es],epocast[age_la])</f>
        <v>Aetas Contemporanea</v>
      </c>
    </row>
    <row r="71" spans="1:16">
      <c r="A71">
        <v>70</v>
      </c>
      <c r="B71" t="s">
        <v>1430</v>
      </c>
      <c r="C71" t="s">
        <v>4945</v>
      </c>
      <c r="D71">
        <v>1921</v>
      </c>
      <c r="E71">
        <v>1997</v>
      </c>
      <c r="F71" t="s">
        <v>4946</v>
      </c>
      <c r="G71" t="s">
        <v>4947</v>
      </c>
      <c r="H71" t="s">
        <v>4948</v>
      </c>
      <c r="I71" t="s">
        <v>4949</v>
      </c>
      <c r="J71" t="str">
        <f>_xlfn.XLOOKUP(autorest[[#This Row],[language_es]],idiomast[language_es],idiomast[language_la])</f>
        <v>Lingua Lusitanica</v>
      </c>
      <c r="K71" t="s">
        <v>4950</v>
      </c>
      <c r="M71" t="str">
        <f>_xlfn.XLOOKUP(autorest[[#This Row],[language_es]],idiomast[language_es],idiomast[iso3691])</f>
        <v>pt</v>
      </c>
      <c r="N71" t="str">
        <f>_xlfn.XLOOKUP(autorest[[#This Row],[nation_es]],nacionest[nation_es],nacionest[nation_la])</f>
        <v>Brasilia</v>
      </c>
      <c r="O71" t="str">
        <f t="array" ref="O71">IF(ISBLANK(autorest[[#This Row],[year_birth]]),"Epoca Desconocida",IFERROR(INDEX(epocast[age_es],MATCH(1,(autorest[[#This Row],[year_birth]]&gt;=epocast[year_start])*(autorest[[#This Row],[year_birth]]&lt;=epocast[year_end]),0)),"Epoca Desconocida"))</f>
        <v>Edad Contemporánea</v>
      </c>
      <c r="P71" t="str">
        <f>_xlfn.XLOOKUP(autorest[[#This Row],[age_es]],epocast[age_es],epocast[age_la])</f>
        <v>Aetas Contemporanea</v>
      </c>
    </row>
    <row r="72" spans="1:16">
      <c r="A72">
        <v>71</v>
      </c>
      <c r="B72" t="s">
        <v>1454</v>
      </c>
      <c r="C72" t="s">
        <v>4951</v>
      </c>
      <c r="D72">
        <v>1557</v>
      </c>
      <c r="E72">
        <v>1648</v>
      </c>
      <c r="F72" t="s">
        <v>4952</v>
      </c>
      <c r="G72" t="s">
        <v>4953</v>
      </c>
      <c r="H72" t="s">
        <v>4639</v>
      </c>
      <c r="I72" t="s">
        <v>4700</v>
      </c>
      <c r="J72" t="str">
        <f>_xlfn.XLOOKUP(autorest[[#This Row],[language_es]],idiomast[language_es],idiomast[language_la])</f>
        <v>Lingua Latina</v>
      </c>
      <c r="K72" t="s">
        <v>4954</v>
      </c>
      <c r="M72" t="str">
        <f>_xlfn.XLOOKUP(autorest[[#This Row],[language_es]],idiomast[language_es],idiomast[iso3691])</f>
        <v>la</v>
      </c>
      <c r="N72" t="str">
        <f>_xlfn.XLOOKUP(autorest[[#This Row],[nation_es]],nacionest[nation_es],nacionest[nation_la])</f>
        <v>Hispania</v>
      </c>
      <c r="O72" t="str">
        <f t="array" ref="O72">IF(ISBLANK(autorest[[#This Row],[year_birth]]),"Epoca Desconocida",IFERROR(INDEX(epocast[age_es],MATCH(1,(autorest[[#This Row],[year_birth]]&gt;=epocast[year_start])*(autorest[[#This Row],[year_birth]]&lt;=epocast[year_end]),0)),"Epoca Desconocida"))</f>
        <v>Edad Moderna</v>
      </c>
      <c r="P72" t="str">
        <f>_xlfn.XLOOKUP(autorest[[#This Row],[age_es]],epocast[age_es],epocast[age_la])</f>
        <v>Nova Aetas</v>
      </c>
    </row>
    <row r="73" spans="1:16">
      <c r="A73">
        <v>72</v>
      </c>
      <c r="B73" t="s">
        <v>1468</v>
      </c>
      <c r="C73" t="s">
        <v>4955</v>
      </c>
      <c r="D73">
        <v>1469</v>
      </c>
      <c r="E73">
        <v>1536</v>
      </c>
      <c r="F73" t="s">
        <v>4956</v>
      </c>
      <c r="G73" t="s">
        <v>4957</v>
      </c>
      <c r="H73" t="s">
        <v>4639</v>
      </c>
      <c r="I73" t="s">
        <v>4958</v>
      </c>
      <c r="J73" t="str">
        <f>_xlfn.XLOOKUP(autorest[[#This Row],[language_es]],idiomast[language_es],idiomast[language_la])</f>
        <v>Lingua Latina</v>
      </c>
      <c r="K73" t="s">
        <v>4959</v>
      </c>
      <c r="M73" t="str">
        <f>_xlfn.XLOOKUP(autorest[[#This Row],[language_es]],idiomast[language_es],idiomast[iso3691])</f>
        <v>la</v>
      </c>
      <c r="N73" t="str">
        <f>_xlfn.XLOOKUP(autorest[[#This Row],[nation_es]],nacionest[nation_es],nacionest[nation_la])</f>
        <v>Nederlandia</v>
      </c>
      <c r="O73" t="str">
        <f t="array" ref="O73">IF(ISBLANK(autorest[[#This Row],[year_birth]]),"Epoca Desconocida",IFERROR(INDEX(epocast[age_es],MATCH(1,(autorest[[#This Row],[year_birth]]&gt;=epocast[year_start])*(autorest[[#This Row],[year_birth]]&lt;=epocast[year_end]),0)),"Epoca Desconocida"))</f>
        <v>Edad Media</v>
      </c>
      <c r="P73" t="str">
        <f>_xlfn.XLOOKUP(autorest[[#This Row],[age_es]],epocast[age_es],epocast[age_la])</f>
        <v>Medium Aevum</v>
      </c>
    </row>
    <row r="74" spans="1:16">
      <c r="A74">
        <v>73</v>
      </c>
      <c r="B74" t="s">
        <v>1487</v>
      </c>
      <c r="C74" t="s">
        <v>4960</v>
      </c>
      <c r="D74">
        <v>1788</v>
      </c>
      <c r="E74">
        <v>1860</v>
      </c>
      <c r="F74" t="s">
        <v>4961</v>
      </c>
      <c r="G74" t="s">
        <v>4962</v>
      </c>
      <c r="H74" t="s">
        <v>4736</v>
      </c>
      <c r="I74" t="s">
        <v>4737</v>
      </c>
      <c r="J74" t="str">
        <f>_xlfn.XLOOKUP(autorest[[#This Row],[language_es]],idiomast[language_es],idiomast[language_la])</f>
        <v>Lingua Germanica</v>
      </c>
      <c r="K74" t="s">
        <v>4963</v>
      </c>
      <c r="M74" t="str">
        <f>_xlfn.XLOOKUP(autorest[[#This Row],[language_es]],idiomast[language_es],idiomast[iso3691])</f>
        <v>de</v>
      </c>
      <c r="N74" t="str">
        <f>_xlfn.XLOOKUP(autorest[[#This Row],[nation_es]],nacionest[nation_es],nacionest[nation_la])</f>
        <v>Germania</v>
      </c>
      <c r="O74" t="str">
        <f t="array" ref="O74">IF(ISBLANK(autorest[[#This Row],[year_birth]]),"Epoca Desconocida",IFERROR(INDEX(epocast[age_es],MATCH(1,(autorest[[#This Row],[year_birth]]&gt;=epocast[year_start])*(autorest[[#This Row],[year_birth]]&lt;=epocast[year_end]),0)),"Epoca Desconocida"))</f>
        <v>Edad Moderna</v>
      </c>
      <c r="P74" t="str">
        <f>_xlfn.XLOOKUP(autorest[[#This Row],[age_es]],epocast[age_es],epocast[age_la])</f>
        <v>Nova Aetas</v>
      </c>
    </row>
    <row r="75" spans="1:16">
      <c r="A75">
        <v>74</v>
      </c>
      <c r="B75" t="s">
        <v>1512</v>
      </c>
      <c r="C75" t="s">
        <v>1512</v>
      </c>
      <c r="D75">
        <v>1906</v>
      </c>
      <c r="E75">
        <v>1975</v>
      </c>
      <c r="F75" t="s">
        <v>4964</v>
      </c>
      <c r="G75" t="s">
        <v>4965</v>
      </c>
      <c r="H75" t="s">
        <v>4736</v>
      </c>
      <c r="I75" t="s">
        <v>4737</v>
      </c>
      <c r="J75" t="str">
        <f>_xlfn.XLOOKUP(autorest[[#This Row],[language_es]],idiomast[language_es],idiomast[language_la])</f>
        <v>Lingua Germanica</v>
      </c>
      <c r="K75" t="s">
        <v>4966</v>
      </c>
      <c r="M75" t="str">
        <f>_xlfn.XLOOKUP(autorest[[#This Row],[language_es]],idiomast[language_es],idiomast[iso3691])</f>
        <v>de</v>
      </c>
      <c r="N75" t="str">
        <f>_xlfn.XLOOKUP(autorest[[#This Row],[nation_es]],nacionest[nation_es],nacionest[nation_la])</f>
        <v>Germania</v>
      </c>
      <c r="O75" t="str">
        <f t="array" ref="O75">IF(ISBLANK(autorest[[#This Row],[year_birth]]),"Epoca Desconocida",IFERROR(INDEX(epocast[age_es],MATCH(1,(autorest[[#This Row],[year_birth]]&gt;=epocast[year_start])*(autorest[[#This Row],[year_birth]]&lt;=epocast[year_end]),0)),"Epoca Desconocida"))</f>
        <v>Edad Contemporánea</v>
      </c>
      <c r="P75" t="str">
        <f>_xlfn.XLOOKUP(autorest[[#This Row],[age_es]],epocast[age_es],epocast[age_la])</f>
        <v>Aetas Contemporanea</v>
      </c>
    </row>
    <row r="76" spans="1:16">
      <c r="A76">
        <v>75</v>
      </c>
      <c r="B76" t="s">
        <v>1537</v>
      </c>
      <c r="C76" t="s">
        <v>1537</v>
      </c>
      <c r="D76">
        <v>1724</v>
      </c>
      <c r="E76">
        <v>1804</v>
      </c>
      <c r="F76" t="s">
        <v>4967</v>
      </c>
      <c r="G76" t="s">
        <v>4968</v>
      </c>
      <c r="H76" t="s">
        <v>4736</v>
      </c>
      <c r="I76" t="s">
        <v>4737</v>
      </c>
      <c r="J76" t="str">
        <f>_xlfn.XLOOKUP(autorest[[#This Row],[language_es]],idiomast[language_es],idiomast[language_la])</f>
        <v>Lingua Germanica</v>
      </c>
      <c r="K76" t="s">
        <v>4969</v>
      </c>
      <c r="M76" t="str">
        <f>_xlfn.XLOOKUP(autorest[[#This Row],[language_es]],idiomast[language_es],idiomast[iso3691])</f>
        <v>de</v>
      </c>
      <c r="N76" t="str">
        <f>_xlfn.XLOOKUP(autorest[[#This Row],[nation_es]],nacionest[nation_es],nacionest[nation_la])</f>
        <v>Germania</v>
      </c>
      <c r="O76" t="str">
        <f t="array" ref="O76">IF(ISBLANK(autorest[[#This Row],[year_birth]]),"Epoca Desconocida",IFERROR(INDEX(epocast[age_es],MATCH(1,(autorest[[#This Row],[year_birth]]&gt;=epocast[year_start])*(autorest[[#This Row],[year_birth]]&lt;=epocast[year_end]),0)),"Epoca Desconocida"))</f>
        <v>Edad Moderna</v>
      </c>
      <c r="P76" t="str">
        <f>_xlfn.XLOOKUP(autorest[[#This Row],[age_es]],epocast[age_es],epocast[age_la])</f>
        <v>Nova Aetas</v>
      </c>
    </row>
    <row r="77" spans="1:16">
      <c r="A77">
        <v>76</v>
      </c>
      <c r="B77" t="s">
        <v>1559</v>
      </c>
      <c r="C77" t="s">
        <v>4970</v>
      </c>
      <c r="D77">
        <v>1883</v>
      </c>
      <c r="E77">
        <v>1955</v>
      </c>
      <c r="F77" t="s">
        <v>4971</v>
      </c>
      <c r="G77" t="s">
        <v>4972</v>
      </c>
      <c r="H77" t="s">
        <v>4699</v>
      </c>
      <c r="I77" t="s">
        <v>4700</v>
      </c>
      <c r="J77" t="str">
        <f>_xlfn.XLOOKUP(autorest[[#This Row],[language_es]],idiomast[language_es],idiomast[language_la])</f>
        <v>Lingua Hispanica</v>
      </c>
      <c r="K77" t="s">
        <v>4973</v>
      </c>
      <c r="M77" t="str">
        <f>_xlfn.XLOOKUP(autorest[[#This Row],[language_es]],idiomast[language_es],idiomast[iso3691])</f>
        <v>es</v>
      </c>
      <c r="N77" t="str">
        <f>_xlfn.XLOOKUP(autorest[[#This Row],[nation_es]],nacionest[nation_es],nacionest[nation_la])</f>
        <v>Hispania</v>
      </c>
      <c r="O77" t="str">
        <f t="array" ref="O77">IF(ISBLANK(autorest[[#This Row],[year_birth]]),"Epoca Desconocida",IFERROR(INDEX(epocast[age_es],MATCH(1,(autorest[[#This Row],[year_birth]]&gt;=epocast[year_start])*(autorest[[#This Row],[year_birth]]&lt;=epocast[year_end]),0)),"Epoca Desconocida"))</f>
        <v>Edad Contemporánea</v>
      </c>
      <c r="P77" t="str">
        <f>_xlfn.XLOOKUP(autorest[[#This Row],[age_es]],epocast[age_es],epocast[age_la])</f>
        <v>Aetas Contemporanea</v>
      </c>
    </row>
    <row r="78" spans="1:16">
      <c r="A78">
        <v>77</v>
      </c>
      <c r="B78" t="s">
        <v>1577</v>
      </c>
      <c r="C78" t="s">
        <v>4974</v>
      </c>
      <c r="D78">
        <v>1813</v>
      </c>
      <c r="E78">
        <v>1855</v>
      </c>
      <c r="F78" t="s">
        <v>4975</v>
      </c>
      <c r="G78" t="s">
        <v>4976</v>
      </c>
      <c r="H78" t="s">
        <v>4977</v>
      </c>
      <c r="I78" t="s">
        <v>4978</v>
      </c>
      <c r="J78" t="str">
        <f>_xlfn.XLOOKUP(autorest[[#This Row],[language_es]],idiomast[language_es],idiomast[language_la])</f>
        <v>Lingua Danica</v>
      </c>
      <c r="K78" t="s">
        <v>4979</v>
      </c>
      <c r="M78" t="str">
        <f>_xlfn.XLOOKUP(autorest[[#This Row],[language_es]],idiomast[language_es],idiomast[iso3691])</f>
        <v>da</v>
      </c>
      <c r="N78" t="str">
        <f>_xlfn.XLOOKUP(autorest[[#This Row],[nation_es]],nacionest[nation_es],nacionest[nation_la])</f>
        <v>Dania</v>
      </c>
      <c r="O78" t="str">
        <f t="array" ref="O78">IF(ISBLANK(autorest[[#This Row],[year_birth]]),"Epoca Desconocida",IFERROR(INDEX(epocast[age_es],MATCH(1,(autorest[[#This Row],[year_birth]]&gt;=epocast[year_start])*(autorest[[#This Row],[year_birth]]&lt;=epocast[year_end]),0)),"Epoca Desconocida"))</f>
        <v>Edad Contemporánea</v>
      </c>
      <c r="P78" t="str">
        <f>_xlfn.XLOOKUP(autorest[[#This Row],[age_es]],epocast[age_es],epocast[age_la])</f>
        <v>Aetas Contemporanea</v>
      </c>
    </row>
    <row r="79" spans="1:16" ht="14">
      <c r="A79">
        <v>9999</v>
      </c>
      <c r="B79" t="s">
        <v>4980</v>
      </c>
      <c r="C79" t="s">
        <v>4981</v>
      </c>
      <c r="F79" t="s">
        <v>4982</v>
      </c>
      <c r="G79" t="s">
        <v>4983</v>
      </c>
      <c r="H79" t="s">
        <v>4984</v>
      </c>
      <c r="I79" t="s">
        <v>4984</v>
      </c>
      <c r="J79" t="e">
        <f>_xlfn.XLOOKUP(autorest[[#This Row],[language_es]],idiomast[language_es],idiomast[language_la])</f>
        <v>#N/A</v>
      </c>
      <c r="K79" s="6"/>
      <c r="M79" t="e">
        <f>_xlfn.XLOOKUP(autorest[[#This Row],[language_es]],idiomast[language_es],idiomast[iso3691])</f>
        <v>#N/A</v>
      </c>
      <c r="N79" t="e">
        <f>_xlfn.XLOOKUP(autorest[[#This Row],[nation_es]],nacionest[nation_es],nacionest[nation_la])</f>
        <v>#N/A</v>
      </c>
      <c r="O79" s="7" t="str">
        <f t="array" ref="O79">IF(ISBLANK(autorest[[#This Row],[year_birth]]),"Epoca Desconocida",IFERROR(INDEX(epocast[age_es],MATCH(1,(autorest[[#This Row],[year_birth]]&gt;=epocast[year_start])*(autorest[[#This Row],[year_birth]]&lt;=epocast[year_end]),0)),"Epoca Desconocida"))</f>
        <v>Epoca Desconocida</v>
      </c>
      <c r="P79" t="str">
        <f>_xlfn.XLOOKUP(autorest[[#This Row],[age_es]],epocast[age_es],epocast[age_la])</f>
        <v>Epocha Ignota</v>
      </c>
    </row>
    <row r="80" spans="1:16">
      <c r="A80">
        <v>78</v>
      </c>
      <c r="B80" t="s">
        <v>1600</v>
      </c>
      <c r="C80" t="s">
        <v>4985</v>
      </c>
      <c r="D80">
        <v>1592</v>
      </c>
      <c r="E80">
        <v>1670</v>
      </c>
      <c r="F80" t="s">
        <v>4986</v>
      </c>
      <c r="G80" t="s">
        <v>4987</v>
      </c>
      <c r="H80" t="s">
        <v>4639</v>
      </c>
      <c r="I80" t="s">
        <v>4988</v>
      </c>
      <c r="J80" t="str">
        <f>_xlfn.XLOOKUP(autorest[[#This Row],[language_es]],idiomast[language_es],idiomast[language_la])</f>
        <v>Lingua Latina</v>
      </c>
      <c r="K80" t="s">
        <v>4989</v>
      </c>
      <c r="M80" t="str">
        <f>_xlfn.XLOOKUP(autorest[[#This Row],[language_es]],idiomast[language_es],idiomast[iso3691])</f>
        <v>la</v>
      </c>
      <c r="N80" t="str">
        <f>_xlfn.XLOOKUP(autorest[[#This Row],[nation_es]],nacionest[nation_es],nacionest[nation_la])</f>
        <v>Cechia</v>
      </c>
      <c r="O80" t="str">
        <f t="array" ref="O80">IF(ISBLANK(autorest[[#This Row],[year_birth]]),"Epoca Desconocida",IFERROR(INDEX(epocast[age_es],MATCH(1,(autorest[[#This Row],[year_birth]]&gt;=epocast[year_start])*(autorest[[#This Row],[year_birth]]&lt;=epocast[year_end]),0)),"Epoca Desconocida"))</f>
        <v>Edad Moderna</v>
      </c>
      <c r="P80" t="str">
        <f>_xlfn.XLOOKUP(autorest[[#This Row],[age_es]],epocast[age_es],epocast[age_la])</f>
        <v>Nova Aetas</v>
      </c>
    </row>
    <row r="81" spans="1:16">
      <c r="A81">
        <v>79</v>
      </c>
      <c r="B81" t="s">
        <v>1620</v>
      </c>
      <c r="C81" t="s">
        <v>4990</v>
      </c>
      <c r="D81">
        <v>1712</v>
      </c>
      <c r="E81">
        <v>1778</v>
      </c>
      <c r="F81" t="s">
        <v>4991</v>
      </c>
      <c r="G81" t="s">
        <v>4992</v>
      </c>
      <c r="H81" t="s">
        <v>4688</v>
      </c>
      <c r="I81" t="s">
        <v>4993</v>
      </c>
      <c r="J81" t="str">
        <f>_xlfn.XLOOKUP(autorest[[#This Row],[language_es]],idiomast[language_es],idiomast[language_la])</f>
        <v>Lingua Gallica</v>
      </c>
      <c r="K81" t="s">
        <v>4994</v>
      </c>
      <c r="M81" t="str">
        <f>_xlfn.XLOOKUP(autorest[[#This Row],[language_es]],idiomast[language_es],idiomast[iso3691])</f>
        <v>fr</v>
      </c>
      <c r="N81" t="str">
        <f>_xlfn.XLOOKUP(autorest[[#This Row],[nation_es]],nacionest[nation_es],nacionest[nation_la])</f>
        <v>Helvetia</v>
      </c>
      <c r="O81" t="str">
        <f t="array" ref="O81">IF(ISBLANK(autorest[[#This Row],[year_birth]]),"Epoca Desconocida",IFERROR(INDEX(epocast[age_es],MATCH(1,(autorest[[#This Row],[year_birth]]&gt;=epocast[year_start])*(autorest[[#This Row],[year_birth]]&lt;=epocast[year_end]),0)),"Epoca Desconocida"))</f>
        <v>Edad Moderna</v>
      </c>
      <c r="P81" t="str">
        <f>_xlfn.XLOOKUP(autorest[[#This Row],[age_es]],epocast[age_es],epocast[age_la])</f>
        <v>Nova Aetas</v>
      </c>
    </row>
    <row r="82" spans="1:16">
      <c r="A82">
        <v>80</v>
      </c>
      <c r="B82" t="s">
        <v>1641</v>
      </c>
      <c r="C82" t="s">
        <v>4995</v>
      </c>
      <c r="D82">
        <v>1746</v>
      </c>
      <c r="E82">
        <v>1827</v>
      </c>
      <c r="F82" t="s">
        <v>4996</v>
      </c>
      <c r="G82" t="s">
        <v>4997</v>
      </c>
      <c r="H82" t="s">
        <v>4736</v>
      </c>
      <c r="I82" t="s">
        <v>4993</v>
      </c>
      <c r="J82" t="str">
        <f>_xlfn.XLOOKUP(autorest[[#This Row],[language_es]],idiomast[language_es],idiomast[language_la])</f>
        <v>Lingua Germanica</v>
      </c>
      <c r="K82" t="s">
        <v>4998</v>
      </c>
      <c r="M82" t="str">
        <f>_xlfn.XLOOKUP(autorest[[#This Row],[language_es]],idiomast[language_es],idiomast[iso3691])</f>
        <v>de</v>
      </c>
      <c r="N82" t="str">
        <f>_xlfn.XLOOKUP(autorest[[#This Row],[nation_es]],nacionest[nation_es],nacionest[nation_la])</f>
        <v>Helvetia</v>
      </c>
      <c r="O82" t="str">
        <f t="array" ref="O82">IF(ISBLANK(autorest[[#This Row],[year_birth]]),"Epoca Desconocida",IFERROR(INDEX(epocast[age_es],MATCH(1,(autorest[[#This Row],[year_birth]]&gt;=epocast[year_start])*(autorest[[#This Row],[year_birth]]&lt;=epocast[year_end]),0)),"Epoca Desconocida"))</f>
        <v>Edad Moderna</v>
      </c>
      <c r="P82" t="str">
        <f>_xlfn.XLOOKUP(autorest[[#This Row],[age_es]],epocast[age_es],epocast[age_la])</f>
        <v>Nova Aetas</v>
      </c>
    </row>
    <row r="83" spans="1:16">
      <c r="A83">
        <v>81</v>
      </c>
      <c r="B83" t="s">
        <v>1661</v>
      </c>
      <c r="C83" t="s">
        <v>4999</v>
      </c>
      <c r="D83">
        <v>1896</v>
      </c>
      <c r="E83">
        <v>1980</v>
      </c>
      <c r="F83" t="s">
        <v>5000</v>
      </c>
      <c r="G83" t="s">
        <v>5001</v>
      </c>
      <c r="H83" t="s">
        <v>4688</v>
      </c>
      <c r="I83" t="s">
        <v>4993</v>
      </c>
      <c r="J83" t="str">
        <f>_xlfn.XLOOKUP(autorest[[#This Row],[language_es]],idiomast[language_es],idiomast[language_la])</f>
        <v>Lingua Gallica</v>
      </c>
      <c r="K83" t="s">
        <v>5002</v>
      </c>
      <c r="M83" t="str">
        <f>_xlfn.XLOOKUP(autorest[[#This Row],[language_es]],idiomast[language_es],idiomast[iso3691])</f>
        <v>fr</v>
      </c>
      <c r="N83" t="str">
        <f>_xlfn.XLOOKUP(autorest[[#This Row],[nation_es]],nacionest[nation_es],nacionest[nation_la])</f>
        <v>Helvetia</v>
      </c>
      <c r="O83" t="str">
        <f t="array" ref="O83">IF(ISBLANK(autorest[[#This Row],[year_birth]]),"Epoca Desconocida",IFERROR(INDEX(epocast[age_es],MATCH(1,(autorest[[#This Row],[year_birth]]&gt;=epocast[year_start])*(autorest[[#This Row],[year_birth]]&lt;=epocast[year_end]),0)),"Epoca Desconocida"))</f>
        <v>Edad Contemporánea</v>
      </c>
      <c r="P83" t="str">
        <f>_xlfn.XLOOKUP(autorest[[#This Row],[age_es]],epocast[age_es],epocast[age_la])</f>
        <v>Aetas Contemporanea</v>
      </c>
    </row>
    <row r="84" spans="1:16">
      <c r="A84">
        <v>82</v>
      </c>
      <c r="B84" t="s">
        <v>1681</v>
      </c>
      <c r="C84" t="s">
        <v>1681</v>
      </c>
      <c r="D84">
        <v>1896</v>
      </c>
      <c r="E84">
        <v>1934</v>
      </c>
      <c r="F84" t="s">
        <v>5003</v>
      </c>
      <c r="G84" t="s">
        <v>5004</v>
      </c>
      <c r="H84" t="s">
        <v>4693</v>
      </c>
      <c r="I84" t="s">
        <v>4694</v>
      </c>
      <c r="J84" t="str">
        <f>_xlfn.XLOOKUP(autorest[[#This Row],[language_es]],idiomast[language_es],idiomast[language_la])</f>
        <v>Lingua Russica</v>
      </c>
      <c r="K84" t="s">
        <v>5005</v>
      </c>
      <c r="M84" t="str">
        <f>_xlfn.XLOOKUP(autorest[[#This Row],[language_es]],idiomast[language_es],idiomast[iso3691])</f>
        <v>ru</v>
      </c>
      <c r="N84" t="str">
        <f>_xlfn.XLOOKUP(autorest[[#This Row],[nation_es]],nacionest[nation_es],nacionest[nation_la])</f>
        <v>Russia</v>
      </c>
      <c r="O84" t="str">
        <f t="array" ref="O84">IF(ISBLANK(autorest[[#This Row],[year_birth]]),"Epoca Desconocida",IFERROR(INDEX(epocast[age_es],MATCH(1,(autorest[[#This Row],[year_birth]]&gt;=epocast[year_start])*(autorest[[#This Row],[year_birth]]&lt;=epocast[year_end]),0)),"Epoca Desconocida"))</f>
        <v>Edad Contemporánea</v>
      </c>
      <c r="P84" t="str">
        <f>_xlfn.XLOOKUP(autorest[[#This Row],[age_es]],epocast[age_es],epocast[age_la])</f>
        <v>Aetas Contemporanea</v>
      </c>
    </row>
    <row r="85" spans="1:16">
      <c r="A85">
        <v>83</v>
      </c>
      <c r="B85" t="s">
        <v>1701</v>
      </c>
      <c r="C85" t="s">
        <v>5006</v>
      </c>
      <c r="D85">
        <v>1782</v>
      </c>
      <c r="E85">
        <v>1852</v>
      </c>
      <c r="F85" t="s">
        <v>5007</v>
      </c>
      <c r="G85" t="s">
        <v>5008</v>
      </c>
      <c r="H85" t="s">
        <v>4736</v>
      </c>
      <c r="I85" t="s">
        <v>4737</v>
      </c>
      <c r="J85" t="str">
        <f>_xlfn.XLOOKUP(autorest[[#This Row],[language_es]],idiomast[language_es],idiomast[language_la])</f>
        <v>Lingua Germanica</v>
      </c>
      <c r="K85" t="s">
        <v>5009</v>
      </c>
      <c r="M85" t="str">
        <f>_xlfn.XLOOKUP(autorest[[#This Row],[language_es]],idiomast[language_es],idiomast[iso3691])</f>
        <v>de</v>
      </c>
      <c r="N85" t="str">
        <f>_xlfn.XLOOKUP(autorest[[#This Row],[nation_es]],nacionest[nation_es],nacionest[nation_la])</f>
        <v>Germania</v>
      </c>
      <c r="O85" t="str">
        <f t="array" ref="O85">IF(ISBLANK(autorest[[#This Row],[year_birth]]),"Epoca Desconocida",IFERROR(INDEX(epocast[age_es],MATCH(1,(autorest[[#This Row],[year_birth]]&gt;=epocast[year_start])*(autorest[[#This Row],[year_birth]]&lt;=epocast[year_end]),0)),"Epoca Desconocida"))</f>
        <v>Edad Moderna</v>
      </c>
      <c r="P85" t="str">
        <f>_xlfn.XLOOKUP(autorest[[#This Row],[age_es]],epocast[age_es],epocast[age_la])</f>
        <v>Nova Aetas</v>
      </c>
    </row>
    <row r="86" spans="1:16">
      <c r="A86">
        <v>84</v>
      </c>
      <c r="B86" t="s">
        <v>1721</v>
      </c>
      <c r="C86" t="s">
        <v>5010</v>
      </c>
      <c r="D86">
        <v>1871</v>
      </c>
      <c r="E86">
        <v>1932</v>
      </c>
      <c r="F86" t="s">
        <v>5011</v>
      </c>
      <c r="G86" t="s">
        <v>5012</v>
      </c>
      <c r="H86" t="s">
        <v>4688</v>
      </c>
      <c r="I86" t="s">
        <v>5013</v>
      </c>
      <c r="J86" t="str">
        <f>_xlfn.XLOOKUP(autorest[[#This Row],[language_es]],idiomast[language_es],idiomast[language_la])</f>
        <v>Lingua Gallica</v>
      </c>
      <c r="K86" t="s">
        <v>5014</v>
      </c>
      <c r="M86" t="str">
        <f>_xlfn.XLOOKUP(autorest[[#This Row],[language_es]],idiomast[language_es],idiomast[iso3691])</f>
        <v>fr</v>
      </c>
      <c r="N86" t="str">
        <f>_xlfn.XLOOKUP(autorest[[#This Row],[nation_es]],nacionest[nation_es],nacionest[nation_la])</f>
        <v>Belgica</v>
      </c>
      <c r="O86" t="str">
        <f t="array" ref="O86">IF(ISBLANK(autorest[[#This Row],[year_birth]]),"Epoca Desconocida",IFERROR(INDEX(epocast[age_es],MATCH(1,(autorest[[#This Row],[year_birth]]&gt;=epocast[year_start])*(autorest[[#This Row],[year_birth]]&lt;=epocast[year_end]),0)),"Epoca Desconocida"))</f>
        <v>Edad Contemporánea</v>
      </c>
      <c r="P86" t="str">
        <f>_xlfn.XLOOKUP(autorest[[#This Row],[age_es]],epocast[age_es],epocast[age_la])</f>
        <v>Aetas Contemporanea</v>
      </c>
    </row>
    <row r="87" spans="1:16">
      <c r="A87">
        <v>85</v>
      </c>
      <c r="B87" t="s">
        <v>1741</v>
      </c>
      <c r="C87" t="s">
        <v>5015</v>
      </c>
      <c r="D87">
        <v>1515</v>
      </c>
      <c r="E87">
        <v>1595</v>
      </c>
      <c r="F87" t="s">
        <v>5016</v>
      </c>
      <c r="G87" t="s">
        <v>5017</v>
      </c>
      <c r="H87" t="s">
        <v>4819</v>
      </c>
      <c r="I87" t="s">
        <v>4732</v>
      </c>
      <c r="J87" t="str">
        <f>_xlfn.XLOOKUP(autorest[[#This Row],[language_es]],idiomast[language_es],idiomast[language_la])</f>
        <v>Lingua Italica</v>
      </c>
      <c r="K87" t="s">
        <v>5018</v>
      </c>
      <c r="M87" t="str">
        <f>_xlfn.XLOOKUP(autorest[[#This Row],[language_es]],idiomast[language_es],idiomast[iso3691])</f>
        <v>it</v>
      </c>
      <c r="N87" t="str">
        <f>_xlfn.XLOOKUP(autorest[[#This Row],[nation_es]],nacionest[nation_es],nacionest[nation_la])</f>
        <v>Italia</v>
      </c>
      <c r="O87" t="str">
        <f t="array" ref="O87">IF(ISBLANK(autorest[[#This Row],[year_birth]]),"Epoca Desconocida",IFERROR(INDEX(epocast[age_es],MATCH(1,(autorest[[#This Row],[year_birth]]&gt;=epocast[year_start])*(autorest[[#This Row],[year_birth]]&lt;=epocast[year_end]),0)),"Epoca Desconocida"))</f>
        <v>Edad Moderna</v>
      </c>
      <c r="P87" t="str">
        <f>_xlfn.XLOOKUP(autorest[[#This Row],[age_es]],epocast[age_es],epocast[age_la])</f>
        <v>Nova Aetas</v>
      </c>
    </row>
    <row r="88" spans="1:16">
      <c r="A88">
        <v>86</v>
      </c>
      <c r="B88" t="s">
        <v>1767</v>
      </c>
      <c r="C88" t="s">
        <v>5019</v>
      </c>
      <c r="D88">
        <v>1891</v>
      </c>
      <c r="E88">
        <v>1942</v>
      </c>
      <c r="F88" t="s">
        <v>5020</v>
      </c>
      <c r="G88" t="s">
        <v>5021</v>
      </c>
      <c r="H88" t="s">
        <v>4736</v>
      </c>
      <c r="I88" t="s">
        <v>4737</v>
      </c>
      <c r="J88" t="str">
        <f>_xlfn.XLOOKUP(autorest[[#This Row],[language_es]],idiomast[language_es],idiomast[language_la])</f>
        <v>Lingua Germanica</v>
      </c>
      <c r="K88" t="s">
        <v>5022</v>
      </c>
      <c r="M88" t="str">
        <f>_xlfn.XLOOKUP(autorest[[#This Row],[language_es]],idiomast[language_es],idiomast[iso3691])</f>
        <v>de</v>
      </c>
      <c r="N88" t="str">
        <f>_xlfn.XLOOKUP(autorest[[#This Row],[nation_es]],nacionest[nation_es],nacionest[nation_la])</f>
        <v>Germania</v>
      </c>
      <c r="O88" t="str">
        <f t="array" ref="O88">IF(ISBLANK(autorest[[#This Row],[year_birth]]),"Epoca Desconocida",IFERROR(INDEX(epocast[age_es],MATCH(1,(autorest[[#This Row],[year_birth]]&gt;=epocast[year_start])*(autorest[[#This Row],[year_birth]]&lt;=epocast[year_end]),0)),"Epoca Desconocida"))</f>
        <v>Edad Contemporánea</v>
      </c>
      <c r="P88" t="str">
        <f>_xlfn.XLOOKUP(autorest[[#This Row],[age_es]],epocast[age_es],epocast[age_la])</f>
        <v>Aetas Contemporanea</v>
      </c>
    </row>
    <row r="89" spans="1:16">
      <c r="A89">
        <v>87</v>
      </c>
      <c r="B89" t="s">
        <v>1793</v>
      </c>
      <c r="C89" t="s">
        <v>5023</v>
      </c>
      <c r="D89">
        <v>1991</v>
      </c>
      <c r="E89">
        <v>2006</v>
      </c>
      <c r="F89" t="s">
        <v>5024</v>
      </c>
      <c r="G89" t="s">
        <v>5025</v>
      </c>
      <c r="H89" t="s">
        <v>4819</v>
      </c>
      <c r="I89" t="s">
        <v>4732</v>
      </c>
      <c r="J89" t="str">
        <f>_xlfn.XLOOKUP(autorest[[#This Row],[language_es]],idiomast[language_es],idiomast[language_la])</f>
        <v>Lingua Italica</v>
      </c>
      <c r="K89" t="s">
        <v>5026</v>
      </c>
      <c r="M89" t="str">
        <f>_xlfn.XLOOKUP(autorest[[#This Row],[language_es]],idiomast[language_es],idiomast[iso3691])</f>
        <v>it</v>
      </c>
      <c r="N89" t="str">
        <f>_xlfn.XLOOKUP(autorest[[#This Row],[nation_es]],nacionest[nation_es],nacionest[nation_la])</f>
        <v>Italia</v>
      </c>
      <c r="O89" t="str">
        <f t="array" ref="O89">IF(ISBLANK(autorest[[#This Row],[year_birth]]),"Epoca Desconocida",IFERROR(INDEX(epocast[age_es],MATCH(1,(autorest[[#This Row],[year_birth]]&gt;=epocast[year_start])*(autorest[[#This Row],[year_birth]]&lt;=epocast[year_end]),0)),"Epoca Desconocida"))</f>
        <v>Edad Contemporánea</v>
      </c>
      <c r="P89" t="str">
        <f>_xlfn.XLOOKUP(autorest[[#This Row],[age_es]],epocast[age_es],epocast[age_la])</f>
        <v>Aetas Contemporanea</v>
      </c>
    </row>
    <row r="90" spans="1:16">
      <c r="A90">
        <v>88</v>
      </c>
      <c r="B90" t="s">
        <v>1825</v>
      </c>
      <c r="C90" t="s">
        <v>5027</v>
      </c>
      <c r="D90">
        <v>1861</v>
      </c>
      <c r="E90">
        <v>1925</v>
      </c>
      <c r="F90" t="s">
        <v>5028</v>
      </c>
      <c r="G90" t="s">
        <v>5029</v>
      </c>
      <c r="H90" t="s">
        <v>4736</v>
      </c>
      <c r="I90" t="s">
        <v>5030</v>
      </c>
      <c r="J90" t="str">
        <f>_xlfn.XLOOKUP(autorest[[#This Row],[language_es]],idiomast[language_es],idiomast[language_la])</f>
        <v>Lingua Germanica</v>
      </c>
      <c r="K90" t="s">
        <v>5031</v>
      </c>
      <c r="M90" t="str">
        <f>_xlfn.XLOOKUP(autorest[[#This Row],[language_es]],idiomast[language_es],idiomast[iso3691])</f>
        <v>de</v>
      </c>
      <c r="N90" t="str">
        <f>_xlfn.XLOOKUP(autorest[[#This Row],[nation_es]],nacionest[nation_es],nacionest[nation_la])</f>
        <v>Austria</v>
      </c>
      <c r="O90" t="str">
        <f t="array" ref="O90">IF(ISBLANK(autorest[[#This Row],[year_birth]]),"Epoca Desconocida",IFERROR(INDEX(epocast[age_es],MATCH(1,(autorest[[#This Row],[year_birth]]&gt;=epocast[year_start])*(autorest[[#This Row],[year_birth]]&lt;=epocast[year_end]),0)),"Epoca Desconocida"))</f>
        <v>Edad Contemporánea</v>
      </c>
      <c r="P90" t="str">
        <f>_xlfn.XLOOKUP(autorest[[#This Row],[age_es]],epocast[age_es],epocast[age_la])</f>
        <v>Aetas Contemporanea</v>
      </c>
    </row>
    <row r="91" spans="1:16">
      <c r="A91">
        <v>89</v>
      </c>
      <c r="B91" t="s">
        <v>1850</v>
      </c>
      <c r="C91" t="s">
        <v>1850</v>
      </c>
      <c r="D91">
        <v>1889</v>
      </c>
      <c r="E91">
        <v>1957</v>
      </c>
      <c r="F91" t="s">
        <v>5032</v>
      </c>
      <c r="G91" t="s">
        <v>5033</v>
      </c>
      <c r="H91" t="s">
        <v>4699</v>
      </c>
      <c r="I91" t="s">
        <v>5034</v>
      </c>
      <c r="J91" t="str">
        <f>_xlfn.XLOOKUP(autorest[[#This Row],[language_es]],idiomast[language_es],idiomast[language_la])</f>
        <v>Lingua Hispanica</v>
      </c>
      <c r="K91" t="s">
        <v>5035</v>
      </c>
      <c r="M91" t="str">
        <f>_xlfn.XLOOKUP(autorest[[#This Row],[language_es]],idiomast[language_es],idiomast[iso3691])</f>
        <v>es</v>
      </c>
      <c r="N91" t="str">
        <f>_xlfn.XLOOKUP(autorest[[#This Row],[nation_es]],nacionest[nation_es],nacionest[nation_la])</f>
        <v>Chili</v>
      </c>
      <c r="O91" t="str">
        <f t="array" ref="O91">IF(ISBLANK(autorest[[#This Row],[year_birth]]),"Epoca Desconocida",IFERROR(INDEX(epocast[age_es],MATCH(1,(autorest[[#This Row],[year_birth]]&gt;=epocast[year_start])*(autorest[[#This Row],[year_birth]]&lt;=epocast[year_end]),0)),"Epoca Desconocida"))</f>
        <v>Edad Contemporánea</v>
      </c>
      <c r="P91" t="str">
        <f>_xlfn.XLOOKUP(autorest[[#This Row],[age_es]],epocast[age_es],epocast[age_la])</f>
        <v>Aetas Contemporanea</v>
      </c>
    </row>
    <row r="92" spans="1:16">
      <c r="A92">
        <v>90</v>
      </c>
      <c r="B92" t="s">
        <v>1882</v>
      </c>
      <c r="C92" t="s">
        <v>5036</v>
      </c>
      <c r="D92">
        <v>1943</v>
      </c>
      <c r="F92" t="s">
        <v>5037</v>
      </c>
      <c r="G92" t="s">
        <v>5038</v>
      </c>
      <c r="H92" t="s">
        <v>4650</v>
      </c>
      <c r="I92" t="s">
        <v>4671</v>
      </c>
      <c r="J92" t="str">
        <f>_xlfn.XLOOKUP(autorest[[#This Row],[language_es]],idiomast[language_es],idiomast[language_la])</f>
        <v>Lingua Anglica</v>
      </c>
      <c r="K92" t="s">
        <v>5039</v>
      </c>
      <c r="M92" t="str">
        <f>_xlfn.XLOOKUP(autorest[[#This Row],[language_es]],idiomast[language_es],idiomast[iso3691])</f>
        <v>en</v>
      </c>
      <c r="N92" t="str">
        <f>_xlfn.XLOOKUP(autorest[[#This Row],[nation_es]],nacionest[nation_es],nacionest[nation_la])</f>
        <v>Civitates Foederatae Americae</v>
      </c>
      <c r="O92" t="str">
        <f t="array" ref="O92">IF(ISBLANK(autorest[[#This Row],[year_birth]]),"Epoca Desconocida",IFERROR(INDEX(epocast[age_es],MATCH(1,(autorest[[#This Row],[year_birth]]&gt;=epocast[year_start])*(autorest[[#This Row],[year_birth]]&lt;=epocast[year_end]),0)),"Epoca Desconocida"))</f>
        <v>Edad Contemporánea</v>
      </c>
      <c r="P92" t="str">
        <f>_xlfn.XLOOKUP(autorest[[#This Row],[age_es]],epocast[age_es],epocast[age_la])</f>
        <v>Aetas Contemporanea</v>
      </c>
    </row>
    <row r="93" spans="1:16">
      <c r="A93">
        <v>91</v>
      </c>
      <c r="B93" t="s">
        <v>1907</v>
      </c>
      <c r="C93" t="s">
        <v>1907</v>
      </c>
      <c r="D93">
        <v>1950</v>
      </c>
      <c r="E93">
        <v>2020</v>
      </c>
      <c r="F93" t="s">
        <v>5040</v>
      </c>
      <c r="G93" t="s">
        <v>5041</v>
      </c>
      <c r="H93" t="s">
        <v>4650</v>
      </c>
      <c r="I93" t="s">
        <v>4651</v>
      </c>
      <c r="J93" t="str">
        <f>_xlfn.XLOOKUP(autorest[[#This Row],[language_es]],idiomast[language_es],idiomast[language_la])</f>
        <v>Lingua Anglica</v>
      </c>
      <c r="K93" t="s">
        <v>5042</v>
      </c>
      <c r="M93" t="str">
        <f>_xlfn.XLOOKUP(autorest[[#This Row],[language_es]],idiomast[language_es],idiomast[iso3691])</f>
        <v>en</v>
      </c>
      <c r="N93" t="str">
        <f>_xlfn.XLOOKUP(autorest[[#This Row],[nation_es]],nacionest[nation_es],nacionest[nation_la])</f>
        <v>Regnum Unitum</v>
      </c>
      <c r="O93" t="str">
        <f t="array" ref="O93">IF(ISBLANK(autorest[[#This Row],[year_birth]]),"Epoca Desconocida",IFERROR(INDEX(epocast[age_es],MATCH(1,(autorest[[#This Row],[year_birth]]&gt;=epocast[year_start])*(autorest[[#This Row],[year_birth]]&lt;=epocast[year_end]),0)),"Epoca Desconocida"))</f>
        <v>Edad Contemporánea</v>
      </c>
      <c r="P93" t="str">
        <f>_xlfn.XLOOKUP(autorest[[#This Row],[age_es]],epocast[age_es],epocast[age_la])</f>
        <v>Aetas Contemporanea</v>
      </c>
    </row>
    <row r="94" spans="1:16">
      <c r="A94">
        <v>92</v>
      </c>
      <c r="B94" t="s">
        <v>1938</v>
      </c>
      <c r="C94" t="s">
        <v>5043</v>
      </c>
      <c r="D94">
        <v>1925</v>
      </c>
      <c r="E94">
        <v>2021</v>
      </c>
      <c r="F94" t="s">
        <v>5044</v>
      </c>
      <c r="G94" t="s">
        <v>5045</v>
      </c>
      <c r="H94" t="s">
        <v>4650</v>
      </c>
      <c r="I94" t="s">
        <v>5046</v>
      </c>
      <c r="J94" t="str">
        <f>_xlfn.XLOOKUP(autorest[[#This Row],[language_es]],idiomast[language_es],idiomast[language_la])</f>
        <v>Lingua Anglica</v>
      </c>
      <c r="K94" t="s">
        <v>5047</v>
      </c>
      <c r="M94" t="str">
        <f>_xlfn.XLOOKUP(autorest[[#This Row],[language_es]],idiomast[language_es],idiomast[iso3691])</f>
        <v>en</v>
      </c>
      <c r="N94" t="str">
        <f>_xlfn.XLOOKUP(autorest[[#This Row],[nation_es]],nacionest[nation_es],nacionest[nation_la])</f>
        <v>Canada</v>
      </c>
      <c r="O94" t="str">
        <f t="array" ref="O94">IF(ISBLANK(autorest[[#This Row],[year_birth]]),"Epoca Desconocida",IFERROR(INDEX(epocast[age_es],MATCH(1,(autorest[[#This Row],[year_birth]]&gt;=epocast[year_start])*(autorest[[#This Row],[year_birth]]&lt;=epocast[year_end]),0)),"Epoca Desconocida"))</f>
        <v>Edad Contemporánea</v>
      </c>
      <c r="P94" t="str">
        <f>_xlfn.XLOOKUP(autorest[[#This Row],[age_es]],epocast[age_es],epocast[age_la])</f>
        <v>Aetas Contemporanea</v>
      </c>
    </row>
    <row r="95" spans="1:16">
      <c r="A95">
        <v>93</v>
      </c>
      <c r="B95" t="s">
        <v>1962</v>
      </c>
      <c r="C95" t="s">
        <v>5048</v>
      </c>
      <c r="D95">
        <v>1904</v>
      </c>
      <c r="E95">
        <v>1990</v>
      </c>
      <c r="F95" t="s">
        <v>5049</v>
      </c>
      <c r="G95" t="s">
        <v>5050</v>
      </c>
      <c r="H95" t="s">
        <v>4650</v>
      </c>
      <c r="I95" t="s">
        <v>4671</v>
      </c>
      <c r="J95" t="str">
        <f>_xlfn.XLOOKUP(autorest[[#This Row],[language_es]],idiomast[language_es],idiomast[language_la])</f>
        <v>Lingua Anglica</v>
      </c>
      <c r="K95" t="s">
        <v>5051</v>
      </c>
      <c r="M95" t="str">
        <f>_xlfn.XLOOKUP(autorest[[#This Row],[language_es]],idiomast[language_es],idiomast[iso3691])</f>
        <v>en</v>
      </c>
      <c r="N95" t="str">
        <f>_xlfn.XLOOKUP(autorest[[#This Row],[nation_es]],nacionest[nation_es],nacionest[nation_la])</f>
        <v>Civitates Foederatae Americae</v>
      </c>
      <c r="O95" t="str">
        <f t="array" ref="O95">IF(ISBLANK(autorest[[#This Row],[year_birth]]),"Epoca Desconocida",IFERROR(INDEX(epocast[age_es],MATCH(1,(autorest[[#This Row],[year_birth]]&gt;=epocast[year_start])*(autorest[[#This Row],[year_birth]]&lt;=epocast[year_end]),0)),"Epoca Desconocida"))</f>
        <v>Edad Contemporánea</v>
      </c>
      <c r="P95" t="str">
        <f>_xlfn.XLOOKUP(autorest[[#This Row],[age_es]],epocast[age_es],epocast[age_la])</f>
        <v>Aetas Contemporanea</v>
      </c>
    </row>
    <row r="96" spans="1:16">
      <c r="A96">
        <v>94</v>
      </c>
      <c r="B96" t="s">
        <v>1987</v>
      </c>
      <c r="C96" t="s">
        <v>5052</v>
      </c>
      <c r="D96">
        <v>1882</v>
      </c>
      <c r="E96">
        <v>1973</v>
      </c>
      <c r="F96" t="s">
        <v>5053</v>
      </c>
      <c r="G96" t="s">
        <v>5054</v>
      </c>
      <c r="H96" t="s">
        <v>4688</v>
      </c>
      <c r="I96" t="s">
        <v>4645</v>
      </c>
      <c r="J96" t="str">
        <f>_xlfn.XLOOKUP(autorest[[#This Row],[language_es]],idiomast[language_es],idiomast[language_la])</f>
        <v>Lingua Gallica</v>
      </c>
      <c r="K96" t="s">
        <v>5055</v>
      </c>
      <c r="M96" t="str">
        <f>_xlfn.XLOOKUP(autorest[[#This Row],[language_es]],idiomast[language_es],idiomast[iso3691])</f>
        <v>fr</v>
      </c>
      <c r="N96" t="str">
        <f>_xlfn.XLOOKUP(autorest[[#This Row],[nation_es]],nacionest[nation_es],nacionest[nation_la])</f>
        <v>Francia</v>
      </c>
      <c r="O96" t="str">
        <f t="array" ref="O96">IF(ISBLANK(autorest[[#This Row],[year_birth]]),"Epoca Desconocida",IFERROR(INDEX(epocast[age_es],MATCH(1,(autorest[[#This Row],[year_birth]]&gt;=epocast[year_start])*(autorest[[#This Row],[year_birth]]&lt;=epocast[year_end]),0)),"Epoca Desconocida"))</f>
        <v>Edad Contemporánea</v>
      </c>
      <c r="P96" t="str">
        <f>_xlfn.XLOOKUP(autorest[[#This Row],[age_es]],epocast[age_es],epocast[age_la])</f>
        <v>Aetas Contemporanea</v>
      </c>
    </row>
    <row r="97" spans="1:16">
      <c r="A97">
        <v>95</v>
      </c>
      <c r="B97" t="s">
        <v>2012</v>
      </c>
      <c r="C97" t="s">
        <v>5056</v>
      </c>
      <c r="D97">
        <v>1898</v>
      </c>
      <c r="E97">
        <v>1963</v>
      </c>
      <c r="F97" t="s">
        <v>5057</v>
      </c>
      <c r="G97" t="s">
        <v>5058</v>
      </c>
      <c r="H97" t="s">
        <v>4650</v>
      </c>
      <c r="I97" t="s">
        <v>4651</v>
      </c>
      <c r="J97" t="str">
        <f>_xlfn.XLOOKUP(autorest[[#This Row],[language_es]],idiomast[language_es],idiomast[language_la])</f>
        <v>Lingua Anglica</v>
      </c>
      <c r="K97" t="s">
        <v>5059</v>
      </c>
      <c r="M97" t="str">
        <f>_xlfn.XLOOKUP(autorest[[#This Row],[language_es]],idiomast[language_es],idiomast[iso3691])</f>
        <v>en</v>
      </c>
      <c r="N97" t="str">
        <f>_xlfn.XLOOKUP(autorest[[#This Row],[nation_es]],nacionest[nation_es],nacionest[nation_la])</f>
        <v>Regnum Unitum</v>
      </c>
      <c r="O97" t="str">
        <f t="array" ref="O97">IF(ISBLANK(autorest[[#This Row],[year_birth]]),"Epoca Desconocida",IFERROR(INDEX(epocast[age_es],MATCH(1,(autorest[[#This Row],[year_birth]]&gt;=epocast[year_start])*(autorest[[#This Row],[year_birth]]&lt;=epocast[year_end]),0)),"Epoca Desconocida"))</f>
        <v>Edad Contemporánea</v>
      </c>
      <c r="P97" t="str">
        <f>_xlfn.XLOOKUP(autorest[[#This Row],[age_es]],epocast[age_es],epocast[age_la])</f>
        <v>Aetas Contemporanea</v>
      </c>
    </row>
    <row r="98" spans="1:16">
      <c r="A98">
        <v>96</v>
      </c>
      <c r="B98" t="s">
        <v>2035</v>
      </c>
      <c r="C98" t="s">
        <v>5060</v>
      </c>
      <c r="D98">
        <v>1955</v>
      </c>
      <c r="F98" t="s">
        <v>5061</v>
      </c>
      <c r="G98" t="s">
        <v>5062</v>
      </c>
      <c r="H98" t="s">
        <v>4699</v>
      </c>
      <c r="I98" t="s">
        <v>4700</v>
      </c>
      <c r="J98" t="str">
        <f>_xlfn.XLOOKUP(autorest[[#This Row],[language_es]],idiomast[language_es],idiomast[language_la])</f>
        <v>Lingua Hispanica</v>
      </c>
      <c r="K98" t="s">
        <v>5063</v>
      </c>
      <c r="M98" t="str">
        <f>_xlfn.XLOOKUP(autorest[[#This Row],[language_es]],idiomast[language_es],idiomast[iso3691])</f>
        <v>es</v>
      </c>
      <c r="N98" t="str">
        <f>_xlfn.XLOOKUP(autorest[[#This Row],[nation_es]],nacionest[nation_es],nacionest[nation_la])</f>
        <v>Hispania</v>
      </c>
      <c r="O98" t="str">
        <f t="array" ref="O98">IF(ISBLANK(autorest[[#This Row],[year_birth]]),"Epoca Desconocida",IFERROR(INDEX(epocast[age_es],MATCH(1,(autorest[[#This Row],[year_birth]]&gt;=epocast[year_start])*(autorest[[#This Row],[year_birth]]&lt;=epocast[year_end]),0)),"Epoca Desconocida"))</f>
        <v>Edad Contemporánea</v>
      </c>
      <c r="P98" t="str">
        <f>_xlfn.XLOOKUP(autorest[[#This Row],[age_es]],epocast[age_es],epocast[age_la])</f>
        <v>Aetas Contemporanea</v>
      </c>
    </row>
    <row r="99" spans="1:16">
      <c r="A99">
        <v>97</v>
      </c>
      <c r="B99" t="s">
        <v>2055</v>
      </c>
      <c r="C99" t="s">
        <v>5064</v>
      </c>
      <c r="D99">
        <v>1950</v>
      </c>
      <c r="F99" t="s">
        <v>5065</v>
      </c>
      <c r="G99" t="s">
        <v>5066</v>
      </c>
      <c r="H99" t="s">
        <v>4650</v>
      </c>
      <c r="I99" t="s">
        <v>5067</v>
      </c>
      <c r="J99" t="str">
        <f>_xlfn.XLOOKUP(autorest[[#This Row],[language_es]],idiomast[language_es],idiomast[language_la])</f>
        <v>Lingua Anglica</v>
      </c>
      <c r="K99" t="s">
        <v>5068</v>
      </c>
      <c r="M99" t="str">
        <f>_xlfn.XLOOKUP(autorest[[#This Row],[language_es]],idiomast[language_es],idiomast[iso3691])</f>
        <v>en</v>
      </c>
      <c r="N99" t="str">
        <f>_xlfn.XLOOKUP(autorest[[#This Row],[nation_es]],nacionest[nation_es],nacionest[nation_la])</f>
        <v>Nova Zelandia</v>
      </c>
      <c r="O99" t="str">
        <f t="array" ref="O99">IF(ISBLANK(autorest[[#This Row],[year_birth]]),"Epoca Desconocida",IFERROR(INDEX(epocast[age_es],MATCH(1,(autorest[[#This Row],[year_birth]]&gt;=epocast[year_start])*(autorest[[#This Row],[year_birth]]&lt;=epocast[year_end]),0)),"Epoca Desconocida"))</f>
        <v>Edad Contemporánea</v>
      </c>
      <c r="P99" t="str">
        <f>_xlfn.XLOOKUP(autorest[[#This Row],[age_es]],epocast[age_es],epocast[age_la])</f>
        <v>Aetas Contemporanea</v>
      </c>
    </row>
    <row r="100" spans="1:16">
      <c r="A100">
        <v>98</v>
      </c>
      <c r="B100" t="s">
        <v>2077</v>
      </c>
      <c r="C100" t="s">
        <v>5069</v>
      </c>
      <c r="D100">
        <v>1632</v>
      </c>
      <c r="E100">
        <v>1704</v>
      </c>
      <c r="F100" t="s">
        <v>5070</v>
      </c>
      <c r="G100" t="s">
        <v>5071</v>
      </c>
      <c r="H100" t="s">
        <v>4650</v>
      </c>
      <c r="I100" t="s">
        <v>4651</v>
      </c>
      <c r="J100" t="str">
        <f>_xlfn.XLOOKUP(autorest[[#This Row],[language_es]],idiomast[language_es],idiomast[language_la])</f>
        <v>Lingua Anglica</v>
      </c>
      <c r="K100" t="s">
        <v>5072</v>
      </c>
      <c r="M100" t="str">
        <f>_xlfn.XLOOKUP(autorest[[#This Row],[language_es]],idiomast[language_es],idiomast[iso3691])</f>
        <v>en</v>
      </c>
      <c r="N100" t="str">
        <f>_xlfn.XLOOKUP(autorest[[#This Row],[nation_es]],nacionest[nation_es],nacionest[nation_la])</f>
        <v>Regnum Unitum</v>
      </c>
      <c r="O100" t="str">
        <f t="array" ref="O100">IF(ISBLANK(autorest[[#This Row],[year_birth]]),"Epoca Desconocida",IFERROR(INDEX(epocast[age_es],MATCH(1,(autorest[[#This Row],[year_birth]]&gt;=epocast[year_start])*(autorest[[#This Row],[year_birth]]&lt;=epocast[year_end]),0)),"Epoca Desconocida"))</f>
        <v>Edad Moderna</v>
      </c>
      <c r="P100" t="str">
        <f>_xlfn.XLOOKUP(autorest[[#This Row],[age_es]],epocast[age_es],epocast[age_la])</f>
        <v>Nova Aetas</v>
      </c>
    </row>
    <row r="101" spans="1:16">
      <c r="A101">
        <v>99</v>
      </c>
      <c r="B101" t="s">
        <v>2101</v>
      </c>
      <c r="C101" t="s">
        <v>2101</v>
      </c>
      <c r="D101">
        <v>1861</v>
      </c>
      <c r="E101">
        <v>1941</v>
      </c>
      <c r="F101" t="s">
        <v>5073</v>
      </c>
      <c r="G101" t="s">
        <v>5074</v>
      </c>
      <c r="H101" t="s">
        <v>5075</v>
      </c>
      <c r="I101" t="s">
        <v>4761</v>
      </c>
      <c r="J101" t="str">
        <f>_xlfn.XLOOKUP(autorest[[#This Row],[language_es]],idiomast[language_es],idiomast[language_la])</f>
        <v>Lingua Bengalice</v>
      </c>
      <c r="K101" t="s">
        <v>5076</v>
      </c>
      <c r="M101" t="str">
        <f>_xlfn.XLOOKUP(autorest[[#This Row],[language_es]],idiomast[language_es],idiomast[iso3691])</f>
        <v>bn</v>
      </c>
      <c r="N101" t="str">
        <f>_xlfn.XLOOKUP(autorest[[#This Row],[nation_es]],nacionest[nation_es],nacionest[nation_la])</f>
        <v>India</v>
      </c>
      <c r="O101" t="str">
        <f t="array" ref="O101">IF(ISBLANK(autorest[[#This Row],[year_birth]]),"Epoca Desconocida",IFERROR(INDEX(epocast[age_es],MATCH(1,(autorest[[#This Row],[year_birth]]&gt;=epocast[year_start])*(autorest[[#This Row],[year_birth]]&lt;=epocast[year_end]),0)),"Epoca Desconocida"))</f>
        <v>Edad Contemporánea</v>
      </c>
      <c r="P101" t="str">
        <f>_xlfn.XLOOKUP(autorest[[#This Row],[age_es]],epocast[age_es],epocast[age_la])</f>
        <v>Aetas Contemporanea</v>
      </c>
    </row>
    <row r="102" spans="1:16">
      <c r="A102">
        <v>100</v>
      </c>
      <c r="B102" t="s">
        <v>2122</v>
      </c>
      <c r="C102" t="s">
        <v>5077</v>
      </c>
      <c r="D102">
        <v>1932</v>
      </c>
      <c r="F102" t="s">
        <v>5078</v>
      </c>
      <c r="G102" t="s">
        <v>5079</v>
      </c>
      <c r="H102" t="s">
        <v>4650</v>
      </c>
      <c r="I102" t="s">
        <v>4671</v>
      </c>
      <c r="J102" t="str">
        <f>_xlfn.XLOOKUP(autorest[[#This Row],[language_es]],idiomast[language_es],idiomast[language_la])</f>
        <v>Lingua Anglica</v>
      </c>
      <c r="K102" t="s">
        <v>5080</v>
      </c>
      <c r="M102" t="str">
        <f>_xlfn.XLOOKUP(autorest[[#This Row],[language_es]],idiomast[language_es],idiomast[iso3691])</f>
        <v>en</v>
      </c>
      <c r="N102" t="str">
        <f>_xlfn.XLOOKUP(autorest[[#This Row],[nation_es]],nacionest[nation_es],nacionest[nation_la])</f>
        <v>Civitates Foederatae Americae</v>
      </c>
      <c r="O102" t="str">
        <f t="array" ref="O102">IF(ISBLANK(autorest[[#This Row],[year_birth]]),"Epoca Desconocida",IFERROR(INDEX(epocast[age_es],MATCH(1,(autorest[[#This Row],[year_birth]]&gt;=epocast[year_start])*(autorest[[#This Row],[year_birth]]&lt;=epocast[year_end]),0)),"Epoca Desconocida"))</f>
        <v>Edad Contemporánea</v>
      </c>
      <c r="P102" t="str">
        <f>_xlfn.XLOOKUP(autorest[[#This Row],[age_es]],epocast[age_es],epocast[age_la])</f>
        <v>Aetas Contemporanea</v>
      </c>
    </row>
    <row r="103" spans="1:16">
      <c r="A103">
        <v>101</v>
      </c>
      <c r="B103" t="s">
        <v>2141</v>
      </c>
      <c r="C103" t="s">
        <v>5081</v>
      </c>
      <c r="D103">
        <v>1918</v>
      </c>
      <c r="E103">
        <v>2008</v>
      </c>
      <c r="F103" t="s">
        <v>5082</v>
      </c>
      <c r="G103" t="s">
        <v>5083</v>
      </c>
      <c r="H103" t="s">
        <v>4650</v>
      </c>
      <c r="I103" t="s">
        <v>4671</v>
      </c>
      <c r="J103" t="str">
        <f>_xlfn.XLOOKUP(autorest[[#This Row],[language_es]],idiomast[language_es],idiomast[language_la])</f>
        <v>Lingua Anglica</v>
      </c>
      <c r="K103" t="s">
        <v>5084</v>
      </c>
      <c r="M103" t="str">
        <f>_xlfn.XLOOKUP(autorest[[#This Row],[language_es]],idiomast[language_es],idiomast[iso3691])</f>
        <v>en</v>
      </c>
      <c r="N103" t="str">
        <f>_xlfn.XLOOKUP(autorest[[#This Row],[nation_es]],nacionest[nation_es],nacionest[nation_la])</f>
        <v>Civitates Foederatae Americae</v>
      </c>
      <c r="O103" t="str">
        <f t="array" ref="O103">IF(ISBLANK(autorest[[#This Row],[year_birth]]),"Epoca Desconocida",IFERROR(INDEX(epocast[age_es],MATCH(1,(autorest[[#This Row],[year_birth]]&gt;=epocast[year_start])*(autorest[[#This Row],[year_birth]]&lt;=epocast[year_end]),0)),"Epoca Desconocida"))</f>
        <v>Edad Contemporánea</v>
      </c>
      <c r="P103" t="str">
        <f>_xlfn.XLOOKUP(autorest[[#This Row],[age_es]],epocast[age_es],epocast[age_la])</f>
        <v>Aetas Contemporanea</v>
      </c>
    </row>
    <row r="104" spans="1:16">
      <c r="A104">
        <v>102</v>
      </c>
      <c r="B104" t="s">
        <v>2168</v>
      </c>
      <c r="C104" t="s">
        <v>5085</v>
      </c>
      <c r="F104" t="s">
        <v>5086</v>
      </c>
      <c r="G104" t="s">
        <v>5087</v>
      </c>
      <c r="J104" t="e">
        <f>_xlfn.XLOOKUP(autorest[[#This Row],[language_es]],idiomast[language_es],idiomast[language_la])</f>
        <v>#N/A</v>
      </c>
      <c r="K104" t="s">
        <v>5088</v>
      </c>
      <c r="M104" t="e">
        <f>_xlfn.XLOOKUP(autorest[[#This Row],[language_es]],idiomast[language_es],idiomast[iso3691])</f>
        <v>#N/A</v>
      </c>
      <c r="N104" t="e">
        <f>_xlfn.XLOOKUP(autorest[[#This Row],[nation_es]],nacionest[nation_es],nacionest[nation_la])</f>
        <v>#N/A</v>
      </c>
      <c r="O104" t="str">
        <f t="array" ref="O104">IF(ISBLANK(autorest[[#This Row],[year_birth]]),"Epoca Desconocida",IFERROR(INDEX(epocast[age_es],MATCH(1,(autorest[[#This Row],[year_birth]]&gt;=epocast[year_start])*(autorest[[#This Row],[year_birth]]&lt;=epocast[year_end]),0)),"Epoca Desconocida"))</f>
        <v>Epoca Desconocida</v>
      </c>
      <c r="P104" t="str">
        <f>_xlfn.XLOOKUP(autorest[[#This Row],[age_es]],epocast[age_es],epocast[age_la])</f>
        <v>Epocha Ignota</v>
      </c>
    </row>
    <row r="105" spans="1:16">
      <c r="A105">
        <v>103</v>
      </c>
      <c r="B105" t="s">
        <v>2172</v>
      </c>
      <c r="C105" t="s">
        <v>5089</v>
      </c>
      <c r="F105" t="s">
        <v>5090</v>
      </c>
      <c r="G105" t="s">
        <v>5091</v>
      </c>
      <c r="H105" t="s">
        <v>4665</v>
      </c>
      <c r="I105" t="s">
        <v>4666</v>
      </c>
      <c r="J105" t="str">
        <f>_xlfn.XLOOKUP(autorest[[#This Row],[language_es]],idiomast[language_es],idiomast[language_la])</f>
        <v>Lingua Hebraica</v>
      </c>
      <c r="K105" t="s">
        <v>5092</v>
      </c>
      <c r="M105" t="str">
        <f>_xlfn.XLOOKUP(autorest[[#This Row],[language_es]],idiomast[language_es],idiomast[iso3691])</f>
        <v>he</v>
      </c>
      <c r="N105" t="str">
        <f>_xlfn.XLOOKUP(autorest[[#This Row],[nation_es]],nacionest[nation_es],nacionest[nation_la])</f>
        <v>Israel</v>
      </c>
      <c r="O105" t="str">
        <f t="array" ref="O105">IF(ISBLANK(autorest[[#This Row],[year_birth]]),"Epoca Desconocida",IFERROR(INDEX(epocast[age_es],MATCH(1,(autorest[[#This Row],[year_birth]]&gt;=epocast[year_start])*(autorest[[#This Row],[year_birth]]&lt;=epocast[year_end]),0)),"Epoca Desconocida"))</f>
        <v>Epoca Desconocida</v>
      </c>
      <c r="P105" t="str">
        <f>_xlfn.XLOOKUP(autorest[[#This Row],[age_es]],epocast[age_es],epocast[age_la])</f>
        <v>Epocha Ignota</v>
      </c>
    </row>
    <row r="106" spans="1:16">
      <c r="A106">
        <v>104</v>
      </c>
      <c r="B106" t="s">
        <v>4157</v>
      </c>
      <c r="C106" t="s">
        <v>5093</v>
      </c>
      <c r="D106">
        <v>430</v>
      </c>
      <c r="E106">
        <v>354</v>
      </c>
      <c r="F106" t="s">
        <v>5094</v>
      </c>
      <c r="G106" t="s">
        <v>5095</v>
      </c>
      <c r="H106" t="s">
        <v>4824</v>
      </c>
      <c r="I106" t="s">
        <v>4714</v>
      </c>
      <c r="J106" t="str">
        <f>_xlfn.XLOOKUP(autorest[[#This Row],[language_es]],idiomast[language_es],idiomast[language_la])</f>
        <v>Lingua Graeca</v>
      </c>
      <c r="K106" t="s">
        <v>5096</v>
      </c>
      <c r="M106" t="str">
        <f>_xlfn.XLOOKUP(autorest[[#This Row],[language_es]],idiomast[language_es],idiomast[iso3691])</f>
        <v>el</v>
      </c>
      <c r="N106" t="str">
        <f>_xlfn.XLOOKUP(autorest[[#This Row],[nation_es]],nacionest[nation_es],nacionest[nation_la])</f>
        <v>Graecia</v>
      </c>
      <c r="O106" t="str">
        <f t="array" ref="O106">IF(ISBLANK(autorest[[#This Row],[year_birth]]),"Epoca Desconocida",IFERROR(INDEX(epocast[age_es],MATCH(1,(autorest[[#This Row],[year_birth]]&gt;=epocast[year_start])*(autorest[[#This Row],[year_birth]]&lt;=epocast[year_end]),0)),"Epoca Desconocida"))</f>
        <v>Edad Antigua</v>
      </c>
      <c r="P106" t="str">
        <f>_xlfn.XLOOKUP(autorest[[#This Row],[age_es]],epocast[age_es],epocast[age_la])</f>
        <v>Antiquitas</v>
      </c>
    </row>
    <row r="107" spans="1:16">
      <c r="A107">
        <v>105</v>
      </c>
      <c r="B107" t="s">
        <v>4198</v>
      </c>
      <c r="C107" t="s">
        <v>5097</v>
      </c>
      <c r="D107">
        <v>445</v>
      </c>
      <c r="E107">
        <v>365</v>
      </c>
      <c r="F107" t="s">
        <v>5098</v>
      </c>
      <c r="G107" t="s">
        <v>5099</v>
      </c>
      <c r="H107" t="s">
        <v>4824</v>
      </c>
      <c r="I107" t="s">
        <v>4714</v>
      </c>
      <c r="J107" t="str">
        <f>_xlfn.XLOOKUP(autorest[[#This Row],[language_es]],idiomast[language_es],idiomast[language_la])</f>
        <v>Lingua Graeca</v>
      </c>
      <c r="K107" t="s">
        <v>5100</v>
      </c>
      <c r="M107" t="str">
        <f>_xlfn.XLOOKUP(autorest[[#This Row],[language_es]],idiomast[language_es],idiomast[iso3691])</f>
        <v>el</v>
      </c>
      <c r="N107" t="str">
        <f>_xlfn.XLOOKUP(autorest[[#This Row],[nation_es]],nacionest[nation_es],nacionest[nation_la])</f>
        <v>Graecia</v>
      </c>
      <c r="O107" t="str">
        <f t="array" ref="O107">IF(ISBLANK(autorest[[#This Row],[year_birth]]),"Epoca Desconocida",IFERROR(INDEX(epocast[age_es],MATCH(1,(autorest[[#This Row],[year_birth]]&gt;=epocast[year_start])*(autorest[[#This Row],[year_birth]]&lt;=epocast[year_end]),0)),"Epoca Desconocida"))</f>
        <v>Edad Antigua</v>
      </c>
      <c r="P107" t="str">
        <f>_xlfn.XLOOKUP(autorest[[#This Row],[age_es]],epocast[age_es],epocast[age_la])</f>
        <v>Antiquitas</v>
      </c>
    </row>
    <row r="108" spans="1:16">
      <c r="A108">
        <v>106</v>
      </c>
      <c r="B108" t="s">
        <v>4239</v>
      </c>
      <c r="C108" t="s">
        <v>5101</v>
      </c>
      <c r="D108">
        <v>204</v>
      </c>
      <c r="E108">
        <v>270</v>
      </c>
      <c r="F108" t="s">
        <v>5102</v>
      </c>
      <c r="G108" t="s">
        <v>5103</v>
      </c>
      <c r="H108" t="s">
        <v>4824</v>
      </c>
      <c r="I108" t="s">
        <v>4640</v>
      </c>
      <c r="J108" t="str">
        <f>_xlfn.XLOOKUP(autorest[[#This Row],[language_es]],idiomast[language_es],idiomast[language_la])</f>
        <v>Lingua Graeca</v>
      </c>
      <c r="K108" t="s">
        <v>5104</v>
      </c>
      <c r="M108" t="str">
        <f>_xlfn.XLOOKUP(autorest[[#This Row],[language_es]],idiomast[language_es],idiomast[iso3691])</f>
        <v>el</v>
      </c>
      <c r="N108" t="str">
        <f>_xlfn.XLOOKUP(autorest[[#This Row],[nation_es]],nacionest[nation_es],nacionest[nation_la])</f>
        <v>Roma</v>
      </c>
      <c r="O108" t="str">
        <f t="array" ref="O108">IF(ISBLANK(autorest[[#This Row],[year_birth]]),"Epoca Desconocida",IFERROR(INDEX(epocast[age_es],MATCH(1,(autorest[[#This Row],[year_birth]]&gt;=epocast[year_start])*(autorest[[#This Row],[year_birth]]&lt;=epocast[year_end]),0)),"Epoca Desconocida"))</f>
        <v>Edad Antigua</v>
      </c>
      <c r="P108" t="str">
        <f>_xlfn.XLOOKUP(autorest[[#This Row],[age_es]],epocast[age_es],epocast[age_la])</f>
        <v>Antiquitas</v>
      </c>
    </row>
    <row r="109" spans="1:16">
      <c r="A109">
        <v>107</v>
      </c>
      <c r="B109" t="s">
        <v>4541</v>
      </c>
      <c r="C109" t="s">
        <v>5105</v>
      </c>
      <c r="D109">
        <v>1221</v>
      </c>
      <c r="E109">
        <v>1274</v>
      </c>
      <c r="F109" t="s">
        <v>5106</v>
      </c>
      <c r="G109" t="s">
        <v>5107</v>
      </c>
      <c r="H109" t="s">
        <v>4639</v>
      </c>
      <c r="I109" t="s">
        <v>4732</v>
      </c>
      <c r="J109" t="str">
        <f>_xlfn.XLOOKUP(autorest[[#This Row],[language_es]],idiomast[language_es],idiomast[language_la])</f>
        <v>Lingua Latina</v>
      </c>
      <c r="K109" t="s">
        <v>5108</v>
      </c>
      <c r="M109" t="str">
        <f>_xlfn.XLOOKUP(autorest[[#This Row],[language_es]],idiomast[language_es],idiomast[iso3691])</f>
        <v>la</v>
      </c>
      <c r="N109" t="str">
        <f>_xlfn.XLOOKUP(autorest[[#This Row],[nation_es]],nacionest[nation_es],nacionest[nation_la])</f>
        <v>Italia</v>
      </c>
      <c r="O109" t="str">
        <f t="array" ref="O109">IF(ISBLANK(autorest[[#This Row],[year_birth]]),"Epoca Desconocida",IFERROR(INDEX(epocast[age_es],MATCH(1,(autorest[[#This Row],[year_birth]]&gt;=epocast[year_start])*(autorest[[#This Row],[year_birth]]&lt;=epocast[year_end]),0)),"Epoca Desconocida"))</f>
        <v>Edad Media</v>
      </c>
      <c r="P109" t="str">
        <f>_xlfn.XLOOKUP(autorest[[#This Row],[age_es]],epocast[age_es],epocast[age_la])</f>
        <v>Medium Aevum</v>
      </c>
    </row>
    <row r="110" spans="1:16">
      <c r="A110">
        <v>108</v>
      </c>
      <c r="B110" t="s">
        <v>4554</v>
      </c>
      <c r="C110" t="s">
        <v>5109</v>
      </c>
      <c r="D110">
        <v>1079</v>
      </c>
      <c r="E110">
        <v>1142</v>
      </c>
      <c r="F110" t="s">
        <v>5110</v>
      </c>
      <c r="G110" t="s">
        <v>5111</v>
      </c>
      <c r="H110" t="s">
        <v>4639</v>
      </c>
      <c r="I110" t="s">
        <v>4645</v>
      </c>
      <c r="J110" t="str">
        <f>_xlfn.XLOOKUP(autorest[[#This Row],[language_es]],idiomast[language_es],idiomast[language_la])</f>
        <v>Lingua Latina</v>
      </c>
      <c r="K110" t="s">
        <v>5112</v>
      </c>
      <c r="M110" t="str">
        <f>_xlfn.XLOOKUP(autorest[[#This Row],[language_es]],idiomast[language_es],idiomast[iso3691])</f>
        <v>la</v>
      </c>
      <c r="N110" t="str">
        <f>_xlfn.XLOOKUP(autorest[[#This Row],[nation_es]],nacionest[nation_es],nacionest[nation_la])</f>
        <v>Francia</v>
      </c>
      <c r="O110" t="str">
        <f t="array" ref="O110">IF(ISBLANK(autorest[[#This Row],[year_birth]]),"Epoca Desconocida",IFERROR(INDEX(epocast[age_es],MATCH(1,(autorest[[#This Row],[year_birth]]&gt;=epocast[year_start])*(autorest[[#This Row],[year_birth]]&lt;=epocast[year_end]),0)),"Epoca Desconocida"))</f>
        <v>Edad Media</v>
      </c>
      <c r="P110" t="str">
        <f>_xlfn.XLOOKUP(autorest[[#This Row],[age_es]],epocast[age_es],epocast[age_la])</f>
        <v>Medium Aevum</v>
      </c>
    </row>
    <row r="111" spans="1:16">
      <c r="A111">
        <v>109</v>
      </c>
      <c r="B111" t="s">
        <v>4315</v>
      </c>
      <c r="C111" t="s">
        <v>5113</v>
      </c>
      <c r="D111">
        <v>480</v>
      </c>
      <c r="E111">
        <v>524</v>
      </c>
      <c r="F111" t="s">
        <v>5114</v>
      </c>
      <c r="G111" t="s">
        <v>5115</v>
      </c>
      <c r="H111" t="s">
        <v>4639</v>
      </c>
      <c r="I111" t="s">
        <v>4640</v>
      </c>
      <c r="J111" t="str">
        <f>_xlfn.XLOOKUP(autorest[[#This Row],[language_es]],idiomast[language_es],idiomast[language_la])</f>
        <v>Lingua Latina</v>
      </c>
      <c r="K111" t="s">
        <v>5116</v>
      </c>
      <c r="M111" t="str">
        <f>_xlfn.XLOOKUP(autorest[[#This Row],[language_es]],idiomast[language_es],idiomast[iso3691])</f>
        <v>la</v>
      </c>
      <c r="N111" t="str">
        <f>_xlfn.XLOOKUP(autorest[[#This Row],[nation_es]],nacionest[nation_es],nacionest[nation_la])</f>
        <v>Roma</v>
      </c>
      <c r="O111" t="str">
        <f t="array" ref="O111">IF(ISBLANK(autorest[[#This Row],[year_birth]]),"Epoca Desconocida",IFERROR(INDEX(epocast[age_es],MATCH(1,(autorest[[#This Row],[year_birth]]&gt;=epocast[year_start])*(autorest[[#This Row],[year_birth]]&lt;=epocast[year_end]),0)),"Epoca Desconocida"))</f>
        <v>Edad Media</v>
      </c>
      <c r="P111" t="str">
        <f>_xlfn.XLOOKUP(autorest[[#This Row],[age_es]],epocast[age_es],epocast[age_la])</f>
        <v>Medium Aevum</v>
      </c>
    </row>
    <row r="112" spans="1:16">
      <c r="A112">
        <v>110</v>
      </c>
      <c r="B112" t="s">
        <v>4377</v>
      </c>
      <c r="C112" t="s">
        <v>5117</v>
      </c>
      <c r="D112">
        <v>1266</v>
      </c>
      <c r="E112">
        <v>1308</v>
      </c>
      <c r="F112" t="s">
        <v>5118</v>
      </c>
      <c r="G112" t="s">
        <v>5119</v>
      </c>
      <c r="H112" t="s">
        <v>4639</v>
      </c>
      <c r="I112" t="s">
        <v>4651</v>
      </c>
      <c r="J112" t="str">
        <f>_xlfn.XLOOKUP(autorest[[#This Row],[language_es]],idiomast[language_es],idiomast[language_la])</f>
        <v>Lingua Latina</v>
      </c>
      <c r="K112" t="s">
        <v>5120</v>
      </c>
      <c r="M112" t="str">
        <f>_xlfn.XLOOKUP(autorest[[#This Row],[language_es]],idiomast[language_es],idiomast[iso3691])</f>
        <v>la</v>
      </c>
      <c r="N112" t="str">
        <f>_xlfn.XLOOKUP(autorest[[#This Row],[nation_es]],nacionest[nation_es],nacionest[nation_la])</f>
        <v>Regnum Unitum</v>
      </c>
      <c r="O112" t="str">
        <f t="array" ref="O112">IF(ISBLANK(autorest[[#This Row],[year_birth]]),"Epoca Desconocida",IFERROR(INDEX(epocast[age_es],MATCH(1,(autorest[[#This Row],[year_birth]]&gt;=epocast[year_start])*(autorest[[#This Row],[year_birth]]&lt;=epocast[year_end]),0)),"Epoca Desconocida"))</f>
        <v>Edad Media</v>
      </c>
      <c r="P112" t="str">
        <f>_xlfn.XLOOKUP(autorest[[#This Row],[age_es]],epocast[age_es],epocast[age_la])</f>
        <v>Medium Aevum</v>
      </c>
    </row>
    <row r="113" spans="1:16">
      <c r="A113">
        <v>111</v>
      </c>
      <c r="B113" t="s">
        <v>4417</v>
      </c>
      <c r="C113" t="s">
        <v>5121</v>
      </c>
      <c r="D113">
        <v>1098</v>
      </c>
      <c r="E113">
        <v>1179</v>
      </c>
      <c r="F113" t="s">
        <v>5122</v>
      </c>
      <c r="G113" t="s">
        <v>5123</v>
      </c>
      <c r="H113" t="s">
        <v>4639</v>
      </c>
      <c r="I113" t="s">
        <v>4737</v>
      </c>
      <c r="J113" t="str">
        <f>_xlfn.XLOOKUP(autorest[[#This Row],[language_es]],idiomast[language_es],idiomast[language_la])</f>
        <v>Lingua Latina</v>
      </c>
      <c r="K113" t="s">
        <v>5124</v>
      </c>
      <c r="M113" t="str">
        <f>_xlfn.XLOOKUP(autorest[[#This Row],[language_es]],idiomast[language_es],idiomast[iso3691])</f>
        <v>la</v>
      </c>
      <c r="N113" t="str">
        <f>_xlfn.XLOOKUP(autorest[[#This Row],[nation_es]],nacionest[nation_es],nacionest[nation_la])</f>
        <v>Germania</v>
      </c>
      <c r="O113" t="str">
        <f t="array" ref="O113">IF(ISBLANK(autorest[[#This Row],[year_birth]]),"Epoca Desconocida",IFERROR(INDEX(epocast[age_es],MATCH(1,(autorest[[#This Row],[year_birth]]&gt;=epocast[year_start])*(autorest[[#This Row],[year_birth]]&lt;=epocast[year_end]),0)),"Epoca Desconocida"))</f>
        <v>Edad Media</v>
      </c>
      <c r="P113" t="str">
        <f>_xlfn.XLOOKUP(autorest[[#This Row],[age_es]],epocast[age_es],epocast[age_la])</f>
        <v>Medium Aevum</v>
      </c>
    </row>
    <row r="114" spans="1:16">
      <c r="A114">
        <v>112</v>
      </c>
      <c r="B114" t="s">
        <v>4443</v>
      </c>
      <c r="C114" t="s">
        <v>5125</v>
      </c>
      <c r="D114">
        <v>1260</v>
      </c>
      <c r="E114">
        <v>1328</v>
      </c>
      <c r="F114" t="s">
        <v>5126</v>
      </c>
      <c r="G114" t="s">
        <v>5127</v>
      </c>
      <c r="H114" t="s">
        <v>4639</v>
      </c>
      <c r="I114" t="s">
        <v>4737</v>
      </c>
      <c r="J114" t="str">
        <f>_xlfn.XLOOKUP(autorest[[#This Row],[language_es]],idiomast[language_es],idiomast[language_la])</f>
        <v>Lingua Latina</v>
      </c>
      <c r="K114" t="s">
        <v>5128</v>
      </c>
      <c r="M114" t="str">
        <f>_xlfn.XLOOKUP(autorest[[#This Row],[language_es]],idiomast[language_es],idiomast[iso3691])</f>
        <v>la</v>
      </c>
      <c r="N114" t="str">
        <f>_xlfn.XLOOKUP(autorest[[#This Row],[nation_es]],nacionest[nation_es],nacionest[nation_la])</f>
        <v>Germania</v>
      </c>
      <c r="O114" t="str">
        <f t="array" ref="O114">IF(ISBLANK(autorest[[#This Row],[year_birth]]),"Epoca Desconocida",IFERROR(INDEX(epocast[age_es],MATCH(1,(autorest[[#This Row],[year_birth]]&gt;=epocast[year_start])*(autorest[[#This Row],[year_birth]]&lt;=epocast[year_end]),0)),"Epoca Desconocida"))</f>
        <v>Edad Media</v>
      </c>
      <c r="P114" t="str">
        <f>_xlfn.XLOOKUP(autorest[[#This Row],[age_es]],epocast[age_es],epocast[age_la])</f>
        <v>Medium Aevum</v>
      </c>
    </row>
    <row r="115" spans="1:16">
      <c r="A115">
        <v>113</v>
      </c>
      <c r="B115" t="s">
        <v>4487</v>
      </c>
      <c r="C115" t="s">
        <v>5129</v>
      </c>
      <c r="D115">
        <v>1491</v>
      </c>
      <c r="E115">
        <v>1556</v>
      </c>
      <c r="F115" t="s">
        <v>5130</v>
      </c>
      <c r="G115" t="s">
        <v>5131</v>
      </c>
      <c r="H115" t="s">
        <v>4699</v>
      </c>
      <c r="I115" t="s">
        <v>4700</v>
      </c>
      <c r="J115" t="str">
        <f>_xlfn.XLOOKUP(autorest[[#This Row],[language_es]],idiomast[language_es],idiomast[language_la])</f>
        <v>Lingua Hispanica</v>
      </c>
      <c r="K115" t="s">
        <v>5132</v>
      </c>
      <c r="M115" t="str">
        <f>_xlfn.XLOOKUP(autorest[[#This Row],[language_es]],idiomast[language_es],idiomast[iso3691])</f>
        <v>es</v>
      </c>
      <c r="N115" t="str">
        <f>_xlfn.XLOOKUP(autorest[[#This Row],[nation_es]],nacionest[nation_es],nacionest[nation_la])</f>
        <v>Hispania</v>
      </c>
      <c r="O115" t="str">
        <f t="array" ref="O115">IF(ISBLANK(autorest[[#This Row],[year_birth]]),"Epoca Desconocida",IFERROR(INDEX(epocast[age_es],MATCH(1,(autorest[[#This Row],[year_birth]]&gt;=epocast[year_start])*(autorest[[#This Row],[year_birth]]&lt;=epocast[year_end]),0)),"Epoca Desconocida"))</f>
        <v>Edad Media</v>
      </c>
      <c r="P115" t="str">
        <f>_xlfn.XLOOKUP(autorest[[#This Row],[age_es]],epocast[age_es],epocast[age_la])</f>
        <v>Medium Aevum</v>
      </c>
    </row>
    <row r="116" spans="1:16">
      <c r="A116">
        <v>114</v>
      </c>
      <c r="B116" t="s">
        <v>4477</v>
      </c>
      <c r="C116" t="s">
        <v>5133</v>
      </c>
      <c r="D116">
        <v>1506</v>
      </c>
      <c r="E116">
        <v>1552</v>
      </c>
      <c r="F116" t="s">
        <v>5134</v>
      </c>
      <c r="G116" t="s">
        <v>5135</v>
      </c>
      <c r="H116" t="s">
        <v>4699</v>
      </c>
      <c r="I116" t="s">
        <v>4700</v>
      </c>
      <c r="J116" t="str">
        <f>_xlfn.XLOOKUP(autorest[[#This Row],[language_es]],idiomast[language_es],idiomast[language_la])</f>
        <v>Lingua Hispanica</v>
      </c>
      <c r="K116" t="s">
        <v>5136</v>
      </c>
      <c r="M116" t="str">
        <f>_xlfn.XLOOKUP(autorest[[#This Row],[language_es]],idiomast[language_es],idiomast[iso3691])</f>
        <v>es</v>
      </c>
      <c r="N116" t="str">
        <f>_xlfn.XLOOKUP(autorest[[#This Row],[nation_es]],nacionest[nation_es],nacionest[nation_la])</f>
        <v>Hispania</v>
      </c>
      <c r="O116" t="str">
        <f t="array" ref="O116">IF(ISBLANK(autorest[[#This Row],[year_birth]]),"Epoca Desconocida",IFERROR(INDEX(epocast[age_es],MATCH(1,(autorest[[#This Row],[year_birth]]&gt;=epocast[year_start])*(autorest[[#This Row],[year_birth]]&lt;=epocast[year_end]),0)),"Epoca Desconocida"))</f>
        <v>Edad Moderna</v>
      </c>
      <c r="P116" t="str">
        <f>_xlfn.XLOOKUP(autorest[[#This Row],[age_es]],epocast[age_es],epocast[age_la])</f>
        <v>Nova Aetas</v>
      </c>
    </row>
    <row r="117" spans="1:16">
      <c r="A117">
        <v>115</v>
      </c>
      <c r="B117" t="s">
        <v>4518</v>
      </c>
      <c r="C117" t="s">
        <v>5137</v>
      </c>
      <c r="D117">
        <v>-800</v>
      </c>
      <c r="E117">
        <v>-750</v>
      </c>
      <c r="F117" t="s">
        <v>5138</v>
      </c>
      <c r="G117" t="s">
        <v>5139</v>
      </c>
      <c r="H117" t="s">
        <v>4824</v>
      </c>
      <c r="I117" t="s">
        <v>4714</v>
      </c>
      <c r="J117" t="str">
        <f>_xlfn.XLOOKUP(autorest[[#This Row],[language_es]],idiomast[language_es],idiomast[language_la])</f>
        <v>Lingua Graeca</v>
      </c>
      <c r="K117" t="s">
        <v>5140</v>
      </c>
      <c r="L117" s="6"/>
      <c r="M117" t="str">
        <f>_xlfn.XLOOKUP(autorest[[#This Row],[language_es]],idiomast[language_es],idiomast[iso3691])</f>
        <v>el</v>
      </c>
      <c r="N117" t="str">
        <f>_xlfn.XLOOKUP(autorest[[#This Row],[nation_es]],nacionest[nation_es],nacionest[nation_la])</f>
        <v>Graecia</v>
      </c>
      <c r="O117" t="str">
        <f t="array" ref="O117">IF(ISBLANK(autorest[[#This Row],[year_birth]]),"Epoca Desconocida",IFERROR(INDEX(epocast[age_es],MATCH(1,(autorest[[#This Row],[year_birth]]&gt;=epocast[year_start])*(autorest[[#This Row],[year_birth]]&lt;=epocast[year_end]),0)),"Epoca Desconocida"))</f>
        <v>Edad Antigua</v>
      </c>
      <c r="P117" t="str">
        <f>_xlfn.XLOOKUP(autorest[[#This Row],[age_es]],epocast[age_es],epocast[age_la])</f>
        <v>Antiquitas</v>
      </c>
    </row>
    <row r="118" spans="1:16">
      <c r="A118">
        <v>116</v>
      </c>
      <c r="B118" t="s">
        <v>40</v>
      </c>
      <c r="C118" t="s">
        <v>5141</v>
      </c>
      <c r="D118">
        <v>-1000</v>
      </c>
      <c r="E118">
        <v>95</v>
      </c>
      <c r="F118" t="s">
        <v>5142</v>
      </c>
      <c r="G118" t="s">
        <v>5143</v>
      </c>
      <c r="H118" t="s">
        <v>4665</v>
      </c>
      <c r="I118" t="s">
        <v>4666</v>
      </c>
      <c r="J118" t="str">
        <f>_xlfn.XLOOKUP(autorest[[#This Row],[language_es]],idiomast[language_es],idiomast[language_la])</f>
        <v>Lingua Hebraica</v>
      </c>
      <c r="K118" t="s">
        <v>5144</v>
      </c>
      <c r="L118" s="6"/>
      <c r="M118" t="str">
        <f>_xlfn.XLOOKUP(autorest[[#This Row],[language_es]],idiomast[language_es],idiomast[iso3691])</f>
        <v>he</v>
      </c>
      <c r="N118" t="str">
        <f>_xlfn.XLOOKUP(autorest[[#This Row],[nation_es]],nacionest[nation_es],nacionest[nation_la])</f>
        <v>Israel</v>
      </c>
      <c r="O118" t="str">
        <f t="array" ref="O118">IF(ISBLANK(autorest[[#This Row],[year_birth]]),"Epoca Desconocida",IFERROR(INDEX(epocast[age_es],MATCH(1,(autorest[[#This Row],[year_birth]]&gt;=epocast[year_start])*(autorest[[#This Row],[year_birth]]&lt;=epocast[year_end]),0)),"Epoca Desconocida"))</f>
        <v>Edad Antigua</v>
      </c>
      <c r="P118" t="str">
        <f>_xlfn.XLOOKUP(autorest[[#This Row],[age_es]],epocast[age_es],epocast[age_la])</f>
        <v>Antiquitas</v>
      </c>
    </row>
    <row r="119" spans="1:16">
      <c r="A119">
        <v>117</v>
      </c>
      <c r="B119" t="s">
        <v>5145</v>
      </c>
      <c r="C119" t="s">
        <v>5146</v>
      </c>
      <c r="D119">
        <v>-70</v>
      </c>
      <c r="E119">
        <v>-19</v>
      </c>
      <c r="F119" t="s">
        <v>5147</v>
      </c>
      <c r="G119" t="s">
        <v>5148</v>
      </c>
      <c r="H119" t="s">
        <v>4639</v>
      </c>
      <c r="I119" t="s">
        <v>4732</v>
      </c>
      <c r="J119" t="str">
        <f>_xlfn.XLOOKUP(autorest[[#This Row],[language_es]],idiomast[language_es],idiomast[language_la])</f>
        <v>Lingua Latina</v>
      </c>
      <c r="K119" t="s">
        <v>5149</v>
      </c>
      <c r="L119" s="6"/>
      <c r="M119" t="str">
        <f>_xlfn.XLOOKUP(autorest[[#This Row],[language_es]],idiomast[language_es],idiomast[iso3691])</f>
        <v>la</v>
      </c>
      <c r="N119" t="str">
        <f>_xlfn.XLOOKUP(autorest[[#This Row],[nation_es]],nacionest[nation_es],nacionest[nation_la])</f>
        <v>Italia</v>
      </c>
      <c r="O119" t="str">
        <f t="array" ref="O119">IF(ISBLANK(autorest[[#This Row],[year_birth]]),"Epoca Desconocida",IFERROR(INDEX(epocast[age_es],MATCH(1,(autorest[[#This Row],[year_birth]]&gt;=epocast[year_start])*(autorest[[#This Row],[year_birth]]&lt;=epocast[year_end]),0)),"Epoca Desconocida"))</f>
        <v>Edad Antigua</v>
      </c>
      <c r="P119" t="str">
        <f>_xlfn.XLOOKUP(autorest[[#This Row],[age_es]],epocast[age_es],epocast[age_la])</f>
        <v>Antiquitas</v>
      </c>
    </row>
    <row r="120" spans="1:16">
      <c r="A120">
        <v>118</v>
      </c>
      <c r="B120" t="s">
        <v>5150</v>
      </c>
      <c r="C120" t="s">
        <v>5151</v>
      </c>
      <c r="D120">
        <v>-500</v>
      </c>
      <c r="E120">
        <v>476</v>
      </c>
      <c r="F120" t="s">
        <v>5152</v>
      </c>
      <c r="G120" t="s">
        <v>5153</v>
      </c>
      <c r="H120" t="s">
        <v>4639</v>
      </c>
      <c r="I120" t="s">
        <v>4640</v>
      </c>
      <c r="J120" t="str">
        <f>_xlfn.XLOOKUP(autorest[[#This Row],[language_es]],idiomast[language_es],idiomast[language_la])</f>
        <v>Lingua Latina</v>
      </c>
      <c r="K120" s="6" t="s">
        <v>5154</v>
      </c>
      <c r="L120" s="6"/>
      <c r="M120" t="str">
        <f>_xlfn.XLOOKUP(autorest[[#This Row],[language_es]],idiomast[language_es],idiomast[iso3691])</f>
        <v>la</v>
      </c>
      <c r="N120" t="str">
        <f>_xlfn.XLOOKUP(autorest[[#This Row],[nation_es]],nacionest[nation_es],nacionest[nation_la])</f>
        <v>Roma</v>
      </c>
      <c r="O120" t="str">
        <f t="array" ref="O120">IF(ISBLANK(autorest[[#This Row],[year_birth]]),"Epoca Desconocida",IFERROR(INDEX(epocast[age_es],MATCH(1,(autorest[[#This Row],[year_birth]]&gt;=epocast[year_start])*(autorest[[#This Row],[year_birth]]&lt;=epocast[year_end]),0)),"Epoca Desconocida"))</f>
        <v>Edad Antigua</v>
      </c>
      <c r="P120" t="str">
        <f>_xlfn.XLOOKUP(autorest[[#This Row],[age_es]],epocast[age_es],epocast[age_la])</f>
        <v>Antiquitas</v>
      </c>
    </row>
    <row r="121" spans="1:16">
      <c r="A121">
        <v>119</v>
      </c>
      <c r="B121" t="s">
        <v>122</v>
      </c>
      <c r="C121" t="s">
        <v>5155</v>
      </c>
      <c r="D121">
        <v>56</v>
      </c>
      <c r="E121">
        <v>120</v>
      </c>
      <c r="F121" t="s">
        <v>5156</v>
      </c>
      <c r="G121" t="s">
        <v>5157</v>
      </c>
      <c r="H121" t="s">
        <v>4639</v>
      </c>
      <c r="I121" t="s">
        <v>4640</v>
      </c>
      <c r="J121" t="str">
        <f>_xlfn.XLOOKUP(autorest[[#This Row],[language_es]],idiomast[language_es],idiomast[language_la])</f>
        <v>Lingua Latina</v>
      </c>
      <c r="K121" t="s">
        <v>5158</v>
      </c>
      <c r="L121" s="6"/>
      <c r="M121" t="str">
        <f>_xlfn.XLOOKUP(autorest[[#This Row],[language_es]],idiomast[language_es],idiomast[iso3691])</f>
        <v>la</v>
      </c>
      <c r="N121" t="str">
        <f>_xlfn.XLOOKUP(autorest[[#This Row],[nation_es]],nacionest[nation_es],nacionest[nation_la])</f>
        <v>Roma</v>
      </c>
      <c r="O121" t="str">
        <f t="array" ref="O121">IF(ISBLANK(autorest[[#This Row],[year_birth]]),"Epoca Desconocida",IFERROR(INDEX(epocast[age_es],MATCH(1,(autorest[[#This Row],[year_birth]]&gt;=epocast[year_start])*(autorest[[#This Row],[year_birth]]&lt;=epocast[year_end]),0)),"Epoca Desconocida"))</f>
        <v>Edad Antigua</v>
      </c>
      <c r="P121" t="str">
        <f>_xlfn.XLOOKUP(autorest[[#This Row],[age_es]],epocast[age_es],epocast[age_la])</f>
        <v>Antiquitas</v>
      </c>
    </row>
    <row r="122" spans="1:16">
      <c r="A122">
        <v>120</v>
      </c>
      <c r="B122" t="s">
        <v>4562</v>
      </c>
      <c r="C122" t="s">
        <v>5159</v>
      </c>
      <c r="D122">
        <v>1694</v>
      </c>
      <c r="E122">
        <v>1778</v>
      </c>
      <c r="F122" t="s">
        <v>5160</v>
      </c>
      <c r="G122" t="s">
        <v>5161</v>
      </c>
      <c r="H122" t="s">
        <v>4688</v>
      </c>
      <c r="I122" t="s">
        <v>4645</v>
      </c>
      <c r="J122" t="s">
        <v>5162</v>
      </c>
      <c r="K122" t="s">
        <v>5163</v>
      </c>
      <c r="L122" s="6"/>
      <c r="M122" t="str">
        <f>_xlfn.XLOOKUP(autorest[[#This Row],[language_es]],idiomast[language_es],idiomast[iso3691])</f>
        <v>fr</v>
      </c>
      <c r="N122" t="str">
        <f>_xlfn.XLOOKUP(autorest[[#This Row],[nation_es]],nacionest[nation_es],nacionest[nation_la])</f>
        <v>Francia</v>
      </c>
      <c r="O122" t="str">
        <f t="array" ref="O122">IF(ISBLANK(autorest[[#This Row],[year_birth]]),"Epoca Desconocida",IFERROR(INDEX(epocast[age_es],MATCH(1,(autorest[[#This Row],[year_birth]]&gt;=epocast[year_start])*(autorest[[#This Row],[year_birth]]&lt;=epocast[year_end]),0)),"Epoca Desconocida"))</f>
        <v>Edad Moderna</v>
      </c>
      <c r="P122" t="str">
        <f>_xlfn.XLOOKUP(autorest[[#This Row],[age_es]],epocast[age_es],epocast[age_la])</f>
        <v>Nova Aetas</v>
      </c>
    </row>
    <row r="123" spans="1:16">
      <c r="A123">
        <v>121</v>
      </c>
      <c r="B123" s="5" t="s">
        <v>4594</v>
      </c>
      <c r="C123" s="5" t="s">
        <v>4594</v>
      </c>
      <c r="D123" s="5">
        <v>1959</v>
      </c>
      <c r="E123" s="5"/>
      <c r="F123" s="5" t="s">
        <v>5164</v>
      </c>
      <c r="G123" s="5" t="s">
        <v>5165</v>
      </c>
      <c r="H123" s="5" t="s">
        <v>4699</v>
      </c>
      <c r="I123" s="5" t="s">
        <v>4700</v>
      </c>
      <c r="J123" t="str">
        <f>_xlfn.XLOOKUP(autorest[[#This Row],[language_es]],idiomast[language_es],idiomast[language_la])</f>
        <v>Lingua Hispanica</v>
      </c>
      <c r="K123" t="s">
        <v>5166</v>
      </c>
      <c r="L123" s="6"/>
      <c r="M123" t="str">
        <f>_xlfn.XLOOKUP(autorest[[#This Row],[language_es]],idiomast[language_es],idiomast[iso3691])</f>
        <v>es</v>
      </c>
      <c r="N123" t="str">
        <f>_xlfn.XLOOKUP(autorest[[#This Row],[nation_es]],nacionest[nation_es],nacionest[nation_la])</f>
        <v>Hispania</v>
      </c>
      <c r="O123" t="str">
        <f t="array" ref="O123">IF(ISBLANK(autorest[[#This Row],[year_birth]]),"Epoca Desconocida",IFERROR(INDEX(epocast[age_es],MATCH(1,(autorest[[#This Row],[year_birth]]&gt;=epocast[year_start])*(autorest[[#This Row],[year_birth]]&lt;=epocast[year_end]),0)),"Epoca Desconocida"))</f>
        <v>Edad Contemporánea</v>
      </c>
      <c r="P123" t="str">
        <f>_xlfn.XLOOKUP(autorest[[#This Row],[age_es]],epocast[age_es],epocast[age_la])</f>
        <v>Aetas Contemporanea</v>
      </c>
    </row>
    <row r="124" spans="1:16">
      <c r="A124">
        <v>122</v>
      </c>
      <c r="B124" t="s">
        <v>4619</v>
      </c>
      <c r="C124" t="s">
        <v>5167</v>
      </c>
      <c r="D124">
        <v>1807</v>
      </c>
      <c r="E124">
        <v>1870</v>
      </c>
      <c r="F124" t="s">
        <v>5168</v>
      </c>
      <c r="G124" t="s">
        <v>5169</v>
      </c>
      <c r="H124" t="s">
        <v>4699</v>
      </c>
      <c r="I124" t="s">
        <v>4700</v>
      </c>
      <c r="J124" t="str">
        <f>_xlfn.XLOOKUP(autorest[[#This Row],[language_es]],idiomast[language_es],idiomast[language_la])</f>
        <v>Lingua Hispanica</v>
      </c>
      <c r="K124" t="s">
        <v>5170</v>
      </c>
      <c r="L124" s="6"/>
      <c r="M124" t="str">
        <f>_xlfn.XLOOKUP(autorest[[#This Row],[language_es]],idiomast[language_es],idiomast[iso3691])</f>
        <v>es</v>
      </c>
      <c r="N124" t="str">
        <f>_xlfn.XLOOKUP(autorest[[#This Row],[nation_es]],nacionest[nation_es],nacionest[nation_la])</f>
        <v>Hispania</v>
      </c>
      <c r="O124" t="str">
        <f t="array" ref="O124">IF(ISBLANK(autorest[[#This Row],[year_birth]]),"Epoca Desconocida",IFERROR(INDEX(epocast[age_es],MATCH(1,(autorest[[#This Row],[year_birth]]&gt;=epocast[year_start])*(autorest[[#This Row],[year_birth]]&lt;=epocast[year_end]),0)),"Epoca Desconocida"))</f>
        <v>Edad Contemporánea</v>
      </c>
      <c r="P124" t="str">
        <f>_xlfn.XLOOKUP(autorest[[#This Row],[age_es]],epocast[age_es],epocast[age_la])</f>
        <v>Aetas Contemporanea</v>
      </c>
    </row>
    <row r="125" spans="1:16">
      <c r="A125">
        <v>123</v>
      </c>
      <c r="B125" t="s">
        <v>5381</v>
      </c>
      <c r="C125" t="s">
        <v>5382</v>
      </c>
      <c r="D125">
        <v>1950</v>
      </c>
      <c r="E125" t="s">
        <v>5383</v>
      </c>
      <c r="F125" t="s">
        <v>5384</v>
      </c>
      <c r="G125" t="s">
        <v>5385</v>
      </c>
      <c r="H125" t="s">
        <v>4650</v>
      </c>
      <c r="I125" t="s">
        <v>4671</v>
      </c>
      <c r="J125" t="str">
        <f>_xlfn.XLOOKUP(autorest[[#This Row],[language_es]],idiomast[language_es],idiomast[language_la])</f>
        <v>Lingua Anglica</v>
      </c>
      <c r="M125" t="str">
        <f>_xlfn.XLOOKUP(autorest[[#This Row],[language_es]],idiomast[language_es],idiomast[iso3691])</f>
        <v>en</v>
      </c>
      <c r="N125" t="str">
        <f>_xlfn.XLOOKUP(autorest[[#This Row],[nation_es]],nacionest[nation_es],nacionest[nation_la])</f>
        <v>Civitates Foederatae Americae</v>
      </c>
      <c r="O125" t="str">
        <f t="array" ref="O125">IF(ISBLANK(autorest[[#This Row],[year_birth]]),"Epoca Desconocida",IFERROR(INDEX(epocast[age_es],MATCH(1,(autorest[[#This Row],[year_birth]]&gt;=epocast[year_start])*(autorest[[#This Row],[year_birth]]&lt;=epocast[year_end]),0)),"Epoca Desconocida"))</f>
        <v>Edad Contemporánea</v>
      </c>
      <c r="P125" t="str">
        <f>_xlfn.XLOOKUP(autorest[[#This Row],[age_es]],epocast[age_es],epocast[age_la])</f>
        <v>Aetas Contemporanea</v>
      </c>
    </row>
  </sheetData>
  <dataValidations count="2">
    <dataValidation type="list" allowBlank="1" showInputMessage="1" showErrorMessage="1" sqref="H2:H125" xr:uid="{00000000-0002-0000-0100-000000000000}">
      <formula1>INDIRECT("'idiomas'!idiomast[idioma_es]")</formula1>
      <formula2>0</formula2>
    </dataValidation>
    <dataValidation type="list" allowBlank="1" showInputMessage="1" showErrorMessage="1" sqref="I2:I125" xr:uid="{00000000-0002-0000-0100-000001000000}">
      <formula1>INDIRECT("'naciones'!nacionest[nacion_es]")</formula1>
      <formula2>0</formula2>
    </dataValidation>
  </dataValidations>
  <hyperlinks>
    <hyperlink ref="K2" r:id="rId1" xr:uid="{00000000-0004-0000-0100-000000000000}"/>
    <hyperlink ref="K3" r:id="rId2" xr:uid="{00000000-0004-0000-0100-000001000000}"/>
    <hyperlink ref="K4" r:id="rId3" xr:uid="{00000000-0004-0000-0100-000002000000}"/>
    <hyperlink ref="K5" r:id="rId4" xr:uid="{00000000-0004-0000-0100-000003000000}"/>
    <hyperlink ref="K6" r:id="rId5" xr:uid="{00000000-0004-0000-0100-000004000000}"/>
    <hyperlink ref="K7" r:id="rId6" xr:uid="{00000000-0004-0000-0100-000005000000}"/>
    <hyperlink ref="K8" r:id="rId7" xr:uid="{00000000-0004-0000-0100-000006000000}"/>
    <hyperlink ref="K9" r:id="rId8" xr:uid="{00000000-0004-0000-0100-000007000000}"/>
    <hyperlink ref="K10" r:id="rId9" xr:uid="{00000000-0004-0000-0100-000008000000}"/>
    <hyperlink ref="K11" r:id="rId10" xr:uid="{00000000-0004-0000-0100-000009000000}"/>
    <hyperlink ref="K15" r:id="rId11" xr:uid="{00000000-0004-0000-0100-00000A000000}"/>
    <hyperlink ref="K16" r:id="rId12" xr:uid="{00000000-0004-0000-0100-00000B000000}"/>
    <hyperlink ref="K17" r:id="rId13" xr:uid="{00000000-0004-0000-0100-00000C000000}"/>
    <hyperlink ref="K18" r:id="rId14" xr:uid="{00000000-0004-0000-0100-00000D000000}"/>
    <hyperlink ref="K19" r:id="rId15" xr:uid="{00000000-0004-0000-0100-00000E000000}"/>
    <hyperlink ref="K20" r:id="rId16" xr:uid="{00000000-0004-0000-0100-00000F000000}"/>
    <hyperlink ref="K21" r:id="rId17" xr:uid="{00000000-0004-0000-0100-000010000000}"/>
    <hyperlink ref="K22" r:id="rId18" xr:uid="{00000000-0004-0000-0100-000011000000}"/>
    <hyperlink ref="K23" r:id="rId19" xr:uid="{00000000-0004-0000-0100-000012000000}"/>
    <hyperlink ref="K24" r:id="rId20" xr:uid="{00000000-0004-0000-0100-000013000000}"/>
    <hyperlink ref="K25" r:id="rId21" xr:uid="{00000000-0004-0000-0100-000014000000}"/>
    <hyperlink ref="K27" r:id="rId22" xr:uid="{00000000-0004-0000-0100-000015000000}"/>
    <hyperlink ref="K28" r:id="rId23" xr:uid="{00000000-0004-0000-0100-000016000000}"/>
    <hyperlink ref="K29" r:id="rId24" xr:uid="{00000000-0004-0000-0100-000017000000}"/>
    <hyperlink ref="K30" r:id="rId25" xr:uid="{00000000-0004-0000-0100-000018000000}"/>
    <hyperlink ref="K31" r:id="rId26" xr:uid="{00000000-0004-0000-0100-000019000000}"/>
    <hyperlink ref="K32" r:id="rId27" xr:uid="{00000000-0004-0000-0100-00001A000000}"/>
    <hyperlink ref="K33" r:id="rId28" xr:uid="{00000000-0004-0000-0100-00001B000000}"/>
    <hyperlink ref="K34" r:id="rId29" xr:uid="{00000000-0004-0000-0100-00001C000000}"/>
    <hyperlink ref="K35" r:id="rId30" xr:uid="{00000000-0004-0000-0100-00001D000000}"/>
    <hyperlink ref="K36" r:id="rId31" xr:uid="{00000000-0004-0000-0100-00001E000000}"/>
    <hyperlink ref="K37" r:id="rId32" xr:uid="{00000000-0004-0000-0100-00001F000000}"/>
    <hyperlink ref="K38" r:id="rId33" xr:uid="{00000000-0004-0000-0100-000020000000}"/>
    <hyperlink ref="K39" r:id="rId34" xr:uid="{00000000-0004-0000-0100-000021000000}"/>
    <hyperlink ref="K40" r:id="rId35" xr:uid="{00000000-0004-0000-0100-000022000000}"/>
    <hyperlink ref="K41" r:id="rId36" xr:uid="{00000000-0004-0000-0100-000023000000}"/>
    <hyperlink ref="K120" r:id="rId37" xr:uid="{00000000-0004-0000-0100-000024000000}"/>
  </hyperlinks>
  <pageMargins left="0.7" right="0.7" top="0.75" bottom="0.75" header="0.511811023622047" footer="0.511811023622047"/>
  <pageSetup paperSize="9" orientation="portrait" horizontalDpi="300" verticalDpi="300"/>
  <tableParts count="1">
    <tablePart r:id="rId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4"/>
  <sheetViews>
    <sheetView zoomScaleNormal="100" workbookViewId="0">
      <selection sqref="A1:XFD1"/>
    </sheetView>
  </sheetViews>
  <sheetFormatPr baseColWidth="10" defaultColWidth="8.83203125" defaultRowHeight="13"/>
  <cols>
    <col min="1" max="1" width="12.1640625" customWidth="1"/>
    <col min="2" max="2" width="9.5" customWidth="1"/>
    <col min="3" max="3" width="12.5" customWidth="1"/>
    <col min="4" max="4" width="20.1640625" customWidth="1"/>
  </cols>
  <sheetData>
    <row r="1" spans="1:4">
      <c r="A1" t="s">
        <v>5171</v>
      </c>
      <c r="B1" t="s">
        <v>9</v>
      </c>
      <c r="C1" t="s">
        <v>10</v>
      </c>
      <c r="D1" t="s">
        <v>11</v>
      </c>
    </row>
    <row r="2" spans="1:4">
      <c r="A2">
        <v>1</v>
      </c>
      <c r="B2" t="s">
        <v>5172</v>
      </c>
      <c r="C2" t="s">
        <v>4699</v>
      </c>
      <c r="D2" t="s">
        <v>5173</v>
      </c>
    </row>
    <row r="3" spans="1:4">
      <c r="A3">
        <v>2</v>
      </c>
      <c r="B3" t="s">
        <v>5174</v>
      </c>
      <c r="C3" t="s">
        <v>4650</v>
      </c>
      <c r="D3" t="s">
        <v>5175</v>
      </c>
    </row>
    <row r="4" spans="1:4">
      <c r="A4">
        <v>3</v>
      </c>
      <c r="B4" t="s">
        <v>5176</v>
      </c>
      <c r="C4" t="s">
        <v>4688</v>
      </c>
      <c r="D4" t="s">
        <v>5162</v>
      </c>
    </row>
    <row r="5" spans="1:4">
      <c r="A5">
        <v>4</v>
      </c>
      <c r="B5" t="s">
        <v>5177</v>
      </c>
      <c r="C5" t="s">
        <v>4676</v>
      </c>
      <c r="D5" t="s">
        <v>5178</v>
      </c>
    </row>
    <row r="6" spans="1:4">
      <c r="A6">
        <v>5</v>
      </c>
      <c r="B6" t="s">
        <v>5179</v>
      </c>
      <c r="C6" t="s">
        <v>4639</v>
      </c>
      <c r="D6" t="s">
        <v>5180</v>
      </c>
    </row>
    <row r="7" spans="1:4">
      <c r="A7">
        <v>6</v>
      </c>
      <c r="B7" t="s">
        <v>5181</v>
      </c>
      <c r="C7" t="s">
        <v>4705</v>
      </c>
      <c r="D7" t="s">
        <v>5182</v>
      </c>
    </row>
    <row r="8" spans="1:4">
      <c r="A8">
        <v>7</v>
      </c>
      <c r="B8" t="s">
        <v>5183</v>
      </c>
      <c r="C8" t="s">
        <v>4682</v>
      </c>
      <c r="D8" t="s">
        <v>5184</v>
      </c>
    </row>
    <row r="9" spans="1:4">
      <c r="A9">
        <v>8</v>
      </c>
      <c r="B9" t="s">
        <v>5185</v>
      </c>
      <c r="C9" t="s">
        <v>4693</v>
      </c>
      <c r="D9" t="s">
        <v>5186</v>
      </c>
    </row>
    <row r="10" spans="1:4">
      <c r="A10">
        <v>9</v>
      </c>
      <c r="B10" t="s">
        <v>5187</v>
      </c>
      <c r="C10" t="s">
        <v>4736</v>
      </c>
      <c r="D10" t="s">
        <v>5188</v>
      </c>
    </row>
    <row r="11" spans="1:4">
      <c r="A11">
        <v>10</v>
      </c>
      <c r="B11" t="s">
        <v>5189</v>
      </c>
      <c r="C11" t="s">
        <v>4819</v>
      </c>
      <c r="D11" t="s">
        <v>5190</v>
      </c>
    </row>
    <row r="12" spans="1:4">
      <c r="A12">
        <v>11</v>
      </c>
      <c r="B12" t="s">
        <v>5191</v>
      </c>
      <c r="C12" t="s">
        <v>4948</v>
      </c>
      <c r="D12" t="s">
        <v>5192</v>
      </c>
    </row>
    <row r="13" spans="1:4">
      <c r="A13">
        <v>12</v>
      </c>
      <c r="B13" t="s">
        <v>5193</v>
      </c>
      <c r="C13" t="s">
        <v>4754</v>
      </c>
      <c r="D13" t="s">
        <v>5194</v>
      </c>
    </row>
    <row r="14" spans="1:4">
      <c r="A14">
        <v>13</v>
      </c>
      <c r="B14" t="s">
        <v>5195</v>
      </c>
      <c r="C14" t="s">
        <v>4760</v>
      </c>
      <c r="D14" t="s">
        <v>5196</v>
      </c>
    </row>
    <row r="15" spans="1:4">
      <c r="A15">
        <v>14</v>
      </c>
      <c r="B15" t="s">
        <v>5197</v>
      </c>
      <c r="C15" t="s">
        <v>4665</v>
      </c>
      <c r="D15" t="s">
        <v>5198</v>
      </c>
    </row>
    <row r="16" spans="1:4">
      <c r="A16">
        <v>15</v>
      </c>
      <c r="B16" t="s">
        <v>5199</v>
      </c>
      <c r="C16" t="s">
        <v>4813</v>
      </c>
      <c r="D16" t="s">
        <v>5200</v>
      </c>
    </row>
    <row r="17" spans="1:4">
      <c r="A17">
        <v>16</v>
      </c>
      <c r="B17" t="s">
        <v>5201</v>
      </c>
      <c r="C17" t="s">
        <v>4824</v>
      </c>
      <c r="D17" t="s">
        <v>5202</v>
      </c>
    </row>
    <row r="18" spans="1:4">
      <c r="A18">
        <v>17</v>
      </c>
      <c r="B18" t="s">
        <v>5203</v>
      </c>
      <c r="C18" t="s">
        <v>5204</v>
      </c>
      <c r="D18" t="s">
        <v>5205</v>
      </c>
    </row>
    <row r="19" spans="1:4">
      <c r="A19">
        <v>18</v>
      </c>
      <c r="B19" t="s">
        <v>5206</v>
      </c>
      <c r="C19" t="s">
        <v>5207</v>
      </c>
      <c r="D19" t="s">
        <v>5208</v>
      </c>
    </row>
    <row r="20" spans="1:4">
      <c r="A20">
        <v>19</v>
      </c>
      <c r="B20" t="s">
        <v>5209</v>
      </c>
      <c r="C20" t="s">
        <v>5210</v>
      </c>
      <c r="D20" t="s">
        <v>5211</v>
      </c>
    </row>
    <row r="21" spans="1:4">
      <c r="A21">
        <v>20</v>
      </c>
      <c r="B21" t="s">
        <v>5212</v>
      </c>
      <c r="C21" t="s">
        <v>5213</v>
      </c>
      <c r="D21" t="s">
        <v>5214</v>
      </c>
    </row>
    <row r="22" spans="1:4">
      <c r="A22">
        <v>21</v>
      </c>
      <c r="B22" t="s">
        <v>5215</v>
      </c>
      <c r="C22" t="s">
        <v>5216</v>
      </c>
      <c r="D22" t="s">
        <v>5217</v>
      </c>
    </row>
    <row r="23" spans="1:4">
      <c r="A23">
        <v>22</v>
      </c>
      <c r="B23" t="s">
        <v>5218</v>
      </c>
      <c r="C23" t="s">
        <v>5219</v>
      </c>
      <c r="D23" t="s">
        <v>5220</v>
      </c>
    </row>
    <row r="24" spans="1:4">
      <c r="A24">
        <v>23</v>
      </c>
      <c r="B24" t="s">
        <v>5221</v>
      </c>
      <c r="C24" t="s">
        <v>5222</v>
      </c>
      <c r="D24" t="s">
        <v>5223</v>
      </c>
    </row>
    <row r="25" spans="1:4">
      <c r="A25">
        <v>24</v>
      </c>
      <c r="B25" t="s">
        <v>5224</v>
      </c>
      <c r="C25" t="s">
        <v>5225</v>
      </c>
      <c r="D25" t="s">
        <v>5226</v>
      </c>
    </row>
    <row r="26" spans="1:4">
      <c r="A26">
        <v>25</v>
      </c>
      <c r="B26" t="s">
        <v>5227</v>
      </c>
      <c r="C26" t="s">
        <v>5228</v>
      </c>
      <c r="D26" t="s">
        <v>5229</v>
      </c>
    </row>
    <row r="27" spans="1:4">
      <c r="A27">
        <v>26</v>
      </c>
      <c r="B27" t="s">
        <v>5230</v>
      </c>
      <c r="C27" t="s">
        <v>5231</v>
      </c>
      <c r="D27" t="s">
        <v>5232</v>
      </c>
    </row>
    <row r="28" spans="1:4">
      <c r="A28">
        <v>27</v>
      </c>
      <c r="B28" t="s">
        <v>5233</v>
      </c>
      <c r="C28" t="s">
        <v>5234</v>
      </c>
      <c r="D28" t="s">
        <v>5235</v>
      </c>
    </row>
    <row r="29" spans="1:4">
      <c r="A29">
        <v>28</v>
      </c>
      <c r="B29" t="s">
        <v>5236</v>
      </c>
      <c r="C29" t="s">
        <v>5237</v>
      </c>
      <c r="D29" t="s">
        <v>5238</v>
      </c>
    </row>
    <row r="30" spans="1:4">
      <c r="A30">
        <v>29</v>
      </c>
      <c r="B30" t="s">
        <v>5239</v>
      </c>
      <c r="C30" t="s">
        <v>5240</v>
      </c>
      <c r="D30" t="s">
        <v>5241</v>
      </c>
    </row>
    <row r="31" spans="1:4">
      <c r="A31">
        <v>30</v>
      </c>
      <c r="B31" t="s">
        <v>5242</v>
      </c>
      <c r="C31" t="s">
        <v>5243</v>
      </c>
      <c r="D31" t="s">
        <v>5244</v>
      </c>
    </row>
    <row r="32" spans="1:4">
      <c r="A32">
        <v>31</v>
      </c>
      <c r="B32" t="s">
        <v>5245</v>
      </c>
      <c r="C32" t="s">
        <v>4977</v>
      </c>
      <c r="D32" t="s">
        <v>5246</v>
      </c>
    </row>
    <row r="33" spans="1:4">
      <c r="A33">
        <v>32</v>
      </c>
      <c r="B33" t="s">
        <v>5247</v>
      </c>
      <c r="C33" t="s">
        <v>5248</v>
      </c>
      <c r="D33" t="s">
        <v>5249</v>
      </c>
    </row>
    <row r="34" spans="1:4">
      <c r="A34">
        <v>33</v>
      </c>
      <c r="B34" t="s">
        <v>5250</v>
      </c>
      <c r="C34" t="s">
        <v>5251</v>
      </c>
      <c r="D34" t="s">
        <v>5252</v>
      </c>
    </row>
    <row r="35" spans="1:4">
      <c r="A35">
        <v>34</v>
      </c>
      <c r="B35" t="s">
        <v>5253</v>
      </c>
      <c r="C35" t="s">
        <v>5254</v>
      </c>
      <c r="D35" t="s">
        <v>5255</v>
      </c>
    </row>
    <row r="36" spans="1:4">
      <c r="A36">
        <v>35</v>
      </c>
      <c r="B36" t="s">
        <v>5256</v>
      </c>
      <c r="C36" t="s">
        <v>5257</v>
      </c>
      <c r="D36" t="s">
        <v>5258</v>
      </c>
    </row>
    <row r="37" spans="1:4">
      <c r="A37">
        <v>36</v>
      </c>
      <c r="B37" t="s">
        <v>5259</v>
      </c>
      <c r="C37" t="s">
        <v>5260</v>
      </c>
      <c r="D37" t="s">
        <v>5261</v>
      </c>
    </row>
    <row r="38" spans="1:4">
      <c r="A38">
        <v>37</v>
      </c>
      <c r="B38" t="s">
        <v>5262</v>
      </c>
      <c r="C38" t="s">
        <v>5263</v>
      </c>
      <c r="D38" t="s">
        <v>5264</v>
      </c>
    </row>
    <row r="39" spans="1:4">
      <c r="A39">
        <v>38</v>
      </c>
      <c r="B39" t="s">
        <v>5265</v>
      </c>
      <c r="C39" t="s">
        <v>5266</v>
      </c>
      <c r="D39" t="s">
        <v>5267</v>
      </c>
    </row>
    <row r="40" spans="1:4">
      <c r="A40">
        <v>39</v>
      </c>
      <c r="B40" t="s">
        <v>5268</v>
      </c>
      <c r="C40" t="s">
        <v>5269</v>
      </c>
      <c r="D40" t="s">
        <v>5270</v>
      </c>
    </row>
    <row r="41" spans="1:4">
      <c r="A41">
        <v>40</v>
      </c>
      <c r="B41" t="s">
        <v>5271</v>
      </c>
      <c r="C41" t="s">
        <v>5272</v>
      </c>
      <c r="D41" t="s">
        <v>5273</v>
      </c>
    </row>
    <row r="42" spans="1:4">
      <c r="A42">
        <v>41</v>
      </c>
      <c r="B42" t="s">
        <v>5274</v>
      </c>
      <c r="C42" t="s">
        <v>5275</v>
      </c>
      <c r="D42" t="s">
        <v>5276</v>
      </c>
    </row>
    <row r="43" spans="1:4">
      <c r="A43">
        <v>42</v>
      </c>
      <c r="B43" t="s">
        <v>5277</v>
      </c>
      <c r="C43" t="s">
        <v>5278</v>
      </c>
      <c r="D43" t="s">
        <v>5279</v>
      </c>
    </row>
    <row r="44" spans="1:4">
      <c r="A44">
        <v>43</v>
      </c>
      <c r="B44" t="s">
        <v>5280</v>
      </c>
      <c r="C44" t="s">
        <v>5281</v>
      </c>
      <c r="D44" t="s">
        <v>5282</v>
      </c>
    </row>
    <row r="45" spans="1:4">
      <c r="A45">
        <v>44</v>
      </c>
      <c r="B45" t="s">
        <v>5283</v>
      </c>
      <c r="C45" t="s">
        <v>5284</v>
      </c>
      <c r="D45" t="s">
        <v>5285</v>
      </c>
    </row>
    <row r="46" spans="1:4">
      <c r="A46">
        <v>45</v>
      </c>
      <c r="B46" t="s">
        <v>5286</v>
      </c>
      <c r="C46" t="s">
        <v>5287</v>
      </c>
      <c r="D46" t="s">
        <v>5288</v>
      </c>
    </row>
    <row r="47" spans="1:4">
      <c r="A47">
        <v>46</v>
      </c>
      <c r="B47" t="s">
        <v>5289</v>
      </c>
      <c r="C47" t="s">
        <v>5290</v>
      </c>
      <c r="D47" t="s">
        <v>5291</v>
      </c>
    </row>
    <row r="48" spans="1:4">
      <c r="A48">
        <v>47</v>
      </c>
      <c r="B48" t="s">
        <v>5292</v>
      </c>
      <c r="C48" t="s">
        <v>5293</v>
      </c>
      <c r="D48" t="s">
        <v>5294</v>
      </c>
    </row>
    <row r="49" spans="1:4">
      <c r="A49">
        <v>48</v>
      </c>
      <c r="B49" t="s">
        <v>5295</v>
      </c>
      <c r="C49" t="s">
        <v>5296</v>
      </c>
      <c r="D49" t="s">
        <v>5297</v>
      </c>
    </row>
    <row r="50" spans="1:4">
      <c r="A50">
        <v>49</v>
      </c>
      <c r="B50" t="s">
        <v>5298</v>
      </c>
      <c r="C50" t="s">
        <v>5299</v>
      </c>
      <c r="D50" t="s">
        <v>5300</v>
      </c>
    </row>
    <row r="51" spans="1:4">
      <c r="A51">
        <v>50</v>
      </c>
      <c r="B51" t="s">
        <v>5301</v>
      </c>
      <c r="C51" t="s">
        <v>5302</v>
      </c>
      <c r="D51" t="s">
        <v>5303</v>
      </c>
    </row>
    <row r="52" spans="1:4">
      <c r="A52">
        <v>51</v>
      </c>
      <c r="B52" t="s">
        <v>5304</v>
      </c>
      <c r="C52" t="s">
        <v>5075</v>
      </c>
      <c r="D52" t="s">
        <v>5305</v>
      </c>
    </row>
    <row r="53" spans="1:4">
      <c r="A53">
        <v>52</v>
      </c>
      <c r="B53" t="s">
        <v>5306</v>
      </c>
      <c r="C53" t="s">
        <v>4803</v>
      </c>
      <c r="D53" t="s">
        <v>5307</v>
      </c>
    </row>
    <row r="54" spans="1:4">
      <c r="A54">
        <v>999</v>
      </c>
      <c r="B54" t="s">
        <v>4984</v>
      </c>
      <c r="C54" t="s">
        <v>5308</v>
      </c>
      <c r="D54" t="s">
        <v>5309</v>
      </c>
    </row>
  </sheetData>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9"/>
  <sheetViews>
    <sheetView zoomScaleNormal="100" workbookViewId="0">
      <selection sqref="A1:XFD1"/>
    </sheetView>
  </sheetViews>
  <sheetFormatPr baseColWidth="10" defaultColWidth="8.83203125" defaultRowHeight="13"/>
  <cols>
    <col min="1" max="1" width="12.1640625" customWidth="1"/>
    <col min="2" max="2" width="16" customWidth="1"/>
    <col min="3" max="3" width="26.5" customWidth="1"/>
  </cols>
  <sheetData>
    <row r="1" spans="1:3">
      <c r="A1" t="s">
        <v>5310</v>
      </c>
      <c r="B1" t="s">
        <v>12</v>
      </c>
      <c r="C1" t="s">
        <v>13</v>
      </c>
    </row>
    <row r="2" spans="1:3">
      <c r="A2">
        <v>1</v>
      </c>
      <c r="B2" t="s">
        <v>4640</v>
      </c>
      <c r="C2" t="s">
        <v>4640</v>
      </c>
    </row>
    <row r="3" spans="1:3">
      <c r="A3">
        <v>2</v>
      </c>
      <c r="B3" t="s">
        <v>4714</v>
      </c>
      <c r="C3" t="s">
        <v>5311</v>
      </c>
    </row>
    <row r="4" spans="1:3">
      <c r="A4">
        <v>3</v>
      </c>
      <c r="B4" t="s">
        <v>4645</v>
      </c>
      <c r="C4" t="s">
        <v>4645</v>
      </c>
    </row>
    <row r="5" spans="1:3">
      <c r="A5">
        <v>4</v>
      </c>
      <c r="B5" t="s">
        <v>4651</v>
      </c>
      <c r="C5" t="s">
        <v>5312</v>
      </c>
    </row>
    <row r="6" spans="1:3">
      <c r="A6">
        <v>5</v>
      </c>
      <c r="B6" t="s">
        <v>4700</v>
      </c>
      <c r="C6" t="s">
        <v>5313</v>
      </c>
    </row>
    <row r="7" spans="1:3">
      <c r="A7">
        <v>6</v>
      </c>
      <c r="B7" t="s">
        <v>4677</v>
      </c>
      <c r="C7" t="s">
        <v>5314</v>
      </c>
    </row>
    <row r="8" spans="1:3">
      <c r="A8">
        <v>7</v>
      </c>
      <c r="B8" t="s">
        <v>4683</v>
      </c>
      <c r="C8" t="s">
        <v>5315</v>
      </c>
    </row>
    <row r="9" spans="1:3">
      <c r="A9">
        <v>8</v>
      </c>
      <c r="B9" t="s">
        <v>4694</v>
      </c>
      <c r="C9" t="s">
        <v>5316</v>
      </c>
    </row>
    <row r="10" spans="1:3">
      <c r="A10">
        <v>9</v>
      </c>
      <c r="B10" t="s">
        <v>4737</v>
      </c>
      <c r="C10" t="s">
        <v>5317</v>
      </c>
    </row>
    <row r="11" spans="1:3">
      <c r="A11">
        <v>10</v>
      </c>
      <c r="B11" t="s">
        <v>4732</v>
      </c>
      <c r="C11" t="s">
        <v>4732</v>
      </c>
    </row>
    <row r="12" spans="1:3">
      <c r="A12">
        <v>11</v>
      </c>
      <c r="B12" t="s">
        <v>4666</v>
      </c>
      <c r="C12" t="s">
        <v>4666</v>
      </c>
    </row>
    <row r="13" spans="1:3">
      <c r="A13">
        <v>12</v>
      </c>
      <c r="B13" t="s">
        <v>4671</v>
      </c>
      <c r="C13" t="s">
        <v>5318</v>
      </c>
    </row>
    <row r="14" spans="1:3">
      <c r="A14">
        <v>13</v>
      </c>
      <c r="B14" t="s">
        <v>4755</v>
      </c>
      <c r="C14" t="s">
        <v>4755</v>
      </c>
    </row>
    <row r="15" spans="1:3">
      <c r="A15">
        <v>14</v>
      </c>
      <c r="B15" t="s">
        <v>4761</v>
      </c>
      <c r="C15" t="s">
        <v>4761</v>
      </c>
    </row>
    <row r="16" spans="1:3">
      <c r="A16">
        <v>15</v>
      </c>
      <c r="B16" t="s">
        <v>4804</v>
      </c>
      <c r="C16" t="s">
        <v>5319</v>
      </c>
    </row>
    <row r="17" spans="1:3">
      <c r="A17">
        <v>16</v>
      </c>
      <c r="B17" t="s">
        <v>4774</v>
      </c>
      <c r="C17" t="s">
        <v>5320</v>
      </c>
    </row>
    <row r="18" spans="1:3">
      <c r="A18">
        <v>17</v>
      </c>
      <c r="B18" t="s">
        <v>4814</v>
      </c>
      <c r="C18" t="s">
        <v>4814</v>
      </c>
    </row>
    <row r="19" spans="1:3">
      <c r="A19">
        <v>18</v>
      </c>
      <c r="B19" t="s">
        <v>4745</v>
      </c>
      <c r="C19" t="s">
        <v>4745</v>
      </c>
    </row>
    <row r="20" spans="1:3">
      <c r="A20">
        <v>19</v>
      </c>
      <c r="B20" t="s">
        <v>4949</v>
      </c>
      <c r="C20" t="s">
        <v>5321</v>
      </c>
    </row>
    <row r="21" spans="1:3">
      <c r="A21">
        <v>20</v>
      </c>
      <c r="B21" t="s">
        <v>4958</v>
      </c>
      <c r="C21" t="s">
        <v>5322</v>
      </c>
    </row>
    <row r="22" spans="1:3">
      <c r="A22">
        <v>21</v>
      </c>
      <c r="B22" t="s">
        <v>4978</v>
      </c>
      <c r="C22" t="s">
        <v>5323</v>
      </c>
    </row>
    <row r="23" spans="1:3">
      <c r="A23">
        <v>22</v>
      </c>
      <c r="B23" t="s">
        <v>5046</v>
      </c>
      <c r="C23" t="s">
        <v>5324</v>
      </c>
    </row>
    <row r="24" spans="1:3">
      <c r="A24">
        <v>23</v>
      </c>
      <c r="B24" t="s">
        <v>5325</v>
      </c>
      <c r="C24" t="s">
        <v>5325</v>
      </c>
    </row>
    <row r="25" spans="1:3">
      <c r="A25">
        <v>24</v>
      </c>
      <c r="B25" t="s">
        <v>5326</v>
      </c>
      <c r="C25" t="s">
        <v>5327</v>
      </c>
    </row>
    <row r="26" spans="1:3">
      <c r="A26">
        <v>25</v>
      </c>
      <c r="B26" t="s">
        <v>5328</v>
      </c>
      <c r="C26" t="s">
        <v>5328</v>
      </c>
    </row>
    <row r="27" spans="1:3">
      <c r="A27">
        <v>26</v>
      </c>
      <c r="B27" t="s">
        <v>5329</v>
      </c>
      <c r="C27" t="s">
        <v>5330</v>
      </c>
    </row>
    <row r="28" spans="1:3">
      <c r="A28">
        <v>27</v>
      </c>
      <c r="B28" t="s">
        <v>5331</v>
      </c>
      <c r="C28" t="s">
        <v>5332</v>
      </c>
    </row>
    <row r="29" spans="1:3">
      <c r="A29">
        <v>28</v>
      </c>
      <c r="B29" t="s">
        <v>5333</v>
      </c>
      <c r="C29" t="s">
        <v>5334</v>
      </c>
    </row>
    <row r="30" spans="1:3">
      <c r="A30">
        <v>29</v>
      </c>
      <c r="B30" t="s">
        <v>5335</v>
      </c>
      <c r="C30" t="s">
        <v>5336</v>
      </c>
    </row>
    <row r="31" spans="1:3">
      <c r="A31">
        <v>30</v>
      </c>
      <c r="B31" t="s">
        <v>5337</v>
      </c>
      <c r="C31" t="s">
        <v>5338</v>
      </c>
    </row>
    <row r="32" spans="1:3">
      <c r="A32">
        <v>31</v>
      </c>
      <c r="B32" t="s">
        <v>4993</v>
      </c>
      <c r="C32" t="s">
        <v>5339</v>
      </c>
    </row>
    <row r="33" spans="1:3">
      <c r="A33">
        <v>32</v>
      </c>
      <c r="B33" t="s">
        <v>5340</v>
      </c>
      <c r="C33" t="s">
        <v>5340</v>
      </c>
    </row>
    <row r="34" spans="1:3">
      <c r="A34">
        <v>33</v>
      </c>
      <c r="B34" t="s">
        <v>5341</v>
      </c>
      <c r="C34" t="s">
        <v>5342</v>
      </c>
    </row>
    <row r="35" spans="1:3">
      <c r="A35">
        <v>34</v>
      </c>
      <c r="B35" t="s">
        <v>5343</v>
      </c>
      <c r="C35" t="s">
        <v>5344</v>
      </c>
    </row>
    <row r="36" spans="1:3">
      <c r="A36">
        <v>35</v>
      </c>
      <c r="B36" t="s">
        <v>5030</v>
      </c>
      <c r="C36" t="s">
        <v>5030</v>
      </c>
    </row>
    <row r="37" spans="1:3">
      <c r="A37">
        <v>36</v>
      </c>
      <c r="B37" t="s">
        <v>5013</v>
      </c>
      <c r="C37" t="s">
        <v>5345</v>
      </c>
    </row>
    <row r="38" spans="1:3">
      <c r="A38">
        <v>37</v>
      </c>
      <c r="B38" t="s">
        <v>5034</v>
      </c>
      <c r="C38" t="s">
        <v>5346</v>
      </c>
    </row>
    <row r="39" spans="1:3">
      <c r="A39">
        <v>38</v>
      </c>
      <c r="B39" t="s">
        <v>5347</v>
      </c>
      <c r="C39" t="s">
        <v>5348</v>
      </c>
    </row>
    <row r="40" spans="1:3">
      <c r="A40">
        <v>39</v>
      </c>
      <c r="B40" t="s">
        <v>5349</v>
      </c>
      <c r="C40" t="s">
        <v>5349</v>
      </c>
    </row>
    <row r="41" spans="1:3">
      <c r="A41">
        <v>40</v>
      </c>
      <c r="B41" t="s">
        <v>5350</v>
      </c>
      <c r="C41" t="s">
        <v>5351</v>
      </c>
    </row>
    <row r="42" spans="1:3">
      <c r="A42">
        <v>41</v>
      </c>
      <c r="B42" t="s">
        <v>5352</v>
      </c>
      <c r="C42" t="s">
        <v>5352</v>
      </c>
    </row>
    <row r="43" spans="1:3">
      <c r="A43">
        <v>42</v>
      </c>
      <c r="B43" t="s">
        <v>5353</v>
      </c>
      <c r="C43" t="s">
        <v>5354</v>
      </c>
    </row>
    <row r="44" spans="1:3">
      <c r="A44">
        <v>43</v>
      </c>
      <c r="B44" t="s">
        <v>5355</v>
      </c>
      <c r="C44" t="s">
        <v>5356</v>
      </c>
    </row>
    <row r="45" spans="1:3">
      <c r="A45">
        <v>44</v>
      </c>
      <c r="B45" t="s">
        <v>5357</v>
      </c>
      <c r="C45" t="s">
        <v>5358</v>
      </c>
    </row>
    <row r="46" spans="1:3">
      <c r="A46">
        <v>45</v>
      </c>
      <c r="B46" t="s">
        <v>5359</v>
      </c>
      <c r="C46" t="s">
        <v>5360</v>
      </c>
    </row>
    <row r="47" spans="1:3">
      <c r="A47">
        <v>46</v>
      </c>
      <c r="B47" t="s">
        <v>4988</v>
      </c>
      <c r="C47" t="s">
        <v>5361</v>
      </c>
    </row>
    <row r="48" spans="1:3">
      <c r="A48">
        <v>47</v>
      </c>
      <c r="B48" t="s">
        <v>5067</v>
      </c>
      <c r="C48" t="s">
        <v>5362</v>
      </c>
    </row>
    <row r="49" spans="1:3">
      <c r="A49">
        <v>999</v>
      </c>
      <c r="B49" t="s">
        <v>5308</v>
      </c>
      <c r="C49" t="s">
        <v>5363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Normal="100" workbookViewId="0">
      <selection sqref="A1:XFD1"/>
    </sheetView>
  </sheetViews>
  <sheetFormatPr baseColWidth="10" defaultColWidth="8.83203125" defaultRowHeight="13"/>
  <cols>
    <col min="1" max="1" width="11.5" customWidth="1"/>
    <col min="2" max="2" width="19.5" customWidth="1"/>
    <col min="3" max="3" width="20" customWidth="1"/>
    <col min="4" max="4" width="12.5" customWidth="1"/>
    <col min="5" max="5" width="10" customWidth="1"/>
  </cols>
  <sheetData>
    <row r="1" spans="1:5">
      <c r="A1" t="s">
        <v>5364</v>
      </c>
      <c r="B1" t="s">
        <v>14</v>
      </c>
      <c r="C1" t="s">
        <v>15</v>
      </c>
      <c r="D1" t="s">
        <v>5365</v>
      </c>
      <c r="E1" t="s">
        <v>5366</v>
      </c>
    </row>
    <row r="2" spans="1:5">
      <c r="A2">
        <v>1</v>
      </c>
      <c r="B2" t="s">
        <v>5367</v>
      </c>
      <c r="C2" t="s">
        <v>5368</v>
      </c>
      <c r="D2" s="8">
        <v>-2500000</v>
      </c>
      <c r="E2" s="8">
        <v>-3500</v>
      </c>
    </row>
    <row r="3" spans="1:5">
      <c r="A3">
        <v>2</v>
      </c>
      <c r="B3" t="s">
        <v>5369</v>
      </c>
      <c r="C3" t="s">
        <v>5370</v>
      </c>
      <c r="D3" s="8">
        <v>-3500</v>
      </c>
      <c r="E3" s="8">
        <v>476</v>
      </c>
    </row>
    <row r="4" spans="1:5">
      <c r="A4">
        <v>3</v>
      </c>
      <c r="B4" t="s">
        <v>5371</v>
      </c>
      <c r="C4" t="s">
        <v>5372</v>
      </c>
      <c r="D4" s="8">
        <v>476</v>
      </c>
      <c r="E4" s="8">
        <v>1492</v>
      </c>
    </row>
    <row r="5" spans="1:5">
      <c r="A5">
        <v>4</v>
      </c>
      <c r="B5" t="s">
        <v>5373</v>
      </c>
      <c r="C5" t="s">
        <v>5374</v>
      </c>
      <c r="D5" s="8">
        <v>1492</v>
      </c>
      <c r="E5" s="8">
        <v>1789</v>
      </c>
    </row>
    <row r="6" spans="1:5">
      <c r="A6">
        <v>5</v>
      </c>
      <c r="B6" t="s">
        <v>5375</v>
      </c>
      <c r="C6" t="s">
        <v>5376</v>
      </c>
      <c r="D6" s="8">
        <v>1789</v>
      </c>
      <c r="E6" s="8">
        <v>2100</v>
      </c>
    </row>
    <row r="7" spans="1:5">
      <c r="A7">
        <v>999</v>
      </c>
      <c r="B7" t="s">
        <v>5377</v>
      </c>
      <c r="C7" t="s">
        <v>5378</v>
      </c>
      <c r="D7" s="8">
        <v>2100</v>
      </c>
      <c r="E7" s="8">
        <v>9999</v>
      </c>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zoomScaleNormal="100" workbookViewId="0">
      <selection activeCell="D13" activeCellId="1" sqref="A1:XFD1 D13"/>
    </sheetView>
  </sheetViews>
  <sheetFormatPr baseColWidth="10" defaultColWidth="8.83203125" defaultRowHeight="13"/>
  <cols>
    <col min="1" max="1" width="10.83203125" customWidth="1"/>
  </cols>
  <sheetData>
    <row r="1" spans="1:2">
      <c r="A1" t="s">
        <v>5379</v>
      </c>
      <c r="B1">
        <f>COUNTA(frasest[id_quote])</f>
        <v>1499</v>
      </c>
    </row>
    <row r="2" spans="1:2">
      <c r="A2" t="s">
        <v>5380</v>
      </c>
      <c r="B2">
        <f>COUNTA(autorest[id_author])</f>
        <v>124</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6</vt:i4>
      </vt:variant>
    </vt:vector>
  </HeadingPairs>
  <TitlesOfParts>
    <vt:vector size="6" baseType="lpstr">
      <vt:lpstr>frases</vt:lpstr>
      <vt:lpstr>autores</vt:lpstr>
      <vt:lpstr>idiomas</vt:lpstr>
      <vt:lpstr>naciones</vt:lpstr>
      <vt:lpstr>epocas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DANIEL LOSADA IGLESIAS</cp:lastModifiedBy>
  <cp:revision>1</cp:revision>
  <dcterms:created xsi:type="dcterms:W3CDTF">2026-01-02T21:26:37Z</dcterms:created>
  <dcterms:modified xsi:type="dcterms:W3CDTF">2026-01-15T13:44:34Z</dcterms:modified>
  <dc:language>es-ES</dc:language>
</cp:coreProperties>
</file>